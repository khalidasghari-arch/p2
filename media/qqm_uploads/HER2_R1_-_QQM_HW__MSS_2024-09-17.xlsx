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2.xml" ContentType="application/vnd.openxmlformats-officedocument.drawing+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6.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https://unicef-my.sharepoint.com/personal/shsaleh_unicef_org/Documents/Documents/PMU/TPM Reports/Round 10/"/>
    </mc:Choice>
  </mc:AlternateContent>
  <xr:revisionPtr revIDLastSave="14" documentId="13_ncr:1_{A5BFB261-74BB-4F76-93AF-05B817C7BEFB}" xr6:coauthVersionLast="47" xr6:coauthVersionMax="47" xr10:uidLastSave="{18261996-56CF-4C38-B195-2A60ECF66359}"/>
  <bookViews>
    <workbookView xWindow="-110" yWindow="-110" windowWidth="19420" windowHeight="10300" tabRatio="686" firstSheet="15" activeTab="16" xr2:uid="{BC9E7858-0340-4BA4-8B84-99F1046C919B}"/>
  </bookViews>
  <sheets>
    <sheet name="Overview" sheetId="30" r:id="rId1"/>
    <sheet name="Indicator list" sheetId="46" r:id="rId2"/>
    <sheet name="1-QQM_SUMMARY_SHEET" sheetId="13" r:id="rId3"/>
    <sheet name="2-QQM_BY ROUND" sheetId="31" r:id="rId4"/>
    <sheet name="Annex 1a - Structural_PROV" sheetId="7" r:id="rId5"/>
    <sheet name="Annex1b-Structural_FAC" sheetId="19" r:id="rId6"/>
    <sheet name="Annex1c-Tracerdrugs_PROV" sheetId="35" r:id="rId7"/>
    <sheet name="QQC_SI_PROV_LONG" sheetId="20" state="hidden" r:id="rId8"/>
    <sheet name="QQC_SI_FAC_WIDE" sheetId="17" state="hidden" r:id="rId9"/>
    <sheet name="QCC_SI_PROV" sheetId="14" state="hidden" r:id="rId10"/>
    <sheet name="QCC_EXIT&amp;VIGNETTES_FACILITY" sheetId="10" state="hidden" r:id="rId11"/>
    <sheet name="QQC_EXIT&amp;VIGNETTES_PROV_LONG" sheetId="22" state="hidden" r:id="rId12"/>
    <sheet name="QQC_EXIT&amp;VIGNETTES_FAC_WIDE" sheetId="18" state="hidden" r:id="rId13"/>
    <sheet name="QQC_SUMMARY_SHEET" sheetId="12" state="hidden" r:id="rId14"/>
    <sheet name="Annex2a-QQM_EXIT&amp;VIGNETTES_PROV" sheetId="9" r:id="rId15"/>
    <sheet name="Annex 2b-QQC_EXIT&amp;VIGNETTES_FAC" sheetId="21" r:id="rId16"/>
    <sheet name="Annex 3a-HEALTHWORKFORCE - PROV" sheetId="23" r:id="rId17"/>
    <sheet name="Annex 3b-HEALTHWORKFORCE - FAC" sheetId="43" r:id="rId18"/>
    <sheet name="Annex 4a-MSS - PROV" sheetId="45" r:id="rId19"/>
    <sheet name="Annex 4b-MSS - FAC" sheetId="44" r:id="rId20"/>
    <sheet name="Sheet1" sheetId="47" r:id="rId21"/>
    <sheet name="0 - GRAPHS" sheetId="32" state="hidden" r:id="rId22"/>
    <sheet name="GRAPHS -SI - ADB non ADB" sheetId="41" state="hidden" r:id="rId23"/>
    <sheet name="GRAPHS -Exit - ADB non ADB" sheetId="39" state="hidden" r:id="rId24"/>
    <sheet name="GRAPHS -Vignettes - ADB non ADB" sheetId="40" state="hidden" r:id="rId25"/>
    <sheet name="SUMMARY_SHEET_MULTIPLEROUNDS" sheetId="16" state="hidden" r:id="rId26"/>
  </sheets>
  <definedNames>
    <definedName name="_xlnm._FilterDatabase" localSheetId="2" hidden="1">'1-QQM_SUMMARY_SHEET'!$A$2:$T$39</definedName>
    <definedName name="_xlnm._FilterDatabase" localSheetId="3" hidden="1">'2-QQM_BY ROUND'!$A$2:$AK$40</definedName>
    <definedName name="_xlnm._FilterDatabase" localSheetId="15" hidden="1">'Annex 2b-QQC_EXIT&amp;VIGNETTES_FAC'!$A$3:$W$507</definedName>
    <definedName name="_xlnm._FilterDatabase" localSheetId="16" hidden="1">'Annex 3a-HEALTHWORKFORCE - PROV'!$A$3:$AW$51</definedName>
    <definedName name="_xlnm._FilterDatabase" localSheetId="17" hidden="1">'Annex 3b-HEALTHWORKFORCE - FAC'!$A$3:$AS$412</definedName>
    <definedName name="_xlnm._FilterDatabase" localSheetId="18" hidden="1">'Annex 4a-MSS - PROV'!$A$3:$BT$40</definedName>
    <definedName name="_xlnm._FilterDatabase" localSheetId="19" hidden="1">'Annex 4b-MSS - FAC'!$A$3:$BX$35</definedName>
    <definedName name="_xlnm._FilterDatabase" localSheetId="5" hidden="1">'Annex1b-Structural_FAC'!$A$2:$FG$267</definedName>
    <definedName name="_xlnm._FilterDatabase" localSheetId="6" hidden="1">'Annex1c-Tracerdrugs_PROV'!$A$2:$CU$36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8" i="45" l="1"/>
  <c r="AU8" i="45"/>
  <c r="AV8" i="45"/>
  <c r="AW8" i="45"/>
  <c r="AX8" i="45"/>
  <c r="AY8" i="45"/>
  <c r="AZ8" i="45"/>
  <c r="BA8" i="45"/>
  <c r="BB8" i="45"/>
  <c r="BC8" i="45"/>
  <c r="BD8" i="45"/>
  <c r="BE8" i="45"/>
  <c r="BF8" i="45"/>
  <c r="BG8" i="45"/>
  <c r="BH8" i="45"/>
  <c r="BI8" i="45"/>
  <c r="AS8" i="45"/>
  <c r="AF8" i="45"/>
  <c r="AG8" i="45"/>
  <c r="AH8" i="45"/>
  <c r="AI8" i="45"/>
  <c r="AJ8" i="45"/>
  <c r="AK8" i="45"/>
  <c r="AL8" i="45"/>
  <c r="AM8" i="45"/>
  <c r="AN8" i="45"/>
  <c r="AE8" i="45"/>
  <c r="P8" i="45"/>
  <c r="Q8" i="45"/>
  <c r="R8" i="45"/>
  <c r="S8" i="45"/>
  <c r="T8" i="45"/>
  <c r="U8" i="45"/>
  <c r="V8" i="45"/>
  <c r="W8" i="45"/>
  <c r="X8" i="45"/>
  <c r="Y8" i="45"/>
  <c r="Z8" i="45"/>
  <c r="O8" i="45"/>
  <c r="E8" i="45"/>
  <c r="F8" i="45"/>
  <c r="G8" i="45"/>
  <c r="H8" i="45"/>
  <c r="I8" i="45"/>
  <c r="J8" i="45"/>
  <c r="D8" i="45"/>
  <c r="N38" i="13"/>
  <c r="N39" i="13"/>
  <c r="R38" i="13"/>
  <c r="T38" i="13"/>
  <c r="R39" i="13"/>
  <c r="T39" i="13"/>
  <c r="P37" i="13"/>
  <c r="Q37" i="13"/>
  <c r="R37" i="13"/>
  <c r="T37" i="13"/>
  <c r="N37" i="13"/>
  <c r="E37" i="13"/>
  <c r="F37" i="13"/>
  <c r="G37" i="13"/>
  <c r="H37" i="13"/>
  <c r="I37" i="13"/>
  <c r="J37" i="13"/>
  <c r="K37" i="13"/>
  <c r="L37" i="13"/>
  <c r="M37" i="13"/>
  <c r="D37" i="13"/>
  <c r="BP5" i="45"/>
  <c r="BQ5" i="45"/>
  <c r="BR5" i="45"/>
  <c r="BS5" i="45"/>
  <c r="BP6" i="45"/>
  <c r="BQ6" i="45"/>
  <c r="BR6" i="45"/>
  <c r="BS6" i="45"/>
  <c r="BP7" i="45"/>
  <c r="BQ7" i="45"/>
  <c r="BR7" i="45"/>
  <c r="BS7" i="45"/>
  <c r="BP8" i="45"/>
  <c r="BQ8" i="45"/>
  <c r="BR8" i="45"/>
  <c r="BS8" i="45"/>
  <c r="BO8" i="45"/>
  <c r="BO7" i="45"/>
  <c r="BO6" i="45"/>
  <c r="BO5" i="45"/>
  <c r="BF5" i="45"/>
  <c r="BG5" i="45"/>
  <c r="BH5" i="45"/>
  <c r="BI5" i="45"/>
  <c r="BF6" i="45"/>
  <c r="BG6" i="45"/>
  <c r="BH6" i="45"/>
  <c r="BI6" i="45"/>
  <c r="BF7" i="45"/>
  <c r="BG7" i="45"/>
  <c r="BH7" i="45"/>
  <c r="BI7" i="45"/>
  <c r="BE7" i="45"/>
  <c r="BE6" i="45"/>
  <c r="BE5" i="45"/>
  <c r="AT5" i="45"/>
  <c r="AU5" i="45"/>
  <c r="AV5" i="45"/>
  <c r="AW5" i="45"/>
  <c r="AX5" i="45"/>
  <c r="AY5" i="45"/>
  <c r="AZ5" i="45"/>
  <c r="BA5" i="45"/>
  <c r="BB5" i="45"/>
  <c r="AT6" i="45"/>
  <c r="AU6" i="45"/>
  <c r="AV6" i="45"/>
  <c r="AW6" i="45"/>
  <c r="AX6" i="45"/>
  <c r="AY6" i="45"/>
  <c r="AZ6" i="45"/>
  <c r="BA6" i="45"/>
  <c r="BB6" i="45"/>
  <c r="AT7" i="45"/>
  <c r="AU7" i="45"/>
  <c r="AV7" i="45"/>
  <c r="AW7" i="45"/>
  <c r="AX7" i="45"/>
  <c r="AY7" i="45"/>
  <c r="AZ7" i="45"/>
  <c r="BA7" i="45"/>
  <c r="BB7" i="45"/>
  <c r="AS7" i="45"/>
  <c r="AS6" i="45"/>
  <c r="AS5" i="45"/>
  <c r="AF5" i="45"/>
  <c r="AG5" i="45"/>
  <c r="AH5" i="45"/>
  <c r="AI5" i="45"/>
  <c r="AJ5" i="45"/>
  <c r="AK5" i="45"/>
  <c r="AL5" i="45"/>
  <c r="AM5" i="45"/>
  <c r="AN5" i="45"/>
  <c r="AF6" i="45"/>
  <c r="AG6" i="45"/>
  <c r="AH6" i="45"/>
  <c r="AI6" i="45"/>
  <c r="AJ6" i="45"/>
  <c r="AK6" i="45"/>
  <c r="AL6" i="45"/>
  <c r="AM6" i="45"/>
  <c r="AN6" i="45"/>
  <c r="AF7" i="45"/>
  <c r="AG7" i="45"/>
  <c r="AH7" i="45"/>
  <c r="AI7" i="45"/>
  <c r="AJ7" i="45"/>
  <c r="AK7" i="45"/>
  <c r="AL7" i="45"/>
  <c r="AM7" i="45"/>
  <c r="AN7" i="45"/>
  <c r="AE7" i="45"/>
  <c r="AE6" i="45"/>
  <c r="AE5" i="45"/>
  <c r="P5" i="45"/>
  <c r="Q5" i="45"/>
  <c r="R5" i="45"/>
  <c r="S5" i="45"/>
  <c r="T5" i="45"/>
  <c r="U5" i="45"/>
  <c r="V5" i="45"/>
  <c r="W5" i="45"/>
  <c r="X5" i="45"/>
  <c r="Y5" i="45"/>
  <c r="Z5" i="45"/>
  <c r="P6" i="45"/>
  <c r="Q6" i="45"/>
  <c r="R6" i="45"/>
  <c r="S6" i="45"/>
  <c r="T6" i="45"/>
  <c r="U6" i="45"/>
  <c r="V6" i="45"/>
  <c r="W6" i="45"/>
  <c r="X6" i="45"/>
  <c r="Y6" i="45"/>
  <c r="Z6" i="45"/>
  <c r="P7" i="45"/>
  <c r="Q7" i="45"/>
  <c r="R7" i="45"/>
  <c r="S7" i="45"/>
  <c r="T7" i="45"/>
  <c r="U7" i="45"/>
  <c r="V7" i="45"/>
  <c r="W7" i="45"/>
  <c r="X7" i="45"/>
  <c r="Y7" i="45"/>
  <c r="Z7" i="45"/>
  <c r="O7" i="45"/>
  <c r="O6" i="45"/>
  <c r="O5" i="45"/>
  <c r="E5" i="45"/>
  <c r="F5" i="45"/>
  <c r="G5" i="45"/>
  <c r="H5" i="45"/>
  <c r="I5" i="45"/>
  <c r="J5" i="45"/>
  <c r="E6" i="45"/>
  <c r="F6" i="45"/>
  <c r="G6" i="45"/>
  <c r="H6" i="45"/>
  <c r="I6" i="45"/>
  <c r="J6" i="45"/>
  <c r="E7" i="45"/>
  <c r="F7" i="45"/>
  <c r="G7" i="45"/>
  <c r="H7" i="45"/>
  <c r="I7" i="45"/>
  <c r="J7" i="45"/>
  <c r="D7" i="45"/>
  <c r="D6" i="45"/>
  <c r="D5" i="45"/>
  <c r="AI5" i="23"/>
  <c r="AJ5" i="23"/>
  <c r="AK5" i="23"/>
  <c r="AI6" i="23"/>
  <c r="AJ6" i="23"/>
  <c r="AK6" i="23"/>
  <c r="AI7" i="23"/>
  <c r="AJ7" i="23"/>
  <c r="AK7" i="23"/>
  <c r="AI8" i="23"/>
  <c r="AJ8" i="23"/>
  <c r="AK8" i="23"/>
  <c r="AH8" i="23"/>
  <c r="AH7" i="23"/>
  <c r="AH6" i="23"/>
  <c r="AH5" i="23"/>
  <c r="T5" i="23"/>
  <c r="U5" i="23"/>
  <c r="V5" i="23"/>
  <c r="W5" i="23"/>
  <c r="X5" i="23"/>
  <c r="Y5" i="23"/>
  <c r="Z5" i="23"/>
  <c r="AA5" i="23"/>
  <c r="AB5" i="23"/>
  <c r="T6" i="23"/>
  <c r="U6" i="23"/>
  <c r="V6" i="23"/>
  <c r="W6" i="23"/>
  <c r="X6" i="23"/>
  <c r="Y6" i="23"/>
  <c r="Z6" i="23"/>
  <c r="AA6" i="23"/>
  <c r="AB6" i="23"/>
  <c r="T7" i="23"/>
  <c r="U7" i="23"/>
  <c r="V7" i="23"/>
  <c r="W7" i="23"/>
  <c r="X7" i="23"/>
  <c r="Y7" i="23"/>
  <c r="Z7" i="23"/>
  <c r="AA7" i="23"/>
  <c r="AB7" i="23"/>
  <c r="T8" i="23"/>
  <c r="U8" i="23"/>
  <c r="V8" i="23"/>
  <c r="W8" i="23"/>
  <c r="X8" i="23"/>
  <c r="Y8" i="23"/>
  <c r="Z8" i="23"/>
  <c r="AA8" i="23"/>
  <c r="AB8" i="23"/>
  <c r="S8" i="23"/>
  <c r="S7" i="23"/>
  <c r="S6" i="23"/>
  <c r="S5" i="23"/>
  <c r="F5" i="23"/>
  <c r="G5" i="23"/>
  <c r="H5" i="23"/>
  <c r="F6" i="23"/>
  <c r="G6" i="23"/>
  <c r="H6" i="23"/>
  <c r="F7" i="23"/>
  <c r="G7" i="23"/>
  <c r="H7" i="23"/>
  <c r="F8" i="23"/>
  <c r="G8" i="23"/>
  <c r="H8" i="23"/>
  <c r="E8" i="23"/>
  <c r="E7" i="23"/>
  <c r="E6" i="23"/>
  <c r="E5" i="23"/>
  <c r="AR5" i="23"/>
  <c r="AS5" i="23"/>
  <c r="AT5" i="23"/>
  <c r="AU5" i="23"/>
  <c r="AV5" i="23"/>
  <c r="AW5" i="23"/>
  <c r="AX5" i="23"/>
  <c r="AQ5" i="23"/>
  <c r="C7" i="41"/>
  <c r="V3" i="13"/>
  <c r="V36" i="13"/>
  <c r="I8" i="41"/>
  <c r="V37" i="13" l="1"/>
  <c r="V4" i="13"/>
  <c r="V5" i="13"/>
  <c r="V6" i="13"/>
  <c r="V7" i="13"/>
  <c r="V8" i="13"/>
  <c r="V9" i="13"/>
  <c r="V10" i="13"/>
  <c r="V11" i="13"/>
  <c r="V12" i="13"/>
  <c r="V13" i="13"/>
  <c r="V14" i="13"/>
  <c r="V15" i="13"/>
  <c r="V16" i="13"/>
  <c r="V17" i="13"/>
  <c r="V18" i="13"/>
  <c r="V19" i="13"/>
  <c r="V20" i="13"/>
  <c r="V21" i="13"/>
  <c r="V22" i="13"/>
  <c r="V23" i="13"/>
  <c r="V24" i="13"/>
  <c r="V25" i="13"/>
  <c r="V26" i="13"/>
  <c r="V27" i="13"/>
  <c r="V28" i="13"/>
  <c r="V29" i="13"/>
  <c r="V30" i="13"/>
  <c r="V31" i="13"/>
  <c r="V32" i="13"/>
  <c r="V33" i="13"/>
  <c r="V34" i="13"/>
  <c r="V35" i="13"/>
  <c r="F8" i="41"/>
  <c r="E6" i="39"/>
  <c r="V38" i="13" l="1"/>
  <c r="V39" i="13"/>
  <c r="M7" i="41"/>
  <c r="B29" i="40"/>
  <c r="C8" i="41"/>
  <c r="P10" i="40" l="1"/>
  <c r="AE6" i="40"/>
  <c r="Q10" i="40"/>
  <c r="D4" i="39"/>
  <c r="M8" i="41" l="1"/>
  <c r="L8" i="41"/>
  <c r="K8" i="41"/>
  <c r="J8" i="41"/>
  <c r="H8" i="41"/>
  <c r="G8" i="41"/>
  <c r="E8" i="41"/>
  <c r="D8" i="41"/>
  <c r="L7" i="41"/>
  <c r="K7" i="41"/>
  <c r="J7" i="41"/>
  <c r="I7" i="41"/>
  <c r="H7" i="41"/>
  <c r="G7" i="41"/>
  <c r="F7" i="41"/>
  <c r="E7" i="41"/>
  <c r="D7" i="41"/>
  <c r="AE14" i="40"/>
  <c r="AE13" i="40"/>
  <c r="AE12" i="40"/>
  <c r="AE11" i="40"/>
  <c r="AE10" i="40"/>
  <c r="AE9" i="40"/>
  <c r="AE8" i="40"/>
  <c r="AE7" i="40"/>
  <c r="AE5" i="40"/>
  <c r="K30" i="40"/>
  <c r="J30" i="40"/>
  <c r="I30" i="40"/>
  <c r="H30" i="40"/>
  <c r="G30" i="40"/>
  <c r="F30" i="40"/>
  <c r="E30" i="40"/>
  <c r="D30" i="40"/>
  <c r="C30" i="40"/>
  <c r="B30" i="40"/>
  <c r="K29" i="40"/>
  <c r="J29" i="40"/>
  <c r="I29" i="40"/>
  <c r="H29" i="40"/>
  <c r="G29" i="40"/>
  <c r="F29" i="40"/>
  <c r="E29" i="40"/>
  <c r="D29" i="40"/>
  <c r="C29" i="40"/>
  <c r="T11" i="40"/>
  <c r="S11" i="40"/>
  <c r="R11" i="40"/>
  <c r="Q11" i="40"/>
  <c r="P11" i="40"/>
  <c r="T10" i="40"/>
  <c r="S10" i="40"/>
  <c r="R10" i="40"/>
  <c r="F13" i="39"/>
  <c r="E13" i="39"/>
  <c r="D13" i="39"/>
  <c r="F12" i="39"/>
  <c r="E12" i="39"/>
  <c r="D12" i="39"/>
  <c r="F11" i="39"/>
  <c r="E11" i="39"/>
  <c r="D11" i="39"/>
  <c r="F10" i="39"/>
  <c r="E10" i="39"/>
  <c r="D10" i="39"/>
  <c r="F9" i="39"/>
  <c r="E9" i="39"/>
  <c r="D9" i="39"/>
  <c r="F8" i="39"/>
  <c r="E8" i="39"/>
  <c r="D8" i="39"/>
  <c r="F7" i="39"/>
  <c r="E7" i="39"/>
  <c r="D7" i="39"/>
  <c r="F6" i="39"/>
  <c r="D6" i="39"/>
  <c r="F5" i="39"/>
  <c r="E5" i="39"/>
  <c r="D5" i="39"/>
  <c r="F4" i="39"/>
  <c r="E4" i="39"/>
  <c r="C117" i="17"/>
  <c r="C108" i="17"/>
  <c r="C92" i="17"/>
  <c r="C80" i="17"/>
  <c r="C78" i="17"/>
  <c r="C71" i="17"/>
  <c r="C52" i="17"/>
  <c r="C27" i="17"/>
  <c r="C16" i="17"/>
  <c r="C6"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Gari, Sara</author>
  </authors>
  <commentList>
    <comment ref="V37" authorId="0" shapeId="0" xr:uid="{DE6AD64F-A6E6-49D1-B54F-B4BF497BC4B0}">
      <text>
        <r>
          <rPr>
            <b/>
            <sz val="9"/>
            <color indexed="81"/>
            <rFont val="Tahoma"/>
            <family val="2"/>
          </rPr>
          <t xml:space="preserve"> 40% structural + 40% Content+ 20% Quality</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tc={B568D857-CB4B-4720-9ED6-7332AC70C744}</author>
  </authors>
  <commentList>
    <comment ref="C2" authorId="0" shapeId="0" xr:uid="{B568D857-CB4B-4720-9ED6-7332AC70C744}">
      <text>
        <t>[Threaded comment]
Your version of Excel allows you to read this threaded comment; however, any edits to it will get removed if the file is opened in a newer version of Excel. Learn more: https://go.microsoft.com/fwlink/?linkid=870924
Comment:
    This will only include BHC, CHC and DH</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tc={5EB61FD6-BB44-46A4-907B-3F0F70C80F2E}</author>
  </authors>
  <commentList>
    <comment ref="C1" authorId="0" shapeId="0" xr:uid="{5EB61FD6-BB44-46A4-907B-3F0F70C80F2E}">
      <text>
        <t>[Threaded comment]
Your version of Excel allows you to read this threaded comment; however, any edits to it will get removed if the file is opened in a newer version of Excel. Learn more: https://go.microsoft.com/fwlink/?linkid=870924
Comment:
    This will only include BHC, CHC and DH</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tc={EF744DDA-AF1B-4D4D-A8EF-F1EAAA1C6143}</author>
  </authors>
  <commentList>
    <comment ref="B3" authorId="0" shapeId="0" xr:uid="{EF744DDA-AF1B-4D4D-A8EF-F1EAAA1C6143}">
      <text>
        <t>[Threaded comment]
Your version of Excel allows you to read this threaded comment; however, any edits to it will get removed if the file is opened in a newer version of Excel. Learn more: https://go.microsoft.com/fwlink/?linkid=870924
Comment:
    Includes data from all facility types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tc={D76F5AB1-CC6E-4B3A-A556-751600068120}</author>
  </authors>
  <commentList>
    <comment ref="T3" authorId="0" shapeId="0" xr:uid="{D76F5AB1-CC6E-4B3A-A556-751600068120}">
      <text>
        <t>[Threaded comment]
Your version of Excel allows you to read this threaded comment; however, any edits to it will get removed if the file is opened in a newer version of Excel. Learn more: https://go.microsoft.com/fwlink/?linkid=870924
Comment:
    Scores &lt;0 are possible for this domain</t>
      </text>
    </comment>
  </commentList>
</comments>
</file>

<file path=xl/sharedStrings.xml><?xml version="1.0" encoding="utf-8"?>
<sst xmlns="http://schemas.openxmlformats.org/spreadsheetml/2006/main" count="37209" uniqueCount="3174">
  <si>
    <t xml:space="preserve">Worksheet </t>
  </si>
  <si>
    <t>Content</t>
  </si>
  <si>
    <t>Indicator list-QQC structural</t>
  </si>
  <si>
    <t>Definition and descripton of indicators</t>
  </si>
  <si>
    <t>1-QQM_SUMMARY_SHEET</t>
  </si>
  <si>
    <t>2-QQM_BY ROUND</t>
  </si>
  <si>
    <t>Annex 1a - QQC_Structural_PROV</t>
  </si>
  <si>
    <t>Annex1b-QQC_Structural_FAC</t>
  </si>
  <si>
    <t>Annex1c-QQC_Tracerdrugs_PROV</t>
  </si>
  <si>
    <t>Annex2a-QQM_EXIT&amp;VIGNETTES_PROV</t>
  </si>
  <si>
    <t>Annex 2b-QQC_EXIT&amp;VIGNETTES_FAC</t>
  </si>
  <si>
    <t>Annex 3a-HEALTH WORKERS - PROV</t>
  </si>
  <si>
    <t>Annex 3b-HEALTH WORKERS - FAC</t>
  </si>
  <si>
    <t>Overview of indicators by assessment</t>
  </si>
  <si>
    <t># indicator</t>
  </si>
  <si>
    <t>Indicator Name</t>
  </si>
  <si>
    <t>Sub-indicator / Description</t>
  </si>
  <si>
    <t>Max Points (YES)</t>
  </si>
  <si>
    <t>Applicable at HFs</t>
  </si>
  <si>
    <t>QQM Structural Quality - Domain 1: General Management</t>
  </si>
  <si>
    <t>SQ 1.1</t>
  </si>
  <si>
    <t xml:space="preserve">Presence of map of health facility catchment area </t>
  </si>
  <si>
    <t>A visually represented health map is displayed on the notice board of a health facility. The map includes population data, details of other health facilities in the area, villages, main roads, natural barriers, special points and distance (in kms) and a legend/key showing specific age group population adjusted yearly (&lt;1, &lt;5, WCBA).</t>
  </si>
  <si>
    <t>BHC, CHC, DH</t>
  </si>
  <si>
    <t>SQ 1.2</t>
  </si>
  <si>
    <t xml:space="preserve">Proper filing system </t>
  </si>
  <si>
    <t>1.2.1 In a filing cabinet/shelf/cupboard, in the designated service, and accessible by the officer on duty (except individual staff files)</t>
  </si>
  <si>
    <t>1.2.2 Minimum documents to be filled in the Administrative office (i) HMIS and (ii) clinic visit book</t>
  </si>
  <si>
    <t>1.2.3 (iii)Attendance sheet and (iv) monthly, quarterly and annual activity plans and (v) staff meeting notebook</t>
  </si>
  <si>
    <t>1.2.4 (vi) Financial file and (vii) community contribution register</t>
  </si>
  <si>
    <t>1.2.5 Minimum documents to be filled include CHS room: (ix) CHW supervision visit book; (x) clinic health committee meeting minutes</t>
  </si>
  <si>
    <t>SQ 1.3</t>
  </si>
  <si>
    <t>Staff duty roster</t>
  </si>
  <si>
    <t xml:space="preserve">The staff duty roster is regularly updated and prominently displayed to both staff and patients. The roster includes the schedule for the current month, the assigned duties of each staff member and the phone numbers of on-duty staff. </t>
  </si>
  <si>
    <t>SQ 1.4</t>
  </si>
  <si>
    <t>Technical meetings</t>
  </si>
  <si>
    <t>Technical Meetings (Management Committee Meetings &amp; Clinical Staff Meetings) are scheduled on a monthly basis. QI committee meetings can alternate with clinical staff meetings; with 2 weeks between meetings. Minutes are taken during each meeting and include the date of the meeting, progress updates on the implementation of previous recommendations or actions, a list of new recommendations or decisions, and the chairman's signature. Records include three complete Clinical Staff Meetings and one quarterly Management Committee Meeting with detailed minutes.</t>
  </si>
  <si>
    <t>SQ 1.5</t>
  </si>
  <si>
    <t>Standard referral sheets</t>
  </si>
  <si>
    <t>At least 10 (empty) standard referral sheets are present during the evaluation</t>
  </si>
  <si>
    <t>SQ 1.6</t>
  </si>
  <si>
    <t>Availability of dedicated mobile phone for communication between health facility and general hospital</t>
  </si>
  <si>
    <t>A functional and charged mobile phone with a minimum call credit of AFS200. At minimum, the phone must store contact details of the Medical Director of the District Hospital, health facility staff, other Health Facility in-charges within the district, district health department, and the SP contact.</t>
  </si>
  <si>
    <t>SQ 1.7</t>
  </si>
  <si>
    <t>HMIS reports (sent to SP offices and MoPH)</t>
  </si>
  <si>
    <t>The transmission of HMIS reports occurs on a monthly basis, and a signed receipt of acknowledgement, both from the SP provincial offices and the MoPH is available.</t>
  </si>
  <si>
    <t>SQ 1.8</t>
  </si>
  <si>
    <t>HMIS reports (assessed concerning priority problems)</t>
  </si>
  <si>
    <t>Each quarter, four priority health problems are monitored and the data in the report has been updated until the month preceding the supervisor's visit. Additionally, the report includes a graphical representation of the health facility's quality score (presented in an "all or nothing" format). This score is derived from a monthly summary of the health problem classifications recorded in the General register at the end of each month.</t>
  </si>
  <si>
    <t>SQ 1.9</t>
  </si>
  <si>
    <t>Health Shura meetings</t>
  </si>
  <si>
    <t>Health Shura meetings are conducted on a monthly basis and meeting minutes are available. The monthly minutes include (i) the date of the meeting; (ii) a signed list of participants; (iii) follow-up of decisions taken during the previous meeting; (iv) a list of developed recommendations or decisions made; (v) signature of the chairman.</t>
  </si>
  <si>
    <t>QQM Structural Quality - Domain 2: Hygiene</t>
  </si>
  <si>
    <t>SQ 2.1</t>
  </si>
  <si>
    <t>Fence health facility available and well-maintained</t>
  </si>
  <si>
    <t>There is fencing or a wall (at least 1.5m in height) in good condition (no cracks) around the area of the health facility that can be closed at night (except riverine areas)</t>
  </si>
  <si>
    <t>SQ 2.2</t>
  </si>
  <si>
    <t>Garbage bin</t>
  </si>
  <si>
    <t xml:space="preserve"> The courtyard has a garbage bin with a lid that is easily accessible to clients, and it is not full at the time of the evaluation.</t>
  </si>
  <si>
    <t>SQ 2.3</t>
  </si>
  <si>
    <t>Latrines/toilets</t>
  </si>
  <si>
    <t xml:space="preserve">2.3.1	At least four water closet functional latrines/toilets (either the flushable squatting closet or the sitting closet) two for staff: Male and female, two for patients: Male and female. Toilets have a written and a pictorial sign. </t>
  </si>
  <si>
    <t xml:space="preserve">2.3.2	Floor without fissures			</t>
  </si>
  <si>
    <t xml:space="preserve">2.3.3	Recently cleaned without visible fecal matter			</t>
  </si>
  <si>
    <t xml:space="preserve">2.3.4	Door lockable from the inside, ceiling and super structure with roofing, without flies and no smell			</t>
  </si>
  <si>
    <t xml:space="preserve">2.3.5	Hand hygiene/ sinks are located at the toilets AND running water is available (either sourced from a container or from piped water supply) AND soap or liquid soap, or detergent available at the sink. </t>
  </si>
  <si>
    <t>SQ 2.4</t>
  </si>
  <si>
    <t>Showers</t>
  </si>
  <si>
    <t>2.4.1	At least two bathing facilities; one for men one for women (with floor without fissures, Door lockable from the inside, super structure with roofing) (in case of BHC one bathing facility (for women only); in case of CHC at least two; one for men and one for women)</t>
  </si>
  <si>
    <t xml:space="preserve">2.4.2	Bathing facility with running water, or container with at the least 20 L of water			</t>
  </si>
  <si>
    <t xml:space="preserve">2.4.3	Evacuation of the waste water in a sanitation pit			</t>
  </si>
  <si>
    <t>SQ 2.5</t>
  </si>
  <si>
    <t>Waste pit</t>
  </si>
  <si>
    <t xml:space="preserve">2.5.1	Waste disposal pit minimum 4 meters deep, lined with clay, concrete or brick or plastic, it is fenced and has a bright flag			</t>
  </si>
  <si>
    <t xml:space="preserve">2.5.2	The waste pit is a minimum of 15 meters from the health facility, minimum of 50 meters from a household, and 100 meters from a water source except in cases where the available surface area does not allow for these distances			</t>
  </si>
  <si>
    <t xml:space="preserve">2.5.3	Health Care Waste is not visible (covered by at the least 10 cm of soil or lime)			</t>
  </si>
  <si>
    <t xml:space="preserve">2.5.4	The health facility maintains a register indicating the date of the creation of the pit(s), and the location (s)			</t>
  </si>
  <si>
    <t>SQ 2.6</t>
  </si>
  <si>
    <t>Courtyard clean</t>
  </si>
  <si>
    <t>SQ 2.7</t>
  </si>
  <si>
    <t>Sterilization</t>
  </si>
  <si>
    <t xml:space="preserve">2.7.1	Sterilizer functional (eg Autoclave)			</t>
  </si>
  <si>
    <t xml:space="preserve">2.7.2	Sterilization protocol available and followed (medical personnel present can explain the protocol or demonstrate the process). When explaining the staff should at the least cover: (i) how items are arranged/packed; (ii) explain sterilization time for packed and unpacked items, and (iii) how to unload the items from the sterilizer			</t>
  </si>
  <si>
    <t>SQ 2.8</t>
  </si>
  <si>
    <t>Hygienic conditions assured during wound dressing and injections</t>
  </si>
  <si>
    <t xml:space="preserve">2.8 1	Yellow and Red Bins for medical waste with lid and foot pedal, lined with bag and not full			</t>
  </si>
  <si>
    <t xml:space="preserve">2.8.2	Security box for needles well positioned, and used (and not full)			</t>
  </si>
  <si>
    <t xml:space="preserve">2.8.3	Needle cutter available and used			</t>
  </si>
  <si>
    <t>2.8.4	Container/bowl with lid containing disinfectant used for putting used instruments</t>
  </si>
  <si>
    <t>SQ 2.9</t>
  </si>
  <si>
    <t>Disposal of Health Care Waste</t>
  </si>
  <si>
    <t>Waste is segregated into three bin categories for proper disposal in accordance with national norms. None of the bins should be full or over-flowing. 
i) Non-contaminated waste, which includes general or municipal waste such as food items, carton boxes, wrappings, and garbage are placed in lined Black Bins equipped with lids and foot pedals and the waste bin is not full; and,
ii) Contaminated health care waste, which includes infectious hazardous materials like used medical equipment, linens, gauze, syringes, catheter, iv cannula, gloves, serum bottles, and more are placed in cellophane-lined Yellow Bins with lids and foot pedals; and,
iii) Organic health care waste including body parts, placenta, removed teeth, body fluids, suction machine secretions, expired blood, and other biohazardous materials are placed in cellophane-lined Red Bins with lids and foot pedals; and,
iv) Availability of proper protective gear, including caps, masks, gumboots or enclosed shoes, plastic aprons, and thick plastic/rubber gloves.</t>
  </si>
  <si>
    <t>COVID-19 prevention</t>
  </si>
  <si>
    <t>2.10.1 i) Masks are available and used by staff
ii) Alcohol handwashing solution is available for staff and patients in at the least (i) OPD and (ii) MCH section and (iii) EPI			
iii) COVID-19 prevention posters visible for patients in waiting room for OPD, and consultation room, and MCH section, and EPI section</t>
  </si>
  <si>
    <t>QQM Structural Quality - Domain 3: OPD/ Curative consultations</t>
  </si>
  <si>
    <t>SQ 3.1</t>
  </si>
  <si>
    <t>Good conditions in waiting area</t>
  </si>
  <si>
    <t>Separate waiting area for women and men, sufficient benches and or chairs protected against sun and rain and waiting area is not inside the consultation room.</t>
  </si>
  <si>
    <t>SQ 3.2</t>
  </si>
  <si>
    <t>Drugs which are available free of charge displayed to the public</t>
  </si>
  <si>
    <t>Up-to-date list of free-of-charge drugs and items easily visible and displayed in the waiting area of the consultation room.</t>
  </si>
  <si>
    <t>SQ 3.3</t>
  </si>
  <si>
    <t>Waiting card (or token) system with numbers</t>
  </si>
  <si>
    <t>Existence and use of waiting card (or token) system with numbers</t>
  </si>
  <si>
    <t>SQ 3.4</t>
  </si>
  <si>
    <t>Consultation room in good condition</t>
  </si>
  <si>
    <t xml:space="preserve">3.4.1	
- Walls with durable materials well painted, floor paved with cement without fissures, undamaged ceiling			
- Consultation room and waiting space separated assuring confidentiality			
- Windows with curtains			
- Functional door with functional lock			
- Running water (tap or water dispenser) with handwashing soap/liquid and clean towel available and used between patients			</t>
  </si>
  <si>
    <t xml:space="preserve">3.4.2	Separate consultation room for women and for men (AND the second consultation room has the same criteria as the consultation room for women)			</t>
  </si>
  <si>
    <t>Alcohol handwashing solution is available for staff and patients in at the least (i) OPD and (ii) MCH section and (iii) EPI</t>
  </si>
  <si>
    <t>SQ 3.5</t>
  </si>
  <si>
    <t>Consultation room 24/7 light</t>
  </si>
  <si>
    <t xml:space="preserve">Good light source (e.g Electricity,  solar light, rechargeable lamp, or functioning kerosene lamp etc.)  present			</t>
  </si>
  <si>
    <t>SQ 3.6</t>
  </si>
  <si>
    <t>Consultations done by skilled staff</t>
  </si>
  <si>
    <t>The identification of consulting staff, including their names, ranks, and signatures, is recorded in the register.</t>
  </si>
  <si>
    <t>SQ 3.7</t>
  </si>
  <si>
    <t>Consulting staff well-dressed</t>
  </si>
  <si>
    <t>3.7.1	Consulting staff clothes and shoes are clean, and staff wears clean white blouse</t>
  </si>
  <si>
    <t xml:space="preserve">3.7.2	Consulting staff wears PPE (mask) against COVID-19			</t>
  </si>
  <si>
    <t>SQ 3.8</t>
  </si>
  <si>
    <t>Correct numbering of registers</t>
  </si>
  <si>
    <t xml:space="preserve">Entries in the register are correctly numbered, and totaled at the end of each month			</t>
  </si>
  <si>
    <t>SQ 3.9</t>
  </si>
  <si>
    <t>Service availability 24/7</t>
  </si>
  <si>
    <t>Services are available round the clock for CHC and for BHC 'on-call' situations. The supervisor verifies the register entries for the previous three Fridays. BHC provide evidence of their 'on-call' system through a publicly available and accessible schedule containing the contact details of the designated person on call.</t>
  </si>
  <si>
    <t>Malaria protocol</t>
  </si>
  <si>
    <t>i) The malaria protocol is prominently displayed on the wall for easy access by staff members. It includes the national guidelines for diagnosing and treating both simple and severe malaria cases; and,
ii)During consultations, healthcare providers can proficiently explain the protocol, including treatment details for simple malaria (prescription, dosage, and duration) and treatment recommendations for severe malaria (prescription, dosage, and duration), without having to refer to the chart.</t>
  </si>
  <si>
    <t>SQ 3.11</t>
  </si>
  <si>
    <t>ARI WHO flow diagram</t>
  </si>
  <si>
    <t>The World Health Organization (WHO) flow diagram for Acute Respiratory Infections (ARI) should be displayed prominently on the wall and easily accessible for all staff members. During consultations, healthcare workers is able to explain the ARI protocol without relying on the chart. The protocol includes the following components:
(i) Diagnosis of Lower Respiratory Tract Infection (LRTI) in a child under five years of age, based on respiratory rate.
(ii) Treatment guidelines for Upper Respiratory Tract Infection (URTI), including prescription details, dosage, and duration.
(iii) Treatment guidelines for uncomplicated Lower Respiratory Tract Infection (LRTI), specifying the prescription, dosage, and duration.
(iv) Treatment guidelines for complicated Lower Respiratory Tract Infection (LRTI), including the prescription, initial dose via intramuscular injection, and referral procedures.</t>
  </si>
  <si>
    <t>SQ 3.12</t>
  </si>
  <si>
    <t>ARI protocol applied</t>
  </si>
  <si>
    <t>Examine the latest five cases of Acute Respiratory Infection (ARI) and assess the treatment according to the established protocol. Take note of recorded temperature, respiratory rate (RR), presence of cough (yes/no), and the definitive diagnosis (all or nothing).</t>
  </si>
  <si>
    <t>SQ 3.13</t>
  </si>
  <si>
    <t>Diarrhea WHO protocol</t>
  </si>
  <si>
    <t>The WHO's Diarrhea Protocol, prominently displayed and easily accessible to staff. During consultation the health worker is able to explain the following aspects without referring to the chart: (i) Diarrhea diagnosis in children under five years, categorized as A, B, or C; (ii) Treatment details for Category A (including ORS dosage and duration); (iii) Treatment guidelines for Category B (including ORS dosage and duration); (iv) Management of severe Category C cases (involving IV therapy, specifying the type and amount, along with ORS dosage and referral instructions).</t>
  </si>
  <si>
    <t>SQ 3.14</t>
  </si>
  <si>
    <t>Diarrhea protocol applied</t>
  </si>
  <si>
    <t>Examine the latest five cases of Diarrhea and assess the treatment according to the established protocol (all or nothing).</t>
  </si>
  <si>
    <t>SQ 3.15</t>
  </si>
  <si>
    <t>Proportion of consultations treated with antibiotics &lt;30%</t>
  </si>
  <si>
    <t>Examined last 30 cases in register, check diagnosis and calculate the rate (&lt; 10 cases) ( cases selected through systematic random sampling over the past three months)
Diagnosis rate calculated using:
Numerator: Total number of prescriptions where antibiotics is prescribed by the doctor / Denominator: Total number of visits (n=30)</t>
  </si>
  <si>
    <t>SQ 3.16</t>
  </si>
  <si>
    <t>Afghanistan National Standard Treatment guidelines primary level available in consultation rooms</t>
  </si>
  <si>
    <t>Availability of 'Afghanistan National Standard Treatment Guidelines' at primary-level health facilities.</t>
  </si>
  <si>
    <t>SQ 3.17</t>
  </si>
  <si>
    <t>Knowledge of tuberculosis presumptive case screening</t>
  </si>
  <si>
    <t>Select any available qualified medical staff, and check if they can state the questions for identifying presumptive TB cases and know what to do with the patients. 
1)"Do you currently have a cough?" If the answer is YES, proceed to the next question.
2) "For how long have you been experiencing this cough?" If the duration is MORE than two weeks, proceed to the next question.
3) "Is your cough productive? Does it produce phlegm or mucus?" If the answer is YES to all three questions, 
4) Collect a sputum sample from the patient and refer them to the TB diagnostic center for further evaluation and testing.</t>
  </si>
  <si>
    <t>SQ 3.18</t>
  </si>
  <si>
    <t>Stethoscope and BP machine available and functional</t>
  </si>
  <si>
    <t>The stethoscope and BP machine are both present and in working order. The nurse is able to assess the patient's blood pressure and review the readings.</t>
  </si>
  <si>
    <t>SQ 3.19</t>
  </si>
  <si>
    <t>Thermometer available and functional</t>
  </si>
  <si>
    <t>Thermometer is available and in working condition.</t>
  </si>
  <si>
    <t>SQ 3.20</t>
  </si>
  <si>
    <t>Otoscope available and functional</t>
  </si>
  <si>
    <t>Otoscope is available and in working condition.</t>
  </si>
  <si>
    <t>SQ 3.21</t>
  </si>
  <si>
    <t xml:space="preserve">Examination table with padding available </t>
  </si>
  <si>
    <t>A padded examination table fitted with a non-torn, plastic cover is specifically available for OPD consultations.</t>
  </si>
  <si>
    <t>SQ 3.22</t>
  </si>
  <si>
    <t>Weighing scale available and functional</t>
  </si>
  <si>
    <t>Functional weighing scale is readily available. Inspect in comparison with known weight of supervisor: after weighing, the balance should reset to zero.</t>
  </si>
  <si>
    <t>SQ 3.23</t>
  </si>
  <si>
    <t>Integrated Management of Childhood Illnesses strategy is applied</t>
  </si>
  <si>
    <t xml:space="preserve">The Integrated Management of Childhood Illnesses (IMCI) protocol is accessible within the consultation room. The last five IMCI cases are traced in the register and comply with the IMCI strategy (all five).	</t>
  </si>
  <si>
    <t>SQ 3.24</t>
  </si>
  <si>
    <t>Determination of nutritional status (weight, upper arm circumference, height)</t>
  </si>
  <si>
    <t>3.24.1	Determination of nutritional status of all children under 5 who come for consultation (Method: check the Growth Monitoring chart in the MCH handbook of five Randomly selected children under five at EXIT. All children under five should be monitored)</t>
  </si>
  <si>
    <t xml:space="preserve">3.24.2	Determination of nutritional status of all women with a sick child under 6 months of age (as above)			</t>
  </si>
  <si>
    <t xml:space="preserve">3.24.3	Stock of RUSF and RUTF is available			</t>
  </si>
  <si>
    <t>QQM Structural Quality - Domain 4: Family Planning</t>
  </si>
  <si>
    <t>SQ 4.1</t>
  </si>
  <si>
    <t>Qualified staff trained in Family Planning</t>
  </si>
  <si>
    <t xml:space="preserve">At least one qualified staff trained in Family Planning
(check certificate: original or photocopy certified by the training institution)		</t>
  </si>
  <si>
    <t>SQ 4.2</t>
  </si>
  <si>
    <t>Confidentiality in consultancy room assured</t>
  </si>
  <si>
    <t>Confidentiality is maintained within the consultancy room. The room ensures privacy with closed doors and windows covered by curtains or non-transparent glass.</t>
  </si>
  <si>
    <t>SQ 4.3</t>
  </si>
  <si>
    <t>Family planning methods available and visible</t>
  </si>
  <si>
    <t>i) In a demonstration box, a range of family planning methods is readily accessible and prominently displayed for potential users. All 6 items including condoms, both oral contraceptive pills (combined and progestin-only), injectables (DMPA IM and SC), implants, intrauterine devices (IUDs), and the Emergency Contraceptive Pill must be available; and,
ii) The box contains a sufficient supply of at least 50 condoms; and,
iii) Additionally, there are up-to-date family planning counseling materials and Information, Education, and Communication (IEC) resources available, such as the WHO-MEC wheel from 2015, DMT, or BCS+ tool.</t>
  </si>
  <si>
    <t>SQ 4.4</t>
  </si>
  <si>
    <t>IUD available and staff trained to use it</t>
  </si>
  <si>
    <t>i) Ready availability of Intrauterine Devices (IUDs) and sterile instruments for their safe insertion and removal; and,
ii) A minimum stock of five IUDs at all times, and at least one staff trained to use it (check original certificate).</t>
  </si>
  <si>
    <t>SQ 4.5</t>
  </si>
  <si>
    <t>Implant method available and staff trained to use it</t>
  </si>
  <si>
    <t>i) Ready availability of implants and sterile instruments for their safe insertion and removal; and,
ii) A minimum stock of five implants at all times, and at least one staff trained to use it (check original certificate).</t>
  </si>
  <si>
    <t>SQ 4.6</t>
  </si>
  <si>
    <t>Post Partum and Post Abortion Family Planning Services available</t>
  </si>
  <si>
    <t>Family Planning Services are available for both postpartum and post-abortion situations, with staff trained to provide PPIUCD (Postpartum Intrauterine Contraceptive Device) and Implant options.</t>
  </si>
  <si>
    <t>SQ 4.7</t>
  </si>
  <si>
    <t>Family planning individual cards</t>
  </si>
  <si>
    <t>Individual cards for Family Practice (FP) are accessible and completed according to the format. Five cards will be randomly chosen and checked for (i) Blood pressure &amp; Weight, (ii) Cardiovascular disease, (iii) Hepatitis, (iv) Diabetes, and (v) Migraine. The evaluation will only be considered complete when all five cards have undergone scrutiny for all five specified elements, and a score will be provided accordingly.</t>
  </si>
  <si>
    <t>QQM Structural Quality - Domain 5: Laboratory</t>
  </si>
  <si>
    <t>SQ 5.1</t>
  </si>
  <si>
    <t>Medical Laboratory technician available</t>
  </si>
  <si>
    <t>CHC, DH</t>
  </si>
  <si>
    <t>SQ 5.2</t>
  </si>
  <si>
    <t>Laboratory is open every day of the week</t>
  </si>
  <si>
    <t>The laboratory operates seven days a week, and the supervisor verifies the laboratory register for the CHC, as well as the BHC duty schedule, covering the past three Fridays. The duty schedule must include the laboratory technician's name and contact information.</t>
  </si>
  <si>
    <t>SQ 5.3</t>
  </si>
  <si>
    <t xml:space="preserve">List of laboratory examinations visible </t>
  </si>
  <si>
    <t>List of laboratory tests explicitly specified as free of charge available and prominently displayed</t>
  </si>
  <si>
    <t>SQ 5.4</t>
  </si>
  <si>
    <t>Results recorded correctly in laboratory register and match with results in inpatient sheets or OPD examination cards</t>
  </si>
  <si>
    <t>Results recorded correctly in laboratory register and match with results in inpatient sheets or OPD examination cards. The supervisor reviews the most recent five results to verify their accuracy</t>
  </si>
  <si>
    <t>SQ 5.5</t>
  </si>
  <si>
    <t>Availability of parasited demonstrations</t>
  </si>
  <si>
    <t>Parasite demonstrations are accessible in various formats, such as plastic paper, within a color book, or suitable for display on walls. Blood smears depict the presence of Vivax and Falciparum parasites, while stool samples reveal the existence of Ascaris, Entamoeba, Ankylostoma, and Schistosoma parasites.</t>
  </si>
  <si>
    <t>SQ 5.6</t>
  </si>
  <si>
    <t>Microscope available</t>
  </si>
  <si>
    <t>Microscope readily accessible and in working condition, equipped with functional objectives, immersion oil, mirror or electricity, blades, cover glass, and GIEMSA stain. The presence of all these components is essential for obtaining a score.</t>
  </si>
  <si>
    <t>SQ 5.7</t>
  </si>
  <si>
    <t>Centrifuge available and functional</t>
  </si>
  <si>
    <t>Centrifuge available and in working condition</t>
  </si>
  <si>
    <t>SQ 5.8</t>
  </si>
  <si>
    <t>Waste evacuation correctly carried out</t>
  </si>
  <si>
    <t>Waste evacuation performed correctly. Organic waste disposed of in a lidded bin with disinfectant. A security box for sharp objects available and properly disposed of according to waste disposal guidelines.</t>
  </si>
  <si>
    <t>SQ 5.9</t>
  </si>
  <si>
    <t>Personnel adequately washes dirty pipettes in containers with disinfectant</t>
  </si>
  <si>
    <t>SQ 5.10</t>
  </si>
  <si>
    <t>Laboratory equipment for testing for Tuberculosis</t>
  </si>
  <si>
    <t xml:space="preserve">i) The laboratory is equipped with all necessary apparatus for Tuberculosis testing. Adequate supplies of reagents for Acid-Fast Bacilli (AAFB) testing are readily available, and their inventory is efficiently managed using a stock control system with detailed stock lists. The laboratory maintains a minimum of 30 non-recycled slides for testing purposes AND a binocular/LED microscope is in place, facilitating direct sputum microscopy; and,
ii) The laboratory has implemented a robust External Quality Assurance protocol for TB testing. Slides are regularly sampled and sent for external quality control as per the established protocol. The most recent quality assurance report is accessible, and shows results as per cut-off point of the protocol. AND internal quality assurance sheet is available. </t>
  </si>
  <si>
    <t>QQM Structural Quality - Domain 6: Essential Drug Management</t>
  </si>
  <si>
    <t>SQ 6.1</t>
  </si>
  <si>
    <t>Health facility has separate rooms for dispensary and main stocks</t>
  </si>
  <si>
    <t xml:space="preserve">6.1.1	
- Dispensary and main stock have double lock on doors of room or cabinet			
- Dispensary and main stock have shelves for storing medicines			</t>
  </si>
  <si>
    <t>SQ 6.2</t>
  </si>
  <si>
    <t>Health facility receives drugs ordered timely and as ordered from the SP central pharmacy</t>
  </si>
  <si>
    <t>The health facility receives drugs in a timely manner and according to the specified order from the central pharmacy of the service provider. This includes,
i) At least 80 percent of last supply request was received on time (definition: before or on the expected delivery date requested/indicated when ordering); and,
ii) At least 80 percent of items on last supply request were received in full quantity ordered</t>
  </si>
  <si>
    <t>SQ 6.3</t>
  </si>
  <si>
    <t>Supply management knowledge</t>
  </si>
  <si>
    <t xml:space="preserve">6.3.1	Stock cards quantities match phsyical stock and contain the Average Monthly Consumption for three randomly chosen medicines			</t>
  </si>
  <si>
    <t xml:space="preserve">6.3.2	The pharmacist can calculate the average monthly consumption (AMC) for each item and consdier it for drug request (cumulative usage of a drug in six months and divided by six)			</t>
  </si>
  <si>
    <t xml:space="preserve">6.3.3	The pharmacist knows how to adjust AMC for stock outs. (The adjustment is as follows: (i) count the number of days out of stock from the past six month period, (ii) subtract te number of days out of stock from 180 (number of days in 6 months) to obtain the number of day in stock, (iii) divide 180 by the number of days in stock to get the correction factor, (iv) multiply the AMC with the correction factor to obtain t e AMC corrected for stock outs.). To get the score, ALL four elements need to be mentioned. 			</t>
  </si>
  <si>
    <t xml:space="preserve">6.3.4	The pharmacist knows how to use supply frequency (monthly or quarterly) to define buffer (safety) stock  (The MAC in the EDM section requires a minimum of 2 months' average buffer stock as a standard)			</t>
  </si>
  <si>
    <t xml:space="preserve">6.3.5	The pharmacists knows how to perform a physical inspection upon arrival of the order ((i) cross check of the documents against the items, i.e. (ii) item name, (iii) strength, (iv) dosage form, (iv) quantity, (v) shelf life). [scoring: all five items mentioned to receive the score]			</t>
  </si>
  <si>
    <t xml:space="preserve">6.3.6	The pharmacist knows how to perform visual inspection of the items during receiving (leakage; damaged; crush, color changes, odor). [at the least four of the five elements mentioned to get the score]			</t>
  </si>
  <si>
    <t>SQ 6.4</t>
  </si>
  <si>
    <t>Drugs sorted correctly</t>
  </si>
  <si>
    <t>SQ 6.5</t>
  </si>
  <si>
    <t>Absence of out of date drugs or drugs with unreadable labels</t>
  </si>
  <si>
    <t>SQ 6.6</t>
  </si>
  <si>
    <t>Good Dispensing Practices</t>
  </si>
  <si>
    <t xml:space="preserve">6.6.1	Drugs to clients are uniquely dispensed through prescriptions. Prescriptions are stored and accessible			</t>
  </si>
  <si>
    <t xml:space="preserve">6.6.2	Drugs and medical consumables prescribed, are all in generic form			</t>
  </si>
  <si>
    <t>QQM Structural Quality - Domain 7: Tracer drugs</t>
  </si>
  <si>
    <t>SQ 7.1</t>
  </si>
  <si>
    <t>Availability of tracer drugs (MAC*2)</t>
  </si>
  <si>
    <t>A minimum stock vailability of tracer drugs (MAC*2)</t>
  </si>
  <si>
    <t>SQ 7.2</t>
  </si>
  <si>
    <t>MAC calculation score</t>
  </si>
  <si>
    <t>Percentage of MAC correctly calculated (out of 5 recalculations)</t>
  </si>
  <si>
    <t>QQM Structural Quality - Domain 8: Maternity</t>
  </si>
  <si>
    <t>SQ 8.1</t>
  </si>
  <si>
    <t>Sufficient water with antiseptic soap and liquid antiseptic in delivery room</t>
  </si>
  <si>
    <t>A functioning water source, capable of providing a minimum of 20 liters, along with soap AND hand cleanser available in the delivery room.</t>
  </si>
  <si>
    <t>SQ 8.2</t>
  </si>
  <si>
    <t>Light and heating in delivery room 24 hours</t>
  </si>
  <si>
    <t>The delivery room is equipped with a continuous and reliable light and heating system that operates 24 hours a day. The available options for lighting include electricity, solar-powered lights, rechargeable battery lamps, or kerosene lamp filled with kerosene. 
In situations where electricity is available, a functional electric heater is available, and/or a heating stove with an adequate exhaust system is available in the delivery room.</t>
  </si>
  <si>
    <t>SQ 8.3</t>
  </si>
  <si>
    <t>Waste from Maternity correctly handled</t>
  </si>
  <si>
    <t xml:space="preserve">A designated bin with a secure lid and lining, along with a safe needle disposal container, is available exclusively for use within the maternity room. There is a separate client washroom annexed to the delivery room, and all areas are clean and free from blood/body fluids AND there is running water OR a container min 20L filled with water with a laddle.		</t>
  </si>
  <si>
    <t>SQ 8.4</t>
  </si>
  <si>
    <t>Delivery room is well-maintained</t>
  </si>
  <si>
    <t xml:space="preserve">8.4.1	Walls with durable materials and painted			</t>
  </si>
  <si>
    <t xml:space="preserve">8.4.2	Curtain between delivery bed (s) and door			</t>
  </si>
  <si>
    <t xml:space="preserve">8.4.3	Labour/birth area has a separate space for admission, triage and initial assessment of all women attending. This space contains (i) a bed with a plastified matrass (washable material) and a clean bed cover; (ii) a pillow with a clean cover; (iii) a curtain between the bed and the door; (iv) a functioning electric heater and or a stove with a functioning exhaust, (v) chair for a birth companion			</t>
  </si>
  <si>
    <t xml:space="preserve">8.4.4	Delivery room smells of desinfectant AND OR should have proof of use of bleach as a disinfectant for cleaning (eg jik, hypo, etc)			</t>
  </si>
  <si>
    <t xml:space="preserve">8.4.5	Floor should be levelled with cement, without fissures and ceiling not damaged			</t>
  </si>
  <si>
    <t xml:space="preserve">8.4.6	Windows with curtains/screens and functional door			</t>
  </si>
  <si>
    <t>SQ 8.5</t>
  </si>
  <si>
    <t>Availability and use of the partograph</t>
  </si>
  <si>
    <t>SQ 8.6</t>
  </si>
  <si>
    <t>Deliveries performed by skilled personnel</t>
  </si>
  <si>
    <t xml:space="preserve">8.6.1	Identification of the skilled provider from names in the register			</t>
  </si>
  <si>
    <t xml:space="preserve">8.6.2	Client records correctly completed in the delivery book and contain record of labour and birth last entries verified			</t>
  </si>
  <si>
    <t>SQ 8.7</t>
  </si>
  <si>
    <t>Availability of scales for weight/length, and obstrectical stethoscope</t>
  </si>
  <si>
    <t xml:space="preserve">8.7.1	Tape to measure length			</t>
  </si>
  <si>
    <t xml:space="preserve">8.7.2	Scale to measure weight (check functionality)			</t>
  </si>
  <si>
    <t xml:space="preserve">8.7.3 Availability of (i) functional BP machine; (ii) functional stethoscope and (iii) functional thermometer			</t>
  </si>
  <si>
    <t xml:space="preserve">8.7.4	Availability of at the least 10 pairs of sterile gloves and PPE		</t>
  </si>
  <si>
    <t xml:space="preserve">8.7.5	Availability of at the least 2 sterilized obstetrical boxes (delivery kit)		</t>
  </si>
  <si>
    <t xml:space="preserve">8.7.6	Contains at the least 1 pair of scissors, 2 pairs of forceps, one cord clamp or tie, and one needle holder		</t>
  </si>
  <si>
    <t xml:space="preserve">8.7.7	For each box available (next to the box) one syringe &amp; needle with 10 iu Oxytocin or misoprostol tablets 600mcg			</t>
  </si>
  <si>
    <t>SQ 8.8</t>
  </si>
  <si>
    <t>Availability of at least one episiotomy/perineal repair box</t>
  </si>
  <si>
    <t>Availability of a minimum of one episiotomy/perineal repair box comprising of a needle holder, scissors, dissecting forceps, needles, an anatomical plier, and a surgical plier. Additionally, the box is equipped with absorbable sutures, such as Catgut and Vicryl and is stocked with  antiseptic agents, local anesthetics, and sterile swaps.</t>
  </si>
  <si>
    <t>SQ 8.9</t>
  </si>
  <si>
    <t>Delivery table in good state</t>
  </si>
  <si>
    <t xml:space="preserve">The delivery table is found to be in good condition, meeting all necessary standards for safe and efficient use. It is designed in two parts, featuring a removable non-torn plasticized mattress, and includes two functional leg supports. Also, the delivery bed mattress is clean and has no signs of blood or stains. </t>
  </si>
  <si>
    <t>SQ 8.10</t>
  </si>
  <si>
    <t>Available equipment for care of the newborn</t>
  </si>
  <si>
    <t>i)Equipment for the care of the newborn is readily accessible. This includes, a sterile tying string or clip designed for the umbilical cord, the availability of non-expired 1% tetracycline eye ointment;and,
ii) There is a designated area for newborn resuscitation/care in the delivery room. This area contains: (i) table with washable mattress with (ii) heat source for warming; (iii) neonatal ambu bag (clean) with masks sizes 0 and 1 (clean); (iv) two clean towels; (v) simple disposable and or mechanical suction devise. ALL five criteria need to be there to get the score.
iii) The delivery room is equipped with a functioning scale for weighing the baby.
iv) The delivery room is equipped with at least two non-expired vials of Vitamin K.</t>
  </si>
  <si>
    <t>SQ 8.11</t>
  </si>
  <si>
    <t>Adequate in-patient rooms</t>
  </si>
  <si>
    <t>Sufficient in-patient accommodations are available with each bed equipped with a mattress covered in impermeable plastic. Additionally, clean sheets and blankets are provided for every occupied bed, ensuring one mother and one child per bed.</t>
  </si>
  <si>
    <t>QQM Structural Quality - Domain 9: EPI</t>
  </si>
  <si>
    <t>SQ 9.1</t>
  </si>
  <si>
    <t>Personnel calculates correctly target for fully vaccinated children</t>
  </si>
  <si>
    <t>Map is available for the EPI (Expanded Program on Immunization), categorizing villages into fixed, outreach, and mobile groups. The map includes vital information such as village names, population, types of activities, number of eligible individuals, and distances of villages from the CHC/BHC. The vaccinators can state the target groups of the EPI program for fixed, outreach and mobile for different vaccines. [ two vaccines randomly selected]</t>
  </si>
  <si>
    <t>SQ 9.2</t>
  </si>
  <si>
    <t>EPI fridge</t>
  </si>
  <si>
    <t>i) The facility has a functioning fridge with a temperature log available. The fridge is filled twice daily
ii) The temperature consistently remains between 2 and 8 degrees Celsius, as recorded in the register sheet and confirmed by the tested and functional thermometer. 
iii) The EPI fridge contains only vaccine-related items, with no presence of non-vaccine materials. 
iv) The "SHAKE" test indicates that vaccines like DPT or TT have not been subjected to freezing in the fridge.</t>
  </si>
  <si>
    <t>SQ 9.3</t>
  </si>
  <si>
    <t>Chemical temperature present</t>
  </si>
  <si>
    <t>Vaccines are appropriately stored with a freezing compartment for measles vaccines and a non-freezing compartment for other vaccines and thinners. Expired vaccines are removed from the storage inventory, and the stored vaccines have clearly labelled vials and clinical temperature indicators. Additionally, an open vial policy is maintained by recording the date of opening each vial and ensuring that needles are not left in the vial after use.</t>
  </si>
  <si>
    <t>SQ 9.4</t>
  </si>
  <si>
    <t>Appropriate storage of vaccines</t>
  </si>
  <si>
    <t>Adequate vaccine inventory available including a variety of essential vaccines such as BCG, OPV, Penta, Measles, Rota, PCV, MCV, IPV, HiB, Td, and Vitamin A. The facility also maintains stock control cards for all vaccines, and regular verification is conducted to match concordance between records and physical stock.</t>
  </si>
  <si>
    <t>SQ 9.5</t>
  </si>
  <si>
    <t>Appropriate stock of vaccines</t>
  </si>
  <si>
    <t xml:space="preserve">Ongoing cold chain maintenance conducted. 
i) IF kerosene fridge: stock of at the least 14L Kerosene; 
ii) IF solar fridge: battery not damaged; 
iii) IF gas fridge: two gas cylinders present, one connected to the fridge, the other full of gas available at the facility. </t>
  </si>
  <si>
    <t>SQ 9.6</t>
  </si>
  <si>
    <t>Cold Chain maintenance</t>
  </si>
  <si>
    <t xml:space="preserve">The facility is well-equipped with at least 5 cold packs, 2 large, clean and functional cold boxes and at least 5 small, clean and functional cold boxes. </t>
  </si>
  <si>
    <t>SQ 9.7</t>
  </si>
  <si>
    <t>Cold Boxes and Cold packs</t>
  </si>
  <si>
    <t>Syringes with a minimum of 30 auto-blocking units, and for dilution purposes, a minimum of 3 units are available.</t>
  </si>
  <si>
    <t>SQ 9.8</t>
  </si>
  <si>
    <t>Syringes available</t>
  </si>
  <si>
    <t>Waste collection availability of safe disposal box</t>
  </si>
  <si>
    <t>SQ 9.9</t>
  </si>
  <si>
    <t>At least 10 U5 growth cards available</t>
  </si>
  <si>
    <t>SQ 9.10</t>
  </si>
  <si>
    <t xml:space="preserve">Stock of U5 growth cards available </t>
  </si>
  <si>
    <t>The child immunization register is well maintained and the monthly monitoring chart is consistently updated. The system is able to detect children who have dropped out of the vaccination schedule and those who have received their complete vaccinations.</t>
  </si>
  <si>
    <t>SQ 9.11</t>
  </si>
  <si>
    <t>Child immunization register well maintained &amp; Montly monitoring chart well filled and updated</t>
  </si>
  <si>
    <t>Improved conditions in the waiting area for immunization services include an ample number of benches and chairs that are well-sheltered, offering protection from both the sun and rain.</t>
  </si>
  <si>
    <t>SQ 9.12</t>
  </si>
  <si>
    <t>Adequate conditions in immunization waiting area</t>
  </si>
  <si>
    <t>Patients receive numbered waiting tokens according to their arrival</t>
  </si>
  <si>
    <t>SQ 9.13</t>
  </si>
  <si>
    <t>The baby weighing scale is readily accessible and functional. The balance has been appropriately calibrated to zero, and clean, well-maintained pants are provided. Additionally, the facility offers both MUAC (Mid-Upper Arm Circumference) measurement and height measurement services.</t>
  </si>
  <si>
    <t>SQ 9.14</t>
  </si>
  <si>
    <t>Baby weighing scale available and in working condition</t>
  </si>
  <si>
    <t>EPI and Vitamin A IEC/SBCC materials in the local language, along with pictures are prominently displayed.</t>
  </si>
  <si>
    <t>SQ 9.15</t>
  </si>
  <si>
    <t>EPI and Vit A IEC/SBCC materials</t>
  </si>
  <si>
    <t>The scheduling and recording of appointments are efficiently organized, with individual charts being well-maintained for easy access and reference to ensure that individuals who have left the system can be reintegrated and supported.</t>
  </si>
  <si>
    <t>QQM Structural Quality - Domain 10: Antenatal care</t>
  </si>
  <si>
    <t>SQ 10.1</t>
  </si>
  <si>
    <t>Presence of a plan which contains convincing strategies to effectively conduct ANC for all pregnant women in catchment area</t>
  </si>
  <si>
    <t>Facility has a fixed strategy and (outreach) strategy to conduct ANC for distant villages in a catchment area that covers BHC/ CHC catchment population.</t>
  </si>
  <si>
    <t>SQ 10.2</t>
  </si>
  <si>
    <t>Essential equipment present</t>
  </si>
  <si>
    <t>At a minimum, the following essential equipment must be available and in proper working condition: (i) a calibrated weighing scale that starts at zero, (ii) a functional blood pressure machine, (iii) a stethoscope, (iv) a fetoscope, (v) a tape measure, and (vi) a pregnancy wheel/calendar. The six items are indispensable for obtaining the required score.</t>
  </si>
  <si>
    <t>SQ 10.3</t>
  </si>
  <si>
    <t>ANC form available and well filled in: last five forms verified</t>
  </si>
  <si>
    <t>The ANC forms are readily available and meticulously completed, with the last five forms thoroughly verified. The verifications to include,
i) All: Examinations: (i) weight; (ii)  BP (iii) Parity; (iv) LMP; (v) EDD; (vi) gestational age; (vii) Danger signs			
ii) All: Laboratory: albuminuria, glucosuria, HB, Syphilis			
iii) All: Abdominal examination done: Fetal heart rate, Fundal height, presentation, Fetal movement recorded</t>
  </si>
  <si>
    <t>SQ 10.4</t>
  </si>
  <si>
    <t xml:space="preserve">ANC form shows the administration of Ferrous Sulphate/Folic Acid (for at least 30 days) and Mebendazole (once in second trimester) (for the last five forms above). </t>
  </si>
  <si>
    <t>SQ 10.5</t>
  </si>
  <si>
    <t>MCH-HB cards available, at least thirty</t>
  </si>
  <si>
    <t>At least 30 MCH-HB cards available</t>
  </si>
  <si>
    <t>SQ 10.6</t>
  </si>
  <si>
    <t>ANC register available and well filled</t>
  </si>
  <si>
    <t>The ANC register is readily accessible and thoroughly filled. It contains essential information such as the individual's complete identity, vaccination status, date of visit, and any additional care requirements noted, such as danger signs or multiple pregnancies. All columns have been accurately filled out, and any identified issues are appropriately documented along with the corresponding actions taken, including necessary referrals.</t>
  </si>
  <si>
    <t>SQ 10.7</t>
  </si>
  <si>
    <t>ANC conducted by qualified personnel</t>
  </si>
  <si>
    <t>Details of qualified Medical Doctors (MDs), Skilled Birth Attendants (SBAs), and midwives, available on ANC cards.</t>
  </si>
  <si>
    <t>SQ 10.8</t>
  </si>
  <si>
    <t>Individual IEC/BCC</t>
  </si>
  <si>
    <t>i) Every pregnant woman (PW) is provided with an MCH (Maternal and Child Health) handbook, which serves as a valuable resource for recording important details and receiving counseling on  key topics such as recognizing mother and baby danger signs, proper breastfeeding techniques, nutrition guidance, postpartum family planning (PPFP), and other essential information throughout the entire pregnancy, childbirth, postnatal care, and the child's initial two years. 
ii) Each pregnant woman is well-informed about her planned birthing location and equipped with knowledge on how to respond in case complications arise during the pregnancy or childbirth.</t>
  </si>
  <si>
    <t>QQM Outcome Quality - Domain 1: Children under the age of 5</t>
  </si>
  <si>
    <t>OQ 1.1</t>
  </si>
  <si>
    <t>Outcome quality - children under the age of 5</t>
  </si>
  <si>
    <t xml:space="preserve">Exit interview with caregiver of a sick child under 5 	</t>
  </si>
  <si>
    <t>SHC, BHC, CHC, DH, PH, RH</t>
  </si>
  <si>
    <t>QQM Outcome Quality - Domain 2: Family planning</t>
  </si>
  <si>
    <t>OQ 2.1</t>
  </si>
  <si>
    <t>Outcome quality - family planning</t>
  </si>
  <si>
    <t>Exit interview with family planning</t>
  </si>
  <si>
    <t>OQ 2.3</t>
  </si>
  <si>
    <t>Client satisfaction - family planning</t>
  </si>
  <si>
    <t>Satisfaction with family planning services</t>
  </si>
  <si>
    <t>QQM Content Quality - Domain 1: Respiratory Infection/ Pneumonia</t>
  </si>
  <si>
    <t>CQ 1.1</t>
  </si>
  <si>
    <t>H: History section</t>
  </si>
  <si>
    <t>CQ 1.2</t>
  </si>
  <si>
    <t xml:space="preserve">P: Physical [P] and Laboratory [L] Section - EXAMINATION OF PATIENT									</t>
  </si>
  <si>
    <t>CQ 1.3</t>
  </si>
  <si>
    <t>D: Diagnosis</t>
  </si>
  <si>
    <t>CQ 1.4</t>
  </si>
  <si>
    <t>T: Treatment</t>
  </si>
  <si>
    <t>CQ 1.5</t>
  </si>
  <si>
    <t>E: Explanation and advise to the patient/care taker or companiion, Action, Counselling, Follow up advice for the client</t>
  </si>
  <si>
    <t>QQM Content Quality - Domain 2: Diarrhea with Cat B dehydration</t>
  </si>
  <si>
    <t>CQ 2.1</t>
  </si>
  <si>
    <t>CQ 2.2</t>
  </si>
  <si>
    <t>CQ 2.3</t>
  </si>
  <si>
    <t>CQ 2.4</t>
  </si>
  <si>
    <t>CQ 2.5</t>
  </si>
  <si>
    <t>QQM Content Quality - Domain 3: Growth monitoring and promotion</t>
  </si>
  <si>
    <t>CQ 3.1</t>
  </si>
  <si>
    <t>CQ 3.2</t>
  </si>
  <si>
    <t xml:space="preserve">P: Physical Examination of the Child [P]							</t>
  </si>
  <si>
    <t>CQ 3.3</t>
  </si>
  <si>
    <t xml:space="preserve">D: Classification/Interpretation  [D]	</t>
  </si>
  <si>
    <t>CQ 3.4</t>
  </si>
  <si>
    <t xml:space="preserve">E: Action (Treatment, Counselling and explanation given to caretaker) [E]										</t>
  </si>
  <si>
    <t>QQM Content Quality - Domain 4: Management of presumptive tuberculosis</t>
  </si>
  <si>
    <t>CQ 4.1</t>
  </si>
  <si>
    <t>CQ 4.2</t>
  </si>
  <si>
    <t xml:space="preserve">P: Physical [P] and Laboratory [L] Section - EXAMINATION OF PATIENT								</t>
  </si>
  <si>
    <t>CQ 4.3</t>
  </si>
  <si>
    <t xml:space="preserve">D: Diagnosis [D]								</t>
  </si>
  <si>
    <t>CQ 4.4</t>
  </si>
  <si>
    <t xml:space="preserve">E: Treatment and Explanation to the patient [E]			</t>
  </si>
  <si>
    <t>QQM Content Quality - Domain 5: Labor</t>
  </si>
  <si>
    <t>CQ 5.1</t>
  </si>
  <si>
    <t>CQ 5.2</t>
  </si>
  <si>
    <t>P: Physical [P] and Laboratory [L] Section</t>
  </si>
  <si>
    <t>CQ 5.3</t>
  </si>
  <si>
    <t>CQ 5.4</t>
  </si>
  <si>
    <t>CQ 5.5</t>
  </si>
  <si>
    <t>E: Explanation to the client/companion [E]</t>
  </si>
  <si>
    <t>QQM Content Quality - Domain 6: Postnatal care pre-discharge</t>
  </si>
  <si>
    <t>CQ 6.1</t>
  </si>
  <si>
    <t>CQ 6.2</t>
  </si>
  <si>
    <t>CQ 6.3</t>
  </si>
  <si>
    <t>CQ 6.4</t>
  </si>
  <si>
    <t>CQ 6.5</t>
  </si>
  <si>
    <t>QQM Content Quality - Domain 7: First antenatal care visit</t>
  </si>
  <si>
    <t>CQ 7.1</t>
  </si>
  <si>
    <t>CQ 7.2</t>
  </si>
  <si>
    <t>P: Physical Examination and Laboratory  Section [P]</t>
  </si>
  <si>
    <t>CQ 7.3</t>
  </si>
  <si>
    <t>CQ 7.4</t>
  </si>
  <si>
    <t>QQM Content Quality - Domain 8: FP counselling</t>
  </si>
  <si>
    <t>CQ 8.1</t>
  </si>
  <si>
    <t>CQ 8.2</t>
  </si>
  <si>
    <t xml:space="preserve">P: Physical [P] and Laboratory [L] Section - EXAMINATION OF YOUR CLIENT							</t>
  </si>
  <si>
    <t>CQ 8.3</t>
  </si>
  <si>
    <t>D: Choice of FP method [D]</t>
  </si>
  <si>
    <t>CQ 8.4</t>
  </si>
  <si>
    <t>E: Follow up advice for the client  [E]</t>
  </si>
  <si>
    <t>QQM Content Quality - Domain 9: Birth spacing; changing FP method to injectable</t>
  </si>
  <si>
    <t>CQ 9.1</t>
  </si>
  <si>
    <t>CQ 9.2</t>
  </si>
  <si>
    <t>CQ 9.3</t>
  </si>
  <si>
    <t>CQ 9.4</t>
  </si>
  <si>
    <t>QQM Content Quality - Domain 10: Post partum haemorrhage - atonic uterus</t>
  </si>
  <si>
    <t>CQ 10.1</t>
  </si>
  <si>
    <t>CQ 10.2</t>
  </si>
  <si>
    <t>CQ 10.3</t>
  </si>
  <si>
    <t>CQ 10.4</t>
  </si>
  <si>
    <t>CQ 10.5</t>
  </si>
  <si>
    <t>Health workforce assessment - Domain 1: Salary payment</t>
  </si>
  <si>
    <t>HW 1.1</t>
  </si>
  <si>
    <t>Staff salary payment</t>
  </si>
  <si>
    <t>Percentage of staff with salary payment received for [month]</t>
  </si>
  <si>
    <t>HW 1.2</t>
  </si>
  <si>
    <t>Staff salary paid timely</t>
  </si>
  <si>
    <t>Percentage of staff with salary paid timely (within 10 days) for [month]</t>
  </si>
  <si>
    <t>HW 1.3</t>
  </si>
  <si>
    <t>Methods of payment</t>
  </si>
  <si>
    <t>Percentage of health workers who were paid in cash (as opposed to bank account)</t>
  </si>
  <si>
    <t>HW 1.4</t>
  </si>
  <si>
    <t>Confirmation of bank transfer</t>
  </si>
  <si>
    <t>Stamped payroll &amp; confirmation of bank transfers in [month] from SP office</t>
  </si>
  <si>
    <t>Yes/No</t>
  </si>
  <si>
    <t>Province level</t>
  </si>
  <si>
    <t>Health workforce assessment - Domain 2: Health worker availability</t>
  </si>
  <si>
    <t>HW 2.1.1</t>
  </si>
  <si>
    <t xml:space="preserve">Retrospective availability of MSS staff </t>
  </si>
  <si>
    <t>Percentage of staff available on day of survey (60% weight)</t>
  </si>
  <si>
    <t>HW 2.1.2</t>
  </si>
  <si>
    <t xml:space="preserve">Current availability of MSS staff </t>
  </si>
  <si>
    <t>Percentage of working days staff was available restrospectively [ verification period - 3 past months] (40% weight)</t>
  </si>
  <si>
    <t>HW 2.1.3</t>
  </si>
  <si>
    <t xml:space="preserve">Availability of MSS staff </t>
  </si>
  <si>
    <t>Staff availability score (retrospective + current availability)</t>
  </si>
  <si>
    <t>HW 2.1.4</t>
  </si>
  <si>
    <t xml:space="preserve">Facilities achieved MSS for staffing </t>
  </si>
  <si>
    <t>MSS: Percentage of facilities with SOP staff availability score (present during visit+ past months)  of 100%(BPHS) or 95% (EPHS)</t>
  </si>
  <si>
    <t>HW 2.2.1</t>
  </si>
  <si>
    <t xml:space="preserve">Retrospective availability of keystaff </t>
  </si>
  <si>
    <t>Percentage of working days key staff was available in the province retrospectively in [verification period]</t>
  </si>
  <si>
    <t>HW 2.2.2</t>
  </si>
  <si>
    <t xml:space="preserve">Availability of key staff </t>
  </si>
  <si>
    <t>Percentage of key staff with a minimum retrospective availability of 70% of working days in [verification period]</t>
  </si>
  <si>
    <t>HW 2.2.3</t>
  </si>
  <si>
    <t xml:space="preserve">Province achieved MSS for key staff </t>
  </si>
  <si>
    <t>All key staff were available in the province for at least 70% of the time.</t>
  </si>
  <si>
    <t>HW 2.3.1</t>
  </si>
  <si>
    <t xml:space="preserve">Percentage of health workers female </t>
  </si>
  <si>
    <t>Percentage of health workers who are female</t>
  </si>
  <si>
    <t>HW 2.3.2</t>
  </si>
  <si>
    <t xml:space="preserve">Facilities with at least on female health worker on day of the survey </t>
  </si>
  <si>
    <t>Health facilities with at least one female healthcare worker on day of the survey</t>
  </si>
  <si>
    <t>HW 2.4</t>
  </si>
  <si>
    <t xml:space="preserve">Facilities with at least one female CHW per HP </t>
  </si>
  <si>
    <t>Health facilities with at least on female community health worker per health post</t>
  </si>
  <si>
    <t>Health workforce assessment - Domain 3: GBV training</t>
  </si>
  <si>
    <t>HW 3.1</t>
  </si>
  <si>
    <t>Percentage of health workers who received training on GBV more than 3 months ago</t>
  </si>
  <si>
    <t>Percentage of health workers who reported being trained on GBV in the past 3 months out of total health workers interviewed</t>
  </si>
  <si>
    <t>DH, PH, RH</t>
  </si>
  <si>
    <t>HW 3.2</t>
  </si>
  <si>
    <t xml:space="preserve">Percentage of health workers who received training on GBV in the past 3 months </t>
  </si>
  <si>
    <t>Percentage of health workers who reported being trained on GBV more than 3 months ago out of total health workers interviewed</t>
  </si>
  <si>
    <t>HW 3.3</t>
  </si>
  <si>
    <t>Percentage of health workers being trained on GBV in the past 3 months according to HF manager</t>
  </si>
  <si>
    <t>HW 3.4</t>
  </si>
  <si>
    <t>Percentage of health workers being trained on GBV more than 3 months ago according to HF manager</t>
  </si>
  <si>
    <t>Health workforce assessment - Domain 4: Health worker satisfaction</t>
  </si>
  <si>
    <t>HW 4.1</t>
  </si>
  <si>
    <t>I am often asked to do things that are not my duties</t>
  </si>
  <si>
    <t>Average level of agreement with I am often asked to do things that are not my duties</t>
  </si>
  <si>
    <t>1 (strongly disagree - 4 strongly agree)</t>
  </si>
  <si>
    <t>HW 4.2</t>
  </si>
  <si>
    <t>I can get help from my supervisor when I need it</t>
  </si>
  <si>
    <t>Average level of agreement with I can get help from my supervisor when I need it</t>
  </si>
  <si>
    <t>HW 4.3</t>
  </si>
  <si>
    <t>I have all the necessary equipment and tools to do my job well</t>
  </si>
  <si>
    <t>Average level of agreement with I have all the necessary equipment and tools to do my job well</t>
  </si>
  <si>
    <t>HW 4.4</t>
  </si>
  <si>
    <t>This facility provides adequate medicine to provide good quality of care</t>
  </si>
  <si>
    <t>Average level of agreement with This facility provides adequate medicine to provide good quality of care</t>
  </si>
  <si>
    <t>HW 4.5</t>
  </si>
  <si>
    <t>Physical condition of the building I work in is adequate</t>
  </si>
  <si>
    <t>Average level of agreement with Physical condition of the building I work in is adequate</t>
  </si>
  <si>
    <t>HW 4.6</t>
  </si>
  <si>
    <t>The rules for salary payments are fair</t>
  </si>
  <si>
    <t>Average level of agreement with The rules for salary payments are fair</t>
  </si>
  <si>
    <t>HW 4.7</t>
  </si>
  <si>
    <t>Overall, I am satisfied with this job</t>
  </si>
  <si>
    <t>Average level of agreement with Overall, I am satisfied with this job</t>
  </si>
  <si>
    <t>Functionality verification - Domain 1: Drugs and consumables</t>
  </si>
  <si>
    <t>FV 1.1.1</t>
  </si>
  <si>
    <t>Drug score available during verification visit</t>
  </si>
  <si>
    <t>Percentage of drugs available on the day of the survey (at least 5 courses on the day of visit)</t>
  </si>
  <si>
    <t>SHC, PH, RH</t>
  </si>
  <si>
    <t>FV 1.1.2</t>
  </si>
  <si>
    <t>Dug score availability past 3 months</t>
  </si>
  <si>
    <t>Percentage of calendar days drug was available in verification period</t>
  </si>
  <si>
    <t>FV 1.1.3</t>
  </si>
  <si>
    <t>Drug availability score (during visit and past 3 months)</t>
  </si>
  <si>
    <t>Current availability + retrospective availability of drugs</t>
  </si>
  <si>
    <t>FV 1.1.4</t>
  </si>
  <si>
    <t>MSS: Facilities with a drug availability score &gt;90%</t>
  </si>
  <si>
    <t>MSS: Percentage of facilities with drug availability score &gt;90%</t>
  </si>
  <si>
    <t>FV 1.2.1</t>
  </si>
  <si>
    <t>Consumables score available during verification visit</t>
  </si>
  <si>
    <t>Percentage of consumables available on the day of the survey</t>
  </si>
  <si>
    <t>FV 1.2.2</t>
  </si>
  <si>
    <t>Consumables score availability past 3 months</t>
  </si>
  <si>
    <t>Percentage of calendar days consumables was available in verification period</t>
  </si>
  <si>
    <t>FV 1.2.3</t>
  </si>
  <si>
    <t>Consumables availability score (during visit and past 3 months)</t>
  </si>
  <si>
    <t>Current availability + retrospective availability of consumables</t>
  </si>
  <si>
    <t>Functionality verification - Domain 2: Drugs storage conditions</t>
  </si>
  <si>
    <t>FV 2.1</t>
  </si>
  <si>
    <t>There is a method in place to control temperature?</t>
  </si>
  <si>
    <t>Percentage of health facilities with a method in place to control temperature</t>
  </si>
  <si>
    <t>FV 2.2</t>
  </si>
  <si>
    <t>There are windows that can be opened or there are air vents?</t>
  </si>
  <si>
    <t>Percentage of health facilities with windows that can be opening or air vents</t>
  </si>
  <si>
    <t>FV 2.3</t>
  </si>
  <si>
    <t>Direct sunlight cannot enter the area ?</t>
  </si>
  <si>
    <t>Percentage of health facilities where sunlight cannot enter drug storage</t>
  </si>
  <si>
    <t>FV 2.4</t>
  </si>
  <si>
    <t>Area is free from moisture?</t>
  </si>
  <si>
    <t>Percentage of health facilities where drug storage is free from moisture</t>
  </si>
  <si>
    <t>FV 2.5</t>
  </si>
  <si>
    <t>There is a cold storage in the facility?</t>
  </si>
  <si>
    <t>Percentage of health facilities with cold storage</t>
  </si>
  <si>
    <t>FV 2.6</t>
  </si>
  <si>
    <t>There is a regularly filled temperature chart for the cold storage?</t>
  </si>
  <si>
    <t>Percentage of health facilities with regularly filled temperature chart for cold storage</t>
  </si>
  <si>
    <t>FV 2.7</t>
  </si>
  <si>
    <t>Medicines are not stored directly on the floor?</t>
  </si>
  <si>
    <t>Percentage of health facilities with medicines stored of the floor</t>
  </si>
  <si>
    <t>FV 2.8</t>
  </si>
  <si>
    <t>Medicines are stored in a systematic way?</t>
  </si>
  <si>
    <t>Percentage of health facilities with medicines stored in a systematic way</t>
  </si>
  <si>
    <t>FV 2.9</t>
  </si>
  <si>
    <t>Medicines are stored First-Expired-First Out ?</t>
  </si>
  <si>
    <t>Percentage of health facilities with medicines stored FIFO</t>
  </si>
  <si>
    <t>FV 2.10</t>
  </si>
  <si>
    <t>There is no evidence of pests in the area?</t>
  </si>
  <si>
    <t>Percentage of health facilities with no evidence of pest in drug storage</t>
  </si>
  <si>
    <t>FV 2.11</t>
  </si>
  <si>
    <t>Is there a chart for the Room Temperature control?</t>
  </si>
  <si>
    <t>Percentage of health facilities with chart for room temperature control</t>
  </si>
  <si>
    <t>FV 2.12</t>
  </si>
  <si>
    <t>% of storage conditions adhered to</t>
  </si>
  <si>
    <t>Percentage of drugs storage conditions adhered to</t>
  </si>
  <si>
    <t>Functionality verification - Domain 3: Equipment availability</t>
  </si>
  <si>
    <t>FV 3.1</t>
  </si>
  <si>
    <t xml:space="preserve">Laboratory Tests </t>
  </si>
  <si>
    <t>Percentage of laboratory tests available on the day of the survey</t>
  </si>
  <si>
    <t>PH, RH</t>
  </si>
  <si>
    <t>FV 3.2</t>
  </si>
  <si>
    <t xml:space="preserve">Equipment Emergency Dept. </t>
  </si>
  <si>
    <t>Percentage of equipment emergency dept available on the day of the survey</t>
  </si>
  <si>
    <t>FV 3.3</t>
  </si>
  <si>
    <t xml:space="preserve">Equipment Pediatrics </t>
  </si>
  <si>
    <t>Percentage of equipment pediatrics available on the day of the survey</t>
  </si>
  <si>
    <t>FV 3.4</t>
  </si>
  <si>
    <t xml:space="preserve">Equipment Internal </t>
  </si>
  <si>
    <t>Percentage of equipment internal available on the day of the survey</t>
  </si>
  <si>
    <t>FV 3.5</t>
  </si>
  <si>
    <t xml:space="preserve">Equipment Surgery </t>
  </si>
  <si>
    <t>Percentage of equipment surgery available on the day of the survey</t>
  </si>
  <si>
    <t>FV 3.6</t>
  </si>
  <si>
    <t xml:space="preserve">Equipment Delivery </t>
  </si>
  <si>
    <t>Percentage of equipment delivery available on the day of the survey</t>
  </si>
  <si>
    <t>FV 3.7</t>
  </si>
  <si>
    <t xml:space="preserve">Equipment Theatre and Anesthesia </t>
  </si>
  <si>
    <t>Percentage of equipment theatre and anesthesia available on the day of the survey</t>
  </si>
  <si>
    <t>FV 3.8</t>
  </si>
  <si>
    <t>Equipment OPD</t>
  </si>
  <si>
    <t>Percentage of equipment opd available on the day of the survey</t>
  </si>
  <si>
    <t>FV 3.9</t>
  </si>
  <si>
    <t xml:space="preserve">Equipment availablity score </t>
  </si>
  <si>
    <t>Percentage of equipment available on the day of the survey</t>
  </si>
  <si>
    <t>FV 3.10</t>
  </si>
  <si>
    <t xml:space="preserve">MSS: Facilities with an equipment availability score &gt;95% </t>
  </si>
  <si>
    <t>Percentage of facilities with an MSS equipment score &gt;95%</t>
  </si>
  <si>
    <t>Functionality verification - Domain 4: Other than P4P</t>
  </si>
  <si>
    <t>FV 4.1</t>
  </si>
  <si>
    <t xml:space="preserve">Emergency department </t>
  </si>
  <si>
    <t>Percentage of facilities with emergency department services</t>
  </si>
  <si>
    <t>FV 4.2</t>
  </si>
  <si>
    <t xml:space="preserve">Recovery Room service </t>
  </si>
  <si>
    <t>Percentage of facilities with recovery room service services</t>
  </si>
  <si>
    <t>FV 4.3</t>
  </si>
  <si>
    <t xml:space="preserve">Sterilization service </t>
  </si>
  <si>
    <t>Percentage of facilities with sterilization service services</t>
  </si>
  <si>
    <t>FV 4.4</t>
  </si>
  <si>
    <t xml:space="preserve">OPD ENT </t>
  </si>
  <si>
    <t>Percentage of facilities with opd ent services</t>
  </si>
  <si>
    <t>FV 4.5</t>
  </si>
  <si>
    <t xml:space="preserve">OPD mental health </t>
  </si>
  <si>
    <t>Percentage of facilities with opd mental health services</t>
  </si>
  <si>
    <t>FV 4.6</t>
  </si>
  <si>
    <t xml:space="preserve">OPD eye care </t>
  </si>
  <si>
    <t>Percentage of facilities with opd eye care services</t>
  </si>
  <si>
    <t>FV 4.7</t>
  </si>
  <si>
    <t xml:space="preserve">OPD dental services </t>
  </si>
  <si>
    <t>Percentage of facilities with opd dental services services</t>
  </si>
  <si>
    <t>FV 4.8</t>
  </si>
  <si>
    <t xml:space="preserve">Physiotherapy </t>
  </si>
  <si>
    <t>Percentage of facilities with physiotherapy services</t>
  </si>
  <si>
    <t>FV 4.9</t>
  </si>
  <si>
    <t xml:space="preserve">Blood transfusion </t>
  </si>
  <si>
    <t>Percentage of facilities with blood transfusion services</t>
  </si>
  <si>
    <t>FV 4.10</t>
  </si>
  <si>
    <t xml:space="preserve">X-ray and ultrasound </t>
  </si>
  <si>
    <t>Percentage of facilities with x-ray and ultrasound services</t>
  </si>
  <si>
    <t>FV 4.11</t>
  </si>
  <si>
    <t>Forensic medicine (RH)</t>
  </si>
  <si>
    <t>Percentage of facilities with forensic medicine services</t>
  </si>
  <si>
    <t>FV 4.12</t>
  </si>
  <si>
    <t>Endoscopy services (RH)</t>
  </si>
  <si>
    <t>Percentage of facilities with endoscopy services services</t>
  </si>
  <si>
    <t>FV 4.13</t>
  </si>
  <si>
    <t>Mental health patient identification and referral</t>
  </si>
  <si>
    <t>Percentage of facilities with mental health patient identification and referral services</t>
  </si>
  <si>
    <t>SHC</t>
  </si>
  <si>
    <t>FV 4.14</t>
  </si>
  <si>
    <t>Mental health awareness</t>
  </si>
  <si>
    <t>Percentage of facilities with mental health awareness services</t>
  </si>
  <si>
    <t>FV 4.15</t>
  </si>
  <si>
    <t>Disabilities information, education and communication</t>
  </si>
  <si>
    <t>Percentage of facilities with disabilities information, education and communication services</t>
  </si>
  <si>
    <t>FV 4.16</t>
  </si>
  <si>
    <t>Non-P4P availability score in %</t>
  </si>
  <si>
    <t>Other than P4P availability score</t>
  </si>
  <si>
    <t>FV 4.17</t>
  </si>
  <si>
    <t>MSS: Facility with Non-P4P availability score PHC:&gt;90%; PH/RH: 100% (%)</t>
  </si>
  <si>
    <t>MSS: percentage of facilities with other than P4P availability score &gt;90% (PHC); 100% (PH/RH)</t>
  </si>
  <si>
    <t>Functionality verification - Domain 5: Hospital governance</t>
  </si>
  <si>
    <t>Percentage of facilities with  services</t>
  </si>
  <si>
    <t>FV 5.1</t>
  </si>
  <si>
    <t># meetigs planned</t>
  </si>
  <si>
    <t>Number of meetings planned during verification period</t>
  </si>
  <si>
    <t>FV 5.2</t>
  </si>
  <si>
    <t>% planned meetings conducted</t>
  </si>
  <si>
    <t>Percentage of planned meetings conducted</t>
  </si>
  <si>
    <t>FV 5.3</t>
  </si>
  <si>
    <t>% of conducted meetings with minutes available</t>
  </si>
  <si>
    <t>Percentage of meetings with minutes available</t>
  </si>
  <si>
    <t>FV 5.4</t>
  </si>
  <si>
    <t>% community board members present in each meeting</t>
  </si>
  <si>
    <t>Percentage of meetings with community board members present</t>
  </si>
  <si>
    <t>FV 5.5</t>
  </si>
  <si>
    <t>% engagement community board members</t>
  </si>
  <si>
    <t>Percentage of meetings where community members were engaged</t>
  </si>
  <si>
    <t>FV 5.6</t>
  </si>
  <si>
    <t>Hospital Governance Score (%)</t>
  </si>
  <si>
    <t>Hospital governance score</t>
  </si>
  <si>
    <t>FV 5.7</t>
  </si>
  <si>
    <t>MSS: Governance score &gt;95% (%)</t>
  </si>
  <si>
    <t>MSS: Hospitals with a hospital governance score &gt;95%</t>
  </si>
  <si>
    <t>Province</t>
  </si>
  <si>
    <t>Service provider</t>
  </si>
  <si>
    <t>QQM - Structural indicators - HER2 R1 - January to March 2024</t>
  </si>
  <si>
    <t>QQM - Outcome quality - HER2 R1 - January to March 2024</t>
  </si>
  <si>
    <t>QQM - Content of care - HER2 R1 - January to March 2024</t>
  </si>
  <si>
    <t>QQM Score</t>
  </si>
  <si>
    <t xml:space="preserve">Domain 1: General Management </t>
  </si>
  <si>
    <t xml:space="preserve">Domain 2: Hygiene </t>
  </si>
  <si>
    <t>Domain 3: OPD / Curative Consultations</t>
  </si>
  <si>
    <t>Domain 4: Family planning</t>
  </si>
  <si>
    <t>Domain 5: Laboratory</t>
  </si>
  <si>
    <t>Domain 6: Essential Drugs Management</t>
  </si>
  <si>
    <t>Domain 7: Tracer drugs</t>
  </si>
  <si>
    <t>Domain 8: Maternity</t>
  </si>
  <si>
    <t>Domain 9: EPI</t>
  </si>
  <si>
    <t>Domain 10: Antenatal Care</t>
  </si>
  <si>
    <t>Structural indicators score</t>
  </si>
  <si>
    <t>Exit interview with caregiver of a sick child under 5</t>
  </si>
  <si>
    <t>Exit interview Family Planning</t>
  </si>
  <si>
    <t>Outcome quality score</t>
  </si>
  <si>
    <t>Badakhshan</t>
  </si>
  <si>
    <t>AKDN</t>
  </si>
  <si>
    <t>Badghis</t>
  </si>
  <si>
    <t>SAF</t>
  </si>
  <si>
    <t>Baghlan</t>
  </si>
  <si>
    <t>Balkh</t>
  </si>
  <si>
    <t>BDN</t>
  </si>
  <si>
    <t>Bamyan</t>
  </si>
  <si>
    <t>Daykundi</t>
  </si>
  <si>
    <t>MOVE</t>
  </si>
  <si>
    <t>Farah</t>
  </si>
  <si>
    <t>JACK</t>
  </si>
  <si>
    <t>Faryab</t>
  </si>
  <si>
    <t>Ghazni</t>
  </si>
  <si>
    <t>Ghor</t>
  </si>
  <si>
    <t>BARAN</t>
  </si>
  <si>
    <t>Helmand</t>
  </si>
  <si>
    <t>OHPM</t>
  </si>
  <si>
    <t>Herat</t>
  </si>
  <si>
    <t>Jawzjan</t>
  </si>
  <si>
    <t>Kabul</t>
  </si>
  <si>
    <t>Kandahar</t>
  </si>
  <si>
    <t>Kapisa</t>
  </si>
  <si>
    <t>Khost</t>
  </si>
  <si>
    <t>HNTPO</t>
  </si>
  <si>
    <t>Kunar</t>
  </si>
  <si>
    <t>Kunduz</t>
  </si>
  <si>
    <t>Laghman</t>
  </si>
  <si>
    <t>Logar</t>
  </si>
  <si>
    <t>CAF</t>
  </si>
  <si>
    <t>Nangarhar</t>
  </si>
  <si>
    <t>Nimroz</t>
  </si>
  <si>
    <t>RI-MRCA</t>
  </si>
  <si>
    <t>Nuristan</t>
  </si>
  <si>
    <t>AADA</t>
  </si>
  <si>
    <t>Paktika</t>
  </si>
  <si>
    <t>Paktya</t>
  </si>
  <si>
    <t>Panjsher</t>
  </si>
  <si>
    <t>Parwan</t>
  </si>
  <si>
    <t>Samangan</t>
  </si>
  <si>
    <t>MMRCA</t>
  </si>
  <si>
    <t>Sar-e-Pul</t>
  </si>
  <si>
    <t>Takhar</t>
  </si>
  <si>
    <t>Uruzgan</t>
  </si>
  <si>
    <t>AHDS</t>
  </si>
  <si>
    <t>Wardak</t>
  </si>
  <si>
    <t>SCA</t>
  </si>
  <si>
    <t>Zabul</t>
  </si>
  <si>
    <t>National</t>
  </si>
  <si>
    <t>P25</t>
  </si>
  <si>
    <t>p25</t>
  </si>
  <si>
    <t>P50</t>
  </si>
  <si>
    <t>p50</t>
  </si>
  <si>
    <t>Structural Quality</t>
  </si>
  <si>
    <t>Outcome Quality</t>
  </si>
  <si>
    <t>Content Quality</t>
  </si>
  <si>
    <t>HER Round 4 [95%CI]</t>
  </si>
  <si>
    <t>HER2 Round 1  [95%CI]</t>
  </si>
  <si>
    <t>HER2 Round 2  [95%CI]</t>
  </si>
  <si>
    <t>HER2 Round 3  [95%CI]</t>
  </si>
  <si>
    <t>Difference HER R4 and HER2 R1</t>
  </si>
  <si>
    <t>Difference HER2 R1 and HER2 R2</t>
  </si>
  <si>
    <t>Difference HER2 R2 and HER2 R3</t>
  </si>
  <si>
    <t>[60% - 69%]</t>
  </si>
  <si>
    <t>16%***</t>
  </si>
  <si>
    <t>No star = not significant</t>
  </si>
  <si>
    <t>* = p-value &lt;0.05</t>
  </si>
  <si>
    <t>**  = p-value &lt;0.01</t>
  </si>
  <si>
    <t>*** = p-value &lt;0.001</t>
  </si>
  <si>
    <t>HER2 R1 QQM - Structural Indicators
January to March 2024</t>
  </si>
  <si>
    <t>Sar_e_Pul</t>
  </si>
  <si>
    <t>Mean</t>
  </si>
  <si>
    <t>Median</t>
  </si>
  <si>
    <t>Min</t>
  </si>
  <si>
    <t>Max</t>
  </si>
  <si>
    <t>Sample information</t>
  </si>
  <si>
    <t>Number of BHC</t>
  </si>
  <si>
    <t>Number of CHC</t>
  </si>
  <si>
    <t>Number of DH</t>
  </si>
  <si>
    <t>Hygienic condicitions assured during wound dressing and injections</t>
  </si>
  <si>
    <t>Proportion of cosultations treated with antibiotics &lt;30%</t>
  </si>
  <si>
    <t>1 - 46</t>
  </si>
  <si>
    <t>47</t>
  </si>
  <si>
    <t>Summary Scores</t>
  </si>
  <si>
    <t>QQM - Structural Indicators - HER2 R1 - January to March 2024
Domain 1: General management (14 points)</t>
  </si>
  <si>
    <t>QQM - Structural Indicators - HER2 R1 - January to March 2024
Domain 2: Hygiene (34 points)</t>
  </si>
  <si>
    <t>QQM - Structural Indicators - HER2 R1 - January to March 2024
Domain 4: Family planning (23 points)</t>
  </si>
  <si>
    <t>QQM - Structural Indicators - HER2 R1 - January to March 2024
Domain 5: Laboratory (15 points, NA for some BHC)</t>
  </si>
  <si>
    <t>QQM - Structural Indicators - HER2 R1 - January to March 2024
Domain 6: Essential Drugs Management (52 points)</t>
  </si>
  <si>
    <t>QQM - Structural Indicators - HER2 R1 - January to March 2024
Domain 7: Availability of tracer drugs (92 points)</t>
  </si>
  <si>
    <t>QQM - Structural Indicators - HER2 R1 - January to March 2024
Domain 8: Maternity (29 points)</t>
  </si>
  <si>
    <t>QQM - Structural Indicators - HER2 R1 - January to March 2024
Domain 9: EPI (27 points)</t>
  </si>
  <si>
    <t>QQM - Structural Indicators - HER2 R1 - January to March 2024
Domain 10: Antenatal care (13 points)</t>
  </si>
  <si>
    <t>QQM - Structural Indicators - HER2 R1 - January to March 2024
Overall score (BHC: 330 points; CHC/DH: 345 points)</t>
  </si>
  <si>
    <t>Service Provider</t>
  </si>
  <si>
    <t>Facility type</t>
  </si>
  <si>
    <t>Facility ID</t>
  </si>
  <si>
    <t>Staff duty roster up-to-date and visible</t>
  </si>
  <si>
    <t>Technical meetings conducted</t>
  </si>
  <si>
    <t>Standard referral sheets available</t>
  </si>
  <si>
    <t>Domain 1 score</t>
  </si>
  <si>
    <t>Garbage bin available</t>
  </si>
  <si>
    <t>Latrines/toilets are well maintained</t>
  </si>
  <si>
    <t>Showers are well maintained</t>
  </si>
  <si>
    <t>Waste pits are well maintained</t>
  </si>
  <si>
    <t>Sterilization according to norms</t>
  </si>
  <si>
    <t>Domain 2 score</t>
  </si>
  <si>
    <t>Consultation (emergency) room has 24/7 light</t>
  </si>
  <si>
    <t>Domain 3 score</t>
  </si>
  <si>
    <t>Domain 4 score</t>
  </si>
  <si>
    <t>Domain 5 score</t>
  </si>
  <si>
    <t>Domain 6 score</t>
  </si>
  <si>
    <t>Availability of tracer drugs  (MAC*2)</t>
  </si>
  <si>
    <t>Percentage of MAC correctly calculated (out of 5)</t>
  </si>
  <si>
    <t>Domain 7 score</t>
  </si>
  <si>
    <t>Sufficient water with soap and liquid antiseptics in delivery room</t>
  </si>
  <si>
    <t>Light and heat 24 hours in delivery room</t>
  </si>
  <si>
    <t>Waste from maternity correctly handled</t>
  </si>
  <si>
    <t>Delivery room well maintained</t>
  </si>
  <si>
    <t>Domain 8 score</t>
  </si>
  <si>
    <t>Domain 9 score</t>
  </si>
  <si>
    <t>Domain 10 score</t>
  </si>
  <si>
    <t>CHC</t>
  </si>
  <si>
    <t>BHC</t>
  </si>
  <si>
    <t>DH</t>
  </si>
  <si>
    <t>QQM - Structural Indicators - HER2 R1 - January to March 2024
Availability of tracer drugs on the day of the survey (MAC*2)</t>
  </si>
  <si>
    <t>QQM - Structural Indicators - HER2 R1 - January to March 2024
Availability of tracer drugs on the day of the survey (median + interquartile range) - facilities without any availability excluded</t>
  </si>
  <si>
    <t xml:space="preserve"> Paracetamol 500 mg tab</t>
  </si>
  <si>
    <t xml:space="preserve"> Ibuprofen 200 mg caps</t>
  </si>
  <si>
    <t xml:space="preserve"> Chlorpheniramine 2 mg</t>
  </si>
  <si>
    <t xml:space="preserve"> Salbutamol (2mg/5ml) drops/syrup</t>
  </si>
  <si>
    <t xml:space="preserve"> Vitamine A, 50,000; 100,000 and 200,000 IU, capsules</t>
  </si>
  <si>
    <t xml:space="preserve"> Oxytocin 10IU/ml vial</t>
  </si>
  <si>
    <t xml:space="preserve"> Vitamine K1 10mg/ml vial</t>
  </si>
  <si>
    <t xml:space="preserve"> Mebendazole 100 mg tab</t>
  </si>
  <si>
    <t xml:space="preserve"> Ferrous Sulfate 60 mg and Folic Acid (vit B9) 0.4mg tab</t>
  </si>
  <si>
    <t xml:space="preserve"> Amoxicillin 250 mg tablet</t>
  </si>
  <si>
    <t xml:space="preserve"> Amoxicillin 125 mg/5ml syrup</t>
  </si>
  <si>
    <t xml:space="preserve"> Co-trimoxazol 480 mg tab</t>
  </si>
  <si>
    <t xml:space="preserve"> Co-trimoxazol 40mg/200mg - 5ml syrup</t>
  </si>
  <si>
    <t xml:space="preserve"> Doxycycline 100 mg caps</t>
  </si>
  <si>
    <t xml:space="preserve"> Erythromycin 250 mg tab</t>
  </si>
  <si>
    <t xml:space="preserve"> Ampicillin 1 gr vial</t>
  </si>
  <si>
    <t xml:space="preserve"> Gentamycin 20mg/ml vial</t>
  </si>
  <si>
    <t xml:space="preserve"> Chloroquine/phosphate 250mg tablet</t>
  </si>
  <si>
    <t xml:space="preserve"> Sulfadoxine/pyrimethamine 500 mg tab</t>
  </si>
  <si>
    <t xml:space="preserve"> ORS 250mg sachet</t>
  </si>
  <si>
    <t xml:space="preserve"> Zinc Sulphate 20mg, tablet</t>
  </si>
  <si>
    <t xml:space="preserve"> Condom </t>
  </si>
  <si>
    <t xml:space="preserve"> Implant, 2 rad</t>
  </si>
  <si>
    <t xml:space="preserve"> IUD</t>
  </si>
  <si>
    <t xml:space="preserve"> Oral Anticonceptives (progresteron only), 1 month cycle</t>
  </si>
  <si>
    <t xml:space="preserve"> Isoniazid, tab, soluble (child) 100mg</t>
  </si>
  <si>
    <t xml:space="preserve"> Rifampicin+INH+Pyrzazinamide+Ethambutol (150mg+75mg+400mg+275mg) combination tablet (Adults)</t>
  </si>
  <si>
    <t xml:space="preserve"> Rifampicin+INH (150mg + 75mg), tablet (Adults)</t>
  </si>
  <si>
    <t xml:space="preserve"> Nifedipine 10 mg tablet</t>
  </si>
  <si>
    <t xml:space="preserve"> Nifedipine 20 mg tablet</t>
  </si>
  <si>
    <t xml:space="preserve"> MgSO4 5gr vial</t>
  </si>
  <si>
    <t xml:space="preserve"> Metronidazol 250 mg tab</t>
  </si>
  <si>
    <t xml:space="preserve"> Metronidazol, syrup 250mg/5ml</t>
  </si>
  <si>
    <t xml:space="preserve"> Misoprostol 200 mcg tablet</t>
  </si>
  <si>
    <t xml:space="preserve"> Medroxyprogresterone 150mg (DMPA), vial OR Medroxyprogresterone 104mg/0.65ml SC (DMPA), vial</t>
  </si>
  <si>
    <t xml:space="preserve"> Lidocaine Hydrochloride injection BP 2%, vial</t>
  </si>
  <si>
    <t xml:space="preserve"> Water for injection, 5ml vial</t>
  </si>
  <si>
    <t xml:space="preserve"> Sterile gloves</t>
  </si>
  <si>
    <t xml:space="preserve"> Venflon 18G or 22G</t>
  </si>
  <si>
    <t xml:space="preserve"> Chlorhexidine digluconate Gel 7.1%</t>
  </si>
  <si>
    <t xml:space="preserve"> IV giving set</t>
  </si>
  <si>
    <t xml:space="preserve"> Ringers lactate 500 ml</t>
  </si>
  <si>
    <t xml:space="preserve"> Dextrose 5% 500 ml</t>
  </si>
  <si>
    <t xml:space="preserve"> Syringe 5ml</t>
  </si>
  <si>
    <t xml:space="preserve"> Syringe 10ml</t>
  </si>
  <si>
    <t xml:space="preserve"> Scalp vein needle</t>
  </si>
  <si>
    <t>% of drugs available</t>
  </si>
  <si>
    <t>#  Paracetamol 500 mg tab in stock (median + IQR)</t>
  </si>
  <si>
    <t>#  Ibuprofen 200 mg caps in stock (median + IQR)</t>
  </si>
  <si>
    <t>#  Chlorpheniramine 2 mg in stock (median + IQR)</t>
  </si>
  <si>
    <t>#  Salbutamol (2mg/5ml) drops/syrup in stock (median + IQR)</t>
  </si>
  <si>
    <t>#  Vitamine A, 50,000; 100,000 and 200,000 IU, capsules in stock (median + IQR)</t>
  </si>
  <si>
    <t>#  Oxytocin 10IU/ml vial in stock (median + IQR)</t>
  </si>
  <si>
    <t>#  Vitamine K1 10mg/ml vial in stock (median + IQR)</t>
  </si>
  <si>
    <t>#  Mebendazole 100 mg tab in stock (median + IQR)</t>
  </si>
  <si>
    <t>#  Ferrous Sulfate 60 mg and Folic Acid (vit B9) 0.4mg tab in stock (median + IQR)</t>
  </si>
  <si>
    <t>#  Amoxicillin 250 mg tablet in stock (median + IQR)</t>
  </si>
  <si>
    <t>#  Amoxicillin 125 mg/5ml syrup in stock (median + IQR)</t>
  </si>
  <si>
    <t>#  Co-trimoxazol 480 mg tab in stock (median + IQR)</t>
  </si>
  <si>
    <t>#  Co-trimoxazol 40mg/200mg - 5ml syrup in stock (median + IQR)</t>
  </si>
  <si>
    <t>#  Doxycycline 100 mg caps in stock (median + IQR)</t>
  </si>
  <si>
    <t>#  Erythromycin 250 mg tab in stock (median + IQR)</t>
  </si>
  <si>
    <t>#  Ampicillin 1 gr vial in stock (median + IQR)</t>
  </si>
  <si>
    <t>#  Gentamycin 20mg/ml vial in stock (median + IQR)</t>
  </si>
  <si>
    <t>#  Chloroquine/phosphate 250mg tablet in stock (median + IQR)</t>
  </si>
  <si>
    <t>#  Sulfadoxine/pyrimethamine 500 mg tab in stock (median + IQR)</t>
  </si>
  <si>
    <t>#  ORS 250mg sachet in stock (median + IQR)</t>
  </si>
  <si>
    <t>#  Zinc Sulphate 20mg, tablet in stock (median + IQR)</t>
  </si>
  <si>
    <t>#  Condom  in stock (median + IQR)</t>
  </si>
  <si>
    <t>#  Implant, 2 rad in stock (median + IQR)</t>
  </si>
  <si>
    <t>#  IUD in stock (median + IQR)</t>
  </si>
  <si>
    <t>#  Oral Anticonceptives (progresteron only), 1 month cycle in stock (median + IQR)</t>
  </si>
  <si>
    <t>#  Isoniazid, tab, soluble (child) 100mg in stock (median + IQR)</t>
  </si>
  <si>
    <t>#  Rifampicin+INH+Pyrzazinamide+Ethambutol (150mg+75mg+400mg+275mg) combination tablet (Adults) in stock (median + IQR)</t>
  </si>
  <si>
    <t>#  Rifampicin+INH (150mg + 75mg), tablet (Adults) in stock (median + IQR)</t>
  </si>
  <si>
    <t>#  Nifedipine 10 mg tablet in stock (median + IQR)</t>
  </si>
  <si>
    <t>#  Nifedipine 20 mg tablet in stock (median + IQR)</t>
  </si>
  <si>
    <t>#  MgSO4 5gr vial in stock (median + IQR)</t>
  </si>
  <si>
    <t>#  Metronidazol 250 mg tab in stock (median + IQR)</t>
  </si>
  <si>
    <t>#  Metronidazol, syrup 250mg/5ml in stock (median + IQR)</t>
  </si>
  <si>
    <t>#  Misoprostol 200 mcg tablet in stock (median + IQR)</t>
  </si>
  <si>
    <t>#  Medroxyprogresterone 150mg (DMPA), vial OR Medroxyprogresterone 104mg/0.65ml SC (DMPA), vial in stock (median + IQR)</t>
  </si>
  <si>
    <t>#  Lidocaine Hydrochloride injection BP 2%, vial in stock (median + IQR)</t>
  </si>
  <si>
    <t>#  Water for injection, 5ml vial in stock (median + IQR)</t>
  </si>
  <si>
    <t>#  Sterile gloves in stock (median + IQR)</t>
  </si>
  <si>
    <t>#  Venflon 18G or 22G in stock (median + IQR)</t>
  </si>
  <si>
    <t>#  Chlorhexidine digluconate Gel 7.1% in stock (median + IQR)</t>
  </si>
  <si>
    <t>#  IV giving set in stock (median + IQR)</t>
  </si>
  <si>
    <t>#  Ringers lactate 500 ml in stock (median + IQR)</t>
  </si>
  <si>
    <t>#  Dextrose 5% 500 ml in stock (median + IQR)</t>
  </si>
  <si>
    <t>#  Syringe 5ml in stock (median + IQR)</t>
  </si>
  <si>
    <t>#  Syringe 10ml in stock (median + IQR)</t>
  </si>
  <si>
    <t>#  Scalp vein needle in stock (median + IQR)</t>
  </si>
  <si>
    <t>3450 [1500 - 7400]</t>
  </si>
  <si>
    <t>1800 [1300 - 2600]</t>
  </si>
  <si>
    <t>1700 [910 - 1800]</t>
  </si>
  <si>
    <t>7 [3 - 13]</t>
  </si>
  <si>
    <t>1050 [600 - 1875]</t>
  </si>
  <si>
    <t>190 [136 - 252]</t>
  </si>
  <si>
    <t>10 [5 - 35]</t>
  </si>
  <si>
    <t>375 [264 - 440]</t>
  </si>
  <si>
    <t>5200 [4000 - 22086]</t>
  </si>
  <si>
    <t>4400 [1400 - 6270]</t>
  </si>
  <si>
    <t>334 [205 - 434]</t>
  </si>
  <si>
    <t>7550 [4760 - 17408]</t>
  </si>
  <si>
    <t>205 [200 - 380]</t>
  </si>
  <si>
    <t>2930 [1700 - 4400]</t>
  </si>
  <si>
    <t>1080 [750 - 1530]</t>
  </si>
  <si>
    <t>310 [155 - 470]</t>
  </si>
  <si>
    <t>55 [50 - 80]</t>
  </si>
  <si>
    <t>100 [20 - 100]</t>
  </si>
  <si>
    <t>100 [100 - 100]</t>
  </si>
  <si>
    <t>783 [600 - 1180]</t>
  </si>
  <si>
    <t>7300 [6900 - 9200]</t>
  </si>
  <si>
    <t>1400 [1296 - 2616]</t>
  </si>
  <si>
    <t>36 [31 - 50]</t>
  </si>
  <si>
    <t>62 [22 - 84]</t>
  </si>
  <si>
    <t>217 [83 - 7525]</t>
  </si>
  <si>
    <t>190 [190 - 190]</t>
  </si>
  <si>
    <t>2934 [2212 - 3126]</t>
  </si>
  <si>
    <t>2688 [392 - 3332]</t>
  </si>
  <si>
    <t>450 [250 - 750]</t>
  </si>
  <si>
    <t>n/a</t>
  </si>
  <si>
    <t>32 [20 - 67]</t>
  </si>
  <si>
    <t>855 [400 - 1000]</t>
  </si>
  <si>
    <t>921 [700 - 1155]</t>
  </si>
  <si>
    <t>80 [54 - 130]</t>
  </si>
  <si>
    <t>178 [150 - 235]</t>
  </si>
  <si>
    <t>13 [11 - 20]</t>
  </si>
  <si>
    <t>256 [230 - 500]</t>
  </si>
  <si>
    <t>100 [53 - 500]</t>
  </si>
  <si>
    <t>9 [9 - 9]</t>
  </si>
  <si>
    <t>17 [10 - 85]</t>
  </si>
  <si>
    <t>150 [125 - 338]</t>
  </si>
  <si>
    <t>15 [6 - 38]</t>
  </si>
  <si>
    <t>33 [28 - 56]</t>
  </si>
  <si>
    <t>400 [200 - 900]</t>
  </si>
  <si>
    <t>400 [200 - 1200]</t>
  </si>
  <si>
    <t>120 [120 - 120]</t>
  </si>
  <si>
    <t>12230 [9860 - 15910]</t>
  </si>
  <si>
    <t>8750 [4775 - 18475]</t>
  </si>
  <si>
    <t>2885 [920 - 4735]</t>
  </si>
  <si>
    <t>20 [10 - 70]</t>
  </si>
  <si>
    <t>1769 [850 - 3645]</t>
  </si>
  <si>
    <t>229 [194 - 575]</t>
  </si>
  <si>
    <t>13 [8 - 18]</t>
  </si>
  <si>
    <t>245 [110 - 862]</t>
  </si>
  <si>
    <t>14865 [5850 - 20615]</t>
  </si>
  <si>
    <t>15350 [7050 - 21985]</t>
  </si>
  <si>
    <t>340 [171 - 988]</t>
  </si>
  <si>
    <t>4850 [1095 - 10390]</t>
  </si>
  <si>
    <t>114 [67 - 301]</t>
  </si>
  <si>
    <t>1450 [805 - 2505]</t>
  </si>
  <si>
    <t>88 [17 - 465]</t>
  </si>
  <si>
    <t>147 [136 - 188]</t>
  </si>
  <si>
    <t>190 [170 - 250]</t>
  </si>
  <si>
    <t>2532 [1587 - 11232]</t>
  </si>
  <si>
    <t>7400 [4035 - 22915]</t>
  </si>
  <si>
    <t>2267 [1117 - 3710]</t>
  </si>
  <si>
    <t>6 [3 - 9]</t>
  </si>
  <si>
    <t>14 [11 - 15]</t>
  </si>
  <si>
    <t>598 [91 - 5590]</t>
  </si>
  <si>
    <t>500 [500 - 500]</t>
  </si>
  <si>
    <t>620 [400 - 840]</t>
  </si>
  <si>
    <t>4704 [4704 - 4704]</t>
  </si>
  <si>
    <t>145 [55 - 350]</t>
  </si>
  <si>
    <t>290 [290 - 290]</t>
  </si>
  <si>
    <t>48 [12 - 160]</t>
  </si>
  <si>
    <t>7850 [6000 - 10665]</t>
  </si>
  <si>
    <t>173 [116 - 320]</t>
  </si>
  <si>
    <t>472 [360 - 776]</t>
  </si>
  <si>
    <t>45 [20 - 192]</t>
  </si>
  <si>
    <t>25 [24 - 34]</t>
  </si>
  <si>
    <t>268 [218 - 465]</t>
  </si>
  <si>
    <t>239 [124 - 305]</t>
  </si>
  <si>
    <t>190 [40 - 200]</t>
  </si>
  <si>
    <t>117 [47 - 189]</t>
  </si>
  <si>
    <t>183 [114 - 510]</t>
  </si>
  <si>
    <t>103 [69 - 160]</t>
  </si>
  <si>
    <t>83 [44 - 226]</t>
  </si>
  <si>
    <t>1699 [1299 - 3385]</t>
  </si>
  <si>
    <t>597 [447 - 750]</t>
  </si>
  <si>
    <t>94 [94 - 94]</t>
  </si>
  <si>
    <t>502 [3 - 1130]</t>
  </si>
  <si>
    <t>318 [35 - 600]</t>
  </si>
  <si>
    <t>400 [336 - 400]</t>
  </si>
  <si>
    <t>195 [60 - 2300]</t>
  </si>
  <si>
    <t>20 [19 - 53]</t>
  </si>
  <si>
    <t>26 [26 - 26]</t>
  </si>
  <si>
    <t>48690 [18920 - 121050]</t>
  </si>
  <si>
    <t>35840 [14670 - 54510]</t>
  </si>
  <si>
    <t>20000 [6600 - 39785]</t>
  </si>
  <si>
    <t>39 [26 - 773]</t>
  </si>
  <si>
    <t>1800 [560 - 2671]</t>
  </si>
  <si>
    <t>733 [548 - 1631]</t>
  </si>
  <si>
    <t>70 [20 - 227]</t>
  </si>
  <si>
    <t>1236 [700 - 1700]</t>
  </si>
  <si>
    <t>28540 [17730 - 95630]</t>
  </si>
  <si>
    <t>35585 [6200 - 51710]</t>
  </si>
  <si>
    <t>933 [421 - 2167]</t>
  </si>
  <si>
    <t>44735 [8809 - 83103]</t>
  </si>
  <si>
    <t>1338 [167 - 2924]</t>
  </si>
  <si>
    <t>3440 [1060 - 16680]</t>
  </si>
  <si>
    <t>1625 [595 - 3200]</t>
  </si>
  <si>
    <t>359 [140 - 377]</t>
  </si>
  <si>
    <t>292 [100 - 684]</t>
  </si>
  <si>
    <t>675 [625 - 1100]</t>
  </si>
  <si>
    <t>2047 [1258 - 2742]</t>
  </si>
  <si>
    <t>36730 [6000 - 78120]</t>
  </si>
  <si>
    <t>980 [20 - 2234]</t>
  </si>
  <si>
    <t>22 [9 - 70]</t>
  </si>
  <si>
    <t>24 [12 - 30]</t>
  </si>
  <si>
    <t>28 [20 - 55]</t>
  </si>
  <si>
    <t>1000 [50 - 1067]</t>
  </si>
  <si>
    <t>3458 [1442 - 6286]</t>
  </si>
  <si>
    <t>15056 [14112 - 15999]</t>
  </si>
  <si>
    <t>2260 [595 - 5485]</t>
  </si>
  <si>
    <t>33 [26 - 103]</t>
  </si>
  <si>
    <t>21300 [3980 - 67400]</t>
  </si>
  <si>
    <t>360 [300 - 1175]</t>
  </si>
  <si>
    <t>282 [196 - 434]</t>
  </si>
  <si>
    <t>65 [50 - 65]</t>
  </si>
  <si>
    <t>27 [16 - 75]</t>
  </si>
  <si>
    <t>1100 [442 - 4024]</t>
  </si>
  <si>
    <t>490 [40 - 800]</t>
  </si>
  <si>
    <t>350 [200 - 1415]</t>
  </si>
  <si>
    <t>30 [14 - 119]</t>
  </si>
  <si>
    <t>168 [60 - 398]</t>
  </si>
  <si>
    <t>476 [80 - 871]</t>
  </si>
  <si>
    <t>100 [75 - 149]</t>
  </si>
  <si>
    <t>3900 [1200 - 5400]</t>
  </si>
  <si>
    <t>350 [200 - 734]</t>
  </si>
  <si>
    <t>44 [7 - 80]</t>
  </si>
  <si>
    <t>9400 [3650 - 11107]</t>
  </si>
  <si>
    <t>6000 [4700 - 6480]</t>
  </si>
  <si>
    <t>1113 [860 - 2997]</t>
  </si>
  <si>
    <t>5 [5 - 5]</t>
  </si>
  <si>
    <t>931 [750 - 1333]</t>
  </si>
  <si>
    <t>175 [120 - 296]</t>
  </si>
  <si>
    <t>15 [10 - 97]</t>
  </si>
  <si>
    <t>1094 [580 - 1105]</t>
  </si>
  <si>
    <t>3800 [3090 - 9460]</t>
  </si>
  <si>
    <t>2700 [2480 - 9535]</t>
  </si>
  <si>
    <t>228 [135 - 437]</t>
  </si>
  <si>
    <t>12610 [8200 - 39250]</t>
  </si>
  <si>
    <t>153 [126 - 171]</t>
  </si>
  <si>
    <t>1230 [730 - 1700]</t>
  </si>
  <si>
    <t>125 [50 - 200]</t>
  </si>
  <si>
    <t>60 [35 - 450]</t>
  </si>
  <si>
    <t>215 [136 - 375]</t>
  </si>
  <si>
    <t>143 [63 - 208]</t>
  </si>
  <si>
    <t>48 [48 - 48]</t>
  </si>
  <si>
    <t>499 [192 - 1828]</t>
  </si>
  <si>
    <t>37830 [28130 - 38200]</t>
  </si>
  <si>
    <t>1884 [1158 - 3152]</t>
  </si>
  <si>
    <t>33 [32 - 45]</t>
  </si>
  <si>
    <t>319 [314 - 432]</t>
  </si>
  <si>
    <t>12992 [2760 - 29295]</t>
  </si>
  <si>
    <t>1195 [600 - 1790]</t>
  </si>
  <si>
    <t>630 [112 - 1148]</t>
  </si>
  <si>
    <t>812 [196 - 1428]</t>
  </si>
  <si>
    <t>1358 [1075 - 1640]</t>
  </si>
  <si>
    <t>28 [23 - 50]</t>
  </si>
  <si>
    <t>1210 [400 - 2000]</t>
  </si>
  <si>
    <t>444 [216 - 569]</t>
  </si>
  <si>
    <t>80 [48 - 88]</t>
  </si>
  <si>
    <t>100 [100 - 108]</t>
  </si>
  <si>
    <t>25 [23 - 40]</t>
  </si>
  <si>
    <t>200 [150 - 350]</t>
  </si>
  <si>
    <t>600 [250 - 971]</t>
  </si>
  <si>
    <t>138 [90 - 550]</t>
  </si>
  <si>
    <t>43 [40 - 56]</t>
  </si>
  <si>
    <t>658 [350 - 775]</t>
  </si>
  <si>
    <t>38 [22 - 57]</t>
  </si>
  <si>
    <t>25 [20 - 71]</t>
  </si>
  <si>
    <t>1804 [1170 - 1900]</t>
  </si>
  <si>
    <t>777 [630 - 1811]</t>
  </si>
  <si>
    <t>1007 [90 - 2400]</t>
  </si>
  <si>
    <t>600 [451 - 1200]</t>
  </si>
  <si>
    <t>1941 [1100 - 3841]</t>
  </si>
  <si>
    <t>440 [170 - 2000]</t>
  </si>
  <si>
    <t>8 [8 - 8]</t>
  </si>
  <si>
    <t>1000 [598 - 1500]</t>
  </si>
  <si>
    <t>846 [437 - 1290]</t>
  </si>
  <si>
    <t>23 [14 - 37]</t>
  </si>
  <si>
    <t>874 [50 - 2250]</t>
  </si>
  <si>
    <t>2000 [100 - 4520]</t>
  </si>
  <si>
    <t>3200 [1135 - 6520]</t>
  </si>
  <si>
    <t>92 [14 - 186]</t>
  </si>
  <si>
    <t>1950 [950 - 2708]</t>
  </si>
  <si>
    <t>105 [74 - 222]</t>
  </si>
  <si>
    <t>2190 [1425 - 6133]</t>
  </si>
  <si>
    <t>440 [440 - 440]</t>
  </si>
  <si>
    <t>52 [4 - 100]</t>
  </si>
  <si>
    <t>130 [60 - 328]</t>
  </si>
  <si>
    <t>750 [600 - 900]</t>
  </si>
  <si>
    <t>2000 [50 - 2922]</t>
  </si>
  <si>
    <t>3400 [2295 - 4500]</t>
  </si>
  <si>
    <t>2483 [876 - 3934]</t>
  </si>
  <si>
    <t>15 [7 - 25]</t>
  </si>
  <si>
    <t>43 [15 - 81]</t>
  </si>
  <si>
    <t>226 [26 - 359]</t>
  </si>
  <si>
    <t>1350 [100 - 2600]</t>
  </si>
  <si>
    <t>51 [31 - 149]</t>
  </si>
  <si>
    <t>1300 [700 - 13000]</t>
  </si>
  <si>
    <t>1001 [651 - 1618]</t>
  </si>
  <si>
    <t>77 [9 - 292]</t>
  </si>
  <si>
    <t>105 [65 - 210]</t>
  </si>
  <si>
    <t>16 [11 - 24]</t>
  </si>
  <si>
    <t>370 [199 - 864]</t>
  </si>
  <si>
    <t>200 [122 - 800]</t>
  </si>
  <si>
    <t>120 [50 - 550]</t>
  </si>
  <si>
    <t>87 [27 - 218]</t>
  </si>
  <si>
    <t>50 [34 - 100]</t>
  </si>
  <si>
    <t>20 [16 - 30]</t>
  </si>
  <si>
    <t>22 [4 - 39]</t>
  </si>
  <si>
    <t>772 [122 - 4563]</t>
  </si>
  <si>
    <t>350 [127 - 580]</t>
  </si>
  <si>
    <t>6050 [5530 - 8100]</t>
  </si>
  <si>
    <t>6160 [2560 - 9310]</t>
  </si>
  <si>
    <t>1110 [1000 - 1210]</t>
  </si>
  <si>
    <t>498 [97 - 1035]</t>
  </si>
  <si>
    <t>140 [112 - 1175]</t>
  </si>
  <si>
    <t>200 [150 - 280]</t>
  </si>
  <si>
    <t>101 [7 - 102]</t>
  </si>
  <si>
    <t>192 [102 - 337]</t>
  </si>
  <si>
    <t>15965 [9420 - 31700]</t>
  </si>
  <si>
    <t>3170 [2190 - 8690]</t>
  </si>
  <si>
    <t>100 [8 - 125]</t>
  </si>
  <si>
    <t>3517 [2710 - 8480]</t>
  </si>
  <si>
    <t>91 [23 - 198]</t>
  </si>
  <si>
    <t>1770 [1000 - 2000]</t>
  </si>
  <si>
    <t>365 [195 - 3375]</t>
  </si>
  <si>
    <t>262 [78 - 267]</t>
  </si>
  <si>
    <t>201 [46 - 354]</t>
  </si>
  <si>
    <t>100 [90 - 100]</t>
  </si>
  <si>
    <t>3684 [1502 - 5620]</t>
  </si>
  <si>
    <t>1000 [820 - 1180]</t>
  </si>
  <si>
    <t>2136 [937 - 8324]</t>
  </si>
  <si>
    <t>154 [32 - 318]</t>
  </si>
  <si>
    <t>36 [35 - 69]</t>
  </si>
  <si>
    <t>815 [608 - 2310]</t>
  </si>
  <si>
    <t>345 [190 - 500]</t>
  </si>
  <si>
    <t>224 [168 - 352]</t>
  </si>
  <si>
    <t>169 [99 - 868]</t>
  </si>
  <si>
    <t>1020 [940 - 1370]</t>
  </si>
  <si>
    <t>28 [11 - 108]</t>
  </si>
  <si>
    <t>6405 [3540 - 7110]</t>
  </si>
  <si>
    <t>126 [91 - 160]</t>
  </si>
  <si>
    <t>480 [224 - 540]</t>
  </si>
  <si>
    <t>382 [247 - 664]</t>
  </si>
  <si>
    <t>31 [26 - 60]</t>
  </si>
  <si>
    <t>332 [142 - 515]</t>
  </si>
  <si>
    <t>1200 [414 - 1300]</t>
  </si>
  <si>
    <t>506 [247 - 1336]</t>
  </si>
  <si>
    <t>253 [99 - 884]</t>
  </si>
  <si>
    <t>509 [300 - 550]</t>
  </si>
  <si>
    <t>67 [67 - 67]</t>
  </si>
  <si>
    <t>197 [99 - 338]</t>
  </si>
  <si>
    <t>930 [662 - 1154]</t>
  </si>
  <si>
    <t>800 [559 - 2500]</t>
  </si>
  <si>
    <t>4900 [2500 - 9740]</t>
  </si>
  <si>
    <t>2950 [1663 - 4350]</t>
  </si>
  <si>
    <t>6125 [5405 - 7980]</t>
  </si>
  <si>
    <t>21 [8 - 56]</t>
  </si>
  <si>
    <t>920 [373 - 1841]</t>
  </si>
  <si>
    <t>100 [50 - 340]</t>
  </si>
  <si>
    <t>8 [5 - 15]</t>
  </si>
  <si>
    <t>450 [300 - 550]</t>
  </si>
  <si>
    <t>12485 [8850 - 31803]</t>
  </si>
  <si>
    <t>1730 [800 - 5240]</t>
  </si>
  <si>
    <t>130 [53 - 214]</t>
  </si>
  <si>
    <t>10840 [4345 - 16660]</t>
  </si>
  <si>
    <t>7 [2 - 346]</t>
  </si>
  <si>
    <t>4500 [300 - 6210]</t>
  </si>
  <si>
    <t>770 [340 - 2160]</t>
  </si>
  <si>
    <t>38 [16 - 294]</t>
  </si>
  <si>
    <t>176 [34 - 685]</t>
  </si>
  <si>
    <t>40 [10 - 70]</t>
  </si>
  <si>
    <t>20 [20 - 20]</t>
  </si>
  <si>
    <t>1246 [833 - 4845]</t>
  </si>
  <si>
    <t>3335 [2888 - 7055]</t>
  </si>
  <si>
    <t>852 [700 - 1814]</t>
  </si>
  <si>
    <t>11 [10 - 12]</t>
  </si>
  <si>
    <t>8 [3 - 17]</t>
  </si>
  <si>
    <t>59 [22 - 108]</t>
  </si>
  <si>
    <t>1535 [1013 - 1896]</t>
  </si>
  <si>
    <t>812 [224 - 1580]</t>
  </si>
  <si>
    <t>1400 [560 - 3651]</t>
  </si>
  <si>
    <t>1215 [890 - 3995]</t>
  </si>
  <si>
    <t>19 [4 - 41]</t>
  </si>
  <si>
    <t>20305 [4780 - 27855]</t>
  </si>
  <si>
    <t>1205 [48 - 1279]</t>
  </si>
  <si>
    <t>23 [12 - 190]</t>
  </si>
  <si>
    <t>52 [28 - 111]</t>
  </si>
  <si>
    <t>2 [2 - 3]</t>
  </si>
  <si>
    <t>73 [50 - 209]</t>
  </si>
  <si>
    <t>137 [95 - 195]</t>
  </si>
  <si>
    <t>21 [2 - 35]</t>
  </si>
  <si>
    <t>119 [70 - 140]</t>
  </si>
  <si>
    <t>70 [25 - 125]</t>
  </si>
  <si>
    <t>18 [17 - 46]</t>
  </si>
  <si>
    <t>73 [26 - 120]</t>
  </si>
  <si>
    <t>2075 [418 - 2545]</t>
  </si>
  <si>
    <t>425 [250 - 540]</t>
  </si>
  <si>
    <t>700 [700 - 700]</t>
  </si>
  <si>
    <t>14410 [2490 - 23795]</t>
  </si>
  <si>
    <t>600 [400 - 1560]</t>
  </si>
  <si>
    <t>1300 [840 - 2460]</t>
  </si>
  <si>
    <t>192 [21 - 559]</t>
  </si>
  <si>
    <t>2962 [2526 - 4792]</t>
  </si>
  <si>
    <t>197 [145 - 249]</t>
  </si>
  <si>
    <t>14 [10 - 38]</t>
  </si>
  <si>
    <t>238 [132 - 376]</t>
  </si>
  <si>
    <t>34621 [21000 - 44060]</t>
  </si>
  <si>
    <t>8150 [4746 - 9500]</t>
  </si>
  <si>
    <t>106 [97 - 157]</t>
  </si>
  <si>
    <t>22130 [11555 - 33220]</t>
  </si>
  <si>
    <t>170 [165 - 200]</t>
  </si>
  <si>
    <t>3193 [2900 - 5300]</t>
  </si>
  <si>
    <t>560 [460 - 600]</t>
  </si>
  <si>
    <t>150 [102 - 357]</t>
  </si>
  <si>
    <t>271 [190 - 380]</t>
  </si>
  <si>
    <t>50 [20 - 280]</t>
  </si>
  <si>
    <t>600 [311 - 1227]</t>
  </si>
  <si>
    <t>3550 [2800 - 7400]</t>
  </si>
  <si>
    <t>882 [760 - 1360]</t>
  </si>
  <si>
    <t>11 [10 - 18]</t>
  </si>
  <si>
    <t>20 [7 - 35]</t>
  </si>
  <si>
    <t>122 [67 - 172]</t>
  </si>
  <si>
    <t>300 [100 - 1640]</t>
  </si>
  <si>
    <t>336 [336 - 1204]</t>
  </si>
  <si>
    <t>764 [486 - 1161]</t>
  </si>
  <si>
    <t>1125 [580 - 1798]</t>
  </si>
  <si>
    <t>35 [16 - 77]</t>
  </si>
  <si>
    <t>22995 [14381 - 33800]</t>
  </si>
  <si>
    <t>818 [497 - 1278]</t>
  </si>
  <si>
    <t>110 [60 - 122]</t>
  </si>
  <si>
    <t>83 [70 - 112]</t>
  </si>
  <si>
    <t>17 [12 - 28]</t>
  </si>
  <si>
    <t>227 [170 - 500]</t>
  </si>
  <si>
    <t>110 [100 - 300]</t>
  </si>
  <si>
    <t>100 [86 - 105]</t>
  </si>
  <si>
    <t>71 [52 - 370]</t>
  </si>
  <si>
    <t>188 [71 - 400]</t>
  </si>
  <si>
    <t>27 [9 - 49]</t>
  </si>
  <si>
    <t>42 [40 - 71]</t>
  </si>
  <si>
    <t>325 [200 - 454]</t>
  </si>
  <si>
    <t>200 [200 - 415]</t>
  </si>
  <si>
    <t>80 [50 - 100]</t>
  </si>
  <si>
    <t>3225 [1240 - 5210]</t>
  </si>
  <si>
    <t>1230 [1230 - 1230]</t>
  </si>
  <si>
    <t>300 [150 - 350]</t>
  </si>
  <si>
    <t>1200 [500 - 3500]</t>
  </si>
  <si>
    <t>1945 [1280 - 3800]</t>
  </si>
  <si>
    <t>1250 [500 - 2700]</t>
  </si>
  <si>
    <t>11 [6 - 460]</t>
  </si>
  <si>
    <t>878 [290 - 2261]</t>
  </si>
  <si>
    <t>50 [26 - 98]</t>
  </si>
  <si>
    <t>13 [10 - 23]</t>
  </si>
  <si>
    <t>3000 [1200 - 7114]</t>
  </si>
  <si>
    <t>12000 [4300 - 20000]</t>
  </si>
  <si>
    <t>3737 [1900 - 4100]</t>
  </si>
  <si>
    <t>80 [20 - 92]</t>
  </si>
  <si>
    <t>5800 [4000 - 11880]</t>
  </si>
  <si>
    <t>99 [39 - 285]</t>
  </si>
  <si>
    <t>1455 [1200 - 4850]</t>
  </si>
  <si>
    <t>76 [35 - 200]</t>
  </si>
  <si>
    <t>80 [43 - 172]</t>
  </si>
  <si>
    <t>80 [12 - 156]</t>
  </si>
  <si>
    <t>200 [50 - 930]</t>
  </si>
  <si>
    <t>1200 [1000 - 1490]</t>
  </si>
  <si>
    <t>400 [161 - 3059]</t>
  </si>
  <si>
    <t>7 [3 - 18]</t>
  </si>
  <si>
    <t>44 [19 - 64]</t>
  </si>
  <si>
    <t>560 [268 - 2250]</t>
  </si>
  <si>
    <t>2800 [300 - 5300]</t>
  </si>
  <si>
    <t>1296 [576 - 2016]</t>
  </si>
  <si>
    <t>2639 [532 - 4746]</t>
  </si>
  <si>
    <t>400 [200 - 1600]</t>
  </si>
  <si>
    <t>10 [10 - 10]</t>
  </si>
  <si>
    <t>19 [6 - 110]</t>
  </si>
  <si>
    <t>7190 [3100 - 21490]</t>
  </si>
  <si>
    <t>394 [130 - 1065]</t>
  </si>
  <si>
    <t>74 [56 - 133]</t>
  </si>
  <si>
    <t>15 [15 - 15]</t>
  </si>
  <si>
    <t>8 [3 - 10]</t>
  </si>
  <si>
    <t>140 [65 - 201]</t>
  </si>
  <si>
    <t>70 [48 - 600]</t>
  </si>
  <si>
    <t>250 [50 - 255]</t>
  </si>
  <si>
    <t>115 [55 - 325]</t>
  </si>
  <si>
    <t>55 [19 - 480]</t>
  </si>
  <si>
    <t>38 [28 - 48]</t>
  </si>
  <si>
    <t>93 [35 - 180]</t>
  </si>
  <si>
    <t>1270 [915 - 1650]</t>
  </si>
  <si>
    <t>200 [100 - 250]</t>
  </si>
  <si>
    <t>900 [600 - 1675]</t>
  </si>
  <si>
    <t>4850 [600 - 11200]</t>
  </si>
  <si>
    <t>2105 [550 - 3000]</t>
  </si>
  <si>
    <t>2500 [1710 - 3180]</t>
  </si>
  <si>
    <t>270 [180 - 810]</t>
  </si>
  <si>
    <t>477 [223 - 1000]</t>
  </si>
  <si>
    <t>98 [36 - 113]</t>
  </si>
  <si>
    <t>46 [22 - 106]</t>
  </si>
  <si>
    <t>1209 [764 - 1424]</t>
  </si>
  <si>
    <t>8000 [6000 - 19980]</t>
  </si>
  <si>
    <t>6460 [4135 - 9010]</t>
  </si>
  <si>
    <t>99 [50 - 160]</t>
  </si>
  <si>
    <t>8752 [5900 - 21200]</t>
  </si>
  <si>
    <t>117 [54 - 215]</t>
  </si>
  <si>
    <t>2310 [1420 - 3445]</t>
  </si>
  <si>
    <t>44 [40 - 700]</t>
  </si>
  <si>
    <t>99 [54 - 122]</t>
  </si>
  <si>
    <t>100 [88 - 100]</t>
  </si>
  <si>
    <t>210 [100 - 590]</t>
  </si>
  <si>
    <t>1241 [615 - 2262]</t>
  </si>
  <si>
    <t>2210 [1610 - 3815]</t>
  </si>
  <si>
    <t>864 [592 - 3000]</t>
  </si>
  <si>
    <t>24 [10 - 46]</t>
  </si>
  <si>
    <t>47 [23 - 82]</t>
  </si>
  <si>
    <t>194 [95 - 12110]</t>
  </si>
  <si>
    <t>811 [400 - 1596]</t>
  </si>
  <si>
    <t>952 [646 - 3643]</t>
  </si>
  <si>
    <t>1000 [750 - 1100]</t>
  </si>
  <si>
    <t>24 [14 - 55]</t>
  </si>
  <si>
    <t>975 [675 - 1240]</t>
  </si>
  <si>
    <t>327 [76 - 565]</t>
  </si>
  <si>
    <t>160 [110 - 270]</t>
  </si>
  <si>
    <t>50 [25 - 199]</t>
  </si>
  <si>
    <t>7 [5 - 15]</t>
  </si>
  <si>
    <t>213 [185 - 300]</t>
  </si>
  <si>
    <t>98 [50 - 600]</t>
  </si>
  <si>
    <t>100 [74 - 200]</t>
  </si>
  <si>
    <t>76 [36 - 267]</t>
  </si>
  <si>
    <t>300 [280 - 350]</t>
  </si>
  <si>
    <t>51 [44 - 100]</t>
  </si>
  <si>
    <t>56 [46 - 94]</t>
  </si>
  <si>
    <t>400 [260 - 764]</t>
  </si>
  <si>
    <t>453 [5 - 900]</t>
  </si>
  <si>
    <t>4895 [2545 - 5220]</t>
  </si>
  <si>
    <t>450 [250 - 2800]</t>
  </si>
  <si>
    <t>2371 [2000 - 2729]</t>
  </si>
  <si>
    <t>32 [10 - 190]</t>
  </si>
  <si>
    <t>1650 [1400 - 1816]</t>
  </si>
  <si>
    <t>505 [257 - 761]</t>
  </si>
  <si>
    <t>129 [80 - 136]</t>
  </si>
  <si>
    <t>525 [169 - 1035]</t>
  </si>
  <si>
    <t>22350 [10000 - 34000]</t>
  </si>
  <si>
    <t>7210 [5619 - 15200]</t>
  </si>
  <si>
    <t>250 [78 - 815]</t>
  </si>
  <si>
    <t>15159 [2150 - 26400]</t>
  </si>
  <si>
    <t>55 [37 - 77]</t>
  </si>
  <si>
    <t>3070 [700 - 6500]</t>
  </si>
  <si>
    <t>1000 [1000 - 1000]</t>
  </si>
  <si>
    <t>148 [107 - 228]</t>
  </si>
  <si>
    <t>152 [100 - 152]</t>
  </si>
  <si>
    <t>160 [30 - 700]</t>
  </si>
  <si>
    <t>3180 [1020 - 4196]</t>
  </si>
  <si>
    <t>4000 [3110 - 4150]</t>
  </si>
  <si>
    <t>386 [12 - 1680]</t>
  </si>
  <si>
    <t>2 [2 - 2]</t>
  </si>
  <si>
    <t>19 [12 - 32]</t>
  </si>
  <si>
    <t>547 [246 - 893]</t>
  </si>
  <si>
    <t>11550 [2240 - 20860]</t>
  </si>
  <si>
    <t>280 [125 - 2016]</t>
  </si>
  <si>
    <t>390 [18 - 646]</t>
  </si>
  <si>
    <t>6040 [2740 - 13000]</t>
  </si>
  <si>
    <t>30 [20 - 105]</t>
  </si>
  <si>
    <t>6027 [4000 - 33400]</t>
  </si>
  <si>
    <t>216 [59 - 309]</t>
  </si>
  <si>
    <t>52 [44 - 80]</t>
  </si>
  <si>
    <t>107 [59 - 182]</t>
  </si>
  <si>
    <t>31 [26 - 96]</t>
  </si>
  <si>
    <t>440 [97 - 500]</t>
  </si>
  <si>
    <t>275 [108 - 400]</t>
  </si>
  <si>
    <t>950 [400 - 1800]</t>
  </si>
  <si>
    <t>115 [47 - 342]</t>
  </si>
  <si>
    <t>318 [152 - 518]</t>
  </si>
  <si>
    <t>84 [80 - 242]</t>
  </si>
  <si>
    <t>1814 [450 - 3800]</t>
  </si>
  <si>
    <t>375 [200 - 740]</t>
  </si>
  <si>
    <t>7000 [2500 - 9000]</t>
  </si>
  <si>
    <t>4350 [2300 - 7230]</t>
  </si>
  <si>
    <t>4900 [3535 - 7505]</t>
  </si>
  <si>
    <t>110 [33 - 2000]</t>
  </si>
  <si>
    <t>3280 [2000 - 5386]</t>
  </si>
  <si>
    <t>140 [105 - 257]</t>
  </si>
  <si>
    <t>29 [14 - 40]</t>
  </si>
  <si>
    <t>1422 [1200 - 1740]</t>
  </si>
  <si>
    <t>19000 [8400 - 33200]</t>
  </si>
  <si>
    <t>8900 [1700 - 18300]</t>
  </si>
  <si>
    <t>490 [418 - 851]</t>
  </si>
  <si>
    <t>8500 [8000 - 16580]</t>
  </si>
  <si>
    <t>135 [18 - 157]</t>
  </si>
  <si>
    <t>2980 [1000 - 4200]</t>
  </si>
  <si>
    <t>1900 [1900 - 1900]</t>
  </si>
  <si>
    <t>521 [403 - 600]</t>
  </si>
  <si>
    <t>120 [110 - 165]</t>
  </si>
  <si>
    <t>300 [140 - 600]</t>
  </si>
  <si>
    <t>108 [108 - 108]</t>
  </si>
  <si>
    <t>2400 [2190 - 2800]</t>
  </si>
  <si>
    <t>11190 [1600 - 16500]</t>
  </si>
  <si>
    <t>2280 [2016 - 3660]</t>
  </si>
  <si>
    <t>90 [60 - 99]</t>
  </si>
  <si>
    <t>66 [38 - 83]</t>
  </si>
  <si>
    <t>761 [523 - 4111]</t>
  </si>
  <si>
    <t>400 [300 - 1500]</t>
  </si>
  <si>
    <t>1491 [896 - 2085]</t>
  </si>
  <si>
    <t>2016 [1392 - 5098]</t>
  </si>
  <si>
    <t>800 [100 - 4010]</t>
  </si>
  <si>
    <t>93 [53 - 140]</t>
  </si>
  <si>
    <t>10760 [3455 - 17350]</t>
  </si>
  <si>
    <t>700 [184 - 1400]</t>
  </si>
  <si>
    <t>1148 [280 - 1282]</t>
  </si>
  <si>
    <t>70 [50 - 170]</t>
  </si>
  <si>
    <t>10 [7 - 70]</t>
  </si>
  <si>
    <t>800 [670 - 1100]</t>
  </si>
  <si>
    <t>500 [280 - 800]</t>
  </si>
  <si>
    <t>200 [147 - 925]</t>
  </si>
  <si>
    <t>30 [18 - 74]</t>
  </si>
  <si>
    <t>220 [150 - 387]</t>
  </si>
  <si>
    <t>183 [85 - 290]</t>
  </si>
  <si>
    <t>17 [9 - 29]</t>
  </si>
  <si>
    <t>1000 [600 - 3180]</t>
  </si>
  <si>
    <t>390 [150 - 1200]</t>
  </si>
  <si>
    <t>324 [145 - 524]</t>
  </si>
  <si>
    <t>12550 [5530 - 17700]</t>
  </si>
  <si>
    <t>6350 [5860 - 8000]</t>
  </si>
  <si>
    <t>1640 [990 - 3320]</t>
  </si>
  <si>
    <t>141 [2 - 280]</t>
  </si>
  <si>
    <t>651 [340 - 948]</t>
  </si>
  <si>
    <t>104 [60 - 146]</t>
  </si>
  <si>
    <t>20 [7 - 85]</t>
  </si>
  <si>
    <t>3550 [918 - 5600]</t>
  </si>
  <si>
    <t>18230 [11200 - 35520]</t>
  </si>
  <si>
    <t>6935 [4870 - 12890]</t>
  </si>
  <si>
    <t>122 [68 - 359]</t>
  </si>
  <si>
    <t>11350 [6225 - 23150]</t>
  </si>
  <si>
    <t>119 [59 - 225]</t>
  </si>
  <si>
    <t>1900 [1000 - 2375]</t>
  </si>
  <si>
    <t>2220 [310 - 4460]</t>
  </si>
  <si>
    <t>174 [60 - 482]</t>
  </si>
  <si>
    <t>250 [32 - 450]</t>
  </si>
  <si>
    <t>300 [100 - 635]</t>
  </si>
  <si>
    <t>1352 [779 - 2525]</t>
  </si>
  <si>
    <t>6505 [3415 - 21820]</t>
  </si>
  <si>
    <t>236 [105 - 366]</t>
  </si>
  <si>
    <t>31 [14 - 74]</t>
  </si>
  <si>
    <t>34 [21 - 57]</t>
  </si>
  <si>
    <t>420 [170 - 1008]</t>
  </si>
  <si>
    <t>420 [170 - 40000]</t>
  </si>
  <si>
    <t>784 [462 - 1890]</t>
  </si>
  <si>
    <t>1583 [896 - 1849]</t>
  </si>
  <si>
    <t>1700 [965 - 2600]</t>
  </si>
  <si>
    <t>14 [5 - 42]</t>
  </si>
  <si>
    <t>3990 [2350 - 9160]</t>
  </si>
  <si>
    <t>321 [157 - 2750]</t>
  </si>
  <si>
    <t>185 [96 - 357]</t>
  </si>
  <si>
    <t>222 [153 - 317]</t>
  </si>
  <si>
    <t>17 [4 - 69]</t>
  </si>
  <si>
    <t>140 [63 - 300]</t>
  </si>
  <si>
    <t>500 [175 - 2715]</t>
  </si>
  <si>
    <t>185 [132 - 305]</t>
  </si>
  <si>
    <t>51 [24 - 363]</t>
  </si>
  <si>
    <t>300 [188 - 484]</t>
  </si>
  <si>
    <t>42 [40 - 360]</t>
  </si>
  <si>
    <t>50 [15 - 80]</t>
  </si>
  <si>
    <t>450 [400 - 1850]</t>
  </si>
  <si>
    <t>200 [196 - 500]</t>
  </si>
  <si>
    <t>1400 [1400 - 1400]</t>
  </si>
  <si>
    <t>4800 [1440 - 5633]</t>
  </si>
  <si>
    <t>1400 [310 - 2430]</t>
  </si>
  <si>
    <t>700 [250 - 880]</t>
  </si>
  <si>
    <t>18 [18 - 20]</t>
  </si>
  <si>
    <t>840 [500 - 1200]</t>
  </si>
  <si>
    <t>99 [50 - 101]</t>
  </si>
  <si>
    <t>8 [7 - 10]</t>
  </si>
  <si>
    <t>280 [112 - 481]</t>
  </si>
  <si>
    <t>6500 [200 - 17300]</t>
  </si>
  <si>
    <t>1200 [800 - 3145]</t>
  </si>
  <si>
    <t>56 [43 - 104]</t>
  </si>
  <si>
    <t>2500 [2000 - 2680]</t>
  </si>
  <si>
    <t>47 [37 - 62]</t>
  </si>
  <si>
    <t>2405 [650 - 6785]</t>
  </si>
  <si>
    <t>130 [75 - 1366]</t>
  </si>
  <si>
    <t>150 [130 - 204]</t>
  </si>
  <si>
    <t>213 [150 - 900]</t>
  </si>
  <si>
    <t>40 [5 - 487]</t>
  </si>
  <si>
    <t>360 [300 - 500]</t>
  </si>
  <si>
    <t>1614 [1068 - 2160]</t>
  </si>
  <si>
    <t>10 [7 - 41]</t>
  </si>
  <si>
    <t>51 [50 - 122]</t>
  </si>
  <si>
    <t>960 [80 - 9300]</t>
  </si>
  <si>
    <t>430 [360 - 500]</t>
  </si>
  <si>
    <t>642 [588 - 1344]</t>
  </si>
  <si>
    <t>1162 [841 - 1986]</t>
  </si>
  <si>
    <t>400 [200 - 600]</t>
  </si>
  <si>
    <t>18 [8 - 22]</t>
  </si>
  <si>
    <t>850 [700 - 3013]</t>
  </si>
  <si>
    <t>155 [18 - 300]</t>
  </si>
  <si>
    <t>50 [40 - 80]</t>
  </si>
  <si>
    <t>127 [98 - 156]</t>
  </si>
  <si>
    <t>150 [100 - 550]</t>
  </si>
  <si>
    <t>123 [50 - 350]</t>
  </si>
  <si>
    <t>50 [38 - 50]</t>
  </si>
  <si>
    <t>50 [25 - 160]</t>
  </si>
  <si>
    <t>625 [226 - 2900]</t>
  </si>
  <si>
    <t>330 [1 - 659]</t>
  </si>
  <si>
    <t>39 [23 - 133]</t>
  </si>
  <si>
    <t>500 [400 - 1800]</t>
  </si>
  <si>
    <t>500 [200 - 700]</t>
  </si>
  <si>
    <t>45 [40 - 50]</t>
  </si>
  <si>
    <t>17150 [13350 - 18500]</t>
  </si>
  <si>
    <t>2215 [1520 - 3250]</t>
  </si>
  <si>
    <t>5800 [5200 - 7000]</t>
  </si>
  <si>
    <t>90 [56 - 95]</t>
  </si>
  <si>
    <t>1250 [900 - 1900]</t>
  </si>
  <si>
    <t>537 [190 - 1000]</t>
  </si>
  <si>
    <t>160 [40 - 200]</t>
  </si>
  <si>
    <t>810 [500 - 1320]</t>
  </si>
  <si>
    <t>9000 [6020 - 34770]</t>
  </si>
  <si>
    <t>14250 [14015 - 19000]</t>
  </si>
  <si>
    <t>79 [51 - 110]</t>
  </si>
  <si>
    <t>9009 [4829 - 18680]</t>
  </si>
  <si>
    <t>109 [77 - 156]</t>
  </si>
  <si>
    <t>5600 [1600 - 6090]</t>
  </si>
  <si>
    <t>580 [420 - 740]</t>
  </si>
  <si>
    <t>150 [61 - 243]</t>
  </si>
  <si>
    <t>230 [140 - 1121]</t>
  </si>
  <si>
    <t>1000 [630 - 1400]</t>
  </si>
  <si>
    <t>610 [500 - 1400]</t>
  </si>
  <si>
    <t>7500 [5900 - 8270]</t>
  </si>
  <si>
    <t>4896 [4464 - 5190]</t>
  </si>
  <si>
    <t>20 [20 - 26]</t>
  </si>
  <si>
    <t>121 [50 - 130]</t>
  </si>
  <si>
    <t>14700 [2100 - 14778]</t>
  </si>
  <si>
    <t>600 [500 - 1500]</t>
  </si>
  <si>
    <t>413 [336 - 756]</t>
  </si>
  <si>
    <t>616 [480 - 700]</t>
  </si>
  <si>
    <t>600 [370 - 600]</t>
  </si>
  <si>
    <t>10 [10 - 19]</t>
  </si>
  <si>
    <t>2550 [1700 - 3216]</t>
  </si>
  <si>
    <t>132 [128 - 352]</t>
  </si>
  <si>
    <t>120 [112 - 256]</t>
  </si>
  <si>
    <t>5712 [221 - 5796]</t>
  </si>
  <si>
    <t>3 [3 - 10]</t>
  </si>
  <si>
    <t>222 [200 - 261]</t>
  </si>
  <si>
    <t>250 [125 - 3675]</t>
  </si>
  <si>
    <t>210 [100 - 290]</t>
  </si>
  <si>
    <t>97 [75 - 148]</t>
  </si>
  <si>
    <t>250 [90 - 270]</t>
  </si>
  <si>
    <t>35 [20 - 60]</t>
  </si>
  <si>
    <t>60 [40 - 132]</t>
  </si>
  <si>
    <t>1780 [990 - 2500]</t>
  </si>
  <si>
    <t>1070 [890 - 1400]</t>
  </si>
  <si>
    <t>20 [10 - 30]</t>
  </si>
  <si>
    <t>15595 [12959 - 21260]</t>
  </si>
  <si>
    <t>4290 [2190 - 7120]</t>
  </si>
  <si>
    <t>1300 [350 - 2820]</t>
  </si>
  <si>
    <t>63 [57 - 63]</t>
  </si>
  <si>
    <t>284 [210 - 454]</t>
  </si>
  <si>
    <t>122 [62 - 330]</t>
  </si>
  <si>
    <t>42 [29 - 56]</t>
  </si>
  <si>
    <t>2502 [2238 - 2625]</t>
  </si>
  <si>
    <t>8790 [8390 - 20040]</t>
  </si>
  <si>
    <t>8190 [7790 - 10025]</t>
  </si>
  <si>
    <t>383 [312 - 388]</t>
  </si>
  <si>
    <t>8130 [7450 - 9070]</t>
  </si>
  <si>
    <t>230 [220 - 277]</t>
  </si>
  <si>
    <t>1030 [840 - 1950]</t>
  </si>
  <si>
    <t>1240 [1240 - 1240]</t>
  </si>
  <si>
    <t>172 [66 - 358]</t>
  </si>
  <si>
    <t>220 [133 - 492]</t>
  </si>
  <si>
    <t>2329 [1013 - 6258]</t>
  </si>
  <si>
    <t>1607 [1511 - 1702]</t>
  </si>
  <si>
    <t>2583 [1948 - 3855]</t>
  </si>
  <si>
    <t>3636 [2600 - 7355]</t>
  </si>
  <si>
    <t>90 [40 - 155]</t>
  </si>
  <si>
    <t>69 [32 - 157]</t>
  </si>
  <si>
    <t>381 [301 - 486]</t>
  </si>
  <si>
    <t>700 [400 - 1000]</t>
  </si>
  <si>
    <t>1512 [1428 - 2532]</t>
  </si>
  <si>
    <t>1605 [1530 - 1680]</t>
  </si>
  <si>
    <t>110 [100 - 2640]</t>
  </si>
  <si>
    <t>44 [18 - 88]</t>
  </si>
  <si>
    <t>3123 [2220 - 5268]</t>
  </si>
  <si>
    <t>107 [44 - 121]</t>
  </si>
  <si>
    <t>380 [293 - 1778]</t>
  </si>
  <si>
    <t>114 [80 - 141]</t>
  </si>
  <si>
    <t>10 [8 - 11]</t>
  </si>
  <si>
    <t>246 [184 - 500]</t>
  </si>
  <si>
    <t>250 [75 - 700]</t>
  </si>
  <si>
    <t>190 [127 - 485]</t>
  </si>
  <si>
    <t>30 [18 - 45]</t>
  </si>
  <si>
    <t>211 [87 - 294]</t>
  </si>
  <si>
    <t>40 [39 - 314]</t>
  </si>
  <si>
    <t>47 [40 - 53]</t>
  </si>
  <si>
    <t>620 [212 - 644]</t>
  </si>
  <si>
    <t>276 [225 - 426]</t>
  </si>
  <si>
    <t>300 [300 - 300]</t>
  </si>
  <si>
    <t>700 [210 - 4000]</t>
  </si>
  <si>
    <t>755 [400 - 1720]</t>
  </si>
  <si>
    <t>3444 [1035 - 7159]</t>
  </si>
  <si>
    <t>16 [4 - 50]</t>
  </si>
  <si>
    <t>171 [50 - 267]</t>
  </si>
  <si>
    <t>24 [13 - 204]</t>
  </si>
  <si>
    <t>50 [19 - 80]</t>
  </si>
  <si>
    <t>630 [210 - 1980]</t>
  </si>
  <si>
    <t>20230 [3450 - 34200]</t>
  </si>
  <si>
    <t>5600 [2000 - 28380]</t>
  </si>
  <si>
    <t>150 [42 - 395]</t>
  </si>
  <si>
    <t>9800 [3400 - 33060]</t>
  </si>
  <si>
    <t>13 [5 - 20]</t>
  </si>
  <si>
    <t>1300 [280 - 1700]</t>
  </si>
  <si>
    <t>200 [100 - 1000]</t>
  </si>
  <si>
    <t>330 [60 - 600]</t>
  </si>
  <si>
    <t>140 [80 - 180]</t>
  </si>
  <si>
    <t>190 [60 - 321]</t>
  </si>
  <si>
    <t>150 [146 - 1030]</t>
  </si>
  <si>
    <t>1860 [1000 - 3300]</t>
  </si>
  <si>
    <t>1764 [924 - 4767]</t>
  </si>
  <si>
    <t>15 [10 - 53]</t>
  </si>
  <si>
    <t>11 [6 - 29]</t>
  </si>
  <si>
    <t>280 [39 - 1239]</t>
  </si>
  <si>
    <t>318 [300 - 336]</t>
  </si>
  <si>
    <t>672 [426 - 2016]</t>
  </si>
  <si>
    <t>28 [7 - 1344]</t>
  </si>
  <si>
    <t>2700 [200 - 2780]</t>
  </si>
  <si>
    <t>20 [15 - 70]</t>
  </si>
  <si>
    <t>5000 [3400 - 12000]</t>
  </si>
  <si>
    <t>33 [11 - 325]</t>
  </si>
  <si>
    <t>108 [30 - 174]</t>
  </si>
  <si>
    <t>120 [66 - 310]</t>
  </si>
  <si>
    <t>22 [4 - 90]</t>
  </si>
  <si>
    <t>300 [250 - 800]</t>
  </si>
  <si>
    <t>80 [50 - 300]</t>
  </si>
  <si>
    <t>200 [30 - 2442]</t>
  </si>
  <si>
    <t>160 [11 - 372]</t>
  </si>
  <si>
    <t>150 [55 - 1050]</t>
  </si>
  <si>
    <t>25 [14 - 30]</t>
  </si>
  <si>
    <t>30 [7 - 200]</t>
  </si>
  <si>
    <t>400 [166 - 2413]</t>
  </si>
  <si>
    <t>130 [50 - 2800]</t>
  </si>
  <si>
    <t>3550 [1403 - 9610]</t>
  </si>
  <si>
    <t>3600 [1210 - 4080]</t>
  </si>
  <si>
    <t>3170 [3130 - 4135]</t>
  </si>
  <si>
    <t>121 [118 - 125]</t>
  </si>
  <si>
    <t>550 [397 - 620]</t>
  </si>
  <si>
    <t>370 [208 - 730]</t>
  </si>
  <si>
    <t>20 [10 - 32]</t>
  </si>
  <si>
    <t>420 [384 - 7794]</t>
  </si>
  <si>
    <t>1500 [1000 - 5400]</t>
  </si>
  <si>
    <t>6894 [5650 - 7890]</t>
  </si>
  <si>
    <t>145 [143 - 147]</t>
  </si>
  <si>
    <t>7690 [5690 - 14200]</t>
  </si>
  <si>
    <t>154 [103 - 193]</t>
  </si>
  <si>
    <t>2100 [1200 - 3830]</t>
  </si>
  <si>
    <t>1565 [910 - 3185]</t>
  </si>
  <si>
    <t>120 [67 - 160]</t>
  </si>
  <si>
    <t>250 [50 - 764]</t>
  </si>
  <si>
    <t>3504 [3500 - 3800]</t>
  </si>
  <si>
    <t>1200 [1060 - 1690]</t>
  </si>
  <si>
    <t>15000 [9340 - 22550]</t>
  </si>
  <si>
    <t>5500 [4420 - 7529]</t>
  </si>
  <si>
    <t>103 [48 - 119]</t>
  </si>
  <si>
    <t>110 [82 - 220]</t>
  </si>
  <si>
    <t>597 [38 - 3374]</t>
  </si>
  <si>
    <t>392 [392 - 392]</t>
  </si>
  <si>
    <t>780 [780 - 780]</t>
  </si>
  <si>
    <t>810 [670 - 2170]</t>
  </si>
  <si>
    <t>79 [41 - 82]</t>
  </si>
  <si>
    <t>6520 [6100 - 8420]</t>
  </si>
  <si>
    <t>203 [186 - 494]</t>
  </si>
  <si>
    <t>234 [181 - 264]</t>
  </si>
  <si>
    <t>520 [192 - 807]</t>
  </si>
  <si>
    <t>4 [3 - 5]</t>
  </si>
  <si>
    <t>400 [150 - 542]</t>
  </si>
  <si>
    <t>334 [46 - 799]</t>
  </si>
  <si>
    <t>440 [30 - 556]</t>
  </si>
  <si>
    <t>9 [8 - 44]</t>
  </si>
  <si>
    <t>76 [76 - 76]</t>
  </si>
  <si>
    <t>70 [11 - 207]</t>
  </si>
  <si>
    <t>121 [70 - 221]</t>
  </si>
  <si>
    <t>1200 [800 - 1500]</t>
  </si>
  <si>
    <t>1732 [1107 - 2350]</t>
  </si>
  <si>
    <t>31888 [23100 - 37225]</t>
  </si>
  <si>
    <t>19305 [17100 - 22765]</t>
  </si>
  <si>
    <t>11640 [9520 - 16181]</t>
  </si>
  <si>
    <t>76 [58 - 125]</t>
  </si>
  <si>
    <t>325 [150 - 855]</t>
  </si>
  <si>
    <t>183 [50 - 234]</t>
  </si>
  <si>
    <t>28 [22 - 60]</t>
  </si>
  <si>
    <t>353 [52 - 631]</t>
  </si>
  <si>
    <t>20825 [12540 - 41360]</t>
  </si>
  <si>
    <t>4105 [2265 - 11110]</t>
  </si>
  <si>
    <t>306 [193 - 421]</t>
  </si>
  <si>
    <t>14205 [10620 - 15506]</t>
  </si>
  <si>
    <t>305 [270 - 366]</t>
  </si>
  <si>
    <t>695 [280 - 1380]</t>
  </si>
  <si>
    <t>330 [251 - 450]</t>
  </si>
  <si>
    <t>312 [87 - 465]</t>
  </si>
  <si>
    <t>258 [134 - 305]</t>
  </si>
  <si>
    <t>2788 [2065 - 3532]</t>
  </si>
  <si>
    <t>18760 [14783 - 21050]</t>
  </si>
  <si>
    <t>391 [71 - 702]</t>
  </si>
  <si>
    <t>13 [11 - 32]</t>
  </si>
  <si>
    <t>6 [4 - 28]</t>
  </si>
  <si>
    <t>4511 [1380 - 12723]</t>
  </si>
  <si>
    <t>1670 [1111 - 1907]</t>
  </si>
  <si>
    <t>2464 [1136 - 2716]</t>
  </si>
  <si>
    <t>30 [10 - 680]</t>
  </si>
  <si>
    <t>19 [15 - 50]</t>
  </si>
  <si>
    <t>5505 [3275 - 5745]</t>
  </si>
  <si>
    <t>142 [89 - 220]</t>
  </si>
  <si>
    <t>30 [16 - 76]</t>
  </si>
  <si>
    <t>106 [99 - 132]</t>
  </si>
  <si>
    <t>35 [2 - 68]</t>
  </si>
  <si>
    <t>666 [621 - 2668]</t>
  </si>
  <si>
    <t>185 [51 - 527]</t>
  </si>
  <si>
    <t>243 [113 - 301]</t>
  </si>
  <si>
    <t>82 [58 - 104]</t>
  </si>
  <si>
    <t>197 [120 - 230]</t>
  </si>
  <si>
    <t>54 [39 - 65]</t>
  </si>
  <si>
    <t>723 [395 - 4435]</t>
  </si>
  <si>
    <t>890 [275 - 1310]</t>
  </si>
  <si>
    <t>560 [560 - 560]</t>
  </si>
  <si>
    <t>3970 [2925 - 10175]</t>
  </si>
  <si>
    <t>635 [300 - 1080]</t>
  </si>
  <si>
    <t>650 [480 - 790]</t>
  </si>
  <si>
    <t>496 [149 - 1768]</t>
  </si>
  <si>
    <t>303 [97 - 452]</t>
  </si>
  <si>
    <t>33 [25 - 144]</t>
  </si>
  <si>
    <t>445 [287 - 579]</t>
  </si>
  <si>
    <t>10222 [2190 - 12920]</t>
  </si>
  <si>
    <t>7210 [5300 - 9070]</t>
  </si>
  <si>
    <t>48 [31 - 55]</t>
  </si>
  <si>
    <t>4825 [900 - 5075]</t>
  </si>
  <si>
    <t>141 [10 - 180]</t>
  </si>
  <si>
    <t>1190 [1080 - 1500]</t>
  </si>
  <si>
    <t>655 [250 - 2805]</t>
  </si>
  <si>
    <t>84 [35 - 129]</t>
  </si>
  <si>
    <t>212 [100 - 263]</t>
  </si>
  <si>
    <t>1517 [954 - 2613]</t>
  </si>
  <si>
    <t>2000 [2000 - 2000]</t>
  </si>
  <si>
    <t>921 [342 - 1300]</t>
  </si>
  <si>
    <t>4605 [2848 - 6763]</t>
  </si>
  <si>
    <t>2096 [429 - 7828]</t>
  </si>
  <si>
    <t>4 [3 - 19]</t>
  </si>
  <si>
    <t>16 [6 - 24]</t>
  </si>
  <si>
    <t>98 [36 - 182]</t>
  </si>
  <si>
    <t>1870 [610 - 2960]</t>
  </si>
  <si>
    <t>543 [252 - 924]</t>
  </si>
  <si>
    <t>847 [672 - 1247]</t>
  </si>
  <si>
    <t>390 [40 - 1490]</t>
  </si>
  <si>
    <t>24 [14 - 53]</t>
  </si>
  <si>
    <t>2280 [480 - 3100]</t>
  </si>
  <si>
    <t>262 [139 - 346]</t>
  </si>
  <si>
    <t>24 [11 - 160]</t>
  </si>
  <si>
    <t>48 [12 - 125]</t>
  </si>
  <si>
    <t>19 [13 - 20]</t>
  </si>
  <si>
    <t>241 [101 - 491]</t>
  </si>
  <si>
    <t>35 [15 - 112]</t>
  </si>
  <si>
    <t>47 [17 - 102]</t>
  </si>
  <si>
    <t>57 [34 - 84]</t>
  </si>
  <si>
    <t>100 [50 - 470]</t>
  </si>
  <si>
    <t>44 [6 - 58]</t>
  </si>
  <si>
    <t>118 [20 - 189]</t>
  </si>
  <si>
    <t>101 [43 - 313]</t>
  </si>
  <si>
    <t>110 [50 - 308]</t>
  </si>
  <si>
    <t>19050 [13660 - 24016]</t>
  </si>
  <si>
    <t>18875 [14280 - 26500]</t>
  </si>
  <si>
    <t>8550 [6540 - 23125]</t>
  </si>
  <si>
    <t>142 [97 - 400]</t>
  </si>
  <si>
    <t>1598 [1365 - 3100]</t>
  </si>
  <si>
    <t>512 [370 - 1200]</t>
  </si>
  <si>
    <t>65 [55 - 90]</t>
  </si>
  <si>
    <t>367 [202 - 885]</t>
  </si>
  <si>
    <t>34470 [9400 - 82610]</t>
  </si>
  <si>
    <t>16583 [10500 - 18100]</t>
  </si>
  <si>
    <t>653 [283 - 1619]</t>
  </si>
  <si>
    <t>31930 [6500 - 66615]</t>
  </si>
  <si>
    <t>712 [225 - 1024]</t>
  </si>
  <si>
    <t>2310 [1840 - 3900]</t>
  </si>
  <si>
    <t>200 [200 - 617]</t>
  </si>
  <si>
    <t>390 [170 - 479]</t>
  </si>
  <si>
    <t>107 [62 - 319]</t>
  </si>
  <si>
    <t>9132 [1400 - 18982]</t>
  </si>
  <si>
    <t>15630 [6070 - 33582]</t>
  </si>
  <si>
    <t>50 [32 - 51]</t>
  </si>
  <si>
    <t>13 [8 - 15]</t>
  </si>
  <si>
    <t>45 [30 - 98]</t>
  </si>
  <si>
    <t>2016 [1083 - 2828]</t>
  </si>
  <si>
    <t>1442 [1398 - 1700]</t>
  </si>
  <si>
    <t>2103 [221 - 2800]</t>
  </si>
  <si>
    <t>240 [210 - 560]</t>
  </si>
  <si>
    <t>25 [16 - 35]</t>
  </si>
  <si>
    <t>10395 [3780 - 19020]</t>
  </si>
  <si>
    <t>855 [348 - 1504]</t>
  </si>
  <si>
    <t>265 [179 - 400]</t>
  </si>
  <si>
    <t>170 [123 - 306]</t>
  </si>
  <si>
    <t>51 [47 - 55]</t>
  </si>
  <si>
    <t>379 [217 - 606]</t>
  </si>
  <si>
    <t>309 [192 - 625]</t>
  </si>
  <si>
    <t>537 [307 - 1100]</t>
  </si>
  <si>
    <t>162 [51 - 330]</t>
  </si>
  <si>
    <t>259 [237 - 700]</t>
  </si>
  <si>
    <t>219 [99 - 470]</t>
  </si>
  <si>
    <t>62 [33 - 99]</t>
  </si>
  <si>
    <t>5340 [4928 - 13452]</t>
  </si>
  <si>
    <t>3100 [2929 - 3244]</t>
  </si>
  <si>
    <t>3275 [1600 - 4950]</t>
  </si>
  <si>
    <t>8435 [4910 - 18468]</t>
  </si>
  <si>
    <t>4203 [2933 - 7260]</t>
  </si>
  <si>
    <t>2645 [1613 - 6528]</t>
  </si>
  <si>
    <t>44 [30 - 73]</t>
  </si>
  <si>
    <t>1708 [1358 - 2933]</t>
  </si>
  <si>
    <t>165 [138 - 415]</t>
  </si>
  <si>
    <t>21 [12 - 30]</t>
  </si>
  <si>
    <t>1722 [810 - 5010]</t>
  </si>
  <si>
    <t>70 [70 - 70]</t>
  </si>
  <si>
    <t>6830 [5610 - 8050]</t>
  </si>
  <si>
    <t>1092 [758 - 2142]</t>
  </si>
  <si>
    <t>40360 [31580 - 49410]</t>
  </si>
  <si>
    <t>903 [244 - 1462]</t>
  </si>
  <si>
    <t>3700 [1000 - 7190]</t>
  </si>
  <si>
    <t>820 [440 - 1200]</t>
  </si>
  <si>
    <t>350 [100 - 2021]</t>
  </si>
  <si>
    <t>202 [195 - 448]</t>
  </si>
  <si>
    <t>2250 [1590 - 4462]</t>
  </si>
  <si>
    <t>6979 [3854 - 11315]</t>
  </si>
  <si>
    <t>28115 [15600 - 40815]</t>
  </si>
  <si>
    <t>2393 [480 - 4340]</t>
  </si>
  <si>
    <t>10 [6 - 105]</t>
  </si>
  <si>
    <t>1092 [1092 - 1092]</t>
  </si>
  <si>
    <t>7000 [7000 - 7000]</t>
  </si>
  <si>
    <t>630 [420 - 1274]</t>
  </si>
  <si>
    <t>1862 [854 - 2803]</t>
  </si>
  <si>
    <t>565 [455 - 765]</t>
  </si>
  <si>
    <t>13 [6 - 78]</t>
  </si>
  <si>
    <t>3650 [1180 - 7620]</t>
  </si>
  <si>
    <t>160 [68 - 571]</t>
  </si>
  <si>
    <t>61 [40 - 293]</t>
  </si>
  <si>
    <t>62 [20 - 100]</t>
  </si>
  <si>
    <t>12 [10 - 27]</t>
  </si>
  <si>
    <t>663 [373 - 937]</t>
  </si>
  <si>
    <t>420 [320 - 550]</t>
  </si>
  <si>
    <t>449 [238 - 937]</t>
  </si>
  <si>
    <t>32 [24 - 47]</t>
  </si>
  <si>
    <t>731 [185 - 1205]</t>
  </si>
  <si>
    <t>102 [63 - 140]</t>
  </si>
  <si>
    <t>82 [73 - 140]</t>
  </si>
  <si>
    <t>4500 [3610 - 4500]</t>
  </si>
  <si>
    <t>500 [300 - 1450]</t>
  </si>
  <si>
    <t>10153 [8200 - 12121]</t>
  </si>
  <si>
    <t>8163 [5330 - 10114]</t>
  </si>
  <si>
    <t>3168 [2755 - 5300]</t>
  </si>
  <si>
    <t>30 [29 - 38]</t>
  </si>
  <si>
    <t>794 [250 - 1700]</t>
  </si>
  <si>
    <t>125 [27 - 255]</t>
  </si>
  <si>
    <t>20 [16 - 21]</t>
  </si>
  <si>
    <t>1435 [1044 - 4303]</t>
  </si>
  <si>
    <t>19473 [9710 - 31830]</t>
  </si>
  <si>
    <t>9730 [4560 - 13340]</t>
  </si>
  <si>
    <t>195 [164 - 216]</t>
  </si>
  <si>
    <t>11125 [6960 - 15560]</t>
  </si>
  <si>
    <t>133 [101 - 274]</t>
  </si>
  <si>
    <t>1100 [570 - 2370]</t>
  </si>
  <si>
    <t>109 [85 - 147]</t>
  </si>
  <si>
    <t>154 [100 - 278]</t>
  </si>
  <si>
    <t>409 [150 - 451]</t>
  </si>
  <si>
    <t>1766 [1440 - 2306]</t>
  </si>
  <si>
    <t>4290 [3400 - 6895]</t>
  </si>
  <si>
    <t>555 [282 - 1258]</t>
  </si>
  <si>
    <t>10 [6 - 14]</t>
  </si>
  <si>
    <t>14 [7 - 19]</t>
  </si>
  <si>
    <t>99 [43 - 119]</t>
  </si>
  <si>
    <t>800 [480 - 1500]</t>
  </si>
  <si>
    <t>604 [347 - 1148]</t>
  </si>
  <si>
    <t>754 [560 - 830]</t>
  </si>
  <si>
    <t>260 [129 - 289]</t>
  </si>
  <si>
    <t>27 [23 - 40]</t>
  </si>
  <si>
    <t>7935 [2970 - 11540]</t>
  </si>
  <si>
    <t>462 [250 - 701]</t>
  </si>
  <si>
    <t>17 [7 - 337]</t>
  </si>
  <si>
    <t>42 [13 - 53]</t>
  </si>
  <si>
    <t>3 [2 - 5]</t>
  </si>
  <si>
    <t>357 [250 - 400]</t>
  </si>
  <si>
    <t>120 [18 - 200]</t>
  </si>
  <si>
    <t>53 [12 - 100]</t>
  </si>
  <si>
    <t>82 [28 - 150]</t>
  </si>
  <si>
    <t>270 [180 - 710]</t>
  </si>
  <si>
    <t>24 [10 - 132]</t>
  </si>
  <si>
    <t>75 [40 - 108]</t>
  </si>
  <si>
    <t>909 [600 - 1300]</t>
  </si>
  <si>
    <t>200 [200 - 900]</t>
  </si>
  <si>
    <t>150 [50 - 250]</t>
  </si>
  <si>
    <t>30800 [21400 - 40805]</t>
  </si>
  <si>
    <t>10250 [9000 - 15080]</t>
  </si>
  <si>
    <t>1080 [1050 - 1120]</t>
  </si>
  <si>
    <t>40 [30 - 50]</t>
  </si>
  <si>
    <t>2588 [1500 - 4870]</t>
  </si>
  <si>
    <t>205 [175 - 350]</t>
  </si>
  <si>
    <t>40 [20 - 110]</t>
  </si>
  <si>
    <t>2682 [2050 - 4500]</t>
  </si>
  <si>
    <t>17450 [9000 - 27040]</t>
  </si>
  <si>
    <t>8100 [7500 - 19380]</t>
  </si>
  <si>
    <t>234 [216 - 1000]</t>
  </si>
  <si>
    <t>27500 [15400 - 79450]</t>
  </si>
  <si>
    <t>77 [40 - 145]</t>
  </si>
  <si>
    <t>950 [750 - 2300]</t>
  </si>
  <si>
    <t>430 [430 - 430]</t>
  </si>
  <si>
    <t>406 [49 - 762]</t>
  </si>
  <si>
    <t>140 [100 - 2630]</t>
  </si>
  <si>
    <t>100 [40 - 131]</t>
  </si>
  <si>
    <t>90 [90 - 90]</t>
  </si>
  <si>
    <t>1080 [502 - 1840]</t>
  </si>
  <si>
    <t>985 [400 - 1770]</t>
  </si>
  <si>
    <t>69 [69 - 69]</t>
  </si>
  <si>
    <t>10 [5 - 14]</t>
  </si>
  <si>
    <t>10 [7 - 271]</t>
  </si>
  <si>
    <t>145 [145 - 145]</t>
  </si>
  <si>
    <t>1912 [900 - 2924]</t>
  </si>
  <si>
    <t>892 [490 - 1648]</t>
  </si>
  <si>
    <t>1176 [900 - 1484]</t>
  </si>
  <si>
    <t>1010 [30 - 2795]</t>
  </si>
  <si>
    <t>40 [40 - 40]</t>
  </si>
  <si>
    <t>13 [5 - 31]</t>
  </si>
  <si>
    <t>550 [400 - 700]</t>
  </si>
  <si>
    <t>323 [172 - 690]</t>
  </si>
  <si>
    <t>136 [80 - 148]</t>
  </si>
  <si>
    <t>20 [5 - 145]</t>
  </si>
  <si>
    <t>8 [8 - 23]</t>
  </si>
  <si>
    <t>335 [178 - 1000]</t>
  </si>
  <si>
    <t>550 [400 - 650]</t>
  </si>
  <si>
    <t>191 [50 - 400]</t>
  </si>
  <si>
    <t>116 [20 - 410]</t>
  </si>
  <si>
    <t>100 [100 - 250]</t>
  </si>
  <si>
    <t>363 [23 - 829]</t>
  </si>
  <si>
    <t>93 [32 - 324]</t>
  </si>
  <si>
    <t>200 [150 - 290]</t>
  </si>
  <si>
    <t>170 [61 - 1470]</t>
  </si>
  <si>
    <t>840 [165 - 18200]</t>
  </si>
  <si>
    <t>7703 [1405 - 14000]</t>
  </si>
  <si>
    <t>620 [40 - 1200]</t>
  </si>
  <si>
    <t>695 [125 - 2595]</t>
  </si>
  <si>
    <t>30 [30 - 115]</t>
  </si>
  <si>
    <t>32 [30 - 60]</t>
  </si>
  <si>
    <t>15000 [15000 - 15000]</t>
  </si>
  <si>
    <t>3850 [3000 - 4700]</t>
  </si>
  <si>
    <t>4000 [950 - 5235]</t>
  </si>
  <si>
    <t>240 [240 - 240]</t>
  </si>
  <si>
    <t>30000 [20000 - 33600]</t>
  </si>
  <si>
    <t>136 [79 - 157]</t>
  </si>
  <si>
    <t>1800 [790 - 6000]</t>
  </si>
  <si>
    <t>600 [600 - 600]</t>
  </si>
  <si>
    <t>6 [6 - 6]</t>
  </si>
  <si>
    <t>450 [20 - 650]</t>
  </si>
  <si>
    <t>430 [190 - 700]</t>
  </si>
  <si>
    <t>1500 [1420 - 2400]</t>
  </si>
  <si>
    <t>3300 [500 - 10000]</t>
  </si>
  <si>
    <t>780 [624 - 1202]</t>
  </si>
  <si>
    <t>8 [6 - 9]</t>
  </si>
  <si>
    <t>39 [18 - 67]</t>
  </si>
  <si>
    <t>197 [197 - 197]</t>
  </si>
  <si>
    <t>196 [84 - 308]</t>
  </si>
  <si>
    <t>336 [112 - 560]</t>
  </si>
  <si>
    <t>7800 [7800 - 7800]</t>
  </si>
  <si>
    <t>17 [17 - 17]</t>
  </si>
  <si>
    <t>106 [68 - 3563]</t>
  </si>
  <si>
    <t>76 [40 - 116]</t>
  </si>
  <si>
    <t>150 [150 - 150]</t>
  </si>
  <si>
    <t>20 [1 - 34]</t>
  </si>
  <si>
    <t>225 [200 - 250]</t>
  </si>
  <si>
    <t>1000 [3 - 2100]</t>
  </si>
  <si>
    <t>24 [17 - 30]</t>
  </si>
  <si>
    <t>29 [8 - 64]</t>
  </si>
  <si>
    <t>388 [141 - 550]</t>
  </si>
  <si>
    <t>200 [200 - 200]</t>
  </si>
  <si>
    <t>38 [14 - 83]</t>
  </si>
  <si>
    <t>3450 [2250 - 13400]</t>
  </si>
  <si>
    <t>495 [90 - 900]</t>
  </si>
  <si>
    <t>25750 [10000 - 31800]</t>
  </si>
  <si>
    <t>9800 [7000 - 11860]</t>
  </si>
  <si>
    <t>6235 [4385 - 11280]</t>
  </si>
  <si>
    <t>27 [18 - 100]</t>
  </si>
  <si>
    <t>1050 [1000 - 1700]</t>
  </si>
  <si>
    <t>32 [17 - 209]</t>
  </si>
  <si>
    <t>23 [15 - 29]</t>
  </si>
  <si>
    <t>1578 [329 - 3537]</t>
  </si>
  <si>
    <t>17500 [16250 - 23000]</t>
  </si>
  <si>
    <t>2350 [1025 - 3910]</t>
  </si>
  <si>
    <t>19 [10 - 120]</t>
  </si>
  <si>
    <t>3290 [1890 - 17355]</t>
  </si>
  <si>
    <t>66 [23 - 173]</t>
  </si>
  <si>
    <t>2050 [1500 - 4605]</t>
  </si>
  <si>
    <t>19 [11 - 820]</t>
  </si>
  <si>
    <t>97 [90 - 827]</t>
  </si>
  <si>
    <t>628 [352 - 630]</t>
  </si>
  <si>
    <t>9082 [5188 - 11800]</t>
  </si>
  <si>
    <t>314 [206 - 610]</t>
  </si>
  <si>
    <t>26 [14 - 31]</t>
  </si>
  <si>
    <t>47 [24 - 53]</t>
  </si>
  <si>
    <t>839 [394 - 16951]</t>
  </si>
  <si>
    <t>580 [160 - 1000]</t>
  </si>
  <si>
    <t>1344 [1344 - 1344]</t>
  </si>
  <si>
    <t>1680 [1344 - 2016]</t>
  </si>
  <si>
    <t>7 [6 - 15]</t>
  </si>
  <si>
    <t>170 [150 - 4540]</t>
  </si>
  <si>
    <t>250 [80 - 306]</t>
  </si>
  <si>
    <t>10 [6 - 21]</t>
  </si>
  <si>
    <t>293 [147 - 407]</t>
  </si>
  <si>
    <t>3 [2 - 9]</t>
  </si>
  <si>
    <t>100 [80 - 1400]</t>
  </si>
  <si>
    <t>300 [262 - 300]</t>
  </si>
  <si>
    <t>54 [35 - 92]</t>
  </si>
  <si>
    <t>39 [8 - 75]</t>
  </si>
  <si>
    <t>200 [190 - 286]</t>
  </si>
  <si>
    <t>37 [5 - 378]</t>
  </si>
  <si>
    <t>50 [50 - 133]</t>
  </si>
  <si>
    <t>750 [430 - 1500]</t>
  </si>
  <si>
    <t>530 [125 - 617]</t>
  </si>
  <si>
    <t>9193 [6360 - 28600]</t>
  </si>
  <si>
    <t>12130 [9070 - 14250]</t>
  </si>
  <si>
    <t>5830 [3200 - 9750]</t>
  </si>
  <si>
    <t>445 [280 - 690]</t>
  </si>
  <si>
    <t>468 [400 - 1120]</t>
  </si>
  <si>
    <t>218 [140 - 240]</t>
  </si>
  <si>
    <t>50 [37 - 89]</t>
  </si>
  <si>
    <t>960 [600 - 1440]</t>
  </si>
  <si>
    <t>9350 [8000 - 18890]</t>
  </si>
  <si>
    <t>10560 [8100 - 12700]</t>
  </si>
  <si>
    <t>379 [316 - 1093]</t>
  </si>
  <si>
    <t>12330 [7390 - 16030]</t>
  </si>
  <si>
    <t>268 [170 - 1137]</t>
  </si>
  <si>
    <t>1200 [820 - 1500]</t>
  </si>
  <si>
    <t>220 [150 - 290]</t>
  </si>
  <si>
    <t>146 [119 - 303]</t>
  </si>
  <si>
    <t>155 [30 - 183]</t>
  </si>
  <si>
    <t>325 [120 - 670]</t>
  </si>
  <si>
    <t>1099 [900 - 1600]</t>
  </si>
  <si>
    <t>7760 [6175 - 9310]</t>
  </si>
  <si>
    <t>163 [100 - 300]</t>
  </si>
  <si>
    <t>18 [10 - 20]</t>
  </si>
  <si>
    <t>27 [20 - 150]</t>
  </si>
  <si>
    <t>162 [24 - 987]</t>
  </si>
  <si>
    <t>275 [100 - 450]</t>
  </si>
  <si>
    <t>630 [588 - 672]</t>
  </si>
  <si>
    <t>1638 [1288 - 1988]</t>
  </si>
  <si>
    <t>1970 [1250 - 2690]</t>
  </si>
  <si>
    <t>57 [33 - 105]</t>
  </si>
  <si>
    <t>10950 [2780 - 16010]</t>
  </si>
  <si>
    <t>509 [358 - 3994]</t>
  </si>
  <si>
    <t>288 [146 - 340]</t>
  </si>
  <si>
    <t>133 [13 - 245]</t>
  </si>
  <si>
    <t>17 [10 - 49]</t>
  </si>
  <si>
    <t>260 [187 - 900]</t>
  </si>
  <si>
    <t>300 [50 - 850]</t>
  </si>
  <si>
    <t>290 [53 - 400]</t>
  </si>
  <si>
    <t>5 [1 - 9]</t>
  </si>
  <si>
    <t>144 [110 - 300]</t>
  </si>
  <si>
    <t>152 [116 - 340]</t>
  </si>
  <si>
    <t>67 [63 - 169]</t>
  </si>
  <si>
    <t>2800 [900 - 4910]</t>
  </si>
  <si>
    <t>1680 [800 - 3645]</t>
  </si>
  <si>
    <t>730 [730 - 730]</t>
  </si>
  <si>
    <t>4657 [3900 - 10800]</t>
  </si>
  <si>
    <t>600 [190 - 1600]</t>
  </si>
  <si>
    <t>2190 [2077 - 2820]</t>
  </si>
  <si>
    <t>4 [2 - 14]</t>
  </si>
  <si>
    <t>940 [398 - 2475]</t>
  </si>
  <si>
    <t>100 [25 - 179]</t>
  </si>
  <si>
    <t>9 [6 - 21]</t>
  </si>
  <si>
    <t>442 [22 - 862]</t>
  </si>
  <si>
    <t>16080 [7100 - 47258]</t>
  </si>
  <si>
    <t>3000 [50 - 7680]</t>
  </si>
  <si>
    <t>210 [167 - 597]</t>
  </si>
  <si>
    <t>2600 [1800 - 3730]</t>
  </si>
  <si>
    <t>130 [108 - 136]</t>
  </si>
  <si>
    <t>700 [470 - 1135]</t>
  </si>
  <si>
    <t>170 [51 - 230]</t>
  </si>
  <si>
    <t>95 [69 - 100]</t>
  </si>
  <si>
    <t>165 [79 - 630]</t>
  </si>
  <si>
    <t>4788 [4788 - 4788]</t>
  </si>
  <si>
    <t>2620 [2178 - 30000]</t>
  </si>
  <si>
    <t>1000 [120 - 1360]</t>
  </si>
  <si>
    <t>2187 [789 - 5000]</t>
  </si>
  <si>
    <t>200 [70 - 225]</t>
  </si>
  <si>
    <t>73 [45 - 155]</t>
  </si>
  <si>
    <t>574 [353 - 1482]</t>
  </si>
  <si>
    <t>1000 [800 - 1200]</t>
  </si>
  <si>
    <t>3650 [1532 - 5768]</t>
  </si>
  <si>
    <t>8820 [2688 - 14952]</t>
  </si>
  <si>
    <t>390 [150 - 780]</t>
  </si>
  <si>
    <t>47 [32 - 136]</t>
  </si>
  <si>
    <t>2310 [1770 - 2700]</t>
  </si>
  <si>
    <t>140 [101 - 571]</t>
  </si>
  <si>
    <t>524 [280 - 1680]</t>
  </si>
  <si>
    <t>355 [275 - 831]</t>
  </si>
  <si>
    <t>13 [6 - 32]</t>
  </si>
  <si>
    <t>317 [300 - 450]</t>
  </si>
  <si>
    <t>1225 [975 - 3675]</t>
  </si>
  <si>
    <t>63 [55 - 510]</t>
  </si>
  <si>
    <t>21 [17 - 120]</t>
  </si>
  <si>
    <t>320 [300 - 322]</t>
  </si>
  <si>
    <t>99 [51 - 3059]</t>
  </si>
  <si>
    <t>100 [14 - 111]</t>
  </si>
  <si>
    <t>4600 [3500 - 6964]</t>
  </si>
  <si>
    <t>1000 [650 - 1300]</t>
  </si>
  <si>
    <t>26500 [13200 - 36570]</t>
  </si>
  <si>
    <t>1240 [870 - 4500]</t>
  </si>
  <si>
    <t>311 [60 - 670]</t>
  </si>
  <si>
    <t>70 [50 - 2270]</t>
  </si>
  <si>
    <t>493 [288 - 1447]</t>
  </si>
  <si>
    <t>409 [276 - 558]</t>
  </si>
  <si>
    <t>20 [14 - 30]</t>
  </si>
  <si>
    <t>300 [294 - 780]</t>
  </si>
  <si>
    <t>21900 [7640 - 38520]</t>
  </si>
  <si>
    <t>3200 [1480 - 14000]</t>
  </si>
  <si>
    <t>43 [35 - 85]</t>
  </si>
  <si>
    <t>8960 [3000 - 17000]</t>
  </si>
  <si>
    <t>162 [105 - 354]</t>
  </si>
  <si>
    <t>1000 [550 - 1800]</t>
  </si>
  <si>
    <t>163 [84 - 660]</t>
  </si>
  <si>
    <t>30 [12 - 241]</t>
  </si>
  <si>
    <t>170 [70 - 250]</t>
  </si>
  <si>
    <t>1492 [650 - 4200]</t>
  </si>
  <si>
    <t>4000 [2360 - 4700]</t>
  </si>
  <si>
    <t>3660 [918 - 4900]</t>
  </si>
  <si>
    <t>33 [17 - 45]</t>
  </si>
  <si>
    <t>30 [27 - 104]</t>
  </si>
  <si>
    <t>315 [226 - 1070]</t>
  </si>
  <si>
    <t>500 [400 - 600]</t>
  </si>
  <si>
    <t>1868 [1736 - 2044]</t>
  </si>
  <si>
    <t>2192 [848 - 3388]</t>
  </si>
  <si>
    <t>1710 [450 - 3170]</t>
  </si>
  <si>
    <t>56 [23 - 195]</t>
  </si>
  <si>
    <t>7300 [4270 - 8500]</t>
  </si>
  <si>
    <t>121 [67 - 386]</t>
  </si>
  <si>
    <t>144 [50 - 201]</t>
  </si>
  <si>
    <t>51 [13 - 53]</t>
  </si>
  <si>
    <t>22 [2 - 22]</t>
  </si>
  <si>
    <t>560 [348 - 1290]</t>
  </si>
  <si>
    <t>200 [130 - 461]</t>
  </si>
  <si>
    <t>280 [110 - 495]</t>
  </si>
  <si>
    <t>34 [12 - 269]</t>
  </si>
  <si>
    <t>213 [70 - 374]</t>
  </si>
  <si>
    <t>23 [11 - 39]</t>
  </si>
  <si>
    <t>60 [45 - 74]</t>
  </si>
  <si>
    <t>2195 [577 - 3700]</t>
  </si>
  <si>
    <t>123 [110 - 200]</t>
  </si>
  <si>
    <t>9685 [7275 - 25360]</t>
  </si>
  <si>
    <t>2720 [2300 - 4370]</t>
  </si>
  <si>
    <t>650 [335 - 8700]</t>
  </si>
  <si>
    <t>52 [36 - 160]</t>
  </si>
  <si>
    <t>664 [255 - 1120]</t>
  </si>
  <si>
    <t>340 [210 - 640]</t>
  </si>
  <si>
    <t>25 [11 - 289]</t>
  </si>
  <si>
    <t>300 [240 - 1755]</t>
  </si>
  <si>
    <t>15975 [9200 - 23470]</t>
  </si>
  <si>
    <t>2463 [1138 - 6800]</t>
  </si>
  <si>
    <t>211 [203 - 390]</t>
  </si>
  <si>
    <t>14600 [14218 - 15030]</t>
  </si>
  <si>
    <t>248 [155 - 1199]</t>
  </si>
  <si>
    <t>2020 [1642 - 4800]</t>
  </si>
  <si>
    <t>55 [40 - 70]</t>
  </si>
  <si>
    <t>157 [103 - 188]</t>
  </si>
  <si>
    <t>94 [53 - 396]</t>
  </si>
  <si>
    <t>300 [130 - 3500]</t>
  </si>
  <si>
    <t>688 [560 - 1440]</t>
  </si>
  <si>
    <t>2100 [2000 - 3150]</t>
  </si>
  <si>
    <t>794 [354 - 3301]</t>
  </si>
  <si>
    <t>18 [13 - 33]</t>
  </si>
  <si>
    <t>18 [15 - 18]</t>
  </si>
  <si>
    <t>34 [15 - 120]</t>
  </si>
  <si>
    <t>10000 [10000 - 10000]</t>
  </si>
  <si>
    <t>7372 [7372 - 7372]</t>
  </si>
  <si>
    <t>14112 [14112 - 14112]</t>
  </si>
  <si>
    <t>2500 [440 - 5020]</t>
  </si>
  <si>
    <t>57 [14 - 236]</t>
  </si>
  <si>
    <t>8500 [2990 - 29300]</t>
  </si>
  <si>
    <t>171 [153 - 401]</t>
  </si>
  <si>
    <t>118 [75 - 208]</t>
  </si>
  <si>
    <t>395 [32 - 900]</t>
  </si>
  <si>
    <t>28 [7 - 48]</t>
  </si>
  <si>
    <t>332 [300 - 560]</t>
  </si>
  <si>
    <t>344 [155 - 944]</t>
  </si>
  <si>
    <t>200 [105 - 300]</t>
  </si>
  <si>
    <t>99 [44 - 425]</t>
  </si>
  <si>
    <t>638 [150 - 1125]</t>
  </si>
  <si>
    <t>21 [15 - 307]</t>
  </si>
  <si>
    <t>400 [150 - 4580]</t>
  </si>
  <si>
    <t>300 [300 - 4600]</t>
  </si>
  <si>
    <t>30 [30 - 30]</t>
  </si>
  <si>
    <t>7500 [1950 - 7820]</t>
  </si>
  <si>
    <t>6103 [3733 - 6975]</t>
  </si>
  <si>
    <t>10325 [8390 - 12248]</t>
  </si>
  <si>
    <t>971 [700 - 2800]</t>
  </si>
  <si>
    <t>91 [72 - 110]</t>
  </si>
  <si>
    <t>31 [29 - 33]</t>
  </si>
  <si>
    <t>265 [176 - 354]</t>
  </si>
  <si>
    <t>26615 [24810 - 28420]</t>
  </si>
  <si>
    <t>3750 [2750 - 4750]</t>
  </si>
  <si>
    <t>162 [136 - 188]</t>
  </si>
  <si>
    <t>20555 [17239 - 23870]</t>
  </si>
  <si>
    <t>270 [221 - 319]</t>
  </si>
  <si>
    <t>3468 [2825 - 4110]</t>
  </si>
  <si>
    <t>157 [136 - 178]</t>
  </si>
  <si>
    <t>81 [50 - 111]</t>
  </si>
  <si>
    <t>2731 [2564 - 2898]</t>
  </si>
  <si>
    <t>5890 [4680 - 7100]</t>
  </si>
  <si>
    <t>1459 [1440 - 1478]</t>
  </si>
  <si>
    <t>5 [4 - 5]</t>
  </si>
  <si>
    <t>11 [7 - 14]</t>
  </si>
  <si>
    <t>43 [15 - 71]</t>
  </si>
  <si>
    <t>132 [132 - 132]</t>
  </si>
  <si>
    <t>728 [728 - 728]</t>
  </si>
  <si>
    <t>480 [120 - 840]</t>
  </si>
  <si>
    <t>31 [31 - 31]</t>
  </si>
  <si>
    <t>7180 [920 - 13440]</t>
  </si>
  <si>
    <t>54 [54 - 54]</t>
  </si>
  <si>
    <t>52 [24 - 80]</t>
  </si>
  <si>
    <t>19 [19 - 19]</t>
  </si>
  <si>
    <t>5 [3 - 7]</t>
  </si>
  <si>
    <t>159 [10 - 307]</t>
  </si>
  <si>
    <t>88 [68 - 108]</t>
  </si>
  <si>
    <t>54 [47 - 60]</t>
  </si>
  <si>
    <t>212 [167 - 256]</t>
  </si>
  <si>
    <t>23 [23 - 23]</t>
  </si>
  <si>
    <t>18 [18 - 18]</t>
  </si>
  <si>
    <t>3130 [2260 - 4000]</t>
  </si>
  <si>
    <t>1950 [400 - 4700]</t>
  </si>
  <si>
    <t>1700 [550 - 10050]</t>
  </si>
  <si>
    <t>210 [50 - 590]</t>
  </si>
  <si>
    <t>30 [6 - 154]</t>
  </si>
  <si>
    <t>775 [500 - 1250]</t>
  </si>
  <si>
    <t>99 [55 - 100]</t>
  </si>
  <si>
    <t>37 [20 - 48]</t>
  </si>
  <si>
    <t>1200 [750 - 1650]</t>
  </si>
  <si>
    <t>3000 [2100 - 3400]</t>
  </si>
  <si>
    <t>4200 [2400 - 10800]</t>
  </si>
  <si>
    <t>50 [38 - 282]</t>
  </si>
  <si>
    <t>6250 [4500 - 8470]</t>
  </si>
  <si>
    <t>57 [40 - 160]</t>
  </si>
  <si>
    <t>150 [100 - 1100]</t>
  </si>
  <si>
    <t>685 [300 - 1670]</t>
  </si>
  <si>
    <t>300 [290 - 830]</t>
  </si>
  <si>
    <t>525 [300 - 900]</t>
  </si>
  <si>
    <t>125 [20 - 290]</t>
  </si>
  <si>
    <t>28 [6 - 50]</t>
  </si>
  <si>
    <t>2010 [180 - 3000]</t>
  </si>
  <si>
    <t>900 [400 - 1400]</t>
  </si>
  <si>
    <t>578 [150 - 1050]</t>
  </si>
  <si>
    <t>18 [8 - 150]</t>
  </si>
  <si>
    <t>18 [13 - 36]</t>
  </si>
  <si>
    <t>132 [68 - 276]</t>
  </si>
  <si>
    <t>200 [116 - 1900]</t>
  </si>
  <si>
    <t>756 [324 - 2320]</t>
  </si>
  <si>
    <t>280 [180 - 820]</t>
  </si>
  <si>
    <t>200 [95 - 600]</t>
  </si>
  <si>
    <t>70 [60 - 100]</t>
  </si>
  <si>
    <t>1900 [300 - 6300]</t>
  </si>
  <si>
    <t>91 [43 - 305]</t>
  </si>
  <si>
    <t>471 [228 - 960]</t>
  </si>
  <si>
    <t>181 [53 - 606]</t>
  </si>
  <si>
    <t>48 [9 - 54]</t>
  </si>
  <si>
    <t>495 [92 - 600]</t>
  </si>
  <si>
    <t>355 [200 - 650]</t>
  </si>
  <si>
    <t>2389 [550 - 4000]</t>
  </si>
  <si>
    <t>114 [55 - 150]</t>
  </si>
  <si>
    <t>215 [20 - 300]</t>
  </si>
  <si>
    <t>29 [20 - 32]</t>
  </si>
  <si>
    <t>47 [20 - 55]</t>
  </si>
  <si>
    <t>950 [90 - 3600]</t>
  </si>
  <si>
    <t>605 [100 - 1400]</t>
  </si>
  <si>
    <t>1600 [500 - 3300]</t>
  </si>
  <si>
    <t># PHC</t>
  </si>
  <si>
    <t># BHC</t>
  </si>
  <si>
    <t># CHC</t>
  </si>
  <si>
    <t># DH</t>
  </si>
  <si>
    <t># PH</t>
  </si>
  <si>
    <t># RH</t>
  </si>
  <si>
    <t># U5 interviews</t>
  </si>
  <si>
    <t># FP interviews</t>
  </si>
  <si>
    <t># Health workers (vignettes)</t>
  </si>
  <si>
    <t>Outcome quality - total</t>
  </si>
  <si>
    <t>Children under the age of 5</t>
  </si>
  <si>
    <t>Outcome quality</t>
  </si>
  <si>
    <t>Family planning</t>
  </si>
  <si>
    <t>Client Satisfaction</t>
  </si>
  <si>
    <t>Content of care quality - total</t>
  </si>
  <si>
    <t>H</t>
  </si>
  <si>
    <t>History section</t>
  </si>
  <si>
    <t>P</t>
  </si>
  <si>
    <t>Physical/laboratory section</t>
  </si>
  <si>
    <t>D</t>
  </si>
  <si>
    <t>Diagnosis, Classification, Interpretation (or Choice of Family Planning method)</t>
  </si>
  <si>
    <t>T</t>
  </si>
  <si>
    <t>Treatment</t>
  </si>
  <si>
    <t>E</t>
  </si>
  <si>
    <t>Explanation and advice to the patient, care taker or companion, Action, Counselling, Follow up advice for the client</t>
  </si>
  <si>
    <t>Pneumonia</t>
  </si>
  <si>
    <t>Diarrhea</t>
  </si>
  <si>
    <t>Growth Monitoring and Promotion</t>
  </si>
  <si>
    <t>TB Patient management</t>
  </si>
  <si>
    <t>Labor</t>
  </si>
  <si>
    <t>PNC</t>
  </si>
  <si>
    <t>First ANC visit</t>
  </si>
  <si>
    <t>Birth spacing/ Family planning</t>
  </si>
  <si>
    <t>Changing FB method to injectable</t>
  </si>
  <si>
    <t>PPH</t>
  </si>
  <si>
    <t>Domain 1: General management (14 points)</t>
  </si>
  <si>
    <t>Domain2: Hygiene (34 points)</t>
  </si>
  <si>
    <t>Domain 3: OPD/Curative Consultations (44 points</t>
  </si>
  <si>
    <t>Domain 4: Family planning (23 points)</t>
  </si>
  <si>
    <t>Domain 6: Essential Drugs Management (52 points)</t>
  </si>
  <si>
    <t>Domain 7: Availability of tracer drugs (92 points)</t>
  </si>
  <si>
    <t>Domain 8: Maternity (29 points)</t>
  </si>
  <si>
    <t>Domain 10: Antenatal care (13 points)</t>
  </si>
  <si>
    <t>Overall score (343 points)</t>
  </si>
  <si>
    <t>Number of health facilities</t>
  </si>
  <si>
    <t>Availability of tracer drugs</t>
  </si>
  <si>
    <t>Conditions in waiting area for immunization services</t>
  </si>
  <si>
    <t>Existence of a system to recover drop-outs</t>
  </si>
  <si>
    <t>Domain 13 score</t>
  </si>
  <si>
    <t>HER R2 QQC, Structural Indicators
April 2023 - June 2023</t>
  </si>
  <si>
    <t xml:space="preserve">Province name </t>
  </si>
  <si>
    <t>XXX</t>
  </si>
  <si>
    <t>Domain 1: General Management (14 points)</t>
  </si>
  <si>
    <t>Domain 2: Hygiene (34 points)</t>
  </si>
  <si>
    <t>Domain 3: OPD / Curative Consultations (44 points)</t>
  </si>
  <si>
    <t>Domain 5: Laboratory (15 points)</t>
  </si>
  <si>
    <t>N/A</t>
  </si>
  <si>
    <t>Domain 7: Tracer drugs (92 points)</t>
  </si>
  <si>
    <t>Domain 9: EPI (27 points)</t>
  </si>
  <si>
    <t>Domain 10: Antenatal Care (13 points)</t>
  </si>
  <si>
    <t>HER R2 QCC, Structural Indicators</t>
  </si>
  <si>
    <t>NOTES FOR COMBINING INDICATOR GROUPS (numbers refer to QCC_SI_PROV_ALL sheet)</t>
  </si>
  <si>
    <t>Badakshan</t>
  </si>
  <si>
    <t>Nangrahar</t>
  </si>
  <si>
    <t>Saripul</t>
  </si>
  <si>
    <t>Summary score</t>
  </si>
  <si>
    <t>Technical and Health Shura meetings</t>
  </si>
  <si>
    <t>Combination of (4) Technical meetings (Management Committee Meetings &amp; Clinical Staff Meetings - this incudes Quality Improvement Committee) are conducted monthly and minutes available. QI committee meetings can alternate with clinical staff meetings; with 2 weeks between meetings and (9) Health Shura meetings conducted monthly and minutes available</t>
  </si>
  <si>
    <t>Phone availability</t>
  </si>
  <si>
    <t>HMIS reports</t>
  </si>
  <si>
    <t>Combination of (7) HMIS reports are sent to the SP provincial offices for data entry at the same time as HMIS reports are sent to the MoPH and (8) HMIS data analysis report for the quarter being assessed concerning priority problems</t>
  </si>
  <si>
    <t xml:space="preserve">Summary score </t>
  </si>
  <si>
    <t>Garbage bin, waste pit, Medical waste bins and Health Care waste disposal</t>
  </si>
  <si>
    <t>Combination of (2) Availability of a garbage bin in the courtyard and (5) Waste pit for Health Care Waste is available and according to the norms and (8) Hygienic conditions assured during wound dressing and injections and (9) Disposal of Health Care Waste according to National Norms</t>
  </si>
  <si>
    <t>Latrines/toilets and showers</t>
  </si>
  <si>
    <t>Combination of (3) Presence of sufficient latrines/toilets which are well-maintained and (4) Presence of sufficient showers which are well-maintained</t>
  </si>
  <si>
    <t>Good conditions in waiting area and consultation room</t>
  </si>
  <si>
    <t xml:space="preserve">Combination of (1) Good conditions in waiting area and (3) Existence and use of waiting card (or token) system with numbers (4) Consultation room in good condition (at least one; the composite criteria below refer to the consultation room for women) and (5) Consultation room (where emergencies are received) has 24/7 light </t>
  </si>
  <si>
    <t>Consultations done by skilled staff, staff is well-dressed</t>
  </si>
  <si>
    <t>Combination of (6) Consultations are done by skilled staff and (7) Consulting staff is well-dressed</t>
  </si>
  <si>
    <t>Malaria, ARI, and Diarrhea protocol</t>
  </si>
  <si>
    <t>Combination of (10) Malaria protocol on wall and accessible for staff and (11) WHO flow diagram for ARI on wall and accessible for staff and (12) ARI protocol applied and (13) WHO protocol for Diarrhea on wall and accessible for staff and (14) Diarrhea protocol applied</t>
  </si>
  <si>
    <t>Essential tools (Stethoscope and BP machine, thermometer, otoscope, examination table, weighing scale) available and functional</t>
  </si>
  <si>
    <t>Combination of (18) Stethoscope and BP machine available and functional and (19) Thermometer available and functional and (20) Otoscope available and functional and (21) Examination table with padding available and (22) Weighing scale available and functional</t>
  </si>
  <si>
    <t>Family planning methods available, including trained staff for IUD and implants</t>
  </si>
  <si>
    <t>Combination of (3) Family planning methods available and visible in demonstration box for potential users and (4) IUD available and staff trained to use it and (5) Implant method available and staff trained to use it</t>
  </si>
  <si>
    <t>Medical Laboratory technician available and Laboratory open every day</t>
  </si>
  <si>
    <t>Combination of (1) Medical Laboratory technician available and (2) Laboratory is open every day of the week</t>
  </si>
  <si>
    <t>Microscope and centrifuge available</t>
  </si>
  <si>
    <t>Combination of (6) Microscope available and (7) Centrifuge available and functional</t>
  </si>
  <si>
    <t>Waste evacuation and disinfecting pipettes</t>
  </si>
  <si>
    <t>Combination of (8) Waste evacuation correctly carried out and (9) Personnel adequately washes dirty pipettes in containers with disinfectant</t>
  </si>
  <si>
    <t>Sorting and storing drug stock</t>
  </si>
  <si>
    <t>Combination of (1) Health Facility has separate rooms for dispensary and main stocks and (4) Drugs stored correctly</t>
  </si>
  <si>
    <t>Availability and condition of tools, equipment and rooms (partograph, scales, obstrectical stethoscope, episiotomy/perineal repair box, delivery table, equipment for care for newborn, adequatedilvery and in-patient rooms)</t>
  </si>
  <si>
    <t xml:space="preserve">Combination of (4) Delivery room is well-maintained and (5) Availability and use of the partograp and (7) Availability of scales for weight/length, an obstetrical stethoscope and (8) Availability of at the least one episiotomy /perineal repair box and (9) Delivery table in good state and (10) Available equipment for care of the newborn and (11) Adequate in-patient rooms </t>
  </si>
  <si>
    <t>Availability of Cold Boxes and Cold packs, syringes, safe disposal box and U5 growth card, baby weighing scale</t>
  </si>
  <si>
    <t>Combination of (6) Cold Boxes and Cold packs and (7) Syringes available and (8) Waste collection availability of safe disposal box and (9) Stock of U5 growth cards available and (13) Baby weighing scale available and in working condition</t>
  </si>
  <si>
    <t>HER R2 QCC, Exit and Vignettes</t>
  </si>
  <si>
    <t>Province Name</t>
  </si>
  <si>
    <t xml:space="preserve">Facility type </t>
  </si>
  <si>
    <t>Number of Client interviews</t>
  </si>
  <si>
    <t>Number of Health worker interviews</t>
  </si>
  <si>
    <t xml:space="preserve">Exit interview with caregiver sick child under 5 	</t>
  </si>
  <si>
    <t>Content of care</t>
  </si>
  <si>
    <t>Vignettes</t>
  </si>
  <si>
    <t>Physical section</t>
  </si>
  <si>
    <t>L</t>
  </si>
  <si>
    <t>Laboratory section</t>
  </si>
  <si>
    <t>Diagnosis, Classification, Interpretation, Choice of Family Planning method</t>
  </si>
  <si>
    <t>Exit interviews U5</t>
  </si>
  <si>
    <t>Exit interviews Family planning</t>
  </si>
  <si>
    <t>Overall score exit interviews and vignettes</t>
  </si>
  <si>
    <t>Number of facilities</t>
  </si>
  <si>
    <t>Number of U5 interviews</t>
  </si>
  <si>
    <t>Content of Care</t>
  </si>
  <si>
    <t>Number of FP interviews</t>
  </si>
  <si>
    <t>Client satisfaction</t>
  </si>
  <si>
    <t>Exit interview FP score</t>
  </si>
  <si>
    <t>Number of vignettes</t>
  </si>
  <si>
    <t>Vignettes score</t>
  </si>
  <si>
    <t>HER R2 QQC, Exit and Vignettes
April 2023 - June 2023</t>
  </si>
  <si>
    <t>HER R2 QQC SUMMARY SCORES
April 2023 - June 2023</t>
  </si>
  <si>
    <t>Structural indicators (BHC, CHC and DH)</t>
  </si>
  <si>
    <t>Exit interviews (All facility types)</t>
  </si>
  <si>
    <t>Vignettes  (All facility types)</t>
  </si>
  <si>
    <t>QQM - Outcome Quality - HER2 R1 - January to March 2024</t>
  </si>
  <si>
    <t>QQM - Content of Care Quality - HER2 R1 - January to March 2024</t>
  </si>
  <si>
    <t>U5</t>
  </si>
  <si>
    <t>Physical and laboratory section</t>
  </si>
  <si>
    <t>Content of Care Quality score</t>
  </si>
  <si>
    <t>PH</t>
  </si>
  <si>
    <t>Salary Payment based on health worker interviews - HER2 R1 - January to March 2024</t>
  </si>
  <si>
    <t>Salary Payment based on payrolls - HER2 R1 - January to March 2024</t>
  </si>
  <si>
    <t>Health worker availability - HER2 R1 - January to March 2024</t>
  </si>
  <si>
    <t>Training on gender based violence (GBV) - HER2 R1 - January to March 2024</t>
  </si>
  <si>
    <t>Health worker satisfaction - HER2 R1 - January to March 2024 (1= Strongly disagree, 4 = Strongly agree)</t>
  </si>
  <si>
    <t>Minimum standards of services staff</t>
  </si>
  <si>
    <t>Key staff</t>
  </si>
  <si>
    <t>Female health workers</t>
  </si>
  <si>
    <t>Health worker interviews</t>
  </si>
  <si>
    <t>Management</t>
  </si>
  <si>
    <t>Number of HW interviews</t>
  </si>
  <si>
    <t>Received salary for January within 10 days after end of month</t>
  </si>
  <si>
    <t>Received salary for February within 10 days after end of month</t>
  </si>
  <si>
    <t>Received salary for March within 10 days after end of month</t>
  </si>
  <si>
    <t>Salary paid in cash (as opposed to bank)</t>
  </si>
  <si>
    <t>Stamped payroll &amp; confirmation of bank transfers in January</t>
  </si>
  <si>
    <t>Stamped payroll &amp; confirmation of bank transfers in February</t>
  </si>
  <si>
    <t>Stamped payroll &amp; confirmation of bank transfers in March</t>
  </si>
  <si>
    <r>
      <t xml:space="preserve">Retrospective availability of MSS staff (%) </t>
    </r>
    <r>
      <rPr>
        <b/>
        <sz val="12"/>
        <color theme="0"/>
        <rFont val="Verdana"/>
        <family val="2"/>
      </rPr>
      <t>(MAX 40%)</t>
    </r>
  </si>
  <si>
    <r>
      <t>Current availability of MSS staff (%)</t>
    </r>
    <r>
      <rPr>
        <b/>
        <sz val="12"/>
        <color theme="0"/>
        <rFont val="Verdana"/>
        <family val="2"/>
      </rPr>
      <t>(MAX 60%)</t>
    </r>
  </si>
  <si>
    <t>Availability of MSS staff (%) (Retrospective + Current)</t>
  </si>
  <si>
    <t>Facilities achieved MSS for staffing (%)</t>
  </si>
  <si>
    <t>Retrospective availability of keystaff (%)</t>
  </si>
  <si>
    <t>Provincial key staff available for at least 70% in past 3 months (%)</t>
  </si>
  <si>
    <t>Province achieved MSS for key staff (yes/no)</t>
  </si>
  <si>
    <t>Percentage of health workers female (%)</t>
  </si>
  <si>
    <t>Facilities with at least on female health worker on day of the survey (%)</t>
  </si>
  <si>
    <t>Facilities with at least one female CHW per HP (%)</t>
  </si>
  <si>
    <t>Health workers interviewed</t>
  </si>
  <si>
    <t>In the past 3 months (%)</t>
  </si>
  <si>
    <t>&gt;3 months ago (%)</t>
  </si>
  <si>
    <t>Minimum</t>
  </si>
  <si>
    <t>Maximum</t>
  </si>
  <si>
    <t>Yes</t>
  </si>
  <si>
    <t>No</t>
  </si>
  <si>
    <t>Average satisfaction of health workers</t>
  </si>
  <si>
    <t>Availability of drugs and consumables in SHC, PH and RH - HER2 R1 - January to March 2024 
(At least 5 courses on the day of visit)</t>
  </si>
  <si>
    <t>Drug storage conditions in SHC, PH and RH - HER2 R1 - January to March 2024</t>
  </si>
  <si>
    <t>Equipment availability in SHC, PH and RH - HER2 R1 - January to March 2024</t>
  </si>
  <si>
    <t>Availability of services other than P4P in SHC, PH and RH - HER2 R1 - January to March 2024</t>
  </si>
  <si>
    <t>Hospital governance for PH and RH - HER2 R1 - January to March 2024</t>
  </si>
  <si>
    <t>Equipment for PH and RH only</t>
  </si>
  <si>
    <t>Equipment for SHC, PH and RH</t>
  </si>
  <si>
    <t>Other than P4P services for PH and RH only</t>
  </si>
  <si>
    <t>Other than P4P services for SHC, PH and RH</t>
  </si>
  <si>
    <t>Service Provider 
(Jan - Feb 2024)</t>
  </si>
  <si>
    <r>
      <t xml:space="preserve">Drug score available during verification visit </t>
    </r>
    <r>
      <rPr>
        <b/>
        <sz val="12"/>
        <color theme="0"/>
        <rFont val="Verdana"/>
        <family val="2"/>
      </rPr>
      <t>(MAX 20%)</t>
    </r>
  </si>
  <si>
    <r>
      <t xml:space="preserve">Dug score availability past 3 months </t>
    </r>
    <r>
      <rPr>
        <b/>
        <sz val="12"/>
        <color theme="0"/>
        <rFont val="Verdana"/>
        <family val="2"/>
      </rPr>
      <t>(MAX 80%)</t>
    </r>
  </si>
  <si>
    <r>
      <t xml:space="preserve">Drug availability score (during visit and past 3 months) (%) </t>
    </r>
    <r>
      <rPr>
        <b/>
        <sz val="12"/>
        <color theme="0"/>
        <rFont val="Verdana"/>
        <family val="2"/>
      </rPr>
      <t>(Current + Retrospective)</t>
    </r>
  </si>
  <si>
    <t>MSS: Facilities with a drug availability score &gt;90% (%)</t>
  </si>
  <si>
    <r>
      <t xml:space="preserve">Consumables score available during verification visit </t>
    </r>
    <r>
      <rPr>
        <b/>
        <sz val="12"/>
        <color theme="0"/>
        <rFont val="Verdana"/>
        <family val="2"/>
      </rPr>
      <t>(MAX 20%)</t>
    </r>
  </si>
  <si>
    <r>
      <t xml:space="preserve">Consumables score availability past 3 months </t>
    </r>
    <r>
      <rPr>
        <b/>
        <sz val="12"/>
        <color theme="0"/>
        <rFont val="Verdana"/>
        <family val="2"/>
      </rPr>
      <t>(MAX 80%)</t>
    </r>
  </si>
  <si>
    <r>
      <t xml:space="preserve">Consumables availability score (during visit and past 3 months) </t>
    </r>
    <r>
      <rPr>
        <b/>
        <sz val="12"/>
        <color theme="0"/>
        <rFont val="Verdana"/>
        <family val="2"/>
      </rPr>
      <t>(Current + Retrospective)</t>
    </r>
  </si>
  <si>
    <t>Laboratory Tests (%)</t>
  </si>
  <si>
    <t>Equipment Emergency Dept. (%)</t>
  </si>
  <si>
    <t>Equipment Pediatrics (%)</t>
  </si>
  <si>
    <t>Equipment Internal (%)</t>
  </si>
  <si>
    <t>Equipment Surgery (%)</t>
  </si>
  <si>
    <t>Equipment Delivery (%)</t>
  </si>
  <si>
    <t>Equipment Theatre and Anesthesia (%)</t>
  </si>
  <si>
    <t>Equipment availablity score (%)</t>
  </si>
  <si>
    <t>MSS: Facilities with an equipment availability score &gt;95% (%)</t>
  </si>
  <si>
    <t>Mental health patient identification and referral (PHC)</t>
  </si>
  <si>
    <t>Mental health awareness (PHC)</t>
  </si>
  <si>
    <t>Disabilities information, education and communication (PHC)</t>
  </si>
  <si>
    <t>RHDO</t>
  </si>
  <si>
    <t>Availability of drugs and consumables in SHC, PH and RH - HER2 R1 - January to March 2024
(At least 5 courses on the day of visit)</t>
  </si>
  <si>
    <t>Facility Type</t>
  </si>
  <si>
    <t>Hospital Type</t>
  </si>
  <si>
    <t>Structural quality by domain</t>
  </si>
  <si>
    <t>Content quality by section type</t>
  </si>
  <si>
    <t>Outcome quality by respondent type</t>
  </si>
  <si>
    <t>Structural quality past two rounds by province (labels is difference between rounds)</t>
  </si>
  <si>
    <t>Content quality by type of vignette</t>
  </si>
  <si>
    <t>Outcome quality past two rounds by province (labels is difference between rounds)</t>
  </si>
  <si>
    <t>Content quality past two rounds by province (labels is difference between rounds)</t>
  </si>
  <si>
    <t>adb</t>
  </si>
  <si>
    <t>gm_1_score</t>
  </si>
  <si>
    <t>gm_2_score</t>
  </si>
  <si>
    <t>gm_3_score</t>
  </si>
  <si>
    <t>gm_4_score</t>
  </si>
  <si>
    <t>gm_5_score</t>
  </si>
  <si>
    <t>gm_6_score</t>
  </si>
  <si>
    <t>gm_7_score</t>
  </si>
  <si>
    <t>gm_8_score</t>
  </si>
  <si>
    <t>gm_9_score</t>
  </si>
  <si>
    <t>gm_score</t>
  </si>
  <si>
    <t>hy_1_score</t>
  </si>
  <si>
    <t>hy_2_score</t>
  </si>
  <si>
    <t>hy_3_score</t>
  </si>
  <si>
    <t>hy_4_score</t>
  </si>
  <si>
    <t>hy_5_score</t>
  </si>
  <si>
    <t>hy_6_score</t>
  </si>
  <si>
    <t>hy_7_score</t>
  </si>
  <si>
    <t>hy_8_score</t>
  </si>
  <si>
    <t>hy_9_score</t>
  </si>
  <si>
    <t>hy_10_score</t>
  </si>
  <si>
    <t>hy_score</t>
  </si>
  <si>
    <t>opd_1_score</t>
  </si>
  <si>
    <t>opd_2_score</t>
  </si>
  <si>
    <t>opd_3_score</t>
  </si>
  <si>
    <t>opd_4_score</t>
  </si>
  <si>
    <t>opd_5_score</t>
  </si>
  <si>
    <t>opd_6_score</t>
  </si>
  <si>
    <t>opd_7_score</t>
  </si>
  <si>
    <t>opd_8_score</t>
  </si>
  <si>
    <t>opd_9_score</t>
  </si>
  <si>
    <t>opd_10_score</t>
  </si>
  <si>
    <t>opd_11_score</t>
  </si>
  <si>
    <t>opd_12_score</t>
  </si>
  <si>
    <t>opd_13_score</t>
  </si>
  <si>
    <t>opd_14_score</t>
  </si>
  <si>
    <t>opd_15_score</t>
  </si>
  <si>
    <t>opd_16_score</t>
  </si>
  <si>
    <t>opd_17_score</t>
  </si>
  <si>
    <t>opd_18_score</t>
  </si>
  <si>
    <t>opd_19_score</t>
  </si>
  <si>
    <t>opd_20_score</t>
  </si>
  <si>
    <t>opd_21_score</t>
  </si>
  <si>
    <t>opd_22_score</t>
  </si>
  <si>
    <t>opd_23_score</t>
  </si>
  <si>
    <t>opd_24_score</t>
  </si>
  <si>
    <t>opd_score</t>
  </si>
  <si>
    <t>fp_1_score</t>
  </si>
  <si>
    <t>fp_2_score</t>
  </si>
  <si>
    <t>fp_3_score</t>
  </si>
  <si>
    <t>fp_4_score</t>
  </si>
  <si>
    <t>fp_5_score</t>
  </si>
  <si>
    <t>fp_6_score</t>
  </si>
  <si>
    <t>fp_7_score</t>
  </si>
  <si>
    <t>fp_score</t>
  </si>
  <si>
    <t>lab_1_score</t>
  </si>
  <si>
    <t>lab_2_score</t>
  </si>
  <si>
    <t>lab_3_score</t>
  </si>
  <si>
    <t>lab_4_score</t>
  </si>
  <si>
    <t>lab_5_score</t>
  </si>
  <si>
    <t>lab_6_score</t>
  </si>
  <si>
    <t>lab_8_score</t>
  </si>
  <si>
    <t>lab_9_score</t>
  </si>
  <si>
    <t>lab_10_score</t>
  </si>
  <si>
    <t>lab_11_score</t>
  </si>
  <si>
    <t>lab_score</t>
  </si>
  <si>
    <t>edm_1_score</t>
  </si>
  <si>
    <t>edm_2_score</t>
  </si>
  <si>
    <t>edm_3_score</t>
  </si>
  <si>
    <t>edm_4_score</t>
  </si>
  <si>
    <t>edm_5_score</t>
  </si>
  <si>
    <t>edm_6_score</t>
  </si>
  <si>
    <t>edm_score</t>
  </si>
  <si>
    <t>rx_mac_score</t>
  </si>
  <si>
    <t>rx_meds_score</t>
  </si>
  <si>
    <t>rx_score</t>
  </si>
  <si>
    <t>mat_1_score</t>
  </si>
  <si>
    <t>mat_2_score</t>
  </si>
  <si>
    <t>mat_3_score</t>
  </si>
  <si>
    <t>mat_4_score</t>
  </si>
  <si>
    <t>mat_5_score</t>
  </si>
  <si>
    <t>mat_6_score</t>
  </si>
  <si>
    <t>mat_7_score</t>
  </si>
  <si>
    <t>mat_8_score</t>
  </si>
  <si>
    <t>mat_9_score</t>
  </si>
  <si>
    <t>mat_10_score</t>
  </si>
  <si>
    <t>mat_11_score</t>
  </si>
  <si>
    <t>mat_score</t>
  </si>
  <si>
    <t>epi_1_score</t>
  </si>
  <si>
    <t>epi_2_score</t>
  </si>
  <si>
    <t>epi_3_score</t>
  </si>
  <si>
    <t>epi_4_score</t>
  </si>
  <si>
    <t>epi_5_score</t>
  </si>
  <si>
    <t>epi_6_score</t>
  </si>
  <si>
    <t>epi_7_score</t>
  </si>
  <si>
    <t>epi_8_score</t>
  </si>
  <si>
    <t>epi_9_score</t>
  </si>
  <si>
    <t>epi_10_score</t>
  </si>
  <si>
    <t>epi_11_score</t>
  </si>
  <si>
    <t>epi_12_score</t>
  </si>
  <si>
    <t>epi_13_score</t>
  </si>
  <si>
    <t>epi_14_score</t>
  </si>
  <si>
    <t>epi_15_score</t>
  </si>
  <si>
    <t>epi_score</t>
  </si>
  <si>
    <t>anc_1_score</t>
  </si>
  <si>
    <t>anc_2_score</t>
  </si>
  <si>
    <t>anc_3_score</t>
  </si>
  <si>
    <t>anc_4_score</t>
  </si>
  <si>
    <t>anc_5_score</t>
  </si>
  <si>
    <t>anc_6_score</t>
  </si>
  <si>
    <t>anc_7_score</t>
  </si>
  <si>
    <t>anc_8_score</t>
  </si>
  <si>
    <t>anc_score</t>
  </si>
  <si>
    <t>qqm_si_score</t>
  </si>
  <si>
    <t>bhc</t>
  </si>
  <si>
    <t>chc</t>
  </si>
  <si>
    <t>dh</t>
  </si>
  <si>
    <t>Non-ADB</t>
  </si>
  <si>
    <t>ADB</t>
  </si>
  <si>
    <t>Non ADB</t>
  </si>
  <si>
    <t>Structural quality by domain for ADB versus non ADB provinces</t>
  </si>
  <si>
    <t>Outcome quality for ADB provinces</t>
  </si>
  <si>
    <t>Outcome quality for ADB and non-ADB provicnes</t>
  </si>
  <si>
    <t>FP</t>
  </si>
  <si>
    <t>Overall</t>
  </si>
  <si>
    <t>u5</t>
  </si>
  <si>
    <t>fp</t>
  </si>
  <si>
    <t>u5_result</t>
  </si>
  <si>
    <t>u5_result2</t>
  </si>
  <si>
    <t>fp_outcome</t>
  </si>
  <si>
    <t>fp_sat</t>
  </si>
  <si>
    <t>fp_result</t>
  </si>
  <si>
    <t>outcome_score</t>
  </si>
  <si>
    <t>Content of care by vignette type ADB vs Non-ADB</t>
  </si>
  <si>
    <t>Content of care by section for ADB vs non-ADB</t>
  </si>
  <si>
    <t>Content of care by province ADB</t>
  </si>
  <si>
    <t>vignette_type</t>
  </si>
  <si>
    <t>n</t>
  </si>
  <si>
    <t>history</t>
  </si>
  <si>
    <t>physical</t>
  </si>
  <si>
    <t>diagnosis</t>
  </si>
  <si>
    <t>treatment</t>
  </si>
  <si>
    <t>explanation</t>
  </si>
  <si>
    <t>total</t>
  </si>
  <si>
    <t>vignette_h</t>
  </si>
  <si>
    <t>vignette_h_den</t>
  </si>
  <si>
    <t>vignette_p</t>
  </si>
  <si>
    <t>vignette_p_den</t>
  </si>
  <si>
    <t>vignette_d</t>
  </si>
  <si>
    <t>vignette_d_den</t>
  </si>
  <si>
    <t>vignette_t</t>
  </si>
  <si>
    <t>vignette_t_den</t>
  </si>
  <si>
    <t>vignette_e</t>
  </si>
  <si>
    <t>vignette_e_den</t>
  </si>
  <si>
    <t>vignette_ttl</t>
  </si>
  <si>
    <t>vignette_den</t>
  </si>
  <si>
    <t>GMP</t>
  </si>
  <si>
    <t>TB</t>
  </si>
  <si>
    <t>History</t>
  </si>
  <si>
    <t>Physical/Lab</t>
  </si>
  <si>
    <t>Diagnosis/Classification</t>
  </si>
  <si>
    <t>Explanation and advice</t>
  </si>
  <si>
    <t>ANC1</t>
  </si>
  <si>
    <t>DMPA</t>
  </si>
  <si>
    <t>GMP (Well child visit)</t>
  </si>
  <si>
    <t>Tuberculosis</t>
  </si>
  <si>
    <t>Antenatal Care</t>
  </si>
  <si>
    <t>FP Counseling</t>
  </si>
  <si>
    <t>DMPA Counseling</t>
  </si>
  <si>
    <t>Postpartum Hemorrhage</t>
  </si>
  <si>
    <t>HER R2 QCC SUMMARY SCORES</t>
  </si>
  <si>
    <t>Structural indicators</t>
  </si>
  <si>
    <t>Q1 2023</t>
  </si>
  <si>
    <t>Q2 2023</t>
  </si>
  <si>
    <t>Q3 2023</t>
  </si>
  <si>
    <t>Q4 2023</t>
  </si>
  <si>
    <t>Exit &amp; Vignettes</t>
  </si>
  <si>
    <t>SQ 3.10</t>
  </si>
  <si>
    <t>8%***</t>
  </si>
  <si>
    <t>-26%***</t>
  </si>
  <si>
    <t>-4%*</t>
  </si>
  <si>
    <t>25%*</t>
  </si>
  <si>
    <t>10000 [2000 - 20600]</t>
  </si>
  <si>
    <t>2370 [1440 - 2700]</t>
  </si>
  <si>
    <t>1225 [700 - 3500]</t>
  </si>
  <si>
    <t>505 [440 - 650]</t>
  </si>
  <si>
    <t>237 [200 - 287]</t>
  </si>
  <si>
    <t>20 [10 - 58]</t>
  </si>
  <si>
    <t>436 [255 - 678]</t>
  </si>
  <si>
    <t>25600 [20000 - 62000]</t>
  </si>
  <si>
    <t>4800 [3220 - 6900]</t>
  </si>
  <si>
    <t>438 [212 - 1164]</t>
  </si>
  <si>
    <t>14200 [6690 - 20000]</t>
  </si>
  <si>
    <t>126 [36 - 377]</t>
  </si>
  <si>
    <t>290 [214 - 360]</t>
  </si>
  <si>
    <t>102 [35 - 435]</t>
  </si>
  <si>
    <t>42 [23 - 100]</t>
  </si>
  <si>
    <t>240 [200 - 530]</t>
  </si>
  <si>
    <t>3755 [800 - 6200]</t>
  </si>
  <si>
    <t>5740 [3000 - 26250]</t>
  </si>
  <si>
    <t>3672 [2336 - 10576]</t>
  </si>
  <si>
    <t>89 [45 - 173]</t>
  </si>
  <si>
    <t>38 [15 - 72]</t>
  </si>
  <si>
    <t>629 [341 - 910]</t>
  </si>
  <si>
    <t>2126 [1331 - 5114]</t>
  </si>
  <si>
    <t>3563 [1389 - 5544]</t>
  </si>
  <si>
    <t>34 [7 - 73]</t>
  </si>
  <si>
    <t>1325 [465 - 3615]</t>
  </si>
  <si>
    <t>25 [22 - 100]</t>
  </si>
  <si>
    <t>46 [30 - 270]</t>
  </si>
  <si>
    <t>163 [76 - 325]</t>
  </si>
  <si>
    <t>5 [5 - 119]</t>
  </si>
  <si>
    <t>3600 [3600 - 3600]</t>
  </si>
  <si>
    <t>184 [100 - 600]</t>
  </si>
  <si>
    <t>200 [50 - 230]</t>
  </si>
  <si>
    <t>32 [26 - 45]</t>
  </si>
  <si>
    <t>383 [40 - 848]</t>
  </si>
  <si>
    <t>100 [5 - 685]</t>
  </si>
  <si>
    <t>1490 [1000 - 2300]</t>
  </si>
  <si>
    <t>390 [165 - 790]</t>
  </si>
  <si>
    <t>7855 [6625 - 22965]</t>
  </si>
  <si>
    <t>7060 [6215 - 18900]</t>
  </si>
  <si>
    <t>1670 [1035 - 5380]</t>
  </si>
  <si>
    <t>500 [8 - 1900]</t>
  </si>
  <si>
    <t>1650 [1100 - 9700]</t>
  </si>
  <si>
    <t>212 [76 - 316]</t>
  </si>
  <si>
    <t>75 [60 - 272]</t>
  </si>
  <si>
    <t>1437 [886 - 2551]</t>
  </si>
  <si>
    <t>13360 [6400 - 28960]</t>
  </si>
  <si>
    <t>8180 [6270 - 11930]</t>
  </si>
  <si>
    <t>101 [90 - 262]</t>
  </si>
  <si>
    <t>7690 [4195 - 33900]</t>
  </si>
  <si>
    <t>323 [194 - 372]</t>
  </si>
  <si>
    <t>3380 [2000 - 11480]</t>
  </si>
  <si>
    <t>283 [163 - 514]</t>
  </si>
  <si>
    <t>175 [105 - 1305]</t>
  </si>
  <si>
    <t>50 [50 - 125]</t>
  </si>
  <si>
    <t>1658 [1542 - 3733]</t>
  </si>
  <si>
    <t>4460 [2485 - 15135]</t>
  </si>
  <si>
    <t>925 [722 - 3798]</t>
  </si>
  <si>
    <t>45 [22 - 112]</t>
  </si>
  <si>
    <t>36 [14 - 142]</t>
  </si>
  <si>
    <t>261 [146 - 737]</t>
  </si>
  <si>
    <t>2800 [1988 - 2855]</t>
  </si>
  <si>
    <t>2688 [1316 - 3808]</t>
  </si>
  <si>
    <t>75 [50 - 1445]</t>
  </si>
  <si>
    <t>36 [5 - 269]</t>
  </si>
  <si>
    <t>7700 [2000 - 24500]</t>
  </si>
  <si>
    <t>537 [419 - 874]</t>
  </si>
  <si>
    <t>55 [27 - 300]</t>
  </si>
  <si>
    <t>95 [65 - 138]</t>
  </si>
  <si>
    <t>27 [9 - 61]</t>
  </si>
  <si>
    <t>290 [215 - 1350]</t>
  </si>
  <si>
    <t>225 [150 - 925]</t>
  </si>
  <si>
    <t>113 [63 - 882]</t>
  </si>
  <si>
    <t>53 [43 - 73]</t>
  </si>
  <si>
    <t>145 [79 - 1762]</t>
  </si>
  <si>
    <t>123 [16 - 541]</t>
  </si>
  <si>
    <t>53 [30 - 519]</t>
  </si>
  <si>
    <t>1010 [505 - 2190]</t>
  </si>
  <si>
    <t>590 [490 - 2005]</t>
  </si>
  <si>
    <t>250 [250 - 250]</t>
  </si>
  <si>
    <t>QQM - Structural Indicators - HER2 R1 - January to March 2024
Domain 3: OPD/Curative Consultations (44 points)</t>
  </si>
  <si>
    <t>HER2 R1 QQC, Exit and Vignettes
January 2024 - March 2024</t>
  </si>
  <si>
    <t>province_name</t>
  </si>
  <si>
    <t>SP</t>
  </si>
  <si>
    <t>factype</t>
  </si>
  <si>
    <t>facid</t>
  </si>
  <si>
    <t>hw_n</t>
  </si>
  <si>
    <t>salary_m1</t>
  </si>
  <si>
    <t>salary_m2</t>
  </si>
  <si>
    <t>salary_m3</t>
  </si>
  <si>
    <t>salary_cash</t>
  </si>
  <si>
    <t>blank1</t>
  </si>
  <si>
    <t>province_name1</t>
  </si>
  <si>
    <t>SP1</t>
  </si>
  <si>
    <t>factype1</t>
  </si>
  <si>
    <t>facid1</t>
  </si>
  <si>
    <t>record_minstaff</t>
  </si>
  <si>
    <t>observation_minstaff</t>
  </si>
  <si>
    <t>score_minstaff</t>
  </si>
  <si>
    <t>staff_MSS</t>
  </si>
  <si>
    <t>fhw_p</t>
  </si>
  <si>
    <t>fhw_ta1</t>
  </si>
  <si>
    <t>fchw</t>
  </si>
  <si>
    <t>blank2</t>
  </si>
  <si>
    <t>province_name2</t>
  </si>
  <si>
    <t>SP2</t>
  </si>
  <si>
    <t>factype2</t>
  </si>
  <si>
    <t>facid2</t>
  </si>
  <si>
    <t>gbv_n</t>
  </si>
  <si>
    <t>gbv_3m</t>
  </si>
  <si>
    <t>gbv_any</t>
  </si>
  <si>
    <t>gbv2_3m</t>
  </si>
  <si>
    <t>gbv2_any</t>
  </si>
  <si>
    <t>blank3</t>
  </si>
  <si>
    <t>province_name3</t>
  </si>
  <si>
    <t>SP3</t>
  </si>
  <si>
    <t>factype3</t>
  </si>
  <si>
    <t>facid3</t>
  </si>
  <si>
    <t>hw_n3</t>
  </si>
  <si>
    <t>q3b_1</t>
  </si>
  <si>
    <t>q3b_2</t>
  </si>
  <si>
    <t>q3b_3</t>
  </si>
  <si>
    <t>q3b_4</t>
  </si>
  <si>
    <t>q3b_5</t>
  </si>
  <si>
    <t>q3b_6</t>
  </si>
  <si>
    <t>q3b_7</t>
  </si>
  <si>
    <t>overall_satisfaction</t>
  </si>
  <si>
    <t>.</t>
  </si>
  <si>
    <t>Badghis (Jan+Feb)</t>
  </si>
  <si>
    <t>Badghis (March)</t>
  </si>
  <si>
    <t>Faryab (Jan+Feb)</t>
  </si>
  <si>
    <t>Faryab (March)</t>
  </si>
  <si>
    <t>Ghazni (Jan+Feb)</t>
  </si>
  <si>
    <t>Ghazni (March)</t>
  </si>
  <si>
    <t>Kandahar (Jan+Feb)</t>
  </si>
  <si>
    <t>Kandahar (March)</t>
  </si>
  <si>
    <t>Panjsher (Jan+Feb)</t>
  </si>
  <si>
    <t>Panjsher (March)</t>
  </si>
  <si>
    <t>Parwan (Jan+Feb)</t>
  </si>
  <si>
    <t>Parwan (March)</t>
  </si>
  <si>
    <t>Zabul (Jan+Feb)</t>
  </si>
  <si>
    <t>Zabul (March)</t>
  </si>
  <si>
    <t>hf_n</t>
  </si>
  <si>
    <t>blank4</t>
  </si>
  <si>
    <t>province_name4</t>
  </si>
  <si>
    <t>SP4</t>
  </si>
  <si>
    <t>payroll_m1</t>
  </si>
  <si>
    <t>payroll_m2</t>
  </si>
  <si>
    <t>payroll_m3</t>
  </si>
  <si>
    <t>hf_n1</t>
  </si>
  <si>
    <t>record_keystaff</t>
  </si>
  <si>
    <t>record_keystaff3</t>
  </si>
  <si>
    <t>record_keystaff4</t>
  </si>
  <si>
    <t>hf_n2</t>
  </si>
  <si>
    <t>hf_n3</t>
  </si>
  <si>
    <t>Nuristan (Jan+Feb)</t>
  </si>
  <si>
    <t>Nuristan (March)</t>
  </si>
  <si>
    <t>Overall Mean</t>
  </si>
  <si>
    <t>drugs_current</t>
  </si>
  <si>
    <t>drugs_retro</t>
  </si>
  <si>
    <t>drugs_score</t>
  </si>
  <si>
    <t>drugs_MSS</t>
  </si>
  <si>
    <t>consum_current</t>
  </si>
  <si>
    <t>consum_retro</t>
  </si>
  <si>
    <t>consum_score</t>
  </si>
  <si>
    <t>sc_1</t>
  </si>
  <si>
    <t>sc_2</t>
  </si>
  <si>
    <t>sc_3</t>
  </si>
  <si>
    <t>sc_4</t>
  </si>
  <si>
    <t>sc_5</t>
  </si>
  <si>
    <t>sc_6</t>
  </si>
  <si>
    <t>sc_7</t>
  </si>
  <si>
    <t>sc_8</t>
  </si>
  <si>
    <t>sc_9</t>
  </si>
  <si>
    <t>sc_10</t>
  </si>
  <si>
    <t>sc_11</t>
  </si>
  <si>
    <t>sc_score</t>
  </si>
  <si>
    <t>factype4</t>
  </si>
  <si>
    <t>facid4</t>
  </si>
  <si>
    <t>EQ_LAB</t>
  </si>
  <si>
    <t>EQ_ED</t>
  </si>
  <si>
    <t>EQ_PD</t>
  </si>
  <si>
    <t>EQ_INT</t>
  </si>
  <si>
    <t>EQ_SUR</t>
  </si>
  <si>
    <t>EQ_DEL</t>
  </si>
  <si>
    <t>EQ_AN</t>
  </si>
  <si>
    <t>EQ_OPD</t>
  </si>
  <si>
    <t>EQ_tot</t>
  </si>
  <si>
    <t>EQ_MSS</t>
  </si>
  <si>
    <t>P4P_ph_1</t>
  </si>
  <si>
    <t>P4P_ph_2</t>
  </si>
  <si>
    <t>P4P_ph_3</t>
  </si>
  <si>
    <t>P4P_ph_4</t>
  </si>
  <si>
    <t>P4P_ph_5</t>
  </si>
  <si>
    <t>P4P_ph_6</t>
  </si>
  <si>
    <t>P4P_ph_7</t>
  </si>
  <si>
    <t>P4P_ph_8</t>
  </si>
  <si>
    <t>P4P_ph_9</t>
  </si>
  <si>
    <t>P4P_ph_10</t>
  </si>
  <si>
    <t>blank11</t>
  </si>
  <si>
    <t>blank12</t>
  </si>
  <si>
    <t>P4P_phc_13</t>
  </si>
  <si>
    <t>P4P_phc_14</t>
  </si>
  <si>
    <t>P4P_phc_15</t>
  </si>
  <si>
    <t>P4P</t>
  </si>
  <si>
    <t>P4P_MSS</t>
  </si>
  <si>
    <t>n_meetings_planned</t>
  </si>
  <si>
    <t>percentage_conducted</t>
  </si>
  <si>
    <t>percentage_minutes</t>
  </si>
  <si>
    <t>percentage_present</t>
  </si>
  <si>
    <t>percentage_engage</t>
  </si>
  <si>
    <t>gov_score</t>
  </si>
  <si>
    <t>gov_score_MSS</t>
  </si>
  <si>
    <t>hf_n4</t>
  </si>
  <si>
    <t>[45% - 56%]</t>
  </si>
  <si>
    <t>[41,3% - 53,7%]</t>
  </si>
  <si>
    <t>[40,2% - 48,1%]</t>
  </si>
  <si>
    <t>[62,9% - 70,6%]</t>
  </si>
  <si>
    <t>[52,6% - 64,3%]</t>
  </si>
  <si>
    <t>[29,2% - 40%]</t>
  </si>
  <si>
    <t>[27,5% - 40,2%]</t>
  </si>
  <si>
    <t>-1,1%**</t>
  </si>
  <si>
    <t>[24,2% - 39,8%]</t>
  </si>
  <si>
    <t>[37,4% - 63,7%]</t>
  </si>
  <si>
    <t>[53,4% - 62,6%]</t>
  </si>
  <si>
    <t>[42,3% - 62%]</t>
  </si>
  <si>
    <t>[21,2% - 31,1%]</t>
  </si>
  <si>
    <t>[27,5% - 53,3%]</t>
  </si>
  <si>
    <t>[29,2% - 41,9%]</t>
  </si>
  <si>
    <t>[42,2% - 53%]</t>
  </si>
  <si>
    <t>12,2%*</t>
  </si>
  <si>
    <t>[59,8% - 66,9%]</t>
  </si>
  <si>
    <t>[57,1% - 68,6%]</t>
  </si>
  <si>
    <t>-,7%**</t>
  </si>
  <si>
    <t>[16,7% - 32,6%]</t>
  </si>
  <si>
    <t>[45,8% - 60,4%]</t>
  </si>
  <si>
    <t>[42,3% - 50,4%]</t>
  </si>
  <si>
    <t>[55,3% - 69,1%]</t>
  </si>
  <si>
    <t>15,4%***</t>
  </si>
  <si>
    <t>[55,5% - 64,3%]</t>
  </si>
  <si>
    <t>[52,5% - 61,1%]</t>
  </si>
  <si>
    <t>[40,9% - 52,4%]</t>
  </si>
  <si>
    <t>[38,4% - 47,6%]</t>
  </si>
  <si>
    <t>-4,6%***</t>
  </si>
  <si>
    <t>[36,5% - 55,6%]</t>
  </si>
  <si>
    <t>[43,8% - 58,2%]</t>
  </si>
  <si>
    <t>[64,1% - 70,1%]</t>
  </si>
  <si>
    <t>[57,6% - 68,5%]</t>
  </si>
  <si>
    <t>-4,3%*</t>
  </si>
  <si>
    <t>[26,7% - 37,5%]</t>
  </si>
  <si>
    <t>[45,8% - 59,5%]</t>
  </si>
  <si>
    <t>[32,9% - 51,3%]</t>
  </si>
  <si>
    <t>[34,5% - 47,9%]</t>
  </si>
  <si>
    <t>[57,9% - 64,9%]</t>
  </si>
  <si>
    <t>[49,3% - 55,2%]</t>
  </si>
  <si>
    <t>[28,4% - 44%]</t>
  </si>
  <si>
    <t>[49,6% - 64,5%]</t>
  </si>
  <si>
    <t>[30,9% - 42,1%]</t>
  </si>
  <si>
    <t>[47,8% - 52,7%]</t>
  </si>
  <si>
    <t>[65,4% - 74,5%]</t>
  </si>
  <si>
    <t>[60,5% - 66,2%]</t>
  </si>
  <si>
    <t>-7,1%**</t>
  </si>
  <si>
    <t>[14,7% - 24,3%]</t>
  </si>
  <si>
    <t>[42,5% - 46,4%]</t>
  </si>
  <si>
    <t>25,1%*</t>
  </si>
  <si>
    <t>[33,4% - 40,6%]</t>
  </si>
  <si>
    <t>[28,8% - 42,4%]</t>
  </si>
  <si>
    <t>[60,6% - 70,8%]</t>
  </si>
  <si>
    <t>[40,9% - 58,5%]</t>
  </si>
  <si>
    <t>[25,8% - 35,8%]</t>
  </si>
  <si>
    <t>[33,1% - 48%]</t>
  </si>
  <si>
    <t>[34,9% - 41,2%]</t>
  </si>
  <si>
    <t>[37,9% - 48,5%]</t>
  </si>
  <si>
    <t>[61,7% - 66%]</t>
  </si>
  <si>
    <t>[24,3% - 32,2%]</t>
  </si>
  <si>
    <t>[24,2% - 30%]</t>
  </si>
  <si>
    <t>[36,8% - 43,1%]</t>
  </si>
  <si>
    <t>[37,1% - 62,9%]</t>
  </si>
  <si>
    <t>8,4%*</t>
  </si>
  <si>
    <t>[55,3% - 61,8%]</t>
  </si>
  <si>
    <t>[59,8% - 72,8%]</t>
  </si>
  <si>
    <t>[39,3% - 49,9%]</t>
  </si>
  <si>
    <t>[35,9% - 56,7%]</t>
  </si>
  <si>
    <t>[22% - 32,7%]</t>
  </si>
  <si>
    <t>[22,3% - 36,9%]</t>
  </si>
  <si>
    <t>2,4%*</t>
  </si>
  <si>
    <t>[49,2% - 57,5%]</t>
  </si>
  <si>
    <t>[37% - 51,2%]</t>
  </si>
  <si>
    <t>[22,6% - 30,3%]</t>
  </si>
  <si>
    <t>[25,7% - 38,7%]</t>
  </si>
  <si>
    <t>4,5%*</t>
  </si>
  <si>
    <t>[38,7% - 44,4%]</t>
  </si>
  <si>
    <t>[38,3% - 45,4%]</t>
  </si>
  <si>
    <t>[55,1% - 64,3%]</t>
  </si>
  <si>
    <t>[49,2% - 62,6%]</t>
  </si>
  <si>
    <t>[31,7% - 43,3%]</t>
  </si>
  <si>
    <t>[37,1% - 46,3%]</t>
  </si>
  <si>
    <t>[52,4% - 64,4%]</t>
  </si>
  <si>
    <t>[37,2% - 45,1%]</t>
  </si>
  <si>
    <t>-16,9%***</t>
  </si>
  <si>
    <t>[61,6% - 72,2%]</t>
  </si>
  <si>
    <t>[53,6% - 64,7%]</t>
  </si>
  <si>
    <t>[38,3% - 60,6%]</t>
  </si>
  <si>
    <t>[45,9% - 68,9%]</t>
  </si>
  <si>
    <t>[45,1% - 55,2%]</t>
  </si>
  <si>
    <t>[47% - 55,2%]</t>
  </si>
  <si>
    <t>[59,4% - 67,4%]</t>
  </si>
  <si>
    <t>[49,9% - 60,4%]</t>
  </si>
  <si>
    <t>[30,6% - 41,6%]</t>
  </si>
  <si>
    <t>[44,1% - 58,9%]</t>
  </si>
  <si>
    <t>[26% - 33,3%]</t>
  </si>
  <si>
    <t>[33,2% - 39,3%]</t>
  </si>
  <si>
    <t>[48,6% - 59,6%]</t>
  </si>
  <si>
    <t>[21% - 32,2%]</t>
  </si>
  <si>
    <t>[23,7% - 31,5%]</t>
  </si>
  <si>
    <t>1,2%*</t>
  </si>
  <si>
    <t>[36,4% - 41,7%]</t>
  </si>
  <si>
    <t>[36% - 45,2%]</t>
  </si>
  <si>
    <t>1,2%**</t>
  </si>
  <si>
    <t>[61,8% - 72,7%]</t>
  </si>
  <si>
    <t>[42,9% - 53,8%]</t>
  </si>
  <si>
    <t>[38,9% - 46,7%]</t>
  </si>
  <si>
    <t>[42% - 65,8%]</t>
  </si>
  <si>
    <t>[33% - 40,1%]</t>
  </si>
  <si>
    <t>[57,2% - 63%]</t>
  </si>
  <si>
    <t>[57,2% - 59,9%]</t>
  </si>
  <si>
    <t>-1,2%***</t>
  </si>
  <si>
    <t>[17,6% - 25,7%]</t>
  </si>
  <si>
    <t>[50,7% - 69,7%]</t>
  </si>
  <si>
    <t>38,9%*</t>
  </si>
  <si>
    <t>[46,3% - 57,6%]</t>
  </si>
  <si>
    <t>[58,8% - 69,2%]</t>
  </si>
  <si>
    <t>[47,4% - 57,7%]</t>
  </si>
  <si>
    <t>[57,3% - 73,4%]</t>
  </si>
  <si>
    <t>13,5%***</t>
  </si>
  <si>
    <t>[28,9% - 47,7%]</t>
  </si>
  <si>
    <t>[51,7% - 79%]</t>
  </si>
  <si>
    <t>27,4%***</t>
  </si>
  <si>
    <t>[28,5% - 37,5%]</t>
  </si>
  <si>
    <t>[44,5% - 51,7%]</t>
  </si>
  <si>
    <t>[46,1% - 54,8%]</t>
  </si>
  <si>
    <t>[43,9% - 56,2%]</t>
  </si>
  <si>
    <t>[20,8% - 26,6%]</t>
  </si>
  <si>
    <t>[28,2% - 39,4%]</t>
  </si>
  <si>
    <t>[58,7% - 69,3%]</t>
  </si>
  <si>
    <t>[56,9% - 78,3%]</t>
  </si>
  <si>
    <t>2,9%***</t>
  </si>
  <si>
    <t>[48% - 60,6%]</t>
  </si>
  <si>
    <t>[45,4% - 73,1%]</t>
  </si>
  <si>
    <t>5,5%*</t>
  </si>
  <si>
    <t>[41,1% - 55,8%]</t>
  </si>
  <si>
    <t>[58,8% - 76%]</t>
  </si>
  <si>
    <t>18,7%***</t>
  </si>
  <si>
    <t>[34,1% - 40%]</t>
  </si>
  <si>
    <t>[51,8% - 63,5%]</t>
  </si>
  <si>
    <t>20,1%***</t>
  </si>
  <si>
    <t>[57,9% - 69,2%]</t>
  </si>
  <si>
    <t>[58,3% - 65,1%]</t>
  </si>
  <si>
    <t>[38,7% - 54,2%]</t>
  </si>
  <si>
    <t>[57,2% - 68,9%]</t>
  </si>
  <si>
    <t>[36,8% - 47,2%]</t>
  </si>
  <si>
    <t>[44,3% - 54,3%]</t>
  </si>
  <si>
    <t>[49,7% - 57,4%]</t>
  </si>
  <si>
    <t>[49,2% - 61,7%]</t>
  </si>
  <si>
    <t>[22,4% - 33,5%]</t>
  </si>
  <si>
    <t>[23,7% - 35,4%]</t>
  </si>
  <si>
    <t>[30,4% - 44,6%]</t>
  </si>
  <si>
    <t>[48,9% - 70,5%]</t>
  </si>
  <si>
    <t>[53,7% - 61,9%]</t>
  </si>
  <si>
    <t>[53,6% - 67,2%]</t>
  </si>
  <si>
    <t>[18,3% - 27,3%]</t>
  </si>
  <si>
    <t>[41,9% - 71,6%]</t>
  </si>
  <si>
    <t>[51% - 57,1%]</t>
  </si>
  <si>
    <t>[24,8% - 30,8%]</t>
  </si>
  <si>
    <t>[59,9% - 71,6%]</t>
  </si>
  <si>
    <t>[28,7% - 38%]</t>
  </si>
  <si>
    <t>[23,4% - 37,7%]</t>
  </si>
  <si>
    <t>[18,6% - 28,4%]</t>
  </si>
  <si>
    <t>-6,8%*</t>
  </si>
  <si>
    <t>[31,2% - 44,1%]</t>
  </si>
  <si>
    <t>[42,4% - 53,6%]</t>
  </si>
  <si>
    <t>[69,1% - 76%]</t>
  </si>
  <si>
    <t>[56% - 66,8%]</t>
  </si>
  <si>
    <t>-10,7%***</t>
  </si>
  <si>
    <t>[19,4% - 30%]</t>
  </si>
  <si>
    <t>[30,9% - 43,4%]</t>
  </si>
  <si>
    <t>[29,6% - 44,8%]</t>
  </si>
  <si>
    <t>[32,5% - 37,7%]</t>
  </si>
  <si>
    <t>[66,6% - 71,8%]</t>
  </si>
  <si>
    <t>[49,4% - 56,4%]</t>
  </si>
  <si>
    <t>-16,1%*</t>
  </si>
  <si>
    <t>[19% - 33,6%]</t>
  </si>
  <si>
    <t>[32,9% - 48,4%]</t>
  </si>
  <si>
    <t>[34% - 38,7%]</t>
  </si>
  <si>
    <t>[36,8% - 41,5%]</t>
  </si>
  <si>
    <t>[66,4% - 71%]</t>
  </si>
  <si>
    <t>[57,8% - 65,6%]</t>
  </si>
  <si>
    <t>[26,8% - 30,6%]</t>
  </si>
  <si>
    <t>[34,6% - 42,3%]</t>
  </si>
  <si>
    <t>9,8%***</t>
  </si>
  <si>
    <t>[25,4% - 38%]</t>
  </si>
  <si>
    <t>[23,1% - 32,3%]</t>
  </si>
  <si>
    <t>[52,3% - 63,3%]</t>
  </si>
  <si>
    <t>[46,6% - 58,1%]</t>
  </si>
  <si>
    <t>[17,3% - 27,3%]</t>
  </si>
  <si>
    <t>[20,7% - 30,8%]</t>
  </si>
  <si>
    <t>[51,8% - 59,8%]</t>
  </si>
  <si>
    <t>[44,6% - 51,2%]</t>
  </si>
  <si>
    <t>-7,6%***</t>
  </si>
  <si>
    <t>[59,8% - 69,2%]</t>
  </si>
  <si>
    <t>[53,7% - 65,1%]</t>
  </si>
  <si>
    <t>[26,4% - 42%]</t>
  </si>
  <si>
    <t>[29,6% - 44,5%]</t>
  </si>
  <si>
    <t>[31,4% - 38,6%]</t>
  </si>
  <si>
    <t>[34,9% - 51,8%]</t>
  </si>
  <si>
    <t>[53,1% - 62,7%]</t>
  </si>
  <si>
    <t>[46,7% - 61%]</t>
  </si>
  <si>
    <t>[12,9% - 22,6%]</t>
  </si>
  <si>
    <t>[28% - 45,5%]</t>
  </si>
  <si>
    <t>[33,1% - 41,6%]</t>
  </si>
  <si>
    <t>[49% - 58,1%]</t>
  </si>
  <si>
    <t>15,3%**</t>
  </si>
  <si>
    <t>[42,8% - 55%]</t>
  </si>
  <si>
    <t>[47,1% - 63,5%]</t>
  </si>
  <si>
    <t>[27,3% - 37,1%]</t>
  </si>
  <si>
    <t>[46,2% - 67,1%]</t>
  </si>
  <si>
    <t>[26,6% - 33,2%]</t>
  </si>
  <si>
    <t>[36% - 42,7%]</t>
  </si>
  <si>
    <t>8,9%*</t>
  </si>
  <si>
    <t>[51,7% - 58,3%]</t>
  </si>
  <si>
    <t>[42,4% - 59,6%]</t>
  </si>
  <si>
    <t>[25,8% - 41,2%]</t>
  </si>
  <si>
    <t>[36,6% - 54,7%]</t>
  </si>
  <si>
    <t>[38,2% - 48,5%]</t>
  </si>
  <si>
    <t>[32,3% - 52,2%]</t>
  </si>
  <si>
    <t>[62,8% - 71,4%]</t>
  </si>
  <si>
    <t>[39,4% - 53,6%]</t>
  </si>
  <si>
    <t>[31,5% - 47%]</t>
  </si>
  <si>
    <t>[44,1% - 59,5%]</t>
  </si>
  <si>
    <t>[14,7% - 21,7%]</t>
  </si>
  <si>
    <t>[39,7% - 54,5%]</t>
  </si>
  <si>
    <t>30,3%***</t>
  </si>
  <si>
    <t>[32,3% - 49%]</t>
  </si>
  <si>
    <t>[49,2% - 68,6%]</t>
  </si>
  <si>
    <t>[8,3% - 12,8%]</t>
  </si>
  <si>
    <t>[30,1% - 62,8%]</t>
  </si>
  <si>
    <t>39,6%**</t>
  </si>
  <si>
    <t xml:space="preserve">Detailed overview of the scores for Minimum Standard of Services for health facilities not covered by QQM ( i.e SHC, RH/PH), per province </t>
  </si>
  <si>
    <t>Detailed overview of the scores for Minimum Standard of Services for health facilities not covered by QQM ( i.e SHC, RH/PH), per health facility</t>
  </si>
  <si>
    <t>Detailed overview of the scores for non-QQM indicators on Staffing (Salary payment, Health staff availability, GBV training, HW satisfaction), per province</t>
  </si>
  <si>
    <t>Detailed overview of the scores for non-QQM indicators on Staffing (Salary payment, Health staff availability, GBV training, HW satisfaction), per health facility</t>
  </si>
  <si>
    <t>Detailed overview of the scores for QQM outcome quality (exit interviews) and content of care(vignettes) indicators, per province</t>
  </si>
  <si>
    <t>Detailed overview of the scores for QQM outcome quality (exit interviews) and content of care(vignettes) indicators, per health facility</t>
  </si>
  <si>
    <t>Detailed overview of availability of tracer drugs, per province</t>
  </si>
  <si>
    <t>Detailed overview of the scores for QQC structural quality, per health facility</t>
  </si>
  <si>
    <t>Detailed overview of the scores for QQC structural quality, per province</t>
  </si>
  <si>
    <t>Provincial QQM structural, outcome and content quality scores, per round and province</t>
  </si>
  <si>
    <t>Summary overview of the QQM indicators, per domain and province</t>
  </si>
  <si>
    <t>Annex 4a-MSS - PROV'!A1</t>
  </si>
  <si>
    <t>Annex 4b-MSS - FAC'!A1</t>
  </si>
  <si>
    <t>National scores</t>
  </si>
  <si>
    <t>WB</t>
  </si>
  <si>
    <t>Funder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</si>
</sst>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0.000%"/>
    <numFmt numFmtId="167" formatCode="_(* #,##0.0_);_(* \(#,##0.0\);_(* &quot;-&quot;??_);_(@_)"/>
  </numFmts>
  <fonts count="50" x14ac:knownFonts="1">
    <font>
      <sz val="12"/>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12"/>
      <color theme="1"/>
      <name val="Verdana"/>
      <family val="2"/>
    </font>
    <font>
      <b/>
      <sz val="12"/>
      <color theme="1"/>
      <name val="Verdana"/>
      <family val="2"/>
    </font>
    <font>
      <i/>
      <sz val="12"/>
      <color theme="1"/>
      <name val="Verdana"/>
      <family val="2"/>
    </font>
    <font>
      <sz val="12"/>
      <color theme="1"/>
      <name val="Calibri"/>
      <family val="2"/>
      <scheme val="minor"/>
    </font>
    <font>
      <b/>
      <sz val="11"/>
      <color theme="1"/>
      <name val="Calibri"/>
      <family val="2"/>
      <scheme val="minor"/>
    </font>
    <font>
      <b/>
      <sz val="12"/>
      <name val="Verdana"/>
      <family val="2"/>
    </font>
    <font>
      <b/>
      <sz val="12"/>
      <color theme="0"/>
      <name val="Verdana"/>
      <family val="2"/>
    </font>
    <font>
      <sz val="12"/>
      <color theme="0"/>
      <name val="Verdana"/>
      <family val="2"/>
    </font>
    <font>
      <sz val="12"/>
      <color theme="0"/>
      <name val="Calibri"/>
      <family val="2"/>
      <scheme val="minor"/>
    </font>
    <font>
      <b/>
      <sz val="11"/>
      <color theme="1"/>
      <name val="Verdana"/>
      <family val="2"/>
    </font>
    <font>
      <sz val="11"/>
      <color theme="1"/>
      <name val="Verdana"/>
      <family val="2"/>
    </font>
    <font>
      <b/>
      <sz val="12"/>
      <color theme="0"/>
      <name val="Calibri"/>
      <family val="2"/>
      <scheme val="minor"/>
    </font>
    <font>
      <b/>
      <sz val="18"/>
      <color theme="0"/>
      <name val="Calibri"/>
      <family val="2"/>
      <scheme val="minor"/>
    </font>
    <font>
      <sz val="18"/>
      <color theme="0"/>
      <name val="Calibri"/>
      <family val="2"/>
      <scheme val="minor"/>
    </font>
    <font>
      <b/>
      <sz val="10"/>
      <color theme="0"/>
      <name val="Verdana"/>
      <family val="2"/>
    </font>
    <font>
      <b/>
      <sz val="10"/>
      <color theme="0"/>
      <name val="Calibri"/>
      <family val="2"/>
      <scheme val="minor"/>
    </font>
    <font>
      <b/>
      <sz val="16"/>
      <color theme="0"/>
      <name val="Calibri"/>
      <family val="2"/>
      <scheme val="minor"/>
    </font>
    <font>
      <sz val="16"/>
      <color theme="0"/>
      <name val="Calibri"/>
      <family val="2"/>
      <scheme val="minor"/>
    </font>
    <font>
      <b/>
      <sz val="14"/>
      <color theme="0"/>
      <name val="Calibri"/>
      <family val="2"/>
      <scheme val="minor"/>
    </font>
    <font>
      <b/>
      <sz val="11"/>
      <color theme="0"/>
      <name val="Verdana"/>
      <family val="2"/>
    </font>
    <font>
      <sz val="11"/>
      <name val="Verdana"/>
      <family val="2"/>
    </font>
    <font>
      <sz val="10"/>
      <name val="Verdana"/>
      <family val="2"/>
    </font>
    <font>
      <sz val="10"/>
      <color theme="1"/>
      <name val="Verdana"/>
      <family val="2"/>
    </font>
    <font>
      <sz val="11"/>
      <color rgb="FF374151"/>
      <name val="Verdana"/>
      <family val="2"/>
    </font>
    <font>
      <sz val="11"/>
      <name val="Calibri"/>
      <family val="2"/>
    </font>
    <font>
      <u/>
      <sz val="12"/>
      <color theme="10"/>
      <name val="Calibri"/>
      <family val="2"/>
      <scheme val="minor"/>
    </font>
    <font>
      <sz val="14"/>
      <color theme="1"/>
      <name val="Calibri"/>
      <family val="2"/>
      <scheme val="minor"/>
    </font>
    <font>
      <b/>
      <sz val="14"/>
      <color theme="0"/>
      <name val="Verdana"/>
      <family val="2"/>
    </font>
    <font>
      <b/>
      <sz val="14"/>
      <color theme="1"/>
      <name val="Verdana"/>
      <family val="2"/>
    </font>
    <font>
      <sz val="14"/>
      <color theme="1"/>
      <name val="Verdana"/>
      <family val="2"/>
    </font>
    <font>
      <b/>
      <sz val="20"/>
      <color theme="0"/>
      <name val="Verdana"/>
      <family val="2"/>
    </font>
    <font>
      <b/>
      <sz val="20"/>
      <color theme="1"/>
      <name val="Calibri"/>
      <family val="2"/>
      <scheme val="minor"/>
    </font>
    <font>
      <b/>
      <sz val="14"/>
      <color theme="1"/>
      <name val="Calibri"/>
      <family val="2"/>
      <scheme val="minor"/>
    </font>
    <font>
      <sz val="8"/>
      <name val="Calibri"/>
      <family val="2"/>
      <scheme val="minor"/>
    </font>
    <font>
      <sz val="11"/>
      <color rgb="FFFF0000"/>
      <name val="Calibri"/>
      <family val="2"/>
      <scheme val="minor"/>
    </font>
    <font>
      <b/>
      <sz val="16"/>
      <color theme="1"/>
      <name val="Calibri"/>
      <family val="2"/>
      <scheme val="minor"/>
    </font>
    <font>
      <sz val="16"/>
      <color theme="1"/>
      <name val="Calibri"/>
      <family val="2"/>
      <scheme val="minor"/>
    </font>
    <font>
      <sz val="14"/>
      <name val="Verdana"/>
      <family val="2"/>
    </font>
    <font>
      <sz val="12"/>
      <name val="Verdana"/>
      <family val="2"/>
    </font>
    <font>
      <sz val="12"/>
      <color rgb="FF000000"/>
      <name val="Calibri"/>
      <family val="2"/>
      <scheme val="minor"/>
    </font>
    <font>
      <b/>
      <sz val="12"/>
      <color rgb="FFFF0000"/>
      <name val="Calibri"/>
      <family val="2"/>
      <scheme val="minor"/>
    </font>
    <font>
      <b/>
      <sz val="11"/>
      <color rgb="FFFF0000"/>
      <name val="Calibri"/>
      <family val="2"/>
      <scheme val="minor"/>
    </font>
    <font>
      <sz val="12"/>
      <name val="Calibri"/>
      <family val="2"/>
      <scheme val="minor"/>
    </font>
    <font>
      <sz val="12"/>
      <color theme="8"/>
      <name val="Calibri"/>
      <family val="2"/>
      <scheme val="minor"/>
    </font>
    <font>
      <sz val="9"/>
      <color indexed="81"/>
      <name val="Tahoma"/>
      <family val="2"/>
    </font>
    <font>
      <b/>
      <sz val="9"/>
      <color indexed="81"/>
      <name val="Tahoma"/>
      <family val="2"/>
    </font>
  </fonts>
  <fills count="24">
    <fill>
      <patternFill patternType="none"/>
    </fill>
    <fill>
      <patternFill patternType="gray125"/>
    </fill>
    <fill>
      <patternFill patternType="solid">
        <fgColor theme="8" tint="0.79998168889431442"/>
        <bgColor indexed="64"/>
      </patternFill>
    </fill>
    <fill>
      <patternFill patternType="solid">
        <fgColor theme="8" tint="0.39997558519241921"/>
        <bgColor indexed="64"/>
      </patternFill>
    </fill>
    <fill>
      <patternFill patternType="solid">
        <fgColor rgb="FF993366"/>
        <bgColor indexed="64"/>
      </patternFill>
    </fill>
    <fill>
      <patternFill patternType="solid">
        <fgColor theme="0" tint="-4.9989318521683403E-2"/>
        <bgColor indexed="64"/>
      </patternFill>
    </fill>
    <fill>
      <patternFill patternType="solid">
        <fgColor rgb="FFF9EDF3"/>
        <bgColor indexed="64"/>
      </patternFill>
    </fill>
    <fill>
      <patternFill patternType="solid">
        <fgColor theme="4" tint="0.79998168889431442"/>
        <bgColor indexed="64"/>
      </patternFill>
    </fill>
    <fill>
      <patternFill patternType="solid">
        <fgColor theme="0"/>
        <bgColor indexed="64"/>
      </patternFill>
    </fill>
    <fill>
      <patternFill patternType="solid">
        <fgColor indexed="65"/>
        <bgColor indexed="64"/>
      </patternFill>
    </fill>
    <fill>
      <patternFill patternType="solid">
        <fgColor theme="4" tint="-0.249977111117893"/>
        <bgColor indexed="64"/>
      </patternFill>
    </fill>
    <fill>
      <patternFill patternType="solid">
        <fgColor rgb="FFE4AEC9"/>
        <bgColor indexed="64"/>
      </patternFill>
    </fill>
    <fill>
      <patternFill patternType="solid">
        <fgColor theme="0" tint="-0.14999847407452621"/>
        <bgColor indexed="64"/>
      </patternFill>
    </fill>
    <fill>
      <patternFill patternType="solid">
        <fgColor rgb="FF71254B"/>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5"/>
        <bgColor indexed="64"/>
      </patternFill>
    </fill>
    <fill>
      <patternFill patternType="solid">
        <fgColor theme="9"/>
        <bgColor indexed="64"/>
      </patternFill>
    </fill>
    <fill>
      <patternFill patternType="solid">
        <fgColor rgb="FFDDEBF7"/>
        <bgColor rgb="FF000000"/>
      </patternFill>
    </fill>
    <fill>
      <patternFill patternType="solid">
        <fgColor theme="9" tint="0.59999389629810485"/>
        <bgColor indexed="64"/>
      </patternFill>
    </fill>
    <fill>
      <patternFill patternType="solid">
        <fgColor theme="5" tint="0.59999389629810485"/>
        <bgColor indexed="64"/>
      </patternFill>
    </fill>
    <fill>
      <patternFill patternType="solid">
        <fgColor rgb="FF0070C0"/>
        <bgColor indexed="64"/>
      </patternFill>
    </fill>
  </fills>
  <borders count="50">
    <border>
      <left/>
      <right/>
      <top/>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style="medium">
        <color theme="1"/>
      </right>
      <top style="medium">
        <color theme="8" tint="0.79998168889431442"/>
      </top>
      <bottom style="medium">
        <color theme="1"/>
      </bottom>
      <diagonal/>
    </border>
    <border>
      <left style="medium">
        <color theme="1"/>
      </left>
      <right style="medium">
        <color theme="1"/>
      </right>
      <top style="medium">
        <color theme="1"/>
      </top>
      <bottom/>
      <diagonal/>
    </border>
    <border>
      <left style="medium">
        <color theme="1"/>
      </left>
      <right/>
      <top style="medium">
        <color theme="8" tint="0.79998168889431442"/>
      </top>
      <bottom style="medium">
        <color theme="1"/>
      </bottom>
      <diagonal/>
    </border>
    <border>
      <left/>
      <right style="medium">
        <color theme="1"/>
      </right>
      <top style="medium">
        <color theme="8" tint="0.79998168889431442"/>
      </top>
      <bottom style="medium">
        <color theme="1"/>
      </bottom>
      <diagonal/>
    </border>
    <border>
      <left style="medium">
        <color theme="1"/>
      </left>
      <right style="medium">
        <color theme="1"/>
      </right>
      <top style="medium">
        <color theme="1"/>
      </top>
      <bottom style="medium">
        <color theme="8" tint="0.79998168889431442"/>
      </bottom>
      <diagonal/>
    </border>
    <border>
      <left style="medium">
        <color theme="1"/>
      </left>
      <right style="medium">
        <color theme="1"/>
      </right>
      <top/>
      <bottom style="medium">
        <color theme="1"/>
      </bottom>
      <diagonal/>
    </border>
    <border>
      <left style="medium">
        <color theme="1"/>
      </left>
      <right/>
      <top style="medium">
        <color theme="1"/>
      </top>
      <bottom style="medium">
        <color theme="8" tint="0.79998168889431442"/>
      </bottom>
      <diagonal/>
    </border>
    <border>
      <left style="medium">
        <color theme="1"/>
      </left>
      <right/>
      <top/>
      <bottom style="medium">
        <color theme="1"/>
      </bottom>
      <diagonal/>
    </border>
    <border>
      <left/>
      <right style="medium">
        <color theme="1"/>
      </right>
      <top style="medium">
        <color theme="1"/>
      </top>
      <bottom/>
      <diagonal/>
    </border>
    <border>
      <left/>
      <right style="medium">
        <color theme="1"/>
      </right>
      <top/>
      <bottom style="medium">
        <color theme="1"/>
      </bottom>
      <diagonal/>
    </border>
    <border>
      <left style="medium">
        <color theme="1"/>
      </left>
      <right/>
      <top style="medium">
        <color theme="1"/>
      </top>
      <bottom/>
      <diagonal/>
    </border>
    <border>
      <left/>
      <right style="medium">
        <color theme="1"/>
      </right>
      <top style="medium">
        <color theme="1"/>
      </top>
      <bottom style="medium">
        <color theme="8" tint="0.79998168889431442"/>
      </bottom>
      <diagonal/>
    </border>
    <border>
      <left/>
      <right/>
      <top style="medium">
        <color theme="1"/>
      </top>
      <bottom style="medium">
        <color theme="1"/>
      </bottom>
      <diagonal/>
    </border>
    <border>
      <left style="medium">
        <color theme="8" tint="0.39997558519241921"/>
      </left>
      <right style="medium">
        <color theme="1"/>
      </right>
      <top style="medium">
        <color theme="1"/>
      </top>
      <bottom style="medium">
        <color theme="1"/>
      </bottom>
      <diagonal/>
    </border>
    <border>
      <left style="medium">
        <color theme="1"/>
      </left>
      <right style="medium">
        <color theme="8" tint="0.39997558519241921"/>
      </right>
      <top style="medium">
        <color theme="1"/>
      </top>
      <bottom style="medium">
        <color theme="1"/>
      </bottom>
      <diagonal/>
    </border>
    <border>
      <left/>
      <right/>
      <top/>
      <bottom style="medium">
        <color theme="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right/>
      <top/>
      <bottom style="thin">
        <color theme="1" tint="0.499984740745262"/>
      </bottom>
      <diagonal/>
    </border>
    <border>
      <left style="thin">
        <color theme="1" tint="0.499984740745262"/>
      </left>
      <right/>
      <top/>
      <bottom style="thin">
        <color theme="1" tint="0.499984740745262"/>
      </bottom>
      <diagonal/>
    </border>
    <border>
      <left style="thin">
        <color theme="0"/>
      </left>
      <right style="thin">
        <color theme="0"/>
      </right>
      <top style="thin">
        <color theme="0"/>
      </top>
      <bottom style="thin">
        <color theme="0"/>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indexed="64"/>
      </bottom>
      <diagonal/>
    </border>
    <border>
      <left/>
      <right style="thin">
        <color theme="1" tint="0.499984740745262"/>
      </right>
      <top/>
      <bottom style="thin">
        <color theme="1" tint="0.499984740745262"/>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top style="thin">
        <color theme="0"/>
      </top>
      <bottom/>
      <diagonal/>
    </border>
    <border>
      <left style="thin">
        <color theme="0"/>
      </left>
      <right/>
      <top/>
      <bottom/>
      <diagonal/>
    </border>
    <border>
      <left/>
      <right style="thin">
        <color theme="0"/>
      </right>
      <top style="thin">
        <color theme="0"/>
      </top>
      <bottom/>
      <diagonal/>
    </border>
    <border>
      <left/>
      <right style="thin">
        <color theme="0"/>
      </right>
      <top/>
      <bottom style="thin">
        <color theme="0"/>
      </bottom>
      <diagonal/>
    </border>
  </borders>
  <cellStyleXfs count="7">
    <xf numFmtId="0" fontId="0" fillId="0" borderId="0"/>
    <xf numFmtId="9" fontId="7" fillId="0" borderId="0" applyFont="0" applyFill="0" applyBorder="0" applyAlignment="0" applyProtection="0"/>
    <xf numFmtId="0" fontId="29" fillId="0" borderId="0" applyNumberFormat="0" applyFill="0" applyBorder="0" applyAlignment="0" applyProtection="0"/>
    <xf numFmtId="0" fontId="28" fillId="0" borderId="0"/>
    <xf numFmtId="0" fontId="2" fillId="0" borderId="0"/>
    <xf numFmtId="9" fontId="2" fillId="0" borderId="0" applyFont="0" applyFill="0" applyBorder="0" applyAlignment="0" applyProtection="0"/>
    <xf numFmtId="43" fontId="7" fillId="0" borderId="0" applyFont="0" applyFill="0" applyBorder="0" applyAlignment="0" applyProtection="0"/>
  </cellStyleXfs>
  <cellXfs count="430">
    <xf numFmtId="0" fontId="0" fillId="0" borderId="0" xfId="0"/>
    <xf numFmtId="0" fontId="4" fillId="0" borderId="0" xfId="0" applyFont="1" applyAlignment="1">
      <alignment horizontal="left"/>
    </xf>
    <xf numFmtId="0" fontId="5" fillId="0" borderId="1" xfId="0" applyFont="1" applyBorder="1" applyAlignment="1">
      <alignment horizontal="center"/>
    </xf>
    <xf numFmtId="0" fontId="3" fillId="0" borderId="1" xfId="0" applyFont="1" applyBorder="1" applyAlignment="1">
      <alignment horizontal="center"/>
    </xf>
    <xf numFmtId="0" fontId="0" fillId="0" borderId="1" xfId="0" applyBorder="1"/>
    <xf numFmtId="0" fontId="4" fillId="0" borderId="1" xfId="0" applyFont="1" applyBorder="1"/>
    <xf numFmtId="49" fontId="4" fillId="0" borderId="1" xfId="0" applyNumberFormat="1" applyFont="1" applyBorder="1"/>
    <xf numFmtId="0" fontId="3" fillId="0" borderId="0" xfId="0" applyFont="1" applyAlignment="1">
      <alignment horizontal="center"/>
    </xf>
    <xf numFmtId="0" fontId="5" fillId="3" borderId="1" xfId="0" applyFont="1" applyFill="1" applyBorder="1" applyAlignment="1">
      <alignment horizontal="left"/>
    </xf>
    <xf numFmtId="0" fontId="4" fillId="3" borderId="1" xfId="0" applyFont="1" applyFill="1" applyBorder="1"/>
    <xf numFmtId="0" fontId="0" fillId="3" borderId="1" xfId="0" applyFill="1" applyBorder="1"/>
    <xf numFmtId="0" fontId="5" fillId="2" borderId="5" xfId="0" applyFont="1" applyFill="1" applyBorder="1" applyAlignment="1">
      <alignment horizontal="left"/>
    </xf>
    <xf numFmtId="0" fontId="4" fillId="2" borderId="9" xfId="0" applyFont="1" applyFill="1" applyBorder="1"/>
    <xf numFmtId="0" fontId="0" fillId="2" borderId="8" xfId="0" applyFill="1" applyBorder="1"/>
    <xf numFmtId="0" fontId="0" fillId="2" borderId="10" xfId="0" applyFill="1" applyBorder="1"/>
    <xf numFmtId="0" fontId="4" fillId="2" borderId="11" xfId="0" applyFont="1" applyFill="1" applyBorder="1"/>
    <xf numFmtId="0" fontId="0" fillId="2" borderId="5" xfId="0" applyFill="1" applyBorder="1"/>
    <xf numFmtId="0" fontId="0" fillId="2" borderId="4" xfId="0" applyFill="1" applyBorder="1"/>
    <xf numFmtId="0" fontId="0" fillId="2" borderId="9" xfId="0" applyFill="1" applyBorder="1"/>
    <xf numFmtId="0" fontId="4" fillId="2" borderId="6" xfId="0" applyFont="1" applyFill="1" applyBorder="1"/>
    <xf numFmtId="0" fontId="4" fillId="0" borderId="1" xfId="0" applyFont="1" applyBorder="1" applyAlignment="1">
      <alignment wrapText="1"/>
    </xf>
    <xf numFmtId="0" fontId="0" fillId="0" borderId="0" xfId="0" applyAlignment="1">
      <alignment wrapText="1"/>
    </xf>
    <xf numFmtId="0" fontId="6" fillId="2" borderId="13" xfId="0" applyFont="1" applyFill="1" applyBorder="1" applyAlignment="1">
      <alignment horizontal="left"/>
    </xf>
    <xf numFmtId="0" fontId="5" fillId="2" borderId="8" xfId="0" applyFont="1" applyFill="1" applyBorder="1" applyAlignment="1">
      <alignment horizontal="left"/>
    </xf>
    <xf numFmtId="0" fontId="4" fillId="0" borderId="9" xfId="0" applyFont="1" applyBorder="1"/>
    <xf numFmtId="0" fontId="4" fillId="0" borderId="9" xfId="0" applyFont="1" applyBorder="1" applyAlignment="1">
      <alignment wrapText="1"/>
    </xf>
    <xf numFmtId="0" fontId="5" fillId="0" borderId="3" xfId="0" applyFont="1" applyBorder="1" applyAlignment="1">
      <alignment horizontal="center"/>
    </xf>
    <xf numFmtId="0" fontId="0" fillId="0" borderId="3" xfId="0" applyBorder="1"/>
    <xf numFmtId="0" fontId="0" fillId="0" borderId="9" xfId="0" applyBorder="1"/>
    <xf numFmtId="0" fontId="4" fillId="2" borderId="8" xfId="0" applyFont="1" applyFill="1" applyBorder="1"/>
    <xf numFmtId="0" fontId="4" fillId="2" borderId="13" xfId="0" applyFont="1" applyFill="1" applyBorder="1"/>
    <xf numFmtId="0" fontId="4" fillId="2" borderId="4" xfId="0" applyFont="1" applyFill="1" applyBorder="1"/>
    <xf numFmtId="0" fontId="6" fillId="2" borderId="7" xfId="0" applyFont="1" applyFill="1" applyBorder="1" applyAlignment="1">
      <alignment horizontal="left" wrapText="1"/>
    </xf>
    <xf numFmtId="0" fontId="6" fillId="2" borderId="13" xfId="0" applyFont="1" applyFill="1" applyBorder="1" applyAlignment="1">
      <alignment horizontal="left" wrapText="1"/>
    </xf>
    <xf numFmtId="0" fontId="5" fillId="0" borderId="5" xfId="0" applyFont="1" applyBorder="1" applyAlignment="1">
      <alignment horizontal="center"/>
    </xf>
    <xf numFmtId="0" fontId="5" fillId="0" borderId="12" xfId="0" applyFont="1" applyBorder="1" applyAlignment="1">
      <alignment horizontal="center"/>
    </xf>
    <xf numFmtId="0" fontId="4" fillId="0" borderId="3" xfId="0" applyFont="1" applyBorder="1" applyAlignment="1">
      <alignment horizontal="right"/>
    </xf>
    <xf numFmtId="0" fontId="4" fillId="0" borderId="1" xfId="0" applyFont="1" applyBorder="1" applyAlignment="1">
      <alignment horizontal="right"/>
    </xf>
    <xf numFmtId="0" fontId="5" fillId="3" borderId="1" xfId="0" applyFont="1" applyFill="1" applyBorder="1" applyAlignment="1">
      <alignment horizontal="center"/>
    </xf>
    <xf numFmtId="0" fontId="5" fillId="3" borderId="14" xfId="0" applyFont="1" applyFill="1" applyBorder="1" applyAlignment="1">
      <alignment horizontal="left"/>
    </xf>
    <xf numFmtId="0" fontId="4" fillId="3" borderId="17" xfId="0" applyFont="1" applyFill="1" applyBorder="1" applyAlignment="1">
      <alignment horizontal="left"/>
    </xf>
    <xf numFmtId="0" fontId="4" fillId="3" borderId="12" xfId="0" applyFont="1" applyFill="1" applyBorder="1" applyAlignment="1">
      <alignment horizontal="left"/>
    </xf>
    <xf numFmtId="0" fontId="5" fillId="3" borderId="18" xfId="0" applyFont="1" applyFill="1" applyBorder="1" applyAlignment="1">
      <alignment horizontal="left"/>
    </xf>
    <xf numFmtId="0" fontId="4" fillId="2" borderId="1" xfId="0" applyFont="1" applyFill="1" applyBorder="1" applyAlignment="1">
      <alignment horizontal="left"/>
    </xf>
    <xf numFmtId="0" fontId="6" fillId="2" borderId="9" xfId="0" applyFont="1" applyFill="1" applyBorder="1" applyAlignment="1">
      <alignment horizontal="left"/>
    </xf>
    <xf numFmtId="0" fontId="5" fillId="2" borderId="14" xfId="0" applyFont="1" applyFill="1" applyBorder="1" applyAlignment="1">
      <alignment horizontal="left"/>
    </xf>
    <xf numFmtId="0" fontId="6" fillId="2" borderId="19" xfId="0" applyFont="1" applyFill="1" applyBorder="1" applyAlignment="1">
      <alignment horizontal="left"/>
    </xf>
    <xf numFmtId="0" fontId="5" fillId="3" borderId="1" xfId="0" applyFont="1" applyFill="1" applyBorder="1" applyAlignment="1">
      <alignment horizontal="left" wrapText="1"/>
    </xf>
    <xf numFmtId="0" fontId="4" fillId="0" borderId="1" xfId="0" applyFont="1" applyBorder="1" applyAlignment="1">
      <alignment vertical="center" wrapText="1"/>
    </xf>
    <xf numFmtId="0" fontId="4" fillId="3" borderId="1" xfId="0" applyFont="1" applyFill="1" applyBorder="1" applyAlignment="1">
      <alignment horizontal="left"/>
    </xf>
    <xf numFmtId="0" fontId="4" fillId="2" borderId="1" xfId="0" applyFont="1" applyFill="1" applyBorder="1"/>
    <xf numFmtId="0" fontId="4" fillId="3" borderId="1" xfId="0" applyFont="1" applyFill="1" applyBorder="1" applyAlignment="1">
      <alignment horizontal="center"/>
    </xf>
    <xf numFmtId="0" fontId="10" fillId="4" borderId="20" xfId="0" applyFont="1" applyFill="1" applyBorder="1" applyAlignment="1">
      <alignment horizontal="center" vertical="center" wrapText="1"/>
    </xf>
    <xf numFmtId="0" fontId="10" fillId="4" borderId="20" xfId="0" applyFont="1" applyFill="1" applyBorder="1" applyAlignment="1">
      <alignment horizontal="center" vertical="center"/>
    </xf>
    <xf numFmtId="0" fontId="10" fillId="4" borderId="0" xfId="0" applyFont="1" applyFill="1" applyAlignment="1">
      <alignment horizontal="right" vertical="center"/>
    </xf>
    <xf numFmtId="0" fontId="4" fillId="0" borderId="20" xfId="0" applyFont="1" applyBorder="1"/>
    <xf numFmtId="0" fontId="4" fillId="0" borderId="20" xfId="0" applyFont="1" applyBorder="1" applyAlignment="1">
      <alignment wrapText="1"/>
    </xf>
    <xf numFmtId="0" fontId="0" fillId="0" borderId="20" xfId="0" applyBorder="1"/>
    <xf numFmtId="0" fontId="4" fillId="5" borderId="20" xfId="0" applyFont="1" applyFill="1" applyBorder="1" applyAlignment="1">
      <alignment horizontal="right"/>
    </xf>
    <xf numFmtId="0" fontId="4" fillId="5" borderId="20" xfId="0" applyFont="1" applyFill="1" applyBorder="1"/>
    <xf numFmtId="0" fontId="4" fillId="5" borderId="20" xfId="0" applyFont="1" applyFill="1" applyBorder="1" applyAlignment="1">
      <alignment wrapText="1"/>
    </xf>
    <xf numFmtId="49" fontId="4" fillId="5" borderId="20" xfId="0" applyNumberFormat="1" applyFont="1" applyFill="1" applyBorder="1"/>
    <xf numFmtId="0" fontId="3" fillId="0" borderId="0" xfId="0" applyFont="1" applyAlignment="1">
      <alignment horizontal="center" vertical="center"/>
    </xf>
    <xf numFmtId="0" fontId="12" fillId="0" borderId="0" xfId="0" applyFont="1"/>
    <xf numFmtId="0" fontId="4" fillId="0" borderId="20" xfId="0" applyFont="1" applyBorder="1" applyAlignment="1">
      <alignment horizontal="right"/>
    </xf>
    <xf numFmtId="0" fontId="10" fillId="4" borderId="20" xfId="0" applyFont="1" applyFill="1" applyBorder="1" applyAlignment="1">
      <alignment horizontal="left"/>
    </xf>
    <xf numFmtId="0" fontId="10" fillId="4" borderId="20" xfId="0" applyFont="1" applyFill="1" applyBorder="1" applyAlignment="1">
      <alignment horizontal="right"/>
    </xf>
    <xf numFmtId="0" fontId="4" fillId="5" borderId="20" xfId="0" applyFont="1" applyFill="1" applyBorder="1" applyAlignment="1">
      <alignment horizontal="left"/>
    </xf>
    <xf numFmtId="0" fontId="10" fillId="4" borderId="20" xfId="0" applyFont="1" applyFill="1" applyBorder="1" applyAlignment="1">
      <alignment horizontal="center"/>
    </xf>
    <xf numFmtId="9" fontId="4" fillId="5" borderId="20" xfId="0" applyNumberFormat="1" applyFont="1" applyFill="1" applyBorder="1" applyAlignment="1">
      <alignment horizontal="center"/>
    </xf>
    <xf numFmtId="0" fontId="0" fillId="0" borderId="0" xfId="0" applyAlignment="1">
      <alignment horizontal="center"/>
    </xf>
    <xf numFmtId="9" fontId="10" fillId="4" borderId="20" xfId="0" applyNumberFormat="1" applyFont="1" applyFill="1" applyBorder="1" applyAlignment="1">
      <alignment horizontal="center"/>
    </xf>
    <xf numFmtId="0" fontId="4" fillId="0" borderId="0" xfId="0" applyFont="1"/>
    <xf numFmtId="9" fontId="4" fillId="0" borderId="20" xfId="0" applyNumberFormat="1" applyFont="1" applyBorder="1" applyAlignment="1">
      <alignment horizontal="center"/>
    </xf>
    <xf numFmtId="0" fontId="10" fillId="4" borderId="21" xfId="0" applyFont="1" applyFill="1" applyBorder="1" applyAlignment="1">
      <alignment horizontal="center" vertical="center"/>
    </xf>
    <xf numFmtId="9" fontId="10" fillId="4" borderId="20" xfId="1" applyFont="1" applyFill="1" applyBorder="1" applyAlignment="1">
      <alignment horizontal="center" vertical="center"/>
    </xf>
    <xf numFmtId="164" fontId="4" fillId="5" borderId="20" xfId="0" applyNumberFormat="1" applyFont="1" applyFill="1" applyBorder="1" applyAlignment="1">
      <alignment horizontal="center" vertical="center"/>
    </xf>
    <xf numFmtId="164" fontId="4" fillId="0" borderId="20" xfId="0" applyNumberFormat="1" applyFont="1" applyBorder="1" applyAlignment="1">
      <alignment horizontal="center" vertical="center"/>
    </xf>
    <xf numFmtId="0" fontId="0" fillId="0" borderId="0" xfId="0" applyAlignment="1">
      <alignment horizontal="center" vertical="center"/>
    </xf>
    <xf numFmtId="0" fontId="13" fillId="6" borderId="20" xfId="0" applyFont="1" applyFill="1" applyBorder="1" applyAlignment="1">
      <alignment horizontal="left"/>
    </xf>
    <xf numFmtId="0" fontId="14" fillId="6" borderId="20" xfId="0" applyFont="1" applyFill="1" applyBorder="1" applyAlignment="1">
      <alignment horizontal="right"/>
    </xf>
    <xf numFmtId="0" fontId="13" fillId="6" borderId="20" xfId="0" applyFont="1" applyFill="1" applyBorder="1" applyAlignment="1">
      <alignment horizontal="center"/>
    </xf>
    <xf numFmtId="0" fontId="8" fillId="0" borderId="0" xfId="0" applyFont="1" applyAlignment="1">
      <alignment horizontal="center"/>
    </xf>
    <xf numFmtId="0" fontId="13" fillId="0" borderId="20" xfId="0" applyFont="1" applyBorder="1" applyAlignment="1">
      <alignment horizontal="left"/>
    </xf>
    <xf numFmtId="0" fontId="14" fillId="0" borderId="20" xfId="0" applyFont="1" applyBorder="1" applyAlignment="1">
      <alignment horizontal="right"/>
    </xf>
    <xf numFmtId="0" fontId="13" fillId="0" borderId="20" xfId="0" applyFont="1" applyBorder="1" applyAlignment="1">
      <alignment horizontal="center"/>
    </xf>
    <xf numFmtId="0" fontId="15" fillId="4" borderId="20" xfId="0" applyFont="1" applyFill="1" applyBorder="1" applyAlignment="1">
      <alignment horizontal="center" vertical="center"/>
    </xf>
    <xf numFmtId="0" fontId="10" fillId="4" borderId="20" xfId="0" applyFont="1" applyFill="1" applyBorder="1" applyAlignment="1">
      <alignment horizontal="left" vertical="center"/>
    </xf>
    <xf numFmtId="0" fontId="11" fillId="4" borderId="20" xfId="0" applyFont="1" applyFill="1" applyBorder="1" applyAlignment="1">
      <alignment horizontal="left" vertical="center"/>
    </xf>
    <xf numFmtId="9" fontId="10" fillId="4" borderId="20" xfId="0" applyNumberFormat="1" applyFont="1" applyFill="1" applyBorder="1" applyAlignment="1">
      <alignment horizontal="center" vertical="center"/>
    </xf>
    <xf numFmtId="0" fontId="4" fillId="5" borderId="20" xfId="0" applyFont="1" applyFill="1" applyBorder="1" applyAlignment="1">
      <alignment horizontal="left" vertical="center"/>
    </xf>
    <xf numFmtId="9" fontId="4" fillId="5" borderId="20" xfId="0" applyNumberFormat="1" applyFont="1" applyFill="1" applyBorder="1" applyAlignment="1">
      <alignment horizontal="center" vertical="center"/>
    </xf>
    <xf numFmtId="0" fontId="5" fillId="5" borderId="20" xfId="0" applyFont="1" applyFill="1" applyBorder="1" applyAlignment="1">
      <alignment horizontal="center" vertical="center"/>
    </xf>
    <xf numFmtId="0" fontId="4" fillId="0" borderId="20" xfId="0" applyFont="1" applyBorder="1" applyAlignment="1">
      <alignment horizontal="left" vertical="center"/>
    </xf>
    <xf numFmtId="0" fontId="5" fillId="0" borderId="20" xfId="0" applyFont="1" applyBorder="1" applyAlignment="1">
      <alignment horizontal="center" vertical="center"/>
    </xf>
    <xf numFmtId="0" fontId="4" fillId="5" borderId="20" xfId="0" applyFont="1" applyFill="1" applyBorder="1" applyAlignment="1">
      <alignment vertical="center"/>
    </xf>
    <xf numFmtId="0" fontId="4" fillId="0" borderId="20" xfId="0" applyFont="1" applyBorder="1" applyAlignment="1">
      <alignment vertical="center"/>
    </xf>
    <xf numFmtId="9" fontId="4" fillId="0" borderId="20" xfId="0" applyNumberFormat="1" applyFont="1" applyBorder="1" applyAlignment="1">
      <alignment horizontal="center" vertical="center"/>
    </xf>
    <xf numFmtId="0" fontId="11" fillId="4" borderId="20" xfId="0" applyFont="1" applyFill="1" applyBorder="1" applyAlignment="1">
      <alignment horizontal="center" vertical="center" wrapText="1"/>
    </xf>
    <xf numFmtId="0" fontId="9" fillId="0" borderId="20" xfId="0" applyFont="1" applyBorder="1" applyAlignment="1">
      <alignment horizontal="left"/>
    </xf>
    <xf numFmtId="0" fontId="9" fillId="5" borderId="20" xfId="0" applyFont="1" applyFill="1" applyBorder="1" applyAlignment="1">
      <alignment horizontal="left"/>
    </xf>
    <xf numFmtId="0" fontId="15" fillId="0" borderId="0" xfId="0" applyFont="1" applyAlignment="1">
      <alignment horizontal="center" vertical="center" wrapText="1"/>
    </xf>
    <xf numFmtId="0" fontId="9" fillId="0" borderId="22" xfId="0" applyFont="1" applyBorder="1" applyAlignment="1">
      <alignment horizontal="left"/>
    </xf>
    <xf numFmtId="0" fontId="3" fillId="0" borderId="0" xfId="0" applyFont="1"/>
    <xf numFmtId="0" fontId="11" fillId="0" borderId="0" xfId="0" applyFont="1" applyAlignment="1">
      <alignment horizontal="center" vertical="center" wrapText="1"/>
    </xf>
    <xf numFmtId="0" fontId="16" fillId="4" borderId="0" xfId="0" applyFont="1" applyFill="1" applyAlignment="1">
      <alignment horizontal="center" vertical="center"/>
    </xf>
    <xf numFmtId="0" fontId="16" fillId="0" borderId="0" xfId="0" applyFont="1" applyAlignment="1">
      <alignment horizontal="center" vertical="center"/>
    </xf>
    <xf numFmtId="0" fontId="10" fillId="0" borderId="21" xfId="0" applyFont="1" applyBorder="1" applyAlignment="1">
      <alignment horizontal="center" vertical="center"/>
    </xf>
    <xf numFmtId="0" fontId="10" fillId="4" borderId="27" xfId="0" applyFont="1" applyFill="1" applyBorder="1" applyAlignment="1">
      <alignment horizontal="center" vertical="center" wrapText="1"/>
    </xf>
    <xf numFmtId="0" fontId="11" fillId="4" borderId="27" xfId="0" applyFont="1" applyFill="1" applyBorder="1" applyAlignment="1">
      <alignment horizontal="center" vertical="center" wrapText="1"/>
    </xf>
    <xf numFmtId="0" fontId="12" fillId="0" borderId="0" xfId="0" applyFont="1" applyAlignment="1">
      <alignment horizontal="center" vertical="center"/>
    </xf>
    <xf numFmtId="0" fontId="0" fillId="7" borderId="0" xfId="0" applyFill="1"/>
    <xf numFmtId="0" fontId="10" fillId="4" borderId="21" xfId="0" applyFont="1" applyFill="1" applyBorder="1" applyAlignment="1">
      <alignment horizontal="center" vertical="center" wrapText="1"/>
    </xf>
    <xf numFmtId="0" fontId="16" fillId="8" borderId="0" xfId="0" applyFont="1" applyFill="1" applyAlignment="1">
      <alignment horizontal="center" vertical="center"/>
    </xf>
    <xf numFmtId="0" fontId="10" fillId="8" borderId="21" xfId="0" applyFont="1" applyFill="1" applyBorder="1" applyAlignment="1">
      <alignment horizontal="center" vertical="center" wrapText="1"/>
    </xf>
    <xf numFmtId="0" fontId="0" fillId="8" borderId="0" xfId="0" applyFill="1"/>
    <xf numFmtId="0" fontId="10" fillId="4" borderId="20" xfId="0" applyFont="1" applyFill="1" applyBorder="1" applyAlignment="1">
      <alignment horizontal="right" vertical="center"/>
    </xf>
    <xf numFmtId="0" fontId="18" fillId="0" borderId="0" xfId="0" applyFont="1" applyAlignment="1">
      <alignment horizontal="center" vertical="center" wrapText="1"/>
    </xf>
    <xf numFmtId="0" fontId="19" fillId="0" borderId="0" xfId="0" applyFont="1" applyAlignment="1">
      <alignment horizontal="center"/>
    </xf>
    <xf numFmtId="0" fontId="12" fillId="0" borderId="0" xfId="0" applyFont="1" applyAlignment="1">
      <alignment vertical="center"/>
    </xf>
    <xf numFmtId="0" fontId="20" fillId="0" borderId="0" xfId="0" applyFont="1" applyAlignment="1">
      <alignment horizontal="center" vertical="center"/>
    </xf>
    <xf numFmtId="9" fontId="7" fillId="5" borderId="20" xfId="1" applyFont="1" applyFill="1" applyBorder="1" applyAlignment="1">
      <alignment horizontal="center"/>
    </xf>
    <xf numFmtId="9" fontId="7" fillId="0" borderId="20" xfId="1" applyFont="1" applyBorder="1" applyAlignment="1">
      <alignment horizontal="center"/>
    </xf>
    <xf numFmtId="9" fontId="7" fillId="0" borderId="22" xfId="1" applyFont="1" applyBorder="1" applyAlignment="1">
      <alignment horizontal="center"/>
    </xf>
    <xf numFmtId="0" fontId="20" fillId="4" borderId="0" xfId="0" applyFont="1" applyFill="1" applyAlignment="1">
      <alignment horizontal="center" vertical="center"/>
    </xf>
    <xf numFmtId="9" fontId="20" fillId="4" borderId="0" xfId="0" applyNumberFormat="1" applyFont="1" applyFill="1" applyAlignment="1">
      <alignment horizontal="center" vertical="center"/>
    </xf>
    <xf numFmtId="0" fontId="0" fillId="0" borderId="0" xfId="0" applyAlignment="1">
      <alignment horizontal="right" indent="1"/>
    </xf>
    <xf numFmtId="9" fontId="18" fillId="0" borderId="0" xfId="1" applyFont="1" applyFill="1" applyBorder="1" applyAlignment="1">
      <alignment horizontal="center" vertical="center" wrapText="1"/>
    </xf>
    <xf numFmtId="9" fontId="11" fillId="0" borderId="0" xfId="1" applyFont="1" applyFill="1" applyBorder="1" applyAlignment="1">
      <alignment horizontal="center" vertical="center" wrapText="1"/>
    </xf>
    <xf numFmtId="9" fontId="0" fillId="0" borderId="0" xfId="1" applyFont="1" applyFill="1" applyBorder="1" applyAlignment="1">
      <alignment horizontal="center" vertical="center"/>
    </xf>
    <xf numFmtId="9" fontId="7" fillId="5" borderId="24" xfId="1" applyFont="1" applyFill="1" applyBorder="1" applyAlignment="1">
      <alignment horizontal="center" vertical="center"/>
    </xf>
    <xf numFmtId="9" fontId="7" fillId="5" borderId="20" xfId="1" applyFont="1" applyFill="1" applyBorder="1" applyAlignment="1">
      <alignment horizontal="center" vertical="center"/>
    </xf>
    <xf numFmtId="9" fontId="7" fillId="0" borderId="0" xfId="1" applyFont="1" applyFill="1" applyBorder="1" applyAlignment="1">
      <alignment horizontal="center" vertical="center"/>
    </xf>
    <xf numFmtId="9" fontId="7" fillId="5" borderId="23" xfId="1" applyFont="1" applyFill="1" applyBorder="1" applyAlignment="1">
      <alignment horizontal="center" vertical="center"/>
    </xf>
    <xf numFmtId="9" fontId="7" fillId="0" borderId="24" xfId="1" applyFont="1" applyBorder="1" applyAlignment="1">
      <alignment horizontal="center" vertical="center"/>
    </xf>
    <xf numFmtId="9" fontId="7" fillId="0" borderId="20" xfId="1" applyFont="1" applyBorder="1" applyAlignment="1">
      <alignment horizontal="center" vertical="center"/>
    </xf>
    <xf numFmtId="9" fontId="7" fillId="0" borderId="23" xfId="1" applyFont="1" applyBorder="1" applyAlignment="1">
      <alignment horizontal="center" vertical="center"/>
    </xf>
    <xf numFmtId="9" fontId="0" fillId="0" borderId="0" xfId="1" applyFont="1" applyAlignment="1">
      <alignment horizontal="center" vertical="center"/>
    </xf>
    <xf numFmtId="0" fontId="23" fillId="0" borderId="0" xfId="0" applyFont="1" applyAlignment="1">
      <alignment horizontal="center" vertical="center" wrapText="1"/>
    </xf>
    <xf numFmtId="0" fontId="25" fillId="9" borderId="30" xfId="0" applyFont="1" applyFill="1" applyBorder="1" applyAlignment="1">
      <alignment horizontal="left" vertical="center" wrapText="1"/>
    </xf>
    <xf numFmtId="0" fontId="26" fillId="0" borderId="0" xfId="0" applyFont="1" applyAlignment="1">
      <alignment vertical="center" wrapText="1"/>
    </xf>
    <xf numFmtId="0" fontId="30" fillId="7" borderId="0" xfId="0" applyFont="1" applyFill="1" applyAlignment="1">
      <alignment horizontal="center" vertical="center"/>
    </xf>
    <xf numFmtId="9" fontId="30" fillId="0" borderId="0" xfId="1" applyFont="1" applyAlignment="1">
      <alignment horizontal="center" vertical="center"/>
    </xf>
    <xf numFmtId="0" fontId="0" fillId="7" borderId="0" xfId="0" applyFill="1" applyAlignment="1">
      <alignment horizontal="center" vertical="center"/>
    </xf>
    <xf numFmtId="0" fontId="13" fillId="0" borderId="20" xfId="0" applyFont="1" applyBorder="1" applyAlignment="1">
      <alignment horizontal="left" vertical="center"/>
    </xf>
    <xf numFmtId="0" fontId="14" fillId="0" borderId="20" xfId="0" applyFont="1" applyBorder="1" applyAlignment="1">
      <alignment horizontal="right" vertical="center"/>
    </xf>
    <xf numFmtId="0" fontId="8" fillId="0" borderId="0" xfId="0" applyFont="1" applyAlignment="1">
      <alignment horizontal="center" vertical="center"/>
    </xf>
    <xf numFmtId="0" fontId="13" fillId="6" borderId="20" xfId="0" applyFont="1" applyFill="1" applyBorder="1" applyAlignment="1">
      <alignment horizontal="left" vertical="center"/>
    </xf>
    <xf numFmtId="0" fontId="14" fillId="6" borderId="20" xfId="0" applyFont="1" applyFill="1" applyBorder="1" applyAlignment="1">
      <alignment horizontal="right" vertical="center"/>
    </xf>
    <xf numFmtId="0" fontId="4" fillId="5" borderId="20" xfId="0" applyFont="1" applyFill="1" applyBorder="1" applyAlignment="1">
      <alignment horizontal="right" vertical="center"/>
    </xf>
    <xf numFmtId="0" fontId="0" fillId="0" borderId="0" xfId="0" applyAlignment="1">
      <alignment vertical="center"/>
    </xf>
    <xf numFmtId="0" fontId="4" fillId="5" borderId="20" xfId="0" applyFont="1" applyFill="1" applyBorder="1" applyAlignment="1">
      <alignment vertical="center" wrapText="1"/>
    </xf>
    <xf numFmtId="0" fontId="4" fillId="0" borderId="20" xfId="0" applyFont="1" applyBorder="1" applyAlignment="1">
      <alignment vertical="center" wrapText="1"/>
    </xf>
    <xf numFmtId="0" fontId="4" fillId="0" borderId="0" xfId="0" applyFont="1" applyAlignment="1">
      <alignment vertical="center"/>
    </xf>
    <xf numFmtId="0" fontId="4" fillId="0" borderId="20" xfId="0" applyFont="1" applyBorder="1" applyAlignment="1">
      <alignment horizontal="right" vertical="center"/>
    </xf>
    <xf numFmtId="0" fontId="30" fillId="8" borderId="0" xfId="0" applyFont="1" applyFill="1" applyAlignment="1">
      <alignment horizontal="center" vertical="center"/>
    </xf>
    <xf numFmtId="164" fontId="0" fillId="0" borderId="0" xfId="0" applyNumberFormat="1" applyAlignment="1">
      <alignment horizontal="center" vertical="center"/>
    </xf>
    <xf numFmtId="0" fontId="5" fillId="6" borderId="22" xfId="0" applyFont="1" applyFill="1" applyBorder="1" applyAlignment="1">
      <alignment horizontal="center" vertical="center"/>
    </xf>
    <xf numFmtId="49" fontId="4" fillId="5" borderId="20" xfId="0" applyNumberFormat="1" applyFont="1" applyFill="1" applyBorder="1" applyAlignment="1">
      <alignment vertical="center"/>
    </xf>
    <xf numFmtId="0" fontId="32" fillId="0" borderId="20" xfId="0" applyFont="1" applyBorder="1" applyAlignment="1">
      <alignment horizontal="center" vertical="center"/>
    </xf>
    <xf numFmtId="0" fontId="32" fillId="6" borderId="20" xfId="0" applyFont="1" applyFill="1" applyBorder="1" applyAlignment="1">
      <alignment horizontal="center" vertical="center"/>
    </xf>
    <xf numFmtId="9" fontId="31" fillId="4" borderId="20" xfId="0" applyNumberFormat="1" applyFont="1" applyFill="1" applyBorder="1" applyAlignment="1">
      <alignment horizontal="center" vertical="center"/>
    </xf>
    <xf numFmtId="9" fontId="31" fillId="4" borderId="20" xfId="1" applyFont="1" applyFill="1" applyBorder="1" applyAlignment="1">
      <alignment horizontal="center" vertical="center"/>
    </xf>
    <xf numFmtId="9" fontId="32" fillId="6" borderId="20" xfId="1" applyFont="1" applyFill="1" applyBorder="1" applyAlignment="1">
      <alignment horizontal="center" vertical="center"/>
    </xf>
    <xf numFmtId="9" fontId="33" fillId="5" borderId="20" xfId="1" applyFont="1" applyFill="1" applyBorder="1" applyAlignment="1">
      <alignment horizontal="center" vertical="center"/>
    </xf>
    <xf numFmtId="9" fontId="33" fillId="0" borderId="20" xfId="1" applyFont="1" applyBorder="1" applyAlignment="1">
      <alignment horizontal="center" vertical="center"/>
    </xf>
    <xf numFmtId="9" fontId="33" fillId="5" borderId="20" xfId="0" applyNumberFormat="1" applyFont="1" applyFill="1" applyBorder="1" applyAlignment="1">
      <alignment horizontal="center" vertical="center"/>
    </xf>
    <xf numFmtId="9" fontId="33" fillId="0" borderId="20" xfId="0" applyNumberFormat="1" applyFont="1" applyBorder="1" applyAlignment="1">
      <alignment horizontal="center" vertical="center"/>
    </xf>
    <xf numFmtId="0" fontId="30" fillId="0" borderId="0" xfId="0" applyFont="1" applyAlignment="1">
      <alignment horizontal="center"/>
    </xf>
    <xf numFmtId="164" fontId="3" fillId="0" borderId="0" xfId="0" applyNumberFormat="1" applyFont="1" applyAlignment="1">
      <alignment horizontal="center" vertical="center"/>
    </xf>
    <xf numFmtId="10" fontId="0" fillId="0" borderId="0" xfId="1" applyNumberFormat="1" applyFont="1" applyFill="1" applyBorder="1"/>
    <xf numFmtId="9" fontId="35" fillId="5" borderId="23" xfId="1" applyFont="1" applyFill="1" applyBorder="1" applyAlignment="1">
      <alignment horizontal="center" vertical="center"/>
    </xf>
    <xf numFmtId="9" fontId="35" fillId="0" borderId="23" xfId="1" applyFont="1" applyBorder="1" applyAlignment="1">
      <alignment horizontal="center" vertical="center"/>
    </xf>
    <xf numFmtId="9" fontId="35" fillId="0" borderId="0" xfId="1" applyFont="1" applyFill="1" applyBorder="1" applyAlignment="1">
      <alignment horizontal="center" vertical="center"/>
    </xf>
    <xf numFmtId="0" fontId="14" fillId="0" borderId="0" xfId="0" applyFont="1" applyAlignment="1">
      <alignment vertical="center" wrapText="1"/>
    </xf>
    <xf numFmtId="9" fontId="10" fillId="13" borderId="20" xfId="1" applyFont="1" applyFill="1" applyBorder="1" applyAlignment="1">
      <alignment horizontal="center" vertical="center"/>
    </xf>
    <xf numFmtId="9" fontId="5" fillId="12" borderId="20" xfId="1" applyFont="1" applyFill="1" applyBorder="1" applyAlignment="1">
      <alignment horizontal="center" vertical="center" wrapText="1"/>
    </xf>
    <xf numFmtId="9" fontId="5" fillId="0" borderId="20" xfId="1" applyFont="1" applyBorder="1" applyAlignment="1">
      <alignment horizontal="center" vertical="center" wrapText="1"/>
    </xf>
    <xf numFmtId="0" fontId="5" fillId="11" borderId="20" xfId="0" applyFont="1" applyFill="1" applyBorder="1" applyAlignment="1">
      <alignment horizontal="center" vertical="center"/>
    </xf>
    <xf numFmtId="0" fontId="3" fillId="0" borderId="0" xfId="0" applyFont="1" applyAlignment="1">
      <alignment horizontal="center" vertical="center" wrapText="1"/>
    </xf>
    <xf numFmtId="9" fontId="31" fillId="13" borderId="20" xfId="1" applyFont="1" applyFill="1" applyBorder="1" applyAlignment="1">
      <alignment horizontal="center" vertical="center"/>
    </xf>
    <xf numFmtId="0" fontId="32" fillId="11" borderId="20" xfId="0" applyFont="1" applyFill="1" applyBorder="1" applyAlignment="1">
      <alignment horizontal="center" vertical="center"/>
    </xf>
    <xf numFmtId="9" fontId="32" fillId="11" borderId="20" xfId="1" applyFont="1" applyFill="1" applyBorder="1" applyAlignment="1">
      <alignment horizontal="center" vertical="center"/>
    </xf>
    <xf numFmtId="9" fontId="32" fillId="12" borderId="20" xfId="1" applyFont="1" applyFill="1" applyBorder="1" applyAlignment="1">
      <alignment horizontal="center" vertical="center" wrapText="1"/>
    </xf>
    <xf numFmtId="9" fontId="32" fillId="0" borderId="20" xfId="1" applyFont="1" applyBorder="1" applyAlignment="1">
      <alignment horizontal="center" vertical="center" wrapText="1"/>
    </xf>
    <xf numFmtId="0" fontId="36" fillId="0" borderId="0" xfId="0" applyFont="1" applyAlignment="1">
      <alignment horizontal="center" vertical="center" wrapText="1"/>
    </xf>
    <xf numFmtId="49" fontId="4" fillId="5" borderId="20" xfId="0" applyNumberFormat="1" applyFont="1" applyFill="1" applyBorder="1" applyAlignment="1">
      <alignment horizontal="right" vertical="center"/>
    </xf>
    <xf numFmtId="0" fontId="2" fillId="0" borderId="0" xfId="4"/>
    <xf numFmtId="0" fontId="2" fillId="7" borderId="0" xfId="4" applyFill="1"/>
    <xf numFmtId="9" fontId="0" fillId="7" borderId="0" xfId="5" applyFont="1" applyFill="1"/>
    <xf numFmtId="9" fontId="3" fillId="0" borderId="0" xfId="1" applyFont="1" applyAlignment="1">
      <alignment horizontal="center" vertical="center"/>
    </xf>
    <xf numFmtId="0" fontId="39" fillId="0" borderId="0" xfId="0" applyFont="1" applyAlignment="1">
      <alignment horizontal="center" vertical="center"/>
    </xf>
    <xf numFmtId="9" fontId="39" fillId="0" borderId="32" xfId="1" applyFont="1" applyBorder="1" applyAlignment="1">
      <alignment horizontal="center" vertical="center"/>
    </xf>
    <xf numFmtId="0" fontId="39" fillId="14" borderId="32" xfId="0" applyFont="1" applyFill="1" applyBorder="1" applyAlignment="1">
      <alignment horizontal="center" vertical="center"/>
    </xf>
    <xf numFmtId="10" fontId="0" fillId="8" borderId="0" xfId="1" applyNumberFormat="1" applyFont="1" applyFill="1" applyBorder="1"/>
    <xf numFmtId="9" fontId="7" fillId="0" borderId="23" xfId="1" applyFont="1" applyBorder="1" applyAlignment="1">
      <alignment horizontal="center"/>
    </xf>
    <xf numFmtId="9" fontId="7" fillId="5" borderId="23" xfId="1" applyFont="1" applyFill="1" applyBorder="1" applyAlignment="1">
      <alignment horizontal="center"/>
    </xf>
    <xf numFmtId="9" fontId="7" fillId="0" borderId="25" xfId="1" applyFont="1" applyBorder="1" applyAlignment="1">
      <alignment horizontal="center"/>
    </xf>
    <xf numFmtId="9" fontId="7" fillId="0" borderId="24" xfId="1" applyFont="1" applyBorder="1" applyAlignment="1">
      <alignment horizontal="center"/>
    </xf>
    <xf numFmtId="9" fontId="7" fillId="5" borderId="24" xfId="1" applyFont="1" applyFill="1" applyBorder="1" applyAlignment="1">
      <alignment horizontal="center"/>
    </xf>
    <xf numFmtId="9" fontId="7" fillId="0" borderId="26" xfId="1" applyFont="1" applyBorder="1" applyAlignment="1">
      <alignment horizontal="center"/>
    </xf>
    <xf numFmtId="0" fontId="10" fillId="8" borderId="0" xfId="0" applyFont="1" applyFill="1" applyAlignment="1">
      <alignment horizontal="center" vertical="center" wrapText="1"/>
    </xf>
    <xf numFmtId="9" fontId="7" fillId="8" borderId="0" xfId="1" applyFont="1" applyFill="1" applyBorder="1" applyAlignment="1">
      <alignment horizontal="center"/>
    </xf>
    <xf numFmtId="0" fontId="10" fillId="4" borderId="37" xfId="0" applyFont="1" applyFill="1" applyBorder="1" applyAlignment="1">
      <alignment horizontal="center" vertical="center" wrapText="1"/>
    </xf>
    <xf numFmtId="0" fontId="10" fillId="4" borderId="37" xfId="0" applyFont="1" applyFill="1" applyBorder="1" applyAlignment="1">
      <alignment horizontal="left" vertical="center" wrapText="1"/>
    </xf>
    <xf numFmtId="10" fontId="10" fillId="4" borderId="37" xfId="0" applyNumberFormat="1" applyFont="1" applyFill="1" applyBorder="1" applyAlignment="1">
      <alignment horizontal="center" vertical="center" wrapText="1"/>
    </xf>
    <xf numFmtId="0" fontId="14" fillId="0" borderId="37" xfId="0" applyFont="1" applyBorder="1" applyAlignment="1">
      <alignment horizontal="center" vertical="center" wrapText="1"/>
    </xf>
    <xf numFmtId="0" fontId="14" fillId="0" borderId="37" xfId="0" applyFont="1" applyBorder="1" applyAlignment="1">
      <alignment horizontal="left" vertical="center" wrapText="1"/>
    </xf>
    <xf numFmtId="0" fontId="24" fillId="0" borderId="37" xfId="0" applyFont="1" applyBorder="1" applyAlignment="1">
      <alignment horizontal="left" vertical="center" wrapText="1"/>
    </xf>
    <xf numFmtId="0" fontId="27" fillId="0" borderId="37" xfId="0" applyFont="1" applyBorder="1" applyAlignment="1">
      <alignment horizontal="left" wrapText="1"/>
    </xf>
    <xf numFmtId="2" fontId="14" fillId="0" borderId="37" xfId="0" applyNumberFormat="1" applyFont="1" applyBorder="1" applyAlignment="1">
      <alignment horizontal="center" vertical="center" wrapText="1"/>
    </xf>
    <xf numFmtId="49" fontId="14" fillId="0" borderId="37" xfId="0" applyNumberFormat="1" applyFont="1" applyBorder="1" applyAlignment="1">
      <alignment horizontal="center" vertical="center" wrapText="1"/>
    </xf>
    <xf numFmtId="0" fontId="14" fillId="0" borderId="37" xfId="0" applyFont="1" applyBorder="1" applyAlignment="1">
      <alignment vertical="center" wrapText="1"/>
    </xf>
    <xf numFmtId="9" fontId="14" fillId="0" borderId="37" xfId="0" applyNumberFormat="1" applyFont="1" applyBorder="1" applyAlignment="1">
      <alignment horizontal="center" vertical="center" wrapText="1"/>
    </xf>
    <xf numFmtId="0" fontId="20" fillId="13" borderId="0" xfId="0" applyFont="1" applyFill="1"/>
    <xf numFmtId="0" fontId="29" fillId="16" borderId="29" xfId="2" quotePrefix="1" applyFill="1" applyBorder="1"/>
    <xf numFmtId="0" fontId="0" fillId="16" borderId="29" xfId="0" applyFill="1" applyBorder="1"/>
    <xf numFmtId="9" fontId="1" fillId="7" borderId="0" xfId="1" applyFont="1" applyFill="1"/>
    <xf numFmtId="0" fontId="8" fillId="0" borderId="0" xfId="4" applyFont="1"/>
    <xf numFmtId="0" fontId="2" fillId="17" borderId="0" xfId="4" applyFill="1"/>
    <xf numFmtId="9" fontId="1" fillId="17" borderId="0" xfId="1" applyFont="1" applyFill="1"/>
    <xf numFmtId="0" fontId="0" fillId="17" borderId="0" xfId="0" applyFill="1"/>
    <xf numFmtId="9" fontId="2" fillId="17" borderId="0" xfId="4" applyNumberFormat="1" applyFill="1"/>
    <xf numFmtId="0" fontId="3" fillId="17" borderId="0" xfId="0" applyFont="1" applyFill="1"/>
    <xf numFmtId="9" fontId="8" fillId="17" borderId="0" xfId="1" applyFont="1" applyFill="1"/>
    <xf numFmtId="9" fontId="38" fillId="17" borderId="0" xfId="1" applyFont="1" applyFill="1"/>
    <xf numFmtId="0" fontId="5" fillId="11" borderId="22" xfId="0" applyFont="1" applyFill="1" applyBorder="1" applyAlignment="1">
      <alignment horizontal="center" vertical="center"/>
    </xf>
    <xf numFmtId="0" fontId="39" fillId="14" borderId="0" xfId="0" applyFont="1" applyFill="1" applyAlignment="1">
      <alignment horizontal="center" vertical="center"/>
    </xf>
    <xf numFmtId="9" fontId="39" fillId="0" borderId="0" xfId="1" applyFont="1" applyBorder="1" applyAlignment="1">
      <alignment horizontal="center" vertical="center"/>
    </xf>
    <xf numFmtId="164" fontId="39" fillId="0" borderId="0" xfId="0" applyNumberFormat="1" applyFont="1" applyAlignment="1">
      <alignment horizontal="center" vertical="center"/>
    </xf>
    <xf numFmtId="0" fontId="40" fillId="14" borderId="0" xfId="0" applyFont="1" applyFill="1" applyAlignment="1">
      <alignment horizontal="center" vertical="center"/>
    </xf>
    <xf numFmtId="0" fontId="40" fillId="14" borderId="32" xfId="0" applyFont="1" applyFill="1" applyBorder="1" applyAlignment="1">
      <alignment horizontal="center" vertical="center"/>
    </xf>
    <xf numFmtId="0" fontId="10" fillId="15" borderId="37" xfId="0" applyFont="1" applyFill="1" applyBorder="1" applyAlignment="1">
      <alignment vertical="center"/>
    </xf>
    <xf numFmtId="0" fontId="10" fillId="15" borderId="37" xfId="0" applyFont="1" applyFill="1" applyBorder="1" applyAlignment="1">
      <alignment vertical="center" wrapText="1"/>
    </xf>
    <xf numFmtId="0" fontId="10" fillId="15" borderId="37" xfId="0" applyFont="1" applyFill="1" applyBorder="1" applyAlignment="1">
      <alignment horizontal="left" vertical="center" wrapText="1"/>
    </xf>
    <xf numFmtId="10" fontId="10" fillId="15" borderId="37" xfId="0" applyNumberFormat="1" applyFont="1" applyFill="1" applyBorder="1" applyAlignment="1">
      <alignment horizontal="left" vertical="center" wrapText="1"/>
    </xf>
    <xf numFmtId="0" fontId="10" fillId="10" borderId="37" xfId="0" applyFont="1" applyFill="1" applyBorder="1" applyAlignment="1">
      <alignment vertical="center"/>
    </xf>
    <xf numFmtId="0" fontId="10" fillId="10" borderId="37" xfId="0" applyFont="1" applyFill="1" applyBorder="1" applyAlignment="1">
      <alignment vertical="center" wrapText="1"/>
    </xf>
    <xf numFmtId="0" fontId="10" fillId="10" borderId="37" xfId="0" applyFont="1" applyFill="1" applyBorder="1" applyAlignment="1">
      <alignment horizontal="left" vertical="center" wrapText="1"/>
    </xf>
    <xf numFmtId="10" fontId="10" fillId="10" borderId="37" xfId="0" applyNumberFormat="1" applyFont="1" applyFill="1" applyBorder="1" applyAlignment="1">
      <alignment horizontal="left" vertical="center" wrapText="1"/>
    </xf>
    <xf numFmtId="0" fontId="10" fillId="18" borderId="37" xfId="0" applyFont="1" applyFill="1" applyBorder="1" applyAlignment="1">
      <alignment vertical="center"/>
    </xf>
    <xf numFmtId="0" fontId="10" fillId="18" borderId="37" xfId="0" applyFont="1" applyFill="1" applyBorder="1" applyAlignment="1">
      <alignment vertical="center" wrapText="1"/>
    </xf>
    <xf numFmtId="0" fontId="10" fillId="18" borderId="37" xfId="0" applyFont="1" applyFill="1" applyBorder="1" applyAlignment="1">
      <alignment horizontal="left" vertical="center" wrapText="1"/>
    </xf>
    <xf numFmtId="10" fontId="10" fillId="18" borderId="37" xfId="0" applyNumberFormat="1" applyFont="1" applyFill="1" applyBorder="1" applyAlignment="1">
      <alignment horizontal="left" vertical="center" wrapText="1"/>
    </xf>
    <xf numFmtId="0" fontId="10" fillId="19" borderId="37" xfId="0" applyFont="1" applyFill="1" applyBorder="1" applyAlignment="1">
      <alignment vertical="center"/>
    </xf>
    <xf numFmtId="0" fontId="10" fillId="19" borderId="37" xfId="0" applyFont="1" applyFill="1" applyBorder="1" applyAlignment="1">
      <alignment vertical="center" wrapText="1"/>
    </xf>
    <xf numFmtId="0" fontId="10" fillId="19" borderId="37" xfId="0" applyFont="1" applyFill="1" applyBorder="1" applyAlignment="1">
      <alignment horizontal="left" vertical="center" wrapText="1"/>
    </xf>
    <xf numFmtId="10" fontId="10" fillId="19" borderId="37" xfId="0" applyNumberFormat="1" applyFont="1" applyFill="1" applyBorder="1" applyAlignment="1">
      <alignment horizontal="left" vertical="center" wrapText="1"/>
    </xf>
    <xf numFmtId="9" fontId="0" fillId="0" borderId="0" xfId="0" applyNumberFormat="1"/>
    <xf numFmtId="9" fontId="0" fillId="0" borderId="0" xfId="0" applyNumberFormat="1" applyAlignment="1">
      <alignment horizontal="center" vertical="center"/>
    </xf>
    <xf numFmtId="1" fontId="39" fillId="0" borderId="0" xfId="1" applyNumberFormat="1" applyFont="1" applyBorder="1" applyAlignment="1">
      <alignment horizontal="center" vertical="center"/>
    </xf>
    <xf numFmtId="1" fontId="39" fillId="0" borderId="32" xfId="1" applyNumberFormat="1" applyFont="1" applyBorder="1" applyAlignment="1">
      <alignment horizontal="center" vertical="center"/>
    </xf>
    <xf numFmtId="1" fontId="0" fillId="0" borderId="0" xfId="0" applyNumberFormat="1" applyAlignment="1">
      <alignment horizontal="center" vertical="center"/>
    </xf>
    <xf numFmtId="9" fontId="3" fillId="0" borderId="0" xfId="0" applyNumberFormat="1" applyFont="1" applyAlignment="1">
      <alignment horizontal="center" vertical="center"/>
    </xf>
    <xf numFmtId="1" fontId="0" fillId="7" borderId="0" xfId="5" applyNumberFormat="1" applyFont="1" applyFill="1"/>
    <xf numFmtId="9" fontId="41" fillId="0" borderId="20" xfId="0" applyNumberFormat="1" applyFont="1" applyBorder="1" applyAlignment="1">
      <alignment horizontal="center" vertical="center"/>
    </xf>
    <xf numFmtId="0" fontId="42" fillId="0" borderId="0" xfId="0" applyFont="1" applyAlignment="1">
      <alignment vertical="center"/>
    </xf>
    <xf numFmtId="9" fontId="41" fillId="5" borderId="20" xfId="0" applyNumberFormat="1" applyFont="1" applyFill="1" applyBorder="1" applyAlignment="1">
      <alignment horizontal="center" vertical="center"/>
    </xf>
    <xf numFmtId="0" fontId="43" fillId="20" borderId="0" xfId="0" applyFont="1" applyFill="1" applyAlignment="1">
      <alignment horizontal="center" vertical="center"/>
    </xf>
    <xf numFmtId="165" fontId="7" fillId="0" borderId="20" xfId="1" applyNumberFormat="1" applyFont="1" applyBorder="1" applyAlignment="1">
      <alignment horizontal="center"/>
    </xf>
    <xf numFmtId="165" fontId="7" fillId="5" borderId="20" xfId="1" applyNumberFormat="1" applyFont="1" applyFill="1" applyBorder="1" applyAlignment="1">
      <alignment horizontal="center"/>
    </xf>
    <xf numFmtId="165" fontId="7" fillId="0" borderId="22" xfId="1" applyNumberFormat="1" applyFont="1" applyBorder="1" applyAlignment="1">
      <alignment horizontal="center"/>
    </xf>
    <xf numFmtId="165" fontId="7" fillId="0" borderId="24" xfId="1" applyNumberFormat="1" applyFont="1" applyBorder="1" applyAlignment="1">
      <alignment horizontal="center"/>
    </xf>
    <xf numFmtId="165" fontId="7" fillId="5" borderId="24" xfId="1" applyNumberFormat="1" applyFont="1" applyFill="1" applyBorder="1" applyAlignment="1">
      <alignment horizontal="center"/>
    </xf>
    <xf numFmtId="165" fontId="7" fillId="0" borderId="26" xfId="1" applyNumberFormat="1" applyFont="1" applyBorder="1" applyAlignment="1">
      <alignment horizontal="center"/>
    </xf>
    <xf numFmtId="165" fontId="7" fillId="0" borderId="23" xfId="1" applyNumberFormat="1" applyFont="1" applyBorder="1" applyAlignment="1">
      <alignment horizontal="center"/>
    </xf>
    <xf numFmtId="165" fontId="7" fillId="5" borderId="23" xfId="1" applyNumberFormat="1" applyFont="1" applyFill="1" applyBorder="1" applyAlignment="1">
      <alignment horizontal="center"/>
    </xf>
    <xf numFmtId="165" fontId="7" fillId="0" borderId="25" xfId="1" applyNumberFormat="1" applyFont="1" applyBorder="1" applyAlignment="1">
      <alignment horizontal="center"/>
    </xf>
    <xf numFmtId="166" fontId="0" fillId="0" borderId="0" xfId="0" applyNumberFormat="1"/>
    <xf numFmtId="0" fontId="44" fillId="0" borderId="0" xfId="0" applyFont="1" applyAlignment="1">
      <alignment horizontal="center" vertical="center"/>
    </xf>
    <xf numFmtId="0" fontId="45" fillId="0" borderId="0" xfId="0" applyFont="1" applyAlignment="1">
      <alignment horizontal="center" vertical="center"/>
    </xf>
    <xf numFmtId="9" fontId="7" fillId="0" borderId="0" xfId="1" applyFont="1" applyAlignment="1">
      <alignment horizontal="center" vertical="center"/>
    </xf>
    <xf numFmtId="0" fontId="29" fillId="2" borderId="29" xfId="2" quotePrefix="1" applyFill="1" applyBorder="1"/>
    <xf numFmtId="0" fontId="46" fillId="2" borderId="29" xfId="0" applyFont="1" applyFill="1" applyBorder="1"/>
    <xf numFmtId="0" fontId="0" fillId="2" borderId="29" xfId="0" applyFill="1" applyBorder="1"/>
    <xf numFmtId="0" fontId="0" fillId="21" borderId="29" xfId="0" applyFill="1" applyBorder="1"/>
    <xf numFmtId="0" fontId="29" fillId="22" borderId="29" xfId="2" quotePrefix="1" applyFill="1" applyBorder="1"/>
    <xf numFmtId="0" fontId="0" fillId="22" borderId="29" xfId="0" applyFill="1" applyBorder="1"/>
    <xf numFmtId="0" fontId="20" fillId="8" borderId="0" xfId="0" applyFont="1" applyFill="1" applyAlignment="1">
      <alignment horizontal="center" vertical="center"/>
    </xf>
    <xf numFmtId="0" fontId="0" fillId="8" borderId="0" xfId="0" applyFill="1" applyAlignment="1">
      <alignment horizontal="center" vertical="center"/>
    </xf>
    <xf numFmtId="0" fontId="0" fillId="0" borderId="0" xfId="0" applyFill="1" applyBorder="1" applyAlignment="1">
      <alignment horizontal="center" vertical="center"/>
    </xf>
    <xf numFmtId="0" fontId="0" fillId="0" borderId="0" xfId="0" applyFill="1" applyBorder="1"/>
    <xf numFmtId="0" fontId="13" fillId="0" borderId="22" xfId="0" applyFont="1" applyBorder="1" applyAlignment="1">
      <alignment horizontal="left" vertical="center"/>
    </xf>
    <xf numFmtId="0" fontId="14" fillId="0" borderId="22" xfId="0" applyFont="1" applyBorder="1" applyAlignment="1">
      <alignment horizontal="right" vertical="center"/>
    </xf>
    <xf numFmtId="0" fontId="32" fillId="0" borderId="22" xfId="0" applyFont="1" applyBorder="1" applyAlignment="1">
      <alignment horizontal="center" vertical="center"/>
    </xf>
    <xf numFmtId="0" fontId="13" fillId="5" borderId="0" xfId="0" applyFont="1" applyFill="1" applyBorder="1" applyAlignment="1">
      <alignment horizontal="left" vertical="center"/>
    </xf>
    <xf numFmtId="0" fontId="14" fillId="5" borderId="0" xfId="0" applyFont="1" applyFill="1" applyBorder="1" applyAlignment="1">
      <alignment horizontal="right" vertical="center"/>
    </xf>
    <xf numFmtId="0" fontId="32" fillId="5" borderId="0" xfId="0" applyFont="1" applyFill="1" applyBorder="1" applyAlignment="1">
      <alignment horizontal="center" vertical="center"/>
    </xf>
    <xf numFmtId="0" fontId="8" fillId="5" borderId="0" xfId="0" applyFont="1" applyFill="1" applyBorder="1" applyAlignment="1">
      <alignment horizontal="center" vertical="center"/>
    </xf>
    <xf numFmtId="0" fontId="10" fillId="8" borderId="33" xfId="0" applyFont="1" applyFill="1" applyBorder="1" applyAlignment="1">
      <alignment horizontal="center" vertical="center" wrapText="1"/>
    </xf>
    <xf numFmtId="0" fontId="10" fillId="4" borderId="29" xfId="0" applyFont="1" applyFill="1" applyBorder="1" applyAlignment="1">
      <alignment horizontal="center" vertical="center"/>
    </xf>
    <xf numFmtId="0" fontId="10" fillId="4" borderId="29" xfId="0" applyFont="1" applyFill="1" applyBorder="1" applyAlignment="1">
      <alignment horizontal="center" vertical="center" wrapText="1"/>
    </xf>
    <xf numFmtId="0" fontId="10" fillId="4" borderId="42" xfId="0" applyFont="1" applyFill="1" applyBorder="1" applyAlignment="1">
      <alignment horizontal="center" vertical="center"/>
    </xf>
    <xf numFmtId="0" fontId="10" fillId="4" borderId="43" xfId="0" applyFont="1" applyFill="1" applyBorder="1" applyAlignment="1">
      <alignment horizontal="center" vertical="center"/>
    </xf>
    <xf numFmtId="0" fontId="10" fillId="4" borderId="41" xfId="0" applyFont="1" applyFill="1" applyBorder="1" applyAlignment="1">
      <alignment horizontal="center" vertical="center" wrapText="1"/>
    </xf>
    <xf numFmtId="0" fontId="16" fillId="4" borderId="44" xfId="0" applyFont="1" applyFill="1" applyBorder="1" applyAlignment="1">
      <alignment horizontal="center" vertical="center"/>
    </xf>
    <xf numFmtId="0" fontId="16" fillId="4" borderId="45" xfId="0" applyFont="1" applyFill="1" applyBorder="1" applyAlignment="1">
      <alignment horizontal="center" vertical="center"/>
    </xf>
    <xf numFmtId="0" fontId="16" fillId="4" borderId="46" xfId="0" applyFont="1" applyFill="1" applyBorder="1" applyAlignment="1">
      <alignment horizontal="center" vertical="center"/>
    </xf>
    <xf numFmtId="0" fontId="16" fillId="4" borderId="47" xfId="0" applyFont="1" applyFill="1" applyBorder="1" applyAlignment="1">
      <alignment horizontal="center" vertical="center"/>
    </xf>
    <xf numFmtId="0" fontId="10" fillId="4" borderId="42" xfId="0" applyFont="1" applyFill="1" applyBorder="1" applyAlignment="1">
      <alignment horizontal="center" vertical="center" wrapText="1"/>
    </xf>
    <xf numFmtId="0" fontId="11" fillId="4" borderId="29" xfId="0" applyFont="1" applyFill="1" applyBorder="1" applyAlignment="1">
      <alignment horizontal="center" vertical="center" wrapText="1"/>
    </xf>
    <xf numFmtId="9" fontId="11" fillId="4" borderId="29" xfId="1" applyFont="1" applyFill="1" applyBorder="1" applyAlignment="1">
      <alignment horizontal="center" vertical="center" wrapText="1"/>
    </xf>
    <xf numFmtId="9" fontId="10" fillId="4" borderId="29" xfId="1" applyFont="1" applyFill="1" applyBorder="1" applyAlignment="1">
      <alignment horizontal="center" vertical="center" wrapText="1"/>
    </xf>
    <xf numFmtId="0" fontId="20" fillId="4" borderId="29" xfId="0" applyFont="1" applyFill="1" applyBorder="1" applyAlignment="1">
      <alignment horizontal="center" vertical="center" wrapText="1"/>
    </xf>
    <xf numFmtId="0" fontId="20" fillId="4" borderId="46" xfId="0" applyFont="1" applyFill="1" applyBorder="1" applyAlignment="1">
      <alignment horizontal="center" vertical="center"/>
    </xf>
    <xf numFmtId="0" fontId="20" fillId="4" borderId="47" xfId="0" applyFont="1" applyFill="1" applyBorder="1" applyAlignment="1">
      <alignment horizontal="center" vertical="center"/>
    </xf>
    <xf numFmtId="0" fontId="20" fillId="4" borderId="44" xfId="0" applyFont="1" applyFill="1" applyBorder="1" applyAlignment="1">
      <alignment horizontal="center" vertical="center"/>
    </xf>
    <xf numFmtId="0" fontId="20" fillId="4" borderId="45" xfId="0" applyFont="1" applyFill="1" applyBorder="1" applyAlignment="1">
      <alignment horizontal="center" vertical="center"/>
    </xf>
    <xf numFmtId="164" fontId="20" fillId="4" borderId="29" xfId="0" applyNumberFormat="1" applyFont="1" applyFill="1" applyBorder="1" applyAlignment="1">
      <alignment horizontal="center" vertical="center" wrapText="1"/>
    </xf>
    <xf numFmtId="164" fontId="20" fillId="4" borderId="29" xfId="0" applyNumberFormat="1" applyFont="1" applyFill="1" applyBorder="1" applyAlignment="1">
      <alignment vertical="center" wrapText="1"/>
    </xf>
    <xf numFmtId="164" fontId="11" fillId="4" borderId="29" xfId="0" applyNumberFormat="1" applyFont="1" applyFill="1" applyBorder="1" applyAlignment="1">
      <alignment horizontal="center" vertical="center" wrapText="1"/>
    </xf>
    <xf numFmtId="164" fontId="10" fillId="4" borderId="29" xfId="0" applyNumberFormat="1" applyFont="1" applyFill="1" applyBorder="1" applyAlignment="1">
      <alignment horizontal="center" vertical="center" wrapText="1"/>
    </xf>
    <xf numFmtId="0" fontId="20" fillId="4" borderId="29" xfId="0" applyFont="1" applyFill="1" applyBorder="1" applyAlignment="1">
      <alignment horizontal="center" vertical="center"/>
    </xf>
    <xf numFmtId="0" fontId="20" fillId="4" borderId="44" xfId="0" applyFont="1" applyFill="1" applyBorder="1" applyAlignment="1">
      <alignment horizontal="center" vertical="center" wrapText="1"/>
    </xf>
    <xf numFmtId="0" fontId="20" fillId="4" borderId="45" xfId="0" applyFont="1" applyFill="1" applyBorder="1" applyAlignment="1">
      <alignment horizontal="center" vertical="center" wrapText="1"/>
    </xf>
    <xf numFmtId="0" fontId="20" fillId="4" borderId="46" xfId="0" applyFont="1" applyFill="1" applyBorder="1" applyAlignment="1">
      <alignment horizontal="center" vertical="center" wrapText="1"/>
    </xf>
    <xf numFmtId="0" fontId="20" fillId="4" borderId="47" xfId="0" applyFont="1" applyFill="1" applyBorder="1" applyAlignment="1">
      <alignment horizontal="center" vertical="center" wrapText="1"/>
    </xf>
    <xf numFmtId="0" fontId="10" fillId="4" borderId="43" xfId="0" applyFont="1" applyFill="1" applyBorder="1" applyAlignment="1">
      <alignment horizontal="center" vertical="center" wrapText="1"/>
    </xf>
    <xf numFmtId="9" fontId="3" fillId="5" borderId="20" xfId="1" applyFont="1" applyFill="1" applyBorder="1" applyAlignment="1">
      <alignment horizontal="center"/>
    </xf>
    <xf numFmtId="9" fontId="3" fillId="0" borderId="20" xfId="1" applyFont="1" applyBorder="1" applyAlignment="1">
      <alignment horizontal="center"/>
    </xf>
    <xf numFmtId="9" fontId="47" fillId="5" borderId="20" xfId="1" applyFont="1" applyFill="1" applyBorder="1" applyAlignment="1">
      <alignment horizontal="center"/>
    </xf>
    <xf numFmtId="0" fontId="10" fillId="0" borderId="33" xfId="0" applyFont="1" applyBorder="1" applyAlignment="1">
      <alignment horizontal="center" vertical="center"/>
    </xf>
    <xf numFmtId="9" fontId="10" fillId="4" borderId="29" xfId="1" applyFont="1" applyFill="1" applyBorder="1" applyAlignment="1">
      <alignment horizontal="center" vertical="center"/>
    </xf>
    <xf numFmtId="0" fontId="10" fillId="8" borderId="28" xfId="0" applyFont="1" applyFill="1" applyBorder="1" applyAlignment="1">
      <alignment horizontal="center" vertical="center"/>
    </xf>
    <xf numFmtId="0" fontId="5" fillId="11" borderId="21" xfId="0" applyFont="1" applyFill="1" applyBorder="1" applyAlignment="1">
      <alignment horizontal="center" vertical="center"/>
    </xf>
    <xf numFmtId="0" fontId="5" fillId="6" borderId="21" xfId="0" applyFont="1" applyFill="1" applyBorder="1" applyAlignment="1">
      <alignment horizontal="center" vertical="center"/>
    </xf>
    <xf numFmtId="0" fontId="3" fillId="0" borderId="29" xfId="0" applyFont="1" applyBorder="1" applyAlignment="1">
      <alignment horizontal="center" vertical="center"/>
    </xf>
    <xf numFmtId="0" fontId="10" fillId="4" borderId="29" xfId="0" applyFont="1" applyFill="1" applyBorder="1" applyAlignment="1">
      <alignment horizontal="center"/>
    </xf>
    <xf numFmtId="0" fontId="15" fillId="0" borderId="29" xfId="0" applyFont="1" applyBorder="1" applyAlignment="1">
      <alignment horizontal="center"/>
    </xf>
    <xf numFmtId="0" fontId="13" fillId="0" borderId="21" xfId="0" applyFont="1" applyBorder="1" applyAlignment="1">
      <alignment horizontal="left" vertical="center"/>
    </xf>
    <xf numFmtId="0" fontId="14" fillId="0" borderId="21" xfId="0" applyFont="1" applyBorder="1" applyAlignment="1">
      <alignment horizontal="right" vertical="center"/>
    </xf>
    <xf numFmtId="0" fontId="32" fillId="0" borderId="21" xfId="0" applyFont="1" applyBorder="1" applyAlignment="1">
      <alignment horizontal="center" vertical="center"/>
    </xf>
    <xf numFmtId="0" fontId="31" fillId="4" borderId="29" xfId="0" applyFont="1" applyFill="1" applyBorder="1" applyAlignment="1">
      <alignment horizontal="center" vertical="center"/>
    </xf>
    <xf numFmtId="0" fontId="10" fillId="4" borderId="29" xfId="0" applyFont="1" applyFill="1" applyBorder="1" applyAlignment="1">
      <alignment horizontal="left" vertical="center"/>
    </xf>
    <xf numFmtId="0" fontId="10" fillId="4" borderId="29" xfId="0" applyFont="1" applyFill="1" applyBorder="1" applyAlignment="1">
      <alignment horizontal="right" vertical="center"/>
    </xf>
    <xf numFmtId="0" fontId="13" fillId="6" borderId="21" xfId="0" applyFont="1" applyFill="1" applyBorder="1" applyAlignment="1">
      <alignment horizontal="left" vertical="center"/>
    </xf>
    <xf numFmtId="0" fontId="14" fillId="6" borderId="21" xfId="0" applyFont="1" applyFill="1" applyBorder="1" applyAlignment="1">
      <alignment horizontal="right" vertical="center"/>
    </xf>
    <xf numFmtId="9" fontId="32" fillId="11" borderId="21" xfId="1" applyFont="1" applyFill="1" applyBorder="1" applyAlignment="1">
      <alignment horizontal="center" vertical="center"/>
    </xf>
    <xf numFmtId="9" fontId="32" fillId="6" borderId="21" xfId="1" applyFont="1" applyFill="1" applyBorder="1" applyAlignment="1">
      <alignment horizontal="center" vertical="center"/>
    </xf>
    <xf numFmtId="9" fontId="31" fillId="13" borderId="29" xfId="1" applyFont="1" applyFill="1" applyBorder="1" applyAlignment="1">
      <alignment horizontal="center" vertical="center"/>
    </xf>
    <xf numFmtId="9" fontId="31" fillId="4" borderId="29" xfId="0" applyNumberFormat="1" applyFont="1" applyFill="1" applyBorder="1" applyAlignment="1">
      <alignment horizontal="center" vertical="center"/>
    </xf>
    <xf numFmtId="9" fontId="31" fillId="4" borderId="29" xfId="1" applyFont="1" applyFill="1" applyBorder="1" applyAlignment="1">
      <alignment horizontal="center" vertical="center"/>
    </xf>
    <xf numFmtId="0" fontId="12" fillId="0" borderId="29" xfId="0" applyFont="1" applyBorder="1" applyAlignment="1">
      <alignment vertical="center"/>
    </xf>
    <xf numFmtId="0" fontId="9" fillId="0" borderId="21" xfId="0" applyFont="1" applyBorder="1" applyAlignment="1">
      <alignment horizontal="left"/>
    </xf>
    <xf numFmtId="165" fontId="7" fillId="0" borderId="21" xfId="1" applyNumberFormat="1" applyFont="1" applyBorder="1" applyAlignment="1">
      <alignment horizontal="center"/>
    </xf>
    <xf numFmtId="9" fontId="7" fillId="0" borderId="21" xfId="1" applyFont="1" applyBorder="1" applyAlignment="1">
      <alignment horizontal="center"/>
    </xf>
    <xf numFmtId="9" fontId="7" fillId="0" borderId="28" xfId="1" applyFont="1" applyBorder="1" applyAlignment="1">
      <alignment horizontal="center"/>
    </xf>
    <xf numFmtId="165" fontId="7" fillId="0" borderId="33" xfId="1" applyNumberFormat="1" applyFont="1" applyBorder="1" applyAlignment="1">
      <alignment horizontal="center"/>
    </xf>
    <xf numFmtId="9" fontId="7" fillId="0" borderId="33" xfId="1" applyFont="1" applyBorder="1" applyAlignment="1">
      <alignment horizontal="center"/>
    </xf>
    <xf numFmtId="165" fontId="7" fillId="0" borderId="28" xfId="1" applyNumberFormat="1" applyFont="1" applyBorder="1" applyAlignment="1">
      <alignment horizontal="center"/>
    </xf>
    <xf numFmtId="9" fontId="7" fillId="5" borderId="33" xfId="1" applyFont="1" applyFill="1" applyBorder="1" applyAlignment="1">
      <alignment horizontal="center"/>
    </xf>
    <xf numFmtId="9" fontId="7" fillId="0" borderId="33" xfId="1" applyFont="1" applyBorder="1" applyAlignment="1">
      <alignment horizontal="center" vertical="center"/>
    </xf>
    <xf numFmtId="9" fontId="7" fillId="0" borderId="21" xfId="1" applyFont="1" applyBorder="1" applyAlignment="1">
      <alignment horizontal="center" vertical="center"/>
    </xf>
    <xf numFmtId="9" fontId="7" fillId="0" borderId="28" xfId="1" applyFont="1" applyBorder="1" applyAlignment="1">
      <alignment horizontal="center" vertical="center"/>
    </xf>
    <xf numFmtId="0" fontId="10" fillId="4" borderId="48" xfId="0" applyFont="1" applyFill="1" applyBorder="1" applyAlignment="1">
      <alignment horizontal="center" vertical="center" wrapText="1"/>
    </xf>
    <xf numFmtId="9" fontId="3" fillId="0" borderId="21" xfId="1" applyFont="1" applyBorder="1" applyAlignment="1">
      <alignment horizontal="center"/>
    </xf>
    <xf numFmtId="0" fontId="0" fillId="21" borderId="29" xfId="0" quotePrefix="1" applyFill="1" applyBorder="1"/>
    <xf numFmtId="0" fontId="29" fillId="21" borderId="29" xfId="2" quotePrefix="1" applyFill="1" applyBorder="1"/>
    <xf numFmtId="9" fontId="3" fillId="0" borderId="0" xfId="0" applyNumberFormat="1" applyFont="1" applyAlignment="1">
      <alignment horizontal="center"/>
    </xf>
    <xf numFmtId="0" fontId="10" fillId="23" borderId="49" xfId="0" applyFont="1" applyFill="1" applyBorder="1" applyAlignment="1">
      <alignment horizontal="center" vertical="center" wrapText="1"/>
    </xf>
    <xf numFmtId="0" fontId="14" fillId="0" borderId="37" xfId="0" applyFont="1" applyBorder="1" applyAlignment="1">
      <alignment horizontal="center" vertical="center" wrapText="1"/>
    </xf>
    <xf numFmtId="0" fontId="14" fillId="0" borderId="37" xfId="0" applyFont="1" applyBorder="1" applyAlignment="1">
      <alignment horizontal="left" vertical="center" wrapText="1"/>
    </xf>
    <xf numFmtId="0" fontId="14" fillId="0" borderId="38" xfId="0" applyFont="1" applyBorder="1" applyAlignment="1">
      <alignment horizontal="center" vertical="center" wrapText="1"/>
    </xf>
    <xf numFmtId="0" fontId="14" fillId="0" borderId="39" xfId="0" applyFont="1" applyBorder="1" applyAlignment="1">
      <alignment horizontal="center" vertical="center" wrapText="1"/>
    </xf>
    <xf numFmtId="0" fontId="14" fillId="0" borderId="40" xfId="0" applyFont="1" applyBorder="1" applyAlignment="1">
      <alignment horizontal="center" vertical="center" wrapText="1"/>
    </xf>
    <xf numFmtId="0" fontId="25" fillId="9" borderId="31" xfId="0" applyFont="1" applyFill="1" applyBorder="1" applyAlignment="1">
      <alignment horizontal="left" vertical="center" wrapText="1"/>
    </xf>
    <xf numFmtId="0" fontId="10" fillId="4" borderId="34" xfId="0" applyFont="1" applyFill="1" applyBorder="1" applyAlignment="1">
      <alignment horizontal="center" vertical="center" wrapText="1"/>
    </xf>
    <xf numFmtId="0" fontId="10" fillId="4" borderId="35" xfId="0" applyFont="1" applyFill="1" applyBorder="1" applyAlignment="1">
      <alignment horizontal="center" vertical="center" wrapText="1"/>
    </xf>
    <xf numFmtId="0" fontId="10" fillId="4" borderId="36" xfId="0" applyFont="1" applyFill="1" applyBorder="1" applyAlignment="1">
      <alignment horizontal="center" vertical="center" wrapText="1"/>
    </xf>
    <xf numFmtId="9" fontId="34" fillId="4" borderId="25" xfId="1" applyFont="1" applyFill="1" applyBorder="1" applyAlignment="1">
      <alignment horizontal="center" vertical="center" wrapText="1"/>
    </xf>
    <xf numFmtId="9" fontId="34" fillId="4" borderId="28" xfId="1" applyFont="1" applyFill="1" applyBorder="1" applyAlignment="1">
      <alignment horizontal="center" vertical="center" wrapText="1"/>
    </xf>
    <xf numFmtId="9" fontId="18" fillId="4" borderId="29" xfId="1" applyFont="1" applyFill="1" applyBorder="1" applyAlignment="1">
      <alignment horizontal="center" vertical="center" wrapText="1"/>
    </xf>
    <xf numFmtId="0" fontId="10" fillId="4" borderId="46" xfId="0" applyFont="1" applyFill="1" applyBorder="1" applyAlignment="1">
      <alignment horizontal="center" vertical="center" wrapText="1"/>
    </xf>
    <xf numFmtId="0" fontId="10" fillId="4" borderId="43" xfId="0" applyFont="1" applyFill="1" applyBorder="1" applyAlignment="1">
      <alignment horizontal="center" vertical="center" wrapText="1"/>
    </xf>
    <xf numFmtId="0" fontId="18" fillId="4" borderId="29" xfId="0" applyFont="1" applyFill="1" applyBorder="1" applyAlignment="1">
      <alignment horizontal="center" vertical="center" wrapText="1"/>
    </xf>
    <xf numFmtId="9" fontId="18" fillId="4" borderId="29" xfId="1" applyFont="1" applyFill="1" applyBorder="1" applyAlignment="1">
      <alignment horizontal="center" vertical="center"/>
    </xf>
    <xf numFmtId="0" fontId="10" fillId="4" borderId="48" xfId="0" applyFont="1" applyFill="1" applyBorder="1" applyAlignment="1">
      <alignment horizontal="center" vertical="center" wrapText="1"/>
    </xf>
    <xf numFmtId="0" fontId="10" fillId="4" borderId="49" xfId="0" applyFont="1" applyFill="1" applyBorder="1" applyAlignment="1">
      <alignment horizontal="center" vertical="center" wrapText="1"/>
    </xf>
    <xf numFmtId="0" fontId="10" fillId="4" borderId="29" xfId="0" applyFont="1" applyFill="1" applyBorder="1" applyAlignment="1">
      <alignment horizontal="center" vertical="center" wrapText="1"/>
    </xf>
    <xf numFmtId="0" fontId="10" fillId="4" borderId="29" xfId="0" applyFont="1" applyFill="1" applyBorder="1" applyAlignment="1">
      <alignment horizontal="center" vertical="center"/>
    </xf>
    <xf numFmtId="0" fontId="10" fillId="13" borderId="29" xfId="0" applyFont="1" applyFill="1" applyBorder="1" applyAlignment="1">
      <alignment horizontal="center" vertical="center"/>
    </xf>
    <xf numFmtId="0" fontId="10" fillId="4" borderId="20" xfId="0" applyFont="1" applyFill="1" applyBorder="1" applyAlignment="1">
      <alignment horizontal="center" vertical="center"/>
    </xf>
    <xf numFmtId="0" fontId="10" fillId="4" borderId="29" xfId="0" applyFont="1" applyFill="1" applyBorder="1" applyAlignment="1">
      <alignment horizontal="right" vertical="center"/>
    </xf>
    <xf numFmtId="0" fontId="4" fillId="6" borderId="21" xfId="0" applyFont="1" applyFill="1" applyBorder="1" applyAlignment="1">
      <alignment horizontal="right" vertical="center"/>
    </xf>
    <xf numFmtId="0" fontId="4" fillId="0" borderId="20" xfId="0" applyFont="1" applyBorder="1" applyAlignment="1">
      <alignment horizontal="right" vertical="center"/>
    </xf>
    <xf numFmtId="0" fontId="4" fillId="6" borderId="23" xfId="0" applyFont="1" applyFill="1" applyBorder="1" applyAlignment="1">
      <alignment horizontal="right" vertical="center"/>
    </xf>
    <xf numFmtId="0" fontId="4" fillId="6" borderId="24" xfId="0" applyFont="1" applyFill="1" applyBorder="1" applyAlignment="1">
      <alignment horizontal="right" vertical="center"/>
    </xf>
    <xf numFmtId="9" fontId="20" fillId="4" borderId="0" xfId="1" applyFont="1" applyFill="1" applyAlignment="1">
      <alignment horizontal="center" vertical="center" wrapText="1"/>
    </xf>
    <xf numFmtId="0" fontId="20" fillId="4" borderId="29" xfId="0" applyFont="1" applyFill="1" applyBorder="1" applyAlignment="1">
      <alignment horizontal="center" vertical="center" wrapText="1"/>
    </xf>
    <xf numFmtId="0" fontId="20" fillId="4" borderId="29" xfId="0" applyFont="1" applyFill="1" applyBorder="1" applyAlignment="1">
      <alignment horizontal="center" vertical="center"/>
    </xf>
    <xf numFmtId="0" fontId="22" fillId="4" borderId="29" xfId="0" applyFont="1" applyFill="1" applyBorder="1" applyAlignment="1">
      <alignment horizontal="center" vertical="center" wrapText="1"/>
    </xf>
    <xf numFmtId="0" fontId="21" fillId="4" borderId="29" xfId="0" applyFont="1" applyFill="1" applyBorder="1" applyAlignment="1">
      <alignment horizontal="center" vertical="center"/>
    </xf>
    <xf numFmtId="9" fontId="20" fillId="4" borderId="29" xfId="1" applyFont="1" applyFill="1" applyBorder="1" applyAlignment="1">
      <alignment horizontal="center" vertical="center" wrapText="1"/>
    </xf>
    <xf numFmtId="9" fontId="20" fillId="4" borderId="29" xfId="1" applyFont="1" applyFill="1" applyBorder="1" applyAlignment="1">
      <alignment horizontal="center" vertical="center"/>
    </xf>
    <xf numFmtId="0" fontId="16" fillId="4" borderId="0" xfId="0" applyFont="1" applyFill="1" applyAlignment="1">
      <alignment horizontal="center" vertical="center"/>
    </xf>
    <xf numFmtId="0" fontId="16" fillId="4" borderId="0" xfId="0" applyFont="1" applyFill="1" applyAlignment="1">
      <alignment horizontal="center" vertical="center" wrapText="1"/>
    </xf>
    <xf numFmtId="0" fontId="17" fillId="4" borderId="0" xfId="0" applyFont="1" applyFill="1" applyAlignment="1">
      <alignment horizontal="center" vertical="center"/>
    </xf>
    <xf numFmtId="0" fontId="10" fillId="4" borderId="22" xfId="0" applyFont="1" applyFill="1" applyBorder="1" applyAlignment="1">
      <alignment horizontal="center" vertical="center"/>
    </xf>
    <xf numFmtId="0" fontId="10" fillId="4" borderId="21" xfId="0" applyFont="1" applyFill="1" applyBorder="1" applyAlignment="1">
      <alignment horizontal="center" vertical="center"/>
    </xf>
    <xf numFmtId="0" fontId="10" fillId="4" borderId="20" xfId="0" applyFont="1" applyFill="1" applyBorder="1" applyAlignment="1">
      <alignment horizontal="left"/>
    </xf>
    <xf numFmtId="0" fontId="10" fillId="4" borderId="20" xfId="0" applyFont="1" applyFill="1" applyBorder="1" applyAlignment="1">
      <alignment horizontal="center" vertical="center" wrapText="1"/>
    </xf>
    <xf numFmtId="0" fontId="10" fillId="4" borderId="0" xfId="0" applyFont="1" applyFill="1" applyAlignment="1">
      <alignment horizontal="right" vertical="center"/>
    </xf>
    <xf numFmtId="0" fontId="6" fillId="2" borderId="11" xfId="0" applyFont="1" applyFill="1" applyBorder="1" applyAlignment="1">
      <alignment horizontal="left" wrapText="1"/>
    </xf>
    <xf numFmtId="0" fontId="6" fillId="2" borderId="13" xfId="0" applyFont="1" applyFill="1" applyBorder="1" applyAlignment="1">
      <alignment horizontal="left" wrapText="1"/>
    </xf>
    <xf numFmtId="0" fontId="5" fillId="2" borderId="5" xfId="0" applyFont="1" applyFill="1" applyBorder="1" applyAlignment="1">
      <alignment horizontal="left"/>
    </xf>
    <xf numFmtId="0" fontId="6" fillId="2" borderId="6" xfId="0" applyFont="1" applyFill="1" applyBorder="1" applyAlignment="1">
      <alignment horizontal="left" wrapText="1"/>
    </xf>
    <xf numFmtId="0" fontId="6" fillId="2" borderId="7" xfId="0" applyFont="1" applyFill="1" applyBorder="1" applyAlignment="1">
      <alignment horizontal="left" wrapText="1"/>
    </xf>
    <xf numFmtId="0" fontId="5" fillId="3" borderId="1" xfId="0" applyFont="1" applyFill="1" applyBorder="1" applyAlignment="1">
      <alignment horizontal="left"/>
    </xf>
    <xf numFmtId="0" fontId="5" fillId="2" borderId="8" xfId="0" applyFont="1" applyFill="1" applyBorder="1" applyAlignment="1">
      <alignment horizontal="left"/>
    </xf>
    <xf numFmtId="0" fontId="6" fillId="2" borderId="4" xfId="0" applyFont="1" applyFill="1" applyBorder="1" applyAlignment="1">
      <alignment horizontal="left"/>
    </xf>
    <xf numFmtId="0" fontId="6" fillId="2" borderId="11" xfId="0" applyFont="1" applyFill="1" applyBorder="1" applyAlignment="1">
      <alignment horizontal="left"/>
    </xf>
    <xf numFmtId="0" fontId="6" fillId="2" borderId="13" xfId="0" applyFont="1" applyFill="1" applyBorder="1" applyAlignment="1">
      <alignment horizontal="left"/>
    </xf>
    <xf numFmtId="0" fontId="6" fillId="2" borderId="6" xfId="0" applyFont="1" applyFill="1" applyBorder="1" applyAlignment="1">
      <alignment horizontal="left"/>
    </xf>
    <xf numFmtId="0" fontId="6" fillId="2" borderId="7" xfId="0" applyFont="1" applyFill="1" applyBorder="1" applyAlignment="1">
      <alignment horizontal="left"/>
    </xf>
    <xf numFmtId="0" fontId="5" fillId="3" borderId="14" xfId="0" applyFont="1" applyFill="1" applyBorder="1" applyAlignment="1">
      <alignment horizontal="left" vertical="center"/>
    </xf>
    <xf numFmtId="0" fontId="5" fillId="3" borderId="12" xfId="0" applyFont="1" applyFill="1" applyBorder="1" applyAlignment="1">
      <alignment horizontal="left" vertical="center"/>
    </xf>
    <xf numFmtId="0" fontId="5" fillId="2" borderId="10" xfId="0" applyFont="1" applyFill="1" applyBorder="1" applyAlignment="1">
      <alignment horizontal="left"/>
    </xf>
    <xf numFmtId="0" fontId="5" fillId="2" borderId="15" xfId="0" applyFont="1" applyFill="1" applyBorder="1" applyAlignment="1">
      <alignment horizontal="left"/>
    </xf>
    <xf numFmtId="0" fontId="10" fillId="4" borderId="20" xfId="0" applyFont="1" applyFill="1" applyBorder="1" applyAlignment="1">
      <alignment horizontal="left" vertical="center"/>
    </xf>
    <xf numFmtId="0" fontId="10" fillId="4" borderId="29" xfId="0" applyFont="1" applyFill="1" applyBorder="1" applyAlignment="1">
      <alignment horizontal="left" vertical="center"/>
    </xf>
    <xf numFmtId="0" fontId="31" fillId="13" borderId="29" xfId="0" applyFont="1" applyFill="1" applyBorder="1" applyAlignment="1">
      <alignment horizontal="center" vertical="center"/>
    </xf>
    <xf numFmtId="0" fontId="16" fillId="4" borderId="41" xfId="0" applyFont="1" applyFill="1" applyBorder="1" applyAlignment="1">
      <alignment horizontal="center" vertical="center"/>
    </xf>
    <xf numFmtId="0" fontId="16" fillId="4" borderId="29" xfId="0" applyFont="1" applyFill="1" applyBorder="1" applyAlignment="1">
      <alignment horizontal="center" vertical="center"/>
    </xf>
    <xf numFmtId="164" fontId="20" fillId="4" borderId="29" xfId="0" applyNumberFormat="1" applyFont="1" applyFill="1" applyBorder="1" applyAlignment="1">
      <alignment horizontal="center" vertical="center" wrapText="1"/>
    </xf>
    <xf numFmtId="0" fontId="39" fillId="14" borderId="0" xfId="0" applyFont="1" applyFill="1" applyAlignment="1">
      <alignment horizontal="center" vertical="center"/>
    </xf>
    <xf numFmtId="0" fontId="39" fillId="14" borderId="32" xfId="0" applyFont="1" applyFill="1" applyBorder="1" applyAlignment="1">
      <alignment horizontal="center" vertical="center"/>
    </xf>
    <xf numFmtId="167" fontId="39" fillId="0" borderId="0" xfId="6" applyNumberFormat="1" applyFont="1" applyAlignment="1">
      <alignment vertical="center"/>
    </xf>
    <xf numFmtId="0" fontId="5" fillId="3" borderId="2" xfId="0" applyFont="1" applyFill="1" applyBorder="1" applyAlignment="1">
      <alignment horizontal="center"/>
    </xf>
    <xf numFmtId="0" fontId="5" fillId="3" borderId="16" xfId="0" applyFont="1" applyFill="1" applyBorder="1" applyAlignment="1">
      <alignment horizontal="center"/>
    </xf>
    <xf numFmtId="0" fontId="5" fillId="3" borderId="3" xfId="0" applyFont="1" applyFill="1" applyBorder="1" applyAlignment="1">
      <alignment horizontal="center"/>
    </xf>
  </cellXfs>
  <cellStyles count="7">
    <cellStyle name="Comma" xfId="6" builtinId="3"/>
    <cellStyle name="Hyperlink" xfId="2" builtinId="8"/>
    <cellStyle name="Normal" xfId="0" builtinId="0"/>
    <cellStyle name="Normal 2" xfId="4" xr:uid="{1481BD94-901F-4614-A3C1-D2D1551EA3F0}"/>
    <cellStyle name="Normal 3" xfId="3" xr:uid="{9B179F80-BD9D-4E7C-A652-6A53B7D31057}"/>
    <cellStyle name="Percent" xfId="1" builtinId="5"/>
    <cellStyle name="Percent 2" xfId="5" xr:uid="{7421479A-908B-41E5-8250-ACDC9CB9E6CF}"/>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patternType="none">
          <bgColor auto="1"/>
        </patternFill>
      </fill>
    </dxf>
    <dxf>
      <font>
        <color theme="8" tint="-0.24994659260841701"/>
      </font>
      <fill>
        <patternFill>
          <bgColor theme="8" tint="0.39994506668294322"/>
        </patternFill>
      </fill>
    </dxf>
    <dxf>
      <font>
        <color theme="4"/>
      </font>
      <fill>
        <patternFill>
          <bgColor theme="8" tint="0.79998168889431442"/>
        </patternFill>
      </fill>
    </dxf>
    <dxf>
      <font>
        <color auto="1"/>
      </font>
      <fill>
        <patternFill patternType="none">
          <bgColor auto="1"/>
        </patternFill>
      </fill>
    </dxf>
    <dxf>
      <font>
        <color theme="8" tint="-0.24994659260841701"/>
      </font>
      <fill>
        <patternFill>
          <bgColor theme="8" tint="0.39994506668294322"/>
        </patternFill>
      </fill>
    </dxf>
    <dxf>
      <font>
        <color theme="4"/>
      </font>
      <fill>
        <patternFill>
          <bgColor theme="8" tint="0.79998168889431442"/>
        </patternFill>
      </fill>
    </dxf>
    <dxf>
      <font>
        <color theme="8" tint="-0.24994659260841701"/>
      </font>
      <fill>
        <patternFill>
          <bgColor theme="8" tint="0.39994506668294322"/>
        </patternFill>
      </fill>
    </dxf>
    <dxf>
      <font>
        <color auto="1"/>
      </font>
      <fill>
        <patternFill patternType="none">
          <bgColor auto="1"/>
        </patternFill>
      </fill>
    </dxf>
    <dxf>
      <font>
        <color theme="4"/>
      </font>
      <fill>
        <patternFill>
          <bgColor theme="8" tint="0.79998168889431442"/>
        </patternFill>
      </fill>
    </dxf>
    <dxf>
      <font>
        <color theme="8" tint="-0.24994659260841701"/>
      </font>
      <fill>
        <patternFill>
          <bgColor theme="8" tint="0.39994506668294322"/>
        </patternFill>
      </fill>
    </dxf>
    <dxf>
      <font>
        <color theme="1"/>
      </font>
      <fill>
        <patternFill patternType="none">
          <bgColor auto="1"/>
        </patternFill>
      </fill>
    </dxf>
    <dxf>
      <font>
        <color theme="4"/>
      </font>
      <fill>
        <patternFill>
          <bgColor theme="8" tint="0.79998168889431442"/>
        </patternFill>
      </fill>
    </dxf>
  </dxfs>
  <tableStyles count="0" defaultTableStyle="TableStyleMedium2" defaultPivotStyle="PivotStyleLight16"/>
  <colors>
    <mruColors>
      <color rgb="FF71254B"/>
      <color rgb="FFD47EA9"/>
      <color rgb="FFE4AEC9"/>
      <color rgb="FFF0D0E0"/>
      <color rgb="FF993366"/>
      <color rgb="FFEFCDDE"/>
      <color rgb="FFEFF6FB"/>
      <color rgb="FFCC0066"/>
      <color rgb="FFF9EDF3"/>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microsoft.com/office/2017/10/relationships/person" Target="persons/perso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7237778396671477"/>
        </c:manualLayout>
      </c:layout>
      <c:barChart>
        <c:barDir val="col"/>
        <c:grouping val="clustered"/>
        <c:varyColors val="0"/>
        <c:ser>
          <c:idx val="0"/>
          <c:order val="0"/>
          <c:spPr>
            <a:solidFill>
              <a:srgbClr val="7125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'1-QQM_SUMMARY_SHEET'!$D$2:$M$2</c:f>
              <c:strCache>
                <c:ptCount val="10"/>
                <c:pt idx="0">
                  <c:v>Domain 1: General Management </c:v>
                </c:pt>
                <c:pt idx="1">
                  <c:v>Domain 2: Hygiene </c:v>
                </c:pt>
                <c:pt idx="2">
                  <c:v>Domain 3: OPD / Curative Consultations</c:v>
                </c:pt>
                <c:pt idx="3">
                  <c:v>Domain 4: Family planning</c:v>
                </c:pt>
                <c:pt idx="4">
                  <c:v>Domain 5: Laboratory</c:v>
                </c:pt>
                <c:pt idx="5">
                  <c:v>Domain 6: Essential Drugs Management</c:v>
                </c:pt>
                <c:pt idx="6">
                  <c:v>Domain 7: Tracer drugs</c:v>
                </c:pt>
                <c:pt idx="7">
                  <c:v>Domain 8: Maternity</c:v>
                </c:pt>
                <c:pt idx="8">
                  <c:v>Domain 9: EPI</c:v>
                </c:pt>
                <c:pt idx="9">
                  <c:v>Domain 10: Antenatal Care</c:v>
                </c:pt>
              </c:strCache>
            </c:strRef>
          </c:cat>
          <c:val>
            <c:numRef>
              <c:f>'1-QQM_SUMMARY_SHEET'!$D$37:$M$37</c:f>
              <c:numCache>
                <c:formatCode>0%</c:formatCode>
                <c:ptCount val="10"/>
                <c:pt idx="0">
                  <c:v>0.66084807941176471</c:v>
                </c:pt>
                <c:pt idx="1">
                  <c:v>0.4253070617647059</c:v>
                </c:pt>
                <c:pt idx="2">
                  <c:v>0.61182624705882349</c:v>
                </c:pt>
                <c:pt idx="3">
                  <c:v>0.5577472294117648</c:v>
                </c:pt>
                <c:pt idx="4">
                  <c:v>0.7476634029411765</c:v>
                </c:pt>
                <c:pt idx="5">
                  <c:v>0.55344619117647054</c:v>
                </c:pt>
                <c:pt idx="6">
                  <c:v>3.9959608823529405E-2</c:v>
                </c:pt>
                <c:pt idx="7">
                  <c:v>0.77407594999999996</c:v>
                </c:pt>
                <c:pt idx="8">
                  <c:v>0.81844935294117638</c:v>
                </c:pt>
                <c:pt idx="9">
                  <c:v>0.67125888823529412</c:v>
                </c:pt>
              </c:numCache>
            </c:numRef>
          </c:val>
          <c:extLst>
            <c:ext xmlns:c16="http://schemas.microsoft.com/office/drawing/2014/chart" uri="{C3380CC4-5D6E-409C-BE32-E72D297353CC}">
              <c16:uniqueId val="{00000000-9DF6-4AA7-BFD6-B28CA0BD47F7}"/>
            </c:ext>
          </c:extLst>
        </c:ser>
        <c:dLbls>
          <c:showLegendKey val="0"/>
          <c:showVal val="0"/>
          <c:showCatName val="0"/>
          <c:showSerName val="0"/>
          <c:showPercent val="0"/>
          <c:showBubbleSize val="0"/>
        </c:dLbls>
        <c:gapWidth val="45"/>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en-US"/>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en-US"/>
          </a:p>
        </c:txPr>
        <c:crossAx val="66989012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93347665040085"/>
          <c:y val="0.10649553198913719"/>
          <c:w val="0.57089296236434872"/>
          <c:h val="0.82040649543084576"/>
        </c:manualLayout>
      </c:layout>
      <c:radarChart>
        <c:radarStyle val="filled"/>
        <c:varyColors val="0"/>
        <c:ser>
          <c:idx val="0"/>
          <c:order val="0"/>
          <c:spPr>
            <a:solidFill>
              <a:srgbClr val="CC0066">
                <a:alpha val="16078"/>
              </a:srgbClr>
            </a:solidFill>
            <a:ln w="22225">
              <a:solidFill>
                <a:srgbClr val="993366"/>
              </a:solidFill>
              <a:prstDash val="sysDash"/>
            </a:ln>
            <a:effectLst/>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71254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History</c:v>
              </c:pt>
              <c:pt idx="1">
                <c:v>Physical/Lab</c:v>
              </c:pt>
              <c:pt idx="2">
                <c:v>Diagnosis</c:v>
              </c:pt>
              <c:pt idx="3">
                <c:v>Treatment</c:v>
              </c:pt>
              <c:pt idx="4">
                <c:v>Explanation</c:v>
              </c:pt>
            </c:strLit>
          </c:cat>
          <c:val>
            <c:numRef>
              <c:f>'Annex2a-QQM_EXIT&amp;VIGNETTES_PROV'!$C$22:$C$26</c:f>
              <c:numCache>
                <c:formatCode>0%</c:formatCode>
                <c:ptCount val="5"/>
                <c:pt idx="0">
                  <c:v>0.50418719999999995</c:v>
                </c:pt>
                <c:pt idx="1">
                  <c:v>0.44419029999999998</c:v>
                </c:pt>
                <c:pt idx="2">
                  <c:v>0.61021630000000004</c:v>
                </c:pt>
                <c:pt idx="3">
                  <c:v>0.37668659999999998</c:v>
                </c:pt>
                <c:pt idx="4">
                  <c:v>0.32169629999999999</c:v>
                </c:pt>
              </c:numCache>
            </c:numRef>
          </c:val>
          <c:extLst>
            <c:ext xmlns:c16="http://schemas.microsoft.com/office/drawing/2014/chart" uri="{C3380CC4-5D6E-409C-BE32-E72D297353CC}">
              <c16:uniqueId val="{00000000-D841-47CA-949C-AD39B5992A86}"/>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9933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'1-QQM_SUMMARY_SHEET'!$P$2:$Q$2</c:f>
              <c:strCache>
                <c:ptCount val="2"/>
                <c:pt idx="0">
                  <c:v>Exit interview with caregiver of a sick child under 5</c:v>
                </c:pt>
                <c:pt idx="1">
                  <c:v>Exit interview Family Planning</c:v>
                </c:pt>
              </c:strCache>
            </c:strRef>
          </c:cat>
          <c:val>
            <c:numRef>
              <c:f>'1-QQM_SUMMARY_SHEET'!$P$37:$Q$37</c:f>
              <c:numCache>
                <c:formatCode>0%</c:formatCode>
                <c:ptCount val="2"/>
                <c:pt idx="0">
                  <c:v>0.44625919999999986</c:v>
                </c:pt>
                <c:pt idx="1">
                  <c:v>0.69068708529411749</c:v>
                </c:pt>
              </c:numCache>
            </c:numRef>
          </c:val>
          <c:extLst>
            <c:ext xmlns:c16="http://schemas.microsoft.com/office/drawing/2014/chart" uri="{C3380CC4-5D6E-409C-BE32-E72D297353CC}">
              <c16:uniqueId val="{00000000-AA0F-4B0C-BA76-147807972D69}"/>
            </c:ext>
          </c:extLst>
        </c:ser>
        <c:dLbls>
          <c:showLegendKey val="0"/>
          <c:showVal val="0"/>
          <c:showCatName val="0"/>
          <c:showSerName val="0"/>
          <c:showPercent val="0"/>
          <c:showBubbleSize val="0"/>
        </c:dLbls>
        <c:gapWidth val="113"/>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90128"/>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93347665040085"/>
          <c:y val="0.10649553198913719"/>
          <c:w val="0.57089296236434872"/>
          <c:h val="0.82040649543084576"/>
        </c:manualLayout>
      </c:layout>
      <c:radarChart>
        <c:radarStyle val="filled"/>
        <c:varyColors val="0"/>
        <c:ser>
          <c:idx val="0"/>
          <c:order val="0"/>
          <c:spPr>
            <a:solidFill>
              <a:schemeClr val="accent1"/>
            </a:solidFill>
            <a:ln>
              <a:noFill/>
            </a:ln>
            <a:effectLst/>
          </c:spPr>
          <c:cat>
            <c:strRef>
              <c:f>('Annex2a-QQM_EXIT&amp;VIGNETTES_PROV'!$A$27,'Annex2a-QQM_EXIT&amp;VIGNETTES_PROV'!$A$33,'Annex2a-QQM_EXIT&amp;VIGNETTES_PROV'!$A$39,'Annex2a-QQM_EXIT&amp;VIGNETTES_PROV'!$A$44,'Annex2a-QQM_EXIT&amp;VIGNETTES_PROV'!$A$49,'Annex2a-QQM_EXIT&amp;VIGNETTES_PROV'!$A$55,'Annex2a-QQM_EXIT&amp;VIGNETTES_PROV'!$A$61,'Annex2a-QQM_EXIT&amp;VIGNETTES_PROV'!$A$66,'Annex2a-QQM_EXIT&amp;VIGNETTES_PROV'!$A$71,'Annex2a-QQM_EXIT&amp;VIGNETTES_PROV'!$A$76)</c:f>
              <c:strCache>
                <c:ptCount val="10"/>
                <c:pt idx="0">
                  <c:v>Pneumonia</c:v>
                </c:pt>
                <c:pt idx="1">
                  <c:v>Diarrhea</c:v>
                </c:pt>
                <c:pt idx="2">
                  <c:v>Growth Monitoring and Promotion</c:v>
                </c:pt>
                <c:pt idx="3">
                  <c:v>TB Patient management</c:v>
                </c:pt>
                <c:pt idx="4">
                  <c:v>Labor</c:v>
                </c:pt>
                <c:pt idx="5">
                  <c:v>PNC</c:v>
                </c:pt>
                <c:pt idx="6">
                  <c:v>First ANC visit</c:v>
                </c:pt>
                <c:pt idx="7">
                  <c:v>Birth spacing/ Family planning</c:v>
                </c:pt>
                <c:pt idx="8">
                  <c:v>Changing FB method to injectable</c:v>
                </c:pt>
                <c:pt idx="9">
                  <c:v>PPH</c:v>
                </c:pt>
              </c:strCache>
            </c:strRef>
          </c:cat>
          <c:val>
            <c:numRef>
              <c:f>('Annex2a-QQM_EXIT&amp;VIGNETTES_PROV'!$C$27,'Annex2a-QQM_EXIT&amp;VIGNETTES_PROV'!$C$33,'Annex2a-QQM_EXIT&amp;VIGNETTES_PROV'!$C$39,'Annex2a-QQM_EXIT&amp;VIGNETTES_PROV'!$C$44,'Annex2a-QQM_EXIT&amp;VIGNETTES_PROV'!$C$49,'Annex2a-QQM_EXIT&amp;VIGNETTES_PROV'!$C$55,'Annex2a-QQM_EXIT&amp;VIGNETTES_PROV'!$C$61,'Annex2a-QQM_EXIT&amp;VIGNETTES_PROV'!$C$66,'Annex2a-QQM_EXIT&amp;VIGNETTES_PROV'!$C$71,'Annex2a-QQM_EXIT&amp;VIGNETTES_PROV'!$C$76)</c:f>
              <c:numCache>
                <c:formatCode>0%</c:formatCode>
                <c:ptCount val="10"/>
                <c:pt idx="0">
                  <c:v>0.46240579999999998</c:v>
                </c:pt>
                <c:pt idx="1">
                  <c:v>0.44994089999999998</c:v>
                </c:pt>
                <c:pt idx="2">
                  <c:v>0.3711141</c:v>
                </c:pt>
                <c:pt idx="3">
                  <c:v>0.60969850000000003</c:v>
                </c:pt>
                <c:pt idx="4">
                  <c:v>0.52363159999999997</c:v>
                </c:pt>
                <c:pt idx="5">
                  <c:v>0.4050705</c:v>
                </c:pt>
                <c:pt idx="6">
                  <c:v>0.35981580000000002</c:v>
                </c:pt>
                <c:pt idx="7">
                  <c:v>0.41343220000000003</c:v>
                </c:pt>
                <c:pt idx="8">
                  <c:v>0.4601518</c:v>
                </c:pt>
                <c:pt idx="9">
                  <c:v>0.42473329999999998</c:v>
                </c:pt>
              </c:numCache>
            </c:numRef>
          </c:val>
          <c:extLst>
            <c:ext xmlns:c16="http://schemas.microsoft.com/office/drawing/2014/chart" uri="{C3380CC4-5D6E-409C-BE32-E72D297353CC}">
              <c16:uniqueId val="{00000000-4181-431C-BFEF-89706EA1D1A2}"/>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67966984256024432"/>
        </c:manualLayout>
      </c:layout>
      <c:lineChart>
        <c:grouping val="standard"/>
        <c:varyColors val="0"/>
        <c:ser>
          <c:idx val="0"/>
          <c:order val="0"/>
          <c:tx>
            <c:v>HER R4</c:v>
          </c:tx>
          <c:spPr>
            <a:ln w="19050">
              <a:noFill/>
            </a:ln>
          </c:spPr>
          <c:marker>
            <c:symbol val="circle"/>
            <c:size val="13"/>
            <c:spPr>
              <a:solidFill>
                <a:schemeClr val="bg1"/>
              </a:solidFill>
              <a:ln w="25400">
                <a:solidFill>
                  <a:srgbClr val="F0D0E0"/>
                </a:solidFill>
              </a:ln>
            </c:spPr>
          </c:marker>
          <c:cat>
            <c:strRef>
              <c:f>'2-QQM_BY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'2-QQM_BY ROUND'!$AA$3:$AA$36</c:f>
              <c:numCache>
                <c:formatCode>0.0%</c:formatCode>
                <c:ptCount val="34"/>
                <c:pt idx="0">
                  <c:v>0.34599999999999997</c:v>
                </c:pt>
                <c:pt idx="1">
                  <c:v>0.26200000000000001</c:v>
                </c:pt>
                <c:pt idx="2">
                  <c:v>0.245</c:v>
                </c:pt>
                <c:pt idx="3">
                  <c:v>0.47099999999999997</c:v>
                </c:pt>
                <c:pt idx="4">
                  <c:v>0.32</c:v>
                </c:pt>
                <c:pt idx="5">
                  <c:v>0.35399999999999998</c:v>
                </c:pt>
                <c:pt idx="6">
                  <c:v>0.193</c:v>
                </c:pt>
                <c:pt idx="7">
                  <c:v>0.308</c:v>
                </c:pt>
                <c:pt idx="8">
                  <c:v>0.28000000000000003</c:v>
                </c:pt>
                <c:pt idx="9">
                  <c:v>0.44600000000000001</c:v>
                </c:pt>
                <c:pt idx="10">
                  <c:v>0.26300000000000001</c:v>
                </c:pt>
                <c:pt idx="11">
                  <c:v>0.373</c:v>
                </c:pt>
                <c:pt idx="12">
                  <c:v>0.48899999999999999</c:v>
                </c:pt>
                <c:pt idx="13">
                  <c:v>0.35699999999999998</c:v>
                </c:pt>
                <c:pt idx="14">
                  <c:v>0.26300000000000001</c:v>
                </c:pt>
                <c:pt idx="15">
                  <c:v>0.43099999999999999</c:v>
                </c:pt>
                <c:pt idx="16">
                  <c:v>0.219</c:v>
                </c:pt>
                <c:pt idx="17">
                  <c:v>0.38200000000000001</c:v>
                </c:pt>
                <c:pt idx="18">
                  <c:v>0.23699999999999999</c:v>
                </c:pt>
                <c:pt idx="19">
                  <c:v>0.48399999999999999</c:v>
                </c:pt>
                <c:pt idx="20">
                  <c:v>0.47299999999999998</c:v>
                </c:pt>
                <c:pt idx="21">
                  <c:v>0.27500000000000002</c:v>
                </c:pt>
                <c:pt idx="22">
                  <c:v>0.22600000000000001</c:v>
                </c:pt>
                <c:pt idx="23">
                  <c:v>0.30599999999999999</c:v>
                </c:pt>
                <c:pt idx="24">
                  <c:v>0.251</c:v>
                </c:pt>
                <c:pt idx="25">
                  <c:v>0.25600000000000001</c:v>
                </c:pt>
                <c:pt idx="26">
                  <c:v>0.28599999999999998</c:v>
                </c:pt>
                <c:pt idx="27">
                  <c:v>0.217</c:v>
                </c:pt>
                <c:pt idx="28">
                  <c:v>0.32900000000000001</c:v>
                </c:pt>
                <c:pt idx="29">
                  <c:v>0.17399999999999999</c:v>
                </c:pt>
                <c:pt idx="30">
                  <c:v>0.317</c:v>
                </c:pt>
                <c:pt idx="31">
                  <c:v>0.33500000000000002</c:v>
                </c:pt>
                <c:pt idx="32">
                  <c:v>0.39</c:v>
                </c:pt>
                <c:pt idx="33">
                  <c:v>0.107</c:v>
                </c:pt>
              </c:numCache>
            </c:numRef>
          </c:val>
          <c:smooth val="0"/>
          <c:extLst>
            <c:ext xmlns:c16="http://schemas.microsoft.com/office/drawing/2014/chart" uri="{C3380CC4-5D6E-409C-BE32-E72D297353CC}">
              <c16:uniqueId val="{00000000-FD61-481E-BA15-8BEA40781978}"/>
            </c:ext>
          </c:extLst>
        </c:ser>
        <c:ser>
          <c:idx val="1"/>
          <c:order val="1"/>
          <c:tx>
            <c:v>HER2 R1</c:v>
          </c:tx>
          <c:spPr>
            <a:ln w="19050">
              <a:noFill/>
            </a:ln>
          </c:spPr>
          <c:marker>
            <c:symbol val="circle"/>
            <c:size val="13"/>
            <c:spPr>
              <a:solidFill>
                <a:schemeClr val="bg1"/>
              </a:solidFill>
              <a:ln w="25400">
                <a:solidFill>
                  <a:srgbClr val="71254B"/>
                </a:solidFill>
              </a:ln>
            </c:spPr>
          </c:marker>
          <c:cat>
            <c:strRef>
              <c:f>'2-QQM_BY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'2-QQM_BY ROUND'!$AC$3:$AC$36</c:f>
              <c:numCache>
                <c:formatCode>0.0%</c:formatCode>
                <c:ptCount val="34"/>
                <c:pt idx="0">
                  <c:v>0.33500000000000002</c:v>
                </c:pt>
                <c:pt idx="1">
                  <c:v>0.39200000000000002</c:v>
                </c:pt>
                <c:pt idx="2">
                  <c:v>0.53200000000000003</c:v>
                </c:pt>
                <c:pt idx="3">
                  <c:v>0.42499999999999999</c:v>
                </c:pt>
                <c:pt idx="4">
                  <c:v>0.53100000000000003</c:v>
                </c:pt>
                <c:pt idx="5">
                  <c:v>0.56999999999999995</c:v>
                </c:pt>
                <c:pt idx="6">
                  <c:v>0.443</c:v>
                </c:pt>
                <c:pt idx="7">
                  <c:v>0.41799999999999998</c:v>
                </c:pt>
                <c:pt idx="8">
                  <c:v>0.26700000000000002</c:v>
                </c:pt>
                <c:pt idx="9">
                  <c:v>0.46600000000000003</c:v>
                </c:pt>
                <c:pt idx="10">
                  <c:v>0.308</c:v>
                </c:pt>
                <c:pt idx="11">
                  <c:v>0.41799999999999998</c:v>
                </c:pt>
                <c:pt idx="12">
                  <c:v>0.56999999999999995</c:v>
                </c:pt>
                <c:pt idx="13">
                  <c:v>0.51600000000000001</c:v>
                </c:pt>
                <c:pt idx="14">
                  <c:v>0.27500000000000002</c:v>
                </c:pt>
                <c:pt idx="15">
                  <c:v>0.54100000000000004</c:v>
                </c:pt>
                <c:pt idx="16">
                  <c:v>0.60799999999999998</c:v>
                </c:pt>
                <c:pt idx="17">
                  <c:v>0.65700000000000003</c:v>
                </c:pt>
                <c:pt idx="18">
                  <c:v>0.33</c:v>
                </c:pt>
                <c:pt idx="19">
                  <c:v>0.67100000000000004</c:v>
                </c:pt>
                <c:pt idx="20">
                  <c:v>0.63300000000000001</c:v>
                </c:pt>
                <c:pt idx="21">
                  <c:v>0.3</c:v>
                </c:pt>
                <c:pt idx="22">
                  <c:v>0.56599999999999995</c:v>
                </c:pt>
                <c:pt idx="23">
                  <c:v>0.23899999999999999</c:v>
                </c:pt>
                <c:pt idx="24">
                  <c:v>0.371</c:v>
                </c:pt>
                <c:pt idx="25">
                  <c:v>0.40300000000000002</c:v>
                </c:pt>
                <c:pt idx="26">
                  <c:v>0.38400000000000001</c:v>
                </c:pt>
                <c:pt idx="27">
                  <c:v>0.25700000000000001</c:v>
                </c:pt>
                <c:pt idx="28">
                  <c:v>0.371</c:v>
                </c:pt>
                <c:pt idx="29">
                  <c:v>0.37</c:v>
                </c:pt>
                <c:pt idx="30">
                  <c:v>0.56599999999999995</c:v>
                </c:pt>
                <c:pt idx="31">
                  <c:v>0.45800000000000002</c:v>
                </c:pt>
                <c:pt idx="32">
                  <c:v>0.52400000000000002</c:v>
                </c:pt>
                <c:pt idx="33">
                  <c:v>0.504</c:v>
                </c:pt>
              </c:numCache>
            </c:numRef>
          </c:val>
          <c:smooth val="0"/>
          <c:extLst>
            <c:ext xmlns:c16="http://schemas.microsoft.com/office/drawing/2014/chart" uri="{C3380CC4-5D6E-409C-BE32-E72D297353CC}">
              <c16:uniqueId val="{00000023-FD61-481E-BA15-8BEA40781978}"/>
            </c:ext>
          </c:extLst>
        </c:ser>
        <c:dLbls>
          <c:showLegendKey val="0"/>
          <c:showVal val="0"/>
          <c:showCatName val="0"/>
          <c:showSerName val="0"/>
          <c:showPercent val="0"/>
          <c:showBubbleSize val="0"/>
        </c:dLbls>
        <c:marker val="1"/>
        <c:smooth val="0"/>
        <c:axId val="669890128"/>
        <c:axId val="669888488"/>
      </c:lineChart>
      <c:catAx>
        <c:axId val="669890128"/>
        <c:scaling>
          <c:orientation val="minMax"/>
        </c:scaling>
        <c:delete val="0"/>
        <c:axPos val="b"/>
        <c:majorGridlines>
          <c:spPr>
            <a:ln w="9525">
              <a:solidFill>
                <a:schemeClr val="bg1">
                  <a:lumMod val="85000"/>
                </a:schemeClr>
              </a:solidFill>
            </a:ln>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en-US"/>
          </a:p>
        </c:txPr>
        <c:crossAx val="669888488"/>
        <c:crosses val="autoZero"/>
        <c:auto val="1"/>
        <c:lblAlgn val="ctr"/>
        <c:lblOffset val="100"/>
        <c:noMultiLvlLbl val="0"/>
      </c:catAx>
      <c:valAx>
        <c:axId val="669888488"/>
        <c:scaling>
          <c:orientation val="minMax"/>
          <c:max val="1"/>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en-US"/>
          </a:p>
        </c:txPr>
        <c:crossAx val="669890128"/>
        <c:crosses val="autoZero"/>
        <c:crossBetween val="between"/>
      </c:valAx>
    </c:plotArea>
    <c:legend>
      <c:legendPos val="r"/>
      <c:layout>
        <c:manualLayout>
          <c:xMode val="edge"/>
          <c:yMode val="edge"/>
          <c:x val="0.75145726848473116"/>
          <c:y val="7.060785832174056E-2"/>
          <c:w val="0.22497625341681185"/>
          <c:h val="8.6352835051933446E-2"/>
        </c:manualLayout>
      </c:layout>
      <c:overlay val="0"/>
      <c:spPr>
        <a:solidFill>
          <a:schemeClr val="bg1"/>
        </a:solidFill>
      </c:spPr>
      <c:txPr>
        <a:bodyPr/>
        <a:lstStyle/>
        <a:p>
          <a:pPr>
            <a:defRPr sz="1100" b="0">
              <a:solidFill>
                <a:sysClr val="windowText" lastClr="000000"/>
              </a:solidFill>
              <a:latin typeface="Aptos" panose="020B00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67966984256024432"/>
        </c:manualLayout>
      </c:layout>
      <c:lineChart>
        <c:grouping val="standard"/>
        <c:varyColors val="0"/>
        <c:ser>
          <c:idx val="0"/>
          <c:order val="0"/>
          <c:tx>
            <c:v>HER R4</c:v>
          </c:tx>
          <c:spPr>
            <a:ln w="19050">
              <a:noFill/>
            </a:ln>
          </c:spPr>
          <c:marker>
            <c:symbol val="circle"/>
            <c:size val="13"/>
            <c:spPr>
              <a:solidFill>
                <a:schemeClr val="bg1"/>
              </a:solidFill>
              <a:ln w="25400">
                <a:solidFill>
                  <a:srgbClr val="F0D0E0"/>
                </a:solidFill>
              </a:ln>
            </c:spPr>
          </c:marker>
          <c:cat>
            <c:strRef>
              <c:f>'2-QQM_BY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'2-QQM_BY ROUND'!$C$3:$C$36</c:f>
              <c:numCache>
                <c:formatCode>0.0%</c:formatCode>
                <c:ptCount val="34"/>
                <c:pt idx="0">
                  <c:v>0.46300000000000002</c:v>
                </c:pt>
                <c:pt idx="1">
                  <c:v>0.31900000000000001</c:v>
                </c:pt>
                <c:pt idx="2">
                  <c:v>0.35499999999999998</c:v>
                </c:pt>
                <c:pt idx="3" formatCode="0%">
                  <c:v>0.46300000000000002</c:v>
                </c:pt>
                <c:pt idx="4">
                  <c:v>0.45600000000000002</c:v>
                </c:pt>
                <c:pt idx="5">
                  <c:v>0.42799999999999999</c:v>
                </c:pt>
                <c:pt idx="6">
                  <c:v>0.36499999999999999</c:v>
                </c:pt>
                <c:pt idx="7">
                  <c:v>0.373</c:v>
                </c:pt>
                <c:pt idx="8">
                  <c:v>0.38</c:v>
                </c:pt>
                <c:pt idx="9">
                  <c:v>0.39900000000000002</c:v>
                </c:pt>
                <c:pt idx="10">
                  <c:v>0.27200000000000002</c:v>
                </c:pt>
                <c:pt idx="11">
                  <c:v>0.41699999999999998</c:v>
                </c:pt>
                <c:pt idx="12">
                  <c:v>0.58199999999999996</c:v>
                </c:pt>
                <c:pt idx="13">
                  <c:v>0.504</c:v>
                </c:pt>
                <c:pt idx="14">
                  <c:v>0.29799999999999999</c:v>
                </c:pt>
                <c:pt idx="15">
                  <c:v>0.39400000000000002</c:v>
                </c:pt>
                <c:pt idx="16">
                  <c:v>0.36799999999999999</c:v>
                </c:pt>
                <c:pt idx="17">
                  <c:v>0.51200000000000001</c:v>
                </c:pt>
                <c:pt idx="18">
                  <c:v>0.33200000000000002</c:v>
                </c:pt>
                <c:pt idx="19">
                  <c:v>0.64700000000000002</c:v>
                </c:pt>
                <c:pt idx="20">
                  <c:v>0.374</c:v>
                </c:pt>
                <c:pt idx="21">
                  <c:v>0.42099999999999999</c:v>
                </c:pt>
                <c:pt idx="22">
                  <c:v>0.378</c:v>
                </c:pt>
                <c:pt idx="23">
                  <c:v>0.54300000000000004</c:v>
                </c:pt>
                <c:pt idx="24">
                  <c:v>0.38100000000000001</c:v>
                </c:pt>
                <c:pt idx="25">
                  <c:v>0.35699999999999998</c:v>
                </c:pt>
                <c:pt idx="26">
                  <c:v>0.36599999999999999</c:v>
                </c:pt>
                <c:pt idx="27">
                  <c:v>0.315</c:v>
                </c:pt>
                <c:pt idx="28">
                  <c:v>0.55700000000000005</c:v>
                </c:pt>
                <c:pt idx="29">
                  <c:v>0.34799999999999998</c:v>
                </c:pt>
                <c:pt idx="30">
                  <c:v>0.375</c:v>
                </c:pt>
                <c:pt idx="31">
                  <c:v>0.30299999999999999</c:v>
                </c:pt>
                <c:pt idx="32">
                  <c:v>0.435</c:v>
                </c:pt>
                <c:pt idx="33">
                  <c:v>0.182</c:v>
                </c:pt>
              </c:numCache>
            </c:numRef>
          </c:val>
          <c:smooth val="0"/>
          <c:extLst>
            <c:ext xmlns:c16="http://schemas.microsoft.com/office/drawing/2014/chart" uri="{C3380CC4-5D6E-409C-BE32-E72D297353CC}">
              <c16:uniqueId val="{00000000-9CF4-4693-A61E-5C2C4A600A95}"/>
            </c:ext>
          </c:extLst>
        </c:ser>
        <c:ser>
          <c:idx val="1"/>
          <c:order val="1"/>
          <c:tx>
            <c:v>HER2 R1</c:v>
          </c:tx>
          <c:spPr>
            <a:ln w="19050">
              <a:noFill/>
            </a:ln>
          </c:spPr>
          <c:marker>
            <c:symbol val="circle"/>
            <c:size val="13"/>
            <c:spPr>
              <a:solidFill>
                <a:schemeClr val="bg1"/>
              </a:solidFill>
              <a:ln w="25400">
                <a:solidFill>
                  <a:srgbClr val="71254B"/>
                </a:solidFill>
              </a:ln>
            </c:spPr>
          </c:marker>
          <c:cat>
            <c:strRef>
              <c:f>'2-QQM_BY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'2-QQM_BY ROUND'!$E$3:$E$36</c:f>
              <c:numCache>
                <c:formatCode>0.0%</c:formatCode>
                <c:ptCount val="34"/>
                <c:pt idx="0">
                  <c:v>0.441</c:v>
                </c:pt>
                <c:pt idx="1">
                  <c:v>0.499</c:v>
                </c:pt>
                <c:pt idx="2">
                  <c:v>0.47699999999999998</c:v>
                </c:pt>
                <c:pt idx="3">
                  <c:v>0.61599999999999999</c:v>
                </c:pt>
                <c:pt idx="4">
                  <c:v>0.50900000000000001</c:v>
                </c:pt>
                <c:pt idx="5">
                  <c:v>0.41199999999999998</c:v>
                </c:pt>
                <c:pt idx="6">
                  <c:v>0.504</c:v>
                </c:pt>
                <c:pt idx="7">
                  <c:v>0.35599999999999998</c:v>
                </c:pt>
                <c:pt idx="8">
                  <c:v>0.42499999999999999</c:v>
                </c:pt>
                <c:pt idx="9">
                  <c:v>0.48299999999999998</c:v>
                </c:pt>
                <c:pt idx="10">
                  <c:v>0.29599999999999999</c:v>
                </c:pt>
                <c:pt idx="11">
                  <c:v>0.42299999999999999</c:v>
                </c:pt>
                <c:pt idx="12">
                  <c:v>0.41299999999999998</c:v>
                </c:pt>
                <c:pt idx="13">
                  <c:v>0.51200000000000001</c:v>
                </c:pt>
                <c:pt idx="14">
                  <c:v>0.36599999999999999</c:v>
                </c:pt>
                <c:pt idx="15">
                  <c:v>0.40600000000000003</c:v>
                </c:pt>
                <c:pt idx="16">
                  <c:v>0.59899999999999998</c:v>
                </c:pt>
                <c:pt idx="17">
                  <c:v>0.63300000000000001</c:v>
                </c:pt>
                <c:pt idx="18">
                  <c:v>0.48</c:v>
                </c:pt>
                <c:pt idx="19">
                  <c:v>0.67600000000000005</c:v>
                </c:pt>
                <c:pt idx="20">
                  <c:v>0.57399999999999995</c:v>
                </c:pt>
                <c:pt idx="21">
                  <c:v>0.49</c:v>
                </c:pt>
                <c:pt idx="22">
                  <c:v>0.60699999999999998</c:v>
                </c:pt>
                <c:pt idx="23">
                  <c:v>0.28299999999999997</c:v>
                </c:pt>
                <c:pt idx="24">
                  <c:v>0.48</c:v>
                </c:pt>
                <c:pt idx="25">
                  <c:v>0.35299999999999998</c:v>
                </c:pt>
                <c:pt idx="26">
                  <c:v>0.38800000000000001</c:v>
                </c:pt>
                <c:pt idx="27">
                  <c:v>0.27500000000000002</c:v>
                </c:pt>
                <c:pt idx="28">
                  <c:v>0.48</c:v>
                </c:pt>
                <c:pt idx="29">
                  <c:v>0.434</c:v>
                </c:pt>
                <c:pt idx="30">
                  <c:v>0.52800000000000002</c:v>
                </c:pt>
                <c:pt idx="31">
                  <c:v>0.39200000000000002</c:v>
                </c:pt>
                <c:pt idx="32">
                  <c:v>0.42299999999999999</c:v>
                </c:pt>
                <c:pt idx="33">
                  <c:v>0.48499999999999999</c:v>
                </c:pt>
              </c:numCache>
            </c:numRef>
          </c:val>
          <c:smooth val="0"/>
          <c:extLst>
            <c:ext xmlns:c16="http://schemas.microsoft.com/office/drawing/2014/chart" uri="{C3380CC4-5D6E-409C-BE32-E72D297353CC}">
              <c16:uniqueId val="{00000001-9CF4-4693-A61E-5C2C4A600A95}"/>
            </c:ext>
          </c:extLst>
        </c:ser>
        <c:dLbls>
          <c:showLegendKey val="0"/>
          <c:showVal val="0"/>
          <c:showCatName val="0"/>
          <c:showSerName val="0"/>
          <c:showPercent val="0"/>
          <c:showBubbleSize val="0"/>
        </c:dLbls>
        <c:marker val="1"/>
        <c:smooth val="0"/>
        <c:axId val="669890128"/>
        <c:axId val="669888488"/>
      </c:lineChart>
      <c:catAx>
        <c:axId val="669890128"/>
        <c:scaling>
          <c:orientation val="minMax"/>
        </c:scaling>
        <c:delete val="0"/>
        <c:axPos val="b"/>
        <c:majorGridlines>
          <c:spPr>
            <a:ln w="9525">
              <a:solidFill>
                <a:schemeClr val="bg1">
                  <a:lumMod val="85000"/>
                </a:schemeClr>
              </a:solidFill>
            </a:ln>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en-US"/>
          </a:p>
        </c:txPr>
        <c:crossAx val="669888488"/>
        <c:crosses val="autoZero"/>
        <c:auto val="1"/>
        <c:lblAlgn val="ctr"/>
        <c:lblOffset val="100"/>
        <c:noMultiLvlLbl val="0"/>
      </c:catAx>
      <c:valAx>
        <c:axId val="669888488"/>
        <c:scaling>
          <c:orientation val="minMax"/>
          <c:max val="1"/>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en-US"/>
          </a:p>
        </c:txPr>
        <c:crossAx val="669890128"/>
        <c:crosses val="autoZero"/>
        <c:crossBetween val="between"/>
      </c:valAx>
    </c:plotArea>
    <c:legend>
      <c:legendPos val="r"/>
      <c:layout>
        <c:manualLayout>
          <c:xMode val="edge"/>
          <c:yMode val="edge"/>
          <c:x val="0.75145726848473116"/>
          <c:y val="7.060785832174056E-2"/>
          <c:w val="0.22497625341681185"/>
          <c:h val="8.6352835051933446E-2"/>
        </c:manualLayout>
      </c:layout>
      <c:overlay val="0"/>
      <c:spPr>
        <a:solidFill>
          <a:schemeClr val="bg1"/>
        </a:solidFill>
      </c:spPr>
      <c:txPr>
        <a:bodyPr/>
        <a:lstStyle/>
        <a:p>
          <a:pPr>
            <a:defRPr sz="1100" b="0">
              <a:solidFill>
                <a:sysClr val="windowText" lastClr="000000"/>
              </a:solidFill>
              <a:latin typeface="Aptos" panose="020B00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67966984256024432"/>
        </c:manualLayout>
      </c:layout>
      <c:lineChart>
        <c:grouping val="standard"/>
        <c:varyColors val="0"/>
        <c:ser>
          <c:idx val="0"/>
          <c:order val="0"/>
          <c:tx>
            <c:v>HER R4</c:v>
          </c:tx>
          <c:spPr>
            <a:ln w="19050">
              <a:noFill/>
            </a:ln>
          </c:spPr>
          <c:marker>
            <c:symbol val="circle"/>
            <c:size val="13"/>
            <c:spPr>
              <a:solidFill>
                <a:schemeClr val="bg1"/>
              </a:solidFill>
              <a:ln w="25400">
                <a:solidFill>
                  <a:srgbClr val="F0D0E0"/>
                </a:solidFill>
              </a:ln>
            </c:spPr>
          </c:marker>
          <c:cat>
            <c:strRef>
              <c:f>'2-QQM_BY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'2-QQM_BY ROUND'!$O$3:$O$36</c:f>
              <c:numCache>
                <c:formatCode>0.0%</c:formatCode>
                <c:ptCount val="34"/>
                <c:pt idx="0">
                  <c:v>0.66800000000000004</c:v>
                </c:pt>
                <c:pt idx="1">
                  <c:v>0.57899999999999996</c:v>
                </c:pt>
                <c:pt idx="2">
                  <c:v>0.63500000000000001</c:v>
                </c:pt>
                <c:pt idx="3">
                  <c:v>0.59799999999999998</c:v>
                </c:pt>
                <c:pt idx="4">
                  <c:v>0.67</c:v>
                </c:pt>
                <c:pt idx="5">
                  <c:v>0.61699999999999999</c:v>
                </c:pt>
                <c:pt idx="6">
                  <c:v>0.70399999999999996</c:v>
                </c:pt>
                <c:pt idx="7">
                  <c:v>0.65600000000000003</c:v>
                </c:pt>
                <c:pt idx="8">
                  <c:v>0.64600000000000002</c:v>
                </c:pt>
                <c:pt idx="9">
                  <c:v>0.58499999999999996</c:v>
                </c:pt>
                <c:pt idx="10">
                  <c:v>0.53200000000000003</c:v>
                </c:pt>
                <c:pt idx="11">
                  <c:v>0.59499999999999997</c:v>
                </c:pt>
                <c:pt idx="12">
                  <c:v>0.66900000000000004</c:v>
                </c:pt>
                <c:pt idx="13">
                  <c:v>0.64</c:v>
                </c:pt>
                <c:pt idx="14">
                  <c:v>0.54500000000000004</c:v>
                </c:pt>
                <c:pt idx="15">
                  <c:v>0.67800000000000005</c:v>
                </c:pt>
                <c:pt idx="16">
                  <c:v>0.58599999999999997</c:v>
                </c:pt>
                <c:pt idx="17">
                  <c:v>0.52500000000000002</c:v>
                </c:pt>
                <c:pt idx="18">
                  <c:v>0.502</c:v>
                </c:pt>
                <c:pt idx="19">
                  <c:v>0.54200000000000004</c:v>
                </c:pt>
                <c:pt idx="20">
                  <c:v>0.63800000000000001</c:v>
                </c:pt>
                <c:pt idx="21">
                  <c:v>0.53</c:v>
                </c:pt>
                <c:pt idx="22">
                  <c:v>0.57799999999999996</c:v>
                </c:pt>
                <c:pt idx="23">
                  <c:v>0.65900000000000003</c:v>
                </c:pt>
                <c:pt idx="24">
                  <c:v>0.72299999999999998</c:v>
                </c:pt>
                <c:pt idx="25">
                  <c:v>0.69</c:v>
                </c:pt>
                <c:pt idx="26">
                  <c:v>0.68600000000000005</c:v>
                </c:pt>
                <c:pt idx="27">
                  <c:v>0.58199999999999996</c:v>
                </c:pt>
                <c:pt idx="28">
                  <c:v>0.64</c:v>
                </c:pt>
                <c:pt idx="29">
                  <c:v>0.57899999999999996</c:v>
                </c:pt>
                <c:pt idx="30">
                  <c:v>0.47899999999999998</c:v>
                </c:pt>
                <c:pt idx="31">
                  <c:v>0.55200000000000005</c:v>
                </c:pt>
                <c:pt idx="32">
                  <c:v>0.67</c:v>
                </c:pt>
                <c:pt idx="33">
                  <c:v>0.41399999999999998</c:v>
                </c:pt>
              </c:numCache>
            </c:numRef>
          </c:val>
          <c:smooth val="0"/>
          <c:extLst>
            <c:ext xmlns:c16="http://schemas.microsoft.com/office/drawing/2014/chart" uri="{C3380CC4-5D6E-409C-BE32-E72D297353CC}">
              <c16:uniqueId val="{00000000-F48F-49CB-AEB7-022FB0254729}"/>
            </c:ext>
          </c:extLst>
        </c:ser>
        <c:ser>
          <c:idx val="1"/>
          <c:order val="1"/>
          <c:tx>
            <c:v>HER2 R1</c:v>
          </c:tx>
          <c:spPr>
            <a:ln w="19050">
              <a:noFill/>
            </a:ln>
          </c:spPr>
          <c:marker>
            <c:symbol val="circle"/>
            <c:size val="13"/>
            <c:spPr>
              <a:solidFill>
                <a:schemeClr val="bg1"/>
              </a:solidFill>
              <a:ln w="25400">
                <a:solidFill>
                  <a:srgbClr val="71254B"/>
                </a:solidFill>
              </a:ln>
            </c:spPr>
          </c:marker>
          <c:cat>
            <c:strRef>
              <c:f>'2-QQM_BY ROUND'!$A$3:$A$36</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'2-QQM_BY ROUND'!$Q$3:$Q$36</c:f>
              <c:numCache>
                <c:formatCode>0.0%</c:formatCode>
                <c:ptCount val="34"/>
                <c:pt idx="0">
                  <c:v>0.58299999999999996</c:v>
                </c:pt>
                <c:pt idx="1">
                  <c:v>0.53700000000000003</c:v>
                </c:pt>
                <c:pt idx="2">
                  <c:v>0.628</c:v>
                </c:pt>
                <c:pt idx="3">
                  <c:v>0.56799999999999995</c:v>
                </c:pt>
                <c:pt idx="4">
                  <c:v>0.627</c:v>
                </c:pt>
                <c:pt idx="5">
                  <c:v>0.52300000000000002</c:v>
                </c:pt>
                <c:pt idx="6">
                  <c:v>0.63200000000000001</c:v>
                </c:pt>
                <c:pt idx="7">
                  <c:v>0.52300000000000002</c:v>
                </c:pt>
                <c:pt idx="8">
                  <c:v>0.64</c:v>
                </c:pt>
                <c:pt idx="9">
                  <c:v>0.66800000000000004</c:v>
                </c:pt>
                <c:pt idx="10">
                  <c:v>0.443</c:v>
                </c:pt>
                <c:pt idx="11">
                  <c:v>0.55800000000000005</c:v>
                </c:pt>
                <c:pt idx="12">
                  <c:v>0.57399999999999995</c:v>
                </c:pt>
                <c:pt idx="13">
                  <c:v>0.55300000000000005</c:v>
                </c:pt>
                <c:pt idx="14">
                  <c:v>0.505</c:v>
                </c:pt>
                <c:pt idx="15">
                  <c:v>0.48499999999999999</c:v>
                </c:pt>
                <c:pt idx="16">
                  <c:v>0.57299999999999995</c:v>
                </c:pt>
                <c:pt idx="17">
                  <c:v>0.66</c:v>
                </c:pt>
                <c:pt idx="18">
                  <c:v>0.497</c:v>
                </c:pt>
                <c:pt idx="19">
                  <c:v>0.59699999999999998</c:v>
                </c:pt>
                <c:pt idx="20">
                  <c:v>0.61499999999999999</c:v>
                </c:pt>
                <c:pt idx="21">
                  <c:v>0.55400000000000005</c:v>
                </c:pt>
                <c:pt idx="22">
                  <c:v>0.60799999999999998</c:v>
                </c:pt>
                <c:pt idx="23">
                  <c:v>0.32800000000000001</c:v>
                </c:pt>
                <c:pt idx="24">
                  <c:v>0.61599999999999999</c:v>
                </c:pt>
                <c:pt idx="25">
                  <c:v>0.53</c:v>
                </c:pt>
                <c:pt idx="26">
                  <c:v>0.623</c:v>
                </c:pt>
                <c:pt idx="27">
                  <c:v>0.52800000000000002</c:v>
                </c:pt>
                <c:pt idx="28">
                  <c:v>0.58899999999999997</c:v>
                </c:pt>
                <c:pt idx="29">
                  <c:v>0.53500000000000003</c:v>
                </c:pt>
                <c:pt idx="30">
                  <c:v>0.55000000000000004</c:v>
                </c:pt>
                <c:pt idx="31">
                  <c:v>0.50800000000000001</c:v>
                </c:pt>
                <c:pt idx="32">
                  <c:v>0.47399999999999998</c:v>
                </c:pt>
                <c:pt idx="33">
                  <c:v>0.59299999999999997</c:v>
                </c:pt>
              </c:numCache>
            </c:numRef>
          </c:val>
          <c:smooth val="0"/>
          <c:extLst>
            <c:ext xmlns:c16="http://schemas.microsoft.com/office/drawing/2014/chart" uri="{C3380CC4-5D6E-409C-BE32-E72D297353CC}">
              <c16:uniqueId val="{00000001-F48F-49CB-AEB7-022FB0254729}"/>
            </c:ext>
          </c:extLst>
        </c:ser>
        <c:dLbls>
          <c:showLegendKey val="0"/>
          <c:showVal val="0"/>
          <c:showCatName val="0"/>
          <c:showSerName val="0"/>
          <c:showPercent val="0"/>
          <c:showBubbleSize val="0"/>
        </c:dLbls>
        <c:marker val="1"/>
        <c:smooth val="0"/>
        <c:axId val="669890128"/>
        <c:axId val="669888488"/>
      </c:lineChart>
      <c:catAx>
        <c:axId val="669890128"/>
        <c:scaling>
          <c:orientation val="minMax"/>
        </c:scaling>
        <c:delete val="0"/>
        <c:axPos val="b"/>
        <c:majorGridlines>
          <c:spPr>
            <a:ln w="9525">
              <a:solidFill>
                <a:schemeClr val="bg1">
                  <a:lumMod val="85000"/>
                </a:schemeClr>
              </a:solidFill>
            </a:ln>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en-US"/>
          </a:p>
        </c:txPr>
        <c:crossAx val="669888488"/>
        <c:crosses val="autoZero"/>
        <c:auto val="1"/>
        <c:lblAlgn val="ctr"/>
        <c:lblOffset val="100"/>
        <c:noMultiLvlLbl val="0"/>
      </c:catAx>
      <c:valAx>
        <c:axId val="669888488"/>
        <c:scaling>
          <c:orientation val="minMax"/>
          <c:max val="1"/>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en-US"/>
          </a:p>
        </c:txPr>
        <c:crossAx val="669890128"/>
        <c:crosses val="autoZero"/>
        <c:crossBetween val="between"/>
      </c:valAx>
    </c:plotArea>
    <c:legend>
      <c:legendPos val="r"/>
      <c:layout>
        <c:manualLayout>
          <c:xMode val="edge"/>
          <c:yMode val="edge"/>
          <c:x val="0.75145726848473116"/>
          <c:y val="7.060785832174056E-2"/>
          <c:w val="0.22497625341681185"/>
          <c:h val="8.6352835051933446E-2"/>
        </c:manualLayout>
      </c:layout>
      <c:overlay val="0"/>
      <c:spPr>
        <a:solidFill>
          <a:schemeClr val="bg1"/>
        </a:solidFill>
      </c:spPr>
      <c:txPr>
        <a:bodyPr/>
        <a:lstStyle/>
        <a:p>
          <a:pPr>
            <a:defRPr sz="1100" b="0">
              <a:solidFill>
                <a:sysClr val="windowText" lastClr="000000"/>
              </a:solidFill>
              <a:latin typeface="Aptos" panose="020B00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93345909744143"/>
          <c:y val="0.14814704732465597"/>
          <c:w val="0.55093990659143577"/>
          <c:h val="0.7540573562685009"/>
        </c:manualLayout>
      </c:layout>
      <c:radarChart>
        <c:radarStyle val="filled"/>
        <c:varyColors val="0"/>
        <c:ser>
          <c:idx val="1"/>
          <c:order val="0"/>
          <c:tx>
            <c:strRef>
              <c:f>'GRAPHS -SI - ADB non ADB'!$B$7</c:f>
              <c:strCache>
                <c:ptCount val="1"/>
                <c:pt idx="0">
                  <c:v>Non ADB</c:v>
                </c:pt>
              </c:strCache>
            </c:strRef>
          </c:tx>
          <c:spPr>
            <a:noFill/>
            <a:ln w="38100">
              <a:solidFill>
                <a:schemeClr val="bg2">
                  <a:lumMod val="50000"/>
                </a:schemeClr>
              </a:solidFill>
              <a:prstDash val="dash"/>
            </a:ln>
            <a:effectLst/>
          </c:spPr>
          <c:dLbls>
            <c:dLbl>
              <c:idx val="1"/>
              <c:layout>
                <c:manualLayout>
                  <c:x val="2.3834437711188705E-2"/>
                  <c:y val="-4.27906595563978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9F8-42B2-B9C3-16B5B856424A}"/>
                </c:ext>
              </c:extLst>
            </c:dLbl>
            <c:dLbl>
              <c:idx val="2"/>
              <c:layout>
                <c:manualLayout>
                  <c:x val="4.993758457277160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9F8-42B2-B9C3-16B5B856424A}"/>
                </c:ext>
              </c:extLst>
            </c:dLbl>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9F8-42B2-B9C3-16B5B856424A}"/>
                </c:ext>
              </c:extLst>
            </c:dLbl>
            <c:dLbl>
              <c:idx val="5"/>
              <c:layout>
                <c:manualLayout>
                  <c:x val="-3.3291723048515824E-3"/>
                  <c:y val="2.0512820512820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9F8-42B2-B9C3-16B5B856424A}"/>
                </c:ext>
              </c:extLst>
            </c:dLbl>
            <c:dLbl>
              <c:idx val="6"/>
              <c:layout>
                <c:manualLayout>
                  <c:x val="-1.6645861524257607E-2"/>
                  <c:y val="2.3443223443223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9F8-42B2-B9C3-16B5B856424A}"/>
                </c:ext>
              </c:extLst>
            </c:dLbl>
            <c:dLbl>
              <c:idx val="8"/>
              <c:layout>
                <c:manualLayout>
                  <c:x val="2.9671945105811247E-2"/>
                  <c:y val="-5.657708628005709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AA-43A9-93AE-3BA654FDBBFF}"/>
                </c:ext>
              </c:extLst>
            </c:dLbl>
            <c:dLbl>
              <c:idx val="9"/>
              <c:layout>
                <c:manualLayout>
                  <c:x val="-7.253058349027107E-17"/>
                  <c:y val="-1.13154172560113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AA-43A9-93AE-3BA654FDBBF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-SI - ADB non ADB'!$C$5:$L$5</c:f>
              <c:strCache>
                <c:ptCount val="10"/>
                <c:pt idx="0">
                  <c:v>Domain 1: General Management </c:v>
                </c:pt>
                <c:pt idx="1">
                  <c:v>Domain 2: Hygiene </c:v>
                </c:pt>
                <c:pt idx="2">
                  <c:v>Domain 3: OPD / Curative Consultations</c:v>
                </c:pt>
                <c:pt idx="3">
                  <c:v>Domain 4: Family planning</c:v>
                </c:pt>
                <c:pt idx="4">
                  <c:v>Domain 5: Laboratory</c:v>
                </c:pt>
                <c:pt idx="5">
                  <c:v>Domain 6: Essential Drugs Management</c:v>
                </c:pt>
                <c:pt idx="6">
                  <c:v>Domain 7: Tracer drugs</c:v>
                </c:pt>
                <c:pt idx="7">
                  <c:v>Domain 8: Maternity</c:v>
                </c:pt>
                <c:pt idx="8">
                  <c:v>Domain 9: EPI</c:v>
                </c:pt>
                <c:pt idx="9">
                  <c:v>Domain 10: Antenatal Care</c:v>
                </c:pt>
              </c:strCache>
            </c:strRef>
          </c:cat>
          <c:val>
            <c:numRef>
              <c:f>'GRAPHS -SI - ADB non ADB'!$C$7:$L$7</c:f>
              <c:numCache>
                <c:formatCode>0%</c:formatCode>
                <c:ptCount val="10"/>
                <c:pt idx="0">
                  <c:v>0.70178569999999996</c:v>
                </c:pt>
                <c:pt idx="1">
                  <c:v>0.42821690000000001</c:v>
                </c:pt>
                <c:pt idx="2">
                  <c:v>0.64517049999999998</c:v>
                </c:pt>
                <c:pt idx="3">
                  <c:v>0.57499999999999996</c:v>
                </c:pt>
                <c:pt idx="4">
                  <c:v>0.76524820000000005</c:v>
                </c:pt>
                <c:pt idx="5">
                  <c:v>0.5730769</c:v>
                </c:pt>
                <c:pt idx="6">
                  <c:v>4.2228300000000003E-2</c:v>
                </c:pt>
                <c:pt idx="7">
                  <c:v>0.77715520000000005</c:v>
                </c:pt>
                <c:pt idx="8">
                  <c:v>0.81712960000000001</c:v>
                </c:pt>
                <c:pt idx="9">
                  <c:v>0.66418270000000001</c:v>
                </c:pt>
              </c:numCache>
            </c:numRef>
          </c:val>
          <c:extLst>
            <c:ext xmlns:c16="http://schemas.microsoft.com/office/drawing/2014/chart" uri="{C3380CC4-5D6E-409C-BE32-E72D297353CC}">
              <c16:uniqueId val="{00000008-39F8-42B2-B9C3-16B5B856424A}"/>
            </c:ext>
          </c:extLst>
        </c:ser>
        <c:ser>
          <c:idx val="0"/>
          <c:order val="1"/>
          <c:tx>
            <c:strRef>
              <c:f>'GRAPHS -SI - ADB non ADB'!$B$8</c:f>
              <c:strCache>
                <c:ptCount val="1"/>
                <c:pt idx="0">
                  <c:v>ADB</c:v>
                </c:pt>
              </c:strCache>
            </c:strRef>
          </c:tx>
          <c:spPr>
            <a:solidFill>
              <a:srgbClr val="993366">
                <a:alpha val="27843"/>
              </a:srgbClr>
            </a:solidFill>
            <a:ln w="28575">
              <a:solidFill>
                <a:srgbClr val="71254B"/>
              </a:solidFill>
            </a:ln>
            <a:effectLst/>
          </c:spPr>
          <c:dLbls>
            <c:dLbl>
              <c:idx val="0"/>
              <c:layout>
                <c:manualLayout>
                  <c:x val="0"/>
                  <c:y val="-1.6973125884016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AA-43A9-93AE-3BA654FDBBFF}"/>
                </c:ext>
              </c:extLst>
            </c:dLbl>
            <c:dLbl>
              <c:idx val="1"/>
              <c:layout>
                <c:manualLayout>
                  <c:x val="1.9370873769470949E-2"/>
                  <c:y val="-1.62568096018801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9F8-42B2-B9C3-16B5B856424A}"/>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9F8-42B2-B9C3-16B5B856424A}"/>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9F8-42B2-B9C3-16B5B856424A}"/>
                </c:ext>
              </c:extLst>
            </c:dLbl>
            <c:dLbl>
              <c:idx val="4"/>
              <c:layout>
                <c:manualLayout>
                  <c:x val="1.1912701866575549E-2"/>
                  <c:y val="-5.2233569813674283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9F8-42B2-B9C3-16B5B856424A}"/>
                </c:ext>
              </c:extLst>
            </c:dLbl>
            <c:dLbl>
              <c:idx val="5"/>
              <c:layout>
                <c:manualLayout>
                  <c:x val="9.3261388259607714E-3"/>
                  <c:y val="-2.8368377029794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9F8-42B2-B9C3-16B5B856424A}"/>
                </c:ext>
              </c:extLst>
            </c:dLbl>
            <c:dLbl>
              <c:idx val="6"/>
              <c:layout>
                <c:manualLayout>
                  <c:x val="1.2930950869280906E-2"/>
                  <c:y val="-1.074468662127401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9F8-42B2-B9C3-16B5B856424A}"/>
                </c:ext>
              </c:extLst>
            </c:dLbl>
            <c:dLbl>
              <c:idx val="7"/>
              <c:layout>
                <c:manualLayout>
                  <c:x val="4.1533402510760556E-2"/>
                  <c:y val="2.39906892826515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9F8-42B2-B9C3-16B5B856424A}"/>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9F8-42B2-B9C3-16B5B856424A}"/>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9F8-42B2-B9C3-16B5B856424A}"/>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'GRAPHS -SI - ADB non ADB'!$C$5:$L$5</c:f>
              <c:strCache>
                <c:ptCount val="10"/>
                <c:pt idx="0">
                  <c:v>Domain 1: General Management </c:v>
                </c:pt>
                <c:pt idx="1">
                  <c:v>Domain 2: Hygiene </c:v>
                </c:pt>
                <c:pt idx="2">
                  <c:v>Domain 3: OPD / Curative Consultations</c:v>
                </c:pt>
                <c:pt idx="3">
                  <c:v>Domain 4: Family planning</c:v>
                </c:pt>
                <c:pt idx="4">
                  <c:v>Domain 5: Laboratory</c:v>
                </c:pt>
                <c:pt idx="5">
                  <c:v>Domain 6: Essential Drugs Management</c:v>
                </c:pt>
                <c:pt idx="6">
                  <c:v>Domain 7: Tracer drugs</c:v>
                </c:pt>
                <c:pt idx="7">
                  <c:v>Domain 8: Maternity</c:v>
                </c:pt>
                <c:pt idx="8">
                  <c:v>Domain 9: EPI</c:v>
                </c:pt>
                <c:pt idx="9">
                  <c:v>Domain 10: Antenatal Care</c:v>
                </c:pt>
              </c:strCache>
            </c:strRef>
          </c:cat>
          <c:val>
            <c:numRef>
              <c:f>'GRAPHS -SI - ADB non ADB'!$C$8:$L$8</c:f>
              <c:numCache>
                <c:formatCode>0%</c:formatCode>
                <c:ptCount val="10"/>
                <c:pt idx="0">
                  <c:v>0.5745614</c:v>
                </c:pt>
                <c:pt idx="1">
                  <c:v>0.38493290000000002</c:v>
                </c:pt>
                <c:pt idx="2">
                  <c:v>0.56858059999999999</c:v>
                </c:pt>
                <c:pt idx="3">
                  <c:v>0.48665140000000001</c:v>
                </c:pt>
                <c:pt idx="4">
                  <c:v>0.75490190000000001</c:v>
                </c:pt>
                <c:pt idx="5">
                  <c:v>0.52968959999999998</c:v>
                </c:pt>
                <c:pt idx="6">
                  <c:v>3.66895E-2</c:v>
                </c:pt>
                <c:pt idx="7">
                  <c:v>0.75620089999999995</c:v>
                </c:pt>
                <c:pt idx="8">
                  <c:v>0.79987010000000003</c:v>
                </c:pt>
                <c:pt idx="9">
                  <c:v>0.64574900000000002</c:v>
                </c:pt>
              </c:numCache>
            </c:numRef>
          </c:val>
          <c:extLst>
            <c:ext xmlns:c16="http://schemas.microsoft.com/office/drawing/2014/chart" uri="{C3380CC4-5D6E-409C-BE32-E72D297353CC}">
              <c16:uniqueId val="{00000013-39F8-42B2-B9C3-16B5B856424A}"/>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79478945680721946"/>
          <c:y val="4.7007789797184861E-2"/>
          <c:w val="0.17410074971629744"/>
          <c:h val="0.12517992913361783"/>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37795275590554"/>
          <c:y val="0.10701187164256412"/>
          <c:w val="0.58350505687015075"/>
          <c:h val="0.82576408657667066"/>
        </c:manualLayout>
      </c:layout>
      <c:radarChart>
        <c:radarStyle val="filled"/>
        <c:varyColors val="0"/>
        <c:ser>
          <c:idx val="1"/>
          <c:order val="0"/>
          <c:tx>
            <c:strRef>
              <c:f>'GRAPHS -Exit - ADB non ADB'!$N$4</c:f>
              <c:strCache>
                <c:ptCount val="1"/>
                <c:pt idx="0">
                  <c:v>Non-ADB</c:v>
                </c:pt>
              </c:strCache>
            </c:strRef>
          </c:tx>
          <c:spPr>
            <a:noFill/>
            <a:ln w="38100">
              <a:solidFill>
                <a:schemeClr val="bg2">
                  <a:lumMod val="50000"/>
                </a:schemeClr>
              </a:solidFill>
              <a:prstDash val="dash"/>
            </a:ln>
            <a:effectLst/>
          </c:spPr>
          <c:dLbls>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47-4AA4-9E8C-00D79063D62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U5 Outcome</c:v>
              </c:pt>
              <c:pt idx="1">
                <c:v> FP Outcome</c:v>
              </c:pt>
              <c:pt idx="2">
                <c:v> FP satisfaction</c:v>
              </c:pt>
            </c:strLit>
          </c:cat>
          <c:val>
            <c:numRef>
              <c:f>('GRAPHS -Exit - ADB non ADB'!$Q$4,'GRAPHS -Exit - ADB non ADB'!$S$4,'GRAPHS -Exit - ADB non ADB'!$T$4)</c:f>
              <c:numCache>
                <c:formatCode>0%</c:formatCode>
                <c:ptCount val="3"/>
                <c:pt idx="0">
                  <c:v>0.45085890000000001</c:v>
                </c:pt>
                <c:pt idx="1">
                  <c:v>0.76010100000000003</c:v>
                </c:pt>
                <c:pt idx="2">
                  <c:v>0.61956520000000004</c:v>
                </c:pt>
              </c:numCache>
            </c:numRef>
          </c:val>
          <c:extLst>
            <c:ext xmlns:c16="http://schemas.microsoft.com/office/drawing/2014/chart" uri="{C3380CC4-5D6E-409C-BE32-E72D297353CC}">
              <c16:uniqueId val="{00000004-AF47-4AA4-9E8C-00D79063D622}"/>
            </c:ext>
          </c:extLst>
        </c:ser>
        <c:ser>
          <c:idx val="0"/>
          <c:order val="1"/>
          <c:tx>
            <c:strRef>
              <c:f>'GRAPHS -Exit - ADB non ADB'!$N$5</c:f>
              <c:strCache>
                <c:ptCount val="1"/>
                <c:pt idx="0">
                  <c:v>ADB</c:v>
                </c:pt>
              </c:strCache>
            </c:strRef>
          </c:tx>
          <c:spPr>
            <a:solidFill>
              <a:srgbClr val="993366">
                <a:alpha val="27843"/>
              </a:srgbClr>
            </a:solidFill>
            <a:ln w="28575">
              <a:solidFill>
                <a:srgbClr val="71254B"/>
              </a:solidFill>
            </a:ln>
            <a:effectLst/>
          </c:spPr>
          <c:dLbls>
            <c:dLbl>
              <c:idx val="0"/>
              <c:layout>
                <c:manualLayout>
                  <c:x val="2.4238597886813255E-3"/>
                  <c:y val="4.5989408786790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6F-4CEF-8DD5-1565922A040D}"/>
                </c:ext>
              </c:extLst>
            </c:dLbl>
            <c:dLbl>
              <c:idx val="1"/>
              <c:layout>
                <c:manualLayout>
                  <c:x val="7.257065431814759E-17"/>
                  <c:y val="-3.89807477200209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F47-4AA4-9E8C-00D79063D622}"/>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F47-4AA4-9E8C-00D79063D622}"/>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F47-4AA4-9E8C-00D79063D622}"/>
                </c:ext>
              </c:extLst>
            </c:dLbl>
            <c:dLbl>
              <c:idx val="4"/>
              <c:layout>
                <c:manualLayout>
                  <c:x val="-3.9906104392797986E-2"/>
                  <c:y val="-1.09236928446802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F47-4AA4-9E8C-00D79063D622}"/>
                </c:ext>
              </c:extLst>
            </c:dLbl>
            <c:dLbl>
              <c:idx val="5"/>
              <c:layout>
                <c:manualLayout>
                  <c:x val="-3.9906104392797986E-3"/>
                  <c:y val="2.730923211170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F47-4AA4-9E8C-00D79063D622}"/>
                </c:ext>
              </c:extLst>
            </c:dLbl>
            <c:dLbl>
              <c:idx val="6"/>
              <c:layout>
                <c:manualLayout>
                  <c:x val="4.788732527135754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F47-4AA4-9E8C-00D79063D622}"/>
                </c:ext>
              </c:extLst>
            </c:dLbl>
            <c:dLbl>
              <c:idx val="7"/>
              <c:layout>
                <c:manualLayout>
                  <c:x val="1.5817728254617122E-2"/>
                  <c:y val="4.09637671976788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F47-4AA4-9E8C-00D79063D622}"/>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F47-4AA4-9E8C-00D79063D622}"/>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F47-4AA4-9E8C-00D79063D622}"/>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Lit>
              <c:ptCount val="3"/>
              <c:pt idx="0">
                <c:v>U5 Outcome</c:v>
              </c:pt>
              <c:pt idx="1">
                <c:v> FP Outcome</c:v>
              </c:pt>
              <c:pt idx="2">
                <c:v> FP satisfaction</c:v>
              </c:pt>
            </c:strLit>
          </c:cat>
          <c:val>
            <c:numRef>
              <c:f>('GRAPHS -Exit - ADB non ADB'!$Q$5,'GRAPHS -Exit - ADB non ADB'!$S$5,'GRAPHS -Exit - ADB non ADB'!$T$5)</c:f>
              <c:numCache>
                <c:formatCode>0%</c:formatCode>
                <c:ptCount val="3"/>
                <c:pt idx="0">
                  <c:v>0.42972969999999999</c:v>
                </c:pt>
                <c:pt idx="1">
                  <c:v>0.69547329999999996</c:v>
                </c:pt>
                <c:pt idx="2">
                  <c:v>0.663748</c:v>
                </c:pt>
              </c:numCache>
            </c:numRef>
          </c:val>
          <c:extLst>
            <c:ext xmlns:c16="http://schemas.microsoft.com/office/drawing/2014/chart" uri="{C3380CC4-5D6E-409C-BE32-E72D297353CC}">
              <c16:uniqueId val="{0000000F-AF47-4AA4-9E8C-00D79063D622}"/>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56615274339657062"/>
          <c:y val="0.10810333727069454"/>
          <c:w val="0.18229393699274429"/>
          <c:h val="0.18396316290030179"/>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826987278148306E-2"/>
          <c:y val="6.9444444444444448E-2"/>
          <c:w val="0.91269992200771377"/>
          <c:h val="0.84731481481481485"/>
        </c:manualLayout>
      </c:layout>
      <c:barChart>
        <c:barDir val="col"/>
        <c:grouping val="clustered"/>
        <c:varyColors val="0"/>
        <c:ser>
          <c:idx val="0"/>
          <c:order val="0"/>
          <c:tx>
            <c:strRef>
              <c:f>'GRAPHS -Exit - ADB non ADB'!$D$3</c:f>
              <c:strCache>
                <c:ptCount val="1"/>
                <c:pt idx="0">
                  <c:v>U5</c:v>
                </c:pt>
              </c:strCache>
            </c:strRef>
          </c:tx>
          <c:spPr>
            <a:solidFill>
              <a:srgbClr val="EFCDDE"/>
            </a:solidFill>
          </c:spPr>
          <c:invertIfNegative val="0"/>
          <c:dLbls>
            <c:spPr>
              <a:noFill/>
              <a:ln>
                <a:noFill/>
              </a:ln>
              <a:effectLst/>
            </c:spPr>
            <c:txPr>
              <a:bodyPr rot="-5400000" vert="horz" wrap="square" lIns="38100" tIns="19050" rIns="38100" bIns="19050" anchor="ctr">
                <a:spAutoFit/>
              </a:bodyPr>
              <a:lstStyle/>
              <a:p>
                <a:pPr>
                  <a:defRPr sz="900"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-Exit - ADB non ADB'!$C$4:$C$12</c:f>
              <c:strCache>
                <c:ptCount val="9"/>
                <c:pt idx="0">
                  <c:v>Badghis</c:v>
                </c:pt>
                <c:pt idx="1">
                  <c:v>Farah</c:v>
                </c:pt>
                <c:pt idx="2">
                  <c:v>Ghor</c:v>
                </c:pt>
                <c:pt idx="3">
                  <c:v>Helmand</c:v>
                </c:pt>
                <c:pt idx="4">
                  <c:v>Herat</c:v>
                </c:pt>
                <c:pt idx="5">
                  <c:v>Kandahar</c:v>
                </c:pt>
                <c:pt idx="6">
                  <c:v>Nimroz</c:v>
                </c:pt>
                <c:pt idx="7">
                  <c:v>Uruzgan</c:v>
                </c:pt>
                <c:pt idx="8">
                  <c:v>Zabul</c:v>
                </c:pt>
              </c:strCache>
            </c:strRef>
          </c:cat>
          <c:val>
            <c:numRef>
              <c:f>'GRAPHS -Exit - ADB non ADB'!$D$4:$D$12</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0EDE-4CC9-85A5-CCA8C893A3B3}"/>
            </c:ext>
          </c:extLst>
        </c:ser>
        <c:ser>
          <c:idx val="1"/>
          <c:order val="1"/>
          <c:tx>
            <c:strRef>
              <c:f>'GRAPHS -Exit - ADB non ADB'!$E$3</c:f>
              <c:strCache>
                <c:ptCount val="1"/>
                <c:pt idx="0">
                  <c:v>FP</c:v>
                </c:pt>
              </c:strCache>
            </c:strRef>
          </c:tx>
          <c:spPr>
            <a:solidFill>
              <a:srgbClr val="71254B"/>
            </a:solidFill>
          </c:spPr>
          <c:invertIfNegative val="0"/>
          <c:dLbls>
            <c:spPr>
              <a:noFill/>
              <a:ln>
                <a:noFill/>
              </a:ln>
              <a:effectLst/>
            </c:spPr>
            <c:txPr>
              <a:bodyPr rot="-5400000" vert="horz" wrap="square" lIns="38100" tIns="19050" rIns="38100" bIns="19050" anchor="ctr">
                <a:spAutoFit/>
              </a:bodyPr>
              <a:lstStyle/>
              <a:p>
                <a:pPr>
                  <a:defRPr sz="900" b="1">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'GRAPHS -Exit - ADB non ADB'!$C$4:$C$12</c:f>
              <c:strCache>
                <c:ptCount val="9"/>
                <c:pt idx="0">
                  <c:v>Badghis</c:v>
                </c:pt>
                <c:pt idx="1">
                  <c:v>Farah</c:v>
                </c:pt>
                <c:pt idx="2">
                  <c:v>Ghor</c:v>
                </c:pt>
                <c:pt idx="3">
                  <c:v>Helmand</c:v>
                </c:pt>
                <c:pt idx="4">
                  <c:v>Herat</c:v>
                </c:pt>
                <c:pt idx="5">
                  <c:v>Kandahar</c:v>
                </c:pt>
                <c:pt idx="6">
                  <c:v>Nimroz</c:v>
                </c:pt>
                <c:pt idx="7">
                  <c:v>Uruzgan</c:v>
                </c:pt>
                <c:pt idx="8">
                  <c:v>Zabul</c:v>
                </c:pt>
              </c:strCache>
            </c:strRef>
          </c:cat>
          <c:val>
            <c:numRef>
              <c:f>'GRAPHS -Exit - ADB non ADB'!$E$4:$E$12</c:f>
              <c:numCache>
                <c:formatCode>0%</c:formatCode>
                <c:ptCount val="9"/>
                <c:pt idx="0">
                  <c:v>0.41199999999999998</c:v>
                </c:pt>
                <c:pt idx="1">
                  <c:v>0.44454539999999998</c:v>
                </c:pt>
                <c:pt idx="2">
                  <c:v>0.51363639999999999</c:v>
                </c:pt>
                <c:pt idx="3">
                  <c:v>0.33</c:v>
                </c:pt>
                <c:pt idx="4">
                  <c:v>0.38124999999999998</c:v>
                </c:pt>
                <c:pt idx="5">
                  <c:v>0.45411770000000001</c:v>
                </c:pt>
                <c:pt idx="6">
                  <c:v>0.52</c:v>
                </c:pt>
                <c:pt idx="7">
                  <c:v>0.41090910000000003</c:v>
                </c:pt>
                <c:pt idx="8">
                  <c:v>0.46250000000000002</c:v>
                </c:pt>
              </c:numCache>
            </c:numRef>
          </c:val>
          <c:extLst>
            <c:ext xmlns:c16="http://schemas.microsoft.com/office/drawing/2014/chart" uri="{C3380CC4-5D6E-409C-BE32-E72D297353CC}">
              <c16:uniqueId val="{00000003-0EDE-4CC9-85A5-CCA8C893A3B3}"/>
            </c:ext>
          </c:extLst>
        </c:ser>
        <c:ser>
          <c:idx val="2"/>
          <c:order val="2"/>
          <c:tx>
            <c:strRef>
              <c:f>'GRAPHS -Exit - ADB non ADB'!$F$3</c:f>
              <c:strCache>
                <c:ptCount val="1"/>
                <c:pt idx="0">
                  <c:v>Overall</c:v>
                </c:pt>
              </c:strCache>
            </c:strRef>
          </c:tx>
          <c:invertIfNegative val="0"/>
          <c:dLbls>
            <c:spPr>
              <a:noFill/>
              <a:ln>
                <a:noFill/>
              </a:ln>
              <a:effectLst/>
            </c:spPr>
            <c:txPr>
              <a:bodyPr rot="-5400000" vert="horz" wrap="square" lIns="38100" tIns="19050" rIns="38100" bIns="19050" anchor="ctr">
                <a:spAutoFit/>
              </a:bodyPr>
              <a:lstStyle/>
              <a:p>
                <a:pPr>
                  <a:defRPr sz="900" b="1">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'GRAPHS -Exit - ADB non ADB'!$C$4:$C$12</c:f>
              <c:strCache>
                <c:ptCount val="9"/>
                <c:pt idx="0">
                  <c:v>Badghis</c:v>
                </c:pt>
                <c:pt idx="1">
                  <c:v>Farah</c:v>
                </c:pt>
                <c:pt idx="2">
                  <c:v>Ghor</c:v>
                </c:pt>
                <c:pt idx="3">
                  <c:v>Helmand</c:v>
                </c:pt>
                <c:pt idx="4">
                  <c:v>Herat</c:v>
                </c:pt>
                <c:pt idx="5">
                  <c:v>Kandahar</c:v>
                </c:pt>
                <c:pt idx="6">
                  <c:v>Nimroz</c:v>
                </c:pt>
                <c:pt idx="7">
                  <c:v>Uruzgan</c:v>
                </c:pt>
                <c:pt idx="8">
                  <c:v>Zabul</c:v>
                </c:pt>
              </c:strCache>
            </c:strRef>
          </c:cat>
          <c:val>
            <c:numRef>
              <c:f>'GRAPHS -Exit - ADB non ADB'!$F$4:$F$12</c:f>
              <c:numCache>
                <c:formatCode>0%</c:formatCode>
                <c:ptCount val="9"/>
                <c:pt idx="0">
                  <c:v>0.66149999999999998</c:v>
                </c:pt>
                <c:pt idx="1">
                  <c:v>0.82</c:v>
                </c:pt>
                <c:pt idx="2">
                  <c:v>0.83850000000000002</c:v>
                </c:pt>
                <c:pt idx="3">
                  <c:v>0.57250000000000001</c:v>
                </c:pt>
                <c:pt idx="4">
                  <c:v>0.73468750000000005</c:v>
                </c:pt>
                <c:pt idx="5">
                  <c:v>0.56366660000000002</c:v>
                </c:pt>
                <c:pt idx="6">
                  <c:v>0.69499999999999995</c:v>
                </c:pt>
                <c:pt idx="7">
                  <c:v>0.60590909999999998</c:v>
                </c:pt>
                <c:pt idx="8">
                  <c:v>0.69799999999999995</c:v>
                </c:pt>
              </c:numCache>
            </c:numRef>
          </c:val>
          <c:extLst>
            <c:ext xmlns:c16="http://schemas.microsoft.com/office/drawing/2014/chart" uri="{C3380CC4-5D6E-409C-BE32-E72D297353CC}">
              <c16:uniqueId val="{00000005-0EDE-4CC9-85A5-CCA8C893A3B3}"/>
            </c:ext>
          </c:extLst>
        </c:ser>
        <c:dLbls>
          <c:showLegendKey val="0"/>
          <c:showVal val="0"/>
          <c:showCatName val="0"/>
          <c:showSerName val="0"/>
          <c:showPercent val="0"/>
          <c:showBubbleSize val="0"/>
        </c:dLbls>
        <c:gapWidth val="113"/>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90128"/>
        <c:crosses val="autoZero"/>
        <c:crossBetween val="between"/>
      </c:valAx>
      <c:spPr>
        <a:noFill/>
      </c:spPr>
    </c:plotArea>
    <c:legend>
      <c:legendPos val="r"/>
      <c:layout>
        <c:manualLayout>
          <c:xMode val="edge"/>
          <c:yMode val="edge"/>
          <c:x val="0.72589823730966341"/>
          <c:y val="3.2081409400616184E-2"/>
          <c:w val="0.26628645502567361"/>
          <c:h val="0.12734349356252234"/>
        </c:manualLayout>
      </c:layout>
      <c:overlay val="0"/>
      <c:txPr>
        <a:bodyPr/>
        <a:lstStyle/>
        <a:p>
          <a:pPr>
            <a:defRPr b="1">
              <a:latin typeface="Aptos" panose="020B00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08091950363143"/>
          <c:y val="8.4866765539736461E-2"/>
          <c:w val="0.68824032302190397"/>
          <c:h val="0.80019800317524781"/>
        </c:manualLayout>
      </c:layout>
      <c:radarChart>
        <c:radarStyle val="filled"/>
        <c:varyColors val="0"/>
        <c:ser>
          <c:idx val="1"/>
          <c:order val="0"/>
          <c:tx>
            <c:strRef>
              <c:f>'GRAPHS -Vignettes - ADB non ADB'!$A$29</c:f>
              <c:strCache>
                <c:ptCount val="1"/>
                <c:pt idx="0">
                  <c:v>Non ADB</c:v>
                </c:pt>
              </c:strCache>
            </c:strRef>
          </c:tx>
          <c:spPr>
            <a:noFill/>
            <a:ln w="38100">
              <a:solidFill>
                <a:schemeClr val="bg2">
                  <a:lumMod val="50000"/>
                </a:schemeClr>
              </a:solidFill>
              <a:prstDash val="dash"/>
            </a:ln>
            <a:effectLst/>
          </c:spPr>
          <c:dLbls>
            <c:dLbl>
              <c:idx val="1"/>
              <c:layout>
                <c:manualLayout>
                  <c:x val="9.9875169145545641E-3"/>
                  <c:y val="-1.17216117216117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C64-4EA4-B84B-ED33E3000D04}"/>
                </c:ext>
              </c:extLst>
            </c:dLbl>
            <c:dLbl>
              <c:idx val="2"/>
              <c:layout>
                <c:manualLayout>
                  <c:x val="4.993758457277160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C64-4EA4-B84B-ED33E3000D04}"/>
                </c:ext>
              </c:extLst>
            </c:dLbl>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64-4EA4-B84B-ED33E3000D04}"/>
                </c:ext>
              </c:extLst>
            </c:dLbl>
            <c:dLbl>
              <c:idx val="5"/>
              <c:layout>
                <c:manualLayout>
                  <c:x val="-3.3291723048515824E-3"/>
                  <c:y val="2.0512820512820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C64-4EA4-B84B-ED33E3000D04}"/>
                </c:ext>
              </c:extLst>
            </c:dLbl>
            <c:dLbl>
              <c:idx val="6"/>
              <c:layout>
                <c:manualLayout>
                  <c:x val="-1.6645861524257607E-2"/>
                  <c:y val="2.3443223443223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C64-4EA4-B84B-ED33E3000D0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-Vignettes - ADB non ADB'!$B$27:$K$27</c:f>
              <c:strCache>
                <c:ptCount val="10"/>
                <c:pt idx="0">
                  <c:v>Pneumonia</c:v>
                </c:pt>
                <c:pt idx="1">
                  <c:v>Diarrhea</c:v>
                </c:pt>
                <c:pt idx="2">
                  <c:v>GMP (Well child visit)</c:v>
                </c:pt>
                <c:pt idx="3">
                  <c:v>Tuberculosis</c:v>
                </c:pt>
                <c:pt idx="4">
                  <c:v>Labor</c:v>
                </c:pt>
                <c:pt idx="5">
                  <c:v>PNC</c:v>
                </c:pt>
                <c:pt idx="6">
                  <c:v>Antenatal Care</c:v>
                </c:pt>
                <c:pt idx="7">
                  <c:v>FP Counseling</c:v>
                </c:pt>
                <c:pt idx="8">
                  <c:v>DMPA Counseling</c:v>
                </c:pt>
                <c:pt idx="9">
                  <c:v>Postpartum Hemorrhage</c:v>
                </c:pt>
              </c:strCache>
            </c:strRef>
          </c:cat>
          <c:val>
            <c:numRef>
              <c:f>'GRAPHS -Vignettes - ADB non ADB'!$B$29:$K$29</c:f>
              <c:numCache>
                <c:formatCode>0%</c:formatCode>
                <c:ptCount val="10"/>
                <c:pt idx="0">
                  <c:v>0.47950700000000002</c:v>
                </c:pt>
                <c:pt idx="1">
                  <c:v>0.44682539999999998</c:v>
                </c:pt>
                <c:pt idx="2">
                  <c:v>0.38022600000000001</c:v>
                </c:pt>
                <c:pt idx="3">
                  <c:v>0.63887499999999997</c:v>
                </c:pt>
                <c:pt idx="4">
                  <c:v>0.53877359999999996</c:v>
                </c:pt>
                <c:pt idx="5">
                  <c:v>0.40538459999999998</c:v>
                </c:pt>
                <c:pt idx="6">
                  <c:v>0.38754630000000001</c:v>
                </c:pt>
                <c:pt idx="7">
                  <c:v>0.39741179999999998</c:v>
                </c:pt>
                <c:pt idx="8">
                  <c:v>0.4476</c:v>
                </c:pt>
                <c:pt idx="9">
                  <c:v>0.41357139999999998</c:v>
                </c:pt>
              </c:numCache>
            </c:numRef>
          </c:val>
          <c:extLst>
            <c:ext xmlns:c16="http://schemas.microsoft.com/office/drawing/2014/chart" uri="{C3380CC4-5D6E-409C-BE32-E72D297353CC}">
              <c16:uniqueId val="{00000004-CC64-4EA4-B84B-ED33E3000D04}"/>
            </c:ext>
          </c:extLst>
        </c:ser>
        <c:ser>
          <c:idx val="0"/>
          <c:order val="1"/>
          <c:tx>
            <c:strRef>
              <c:f>'GRAPHS -Vignettes - ADB non ADB'!$A$30</c:f>
              <c:strCache>
                <c:ptCount val="1"/>
                <c:pt idx="0">
                  <c:v>ADB</c:v>
                </c:pt>
              </c:strCache>
            </c:strRef>
          </c:tx>
          <c:spPr>
            <a:solidFill>
              <a:srgbClr val="993366">
                <a:alpha val="27843"/>
              </a:srgbClr>
            </a:solidFill>
            <a:ln w="28575">
              <a:solidFill>
                <a:srgbClr val="71254B"/>
              </a:solidFill>
            </a:ln>
            <a:effectLst/>
          </c:spPr>
          <c:dLbls>
            <c:dLbl>
              <c:idx val="1"/>
              <c:layout>
                <c:manualLayout>
                  <c:x val="-8.3229307621288037E-3"/>
                  <c:y val="-1.5537596262005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C64-4EA4-B84B-ED33E3000D04}"/>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C64-4EA4-B84B-ED33E3000D04}"/>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C64-4EA4-B84B-ED33E3000D04}"/>
                </c:ext>
              </c:extLst>
            </c:dLbl>
            <c:dLbl>
              <c:idx val="4"/>
              <c:layout>
                <c:manualLayout>
                  <c:x val="4.3908374886760212E-5"/>
                  <c:y val="-3.72973378327710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C64-4EA4-B84B-ED33E3000D04}"/>
                </c:ext>
              </c:extLst>
            </c:dLbl>
            <c:dLbl>
              <c:idx val="5"/>
              <c:layout>
                <c:manualLayout>
                  <c:x val="9.3261388259607714E-3"/>
                  <c:y val="-2.8368377029794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C64-4EA4-B84B-ED33E3000D04}"/>
                </c:ext>
              </c:extLst>
            </c:dLbl>
            <c:dLbl>
              <c:idx val="6"/>
              <c:layout>
                <c:manualLayout>
                  <c:x val="1.2930950869280906E-2"/>
                  <c:y val="-1.074468662127401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C64-4EA4-B84B-ED33E3000D04}"/>
                </c:ext>
              </c:extLst>
            </c:dLbl>
            <c:dLbl>
              <c:idx val="7"/>
              <c:layout>
                <c:manualLayout>
                  <c:x val="1.5817728254617122E-2"/>
                  <c:y val="4.09637671976788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C64-4EA4-B84B-ED33E3000D04}"/>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C64-4EA4-B84B-ED33E3000D04}"/>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C64-4EA4-B84B-ED33E3000D04}"/>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'GRAPHS -Vignettes - ADB non ADB'!$B$27:$K$27</c:f>
              <c:strCache>
                <c:ptCount val="10"/>
                <c:pt idx="0">
                  <c:v>Pneumonia</c:v>
                </c:pt>
                <c:pt idx="1">
                  <c:v>Diarrhea</c:v>
                </c:pt>
                <c:pt idx="2">
                  <c:v>GMP (Well child visit)</c:v>
                </c:pt>
                <c:pt idx="3">
                  <c:v>Tuberculosis</c:v>
                </c:pt>
                <c:pt idx="4">
                  <c:v>Labor</c:v>
                </c:pt>
                <c:pt idx="5">
                  <c:v>PNC</c:v>
                </c:pt>
                <c:pt idx="6">
                  <c:v>Antenatal Care</c:v>
                </c:pt>
                <c:pt idx="7">
                  <c:v>FP Counseling</c:v>
                </c:pt>
                <c:pt idx="8">
                  <c:v>DMPA Counseling</c:v>
                </c:pt>
                <c:pt idx="9">
                  <c:v>Postpartum Hemorrhage</c:v>
                </c:pt>
              </c:strCache>
            </c:strRef>
          </c:cat>
          <c:val>
            <c:numRef>
              <c:f>'GRAPHS -Vignettes - ADB non ADB'!$B$30:$K$30</c:f>
              <c:numCache>
                <c:formatCode>0%</c:formatCode>
                <c:ptCount val="10"/>
                <c:pt idx="0">
                  <c:v>0.38245620000000002</c:v>
                </c:pt>
                <c:pt idx="1">
                  <c:v>0.41046149999999998</c:v>
                </c:pt>
                <c:pt idx="2">
                  <c:v>0.37733329999999998</c:v>
                </c:pt>
                <c:pt idx="3">
                  <c:v>0.58027779999999995</c:v>
                </c:pt>
                <c:pt idx="4">
                  <c:v>0.53694439999999999</c:v>
                </c:pt>
                <c:pt idx="5">
                  <c:v>0.35393940000000002</c:v>
                </c:pt>
                <c:pt idx="6">
                  <c:v>0.27212120000000001</c:v>
                </c:pt>
                <c:pt idx="7">
                  <c:v>0.40238089999999999</c:v>
                </c:pt>
                <c:pt idx="8">
                  <c:v>0.4270833</c:v>
                </c:pt>
                <c:pt idx="9">
                  <c:v>0.4334615</c:v>
                </c:pt>
              </c:numCache>
            </c:numRef>
          </c:val>
          <c:extLst>
            <c:ext xmlns:c16="http://schemas.microsoft.com/office/drawing/2014/chart" uri="{C3380CC4-5D6E-409C-BE32-E72D297353CC}">
              <c16:uniqueId val="{0000000F-CC64-4EA4-B84B-ED33E3000D04}"/>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64414859831827698"/>
          <c:y val="3.8426697945861406E-2"/>
          <c:w val="0.32727355691347398"/>
          <c:h val="0.12517992913361783"/>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24377805424894"/>
          <c:y val="9.3599283501884539E-2"/>
          <c:w val="0.64836640436844661"/>
          <c:h val="0.80344118122675423"/>
        </c:manualLayout>
      </c:layout>
      <c:radarChart>
        <c:radarStyle val="filled"/>
        <c:varyColors val="0"/>
        <c:ser>
          <c:idx val="1"/>
          <c:order val="0"/>
          <c:tx>
            <c:strRef>
              <c:f>'GRAPHS -Vignettes - ADB non ADB'!$O$6</c:f>
              <c:strCache>
                <c:ptCount val="1"/>
                <c:pt idx="0">
                  <c:v>Non-ADB</c:v>
                </c:pt>
              </c:strCache>
            </c:strRef>
          </c:tx>
          <c:spPr>
            <a:noFill/>
            <a:ln w="38100">
              <a:solidFill>
                <a:schemeClr val="bg2">
                  <a:lumMod val="50000"/>
                </a:schemeClr>
              </a:solidFill>
              <a:prstDash val="dash"/>
            </a:ln>
            <a:effectLst/>
          </c:spPr>
          <c:dLbls>
            <c:dLbl>
              <c:idx val="0"/>
              <c:layout>
                <c:manualLayout>
                  <c:x val="-5.0925337632079971E-17"/>
                  <c:y val="-2.55183413078149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79A-4815-B212-4563B7DFA18D}"/>
                </c:ext>
              </c:extLst>
            </c:dLbl>
            <c:dLbl>
              <c:idx val="1"/>
              <c:layout>
                <c:manualLayout>
                  <c:x val="4.6098643919509956E-2"/>
                  <c:y val="-1.17216089615592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9A-4815-B212-4563B7DFA18D}"/>
                </c:ext>
              </c:extLst>
            </c:dLbl>
            <c:dLbl>
              <c:idx val="2"/>
              <c:layout>
                <c:manualLayout>
                  <c:x val="4.993758457277160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79A-4815-B212-4563B7DFA18D}"/>
                </c:ext>
              </c:extLst>
            </c:dLbl>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9A-4815-B212-4563B7DFA18D}"/>
                </c:ext>
              </c:extLst>
            </c:dLbl>
            <c:dLbl>
              <c:idx val="5"/>
              <c:layout>
                <c:manualLayout>
                  <c:x val="-3.3291723048515824E-3"/>
                  <c:y val="2.0512820512820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79A-4815-B212-4563B7DFA18D}"/>
                </c:ext>
              </c:extLst>
            </c:dLbl>
            <c:dLbl>
              <c:idx val="6"/>
              <c:layout>
                <c:manualLayout>
                  <c:x val="-1.6645861524257607E-2"/>
                  <c:y val="2.3443223443223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9A-4815-B212-4563B7DFA1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-Vignettes - ADB non ADB'!$P$9:$T$9</c:f>
              <c:strCache>
                <c:ptCount val="5"/>
                <c:pt idx="0">
                  <c:v>History</c:v>
                </c:pt>
                <c:pt idx="1">
                  <c:v>Physical/Lab</c:v>
                </c:pt>
                <c:pt idx="2">
                  <c:v>Diagnosis/Classification</c:v>
                </c:pt>
                <c:pt idx="3">
                  <c:v>Treatment</c:v>
                </c:pt>
                <c:pt idx="4">
                  <c:v>Explanation and advice</c:v>
                </c:pt>
              </c:strCache>
            </c:strRef>
          </c:cat>
          <c:val>
            <c:numRef>
              <c:f>'GRAPHS -Vignettes - ADB non ADB'!$P$10:$T$10</c:f>
              <c:numCache>
                <c:formatCode>0%</c:formatCode>
                <c:ptCount val="5"/>
                <c:pt idx="0">
                  <c:v>0.51036804005141734</c:v>
                </c:pt>
                <c:pt idx="1">
                  <c:v>0.4421220080648145</c:v>
                </c:pt>
                <c:pt idx="2">
                  <c:v>0.61028877841702511</c:v>
                </c:pt>
                <c:pt idx="3">
                  <c:v>0.3745930863432026</c:v>
                </c:pt>
                <c:pt idx="4">
                  <c:v>0.31840430739109155</c:v>
                </c:pt>
              </c:numCache>
            </c:numRef>
          </c:val>
          <c:extLst>
            <c:ext xmlns:c16="http://schemas.microsoft.com/office/drawing/2014/chart" uri="{C3380CC4-5D6E-409C-BE32-E72D297353CC}">
              <c16:uniqueId val="{00000008-D79A-4815-B212-4563B7DFA18D}"/>
            </c:ext>
          </c:extLst>
        </c:ser>
        <c:ser>
          <c:idx val="0"/>
          <c:order val="1"/>
          <c:tx>
            <c:strRef>
              <c:f>'GRAPHS -Vignettes - ADB non ADB'!$O$7</c:f>
              <c:strCache>
                <c:ptCount val="1"/>
                <c:pt idx="0">
                  <c:v>ADB</c:v>
                </c:pt>
              </c:strCache>
            </c:strRef>
          </c:tx>
          <c:spPr>
            <a:solidFill>
              <a:srgbClr val="993366">
                <a:alpha val="27843"/>
              </a:srgbClr>
            </a:solidFill>
            <a:ln w="28575">
              <a:solidFill>
                <a:srgbClr val="71254B"/>
              </a:solidFill>
            </a:ln>
            <a:effectLst/>
          </c:spPr>
          <c:dLbls>
            <c:dLbl>
              <c:idx val="1"/>
              <c:layout>
                <c:manualLayout>
                  <c:x val="-8.3229307621288037E-3"/>
                  <c:y val="-1.5537596262005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79A-4815-B212-4563B7DFA18D}"/>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79A-4815-B212-4563B7DFA18D}"/>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79A-4815-B212-4563B7DFA18D}"/>
                </c:ext>
              </c:extLst>
            </c:dLbl>
            <c:dLbl>
              <c:idx val="4"/>
              <c:layout>
                <c:manualLayout>
                  <c:x val="4.3908374886760212E-5"/>
                  <c:y val="-3.72973378327710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79A-4815-B212-4563B7DFA18D}"/>
                </c:ext>
              </c:extLst>
            </c:dLbl>
            <c:dLbl>
              <c:idx val="5"/>
              <c:layout>
                <c:manualLayout>
                  <c:x val="9.3261388259607714E-3"/>
                  <c:y val="-2.8368377029794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79A-4815-B212-4563B7DFA18D}"/>
                </c:ext>
              </c:extLst>
            </c:dLbl>
            <c:dLbl>
              <c:idx val="6"/>
              <c:layout>
                <c:manualLayout>
                  <c:x val="1.2930950869280906E-2"/>
                  <c:y val="-1.074468662127401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79A-4815-B212-4563B7DFA18D}"/>
                </c:ext>
              </c:extLst>
            </c:dLbl>
            <c:dLbl>
              <c:idx val="7"/>
              <c:layout>
                <c:manualLayout>
                  <c:x val="1.5817728254617122E-2"/>
                  <c:y val="4.09637671976788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79A-4815-B212-4563B7DFA18D}"/>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79A-4815-B212-4563B7DFA18D}"/>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79A-4815-B212-4563B7DFA18D}"/>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'GRAPHS -Vignettes - ADB non ADB'!$P$9:$T$9</c:f>
              <c:strCache>
                <c:ptCount val="5"/>
                <c:pt idx="0">
                  <c:v>History</c:v>
                </c:pt>
                <c:pt idx="1">
                  <c:v>Physical/Lab</c:v>
                </c:pt>
                <c:pt idx="2">
                  <c:v>Diagnosis/Classification</c:v>
                </c:pt>
                <c:pt idx="3">
                  <c:v>Treatment</c:v>
                </c:pt>
                <c:pt idx="4">
                  <c:v>Explanation and advice</c:v>
                </c:pt>
              </c:strCache>
            </c:strRef>
          </c:cat>
          <c:val>
            <c:numRef>
              <c:f>'GRAPHS -Vignettes - ADB non ADB'!$P$11:$T$11</c:f>
              <c:numCache>
                <c:formatCode>0%</c:formatCode>
                <c:ptCount val="5"/>
                <c:pt idx="0">
                  <c:v>0.45753821108799853</c:v>
                </c:pt>
                <c:pt idx="1">
                  <c:v>0.413468992248062</c:v>
                </c:pt>
                <c:pt idx="2">
                  <c:v>0.58261770802487411</c:v>
                </c:pt>
                <c:pt idx="3">
                  <c:v>0.34537444933920702</c:v>
                </c:pt>
                <c:pt idx="4">
                  <c:v>0.2962759630341294</c:v>
                </c:pt>
              </c:numCache>
            </c:numRef>
          </c:val>
          <c:extLst>
            <c:ext xmlns:c16="http://schemas.microsoft.com/office/drawing/2014/chart" uri="{C3380CC4-5D6E-409C-BE32-E72D297353CC}">
              <c16:uniqueId val="{00000013-D79A-4815-B212-4563B7DFA18D}"/>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69201159230096243"/>
          <c:y val="0.10123422371246657"/>
          <c:w val="0.23521194225721781"/>
          <c:h val="0.12517992913361783"/>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826987278148306E-2"/>
          <c:y val="6.9444444444444448E-2"/>
          <c:w val="0.91269992200771377"/>
          <c:h val="0.84731481481481485"/>
        </c:manualLayout>
      </c:layout>
      <c:barChart>
        <c:barDir val="col"/>
        <c:grouping val="clustered"/>
        <c:varyColors val="0"/>
        <c:ser>
          <c:idx val="0"/>
          <c:order val="0"/>
          <c:spPr>
            <a:solidFill>
              <a:srgbClr val="9933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-Vignettes - ADB non ADB'!$AD$5:$AD$13</c:f>
              <c:strCache>
                <c:ptCount val="9"/>
                <c:pt idx="0">
                  <c:v>Badghis</c:v>
                </c:pt>
                <c:pt idx="1">
                  <c:v>Farah</c:v>
                </c:pt>
                <c:pt idx="2">
                  <c:v>Ghor</c:v>
                </c:pt>
                <c:pt idx="3">
                  <c:v>Helmand</c:v>
                </c:pt>
                <c:pt idx="4">
                  <c:v>Herat</c:v>
                </c:pt>
                <c:pt idx="5">
                  <c:v>Kandahar</c:v>
                </c:pt>
                <c:pt idx="6">
                  <c:v>Nimroz</c:v>
                </c:pt>
                <c:pt idx="7">
                  <c:v>Uruzgan</c:v>
                </c:pt>
                <c:pt idx="8">
                  <c:v>Zabul</c:v>
                </c:pt>
              </c:strCache>
            </c:strRef>
          </c:cat>
          <c:val>
            <c:numRef>
              <c:f>'GRAPHS -Vignettes - ADB non ADB'!$AE$5:$AE$13</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5-EE30-4363-B4BB-060A06DE693E}"/>
            </c:ext>
          </c:extLst>
        </c:ser>
        <c:dLbls>
          <c:showLegendKey val="0"/>
          <c:showVal val="0"/>
          <c:showCatName val="0"/>
          <c:showSerName val="0"/>
          <c:showPercent val="0"/>
          <c:showBubbleSize val="0"/>
        </c:dLbls>
        <c:gapWidth val="113"/>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9890128"/>
        <c:crosses val="autoZero"/>
        <c:crossBetween val="between"/>
      </c:valAx>
      <c:spPr>
        <a:noFill/>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612321</xdr:colOff>
      <xdr:row>3</xdr:row>
      <xdr:rowOff>9524</xdr:rowOff>
    </xdr:from>
    <xdr:to>
      <xdr:col>9</xdr:col>
      <xdr:colOff>647246</xdr:colOff>
      <xdr:row>17</xdr:row>
      <xdr:rowOff>171449</xdr:rowOff>
    </xdr:to>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62713</xdr:colOff>
      <xdr:row>2</xdr:row>
      <xdr:rowOff>158157</xdr:rowOff>
    </xdr:from>
    <xdr:to>
      <xdr:col>19</xdr:col>
      <xdr:colOff>228790</xdr:colOff>
      <xdr:row>20</xdr:row>
      <xdr:rowOff>80003</xdr:rowOff>
    </xdr:to>
    <xdr:graphicFrame macro="">
      <xdr:nvGraphicFramePr>
        <xdr:cNvPr id="4" name="Chart 3">
          <a:extLst>
            <a:ext uri="{FF2B5EF4-FFF2-40B4-BE49-F238E27FC236}">
              <a16:creationId xmlns:a16="http://schemas.microsoft.com/office/drawing/2014/main" id="{00000000-0008-0000-1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0</xdr:colOff>
      <xdr:row>3</xdr:row>
      <xdr:rowOff>0</xdr:rowOff>
    </xdr:from>
    <xdr:to>
      <xdr:col>36</xdr:col>
      <xdr:colOff>567104</xdr:colOff>
      <xdr:row>17</xdr:row>
      <xdr:rowOff>7815</xdr:rowOff>
    </xdr:to>
    <xdr:graphicFrame macro="">
      <xdr:nvGraphicFramePr>
        <xdr:cNvPr id="8" name="Chart 7">
          <a:extLst>
            <a:ext uri="{FF2B5EF4-FFF2-40B4-BE49-F238E27FC236}">
              <a16:creationId xmlns:a16="http://schemas.microsoft.com/office/drawing/2014/main" id="{EFA6A8C2-E633-42FD-9B29-A617F6C98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34636</xdr:colOff>
      <xdr:row>25</xdr:row>
      <xdr:rowOff>59747</xdr:rowOff>
    </xdr:from>
    <xdr:to>
      <xdr:col>21</xdr:col>
      <xdr:colOff>0</xdr:colOff>
      <xdr:row>47</xdr:row>
      <xdr:rowOff>103909</xdr:rowOff>
    </xdr:to>
    <xdr:graphicFrame macro="">
      <xdr:nvGraphicFramePr>
        <xdr:cNvPr id="10" name="Chart 9">
          <a:extLst>
            <a:ext uri="{FF2B5EF4-FFF2-40B4-BE49-F238E27FC236}">
              <a16:creationId xmlns:a16="http://schemas.microsoft.com/office/drawing/2014/main" id="{C2CC4F23-6002-42E0-9D74-4BEB588BB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114300</xdr:colOff>
      <xdr:row>52</xdr:row>
      <xdr:rowOff>9525</xdr:rowOff>
    </xdr:from>
    <xdr:to>
      <xdr:col>24</xdr:col>
      <xdr:colOff>313171</xdr:colOff>
      <xdr:row>72</xdr:row>
      <xdr:rowOff>8949</xdr:rowOff>
    </xdr:to>
    <xdr:graphicFrame macro="">
      <xdr:nvGraphicFramePr>
        <xdr:cNvPr id="11" name="Chart 10">
          <a:extLst>
            <a:ext uri="{FF2B5EF4-FFF2-40B4-BE49-F238E27FC236}">
              <a16:creationId xmlns:a16="http://schemas.microsoft.com/office/drawing/2014/main" id="{81EB7954-5F4D-4363-8204-DD4D4B95E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260350</xdr:colOff>
      <xdr:row>22</xdr:row>
      <xdr:rowOff>60325</xdr:rowOff>
    </xdr:from>
    <xdr:to>
      <xdr:col>10</xdr:col>
      <xdr:colOff>309996</xdr:colOff>
      <xdr:row>42</xdr:row>
      <xdr:rowOff>62924</xdr:rowOff>
    </xdr:to>
    <xdr:graphicFrame macro="">
      <xdr:nvGraphicFramePr>
        <xdr:cNvPr id="3" name="Chart 2">
          <a:extLst>
            <a:ext uri="{FF2B5EF4-FFF2-40B4-BE49-F238E27FC236}">
              <a16:creationId xmlns:a16="http://schemas.microsoft.com/office/drawing/2014/main" id="{613D9B09-AF22-484A-A617-14688B591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152400</xdr:colOff>
      <xdr:row>25</xdr:row>
      <xdr:rowOff>38100</xdr:rowOff>
    </xdr:from>
    <xdr:to>
      <xdr:col>37</xdr:col>
      <xdr:colOff>351271</xdr:colOff>
      <xdr:row>45</xdr:row>
      <xdr:rowOff>40699</xdr:rowOff>
    </xdr:to>
    <xdr:graphicFrame macro="">
      <xdr:nvGraphicFramePr>
        <xdr:cNvPr id="5" name="Chart 4">
          <a:extLst>
            <a:ext uri="{FF2B5EF4-FFF2-40B4-BE49-F238E27FC236}">
              <a16:creationId xmlns:a16="http://schemas.microsoft.com/office/drawing/2014/main" id="{68C24E1D-02BC-4736-8D2D-C1B65A25B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125049</xdr:colOff>
      <xdr:row>11</xdr:row>
      <xdr:rowOff>98594</xdr:rowOff>
    </xdr:from>
    <xdr:to>
      <xdr:col>9</xdr:col>
      <xdr:colOff>373055</xdr:colOff>
      <xdr:row>38</xdr:row>
      <xdr:rowOff>31750</xdr:rowOff>
    </xdr:to>
    <xdr:graphicFrame macro="">
      <xdr:nvGraphicFramePr>
        <xdr:cNvPr id="3" name="Chart 2">
          <a:extLst>
            <a:ext uri="{FF2B5EF4-FFF2-40B4-BE49-F238E27FC236}">
              <a16:creationId xmlns:a16="http://schemas.microsoft.com/office/drawing/2014/main" id="{3CA15A6B-C479-5756-A26D-112FC95C2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437736</xdr:colOff>
      <xdr:row>10</xdr:row>
      <xdr:rowOff>54666</xdr:rowOff>
    </xdr:from>
    <xdr:to>
      <xdr:col>20</xdr:col>
      <xdr:colOff>190913</xdr:colOff>
      <xdr:row>29</xdr:row>
      <xdr:rowOff>145773</xdr:rowOff>
    </xdr:to>
    <xdr:graphicFrame macro="">
      <xdr:nvGraphicFramePr>
        <xdr:cNvPr id="3" name="Chart 2">
          <a:extLst>
            <a:ext uri="{FF2B5EF4-FFF2-40B4-BE49-F238E27FC236}">
              <a16:creationId xmlns:a16="http://schemas.microsoft.com/office/drawing/2014/main" id="{E665F752-E264-7FE2-4557-57C5B8D3C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539611</xdr:colOff>
      <xdr:row>13</xdr:row>
      <xdr:rowOff>186359</xdr:rowOff>
    </xdr:from>
    <xdr:to>
      <xdr:col>11</xdr:col>
      <xdr:colOff>108917</xdr:colOff>
      <xdr:row>28</xdr:row>
      <xdr:rowOff>72059</xdr:rowOff>
    </xdr:to>
    <xdr:graphicFrame macro="">
      <xdr:nvGraphicFramePr>
        <xdr:cNvPr id="4" name="Chart 3">
          <a:extLst>
            <a:ext uri="{FF2B5EF4-FFF2-40B4-BE49-F238E27FC236}">
              <a16:creationId xmlns:a16="http://schemas.microsoft.com/office/drawing/2014/main" id="{1DE044FF-866F-10F9-8686-FE5E0F3938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0.06886</cdr:x>
      <cdr:y>0.30061</cdr:y>
    </cdr:from>
    <cdr:to>
      <cdr:x>0.98745</cdr:x>
      <cdr:y>0.41519</cdr:y>
    </cdr:to>
    <cdr:grpSp>
      <cdr:nvGrpSpPr>
        <cdr:cNvPr id="6" name="Group 5">
          <a:extLst xmlns:a="http://schemas.openxmlformats.org/drawingml/2006/main">
            <a:ext uri="{FF2B5EF4-FFF2-40B4-BE49-F238E27FC236}">
              <a16:creationId xmlns:a16="http://schemas.microsoft.com/office/drawing/2014/main" id="{4BBCC597-DFF8-E8C5-A1D1-AAE30D94EE1C}"/>
            </a:ext>
          </a:extLst>
        </cdr:cNvPr>
        <cdr:cNvGrpSpPr/>
      </cdr:nvGrpSpPr>
      <cdr:grpSpPr>
        <a:xfrm xmlns:a="http://schemas.openxmlformats.org/drawingml/2006/main">
          <a:off x="442584" y="796000"/>
          <a:ext cx="5904059" cy="303402"/>
          <a:chOff x="495300" y="1228725"/>
          <a:chExt cx="6448425" cy="314325"/>
        </a:xfrm>
      </cdr:grpSpPr>
      <cdr:cxnSp macro="">
        <cdr:nvCxnSpPr>
          <cdr:cNvPr id="3" name="Straight Connector 2">
            <a:extLst xmlns:a="http://schemas.openxmlformats.org/drawingml/2006/main">
              <a:ext uri="{FF2B5EF4-FFF2-40B4-BE49-F238E27FC236}">
                <a16:creationId xmlns:a16="http://schemas.microsoft.com/office/drawing/2014/main" id="{084D18F9-FDB0-26CC-E1EA-F61404563DCE}"/>
              </a:ext>
            </a:extLst>
          </cdr:cNvPr>
          <cdr:cNvCxnSpPr/>
        </cdr:nvCxnSpPr>
        <cdr:spPr>
          <a:xfrm xmlns:a="http://schemas.openxmlformats.org/drawingml/2006/main">
            <a:off x="495300" y="1543050"/>
            <a:ext cx="6324600" cy="0"/>
          </a:xfrm>
          <a:prstGeom xmlns:a="http://schemas.openxmlformats.org/drawingml/2006/main" prst="line">
            <a:avLst/>
          </a:prstGeom>
          <a:ln xmlns:a="http://schemas.openxmlformats.org/drawingml/2006/main" w="28575">
            <a:solidFill>
              <a:schemeClr val="bg2">
                <a:lumMod val="75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5" name="TextBox 4">
            <a:extLst xmlns:a="http://schemas.openxmlformats.org/drawingml/2006/main">
              <a:ext uri="{FF2B5EF4-FFF2-40B4-BE49-F238E27FC236}">
                <a16:creationId xmlns:a16="http://schemas.microsoft.com/office/drawing/2014/main" id="{DB1D6CF6-4CCC-C2C5-19E1-011AE2928C04}"/>
              </a:ext>
            </a:extLst>
          </cdr:cNvPr>
          <cdr:cNvSpPr txBox="1"/>
        </cdr:nvSpPr>
        <cdr:spPr>
          <a:xfrm xmlns:a="http://schemas.openxmlformats.org/drawingml/2006/main">
            <a:off x="4924651" y="1228725"/>
            <a:ext cx="2019074" cy="3143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nl-NL" sz="1100" b="1" i="1">
                <a:solidFill>
                  <a:schemeClr val="bg1">
                    <a:lumMod val="50000"/>
                  </a:schemeClr>
                </a:solidFill>
              </a:rPr>
              <a:t>National average (56%)</a:t>
            </a:r>
          </a:p>
        </cdr:txBody>
      </cdr:sp>
    </cdr:grpSp>
  </cdr:relSizeAnchor>
</c:userShapes>
</file>

<file path=xl/drawings/drawing5.xml><?xml version="1.0" encoding="utf-8"?>
<xdr:wsDr xmlns:xdr="http://schemas.openxmlformats.org/drawingml/2006/spreadsheetDrawing" xmlns:a="http://schemas.openxmlformats.org/drawingml/2006/main">
  <xdr:twoCellAnchor>
    <xdr:from>
      <xdr:col>0</xdr:col>
      <xdr:colOff>413658</xdr:colOff>
      <xdr:row>29</xdr:row>
      <xdr:rowOff>189138</xdr:rowOff>
    </xdr:from>
    <xdr:to>
      <xdr:col>7</xdr:col>
      <xdr:colOff>625929</xdr:colOff>
      <xdr:row>54</xdr:row>
      <xdr:rowOff>95250</xdr:rowOff>
    </xdr:to>
    <xdr:graphicFrame macro="">
      <xdr:nvGraphicFramePr>
        <xdr:cNvPr id="3" name="Chart 2">
          <a:extLst>
            <a:ext uri="{FF2B5EF4-FFF2-40B4-BE49-F238E27FC236}">
              <a16:creationId xmlns:a16="http://schemas.microsoft.com/office/drawing/2014/main" id="{5C3412ED-0D4C-620A-EE32-042BE1B986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289151</xdr:colOff>
      <xdr:row>12</xdr:row>
      <xdr:rowOff>59872</xdr:rowOff>
    </xdr:from>
    <xdr:to>
      <xdr:col>20</xdr:col>
      <xdr:colOff>322489</xdr:colOff>
      <xdr:row>33</xdr:row>
      <xdr:rowOff>69397</xdr:rowOff>
    </xdr:to>
    <xdr:graphicFrame macro="">
      <xdr:nvGraphicFramePr>
        <xdr:cNvPr id="4" name="Chart 3">
          <a:extLst>
            <a:ext uri="{FF2B5EF4-FFF2-40B4-BE49-F238E27FC236}">
              <a16:creationId xmlns:a16="http://schemas.microsoft.com/office/drawing/2014/main" id="{19DB423C-AF98-BE99-A6E5-594A99CE4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575582</xdr:colOff>
      <xdr:row>15</xdr:row>
      <xdr:rowOff>17688</xdr:rowOff>
    </xdr:from>
    <xdr:to>
      <xdr:col>39</xdr:col>
      <xdr:colOff>561294</xdr:colOff>
      <xdr:row>29</xdr:row>
      <xdr:rowOff>80281</xdr:rowOff>
    </xdr:to>
    <xdr:graphicFrame macro="">
      <xdr:nvGraphicFramePr>
        <xdr:cNvPr id="9" name="Chart 8">
          <a:extLst>
            <a:ext uri="{FF2B5EF4-FFF2-40B4-BE49-F238E27FC236}">
              <a16:creationId xmlns:a16="http://schemas.microsoft.com/office/drawing/2014/main" id="{2C7A6629-17A1-289A-F34F-14CF24D9D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0.06824</cdr:x>
      <cdr:y>0.5134</cdr:y>
    </cdr:from>
    <cdr:to>
      <cdr:x>0.99884</cdr:x>
      <cdr:y>0.63889</cdr:y>
    </cdr:to>
    <cdr:grpSp>
      <cdr:nvGrpSpPr>
        <cdr:cNvPr id="3" name="Group 2">
          <a:extLst xmlns:a="http://schemas.openxmlformats.org/drawingml/2006/main">
            <a:ext uri="{FF2B5EF4-FFF2-40B4-BE49-F238E27FC236}">
              <a16:creationId xmlns:a16="http://schemas.microsoft.com/office/drawing/2014/main" id="{89522F36-85DC-AAB8-7900-A2FCD7E0B3AC}"/>
            </a:ext>
          </a:extLst>
        </cdr:cNvPr>
        <cdr:cNvGrpSpPr/>
      </cdr:nvGrpSpPr>
      <cdr:grpSpPr>
        <a:xfrm xmlns:a="http://schemas.openxmlformats.org/drawingml/2006/main">
          <a:off x="560613" y="1407893"/>
          <a:ext cx="7645169" cy="344131"/>
          <a:chOff x="561836" y="1435198"/>
          <a:chExt cx="7661860" cy="350815"/>
        </a:xfrm>
      </cdr:grpSpPr>
      <cdr:cxnSp macro="">
        <cdr:nvCxnSpPr>
          <cdr:cNvPr id="4" name="Straight Connector 2">
            <a:extLst xmlns:a="http://schemas.openxmlformats.org/drawingml/2006/main">
              <a:ext uri="{FF2B5EF4-FFF2-40B4-BE49-F238E27FC236}">
                <a16:creationId xmlns:a16="http://schemas.microsoft.com/office/drawing/2014/main" id="{084D18F9-FDB0-26CC-E1EA-F61404563DCE}"/>
              </a:ext>
            </a:extLst>
          </cdr:cNvPr>
          <cdr:cNvCxnSpPr/>
        </cdr:nvCxnSpPr>
        <cdr:spPr>
          <a:xfrm xmlns:a="http://schemas.openxmlformats.org/drawingml/2006/main">
            <a:off x="561836" y="1786013"/>
            <a:ext cx="7417757" cy="0"/>
          </a:xfrm>
          <a:prstGeom xmlns:a="http://schemas.openxmlformats.org/drawingml/2006/main" prst="line">
            <a:avLst/>
          </a:prstGeom>
          <a:ln xmlns:a="http://schemas.openxmlformats.org/drawingml/2006/main" w="28575">
            <a:solidFill>
              <a:schemeClr val="bg2">
                <a:lumMod val="75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7" name="TextBox 4">
            <a:extLst xmlns:a="http://schemas.openxmlformats.org/drawingml/2006/main">
              <a:ext uri="{FF2B5EF4-FFF2-40B4-BE49-F238E27FC236}">
                <a16:creationId xmlns:a16="http://schemas.microsoft.com/office/drawing/2014/main" id="{DB1D6CF6-4CCC-C2C5-19E1-011AE2928C04}"/>
              </a:ext>
            </a:extLst>
          </cdr:cNvPr>
          <cdr:cNvSpPr txBox="1"/>
        </cdr:nvSpPr>
        <cdr:spPr>
          <a:xfrm xmlns:a="http://schemas.openxmlformats.org/drawingml/2006/main">
            <a:off x="6346914" y="1435198"/>
            <a:ext cx="1876782" cy="3203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nl-NL" sz="1100" b="1" i="1">
                <a:solidFill>
                  <a:schemeClr val="bg1">
                    <a:lumMod val="50000"/>
                  </a:schemeClr>
                </a:solidFill>
              </a:rPr>
              <a:t>National average (44%)</a:t>
            </a:r>
          </a:p>
        </cdr:txBody>
      </cdr:sp>
    </cdr:grpSp>
  </cdr:relSizeAnchor>
</c:userShapes>
</file>

<file path=xl/persons/person.xml><?xml version="1.0" encoding="utf-8"?>
<personList xmlns="http://schemas.microsoft.com/office/spreadsheetml/2018/threadedcomments" xmlns:x="http://schemas.openxmlformats.org/spreadsheetml/2006/main">
  <person displayName="Gurp, Margo van" id="{206526A6-84D6-4475-9425-09880F64CEDF}" userId="Gurp, Margo van"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 personId="{206526A6-84D6-4475-9425-09880F64CEDF}" id="{B568D857-CB4B-4720-9ED6-7332AC70C744}">
    <text>This will only include BHC, CHC and DH</text>
  </threadedComment>
</ThreadedComments>
</file>

<file path=xl/threadedComments/threadedComment2.xml><?xml version="1.0" encoding="utf-8"?>
<ThreadedComments xmlns="http://schemas.microsoft.com/office/spreadsheetml/2018/threadedcomments" xmlns:x="http://schemas.openxmlformats.org/spreadsheetml/2006/main">
  <threadedComment ref="C1" personId="{206526A6-84D6-4475-9425-09880F64CEDF}" id="{5EB61FD6-BB44-46A4-907B-3F0F70C80F2E}">
    <text>This will only include BHC, CHC and DH</text>
  </threadedComment>
</ThreadedComments>
</file>

<file path=xl/threadedComments/threadedComment3.xml><?xml version="1.0" encoding="utf-8"?>
<ThreadedComments xmlns="http://schemas.microsoft.com/office/spreadsheetml/2018/threadedcomments" xmlns:x="http://schemas.openxmlformats.org/spreadsheetml/2006/main">
  <threadedComment ref="B3" personId="{206526A6-84D6-4475-9425-09880F64CEDF}" id="{EF744DDA-AF1B-4D4D-A8EF-F1EAAA1C6143}">
    <text>Includes data from all facility types</text>
  </threadedComment>
</ThreadedComments>
</file>

<file path=xl/threadedComments/threadedComment4.xml><?xml version="1.0" encoding="utf-8"?>
<ThreadedComments xmlns="http://schemas.microsoft.com/office/spreadsheetml/2018/threadedcomments" xmlns:x="http://schemas.openxmlformats.org/spreadsheetml/2006/main">
  <threadedComment ref="T3" personId="{206526A6-84D6-4475-9425-09880F64CEDF}" id="{D76F5AB1-CC6E-4B3A-A556-751600068120}">
    <text>Scores &lt;0 are possible for this domain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 Id="rId4" Type="http://schemas.microsoft.com/office/2017/10/relationships/threadedComment" Target="../threadedComments/threadedComment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5.bin"/><Relationship Id="rId4" Type="http://schemas.microsoft.com/office/2017/10/relationships/threadedComment" Target="../threadedComments/threadedComment4.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4"/>
  <sheetViews>
    <sheetView workbookViewId="0">
      <selection activeCell="B26" sqref="B26"/>
    </sheetView>
  </sheetViews>
  <sheetFormatPr defaultColWidth="8.83203125" defaultRowHeight="15.5" x14ac:dyDescent="0.35"/>
  <cols>
    <col min="1" max="1" width="37.33203125" bestFit="1" customWidth="1"/>
    <col min="2" max="2" width="178.58203125" bestFit="1" customWidth="1"/>
  </cols>
  <sheetData>
    <row r="2" spans="1:2" ht="21" x14ac:dyDescent="0.5">
      <c r="A2" s="214" t="s">
        <v>0</v>
      </c>
      <c r="B2" s="214" t="s">
        <v>1</v>
      </c>
    </row>
    <row r="3" spans="1:2" x14ac:dyDescent="0.35">
      <c r="A3" s="215" t="s">
        <v>2</v>
      </c>
      <c r="B3" s="216" t="s">
        <v>3</v>
      </c>
    </row>
    <row r="4" spans="1:2" x14ac:dyDescent="0.35">
      <c r="A4" s="272" t="s">
        <v>4</v>
      </c>
      <c r="B4" s="274" t="s">
        <v>3168</v>
      </c>
    </row>
    <row r="5" spans="1:2" x14ac:dyDescent="0.35">
      <c r="A5" s="272" t="s">
        <v>5</v>
      </c>
      <c r="B5" s="274" t="s">
        <v>3167</v>
      </c>
    </row>
    <row r="6" spans="1:2" x14ac:dyDescent="0.35">
      <c r="A6" s="272" t="s">
        <v>6</v>
      </c>
      <c r="B6" s="274" t="s">
        <v>3166</v>
      </c>
    </row>
    <row r="7" spans="1:2" x14ac:dyDescent="0.35">
      <c r="A7" s="272" t="s">
        <v>7</v>
      </c>
      <c r="B7" s="274" t="s">
        <v>3165</v>
      </c>
    </row>
    <row r="8" spans="1:2" x14ac:dyDescent="0.35">
      <c r="A8" s="272" t="s">
        <v>8</v>
      </c>
      <c r="B8" s="274" t="s">
        <v>3164</v>
      </c>
    </row>
    <row r="9" spans="1:2" x14ac:dyDescent="0.35">
      <c r="A9" s="272" t="s">
        <v>9</v>
      </c>
      <c r="B9" s="273" t="s">
        <v>3162</v>
      </c>
    </row>
    <row r="10" spans="1:2" x14ac:dyDescent="0.35">
      <c r="A10" s="272" t="s">
        <v>10</v>
      </c>
      <c r="B10" s="273" t="s">
        <v>3163</v>
      </c>
    </row>
    <row r="11" spans="1:2" x14ac:dyDescent="0.35">
      <c r="A11" s="276" t="s">
        <v>11</v>
      </c>
      <c r="B11" s="277" t="s">
        <v>3160</v>
      </c>
    </row>
    <row r="12" spans="1:2" x14ac:dyDescent="0.35">
      <c r="A12" s="276" t="s">
        <v>12</v>
      </c>
      <c r="B12" s="277" t="s">
        <v>3161</v>
      </c>
    </row>
    <row r="13" spans="1:2" x14ac:dyDescent="0.35">
      <c r="A13" s="356" t="s">
        <v>3169</v>
      </c>
      <c r="B13" s="275" t="s">
        <v>3158</v>
      </c>
    </row>
    <row r="14" spans="1:2" x14ac:dyDescent="0.35">
      <c r="A14" s="357" t="s">
        <v>3170</v>
      </c>
      <c r="B14" s="275" t="s">
        <v>3159</v>
      </c>
    </row>
  </sheetData>
  <hyperlinks>
    <hyperlink ref="A3" location="'Indicator list'!A1" display="Indicator list-QQC structural" xr:uid="{00000000-0004-0000-0000-000000000000}"/>
    <hyperlink ref="A4" location="'1-QQM_SUMMARY_SHEET'!A1" display="1-QQM_SUMMARY_SHEET" xr:uid="{00000000-0004-0000-0000-000003000000}"/>
    <hyperlink ref="A6" location="'Annex 1a - Structural_PROV'!A1" display="Annex 1a - QQC_Structural_PROV" xr:uid="{00000000-0004-0000-0000-000004000000}"/>
    <hyperlink ref="A7" location="'Annex1b-Structural_FAC'!A1" display="Annex1b-QQC_Structural_FAC" xr:uid="{00000000-0004-0000-0000-000005000000}"/>
    <hyperlink ref="A9" location="'Annex2a-QQM_EXIT&amp;VIGNETTES_PROV'!A1" display="Annex2a-QQM_EXIT&amp;VIGNETTES_PROV" xr:uid="{00000000-0004-0000-0000-000006000000}"/>
    <hyperlink ref="A10" location="'Annex 2b-QQC_EXIT&amp;VIGNETTES_FAC'!A1" display="Annex 2b-QQC_EXIT&amp;VIGNETTES_FAC" xr:uid="{00000000-0004-0000-0000-000007000000}"/>
    <hyperlink ref="A11" location="'Annex 3a-HEALTHWORKFORCE - PROV'!A1" display="Annex 3a-HEALTH WORKERS - PROV" xr:uid="{00000000-0004-0000-0000-000008000000}"/>
    <hyperlink ref="A12" location="'Annex 3b-HEALTHWORKFORCE - FAC'!A1" display="Annex 3b-HEALTH WORKERS - FAC" xr:uid="{00000000-0004-0000-0000-000009000000}"/>
    <hyperlink ref="A8" location="'Annex1c-QQC_Tracerdrugs_PROV'!A1" display="Annex1c-QQC_Tracerdrugs_PROV" xr:uid="{7904E1E9-CE7A-472A-9C60-CA6487795DA3}"/>
    <hyperlink ref="A5" location="'2-QQM_BY ROUND'!A1" display="2-QQM_BY ROUND" xr:uid="{2B1D2A67-AE55-4788-9EB6-788FC53D5359}"/>
    <hyperlink ref="A14" location="'Annex 4b-MSS - FAC'!A1" display="'Annex 4b-MSS - FAC'!A1" xr:uid="{4FEC4BDB-8D06-4426-B12A-4AF76CEEAD15}"/>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FE0D8-0696-446C-AE56-9C9FE50575C9}">
  <sheetPr>
    <tabColor theme="7" tint="0.39997558519241921"/>
  </sheetPr>
  <dimension ref="A1:XCV300"/>
  <sheetViews>
    <sheetView zoomScaleNormal="100" workbookViewId="0">
      <selection activeCell="D146" sqref="D146:D153"/>
    </sheetView>
  </sheetViews>
  <sheetFormatPr defaultColWidth="9" defaultRowHeight="13.5" x14ac:dyDescent="0.35"/>
  <cols>
    <col min="1" max="1" width="12.08203125" style="206" customWidth="1"/>
    <col min="2" max="2" width="64.5" style="207" bestFit="1" customWidth="1"/>
    <col min="3" max="3" width="94.5" style="207" hidden="1" customWidth="1"/>
    <col min="4" max="4" width="14.83203125" style="206" customWidth="1"/>
    <col min="5" max="5" width="35.5" style="212" customWidth="1"/>
    <col min="6" max="6" width="35.5" style="174" customWidth="1"/>
    <col min="7" max="16384" width="9" style="174"/>
  </cols>
  <sheetData>
    <row r="1" spans="1:5" ht="47.25" customHeight="1" x14ac:dyDescent="0.35">
      <c r="A1" s="366" t="s">
        <v>13</v>
      </c>
      <c r="B1" s="367"/>
      <c r="C1" s="367"/>
      <c r="D1" s="367"/>
      <c r="E1" s="368"/>
    </row>
    <row r="2" spans="1:5" s="138" customFormat="1" ht="30" x14ac:dyDescent="0.35">
      <c r="A2" s="203" t="s">
        <v>14</v>
      </c>
      <c r="B2" s="204" t="s">
        <v>15</v>
      </c>
      <c r="C2" s="203" t="s">
        <v>16</v>
      </c>
      <c r="D2" s="203" t="s">
        <v>17</v>
      </c>
      <c r="E2" s="205" t="s">
        <v>18</v>
      </c>
    </row>
    <row r="3" spans="1:5" ht="30" customHeight="1" x14ac:dyDescent="0.35">
      <c r="A3" s="232" t="s">
        <v>19</v>
      </c>
      <c r="B3" s="232"/>
      <c r="C3" s="233"/>
      <c r="D3" s="234"/>
      <c r="E3" s="235"/>
    </row>
    <row r="4" spans="1:5" ht="54" x14ac:dyDescent="0.35">
      <c r="A4" s="206" t="s">
        <v>20</v>
      </c>
      <c r="B4" s="207" t="s">
        <v>21</v>
      </c>
      <c r="C4" s="207" t="s">
        <v>22</v>
      </c>
      <c r="D4" s="206">
        <v>0.5</v>
      </c>
      <c r="E4" s="206" t="s">
        <v>23</v>
      </c>
    </row>
    <row r="5" spans="1:5" ht="27" x14ac:dyDescent="0.35">
      <c r="A5" s="360" t="s">
        <v>24</v>
      </c>
      <c r="B5" s="361" t="s">
        <v>25</v>
      </c>
      <c r="C5" s="207" t="s">
        <v>26</v>
      </c>
      <c r="D5" s="206">
        <v>0.5</v>
      </c>
      <c r="E5" s="206" t="s">
        <v>23</v>
      </c>
    </row>
    <row r="6" spans="1:5" x14ac:dyDescent="0.35">
      <c r="A6" s="360"/>
      <c r="B6" s="361"/>
      <c r="C6" s="207" t="s">
        <v>27</v>
      </c>
      <c r="D6" s="206">
        <v>0.5</v>
      </c>
      <c r="E6" s="206" t="s">
        <v>23</v>
      </c>
    </row>
    <row r="7" spans="1:5" ht="27" x14ac:dyDescent="0.35">
      <c r="A7" s="360"/>
      <c r="B7" s="361"/>
      <c r="C7" s="207" t="s">
        <v>28</v>
      </c>
      <c r="D7" s="206">
        <v>0.5</v>
      </c>
      <c r="E7" s="206" t="s">
        <v>23</v>
      </c>
    </row>
    <row r="8" spans="1:5" x14ac:dyDescent="0.35">
      <c r="A8" s="360"/>
      <c r="B8" s="361"/>
      <c r="C8" s="207" t="s">
        <v>29</v>
      </c>
      <c r="D8" s="206">
        <v>0.5</v>
      </c>
      <c r="E8" s="206" t="s">
        <v>23</v>
      </c>
    </row>
    <row r="9" spans="1:5" ht="27" x14ac:dyDescent="0.35">
      <c r="A9" s="360"/>
      <c r="B9" s="361"/>
      <c r="C9" s="207" t="s">
        <v>30</v>
      </c>
      <c r="D9" s="206">
        <v>0.5</v>
      </c>
      <c r="E9" s="206" t="s">
        <v>23</v>
      </c>
    </row>
    <row r="10" spans="1:5" ht="40.5" x14ac:dyDescent="0.35">
      <c r="A10" s="206" t="s">
        <v>31</v>
      </c>
      <c r="B10" s="207" t="s">
        <v>32</v>
      </c>
      <c r="C10" s="207" t="s">
        <v>33</v>
      </c>
      <c r="D10" s="206">
        <v>1</v>
      </c>
      <c r="E10" s="206" t="s">
        <v>23</v>
      </c>
    </row>
    <row r="11" spans="1:5" ht="94.5" x14ac:dyDescent="0.35">
      <c r="A11" s="206" t="s">
        <v>34</v>
      </c>
      <c r="B11" s="207" t="s">
        <v>35</v>
      </c>
      <c r="C11" s="207" t="s">
        <v>36</v>
      </c>
      <c r="D11" s="206">
        <v>4</v>
      </c>
      <c r="E11" s="206" t="s">
        <v>23</v>
      </c>
    </row>
    <row r="12" spans="1:5" x14ac:dyDescent="0.35">
      <c r="A12" s="206" t="s">
        <v>37</v>
      </c>
      <c r="B12" s="207" t="s">
        <v>38</v>
      </c>
      <c r="C12" s="207" t="s">
        <v>39</v>
      </c>
      <c r="D12" s="206">
        <v>1</v>
      </c>
      <c r="E12" s="206" t="s">
        <v>23</v>
      </c>
    </row>
    <row r="13" spans="1:5" ht="54" x14ac:dyDescent="0.35">
      <c r="A13" s="206" t="s">
        <v>40</v>
      </c>
      <c r="B13" s="207" t="s">
        <v>41</v>
      </c>
      <c r="C13" s="207" t="s">
        <v>42</v>
      </c>
      <c r="D13" s="206">
        <v>1</v>
      </c>
      <c r="E13" s="206" t="s">
        <v>23</v>
      </c>
    </row>
    <row r="14" spans="1:5" ht="27" x14ac:dyDescent="0.35">
      <c r="A14" s="206" t="s">
        <v>43</v>
      </c>
      <c r="B14" s="207" t="s">
        <v>44</v>
      </c>
      <c r="C14" s="207" t="s">
        <v>45</v>
      </c>
      <c r="D14" s="206">
        <v>1</v>
      </c>
      <c r="E14" s="206" t="s">
        <v>23</v>
      </c>
    </row>
    <row r="15" spans="1:5" ht="67.5" x14ac:dyDescent="0.35">
      <c r="A15" s="206" t="s">
        <v>46</v>
      </c>
      <c r="B15" s="207" t="s">
        <v>47</v>
      </c>
      <c r="C15" s="207" t="s">
        <v>48</v>
      </c>
      <c r="D15" s="206">
        <v>1</v>
      </c>
      <c r="E15" s="206" t="s">
        <v>23</v>
      </c>
    </row>
    <row r="16" spans="1:5" ht="54" x14ac:dyDescent="0.35">
      <c r="A16" s="206" t="s">
        <v>49</v>
      </c>
      <c r="B16" s="207" t="s">
        <v>50</v>
      </c>
      <c r="C16" s="207" t="s">
        <v>51</v>
      </c>
      <c r="D16" s="206">
        <v>2</v>
      </c>
      <c r="E16" s="206" t="s">
        <v>23</v>
      </c>
    </row>
    <row r="17" spans="1:5" ht="30" customHeight="1" x14ac:dyDescent="0.35">
      <c r="A17" s="232" t="s">
        <v>52</v>
      </c>
      <c r="B17" s="232"/>
      <c r="C17" s="233"/>
      <c r="D17" s="234"/>
      <c r="E17" s="235"/>
    </row>
    <row r="18" spans="1:5" ht="27" x14ac:dyDescent="0.35">
      <c r="A18" s="206" t="s">
        <v>53</v>
      </c>
      <c r="B18" s="207" t="s">
        <v>54</v>
      </c>
      <c r="C18" s="207" t="s">
        <v>55</v>
      </c>
      <c r="D18" s="206">
        <v>1</v>
      </c>
      <c r="E18" s="206" t="s">
        <v>23</v>
      </c>
    </row>
    <row r="19" spans="1:5" ht="27" x14ac:dyDescent="0.35">
      <c r="A19" s="206" t="s">
        <v>56</v>
      </c>
      <c r="B19" s="207" t="s">
        <v>57</v>
      </c>
      <c r="C19" s="207" t="s">
        <v>58</v>
      </c>
      <c r="D19" s="206">
        <v>1</v>
      </c>
      <c r="E19" s="206" t="s">
        <v>23</v>
      </c>
    </row>
    <row r="20" spans="1:5" ht="40.5" x14ac:dyDescent="0.35">
      <c r="A20" s="360" t="s">
        <v>59</v>
      </c>
      <c r="B20" s="361" t="s">
        <v>60</v>
      </c>
      <c r="C20" s="207" t="s">
        <v>61</v>
      </c>
      <c r="D20" s="206">
        <v>1</v>
      </c>
      <c r="E20" s="206" t="s">
        <v>23</v>
      </c>
    </row>
    <row r="21" spans="1:5" x14ac:dyDescent="0.35">
      <c r="A21" s="360"/>
      <c r="B21" s="361"/>
      <c r="C21" s="207" t="s">
        <v>62</v>
      </c>
      <c r="D21" s="206">
        <v>0.5</v>
      </c>
      <c r="E21" s="206" t="s">
        <v>23</v>
      </c>
    </row>
    <row r="22" spans="1:5" x14ac:dyDescent="0.35">
      <c r="A22" s="360"/>
      <c r="B22" s="361"/>
      <c r="C22" s="207" t="s">
        <v>63</v>
      </c>
      <c r="D22" s="206">
        <v>0.5</v>
      </c>
      <c r="E22" s="206" t="s">
        <v>23</v>
      </c>
    </row>
    <row r="23" spans="1:5" ht="27" x14ac:dyDescent="0.35">
      <c r="A23" s="360"/>
      <c r="B23" s="361"/>
      <c r="C23" s="207" t="s">
        <v>64</v>
      </c>
      <c r="D23" s="206">
        <v>0.5</v>
      </c>
      <c r="E23" s="206" t="s">
        <v>23</v>
      </c>
    </row>
    <row r="24" spans="1:5" ht="40.5" x14ac:dyDescent="0.35">
      <c r="A24" s="360"/>
      <c r="B24" s="361"/>
      <c r="C24" s="207" t="s">
        <v>65</v>
      </c>
      <c r="D24" s="206">
        <v>0.5</v>
      </c>
      <c r="E24" s="206" t="s">
        <v>23</v>
      </c>
    </row>
    <row r="25" spans="1:5" ht="40.5" x14ac:dyDescent="0.35">
      <c r="A25" s="360" t="s">
        <v>66</v>
      </c>
      <c r="B25" s="361" t="s">
        <v>67</v>
      </c>
      <c r="C25" s="207" t="s">
        <v>68</v>
      </c>
      <c r="D25" s="206">
        <v>1</v>
      </c>
      <c r="E25" s="206" t="s">
        <v>23</v>
      </c>
    </row>
    <row r="26" spans="1:5" x14ac:dyDescent="0.35">
      <c r="A26" s="360"/>
      <c r="B26" s="361"/>
      <c r="C26" s="207" t="s">
        <v>69</v>
      </c>
      <c r="D26" s="206">
        <v>0.5</v>
      </c>
      <c r="E26" s="206" t="s">
        <v>23</v>
      </c>
    </row>
    <row r="27" spans="1:5" x14ac:dyDescent="0.35">
      <c r="A27" s="360"/>
      <c r="B27" s="361"/>
      <c r="C27" s="207" t="s">
        <v>70</v>
      </c>
      <c r="D27" s="206">
        <v>0.5</v>
      </c>
      <c r="E27" s="206" t="s">
        <v>23</v>
      </c>
    </row>
    <row r="28" spans="1:5" ht="27" x14ac:dyDescent="0.35">
      <c r="A28" s="360" t="s">
        <v>71</v>
      </c>
      <c r="B28" s="361" t="s">
        <v>72</v>
      </c>
      <c r="C28" s="207" t="s">
        <v>73</v>
      </c>
      <c r="D28" s="206">
        <v>12</v>
      </c>
      <c r="E28" s="206" t="s">
        <v>23</v>
      </c>
    </row>
    <row r="29" spans="1:5" ht="40.5" x14ac:dyDescent="0.35">
      <c r="A29" s="360"/>
      <c r="B29" s="361"/>
      <c r="C29" s="207" t="s">
        <v>74</v>
      </c>
      <c r="E29" s="206" t="s">
        <v>23</v>
      </c>
    </row>
    <row r="30" spans="1:5" x14ac:dyDescent="0.35">
      <c r="A30" s="360"/>
      <c r="B30" s="361"/>
      <c r="C30" s="207" t="s">
        <v>75</v>
      </c>
      <c r="E30" s="206" t="s">
        <v>23</v>
      </c>
    </row>
    <row r="31" spans="1:5" ht="27" x14ac:dyDescent="0.35">
      <c r="A31" s="360"/>
      <c r="B31" s="361"/>
      <c r="C31" s="207" t="s">
        <v>76</v>
      </c>
      <c r="E31" s="206" t="s">
        <v>23</v>
      </c>
    </row>
    <row r="32" spans="1:5" x14ac:dyDescent="0.35">
      <c r="A32" s="206" t="s">
        <v>77</v>
      </c>
      <c r="B32" s="207" t="s">
        <v>78</v>
      </c>
      <c r="D32" s="206">
        <v>1</v>
      </c>
      <c r="E32" s="206" t="s">
        <v>23</v>
      </c>
    </row>
    <row r="33" spans="1:16324" x14ac:dyDescent="0.35">
      <c r="A33" s="360" t="s">
        <v>79</v>
      </c>
      <c r="B33" s="361" t="s">
        <v>80</v>
      </c>
      <c r="C33" s="207" t="s">
        <v>81</v>
      </c>
      <c r="D33" s="206">
        <v>3</v>
      </c>
      <c r="E33" s="206" t="s">
        <v>23</v>
      </c>
    </row>
    <row r="34" spans="1:16324" ht="54" x14ac:dyDescent="0.35">
      <c r="A34" s="360"/>
      <c r="B34" s="361"/>
      <c r="C34" s="207" t="s">
        <v>82</v>
      </c>
      <c r="E34" s="206" t="s">
        <v>23</v>
      </c>
    </row>
    <row r="35" spans="1:16324" ht="27" x14ac:dyDescent="0.35">
      <c r="A35" s="360" t="s">
        <v>83</v>
      </c>
      <c r="B35" s="361" t="s">
        <v>84</v>
      </c>
      <c r="C35" s="207" t="s">
        <v>85</v>
      </c>
      <c r="D35" s="206">
        <v>2</v>
      </c>
      <c r="E35" s="206" t="s">
        <v>23</v>
      </c>
    </row>
    <row r="36" spans="1:16324" x14ac:dyDescent="0.35">
      <c r="A36" s="360"/>
      <c r="B36" s="361"/>
      <c r="C36" s="207" t="s">
        <v>86</v>
      </c>
      <c r="E36" s="206" t="s">
        <v>23</v>
      </c>
    </row>
    <row r="37" spans="1:16324" x14ac:dyDescent="0.35">
      <c r="A37" s="360"/>
      <c r="B37" s="361"/>
      <c r="C37" s="207" t="s">
        <v>87</v>
      </c>
      <c r="E37" s="206" t="s">
        <v>23</v>
      </c>
    </row>
    <row r="38" spans="1:16324" x14ac:dyDescent="0.35">
      <c r="A38" s="360"/>
      <c r="B38" s="361"/>
      <c r="C38" s="207" t="s">
        <v>88</v>
      </c>
      <c r="E38" s="206" t="s">
        <v>23</v>
      </c>
    </row>
    <row r="39" spans="1:16324" ht="175.5" x14ac:dyDescent="0.35">
      <c r="A39" s="206" t="s">
        <v>89</v>
      </c>
      <c r="B39" s="207" t="s">
        <v>90</v>
      </c>
      <c r="C39" s="207" t="s">
        <v>91</v>
      </c>
      <c r="D39" s="206">
        <v>6</v>
      </c>
      <c r="E39" s="206" t="s">
        <v>23</v>
      </c>
    </row>
    <row r="40" spans="1:16324" ht="67.5" x14ac:dyDescent="0.35">
      <c r="A40" s="206" t="s">
        <v>53</v>
      </c>
      <c r="B40" s="207" t="s">
        <v>92</v>
      </c>
      <c r="C40" s="207" t="s">
        <v>93</v>
      </c>
      <c r="D40" s="206">
        <v>3</v>
      </c>
      <c r="E40" s="206" t="s">
        <v>23</v>
      </c>
    </row>
    <row r="41" spans="1:16324" ht="30" customHeight="1" x14ac:dyDescent="0.35">
      <c r="A41" s="232" t="s">
        <v>94</v>
      </c>
      <c r="B41" s="232"/>
      <c r="C41" s="233"/>
      <c r="D41" s="234"/>
      <c r="E41" s="235"/>
    </row>
    <row r="42" spans="1:16324" ht="27" x14ac:dyDescent="0.35">
      <c r="A42" s="206" t="s">
        <v>95</v>
      </c>
      <c r="B42" s="207" t="s">
        <v>96</v>
      </c>
      <c r="C42" s="207" t="s">
        <v>97</v>
      </c>
      <c r="D42" s="206">
        <v>1</v>
      </c>
      <c r="E42" s="206" t="s">
        <v>23</v>
      </c>
    </row>
    <row r="43" spans="1:16324" ht="27" x14ac:dyDescent="0.35">
      <c r="A43" s="206" t="s">
        <v>98</v>
      </c>
      <c r="B43" s="207" t="s">
        <v>99</v>
      </c>
      <c r="C43" s="207" t="s">
        <v>100</v>
      </c>
      <c r="D43" s="206">
        <v>1</v>
      </c>
      <c r="E43" s="206" t="s">
        <v>23</v>
      </c>
    </row>
    <row r="44" spans="1:16324" x14ac:dyDescent="0.35">
      <c r="A44" s="206" t="s">
        <v>101</v>
      </c>
      <c r="B44" s="207" t="s">
        <v>102</v>
      </c>
      <c r="C44" s="207" t="s">
        <v>103</v>
      </c>
      <c r="D44" s="206">
        <v>1</v>
      </c>
      <c r="E44" s="206" t="s">
        <v>23</v>
      </c>
    </row>
    <row r="45" spans="1:16324" ht="108" x14ac:dyDescent="0.35">
      <c r="A45" s="360" t="s">
        <v>104</v>
      </c>
      <c r="B45" s="361" t="s">
        <v>105</v>
      </c>
      <c r="C45" s="207" t="s">
        <v>106</v>
      </c>
      <c r="D45" s="206">
        <v>5</v>
      </c>
      <c r="E45" s="206" t="s">
        <v>23</v>
      </c>
    </row>
    <row r="46" spans="1:16324" s="140" customFormat="1" ht="27" x14ac:dyDescent="0.35">
      <c r="A46" s="360"/>
      <c r="B46" s="361"/>
      <c r="C46" s="208" t="s">
        <v>107</v>
      </c>
      <c r="D46" s="206">
        <v>1</v>
      </c>
      <c r="E46" s="206" t="s">
        <v>23</v>
      </c>
      <c r="F46" s="139"/>
      <c r="G46" s="365"/>
      <c r="H46" s="365"/>
      <c r="I46" s="365"/>
      <c r="J46" s="365"/>
      <c r="K46" s="365"/>
      <c r="L46" s="365"/>
      <c r="M46" s="365"/>
      <c r="N46" s="365"/>
      <c r="O46" s="365"/>
      <c r="P46" s="365"/>
      <c r="Q46" s="365"/>
      <c r="R46" s="365"/>
      <c r="S46" s="365"/>
      <c r="T46" s="365"/>
      <c r="U46" s="365"/>
      <c r="V46" s="365"/>
      <c r="W46" s="365"/>
      <c r="X46" s="365"/>
      <c r="Y46" s="365"/>
      <c r="Z46" s="365"/>
      <c r="AA46" s="365"/>
      <c r="AB46" s="365"/>
      <c r="AC46" s="365"/>
      <c r="AD46" s="365"/>
      <c r="AE46" s="365"/>
      <c r="AF46" s="365"/>
      <c r="AG46" s="365"/>
      <c r="AH46" s="365"/>
      <c r="AI46" s="365"/>
      <c r="AJ46" s="365"/>
      <c r="AK46" s="365"/>
      <c r="AL46" s="365"/>
      <c r="AM46" s="365"/>
      <c r="AN46" s="365"/>
      <c r="AO46" s="365"/>
      <c r="AP46" s="365"/>
      <c r="AQ46" s="365"/>
      <c r="AR46" s="365"/>
      <c r="AS46" s="365"/>
      <c r="AT46" s="365"/>
      <c r="AU46" s="365"/>
      <c r="AV46" s="365"/>
      <c r="AW46" s="365"/>
      <c r="AX46" s="365"/>
      <c r="AY46" s="365"/>
      <c r="AZ46" s="365"/>
      <c r="BA46" s="365"/>
      <c r="BB46" s="365"/>
      <c r="BC46" s="365"/>
      <c r="BD46" s="365"/>
      <c r="BE46" s="365"/>
      <c r="BF46" s="365"/>
      <c r="BG46" s="365"/>
      <c r="BH46" s="365"/>
      <c r="BI46" s="365"/>
      <c r="BJ46" s="365"/>
      <c r="BK46" s="365"/>
      <c r="BL46" s="365"/>
      <c r="BM46" s="365"/>
      <c r="BN46" s="365"/>
      <c r="BO46" s="365"/>
      <c r="BP46" s="365"/>
      <c r="BQ46" s="365"/>
      <c r="BR46" s="365"/>
      <c r="BS46" s="365"/>
      <c r="BT46" s="365"/>
      <c r="BU46" s="365"/>
      <c r="BV46" s="365"/>
      <c r="BW46" s="365"/>
      <c r="BX46" s="365"/>
      <c r="BY46" s="365"/>
      <c r="BZ46" s="365"/>
      <c r="CA46" s="365"/>
      <c r="CB46" s="365"/>
      <c r="CC46" s="365"/>
      <c r="CD46" s="365"/>
      <c r="CE46" s="365"/>
      <c r="CF46" s="365"/>
      <c r="CG46" s="365"/>
      <c r="CH46" s="365"/>
      <c r="CI46" s="365"/>
      <c r="CJ46" s="365"/>
      <c r="CK46" s="365"/>
      <c r="CL46" s="365"/>
      <c r="CM46" s="365"/>
      <c r="CN46" s="365"/>
      <c r="CO46" s="365"/>
      <c r="CP46" s="365"/>
      <c r="CQ46" s="365"/>
      <c r="CR46" s="365"/>
      <c r="CS46" s="365"/>
      <c r="CT46" s="365"/>
      <c r="CU46" s="365"/>
      <c r="CV46" s="365"/>
      <c r="CW46" s="365"/>
      <c r="CX46" s="365"/>
      <c r="CY46" s="365"/>
      <c r="CZ46" s="365"/>
      <c r="DA46" s="365"/>
      <c r="DB46" s="365"/>
      <c r="DC46" s="365"/>
      <c r="DD46" s="365"/>
      <c r="DE46" s="365"/>
      <c r="DF46" s="365"/>
      <c r="DG46" s="365"/>
      <c r="DH46" s="365"/>
      <c r="DI46" s="365"/>
      <c r="DJ46" s="365"/>
      <c r="DK46" s="365"/>
      <c r="DL46" s="365"/>
      <c r="DM46" s="365"/>
      <c r="DN46" s="365"/>
      <c r="DO46" s="365"/>
      <c r="DP46" s="365"/>
      <c r="DQ46" s="365"/>
      <c r="DR46" s="365"/>
      <c r="DS46" s="365"/>
      <c r="DT46" s="365"/>
      <c r="DU46" s="365"/>
      <c r="DV46" s="365"/>
      <c r="DW46" s="365"/>
      <c r="DX46" s="365"/>
      <c r="DY46" s="365"/>
      <c r="DZ46" s="365"/>
      <c r="EA46" s="365"/>
      <c r="EB46" s="365"/>
      <c r="EC46" s="365"/>
      <c r="ED46" s="365"/>
      <c r="EE46" s="365"/>
      <c r="EF46" s="365"/>
      <c r="EG46" s="365"/>
      <c r="EH46" s="365"/>
      <c r="EI46" s="365"/>
      <c r="EJ46" s="365"/>
      <c r="EK46" s="365"/>
      <c r="EL46" s="365"/>
      <c r="EM46" s="365"/>
      <c r="EN46" s="365"/>
      <c r="EO46" s="365"/>
      <c r="EP46" s="365"/>
      <c r="EQ46" s="365"/>
      <c r="ER46" s="365"/>
      <c r="ES46" s="365"/>
      <c r="ET46" s="365"/>
      <c r="EU46" s="365"/>
      <c r="EV46" s="365"/>
      <c r="EW46" s="365"/>
      <c r="EX46" s="365"/>
      <c r="EY46" s="365"/>
      <c r="EZ46" s="365"/>
      <c r="FA46" s="365"/>
      <c r="FB46" s="365"/>
      <c r="FC46" s="365"/>
      <c r="FD46" s="365"/>
      <c r="FE46" s="365" t="s">
        <v>108</v>
      </c>
      <c r="FF46" s="365"/>
      <c r="FG46" s="365"/>
      <c r="FH46" s="365"/>
      <c r="FI46" s="365" t="s">
        <v>108</v>
      </c>
      <c r="FJ46" s="365"/>
      <c r="FK46" s="365"/>
      <c r="FL46" s="365"/>
      <c r="FM46" s="365" t="s">
        <v>108</v>
      </c>
      <c r="FN46" s="365"/>
      <c r="FO46" s="365"/>
      <c r="FP46" s="365"/>
      <c r="FQ46" s="365" t="s">
        <v>108</v>
      </c>
      <c r="FR46" s="365"/>
      <c r="FS46" s="365"/>
      <c r="FT46" s="365"/>
      <c r="FU46" s="365" t="s">
        <v>108</v>
      </c>
      <c r="FV46" s="365"/>
      <c r="FW46" s="365"/>
      <c r="FX46" s="365"/>
      <c r="FY46" s="365" t="s">
        <v>108</v>
      </c>
      <c r="FZ46" s="365"/>
      <c r="GA46" s="365"/>
      <c r="GB46" s="365"/>
      <c r="GC46" s="365" t="s">
        <v>108</v>
      </c>
      <c r="GD46" s="365"/>
      <c r="GE46" s="365"/>
      <c r="GF46" s="365"/>
      <c r="GG46" s="365" t="s">
        <v>108</v>
      </c>
      <c r="GH46" s="365"/>
      <c r="GI46" s="365"/>
      <c r="GJ46" s="365"/>
      <c r="GK46" s="365" t="s">
        <v>108</v>
      </c>
      <c r="GL46" s="365"/>
      <c r="GM46" s="365"/>
      <c r="GN46" s="365"/>
      <c r="GO46" s="365" t="s">
        <v>108</v>
      </c>
      <c r="GP46" s="365"/>
      <c r="GQ46" s="365"/>
      <c r="GR46" s="365"/>
      <c r="GS46" s="365" t="s">
        <v>108</v>
      </c>
      <c r="GT46" s="365"/>
      <c r="GU46" s="365"/>
      <c r="GV46" s="365"/>
      <c r="GW46" s="365" t="s">
        <v>108</v>
      </c>
      <c r="GX46" s="365"/>
      <c r="GY46" s="365"/>
      <c r="GZ46" s="365"/>
      <c r="HA46" s="365" t="s">
        <v>108</v>
      </c>
      <c r="HB46" s="365"/>
      <c r="HC46" s="365"/>
      <c r="HD46" s="365"/>
      <c r="HE46" s="365" t="s">
        <v>108</v>
      </c>
      <c r="HF46" s="365"/>
      <c r="HG46" s="365"/>
      <c r="HH46" s="365"/>
      <c r="HI46" s="365" t="s">
        <v>108</v>
      </c>
      <c r="HJ46" s="365"/>
      <c r="HK46" s="365"/>
      <c r="HL46" s="365"/>
      <c r="HM46" s="365" t="s">
        <v>108</v>
      </c>
      <c r="HN46" s="365"/>
      <c r="HO46" s="365"/>
      <c r="HP46" s="365"/>
      <c r="HQ46" s="365" t="s">
        <v>108</v>
      </c>
      <c r="HR46" s="365"/>
      <c r="HS46" s="365"/>
      <c r="HT46" s="365"/>
      <c r="HU46" s="365" t="s">
        <v>108</v>
      </c>
      <c r="HV46" s="365"/>
      <c r="HW46" s="365"/>
      <c r="HX46" s="365"/>
      <c r="HY46" s="365" t="s">
        <v>108</v>
      </c>
      <c r="HZ46" s="365"/>
      <c r="IA46" s="365"/>
      <c r="IB46" s="365"/>
      <c r="IC46" s="365" t="s">
        <v>108</v>
      </c>
      <c r="ID46" s="365"/>
      <c r="IE46" s="365"/>
      <c r="IF46" s="365"/>
      <c r="IG46" s="365" t="s">
        <v>108</v>
      </c>
      <c r="IH46" s="365"/>
      <c r="II46" s="365"/>
      <c r="IJ46" s="365"/>
      <c r="IK46" s="365" t="s">
        <v>108</v>
      </c>
      <c r="IL46" s="365"/>
      <c r="IM46" s="365"/>
      <c r="IN46" s="365"/>
      <c r="IO46" s="365" t="s">
        <v>108</v>
      </c>
      <c r="IP46" s="365"/>
      <c r="IQ46" s="365"/>
      <c r="IR46" s="365"/>
      <c r="IS46" s="365" t="s">
        <v>108</v>
      </c>
      <c r="IT46" s="365"/>
      <c r="IU46" s="365"/>
      <c r="IV46" s="365"/>
      <c r="IW46" s="365" t="s">
        <v>108</v>
      </c>
      <c r="IX46" s="365"/>
      <c r="IY46" s="365"/>
      <c r="IZ46" s="365"/>
      <c r="JA46" s="365" t="s">
        <v>108</v>
      </c>
      <c r="JB46" s="365"/>
      <c r="JC46" s="365"/>
      <c r="JD46" s="365"/>
      <c r="JE46" s="365" t="s">
        <v>108</v>
      </c>
      <c r="JF46" s="365"/>
      <c r="JG46" s="365"/>
      <c r="JH46" s="365"/>
      <c r="JI46" s="365" t="s">
        <v>108</v>
      </c>
      <c r="JJ46" s="365"/>
      <c r="JK46" s="365"/>
      <c r="JL46" s="365"/>
      <c r="JM46" s="365" t="s">
        <v>108</v>
      </c>
      <c r="JN46" s="365"/>
      <c r="JO46" s="365"/>
      <c r="JP46" s="365"/>
      <c r="JQ46" s="365" t="s">
        <v>108</v>
      </c>
      <c r="JR46" s="365"/>
      <c r="JS46" s="365"/>
      <c r="JT46" s="365"/>
      <c r="JU46" s="365" t="s">
        <v>108</v>
      </c>
      <c r="JV46" s="365"/>
      <c r="JW46" s="365"/>
      <c r="JX46" s="365"/>
      <c r="JY46" s="365" t="s">
        <v>108</v>
      </c>
      <c r="JZ46" s="365"/>
      <c r="KA46" s="365"/>
      <c r="KB46" s="365"/>
      <c r="KC46" s="365" t="s">
        <v>108</v>
      </c>
      <c r="KD46" s="365"/>
      <c r="KE46" s="365"/>
      <c r="KF46" s="365"/>
      <c r="KG46" s="365" t="s">
        <v>108</v>
      </c>
      <c r="KH46" s="365"/>
      <c r="KI46" s="365"/>
      <c r="KJ46" s="365"/>
      <c r="KK46" s="365" t="s">
        <v>108</v>
      </c>
      <c r="KL46" s="365"/>
      <c r="KM46" s="365"/>
      <c r="KN46" s="365"/>
      <c r="KO46" s="365" t="s">
        <v>108</v>
      </c>
      <c r="KP46" s="365"/>
      <c r="KQ46" s="365"/>
      <c r="KR46" s="365"/>
      <c r="KS46" s="365" t="s">
        <v>108</v>
      </c>
      <c r="KT46" s="365"/>
      <c r="KU46" s="365"/>
      <c r="KV46" s="365"/>
      <c r="KW46" s="365" t="s">
        <v>108</v>
      </c>
      <c r="KX46" s="365"/>
      <c r="KY46" s="365"/>
      <c r="KZ46" s="365"/>
      <c r="LA46" s="365" t="s">
        <v>108</v>
      </c>
      <c r="LB46" s="365"/>
      <c r="LC46" s="365"/>
      <c r="LD46" s="365"/>
      <c r="LE46" s="365" t="s">
        <v>108</v>
      </c>
      <c r="LF46" s="365"/>
      <c r="LG46" s="365"/>
      <c r="LH46" s="365"/>
      <c r="LI46" s="365" t="s">
        <v>108</v>
      </c>
      <c r="LJ46" s="365"/>
      <c r="LK46" s="365"/>
      <c r="LL46" s="365"/>
      <c r="LM46" s="365" t="s">
        <v>108</v>
      </c>
      <c r="LN46" s="365"/>
      <c r="LO46" s="365"/>
      <c r="LP46" s="365"/>
      <c r="LQ46" s="365" t="s">
        <v>108</v>
      </c>
      <c r="LR46" s="365"/>
      <c r="LS46" s="365"/>
      <c r="LT46" s="365"/>
      <c r="LU46" s="365" t="s">
        <v>108</v>
      </c>
      <c r="LV46" s="365"/>
      <c r="LW46" s="365"/>
      <c r="LX46" s="365"/>
      <c r="LY46" s="365" t="s">
        <v>108</v>
      </c>
      <c r="LZ46" s="365"/>
      <c r="MA46" s="365"/>
      <c r="MB46" s="365"/>
      <c r="MC46" s="365" t="s">
        <v>108</v>
      </c>
      <c r="MD46" s="365"/>
      <c r="ME46" s="365"/>
      <c r="MF46" s="365"/>
      <c r="MG46" s="365" t="s">
        <v>108</v>
      </c>
      <c r="MH46" s="365"/>
      <c r="MI46" s="365"/>
      <c r="MJ46" s="365"/>
      <c r="MK46" s="365" t="s">
        <v>108</v>
      </c>
      <c r="ML46" s="365"/>
      <c r="MM46" s="365"/>
      <c r="MN46" s="365"/>
      <c r="MO46" s="365" t="s">
        <v>108</v>
      </c>
      <c r="MP46" s="365"/>
      <c r="MQ46" s="365"/>
      <c r="MR46" s="365"/>
      <c r="MS46" s="365" t="s">
        <v>108</v>
      </c>
      <c r="MT46" s="365"/>
      <c r="MU46" s="365"/>
      <c r="MV46" s="365"/>
      <c r="MW46" s="365" t="s">
        <v>108</v>
      </c>
      <c r="MX46" s="365"/>
      <c r="MY46" s="365"/>
      <c r="MZ46" s="365"/>
      <c r="NA46" s="365" t="s">
        <v>108</v>
      </c>
      <c r="NB46" s="365"/>
      <c r="NC46" s="365"/>
      <c r="ND46" s="365"/>
      <c r="NE46" s="365" t="s">
        <v>108</v>
      </c>
      <c r="NF46" s="365"/>
      <c r="NG46" s="365"/>
      <c r="NH46" s="365"/>
      <c r="NI46" s="365" t="s">
        <v>108</v>
      </c>
      <c r="NJ46" s="365"/>
      <c r="NK46" s="365"/>
      <c r="NL46" s="365"/>
      <c r="NM46" s="365" t="s">
        <v>108</v>
      </c>
      <c r="NN46" s="365"/>
      <c r="NO46" s="365"/>
      <c r="NP46" s="365"/>
      <c r="NQ46" s="365" t="s">
        <v>108</v>
      </c>
      <c r="NR46" s="365"/>
      <c r="NS46" s="365"/>
      <c r="NT46" s="365"/>
      <c r="NU46" s="365" t="s">
        <v>108</v>
      </c>
      <c r="NV46" s="365"/>
      <c r="NW46" s="365"/>
      <c r="NX46" s="365"/>
      <c r="NY46" s="365" t="s">
        <v>108</v>
      </c>
      <c r="NZ46" s="365"/>
      <c r="OA46" s="365"/>
      <c r="OB46" s="365"/>
      <c r="OC46" s="365" t="s">
        <v>108</v>
      </c>
      <c r="OD46" s="365"/>
      <c r="OE46" s="365"/>
      <c r="OF46" s="365"/>
      <c r="OG46" s="365" t="s">
        <v>108</v>
      </c>
      <c r="OH46" s="365"/>
      <c r="OI46" s="365"/>
      <c r="OJ46" s="365"/>
      <c r="OK46" s="365" t="s">
        <v>108</v>
      </c>
      <c r="OL46" s="365"/>
      <c r="OM46" s="365"/>
      <c r="ON46" s="365"/>
      <c r="OO46" s="365" t="s">
        <v>108</v>
      </c>
      <c r="OP46" s="365"/>
      <c r="OQ46" s="365"/>
      <c r="OR46" s="365"/>
      <c r="OS46" s="365" t="s">
        <v>108</v>
      </c>
      <c r="OT46" s="365"/>
      <c r="OU46" s="365"/>
      <c r="OV46" s="365"/>
      <c r="OW46" s="365" t="s">
        <v>108</v>
      </c>
      <c r="OX46" s="365"/>
      <c r="OY46" s="365"/>
      <c r="OZ46" s="365"/>
      <c r="PA46" s="365" t="s">
        <v>108</v>
      </c>
      <c r="PB46" s="365"/>
      <c r="PC46" s="365"/>
      <c r="PD46" s="365"/>
      <c r="PE46" s="365" t="s">
        <v>108</v>
      </c>
      <c r="PF46" s="365"/>
      <c r="PG46" s="365"/>
      <c r="PH46" s="365"/>
      <c r="PI46" s="365" t="s">
        <v>108</v>
      </c>
      <c r="PJ46" s="365"/>
      <c r="PK46" s="365"/>
      <c r="PL46" s="365"/>
      <c r="PM46" s="365" t="s">
        <v>108</v>
      </c>
      <c r="PN46" s="365"/>
      <c r="PO46" s="365"/>
      <c r="PP46" s="365"/>
      <c r="PQ46" s="365" t="s">
        <v>108</v>
      </c>
      <c r="PR46" s="365"/>
      <c r="PS46" s="365"/>
      <c r="PT46" s="365"/>
      <c r="PU46" s="365" t="s">
        <v>108</v>
      </c>
      <c r="PV46" s="365"/>
      <c r="PW46" s="365"/>
      <c r="PX46" s="365"/>
      <c r="PY46" s="365" t="s">
        <v>108</v>
      </c>
      <c r="PZ46" s="365"/>
      <c r="QA46" s="365"/>
      <c r="QB46" s="365"/>
      <c r="QC46" s="365" t="s">
        <v>108</v>
      </c>
      <c r="QD46" s="365"/>
      <c r="QE46" s="365"/>
      <c r="QF46" s="365"/>
      <c r="QG46" s="365" t="s">
        <v>108</v>
      </c>
      <c r="QH46" s="365"/>
      <c r="QI46" s="365"/>
      <c r="QJ46" s="365"/>
      <c r="QK46" s="365" t="s">
        <v>108</v>
      </c>
      <c r="QL46" s="365"/>
      <c r="QM46" s="365"/>
      <c r="QN46" s="365"/>
      <c r="QO46" s="365" t="s">
        <v>108</v>
      </c>
      <c r="QP46" s="365"/>
      <c r="QQ46" s="365"/>
      <c r="QR46" s="365"/>
      <c r="QS46" s="365" t="s">
        <v>108</v>
      </c>
      <c r="QT46" s="365"/>
      <c r="QU46" s="365"/>
      <c r="QV46" s="365"/>
      <c r="QW46" s="365" t="s">
        <v>108</v>
      </c>
      <c r="QX46" s="365"/>
      <c r="QY46" s="365"/>
      <c r="QZ46" s="365"/>
      <c r="RA46" s="365" t="s">
        <v>108</v>
      </c>
      <c r="RB46" s="365"/>
      <c r="RC46" s="365"/>
      <c r="RD46" s="365"/>
      <c r="RE46" s="365" t="s">
        <v>108</v>
      </c>
      <c r="RF46" s="365"/>
      <c r="RG46" s="365"/>
      <c r="RH46" s="365"/>
      <c r="RI46" s="365" t="s">
        <v>108</v>
      </c>
      <c r="RJ46" s="365"/>
      <c r="RK46" s="365"/>
      <c r="RL46" s="365"/>
      <c r="RM46" s="365" t="s">
        <v>108</v>
      </c>
      <c r="RN46" s="365"/>
      <c r="RO46" s="365"/>
      <c r="RP46" s="365"/>
      <c r="RQ46" s="365" t="s">
        <v>108</v>
      </c>
      <c r="RR46" s="365"/>
      <c r="RS46" s="365"/>
      <c r="RT46" s="365"/>
      <c r="RU46" s="365" t="s">
        <v>108</v>
      </c>
      <c r="RV46" s="365"/>
      <c r="RW46" s="365"/>
      <c r="RX46" s="365"/>
      <c r="RY46" s="365" t="s">
        <v>108</v>
      </c>
      <c r="RZ46" s="365"/>
      <c r="SA46" s="365"/>
      <c r="SB46" s="365"/>
      <c r="SC46" s="365" t="s">
        <v>108</v>
      </c>
      <c r="SD46" s="365"/>
      <c r="SE46" s="365"/>
      <c r="SF46" s="365"/>
      <c r="SG46" s="365" t="s">
        <v>108</v>
      </c>
      <c r="SH46" s="365"/>
      <c r="SI46" s="365"/>
      <c r="SJ46" s="365"/>
      <c r="SK46" s="365" t="s">
        <v>108</v>
      </c>
      <c r="SL46" s="365"/>
      <c r="SM46" s="365"/>
      <c r="SN46" s="365"/>
      <c r="SO46" s="365" t="s">
        <v>108</v>
      </c>
      <c r="SP46" s="365"/>
      <c r="SQ46" s="365"/>
      <c r="SR46" s="365"/>
      <c r="SS46" s="365" t="s">
        <v>108</v>
      </c>
      <c r="ST46" s="365"/>
      <c r="SU46" s="365"/>
      <c r="SV46" s="365"/>
      <c r="SW46" s="365" t="s">
        <v>108</v>
      </c>
      <c r="SX46" s="365"/>
      <c r="SY46" s="365"/>
      <c r="SZ46" s="365"/>
      <c r="TA46" s="365" t="s">
        <v>108</v>
      </c>
      <c r="TB46" s="365"/>
      <c r="TC46" s="365"/>
      <c r="TD46" s="365"/>
      <c r="TE46" s="365" t="s">
        <v>108</v>
      </c>
      <c r="TF46" s="365"/>
      <c r="TG46" s="365"/>
      <c r="TH46" s="365"/>
      <c r="TI46" s="365" t="s">
        <v>108</v>
      </c>
      <c r="TJ46" s="365"/>
      <c r="TK46" s="365"/>
      <c r="TL46" s="365"/>
      <c r="TM46" s="365" t="s">
        <v>108</v>
      </c>
      <c r="TN46" s="365"/>
      <c r="TO46" s="365"/>
      <c r="TP46" s="365"/>
      <c r="TQ46" s="365" t="s">
        <v>108</v>
      </c>
      <c r="TR46" s="365"/>
      <c r="TS46" s="365"/>
      <c r="TT46" s="365"/>
      <c r="TU46" s="365" t="s">
        <v>108</v>
      </c>
      <c r="TV46" s="365"/>
      <c r="TW46" s="365"/>
      <c r="TX46" s="365"/>
      <c r="TY46" s="365" t="s">
        <v>108</v>
      </c>
      <c r="TZ46" s="365"/>
      <c r="UA46" s="365"/>
      <c r="UB46" s="365"/>
      <c r="UC46" s="365" t="s">
        <v>108</v>
      </c>
      <c r="UD46" s="365"/>
      <c r="UE46" s="365"/>
      <c r="UF46" s="365"/>
      <c r="UG46" s="365" t="s">
        <v>108</v>
      </c>
      <c r="UH46" s="365"/>
      <c r="UI46" s="365"/>
      <c r="UJ46" s="365"/>
      <c r="UK46" s="365" t="s">
        <v>108</v>
      </c>
      <c r="UL46" s="365"/>
      <c r="UM46" s="365"/>
      <c r="UN46" s="365"/>
      <c r="UO46" s="365" t="s">
        <v>108</v>
      </c>
      <c r="UP46" s="365"/>
      <c r="UQ46" s="365"/>
      <c r="UR46" s="365"/>
      <c r="US46" s="365" t="s">
        <v>108</v>
      </c>
      <c r="UT46" s="365"/>
      <c r="UU46" s="365"/>
      <c r="UV46" s="365"/>
      <c r="UW46" s="365" t="s">
        <v>108</v>
      </c>
      <c r="UX46" s="365"/>
      <c r="UY46" s="365"/>
      <c r="UZ46" s="365"/>
      <c r="VA46" s="365" t="s">
        <v>108</v>
      </c>
      <c r="VB46" s="365"/>
      <c r="VC46" s="365"/>
      <c r="VD46" s="365"/>
      <c r="VE46" s="365" t="s">
        <v>108</v>
      </c>
      <c r="VF46" s="365"/>
      <c r="VG46" s="365"/>
      <c r="VH46" s="365"/>
      <c r="VI46" s="365" t="s">
        <v>108</v>
      </c>
      <c r="VJ46" s="365"/>
      <c r="VK46" s="365"/>
      <c r="VL46" s="365"/>
      <c r="VM46" s="365" t="s">
        <v>108</v>
      </c>
      <c r="VN46" s="365"/>
      <c r="VO46" s="365"/>
      <c r="VP46" s="365"/>
      <c r="VQ46" s="365" t="s">
        <v>108</v>
      </c>
      <c r="VR46" s="365"/>
      <c r="VS46" s="365"/>
      <c r="VT46" s="365"/>
      <c r="VU46" s="365" t="s">
        <v>108</v>
      </c>
      <c r="VV46" s="365"/>
      <c r="VW46" s="365"/>
      <c r="VX46" s="365"/>
      <c r="VY46" s="365" t="s">
        <v>108</v>
      </c>
      <c r="VZ46" s="365"/>
      <c r="WA46" s="365"/>
      <c r="WB46" s="365"/>
      <c r="WC46" s="365" t="s">
        <v>108</v>
      </c>
      <c r="WD46" s="365"/>
      <c r="WE46" s="365"/>
      <c r="WF46" s="365"/>
      <c r="WG46" s="365" t="s">
        <v>108</v>
      </c>
      <c r="WH46" s="365"/>
      <c r="WI46" s="365"/>
      <c r="WJ46" s="365"/>
      <c r="WK46" s="365" t="s">
        <v>108</v>
      </c>
      <c r="WL46" s="365"/>
      <c r="WM46" s="365"/>
      <c r="WN46" s="365"/>
      <c r="WO46" s="365" t="s">
        <v>108</v>
      </c>
      <c r="WP46" s="365"/>
      <c r="WQ46" s="365"/>
      <c r="WR46" s="365"/>
      <c r="WS46" s="365" t="s">
        <v>108</v>
      </c>
      <c r="WT46" s="365"/>
      <c r="WU46" s="365"/>
      <c r="WV46" s="365"/>
      <c r="WW46" s="365" t="s">
        <v>108</v>
      </c>
      <c r="WX46" s="365"/>
      <c r="WY46" s="365"/>
      <c r="WZ46" s="365"/>
      <c r="XA46" s="365" t="s">
        <v>108</v>
      </c>
      <c r="XB46" s="365"/>
      <c r="XC46" s="365"/>
      <c r="XD46" s="365"/>
      <c r="XE46" s="365" t="s">
        <v>108</v>
      </c>
      <c r="XF46" s="365"/>
      <c r="XG46" s="365"/>
      <c r="XH46" s="365"/>
      <c r="XI46" s="365" t="s">
        <v>108</v>
      </c>
      <c r="XJ46" s="365"/>
      <c r="XK46" s="365"/>
      <c r="XL46" s="365"/>
      <c r="XM46" s="365" t="s">
        <v>108</v>
      </c>
      <c r="XN46" s="365"/>
      <c r="XO46" s="365"/>
      <c r="XP46" s="365"/>
      <c r="XQ46" s="365" t="s">
        <v>108</v>
      </c>
      <c r="XR46" s="365"/>
      <c r="XS46" s="365"/>
      <c r="XT46" s="365"/>
      <c r="XU46" s="365" t="s">
        <v>108</v>
      </c>
      <c r="XV46" s="365"/>
      <c r="XW46" s="365"/>
      <c r="XX46" s="365"/>
      <c r="XY46" s="365" t="s">
        <v>108</v>
      </c>
      <c r="XZ46" s="365"/>
      <c r="YA46" s="365"/>
      <c r="YB46" s="365"/>
      <c r="YC46" s="365" t="s">
        <v>108</v>
      </c>
      <c r="YD46" s="365"/>
      <c r="YE46" s="365"/>
      <c r="YF46" s="365"/>
      <c r="YG46" s="365" t="s">
        <v>108</v>
      </c>
      <c r="YH46" s="365"/>
      <c r="YI46" s="365"/>
      <c r="YJ46" s="365"/>
      <c r="YK46" s="365" t="s">
        <v>108</v>
      </c>
      <c r="YL46" s="365"/>
      <c r="YM46" s="365"/>
      <c r="YN46" s="365"/>
      <c r="YO46" s="365" t="s">
        <v>108</v>
      </c>
      <c r="YP46" s="365"/>
      <c r="YQ46" s="365"/>
      <c r="YR46" s="365"/>
      <c r="YS46" s="365" t="s">
        <v>108</v>
      </c>
      <c r="YT46" s="365"/>
      <c r="YU46" s="365"/>
      <c r="YV46" s="365"/>
      <c r="YW46" s="365" t="s">
        <v>108</v>
      </c>
      <c r="YX46" s="365"/>
      <c r="YY46" s="365"/>
      <c r="YZ46" s="365"/>
      <c r="ZA46" s="365" t="s">
        <v>108</v>
      </c>
      <c r="ZB46" s="365"/>
      <c r="ZC46" s="365"/>
      <c r="ZD46" s="365"/>
      <c r="ZE46" s="365" t="s">
        <v>108</v>
      </c>
      <c r="ZF46" s="365"/>
      <c r="ZG46" s="365"/>
      <c r="ZH46" s="365"/>
      <c r="ZI46" s="365" t="s">
        <v>108</v>
      </c>
      <c r="ZJ46" s="365"/>
      <c r="ZK46" s="365"/>
      <c r="ZL46" s="365"/>
      <c r="ZM46" s="365" t="s">
        <v>108</v>
      </c>
      <c r="ZN46" s="365"/>
      <c r="ZO46" s="365"/>
      <c r="ZP46" s="365"/>
      <c r="ZQ46" s="365" t="s">
        <v>108</v>
      </c>
      <c r="ZR46" s="365"/>
      <c r="ZS46" s="365"/>
      <c r="ZT46" s="365"/>
      <c r="ZU46" s="365" t="s">
        <v>108</v>
      </c>
      <c r="ZV46" s="365"/>
      <c r="ZW46" s="365"/>
      <c r="ZX46" s="365"/>
      <c r="ZY46" s="365" t="s">
        <v>108</v>
      </c>
      <c r="ZZ46" s="365"/>
      <c r="AAA46" s="365"/>
      <c r="AAB46" s="365"/>
      <c r="AAC46" s="365" t="s">
        <v>108</v>
      </c>
      <c r="AAD46" s="365"/>
      <c r="AAE46" s="365"/>
      <c r="AAF46" s="365"/>
      <c r="AAG46" s="365" t="s">
        <v>108</v>
      </c>
      <c r="AAH46" s="365"/>
      <c r="AAI46" s="365"/>
      <c r="AAJ46" s="365"/>
      <c r="AAK46" s="365" t="s">
        <v>108</v>
      </c>
      <c r="AAL46" s="365"/>
      <c r="AAM46" s="365"/>
      <c r="AAN46" s="365"/>
      <c r="AAO46" s="365" t="s">
        <v>108</v>
      </c>
      <c r="AAP46" s="365"/>
      <c r="AAQ46" s="365"/>
      <c r="AAR46" s="365"/>
      <c r="AAS46" s="365" t="s">
        <v>108</v>
      </c>
      <c r="AAT46" s="365"/>
      <c r="AAU46" s="365"/>
      <c r="AAV46" s="365"/>
      <c r="AAW46" s="365" t="s">
        <v>108</v>
      </c>
      <c r="AAX46" s="365"/>
      <c r="AAY46" s="365"/>
      <c r="AAZ46" s="365"/>
      <c r="ABA46" s="365" t="s">
        <v>108</v>
      </c>
      <c r="ABB46" s="365"/>
      <c r="ABC46" s="365"/>
      <c r="ABD46" s="365"/>
      <c r="ABE46" s="365" t="s">
        <v>108</v>
      </c>
      <c r="ABF46" s="365"/>
      <c r="ABG46" s="365"/>
      <c r="ABH46" s="365"/>
      <c r="ABI46" s="365" t="s">
        <v>108</v>
      </c>
      <c r="ABJ46" s="365"/>
      <c r="ABK46" s="365"/>
      <c r="ABL46" s="365"/>
      <c r="ABM46" s="365" t="s">
        <v>108</v>
      </c>
      <c r="ABN46" s="365"/>
      <c r="ABO46" s="365"/>
      <c r="ABP46" s="365"/>
      <c r="ABQ46" s="365" t="s">
        <v>108</v>
      </c>
      <c r="ABR46" s="365"/>
      <c r="ABS46" s="365"/>
      <c r="ABT46" s="365"/>
      <c r="ABU46" s="365" t="s">
        <v>108</v>
      </c>
      <c r="ABV46" s="365"/>
      <c r="ABW46" s="365"/>
      <c r="ABX46" s="365"/>
      <c r="ABY46" s="365" t="s">
        <v>108</v>
      </c>
      <c r="ABZ46" s="365"/>
      <c r="ACA46" s="365"/>
      <c r="ACB46" s="365"/>
      <c r="ACC46" s="365" t="s">
        <v>108</v>
      </c>
      <c r="ACD46" s="365"/>
      <c r="ACE46" s="365"/>
      <c r="ACF46" s="365"/>
      <c r="ACG46" s="365" t="s">
        <v>108</v>
      </c>
      <c r="ACH46" s="365"/>
      <c r="ACI46" s="365"/>
      <c r="ACJ46" s="365"/>
      <c r="ACK46" s="365" t="s">
        <v>108</v>
      </c>
      <c r="ACL46" s="365"/>
      <c r="ACM46" s="365"/>
      <c r="ACN46" s="365"/>
      <c r="ACO46" s="365" t="s">
        <v>108</v>
      </c>
      <c r="ACP46" s="365"/>
      <c r="ACQ46" s="365"/>
      <c r="ACR46" s="365"/>
      <c r="ACS46" s="365" t="s">
        <v>108</v>
      </c>
      <c r="ACT46" s="365"/>
      <c r="ACU46" s="365"/>
      <c r="ACV46" s="365"/>
      <c r="ACW46" s="365" t="s">
        <v>108</v>
      </c>
      <c r="ACX46" s="365"/>
      <c r="ACY46" s="365"/>
      <c r="ACZ46" s="365"/>
      <c r="ADA46" s="365" t="s">
        <v>108</v>
      </c>
      <c r="ADB46" s="365"/>
      <c r="ADC46" s="365"/>
      <c r="ADD46" s="365"/>
      <c r="ADE46" s="365" t="s">
        <v>108</v>
      </c>
      <c r="ADF46" s="365"/>
      <c r="ADG46" s="365"/>
      <c r="ADH46" s="365"/>
      <c r="ADI46" s="365" t="s">
        <v>108</v>
      </c>
      <c r="ADJ46" s="365"/>
      <c r="ADK46" s="365"/>
      <c r="ADL46" s="365"/>
      <c r="ADM46" s="365" t="s">
        <v>108</v>
      </c>
      <c r="ADN46" s="365"/>
      <c r="ADO46" s="365"/>
      <c r="ADP46" s="365"/>
      <c r="ADQ46" s="365" t="s">
        <v>108</v>
      </c>
      <c r="ADR46" s="365"/>
      <c r="ADS46" s="365"/>
      <c r="ADT46" s="365"/>
      <c r="ADU46" s="365" t="s">
        <v>108</v>
      </c>
      <c r="ADV46" s="365"/>
      <c r="ADW46" s="365"/>
      <c r="ADX46" s="365"/>
      <c r="ADY46" s="365" t="s">
        <v>108</v>
      </c>
      <c r="ADZ46" s="365"/>
      <c r="AEA46" s="365"/>
      <c r="AEB46" s="365"/>
      <c r="AEC46" s="365" t="s">
        <v>108</v>
      </c>
      <c r="AED46" s="365"/>
      <c r="AEE46" s="365"/>
      <c r="AEF46" s="365"/>
      <c r="AEG46" s="365" t="s">
        <v>108</v>
      </c>
      <c r="AEH46" s="365"/>
      <c r="AEI46" s="365"/>
      <c r="AEJ46" s="365"/>
      <c r="AEK46" s="365" t="s">
        <v>108</v>
      </c>
      <c r="AEL46" s="365"/>
      <c r="AEM46" s="365"/>
      <c r="AEN46" s="365"/>
      <c r="AEO46" s="365" t="s">
        <v>108</v>
      </c>
      <c r="AEP46" s="365"/>
      <c r="AEQ46" s="365"/>
      <c r="AER46" s="365"/>
      <c r="AES46" s="365" t="s">
        <v>108</v>
      </c>
      <c r="AET46" s="365"/>
      <c r="AEU46" s="365"/>
      <c r="AEV46" s="365"/>
      <c r="AEW46" s="365" t="s">
        <v>108</v>
      </c>
      <c r="AEX46" s="365"/>
      <c r="AEY46" s="365"/>
      <c r="AEZ46" s="365"/>
      <c r="AFA46" s="365" t="s">
        <v>108</v>
      </c>
      <c r="AFB46" s="365"/>
      <c r="AFC46" s="365"/>
      <c r="AFD46" s="365"/>
      <c r="AFE46" s="365" t="s">
        <v>108</v>
      </c>
      <c r="AFF46" s="365"/>
      <c r="AFG46" s="365"/>
      <c r="AFH46" s="365"/>
      <c r="AFI46" s="365" t="s">
        <v>108</v>
      </c>
      <c r="AFJ46" s="365"/>
      <c r="AFK46" s="365"/>
      <c r="AFL46" s="365"/>
      <c r="AFM46" s="365" t="s">
        <v>108</v>
      </c>
      <c r="AFN46" s="365"/>
      <c r="AFO46" s="365"/>
      <c r="AFP46" s="365"/>
      <c r="AFQ46" s="365" t="s">
        <v>108</v>
      </c>
      <c r="AFR46" s="365"/>
      <c r="AFS46" s="365"/>
      <c r="AFT46" s="365"/>
      <c r="AFU46" s="365" t="s">
        <v>108</v>
      </c>
      <c r="AFV46" s="365"/>
      <c r="AFW46" s="365"/>
      <c r="AFX46" s="365"/>
      <c r="AFY46" s="365" t="s">
        <v>108</v>
      </c>
      <c r="AFZ46" s="365"/>
      <c r="AGA46" s="365"/>
      <c r="AGB46" s="365"/>
      <c r="AGC46" s="365" t="s">
        <v>108</v>
      </c>
      <c r="AGD46" s="365"/>
      <c r="AGE46" s="365"/>
      <c r="AGF46" s="365"/>
      <c r="AGG46" s="365" t="s">
        <v>108</v>
      </c>
      <c r="AGH46" s="365"/>
      <c r="AGI46" s="365"/>
      <c r="AGJ46" s="365"/>
      <c r="AGK46" s="365" t="s">
        <v>108</v>
      </c>
      <c r="AGL46" s="365"/>
      <c r="AGM46" s="365"/>
      <c r="AGN46" s="365"/>
      <c r="AGO46" s="365" t="s">
        <v>108</v>
      </c>
      <c r="AGP46" s="365"/>
      <c r="AGQ46" s="365"/>
      <c r="AGR46" s="365"/>
      <c r="AGS46" s="365" t="s">
        <v>108</v>
      </c>
      <c r="AGT46" s="365"/>
      <c r="AGU46" s="365"/>
      <c r="AGV46" s="365"/>
      <c r="AGW46" s="365" t="s">
        <v>108</v>
      </c>
      <c r="AGX46" s="365"/>
      <c r="AGY46" s="365"/>
      <c r="AGZ46" s="365"/>
      <c r="AHA46" s="365" t="s">
        <v>108</v>
      </c>
      <c r="AHB46" s="365"/>
      <c r="AHC46" s="365"/>
      <c r="AHD46" s="365"/>
      <c r="AHE46" s="365" t="s">
        <v>108</v>
      </c>
      <c r="AHF46" s="365"/>
      <c r="AHG46" s="365"/>
      <c r="AHH46" s="365"/>
      <c r="AHI46" s="365" t="s">
        <v>108</v>
      </c>
      <c r="AHJ46" s="365"/>
      <c r="AHK46" s="365"/>
      <c r="AHL46" s="365"/>
      <c r="AHM46" s="365" t="s">
        <v>108</v>
      </c>
      <c r="AHN46" s="365"/>
      <c r="AHO46" s="365"/>
      <c r="AHP46" s="365"/>
      <c r="AHQ46" s="365" t="s">
        <v>108</v>
      </c>
      <c r="AHR46" s="365"/>
      <c r="AHS46" s="365"/>
      <c r="AHT46" s="365"/>
      <c r="AHU46" s="365" t="s">
        <v>108</v>
      </c>
      <c r="AHV46" s="365"/>
      <c r="AHW46" s="365"/>
      <c r="AHX46" s="365"/>
      <c r="AHY46" s="365" t="s">
        <v>108</v>
      </c>
      <c r="AHZ46" s="365"/>
      <c r="AIA46" s="365"/>
      <c r="AIB46" s="365"/>
      <c r="AIC46" s="365" t="s">
        <v>108</v>
      </c>
      <c r="AID46" s="365"/>
      <c r="AIE46" s="365"/>
      <c r="AIF46" s="365"/>
      <c r="AIG46" s="365" t="s">
        <v>108</v>
      </c>
      <c r="AIH46" s="365"/>
      <c r="AII46" s="365"/>
      <c r="AIJ46" s="365"/>
      <c r="AIK46" s="365" t="s">
        <v>108</v>
      </c>
      <c r="AIL46" s="365"/>
      <c r="AIM46" s="365"/>
      <c r="AIN46" s="365"/>
      <c r="AIO46" s="365" t="s">
        <v>108</v>
      </c>
      <c r="AIP46" s="365"/>
      <c r="AIQ46" s="365"/>
      <c r="AIR46" s="365"/>
      <c r="AIS46" s="365" t="s">
        <v>108</v>
      </c>
      <c r="AIT46" s="365"/>
      <c r="AIU46" s="365"/>
      <c r="AIV46" s="365"/>
      <c r="AIW46" s="365" t="s">
        <v>108</v>
      </c>
      <c r="AIX46" s="365"/>
      <c r="AIY46" s="365"/>
      <c r="AIZ46" s="365"/>
      <c r="AJA46" s="365" t="s">
        <v>108</v>
      </c>
      <c r="AJB46" s="365"/>
      <c r="AJC46" s="365"/>
      <c r="AJD46" s="365"/>
      <c r="AJE46" s="365" t="s">
        <v>108</v>
      </c>
      <c r="AJF46" s="365"/>
      <c r="AJG46" s="365"/>
      <c r="AJH46" s="365"/>
      <c r="AJI46" s="365" t="s">
        <v>108</v>
      </c>
      <c r="AJJ46" s="365"/>
      <c r="AJK46" s="365"/>
      <c r="AJL46" s="365"/>
      <c r="AJM46" s="365" t="s">
        <v>108</v>
      </c>
      <c r="AJN46" s="365"/>
      <c r="AJO46" s="365"/>
      <c r="AJP46" s="365"/>
      <c r="AJQ46" s="365" t="s">
        <v>108</v>
      </c>
      <c r="AJR46" s="365"/>
      <c r="AJS46" s="365"/>
      <c r="AJT46" s="365"/>
      <c r="AJU46" s="365" t="s">
        <v>108</v>
      </c>
      <c r="AJV46" s="365"/>
      <c r="AJW46" s="365"/>
      <c r="AJX46" s="365"/>
      <c r="AJY46" s="365" t="s">
        <v>108</v>
      </c>
      <c r="AJZ46" s="365"/>
      <c r="AKA46" s="365"/>
      <c r="AKB46" s="365"/>
      <c r="AKC46" s="365" t="s">
        <v>108</v>
      </c>
      <c r="AKD46" s="365"/>
      <c r="AKE46" s="365"/>
      <c r="AKF46" s="365"/>
      <c r="AKG46" s="365" t="s">
        <v>108</v>
      </c>
      <c r="AKH46" s="365"/>
      <c r="AKI46" s="365"/>
      <c r="AKJ46" s="365"/>
      <c r="AKK46" s="365" t="s">
        <v>108</v>
      </c>
      <c r="AKL46" s="365"/>
      <c r="AKM46" s="365"/>
      <c r="AKN46" s="365"/>
      <c r="AKO46" s="365" t="s">
        <v>108</v>
      </c>
      <c r="AKP46" s="365"/>
      <c r="AKQ46" s="365"/>
      <c r="AKR46" s="365"/>
      <c r="AKS46" s="365" t="s">
        <v>108</v>
      </c>
      <c r="AKT46" s="365"/>
      <c r="AKU46" s="365"/>
      <c r="AKV46" s="365"/>
      <c r="AKW46" s="365" t="s">
        <v>108</v>
      </c>
      <c r="AKX46" s="365"/>
      <c r="AKY46" s="365"/>
      <c r="AKZ46" s="365"/>
      <c r="ALA46" s="365" t="s">
        <v>108</v>
      </c>
      <c r="ALB46" s="365"/>
      <c r="ALC46" s="365"/>
      <c r="ALD46" s="365"/>
      <c r="ALE46" s="365" t="s">
        <v>108</v>
      </c>
      <c r="ALF46" s="365"/>
      <c r="ALG46" s="365"/>
      <c r="ALH46" s="365"/>
      <c r="ALI46" s="365" t="s">
        <v>108</v>
      </c>
      <c r="ALJ46" s="365"/>
      <c r="ALK46" s="365"/>
      <c r="ALL46" s="365"/>
      <c r="ALM46" s="365" t="s">
        <v>108</v>
      </c>
      <c r="ALN46" s="365"/>
      <c r="ALO46" s="365"/>
      <c r="ALP46" s="365"/>
      <c r="ALQ46" s="365" t="s">
        <v>108</v>
      </c>
      <c r="ALR46" s="365"/>
      <c r="ALS46" s="365"/>
      <c r="ALT46" s="365"/>
      <c r="ALU46" s="365" t="s">
        <v>108</v>
      </c>
      <c r="ALV46" s="365"/>
      <c r="ALW46" s="365"/>
      <c r="ALX46" s="365"/>
      <c r="ALY46" s="365" t="s">
        <v>108</v>
      </c>
      <c r="ALZ46" s="365"/>
      <c r="AMA46" s="365"/>
      <c r="AMB46" s="365"/>
      <c r="AMC46" s="365" t="s">
        <v>108</v>
      </c>
      <c r="AMD46" s="365"/>
      <c r="AME46" s="365"/>
      <c r="AMF46" s="365"/>
      <c r="AMG46" s="365" t="s">
        <v>108</v>
      </c>
      <c r="AMH46" s="365"/>
      <c r="AMI46" s="365"/>
      <c r="AMJ46" s="365"/>
      <c r="AMK46" s="365" t="s">
        <v>108</v>
      </c>
      <c r="AML46" s="365"/>
      <c r="AMM46" s="365"/>
      <c r="AMN46" s="365"/>
      <c r="AMO46" s="365" t="s">
        <v>108</v>
      </c>
      <c r="AMP46" s="365"/>
      <c r="AMQ46" s="365"/>
      <c r="AMR46" s="365"/>
      <c r="AMS46" s="365" t="s">
        <v>108</v>
      </c>
      <c r="AMT46" s="365"/>
      <c r="AMU46" s="365"/>
      <c r="AMV46" s="365"/>
      <c r="AMW46" s="365" t="s">
        <v>108</v>
      </c>
      <c r="AMX46" s="365"/>
      <c r="AMY46" s="365"/>
      <c r="AMZ46" s="365"/>
      <c r="ANA46" s="365" t="s">
        <v>108</v>
      </c>
      <c r="ANB46" s="365"/>
      <c r="ANC46" s="365"/>
      <c r="AND46" s="365"/>
      <c r="ANE46" s="365" t="s">
        <v>108</v>
      </c>
      <c r="ANF46" s="365"/>
      <c r="ANG46" s="365"/>
      <c r="ANH46" s="365"/>
      <c r="ANI46" s="365" t="s">
        <v>108</v>
      </c>
      <c r="ANJ46" s="365"/>
      <c r="ANK46" s="365"/>
      <c r="ANL46" s="365"/>
      <c r="ANM46" s="365" t="s">
        <v>108</v>
      </c>
      <c r="ANN46" s="365"/>
      <c r="ANO46" s="365"/>
      <c r="ANP46" s="365"/>
      <c r="ANQ46" s="365" t="s">
        <v>108</v>
      </c>
      <c r="ANR46" s="365"/>
      <c r="ANS46" s="365"/>
      <c r="ANT46" s="365"/>
      <c r="ANU46" s="365" t="s">
        <v>108</v>
      </c>
      <c r="ANV46" s="365"/>
      <c r="ANW46" s="365"/>
      <c r="ANX46" s="365"/>
      <c r="ANY46" s="365" t="s">
        <v>108</v>
      </c>
      <c r="ANZ46" s="365"/>
      <c r="AOA46" s="365"/>
      <c r="AOB46" s="365"/>
      <c r="AOC46" s="365" t="s">
        <v>108</v>
      </c>
      <c r="AOD46" s="365"/>
      <c r="AOE46" s="365"/>
      <c r="AOF46" s="365"/>
      <c r="AOG46" s="365" t="s">
        <v>108</v>
      </c>
      <c r="AOH46" s="365"/>
      <c r="AOI46" s="365"/>
      <c r="AOJ46" s="365"/>
      <c r="AOK46" s="365" t="s">
        <v>108</v>
      </c>
      <c r="AOL46" s="365"/>
      <c r="AOM46" s="365"/>
      <c r="AON46" s="365"/>
      <c r="AOO46" s="365" t="s">
        <v>108</v>
      </c>
      <c r="AOP46" s="365"/>
      <c r="AOQ46" s="365"/>
      <c r="AOR46" s="365"/>
      <c r="AOS46" s="365" t="s">
        <v>108</v>
      </c>
      <c r="AOT46" s="365"/>
      <c r="AOU46" s="365"/>
      <c r="AOV46" s="365"/>
      <c r="AOW46" s="365" t="s">
        <v>108</v>
      </c>
      <c r="AOX46" s="365"/>
      <c r="AOY46" s="365"/>
      <c r="AOZ46" s="365"/>
      <c r="APA46" s="365" t="s">
        <v>108</v>
      </c>
      <c r="APB46" s="365"/>
      <c r="APC46" s="365"/>
      <c r="APD46" s="365"/>
      <c r="APE46" s="365" t="s">
        <v>108</v>
      </c>
      <c r="APF46" s="365"/>
      <c r="APG46" s="365"/>
      <c r="APH46" s="365"/>
      <c r="API46" s="365" t="s">
        <v>108</v>
      </c>
      <c r="APJ46" s="365"/>
      <c r="APK46" s="365"/>
      <c r="APL46" s="365"/>
      <c r="APM46" s="365" t="s">
        <v>108</v>
      </c>
      <c r="APN46" s="365"/>
      <c r="APO46" s="365"/>
      <c r="APP46" s="365"/>
      <c r="APQ46" s="365" t="s">
        <v>108</v>
      </c>
      <c r="APR46" s="365"/>
      <c r="APS46" s="365"/>
      <c r="APT46" s="365"/>
      <c r="APU46" s="365" t="s">
        <v>108</v>
      </c>
      <c r="APV46" s="365"/>
      <c r="APW46" s="365"/>
      <c r="APX46" s="365"/>
      <c r="APY46" s="365" t="s">
        <v>108</v>
      </c>
      <c r="APZ46" s="365"/>
      <c r="AQA46" s="365"/>
      <c r="AQB46" s="365"/>
      <c r="AQC46" s="365" t="s">
        <v>108</v>
      </c>
      <c r="AQD46" s="365"/>
      <c r="AQE46" s="365"/>
      <c r="AQF46" s="365"/>
      <c r="AQG46" s="365" t="s">
        <v>108</v>
      </c>
      <c r="AQH46" s="365"/>
      <c r="AQI46" s="365"/>
      <c r="AQJ46" s="365"/>
      <c r="AQK46" s="365" t="s">
        <v>108</v>
      </c>
      <c r="AQL46" s="365"/>
      <c r="AQM46" s="365"/>
      <c r="AQN46" s="365"/>
      <c r="AQO46" s="365" t="s">
        <v>108</v>
      </c>
      <c r="AQP46" s="365"/>
      <c r="AQQ46" s="365"/>
      <c r="AQR46" s="365"/>
      <c r="AQS46" s="365" t="s">
        <v>108</v>
      </c>
      <c r="AQT46" s="365"/>
      <c r="AQU46" s="365"/>
      <c r="AQV46" s="365"/>
      <c r="AQW46" s="365" t="s">
        <v>108</v>
      </c>
      <c r="AQX46" s="365"/>
      <c r="AQY46" s="365"/>
      <c r="AQZ46" s="365"/>
      <c r="ARA46" s="365" t="s">
        <v>108</v>
      </c>
      <c r="ARB46" s="365"/>
      <c r="ARC46" s="365"/>
      <c r="ARD46" s="365"/>
      <c r="ARE46" s="365" t="s">
        <v>108</v>
      </c>
      <c r="ARF46" s="365"/>
      <c r="ARG46" s="365"/>
      <c r="ARH46" s="365"/>
      <c r="ARI46" s="365" t="s">
        <v>108</v>
      </c>
      <c r="ARJ46" s="365"/>
      <c r="ARK46" s="365"/>
      <c r="ARL46" s="365"/>
      <c r="ARM46" s="365" t="s">
        <v>108</v>
      </c>
      <c r="ARN46" s="365"/>
      <c r="ARO46" s="365"/>
      <c r="ARP46" s="365"/>
      <c r="ARQ46" s="365" t="s">
        <v>108</v>
      </c>
      <c r="ARR46" s="365"/>
      <c r="ARS46" s="365"/>
      <c r="ART46" s="365"/>
      <c r="ARU46" s="365" t="s">
        <v>108</v>
      </c>
      <c r="ARV46" s="365"/>
      <c r="ARW46" s="365"/>
      <c r="ARX46" s="365"/>
      <c r="ARY46" s="365" t="s">
        <v>108</v>
      </c>
      <c r="ARZ46" s="365"/>
      <c r="ASA46" s="365"/>
      <c r="ASB46" s="365"/>
      <c r="ASC46" s="365" t="s">
        <v>108</v>
      </c>
      <c r="ASD46" s="365"/>
      <c r="ASE46" s="365"/>
      <c r="ASF46" s="365"/>
      <c r="ASG46" s="365" t="s">
        <v>108</v>
      </c>
      <c r="ASH46" s="365"/>
      <c r="ASI46" s="365"/>
      <c r="ASJ46" s="365"/>
      <c r="ASK46" s="365" t="s">
        <v>108</v>
      </c>
      <c r="ASL46" s="365"/>
      <c r="ASM46" s="365"/>
      <c r="ASN46" s="365"/>
      <c r="ASO46" s="365" t="s">
        <v>108</v>
      </c>
      <c r="ASP46" s="365"/>
      <c r="ASQ46" s="365"/>
      <c r="ASR46" s="365"/>
      <c r="ASS46" s="365" t="s">
        <v>108</v>
      </c>
      <c r="AST46" s="365"/>
      <c r="ASU46" s="365"/>
      <c r="ASV46" s="365"/>
      <c r="ASW46" s="365" t="s">
        <v>108</v>
      </c>
      <c r="ASX46" s="365"/>
      <c r="ASY46" s="365"/>
      <c r="ASZ46" s="365"/>
      <c r="ATA46" s="365" t="s">
        <v>108</v>
      </c>
      <c r="ATB46" s="365"/>
      <c r="ATC46" s="365"/>
      <c r="ATD46" s="365"/>
      <c r="ATE46" s="365" t="s">
        <v>108</v>
      </c>
      <c r="ATF46" s="365"/>
      <c r="ATG46" s="365"/>
      <c r="ATH46" s="365"/>
      <c r="ATI46" s="365" t="s">
        <v>108</v>
      </c>
      <c r="ATJ46" s="365"/>
      <c r="ATK46" s="365"/>
      <c r="ATL46" s="365"/>
      <c r="ATM46" s="365" t="s">
        <v>108</v>
      </c>
      <c r="ATN46" s="365"/>
      <c r="ATO46" s="365"/>
      <c r="ATP46" s="365"/>
      <c r="ATQ46" s="365" t="s">
        <v>108</v>
      </c>
      <c r="ATR46" s="365"/>
      <c r="ATS46" s="365"/>
      <c r="ATT46" s="365"/>
      <c r="ATU46" s="365" t="s">
        <v>108</v>
      </c>
      <c r="ATV46" s="365"/>
      <c r="ATW46" s="365"/>
      <c r="ATX46" s="365"/>
      <c r="ATY46" s="365" t="s">
        <v>108</v>
      </c>
      <c r="ATZ46" s="365"/>
      <c r="AUA46" s="365"/>
      <c r="AUB46" s="365"/>
      <c r="AUC46" s="365" t="s">
        <v>108</v>
      </c>
      <c r="AUD46" s="365"/>
      <c r="AUE46" s="365"/>
      <c r="AUF46" s="365"/>
      <c r="AUG46" s="365" t="s">
        <v>108</v>
      </c>
      <c r="AUH46" s="365"/>
      <c r="AUI46" s="365"/>
      <c r="AUJ46" s="365"/>
      <c r="AUK46" s="365" t="s">
        <v>108</v>
      </c>
      <c r="AUL46" s="365"/>
      <c r="AUM46" s="365"/>
      <c r="AUN46" s="365"/>
      <c r="AUO46" s="365" t="s">
        <v>108</v>
      </c>
      <c r="AUP46" s="365"/>
      <c r="AUQ46" s="365"/>
      <c r="AUR46" s="365"/>
      <c r="AUS46" s="365" t="s">
        <v>108</v>
      </c>
      <c r="AUT46" s="365"/>
      <c r="AUU46" s="365"/>
      <c r="AUV46" s="365"/>
      <c r="AUW46" s="365" t="s">
        <v>108</v>
      </c>
      <c r="AUX46" s="365"/>
      <c r="AUY46" s="365"/>
      <c r="AUZ46" s="365"/>
      <c r="AVA46" s="365" t="s">
        <v>108</v>
      </c>
      <c r="AVB46" s="365"/>
      <c r="AVC46" s="365"/>
      <c r="AVD46" s="365"/>
      <c r="AVE46" s="365" t="s">
        <v>108</v>
      </c>
      <c r="AVF46" s="365"/>
      <c r="AVG46" s="365"/>
      <c r="AVH46" s="365"/>
      <c r="AVI46" s="365" t="s">
        <v>108</v>
      </c>
      <c r="AVJ46" s="365"/>
      <c r="AVK46" s="365"/>
      <c r="AVL46" s="365"/>
      <c r="AVM46" s="365" t="s">
        <v>108</v>
      </c>
      <c r="AVN46" s="365"/>
      <c r="AVO46" s="365"/>
      <c r="AVP46" s="365"/>
      <c r="AVQ46" s="365" t="s">
        <v>108</v>
      </c>
      <c r="AVR46" s="365"/>
      <c r="AVS46" s="365"/>
      <c r="AVT46" s="365"/>
      <c r="AVU46" s="365" t="s">
        <v>108</v>
      </c>
      <c r="AVV46" s="365"/>
      <c r="AVW46" s="365"/>
      <c r="AVX46" s="365"/>
      <c r="AVY46" s="365" t="s">
        <v>108</v>
      </c>
      <c r="AVZ46" s="365"/>
      <c r="AWA46" s="365"/>
      <c r="AWB46" s="365"/>
      <c r="AWC46" s="365" t="s">
        <v>108</v>
      </c>
      <c r="AWD46" s="365"/>
      <c r="AWE46" s="365"/>
      <c r="AWF46" s="365"/>
      <c r="AWG46" s="365" t="s">
        <v>108</v>
      </c>
      <c r="AWH46" s="365"/>
      <c r="AWI46" s="365"/>
      <c r="AWJ46" s="365"/>
      <c r="AWK46" s="365" t="s">
        <v>108</v>
      </c>
      <c r="AWL46" s="365"/>
      <c r="AWM46" s="365"/>
      <c r="AWN46" s="365"/>
      <c r="AWO46" s="365" t="s">
        <v>108</v>
      </c>
      <c r="AWP46" s="365"/>
      <c r="AWQ46" s="365"/>
      <c r="AWR46" s="365"/>
      <c r="AWS46" s="365" t="s">
        <v>108</v>
      </c>
      <c r="AWT46" s="365"/>
      <c r="AWU46" s="365"/>
      <c r="AWV46" s="365"/>
      <c r="AWW46" s="365" t="s">
        <v>108</v>
      </c>
      <c r="AWX46" s="365"/>
      <c r="AWY46" s="365"/>
      <c r="AWZ46" s="365"/>
      <c r="AXA46" s="365" t="s">
        <v>108</v>
      </c>
      <c r="AXB46" s="365"/>
      <c r="AXC46" s="365"/>
      <c r="AXD46" s="365"/>
      <c r="AXE46" s="365" t="s">
        <v>108</v>
      </c>
      <c r="AXF46" s="365"/>
      <c r="AXG46" s="365"/>
      <c r="AXH46" s="365"/>
      <c r="AXI46" s="365" t="s">
        <v>108</v>
      </c>
      <c r="AXJ46" s="365"/>
      <c r="AXK46" s="365"/>
      <c r="AXL46" s="365"/>
      <c r="AXM46" s="365" t="s">
        <v>108</v>
      </c>
      <c r="AXN46" s="365"/>
      <c r="AXO46" s="365"/>
      <c r="AXP46" s="365"/>
      <c r="AXQ46" s="365" t="s">
        <v>108</v>
      </c>
      <c r="AXR46" s="365"/>
      <c r="AXS46" s="365"/>
      <c r="AXT46" s="365"/>
      <c r="AXU46" s="365" t="s">
        <v>108</v>
      </c>
      <c r="AXV46" s="365"/>
      <c r="AXW46" s="365"/>
      <c r="AXX46" s="365"/>
      <c r="AXY46" s="365" t="s">
        <v>108</v>
      </c>
      <c r="AXZ46" s="365"/>
      <c r="AYA46" s="365"/>
      <c r="AYB46" s="365"/>
      <c r="AYC46" s="365" t="s">
        <v>108</v>
      </c>
      <c r="AYD46" s="365"/>
      <c r="AYE46" s="365"/>
      <c r="AYF46" s="365"/>
      <c r="AYG46" s="365" t="s">
        <v>108</v>
      </c>
      <c r="AYH46" s="365"/>
      <c r="AYI46" s="365"/>
      <c r="AYJ46" s="365"/>
      <c r="AYK46" s="365" t="s">
        <v>108</v>
      </c>
      <c r="AYL46" s="365"/>
      <c r="AYM46" s="365"/>
      <c r="AYN46" s="365"/>
      <c r="AYO46" s="365" t="s">
        <v>108</v>
      </c>
      <c r="AYP46" s="365"/>
      <c r="AYQ46" s="365"/>
      <c r="AYR46" s="365"/>
      <c r="AYS46" s="365" t="s">
        <v>108</v>
      </c>
      <c r="AYT46" s="365"/>
      <c r="AYU46" s="365"/>
      <c r="AYV46" s="365"/>
      <c r="AYW46" s="365" t="s">
        <v>108</v>
      </c>
      <c r="AYX46" s="365"/>
      <c r="AYY46" s="365"/>
      <c r="AYZ46" s="365"/>
      <c r="AZA46" s="365" t="s">
        <v>108</v>
      </c>
      <c r="AZB46" s="365"/>
      <c r="AZC46" s="365"/>
      <c r="AZD46" s="365"/>
      <c r="AZE46" s="365" t="s">
        <v>108</v>
      </c>
      <c r="AZF46" s="365"/>
      <c r="AZG46" s="365"/>
      <c r="AZH46" s="365"/>
      <c r="AZI46" s="365" t="s">
        <v>108</v>
      </c>
      <c r="AZJ46" s="365"/>
      <c r="AZK46" s="365"/>
      <c r="AZL46" s="365"/>
      <c r="AZM46" s="365" t="s">
        <v>108</v>
      </c>
      <c r="AZN46" s="365"/>
      <c r="AZO46" s="365"/>
      <c r="AZP46" s="365"/>
      <c r="AZQ46" s="365" t="s">
        <v>108</v>
      </c>
      <c r="AZR46" s="365"/>
      <c r="AZS46" s="365"/>
      <c r="AZT46" s="365"/>
      <c r="AZU46" s="365" t="s">
        <v>108</v>
      </c>
      <c r="AZV46" s="365"/>
      <c r="AZW46" s="365"/>
      <c r="AZX46" s="365"/>
      <c r="AZY46" s="365" t="s">
        <v>108</v>
      </c>
      <c r="AZZ46" s="365"/>
      <c r="BAA46" s="365"/>
      <c r="BAB46" s="365"/>
      <c r="BAC46" s="365" t="s">
        <v>108</v>
      </c>
      <c r="BAD46" s="365"/>
      <c r="BAE46" s="365"/>
      <c r="BAF46" s="365"/>
      <c r="BAG46" s="365" t="s">
        <v>108</v>
      </c>
      <c r="BAH46" s="365"/>
      <c r="BAI46" s="365"/>
      <c r="BAJ46" s="365"/>
      <c r="BAK46" s="365" t="s">
        <v>108</v>
      </c>
      <c r="BAL46" s="365"/>
      <c r="BAM46" s="365"/>
      <c r="BAN46" s="365"/>
      <c r="BAO46" s="365" t="s">
        <v>108</v>
      </c>
      <c r="BAP46" s="365"/>
      <c r="BAQ46" s="365"/>
      <c r="BAR46" s="365"/>
      <c r="BAS46" s="365" t="s">
        <v>108</v>
      </c>
      <c r="BAT46" s="365"/>
      <c r="BAU46" s="365"/>
      <c r="BAV46" s="365"/>
      <c r="BAW46" s="365" t="s">
        <v>108</v>
      </c>
      <c r="BAX46" s="365"/>
      <c r="BAY46" s="365"/>
      <c r="BAZ46" s="365"/>
      <c r="BBA46" s="365" t="s">
        <v>108</v>
      </c>
      <c r="BBB46" s="365"/>
      <c r="BBC46" s="365"/>
      <c r="BBD46" s="365"/>
      <c r="BBE46" s="365" t="s">
        <v>108</v>
      </c>
      <c r="BBF46" s="365"/>
      <c r="BBG46" s="365"/>
      <c r="BBH46" s="365"/>
      <c r="BBI46" s="365" t="s">
        <v>108</v>
      </c>
      <c r="BBJ46" s="365"/>
      <c r="BBK46" s="365"/>
      <c r="BBL46" s="365"/>
      <c r="BBM46" s="365" t="s">
        <v>108</v>
      </c>
      <c r="BBN46" s="365"/>
      <c r="BBO46" s="365"/>
      <c r="BBP46" s="365"/>
      <c r="BBQ46" s="365" t="s">
        <v>108</v>
      </c>
      <c r="BBR46" s="365"/>
      <c r="BBS46" s="365"/>
      <c r="BBT46" s="365"/>
      <c r="BBU46" s="365" t="s">
        <v>108</v>
      </c>
      <c r="BBV46" s="365"/>
      <c r="BBW46" s="365"/>
      <c r="BBX46" s="365"/>
      <c r="BBY46" s="365" t="s">
        <v>108</v>
      </c>
      <c r="BBZ46" s="365"/>
      <c r="BCA46" s="365"/>
      <c r="BCB46" s="365"/>
      <c r="BCC46" s="365" t="s">
        <v>108</v>
      </c>
      <c r="BCD46" s="365"/>
      <c r="BCE46" s="365"/>
      <c r="BCF46" s="365"/>
      <c r="BCG46" s="365" t="s">
        <v>108</v>
      </c>
      <c r="BCH46" s="365"/>
      <c r="BCI46" s="365"/>
      <c r="BCJ46" s="365"/>
      <c r="BCK46" s="365" t="s">
        <v>108</v>
      </c>
      <c r="BCL46" s="365"/>
      <c r="BCM46" s="365"/>
      <c r="BCN46" s="365"/>
      <c r="BCO46" s="365" t="s">
        <v>108</v>
      </c>
      <c r="BCP46" s="365"/>
      <c r="BCQ46" s="365"/>
      <c r="BCR46" s="365"/>
      <c r="BCS46" s="365" t="s">
        <v>108</v>
      </c>
      <c r="BCT46" s="365"/>
      <c r="BCU46" s="365"/>
      <c r="BCV46" s="365"/>
      <c r="BCW46" s="365" t="s">
        <v>108</v>
      </c>
      <c r="BCX46" s="365"/>
      <c r="BCY46" s="365"/>
      <c r="BCZ46" s="365"/>
      <c r="BDA46" s="365" t="s">
        <v>108</v>
      </c>
      <c r="BDB46" s="365"/>
      <c r="BDC46" s="365"/>
      <c r="BDD46" s="365"/>
      <c r="BDE46" s="365" t="s">
        <v>108</v>
      </c>
      <c r="BDF46" s="365"/>
      <c r="BDG46" s="365"/>
      <c r="BDH46" s="365"/>
      <c r="BDI46" s="365" t="s">
        <v>108</v>
      </c>
      <c r="BDJ46" s="365"/>
      <c r="BDK46" s="365"/>
      <c r="BDL46" s="365"/>
      <c r="BDM46" s="365" t="s">
        <v>108</v>
      </c>
      <c r="BDN46" s="365"/>
      <c r="BDO46" s="365"/>
      <c r="BDP46" s="365"/>
      <c r="BDQ46" s="365" t="s">
        <v>108</v>
      </c>
      <c r="BDR46" s="365"/>
      <c r="BDS46" s="365"/>
      <c r="BDT46" s="365"/>
      <c r="BDU46" s="365" t="s">
        <v>108</v>
      </c>
      <c r="BDV46" s="365"/>
      <c r="BDW46" s="365"/>
      <c r="BDX46" s="365"/>
      <c r="BDY46" s="365" t="s">
        <v>108</v>
      </c>
      <c r="BDZ46" s="365"/>
      <c r="BEA46" s="365"/>
      <c r="BEB46" s="365"/>
      <c r="BEC46" s="365" t="s">
        <v>108</v>
      </c>
      <c r="BED46" s="365"/>
      <c r="BEE46" s="365"/>
      <c r="BEF46" s="365"/>
      <c r="BEG46" s="365" t="s">
        <v>108</v>
      </c>
      <c r="BEH46" s="365"/>
      <c r="BEI46" s="365"/>
      <c r="BEJ46" s="365"/>
      <c r="BEK46" s="365" t="s">
        <v>108</v>
      </c>
      <c r="BEL46" s="365"/>
      <c r="BEM46" s="365"/>
      <c r="BEN46" s="365"/>
      <c r="BEO46" s="365" t="s">
        <v>108</v>
      </c>
      <c r="BEP46" s="365"/>
      <c r="BEQ46" s="365"/>
      <c r="BER46" s="365"/>
      <c r="BES46" s="365" t="s">
        <v>108</v>
      </c>
      <c r="BET46" s="365"/>
      <c r="BEU46" s="365"/>
      <c r="BEV46" s="365"/>
      <c r="BEW46" s="365" t="s">
        <v>108</v>
      </c>
      <c r="BEX46" s="365"/>
      <c r="BEY46" s="365"/>
      <c r="BEZ46" s="365"/>
      <c r="BFA46" s="365" t="s">
        <v>108</v>
      </c>
      <c r="BFB46" s="365"/>
      <c r="BFC46" s="365"/>
      <c r="BFD46" s="365"/>
      <c r="BFE46" s="365" t="s">
        <v>108</v>
      </c>
      <c r="BFF46" s="365"/>
      <c r="BFG46" s="365"/>
      <c r="BFH46" s="365"/>
      <c r="BFI46" s="365" t="s">
        <v>108</v>
      </c>
      <c r="BFJ46" s="365"/>
      <c r="BFK46" s="365"/>
      <c r="BFL46" s="365"/>
      <c r="BFM46" s="365" t="s">
        <v>108</v>
      </c>
      <c r="BFN46" s="365"/>
      <c r="BFO46" s="365"/>
      <c r="BFP46" s="365"/>
      <c r="BFQ46" s="365" t="s">
        <v>108</v>
      </c>
      <c r="BFR46" s="365"/>
      <c r="BFS46" s="365"/>
      <c r="BFT46" s="365"/>
      <c r="BFU46" s="365" t="s">
        <v>108</v>
      </c>
      <c r="BFV46" s="365"/>
      <c r="BFW46" s="365"/>
      <c r="BFX46" s="365"/>
      <c r="BFY46" s="365" t="s">
        <v>108</v>
      </c>
      <c r="BFZ46" s="365"/>
      <c r="BGA46" s="365"/>
      <c r="BGB46" s="365"/>
      <c r="BGC46" s="365" t="s">
        <v>108</v>
      </c>
      <c r="BGD46" s="365"/>
      <c r="BGE46" s="365"/>
      <c r="BGF46" s="365"/>
      <c r="BGG46" s="365" t="s">
        <v>108</v>
      </c>
      <c r="BGH46" s="365"/>
      <c r="BGI46" s="365"/>
      <c r="BGJ46" s="365"/>
      <c r="BGK46" s="365" t="s">
        <v>108</v>
      </c>
      <c r="BGL46" s="365"/>
      <c r="BGM46" s="365"/>
      <c r="BGN46" s="365"/>
      <c r="BGO46" s="365" t="s">
        <v>108</v>
      </c>
      <c r="BGP46" s="365"/>
      <c r="BGQ46" s="365"/>
      <c r="BGR46" s="365"/>
      <c r="BGS46" s="365" t="s">
        <v>108</v>
      </c>
      <c r="BGT46" s="365"/>
      <c r="BGU46" s="365"/>
      <c r="BGV46" s="365"/>
      <c r="BGW46" s="365" t="s">
        <v>108</v>
      </c>
      <c r="BGX46" s="365"/>
      <c r="BGY46" s="365"/>
      <c r="BGZ46" s="365"/>
      <c r="BHA46" s="365" t="s">
        <v>108</v>
      </c>
      <c r="BHB46" s="365"/>
      <c r="BHC46" s="365"/>
      <c r="BHD46" s="365"/>
      <c r="BHE46" s="365" t="s">
        <v>108</v>
      </c>
      <c r="BHF46" s="365"/>
      <c r="BHG46" s="365"/>
      <c r="BHH46" s="365"/>
      <c r="BHI46" s="365" t="s">
        <v>108</v>
      </c>
      <c r="BHJ46" s="365"/>
      <c r="BHK46" s="365"/>
      <c r="BHL46" s="365"/>
      <c r="BHM46" s="365" t="s">
        <v>108</v>
      </c>
      <c r="BHN46" s="365"/>
      <c r="BHO46" s="365"/>
      <c r="BHP46" s="365"/>
      <c r="BHQ46" s="365" t="s">
        <v>108</v>
      </c>
      <c r="BHR46" s="365"/>
      <c r="BHS46" s="365"/>
      <c r="BHT46" s="365"/>
      <c r="BHU46" s="365" t="s">
        <v>108</v>
      </c>
      <c r="BHV46" s="365"/>
      <c r="BHW46" s="365"/>
      <c r="BHX46" s="365"/>
      <c r="BHY46" s="365" t="s">
        <v>108</v>
      </c>
      <c r="BHZ46" s="365"/>
      <c r="BIA46" s="365"/>
      <c r="BIB46" s="365"/>
      <c r="BIC46" s="365" t="s">
        <v>108</v>
      </c>
      <c r="BID46" s="365"/>
      <c r="BIE46" s="365"/>
      <c r="BIF46" s="365"/>
      <c r="BIG46" s="365" t="s">
        <v>108</v>
      </c>
      <c r="BIH46" s="365"/>
      <c r="BII46" s="365"/>
      <c r="BIJ46" s="365"/>
      <c r="BIK46" s="365" t="s">
        <v>108</v>
      </c>
      <c r="BIL46" s="365"/>
      <c r="BIM46" s="365"/>
      <c r="BIN46" s="365"/>
      <c r="BIO46" s="365" t="s">
        <v>108</v>
      </c>
      <c r="BIP46" s="365"/>
      <c r="BIQ46" s="365"/>
      <c r="BIR46" s="365"/>
      <c r="BIS46" s="365" t="s">
        <v>108</v>
      </c>
      <c r="BIT46" s="365"/>
      <c r="BIU46" s="365"/>
      <c r="BIV46" s="365"/>
      <c r="BIW46" s="365" t="s">
        <v>108</v>
      </c>
      <c r="BIX46" s="365"/>
      <c r="BIY46" s="365"/>
      <c r="BIZ46" s="365"/>
      <c r="BJA46" s="365" t="s">
        <v>108</v>
      </c>
      <c r="BJB46" s="365"/>
      <c r="BJC46" s="365"/>
      <c r="BJD46" s="365"/>
      <c r="BJE46" s="365" t="s">
        <v>108</v>
      </c>
      <c r="BJF46" s="365"/>
      <c r="BJG46" s="365"/>
      <c r="BJH46" s="365"/>
      <c r="BJI46" s="365" t="s">
        <v>108</v>
      </c>
      <c r="BJJ46" s="365"/>
      <c r="BJK46" s="365"/>
      <c r="BJL46" s="365"/>
      <c r="BJM46" s="365" t="s">
        <v>108</v>
      </c>
      <c r="BJN46" s="365"/>
      <c r="BJO46" s="365"/>
      <c r="BJP46" s="365"/>
      <c r="BJQ46" s="365" t="s">
        <v>108</v>
      </c>
      <c r="BJR46" s="365"/>
      <c r="BJS46" s="365"/>
      <c r="BJT46" s="365"/>
      <c r="BJU46" s="365" t="s">
        <v>108</v>
      </c>
      <c r="BJV46" s="365"/>
      <c r="BJW46" s="365"/>
      <c r="BJX46" s="365"/>
      <c r="BJY46" s="365" t="s">
        <v>108</v>
      </c>
      <c r="BJZ46" s="365"/>
      <c r="BKA46" s="365"/>
      <c r="BKB46" s="365"/>
      <c r="BKC46" s="365" t="s">
        <v>108</v>
      </c>
      <c r="BKD46" s="365"/>
      <c r="BKE46" s="365"/>
      <c r="BKF46" s="365"/>
      <c r="BKG46" s="365" t="s">
        <v>108</v>
      </c>
      <c r="BKH46" s="365"/>
      <c r="BKI46" s="365"/>
      <c r="BKJ46" s="365"/>
      <c r="BKK46" s="365" t="s">
        <v>108</v>
      </c>
      <c r="BKL46" s="365"/>
      <c r="BKM46" s="365"/>
      <c r="BKN46" s="365"/>
      <c r="BKO46" s="365" t="s">
        <v>108</v>
      </c>
      <c r="BKP46" s="365"/>
      <c r="BKQ46" s="365"/>
      <c r="BKR46" s="365"/>
      <c r="BKS46" s="365" t="s">
        <v>108</v>
      </c>
      <c r="BKT46" s="365"/>
      <c r="BKU46" s="365"/>
      <c r="BKV46" s="365"/>
      <c r="BKW46" s="365" t="s">
        <v>108</v>
      </c>
      <c r="BKX46" s="365"/>
      <c r="BKY46" s="365"/>
      <c r="BKZ46" s="365"/>
      <c r="BLA46" s="365" t="s">
        <v>108</v>
      </c>
      <c r="BLB46" s="365"/>
      <c r="BLC46" s="365"/>
      <c r="BLD46" s="365"/>
      <c r="BLE46" s="365" t="s">
        <v>108</v>
      </c>
      <c r="BLF46" s="365"/>
      <c r="BLG46" s="365"/>
      <c r="BLH46" s="365"/>
      <c r="BLI46" s="365" t="s">
        <v>108</v>
      </c>
      <c r="BLJ46" s="365"/>
      <c r="BLK46" s="365"/>
      <c r="BLL46" s="365"/>
      <c r="BLM46" s="365" t="s">
        <v>108</v>
      </c>
      <c r="BLN46" s="365"/>
      <c r="BLO46" s="365"/>
      <c r="BLP46" s="365"/>
      <c r="BLQ46" s="365" t="s">
        <v>108</v>
      </c>
      <c r="BLR46" s="365"/>
      <c r="BLS46" s="365"/>
      <c r="BLT46" s="365"/>
      <c r="BLU46" s="365" t="s">
        <v>108</v>
      </c>
      <c r="BLV46" s="365"/>
      <c r="BLW46" s="365"/>
      <c r="BLX46" s="365"/>
      <c r="BLY46" s="365" t="s">
        <v>108</v>
      </c>
      <c r="BLZ46" s="365"/>
      <c r="BMA46" s="365"/>
      <c r="BMB46" s="365"/>
      <c r="BMC46" s="365" t="s">
        <v>108</v>
      </c>
      <c r="BMD46" s="365"/>
      <c r="BME46" s="365"/>
      <c r="BMF46" s="365"/>
      <c r="BMG46" s="365" t="s">
        <v>108</v>
      </c>
      <c r="BMH46" s="365"/>
      <c r="BMI46" s="365"/>
      <c r="BMJ46" s="365"/>
      <c r="BMK46" s="365" t="s">
        <v>108</v>
      </c>
      <c r="BML46" s="365"/>
      <c r="BMM46" s="365"/>
      <c r="BMN46" s="365"/>
      <c r="BMO46" s="365" t="s">
        <v>108</v>
      </c>
      <c r="BMP46" s="365"/>
      <c r="BMQ46" s="365"/>
      <c r="BMR46" s="365"/>
      <c r="BMS46" s="365" t="s">
        <v>108</v>
      </c>
      <c r="BMT46" s="365"/>
      <c r="BMU46" s="365"/>
      <c r="BMV46" s="365"/>
      <c r="BMW46" s="365" t="s">
        <v>108</v>
      </c>
      <c r="BMX46" s="365"/>
      <c r="BMY46" s="365"/>
      <c r="BMZ46" s="365"/>
      <c r="BNA46" s="365" t="s">
        <v>108</v>
      </c>
      <c r="BNB46" s="365"/>
      <c r="BNC46" s="365"/>
      <c r="BND46" s="365"/>
      <c r="BNE46" s="365" t="s">
        <v>108</v>
      </c>
      <c r="BNF46" s="365"/>
      <c r="BNG46" s="365"/>
      <c r="BNH46" s="365"/>
      <c r="BNI46" s="365" t="s">
        <v>108</v>
      </c>
      <c r="BNJ46" s="365"/>
      <c r="BNK46" s="365"/>
      <c r="BNL46" s="365"/>
      <c r="BNM46" s="365" t="s">
        <v>108</v>
      </c>
      <c r="BNN46" s="365"/>
      <c r="BNO46" s="365"/>
      <c r="BNP46" s="365"/>
      <c r="BNQ46" s="365" t="s">
        <v>108</v>
      </c>
      <c r="BNR46" s="365"/>
      <c r="BNS46" s="365"/>
      <c r="BNT46" s="365"/>
      <c r="BNU46" s="365" t="s">
        <v>108</v>
      </c>
      <c r="BNV46" s="365"/>
      <c r="BNW46" s="365"/>
      <c r="BNX46" s="365"/>
      <c r="BNY46" s="365" t="s">
        <v>108</v>
      </c>
      <c r="BNZ46" s="365"/>
      <c r="BOA46" s="365"/>
      <c r="BOB46" s="365"/>
      <c r="BOC46" s="365" t="s">
        <v>108</v>
      </c>
      <c r="BOD46" s="365"/>
      <c r="BOE46" s="365"/>
      <c r="BOF46" s="365"/>
      <c r="BOG46" s="365" t="s">
        <v>108</v>
      </c>
      <c r="BOH46" s="365"/>
      <c r="BOI46" s="365"/>
      <c r="BOJ46" s="365"/>
      <c r="BOK46" s="365" t="s">
        <v>108</v>
      </c>
      <c r="BOL46" s="365"/>
      <c r="BOM46" s="365"/>
      <c r="BON46" s="365"/>
      <c r="BOO46" s="365" t="s">
        <v>108</v>
      </c>
      <c r="BOP46" s="365"/>
      <c r="BOQ46" s="365"/>
      <c r="BOR46" s="365"/>
      <c r="BOS46" s="365" t="s">
        <v>108</v>
      </c>
      <c r="BOT46" s="365"/>
      <c r="BOU46" s="365"/>
      <c r="BOV46" s="365"/>
      <c r="BOW46" s="365" t="s">
        <v>108</v>
      </c>
      <c r="BOX46" s="365"/>
      <c r="BOY46" s="365"/>
      <c r="BOZ46" s="365"/>
      <c r="BPA46" s="365" t="s">
        <v>108</v>
      </c>
      <c r="BPB46" s="365"/>
      <c r="BPC46" s="365"/>
      <c r="BPD46" s="365"/>
      <c r="BPE46" s="365" t="s">
        <v>108</v>
      </c>
      <c r="BPF46" s="365"/>
      <c r="BPG46" s="365"/>
      <c r="BPH46" s="365"/>
      <c r="BPI46" s="365" t="s">
        <v>108</v>
      </c>
      <c r="BPJ46" s="365"/>
      <c r="BPK46" s="365"/>
      <c r="BPL46" s="365"/>
      <c r="BPM46" s="365" t="s">
        <v>108</v>
      </c>
      <c r="BPN46" s="365"/>
      <c r="BPO46" s="365"/>
      <c r="BPP46" s="365"/>
      <c r="BPQ46" s="365" t="s">
        <v>108</v>
      </c>
      <c r="BPR46" s="365"/>
      <c r="BPS46" s="365"/>
      <c r="BPT46" s="365"/>
      <c r="BPU46" s="365" t="s">
        <v>108</v>
      </c>
      <c r="BPV46" s="365"/>
      <c r="BPW46" s="365"/>
      <c r="BPX46" s="365"/>
      <c r="BPY46" s="365" t="s">
        <v>108</v>
      </c>
      <c r="BPZ46" s="365"/>
      <c r="BQA46" s="365"/>
      <c r="BQB46" s="365"/>
      <c r="BQC46" s="365" t="s">
        <v>108</v>
      </c>
      <c r="BQD46" s="365"/>
      <c r="BQE46" s="365"/>
      <c r="BQF46" s="365"/>
      <c r="BQG46" s="365" t="s">
        <v>108</v>
      </c>
      <c r="BQH46" s="365"/>
      <c r="BQI46" s="365"/>
      <c r="BQJ46" s="365"/>
      <c r="BQK46" s="365" t="s">
        <v>108</v>
      </c>
      <c r="BQL46" s="365"/>
      <c r="BQM46" s="365"/>
      <c r="BQN46" s="365"/>
      <c r="BQO46" s="365" t="s">
        <v>108</v>
      </c>
      <c r="BQP46" s="365"/>
      <c r="BQQ46" s="365"/>
      <c r="BQR46" s="365"/>
      <c r="BQS46" s="365" t="s">
        <v>108</v>
      </c>
      <c r="BQT46" s="365"/>
      <c r="BQU46" s="365"/>
      <c r="BQV46" s="365"/>
      <c r="BQW46" s="365" t="s">
        <v>108</v>
      </c>
      <c r="BQX46" s="365"/>
      <c r="BQY46" s="365"/>
      <c r="BQZ46" s="365"/>
      <c r="BRA46" s="365" t="s">
        <v>108</v>
      </c>
      <c r="BRB46" s="365"/>
      <c r="BRC46" s="365"/>
      <c r="BRD46" s="365"/>
      <c r="BRE46" s="365" t="s">
        <v>108</v>
      </c>
      <c r="BRF46" s="365"/>
      <c r="BRG46" s="365"/>
      <c r="BRH46" s="365"/>
      <c r="BRI46" s="365" t="s">
        <v>108</v>
      </c>
      <c r="BRJ46" s="365"/>
      <c r="BRK46" s="365"/>
      <c r="BRL46" s="365"/>
      <c r="BRM46" s="365" t="s">
        <v>108</v>
      </c>
      <c r="BRN46" s="365"/>
      <c r="BRO46" s="365"/>
      <c r="BRP46" s="365"/>
      <c r="BRQ46" s="365" t="s">
        <v>108</v>
      </c>
      <c r="BRR46" s="365"/>
      <c r="BRS46" s="365"/>
      <c r="BRT46" s="365"/>
      <c r="BRU46" s="365" t="s">
        <v>108</v>
      </c>
      <c r="BRV46" s="365"/>
      <c r="BRW46" s="365"/>
      <c r="BRX46" s="365"/>
      <c r="BRY46" s="365" t="s">
        <v>108</v>
      </c>
      <c r="BRZ46" s="365"/>
      <c r="BSA46" s="365"/>
      <c r="BSB46" s="365"/>
      <c r="BSC46" s="365" t="s">
        <v>108</v>
      </c>
      <c r="BSD46" s="365"/>
      <c r="BSE46" s="365"/>
      <c r="BSF46" s="365"/>
      <c r="BSG46" s="365" t="s">
        <v>108</v>
      </c>
      <c r="BSH46" s="365"/>
      <c r="BSI46" s="365"/>
      <c r="BSJ46" s="365"/>
      <c r="BSK46" s="365" t="s">
        <v>108</v>
      </c>
      <c r="BSL46" s="365"/>
      <c r="BSM46" s="365"/>
      <c r="BSN46" s="365"/>
      <c r="BSO46" s="365" t="s">
        <v>108</v>
      </c>
      <c r="BSP46" s="365"/>
      <c r="BSQ46" s="365"/>
      <c r="BSR46" s="365"/>
      <c r="BSS46" s="365" t="s">
        <v>108</v>
      </c>
      <c r="BST46" s="365"/>
      <c r="BSU46" s="365"/>
      <c r="BSV46" s="365"/>
      <c r="BSW46" s="365" t="s">
        <v>108</v>
      </c>
      <c r="BSX46" s="365"/>
      <c r="BSY46" s="365"/>
      <c r="BSZ46" s="365"/>
      <c r="BTA46" s="365" t="s">
        <v>108</v>
      </c>
      <c r="BTB46" s="365"/>
      <c r="BTC46" s="365"/>
      <c r="BTD46" s="365"/>
      <c r="BTE46" s="365" t="s">
        <v>108</v>
      </c>
      <c r="BTF46" s="365"/>
      <c r="BTG46" s="365"/>
      <c r="BTH46" s="365"/>
      <c r="BTI46" s="365" t="s">
        <v>108</v>
      </c>
      <c r="BTJ46" s="365"/>
      <c r="BTK46" s="365"/>
      <c r="BTL46" s="365"/>
      <c r="BTM46" s="365" t="s">
        <v>108</v>
      </c>
      <c r="BTN46" s="365"/>
      <c r="BTO46" s="365"/>
      <c r="BTP46" s="365"/>
      <c r="BTQ46" s="365" t="s">
        <v>108</v>
      </c>
      <c r="BTR46" s="365"/>
      <c r="BTS46" s="365"/>
      <c r="BTT46" s="365"/>
      <c r="BTU46" s="365" t="s">
        <v>108</v>
      </c>
      <c r="BTV46" s="365"/>
      <c r="BTW46" s="365"/>
      <c r="BTX46" s="365"/>
      <c r="BTY46" s="365" t="s">
        <v>108</v>
      </c>
      <c r="BTZ46" s="365"/>
      <c r="BUA46" s="365"/>
      <c r="BUB46" s="365"/>
      <c r="BUC46" s="365" t="s">
        <v>108</v>
      </c>
      <c r="BUD46" s="365"/>
      <c r="BUE46" s="365"/>
      <c r="BUF46" s="365"/>
      <c r="BUG46" s="365" t="s">
        <v>108</v>
      </c>
      <c r="BUH46" s="365"/>
      <c r="BUI46" s="365"/>
      <c r="BUJ46" s="365"/>
      <c r="BUK46" s="365" t="s">
        <v>108</v>
      </c>
      <c r="BUL46" s="365"/>
      <c r="BUM46" s="365"/>
      <c r="BUN46" s="365"/>
      <c r="BUO46" s="365" t="s">
        <v>108</v>
      </c>
      <c r="BUP46" s="365"/>
      <c r="BUQ46" s="365"/>
      <c r="BUR46" s="365"/>
      <c r="BUS46" s="365" t="s">
        <v>108</v>
      </c>
      <c r="BUT46" s="365"/>
      <c r="BUU46" s="365"/>
      <c r="BUV46" s="365"/>
      <c r="BUW46" s="365" t="s">
        <v>108</v>
      </c>
      <c r="BUX46" s="365"/>
      <c r="BUY46" s="365"/>
      <c r="BUZ46" s="365"/>
      <c r="BVA46" s="365" t="s">
        <v>108</v>
      </c>
      <c r="BVB46" s="365"/>
      <c r="BVC46" s="365"/>
      <c r="BVD46" s="365"/>
      <c r="BVE46" s="365" t="s">
        <v>108</v>
      </c>
      <c r="BVF46" s="365"/>
      <c r="BVG46" s="365"/>
      <c r="BVH46" s="365"/>
      <c r="BVI46" s="365" t="s">
        <v>108</v>
      </c>
      <c r="BVJ46" s="365"/>
      <c r="BVK46" s="365"/>
      <c r="BVL46" s="365"/>
      <c r="BVM46" s="365" t="s">
        <v>108</v>
      </c>
      <c r="BVN46" s="365"/>
      <c r="BVO46" s="365"/>
      <c r="BVP46" s="365"/>
      <c r="BVQ46" s="365" t="s">
        <v>108</v>
      </c>
      <c r="BVR46" s="365"/>
      <c r="BVS46" s="365"/>
      <c r="BVT46" s="365"/>
      <c r="BVU46" s="365" t="s">
        <v>108</v>
      </c>
      <c r="BVV46" s="365"/>
      <c r="BVW46" s="365"/>
      <c r="BVX46" s="365"/>
      <c r="BVY46" s="365" t="s">
        <v>108</v>
      </c>
      <c r="BVZ46" s="365"/>
      <c r="BWA46" s="365"/>
      <c r="BWB46" s="365"/>
      <c r="BWC46" s="365" t="s">
        <v>108</v>
      </c>
      <c r="BWD46" s="365"/>
      <c r="BWE46" s="365"/>
      <c r="BWF46" s="365"/>
      <c r="BWG46" s="365" t="s">
        <v>108</v>
      </c>
      <c r="BWH46" s="365"/>
      <c r="BWI46" s="365"/>
      <c r="BWJ46" s="365"/>
      <c r="BWK46" s="365" t="s">
        <v>108</v>
      </c>
      <c r="BWL46" s="365"/>
      <c r="BWM46" s="365"/>
      <c r="BWN46" s="365"/>
      <c r="BWO46" s="365" t="s">
        <v>108</v>
      </c>
      <c r="BWP46" s="365"/>
      <c r="BWQ46" s="365"/>
      <c r="BWR46" s="365"/>
      <c r="BWS46" s="365" t="s">
        <v>108</v>
      </c>
      <c r="BWT46" s="365"/>
      <c r="BWU46" s="365"/>
      <c r="BWV46" s="365"/>
      <c r="BWW46" s="365" t="s">
        <v>108</v>
      </c>
      <c r="BWX46" s="365"/>
      <c r="BWY46" s="365"/>
      <c r="BWZ46" s="365"/>
      <c r="BXA46" s="365" t="s">
        <v>108</v>
      </c>
      <c r="BXB46" s="365"/>
      <c r="BXC46" s="365"/>
      <c r="BXD46" s="365"/>
      <c r="BXE46" s="365" t="s">
        <v>108</v>
      </c>
      <c r="BXF46" s="365"/>
      <c r="BXG46" s="365"/>
      <c r="BXH46" s="365"/>
      <c r="BXI46" s="365" t="s">
        <v>108</v>
      </c>
      <c r="BXJ46" s="365"/>
      <c r="BXK46" s="365"/>
      <c r="BXL46" s="365"/>
      <c r="BXM46" s="365" t="s">
        <v>108</v>
      </c>
      <c r="BXN46" s="365"/>
      <c r="BXO46" s="365"/>
      <c r="BXP46" s="365"/>
      <c r="BXQ46" s="365" t="s">
        <v>108</v>
      </c>
      <c r="BXR46" s="365"/>
      <c r="BXS46" s="365"/>
      <c r="BXT46" s="365"/>
      <c r="BXU46" s="365" t="s">
        <v>108</v>
      </c>
      <c r="BXV46" s="365"/>
      <c r="BXW46" s="365"/>
      <c r="BXX46" s="365"/>
      <c r="BXY46" s="365" t="s">
        <v>108</v>
      </c>
      <c r="BXZ46" s="365"/>
      <c r="BYA46" s="365"/>
      <c r="BYB46" s="365"/>
      <c r="BYC46" s="365" t="s">
        <v>108</v>
      </c>
      <c r="BYD46" s="365"/>
      <c r="BYE46" s="365"/>
      <c r="BYF46" s="365"/>
      <c r="BYG46" s="365" t="s">
        <v>108</v>
      </c>
      <c r="BYH46" s="365"/>
      <c r="BYI46" s="365"/>
      <c r="BYJ46" s="365"/>
      <c r="BYK46" s="365" t="s">
        <v>108</v>
      </c>
      <c r="BYL46" s="365"/>
      <c r="BYM46" s="365"/>
      <c r="BYN46" s="365"/>
      <c r="BYO46" s="365" t="s">
        <v>108</v>
      </c>
      <c r="BYP46" s="365"/>
      <c r="BYQ46" s="365"/>
      <c r="BYR46" s="365"/>
      <c r="BYS46" s="365" t="s">
        <v>108</v>
      </c>
      <c r="BYT46" s="365"/>
      <c r="BYU46" s="365"/>
      <c r="BYV46" s="365"/>
      <c r="BYW46" s="365" t="s">
        <v>108</v>
      </c>
      <c r="BYX46" s="365"/>
      <c r="BYY46" s="365"/>
      <c r="BYZ46" s="365"/>
      <c r="BZA46" s="365" t="s">
        <v>108</v>
      </c>
      <c r="BZB46" s="365"/>
      <c r="BZC46" s="365"/>
      <c r="BZD46" s="365"/>
      <c r="BZE46" s="365" t="s">
        <v>108</v>
      </c>
      <c r="BZF46" s="365"/>
      <c r="BZG46" s="365"/>
      <c r="BZH46" s="365"/>
      <c r="BZI46" s="365" t="s">
        <v>108</v>
      </c>
      <c r="BZJ46" s="365"/>
      <c r="BZK46" s="365"/>
      <c r="BZL46" s="365"/>
      <c r="BZM46" s="365" t="s">
        <v>108</v>
      </c>
      <c r="BZN46" s="365"/>
      <c r="BZO46" s="365"/>
      <c r="BZP46" s="365"/>
      <c r="BZQ46" s="365" t="s">
        <v>108</v>
      </c>
      <c r="BZR46" s="365"/>
      <c r="BZS46" s="365"/>
      <c r="BZT46" s="365"/>
      <c r="BZU46" s="365" t="s">
        <v>108</v>
      </c>
      <c r="BZV46" s="365"/>
      <c r="BZW46" s="365"/>
      <c r="BZX46" s="365"/>
      <c r="BZY46" s="365" t="s">
        <v>108</v>
      </c>
      <c r="BZZ46" s="365"/>
      <c r="CAA46" s="365"/>
      <c r="CAB46" s="365"/>
      <c r="CAC46" s="365" t="s">
        <v>108</v>
      </c>
      <c r="CAD46" s="365"/>
      <c r="CAE46" s="365"/>
      <c r="CAF46" s="365"/>
      <c r="CAG46" s="365" t="s">
        <v>108</v>
      </c>
      <c r="CAH46" s="365"/>
      <c r="CAI46" s="365"/>
      <c r="CAJ46" s="365"/>
      <c r="CAK46" s="365" t="s">
        <v>108</v>
      </c>
      <c r="CAL46" s="365"/>
      <c r="CAM46" s="365"/>
      <c r="CAN46" s="365"/>
      <c r="CAO46" s="365" t="s">
        <v>108</v>
      </c>
      <c r="CAP46" s="365"/>
      <c r="CAQ46" s="365"/>
      <c r="CAR46" s="365"/>
      <c r="CAS46" s="365" t="s">
        <v>108</v>
      </c>
      <c r="CAT46" s="365"/>
      <c r="CAU46" s="365"/>
      <c r="CAV46" s="365"/>
      <c r="CAW46" s="365" t="s">
        <v>108</v>
      </c>
      <c r="CAX46" s="365"/>
      <c r="CAY46" s="365"/>
      <c r="CAZ46" s="365"/>
      <c r="CBA46" s="365" t="s">
        <v>108</v>
      </c>
      <c r="CBB46" s="365"/>
      <c r="CBC46" s="365"/>
      <c r="CBD46" s="365"/>
      <c r="CBE46" s="365" t="s">
        <v>108</v>
      </c>
      <c r="CBF46" s="365"/>
      <c r="CBG46" s="365"/>
      <c r="CBH46" s="365"/>
      <c r="CBI46" s="365" t="s">
        <v>108</v>
      </c>
      <c r="CBJ46" s="365"/>
      <c r="CBK46" s="365"/>
      <c r="CBL46" s="365"/>
      <c r="CBM46" s="365" t="s">
        <v>108</v>
      </c>
      <c r="CBN46" s="365"/>
      <c r="CBO46" s="365"/>
      <c r="CBP46" s="365"/>
      <c r="CBQ46" s="365" t="s">
        <v>108</v>
      </c>
      <c r="CBR46" s="365"/>
      <c r="CBS46" s="365"/>
      <c r="CBT46" s="365"/>
      <c r="CBU46" s="365" t="s">
        <v>108</v>
      </c>
      <c r="CBV46" s="365"/>
      <c r="CBW46" s="365"/>
      <c r="CBX46" s="365"/>
      <c r="CBY46" s="365" t="s">
        <v>108</v>
      </c>
      <c r="CBZ46" s="365"/>
      <c r="CCA46" s="365"/>
      <c r="CCB46" s="365"/>
      <c r="CCC46" s="365" t="s">
        <v>108</v>
      </c>
      <c r="CCD46" s="365"/>
      <c r="CCE46" s="365"/>
      <c r="CCF46" s="365"/>
      <c r="CCG46" s="365" t="s">
        <v>108</v>
      </c>
      <c r="CCH46" s="365"/>
      <c r="CCI46" s="365"/>
      <c r="CCJ46" s="365"/>
      <c r="CCK46" s="365" t="s">
        <v>108</v>
      </c>
      <c r="CCL46" s="365"/>
      <c r="CCM46" s="365"/>
      <c r="CCN46" s="365"/>
      <c r="CCO46" s="365" t="s">
        <v>108</v>
      </c>
      <c r="CCP46" s="365"/>
      <c r="CCQ46" s="365"/>
      <c r="CCR46" s="365"/>
      <c r="CCS46" s="365" t="s">
        <v>108</v>
      </c>
      <c r="CCT46" s="365"/>
      <c r="CCU46" s="365"/>
      <c r="CCV46" s="365"/>
      <c r="CCW46" s="365" t="s">
        <v>108</v>
      </c>
      <c r="CCX46" s="365"/>
      <c r="CCY46" s="365"/>
      <c r="CCZ46" s="365"/>
      <c r="CDA46" s="365" t="s">
        <v>108</v>
      </c>
      <c r="CDB46" s="365"/>
      <c r="CDC46" s="365"/>
      <c r="CDD46" s="365"/>
      <c r="CDE46" s="365" t="s">
        <v>108</v>
      </c>
      <c r="CDF46" s="365"/>
      <c r="CDG46" s="365"/>
      <c r="CDH46" s="365"/>
      <c r="CDI46" s="365" t="s">
        <v>108</v>
      </c>
      <c r="CDJ46" s="365"/>
      <c r="CDK46" s="365"/>
      <c r="CDL46" s="365"/>
      <c r="CDM46" s="365" t="s">
        <v>108</v>
      </c>
      <c r="CDN46" s="365"/>
      <c r="CDO46" s="365"/>
      <c r="CDP46" s="365"/>
      <c r="CDQ46" s="365" t="s">
        <v>108</v>
      </c>
      <c r="CDR46" s="365"/>
      <c r="CDS46" s="365"/>
      <c r="CDT46" s="365"/>
      <c r="CDU46" s="365" t="s">
        <v>108</v>
      </c>
      <c r="CDV46" s="365"/>
      <c r="CDW46" s="365"/>
      <c r="CDX46" s="365"/>
      <c r="CDY46" s="365" t="s">
        <v>108</v>
      </c>
      <c r="CDZ46" s="365"/>
      <c r="CEA46" s="365"/>
      <c r="CEB46" s="365"/>
      <c r="CEC46" s="365" t="s">
        <v>108</v>
      </c>
      <c r="CED46" s="365"/>
      <c r="CEE46" s="365"/>
      <c r="CEF46" s="365"/>
      <c r="CEG46" s="365" t="s">
        <v>108</v>
      </c>
      <c r="CEH46" s="365"/>
      <c r="CEI46" s="365"/>
      <c r="CEJ46" s="365"/>
      <c r="CEK46" s="365" t="s">
        <v>108</v>
      </c>
      <c r="CEL46" s="365"/>
      <c r="CEM46" s="365"/>
      <c r="CEN46" s="365"/>
      <c r="CEO46" s="365" t="s">
        <v>108</v>
      </c>
      <c r="CEP46" s="365"/>
      <c r="CEQ46" s="365"/>
      <c r="CER46" s="365"/>
      <c r="CES46" s="365" t="s">
        <v>108</v>
      </c>
      <c r="CET46" s="365"/>
      <c r="CEU46" s="365"/>
      <c r="CEV46" s="365"/>
      <c r="CEW46" s="365" t="s">
        <v>108</v>
      </c>
      <c r="CEX46" s="365"/>
      <c r="CEY46" s="365"/>
      <c r="CEZ46" s="365"/>
      <c r="CFA46" s="365" t="s">
        <v>108</v>
      </c>
      <c r="CFB46" s="365"/>
      <c r="CFC46" s="365"/>
      <c r="CFD46" s="365"/>
      <c r="CFE46" s="365" t="s">
        <v>108</v>
      </c>
      <c r="CFF46" s="365"/>
      <c r="CFG46" s="365"/>
      <c r="CFH46" s="365"/>
      <c r="CFI46" s="365" t="s">
        <v>108</v>
      </c>
      <c r="CFJ46" s="365"/>
      <c r="CFK46" s="365"/>
      <c r="CFL46" s="365"/>
      <c r="CFM46" s="365" t="s">
        <v>108</v>
      </c>
      <c r="CFN46" s="365"/>
      <c r="CFO46" s="365"/>
      <c r="CFP46" s="365"/>
      <c r="CFQ46" s="365" t="s">
        <v>108</v>
      </c>
      <c r="CFR46" s="365"/>
      <c r="CFS46" s="365"/>
      <c r="CFT46" s="365"/>
      <c r="CFU46" s="365" t="s">
        <v>108</v>
      </c>
      <c r="CFV46" s="365"/>
      <c r="CFW46" s="365"/>
      <c r="CFX46" s="365"/>
      <c r="CFY46" s="365" t="s">
        <v>108</v>
      </c>
      <c r="CFZ46" s="365"/>
      <c r="CGA46" s="365"/>
      <c r="CGB46" s="365"/>
      <c r="CGC46" s="365" t="s">
        <v>108</v>
      </c>
      <c r="CGD46" s="365"/>
      <c r="CGE46" s="365"/>
      <c r="CGF46" s="365"/>
      <c r="CGG46" s="365" t="s">
        <v>108</v>
      </c>
      <c r="CGH46" s="365"/>
      <c r="CGI46" s="365"/>
      <c r="CGJ46" s="365"/>
      <c r="CGK46" s="365" t="s">
        <v>108</v>
      </c>
      <c r="CGL46" s="365"/>
      <c r="CGM46" s="365"/>
      <c r="CGN46" s="365"/>
      <c r="CGO46" s="365" t="s">
        <v>108</v>
      </c>
      <c r="CGP46" s="365"/>
      <c r="CGQ46" s="365"/>
      <c r="CGR46" s="365"/>
      <c r="CGS46" s="365" t="s">
        <v>108</v>
      </c>
      <c r="CGT46" s="365"/>
      <c r="CGU46" s="365"/>
      <c r="CGV46" s="365"/>
      <c r="CGW46" s="365" t="s">
        <v>108</v>
      </c>
      <c r="CGX46" s="365"/>
      <c r="CGY46" s="365"/>
      <c r="CGZ46" s="365"/>
      <c r="CHA46" s="365" t="s">
        <v>108</v>
      </c>
      <c r="CHB46" s="365"/>
      <c r="CHC46" s="365"/>
      <c r="CHD46" s="365"/>
      <c r="CHE46" s="365" t="s">
        <v>108</v>
      </c>
      <c r="CHF46" s="365"/>
      <c r="CHG46" s="365"/>
      <c r="CHH46" s="365"/>
      <c r="CHI46" s="365" t="s">
        <v>108</v>
      </c>
      <c r="CHJ46" s="365"/>
      <c r="CHK46" s="365"/>
      <c r="CHL46" s="365"/>
      <c r="CHM46" s="365" t="s">
        <v>108</v>
      </c>
      <c r="CHN46" s="365"/>
      <c r="CHO46" s="365"/>
      <c r="CHP46" s="365"/>
      <c r="CHQ46" s="365" t="s">
        <v>108</v>
      </c>
      <c r="CHR46" s="365"/>
      <c r="CHS46" s="365"/>
      <c r="CHT46" s="365"/>
      <c r="CHU46" s="365" t="s">
        <v>108</v>
      </c>
      <c r="CHV46" s="365"/>
      <c r="CHW46" s="365"/>
      <c r="CHX46" s="365"/>
      <c r="CHY46" s="365" t="s">
        <v>108</v>
      </c>
      <c r="CHZ46" s="365"/>
      <c r="CIA46" s="365"/>
      <c r="CIB46" s="365"/>
      <c r="CIC46" s="365" t="s">
        <v>108</v>
      </c>
      <c r="CID46" s="365"/>
      <c r="CIE46" s="365"/>
      <c r="CIF46" s="365"/>
      <c r="CIG46" s="365" t="s">
        <v>108</v>
      </c>
      <c r="CIH46" s="365"/>
      <c r="CII46" s="365"/>
      <c r="CIJ46" s="365"/>
      <c r="CIK46" s="365" t="s">
        <v>108</v>
      </c>
      <c r="CIL46" s="365"/>
      <c r="CIM46" s="365"/>
      <c r="CIN46" s="365"/>
      <c r="CIO46" s="365" t="s">
        <v>108</v>
      </c>
      <c r="CIP46" s="365"/>
      <c r="CIQ46" s="365"/>
      <c r="CIR46" s="365"/>
      <c r="CIS46" s="365" t="s">
        <v>108</v>
      </c>
      <c r="CIT46" s="365"/>
      <c r="CIU46" s="365"/>
      <c r="CIV46" s="365"/>
      <c r="CIW46" s="365" t="s">
        <v>108</v>
      </c>
      <c r="CIX46" s="365"/>
      <c r="CIY46" s="365"/>
      <c r="CIZ46" s="365"/>
      <c r="CJA46" s="365" t="s">
        <v>108</v>
      </c>
      <c r="CJB46" s="365"/>
      <c r="CJC46" s="365"/>
      <c r="CJD46" s="365"/>
      <c r="CJE46" s="365" t="s">
        <v>108</v>
      </c>
      <c r="CJF46" s="365"/>
      <c r="CJG46" s="365"/>
      <c r="CJH46" s="365"/>
      <c r="CJI46" s="365" t="s">
        <v>108</v>
      </c>
      <c r="CJJ46" s="365"/>
      <c r="CJK46" s="365"/>
      <c r="CJL46" s="365"/>
      <c r="CJM46" s="365" t="s">
        <v>108</v>
      </c>
      <c r="CJN46" s="365"/>
      <c r="CJO46" s="365"/>
      <c r="CJP46" s="365"/>
      <c r="CJQ46" s="365" t="s">
        <v>108</v>
      </c>
      <c r="CJR46" s="365"/>
      <c r="CJS46" s="365"/>
      <c r="CJT46" s="365"/>
      <c r="CJU46" s="365" t="s">
        <v>108</v>
      </c>
      <c r="CJV46" s="365"/>
      <c r="CJW46" s="365"/>
      <c r="CJX46" s="365"/>
      <c r="CJY46" s="365" t="s">
        <v>108</v>
      </c>
      <c r="CJZ46" s="365"/>
      <c r="CKA46" s="365"/>
      <c r="CKB46" s="365"/>
      <c r="CKC46" s="365" t="s">
        <v>108</v>
      </c>
      <c r="CKD46" s="365"/>
      <c r="CKE46" s="365"/>
      <c r="CKF46" s="365"/>
      <c r="CKG46" s="365" t="s">
        <v>108</v>
      </c>
      <c r="CKH46" s="365"/>
      <c r="CKI46" s="365"/>
      <c r="CKJ46" s="365"/>
      <c r="CKK46" s="365" t="s">
        <v>108</v>
      </c>
      <c r="CKL46" s="365"/>
      <c r="CKM46" s="365"/>
      <c r="CKN46" s="365"/>
      <c r="CKO46" s="365" t="s">
        <v>108</v>
      </c>
      <c r="CKP46" s="365"/>
      <c r="CKQ46" s="365"/>
      <c r="CKR46" s="365"/>
      <c r="CKS46" s="365" t="s">
        <v>108</v>
      </c>
      <c r="CKT46" s="365"/>
      <c r="CKU46" s="365"/>
      <c r="CKV46" s="365"/>
      <c r="CKW46" s="365" t="s">
        <v>108</v>
      </c>
      <c r="CKX46" s="365"/>
      <c r="CKY46" s="365"/>
      <c r="CKZ46" s="365"/>
      <c r="CLA46" s="365" t="s">
        <v>108</v>
      </c>
      <c r="CLB46" s="365"/>
      <c r="CLC46" s="365"/>
      <c r="CLD46" s="365"/>
      <c r="CLE46" s="365" t="s">
        <v>108</v>
      </c>
      <c r="CLF46" s="365"/>
      <c r="CLG46" s="365"/>
      <c r="CLH46" s="365"/>
      <c r="CLI46" s="365" t="s">
        <v>108</v>
      </c>
      <c r="CLJ46" s="365"/>
      <c r="CLK46" s="365"/>
      <c r="CLL46" s="365"/>
      <c r="CLM46" s="365" t="s">
        <v>108</v>
      </c>
      <c r="CLN46" s="365"/>
      <c r="CLO46" s="365"/>
      <c r="CLP46" s="365"/>
      <c r="CLQ46" s="365" t="s">
        <v>108</v>
      </c>
      <c r="CLR46" s="365"/>
      <c r="CLS46" s="365"/>
      <c r="CLT46" s="365"/>
      <c r="CLU46" s="365" t="s">
        <v>108</v>
      </c>
      <c r="CLV46" s="365"/>
      <c r="CLW46" s="365"/>
      <c r="CLX46" s="365"/>
      <c r="CLY46" s="365" t="s">
        <v>108</v>
      </c>
      <c r="CLZ46" s="365"/>
      <c r="CMA46" s="365"/>
      <c r="CMB46" s="365"/>
      <c r="CMC46" s="365" t="s">
        <v>108</v>
      </c>
      <c r="CMD46" s="365"/>
      <c r="CME46" s="365"/>
      <c r="CMF46" s="365"/>
      <c r="CMG46" s="365" t="s">
        <v>108</v>
      </c>
      <c r="CMH46" s="365"/>
      <c r="CMI46" s="365"/>
      <c r="CMJ46" s="365"/>
      <c r="CMK46" s="365" t="s">
        <v>108</v>
      </c>
      <c r="CML46" s="365"/>
      <c r="CMM46" s="365"/>
      <c r="CMN46" s="365"/>
      <c r="CMO46" s="365" t="s">
        <v>108</v>
      </c>
      <c r="CMP46" s="365"/>
      <c r="CMQ46" s="365"/>
      <c r="CMR46" s="365"/>
      <c r="CMS46" s="365" t="s">
        <v>108</v>
      </c>
      <c r="CMT46" s="365"/>
      <c r="CMU46" s="365"/>
      <c r="CMV46" s="365"/>
      <c r="CMW46" s="365" t="s">
        <v>108</v>
      </c>
      <c r="CMX46" s="365"/>
      <c r="CMY46" s="365"/>
      <c r="CMZ46" s="365"/>
      <c r="CNA46" s="365" t="s">
        <v>108</v>
      </c>
      <c r="CNB46" s="365"/>
      <c r="CNC46" s="365"/>
      <c r="CND46" s="365"/>
      <c r="CNE46" s="365" t="s">
        <v>108</v>
      </c>
      <c r="CNF46" s="365"/>
      <c r="CNG46" s="365"/>
      <c r="CNH46" s="365"/>
      <c r="CNI46" s="365" t="s">
        <v>108</v>
      </c>
      <c r="CNJ46" s="365"/>
      <c r="CNK46" s="365"/>
      <c r="CNL46" s="365"/>
      <c r="CNM46" s="365" t="s">
        <v>108</v>
      </c>
      <c r="CNN46" s="365"/>
      <c r="CNO46" s="365"/>
      <c r="CNP46" s="365"/>
      <c r="CNQ46" s="365" t="s">
        <v>108</v>
      </c>
      <c r="CNR46" s="365"/>
      <c r="CNS46" s="365"/>
      <c r="CNT46" s="365"/>
      <c r="CNU46" s="365" t="s">
        <v>108</v>
      </c>
      <c r="CNV46" s="365"/>
      <c r="CNW46" s="365"/>
      <c r="CNX46" s="365"/>
      <c r="CNY46" s="365" t="s">
        <v>108</v>
      </c>
      <c r="CNZ46" s="365"/>
      <c r="COA46" s="365"/>
      <c r="COB46" s="365"/>
      <c r="COC46" s="365" t="s">
        <v>108</v>
      </c>
      <c r="COD46" s="365"/>
      <c r="COE46" s="365"/>
      <c r="COF46" s="365"/>
      <c r="COG46" s="365" t="s">
        <v>108</v>
      </c>
      <c r="COH46" s="365"/>
      <c r="COI46" s="365"/>
      <c r="COJ46" s="365"/>
      <c r="COK46" s="365" t="s">
        <v>108</v>
      </c>
      <c r="COL46" s="365"/>
      <c r="COM46" s="365"/>
      <c r="CON46" s="365"/>
      <c r="COO46" s="365" t="s">
        <v>108</v>
      </c>
      <c r="COP46" s="365"/>
      <c r="COQ46" s="365"/>
      <c r="COR46" s="365"/>
      <c r="COS46" s="365" t="s">
        <v>108</v>
      </c>
      <c r="COT46" s="365"/>
      <c r="COU46" s="365"/>
      <c r="COV46" s="365"/>
      <c r="COW46" s="365" t="s">
        <v>108</v>
      </c>
      <c r="COX46" s="365"/>
      <c r="COY46" s="365"/>
      <c r="COZ46" s="365"/>
      <c r="CPA46" s="365" t="s">
        <v>108</v>
      </c>
      <c r="CPB46" s="365"/>
      <c r="CPC46" s="365"/>
      <c r="CPD46" s="365"/>
      <c r="CPE46" s="365" t="s">
        <v>108</v>
      </c>
      <c r="CPF46" s="365"/>
      <c r="CPG46" s="365"/>
      <c r="CPH46" s="365"/>
      <c r="CPI46" s="365" t="s">
        <v>108</v>
      </c>
      <c r="CPJ46" s="365"/>
      <c r="CPK46" s="365"/>
      <c r="CPL46" s="365"/>
      <c r="CPM46" s="365" t="s">
        <v>108</v>
      </c>
      <c r="CPN46" s="365"/>
      <c r="CPO46" s="365"/>
      <c r="CPP46" s="365"/>
      <c r="CPQ46" s="365" t="s">
        <v>108</v>
      </c>
      <c r="CPR46" s="365"/>
      <c r="CPS46" s="365"/>
      <c r="CPT46" s="365"/>
      <c r="CPU46" s="365" t="s">
        <v>108</v>
      </c>
      <c r="CPV46" s="365"/>
      <c r="CPW46" s="365"/>
      <c r="CPX46" s="365"/>
      <c r="CPY46" s="365" t="s">
        <v>108</v>
      </c>
      <c r="CPZ46" s="365"/>
      <c r="CQA46" s="365"/>
      <c r="CQB46" s="365"/>
      <c r="CQC46" s="365" t="s">
        <v>108</v>
      </c>
      <c r="CQD46" s="365"/>
      <c r="CQE46" s="365"/>
      <c r="CQF46" s="365"/>
      <c r="CQG46" s="365" t="s">
        <v>108</v>
      </c>
      <c r="CQH46" s="365"/>
      <c r="CQI46" s="365"/>
      <c r="CQJ46" s="365"/>
      <c r="CQK46" s="365" t="s">
        <v>108</v>
      </c>
      <c r="CQL46" s="365"/>
      <c r="CQM46" s="365"/>
      <c r="CQN46" s="365"/>
      <c r="CQO46" s="365" t="s">
        <v>108</v>
      </c>
      <c r="CQP46" s="365"/>
      <c r="CQQ46" s="365"/>
      <c r="CQR46" s="365"/>
      <c r="CQS46" s="365" t="s">
        <v>108</v>
      </c>
      <c r="CQT46" s="365"/>
      <c r="CQU46" s="365"/>
      <c r="CQV46" s="365"/>
      <c r="CQW46" s="365" t="s">
        <v>108</v>
      </c>
      <c r="CQX46" s="365"/>
      <c r="CQY46" s="365"/>
      <c r="CQZ46" s="365"/>
      <c r="CRA46" s="365" t="s">
        <v>108</v>
      </c>
      <c r="CRB46" s="365"/>
      <c r="CRC46" s="365"/>
      <c r="CRD46" s="365"/>
      <c r="CRE46" s="365" t="s">
        <v>108</v>
      </c>
      <c r="CRF46" s="365"/>
      <c r="CRG46" s="365"/>
      <c r="CRH46" s="365"/>
      <c r="CRI46" s="365" t="s">
        <v>108</v>
      </c>
      <c r="CRJ46" s="365"/>
      <c r="CRK46" s="365"/>
      <c r="CRL46" s="365"/>
      <c r="CRM46" s="365" t="s">
        <v>108</v>
      </c>
      <c r="CRN46" s="365"/>
      <c r="CRO46" s="365"/>
      <c r="CRP46" s="365"/>
      <c r="CRQ46" s="365" t="s">
        <v>108</v>
      </c>
      <c r="CRR46" s="365"/>
      <c r="CRS46" s="365"/>
      <c r="CRT46" s="365"/>
      <c r="CRU46" s="365" t="s">
        <v>108</v>
      </c>
      <c r="CRV46" s="365"/>
      <c r="CRW46" s="365"/>
      <c r="CRX46" s="365"/>
      <c r="CRY46" s="365" t="s">
        <v>108</v>
      </c>
      <c r="CRZ46" s="365"/>
      <c r="CSA46" s="365"/>
      <c r="CSB46" s="365"/>
      <c r="CSC46" s="365" t="s">
        <v>108</v>
      </c>
      <c r="CSD46" s="365"/>
      <c r="CSE46" s="365"/>
      <c r="CSF46" s="365"/>
      <c r="CSG46" s="365" t="s">
        <v>108</v>
      </c>
      <c r="CSH46" s="365"/>
      <c r="CSI46" s="365"/>
      <c r="CSJ46" s="365"/>
      <c r="CSK46" s="365" t="s">
        <v>108</v>
      </c>
      <c r="CSL46" s="365"/>
      <c r="CSM46" s="365"/>
      <c r="CSN46" s="365"/>
      <c r="CSO46" s="365" t="s">
        <v>108</v>
      </c>
      <c r="CSP46" s="365"/>
      <c r="CSQ46" s="365"/>
      <c r="CSR46" s="365"/>
      <c r="CSS46" s="365" t="s">
        <v>108</v>
      </c>
      <c r="CST46" s="365"/>
      <c r="CSU46" s="365"/>
      <c r="CSV46" s="365"/>
      <c r="CSW46" s="365" t="s">
        <v>108</v>
      </c>
      <c r="CSX46" s="365"/>
      <c r="CSY46" s="365"/>
      <c r="CSZ46" s="365"/>
      <c r="CTA46" s="365" t="s">
        <v>108</v>
      </c>
      <c r="CTB46" s="365"/>
      <c r="CTC46" s="365"/>
      <c r="CTD46" s="365"/>
      <c r="CTE46" s="365" t="s">
        <v>108</v>
      </c>
      <c r="CTF46" s="365"/>
      <c r="CTG46" s="365"/>
      <c r="CTH46" s="365"/>
      <c r="CTI46" s="365" t="s">
        <v>108</v>
      </c>
      <c r="CTJ46" s="365"/>
      <c r="CTK46" s="365"/>
      <c r="CTL46" s="365"/>
      <c r="CTM46" s="365" t="s">
        <v>108</v>
      </c>
      <c r="CTN46" s="365"/>
      <c r="CTO46" s="365"/>
      <c r="CTP46" s="365"/>
      <c r="CTQ46" s="365" t="s">
        <v>108</v>
      </c>
      <c r="CTR46" s="365"/>
      <c r="CTS46" s="365"/>
      <c r="CTT46" s="365"/>
      <c r="CTU46" s="365" t="s">
        <v>108</v>
      </c>
      <c r="CTV46" s="365"/>
      <c r="CTW46" s="365"/>
      <c r="CTX46" s="365"/>
      <c r="CTY46" s="365" t="s">
        <v>108</v>
      </c>
      <c r="CTZ46" s="365"/>
      <c r="CUA46" s="365"/>
      <c r="CUB46" s="365"/>
      <c r="CUC46" s="365" t="s">
        <v>108</v>
      </c>
      <c r="CUD46" s="365"/>
      <c r="CUE46" s="365"/>
      <c r="CUF46" s="365"/>
      <c r="CUG46" s="365" t="s">
        <v>108</v>
      </c>
      <c r="CUH46" s="365"/>
      <c r="CUI46" s="365"/>
      <c r="CUJ46" s="365"/>
      <c r="CUK46" s="365" t="s">
        <v>108</v>
      </c>
      <c r="CUL46" s="365"/>
      <c r="CUM46" s="365"/>
      <c r="CUN46" s="365"/>
      <c r="CUO46" s="365" t="s">
        <v>108</v>
      </c>
      <c r="CUP46" s="365"/>
      <c r="CUQ46" s="365"/>
      <c r="CUR46" s="365"/>
      <c r="CUS46" s="365" t="s">
        <v>108</v>
      </c>
      <c r="CUT46" s="365"/>
      <c r="CUU46" s="365"/>
      <c r="CUV46" s="365"/>
      <c r="CUW46" s="365" t="s">
        <v>108</v>
      </c>
      <c r="CUX46" s="365"/>
      <c r="CUY46" s="365"/>
      <c r="CUZ46" s="365"/>
      <c r="CVA46" s="365" t="s">
        <v>108</v>
      </c>
      <c r="CVB46" s="365"/>
      <c r="CVC46" s="365"/>
      <c r="CVD46" s="365"/>
      <c r="CVE46" s="365" t="s">
        <v>108</v>
      </c>
      <c r="CVF46" s="365"/>
      <c r="CVG46" s="365"/>
      <c r="CVH46" s="365"/>
      <c r="CVI46" s="365" t="s">
        <v>108</v>
      </c>
      <c r="CVJ46" s="365"/>
      <c r="CVK46" s="365"/>
      <c r="CVL46" s="365"/>
      <c r="CVM46" s="365" t="s">
        <v>108</v>
      </c>
      <c r="CVN46" s="365"/>
      <c r="CVO46" s="365"/>
      <c r="CVP46" s="365"/>
      <c r="CVQ46" s="365" t="s">
        <v>108</v>
      </c>
      <c r="CVR46" s="365"/>
      <c r="CVS46" s="365"/>
      <c r="CVT46" s="365"/>
      <c r="CVU46" s="365" t="s">
        <v>108</v>
      </c>
      <c r="CVV46" s="365"/>
      <c r="CVW46" s="365"/>
      <c r="CVX46" s="365"/>
      <c r="CVY46" s="365" t="s">
        <v>108</v>
      </c>
      <c r="CVZ46" s="365"/>
      <c r="CWA46" s="365"/>
      <c r="CWB46" s="365"/>
      <c r="CWC46" s="365" t="s">
        <v>108</v>
      </c>
      <c r="CWD46" s="365"/>
      <c r="CWE46" s="365"/>
      <c r="CWF46" s="365"/>
      <c r="CWG46" s="365" t="s">
        <v>108</v>
      </c>
      <c r="CWH46" s="365"/>
      <c r="CWI46" s="365"/>
      <c r="CWJ46" s="365"/>
      <c r="CWK46" s="365" t="s">
        <v>108</v>
      </c>
      <c r="CWL46" s="365"/>
      <c r="CWM46" s="365"/>
      <c r="CWN46" s="365"/>
      <c r="CWO46" s="365" t="s">
        <v>108</v>
      </c>
      <c r="CWP46" s="365"/>
      <c r="CWQ46" s="365"/>
      <c r="CWR46" s="365"/>
      <c r="CWS46" s="365" t="s">
        <v>108</v>
      </c>
      <c r="CWT46" s="365"/>
      <c r="CWU46" s="365"/>
      <c r="CWV46" s="365"/>
      <c r="CWW46" s="365" t="s">
        <v>108</v>
      </c>
      <c r="CWX46" s="365"/>
      <c r="CWY46" s="365"/>
      <c r="CWZ46" s="365"/>
      <c r="CXA46" s="365" t="s">
        <v>108</v>
      </c>
      <c r="CXB46" s="365"/>
      <c r="CXC46" s="365"/>
      <c r="CXD46" s="365"/>
      <c r="CXE46" s="365" t="s">
        <v>108</v>
      </c>
      <c r="CXF46" s="365"/>
      <c r="CXG46" s="365"/>
      <c r="CXH46" s="365"/>
      <c r="CXI46" s="365" t="s">
        <v>108</v>
      </c>
      <c r="CXJ46" s="365"/>
      <c r="CXK46" s="365"/>
      <c r="CXL46" s="365"/>
      <c r="CXM46" s="365" t="s">
        <v>108</v>
      </c>
      <c r="CXN46" s="365"/>
      <c r="CXO46" s="365"/>
      <c r="CXP46" s="365"/>
      <c r="CXQ46" s="365" t="s">
        <v>108</v>
      </c>
      <c r="CXR46" s="365"/>
      <c r="CXS46" s="365"/>
      <c r="CXT46" s="365"/>
      <c r="CXU46" s="365" t="s">
        <v>108</v>
      </c>
      <c r="CXV46" s="365"/>
      <c r="CXW46" s="365"/>
      <c r="CXX46" s="365"/>
      <c r="CXY46" s="365" t="s">
        <v>108</v>
      </c>
      <c r="CXZ46" s="365"/>
      <c r="CYA46" s="365"/>
      <c r="CYB46" s="365"/>
      <c r="CYC46" s="365" t="s">
        <v>108</v>
      </c>
      <c r="CYD46" s="365"/>
      <c r="CYE46" s="365"/>
      <c r="CYF46" s="365"/>
      <c r="CYG46" s="365" t="s">
        <v>108</v>
      </c>
      <c r="CYH46" s="365"/>
      <c r="CYI46" s="365"/>
      <c r="CYJ46" s="365"/>
      <c r="CYK46" s="365" t="s">
        <v>108</v>
      </c>
      <c r="CYL46" s="365"/>
      <c r="CYM46" s="365"/>
      <c r="CYN46" s="365"/>
      <c r="CYO46" s="365" t="s">
        <v>108</v>
      </c>
      <c r="CYP46" s="365"/>
      <c r="CYQ46" s="365"/>
      <c r="CYR46" s="365"/>
      <c r="CYS46" s="365" t="s">
        <v>108</v>
      </c>
      <c r="CYT46" s="365"/>
      <c r="CYU46" s="365"/>
      <c r="CYV46" s="365"/>
      <c r="CYW46" s="365" t="s">
        <v>108</v>
      </c>
      <c r="CYX46" s="365"/>
      <c r="CYY46" s="365"/>
      <c r="CYZ46" s="365"/>
      <c r="CZA46" s="365" t="s">
        <v>108</v>
      </c>
      <c r="CZB46" s="365"/>
      <c r="CZC46" s="365"/>
      <c r="CZD46" s="365"/>
      <c r="CZE46" s="365" t="s">
        <v>108</v>
      </c>
      <c r="CZF46" s="365"/>
      <c r="CZG46" s="365"/>
      <c r="CZH46" s="365"/>
      <c r="CZI46" s="365" t="s">
        <v>108</v>
      </c>
      <c r="CZJ46" s="365"/>
      <c r="CZK46" s="365"/>
      <c r="CZL46" s="365"/>
      <c r="CZM46" s="365" t="s">
        <v>108</v>
      </c>
      <c r="CZN46" s="365"/>
      <c r="CZO46" s="365"/>
      <c r="CZP46" s="365"/>
      <c r="CZQ46" s="365" t="s">
        <v>108</v>
      </c>
      <c r="CZR46" s="365"/>
      <c r="CZS46" s="365"/>
      <c r="CZT46" s="365"/>
      <c r="CZU46" s="365" t="s">
        <v>108</v>
      </c>
      <c r="CZV46" s="365"/>
      <c r="CZW46" s="365"/>
      <c r="CZX46" s="365"/>
      <c r="CZY46" s="365" t="s">
        <v>108</v>
      </c>
      <c r="CZZ46" s="365"/>
      <c r="DAA46" s="365"/>
      <c r="DAB46" s="365"/>
      <c r="DAC46" s="365" t="s">
        <v>108</v>
      </c>
      <c r="DAD46" s="365"/>
      <c r="DAE46" s="365"/>
      <c r="DAF46" s="365"/>
      <c r="DAG46" s="365" t="s">
        <v>108</v>
      </c>
      <c r="DAH46" s="365"/>
      <c r="DAI46" s="365"/>
      <c r="DAJ46" s="365"/>
      <c r="DAK46" s="365" t="s">
        <v>108</v>
      </c>
      <c r="DAL46" s="365"/>
      <c r="DAM46" s="365"/>
      <c r="DAN46" s="365"/>
      <c r="DAO46" s="365" t="s">
        <v>108</v>
      </c>
      <c r="DAP46" s="365"/>
      <c r="DAQ46" s="365"/>
      <c r="DAR46" s="365"/>
      <c r="DAS46" s="365" t="s">
        <v>108</v>
      </c>
      <c r="DAT46" s="365"/>
      <c r="DAU46" s="365"/>
      <c r="DAV46" s="365"/>
      <c r="DAW46" s="365" t="s">
        <v>108</v>
      </c>
      <c r="DAX46" s="365"/>
      <c r="DAY46" s="365"/>
      <c r="DAZ46" s="365"/>
      <c r="DBA46" s="365" t="s">
        <v>108</v>
      </c>
      <c r="DBB46" s="365"/>
      <c r="DBC46" s="365"/>
      <c r="DBD46" s="365"/>
      <c r="DBE46" s="365" t="s">
        <v>108</v>
      </c>
      <c r="DBF46" s="365"/>
      <c r="DBG46" s="365"/>
      <c r="DBH46" s="365"/>
      <c r="DBI46" s="365" t="s">
        <v>108</v>
      </c>
      <c r="DBJ46" s="365"/>
      <c r="DBK46" s="365"/>
      <c r="DBL46" s="365"/>
      <c r="DBM46" s="365" t="s">
        <v>108</v>
      </c>
      <c r="DBN46" s="365"/>
      <c r="DBO46" s="365"/>
      <c r="DBP46" s="365"/>
      <c r="DBQ46" s="365" t="s">
        <v>108</v>
      </c>
      <c r="DBR46" s="365"/>
      <c r="DBS46" s="365"/>
      <c r="DBT46" s="365"/>
      <c r="DBU46" s="365" t="s">
        <v>108</v>
      </c>
      <c r="DBV46" s="365"/>
      <c r="DBW46" s="365"/>
      <c r="DBX46" s="365"/>
      <c r="DBY46" s="365" t="s">
        <v>108</v>
      </c>
      <c r="DBZ46" s="365"/>
      <c r="DCA46" s="365"/>
      <c r="DCB46" s="365"/>
      <c r="DCC46" s="365" t="s">
        <v>108</v>
      </c>
      <c r="DCD46" s="365"/>
      <c r="DCE46" s="365"/>
      <c r="DCF46" s="365"/>
      <c r="DCG46" s="365" t="s">
        <v>108</v>
      </c>
      <c r="DCH46" s="365"/>
      <c r="DCI46" s="365"/>
      <c r="DCJ46" s="365"/>
      <c r="DCK46" s="365" t="s">
        <v>108</v>
      </c>
      <c r="DCL46" s="365"/>
      <c r="DCM46" s="365"/>
      <c r="DCN46" s="365"/>
      <c r="DCO46" s="365" t="s">
        <v>108</v>
      </c>
      <c r="DCP46" s="365"/>
      <c r="DCQ46" s="365"/>
      <c r="DCR46" s="365"/>
      <c r="DCS46" s="365" t="s">
        <v>108</v>
      </c>
      <c r="DCT46" s="365"/>
      <c r="DCU46" s="365"/>
      <c r="DCV46" s="365"/>
      <c r="DCW46" s="365" t="s">
        <v>108</v>
      </c>
      <c r="DCX46" s="365"/>
      <c r="DCY46" s="365"/>
      <c r="DCZ46" s="365"/>
      <c r="DDA46" s="365" t="s">
        <v>108</v>
      </c>
      <c r="DDB46" s="365"/>
      <c r="DDC46" s="365"/>
      <c r="DDD46" s="365"/>
      <c r="DDE46" s="365" t="s">
        <v>108</v>
      </c>
      <c r="DDF46" s="365"/>
      <c r="DDG46" s="365"/>
      <c r="DDH46" s="365"/>
      <c r="DDI46" s="365" t="s">
        <v>108</v>
      </c>
      <c r="DDJ46" s="365"/>
      <c r="DDK46" s="365"/>
      <c r="DDL46" s="365"/>
      <c r="DDM46" s="365" t="s">
        <v>108</v>
      </c>
      <c r="DDN46" s="365"/>
      <c r="DDO46" s="365"/>
      <c r="DDP46" s="365"/>
      <c r="DDQ46" s="365" t="s">
        <v>108</v>
      </c>
      <c r="DDR46" s="365"/>
      <c r="DDS46" s="365"/>
      <c r="DDT46" s="365"/>
      <c r="DDU46" s="365" t="s">
        <v>108</v>
      </c>
      <c r="DDV46" s="365"/>
      <c r="DDW46" s="365"/>
      <c r="DDX46" s="365"/>
      <c r="DDY46" s="365" t="s">
        <v>108</v>
      </c>
      <c r="DDZ46" s="365"/>
      <c r="DEA46" s="365"/>
      <c r="DEB46" s="365"/>
      <c r="DEC46" s="365" t="s">
        <v>108</v>
      </c>
      <c r="DED46" s="365"/>
      <c r="DEE46" s="365"/>
      <c r="DEF46" s="365"/>
      <c r="DEG46" s="365" t="s">
        <v>108</v>
      </c>
      <c r="DEH46" s="365"/>
      <c r="DEI46" s="365"/>
      <c r="DEJ46" s="365"/>
      <c r="DEK46" s="365" t="s">
        <v>108</v>
      </c>
      <c r="DEL46" s="365"/>
      <c r="DEM46" s="365"/>
      <c r="DEN46" s="365"/>
      <c r="DEO46" s="365" t="s">
        <v>108</v>
      </c>
      <c r="DEP46" s="365"/>
      <c r="DEQ46" s="365"/>
      <c r="DER46" s="365"/>
      <c r="DES46" s="365" t="s">
        <v>108</v>
      </c>
      <c r="DET46" s="365"/>
      <c r="DEU46" s="365"/>
      <c r="DEV46" s="365"/>
      <c r="DEW46" s="365" t="s">
        <v>108</v>
      </c>
      <c r="DEX46" s="365"/>
      <c r="DEY46" s="365"/>
      <c r="DEZ46" s="365"/>
      <c r="DFA46" s="365" t="s">
        <v>108</v>
      </c>
      <c r="DFB46" s="365"/>
      <c r="DFC46" s="365"/>
      <c r="DFD46" s="365"/>
      <c r="DFE46" s="365" t="s">
        <v>108</v>
      </c>
      <c r="DFF46" s="365"/>
      <c r="DFG46" s="365"/>
      <c r="DFH46" s="365"/>
      <c r="DFI46" s="365" t="s">
        <v>108</v>
      </c>
      <c r="DFJ46" s="365"/>
      <c r="DFK46" s="365"/>
      <c r="DFL46" s="365"/>
      <c r="DFM46" s="365" t="s">
        <v>108</v>
      </c>
      <c r="DFN46" s="365"/>
      <c r="DFO46" s="365"/>
      <c r="DFP46" s="365"/>
      <c r="DFQ46" s="365" t="s">
        <v>108</v>
      </c>
      <c r="DFR46" s="365"/>
      <c r="DFS46" s="365"/>
      <c r="DFT46" s="365"/>
      <c r="DFU46" s="365" t="s">
        <v>108</v>
      </c>
      <c r="DFV46" s="365"/>
      <c r="DFW46" s="365"/>
      <c r="DFX46" s="365"/>
      <c r="DFY46" s="365" t="s">
        <v>108</v>
      </c>
      <c r="DFZ46" s="365"/>
      <c r="DGA46" s="365"/>
      <c r="DGB46" s="365"/>
      <c r="DGC46" s="365" t="s">
        <v>108</v>
      </c>
      <c r="DGD46" s="365"/>
      <c r="DGE46" s="365"/>
      <c r="DGF46" s="365"/>
      <c r="DGG46" s="365" t="s">
        <v>108</v>
      </c>
      <c r="DGH46" s="365"/>
      <c r="DGI46" s="365"/>
      <c r="DGJ46" s="365"/>
      <c r="DGK46" s="365" t="s">
        <v>108</v>
      </c>
      <c r="DGL46" s="365"/>
      <c r="DGM46" s="365"/>
      <c r="DGN46" s="365"/>
      <c r="DGO46" s="365" t="s">
        <v>108</v>
      </c>
      <c r="DGP46" s="365"/>
      <c r="DGQ46" s="365"/>
      <c r="DGR46" s="365"/>
      <c r="DGS46" s="365" t="s">
        <v>108</v>
      </c>
      <c r="DGT46" s="365"/>
      <c r="DGU46" s="365"/>
      <c r="DGV46" s="365"/>
      <c r="DGW46" s="365" t="s">
        <v>108</v>
      </c>
      <c r="DGX46" s="365"/>
      <c r="DGY46" s="365"/>
      <c r="DGZ46" s="365"/>
      <c r="DHA46" s="365" t="s">
        <v>108</v>
      </c>
      <c r="DHB46" s="365"/>
      <c r="DHC46" s="365"/>
      <c r="DHD46" s="365"/>
      <c r="DHE46" s="365" t="s">
        <v>108</v>
      </c>
      <c r="DHF46" s="365"/>
      <c r="DHG46" s="365"/>
      <c r="DHH46" s="365"/>
      <c r="DHI46" s="365" t="s">
        <v>108</v>
      </c>
      <c r="DHJ46" s="365"/>
      <c r="DHK46" s="365"/>
      <c r="DHL46" s="365"/>
      <c r="DHM46" s="365" t="s">
        <v>108</v>
      </c>
      <c r="DHN46" s="365"/>
      <c r="DHO46" s="365"/>
      <c r="DHP46" s="365"/>
      <c r="DHQ46" s="365" t="s">
        <v>108</v>
      </c>
      <c r="DHR46" s="365"/>
      <c r="DHS46" s="365"/>
      <c r="DHT46" s="365"/>
      <c r="DHU46" s="365" t="s">
        <v>108</v>
      </c>
      <c r="DHV46" s="365"/>
      <c r="DHW46" s="365"/>
      <c r="DHX46" s="365"/>
      <c r="DHY46" s="365" t="s">
        <v>108</v>
      </c>
      <c r="DHZ46" s="365"/>
      <c r="DIA46" s="365"/>
      <c r="DIB46" s="365"/>
      <c r="DIC46" s="365" t="s">
        <v>108</v>
      </c>
      <c r="DID46" s="365"/>
      <c r="DIE46" s="365"/>
      <c r="DIF46" s="365"/>
      <c r="DIG46" s="365" t="s">
        <v>108</v>
      </c>
      <c r="DIH46" s="365"/>
      <c r="DII46" s="365"/>
      <c r="DIJ46" s="365"/>
      <c r="DIK46" s="365" t="s">
        <v>108</v>
      </c>
      <c r="DIL46" s="365"/>
      <c r="DIM46" s="365"/>
      <c r="DIN46" s="365"/>
      <c r="DIO46" s="365" t="s">
        <v>108</v>
      </c>
      <c r="DIP46" s="365"/>
      <c r="DIQ46" s="365"/>
      <c r="DIR46" s="365"/>
      <c r="DIS46" s="365" t="s">
        <v>108</v>
      </c>
      <c r="DIT46" s="365"/>
      <c r="DIU46" s="365"/>
      <c r="DIV46" s="365"/>
      <c r="DIW46" s="365" t="s">
        <v>108</v>
      </c>
      <c r="DIX46" s="365"/>
      <c r="DIY46" s="365"/>
      <c r="DIZ46" s="365"/>
      <c r="DJA46" s="365" t="s">
        <v>108</v>
      </c>
      <c r="DJB46" s="365"/>
      <c r="DJC46" s="365"/>
      <c r="DJD46" s="365"/>
      <c r="DJE46" s="365" t="s">
        <v>108</v>
      </c>
      <c r="DJF46" s="365"/>
      <c r="DJG46" s="365"/>
      <c r="DJH46" s="365"/>
      <c r="DJI46" s="365" t="s">
        <v>108</v>
      </c>
      <c r="DJJ46" s="365"/>
      <c r="DJK46" s="365"/>
      <c r="DJL46" s="365"/>
      <c r="DJM46" s="365" t="s">
        <v>108</v>
      </c>
      <c r="DJN46" s="365"/>
      <c r="DJO46" s="365"/>
      <c r="DJP46" s="365"/>
      <c r="DJQ46" s="365" t="s">
        <v>108</v>
      </c>
      <c r="DJR46" s="365"/>
      <c r="DJS46" s="365"/>
      <c r="DJT46" s="365"/>
      <c r="DJU46" s="365" t="s">
        <v>108</v>
      </c>
      <c r="DJV46" s="365"/>
      <c r="DJW46" s="365"/>
      <c r="DJX46" s="365"/>
      <c r="DJY46" s="365" t="s">
        <v>108</v>
      </c>
      <c r="DJZ46" s="365"/>
      <c r="DKA46" s="365"/>
      <c r="DKB46" s="365"/>
      <c r="DKC46" s="365" t="s">
        <v>108</v>
      </c>
      <c r="DKD46" s="365"/>
      <c r="DKE46" s="365"/>
      <c r="DKF46" s="365"/>
      <c r="DKG46" s="365" t="s">
        <v>108</v>
      </c>
      <c r="DKH46" s="365"/>
      <c r="DKI46" s="365"/>
      <c r="DKJ46" s="365"/>
      <c r="DKK46" s="365" t="s">
        <v>108</v>
      </c>
      <c r="DKL46" s="365"/>
      <c r="DKM46" s="365"/>
      <c r="DKN46" s="365"/>
      <c r="DKO46" s="365" t="s">
        <v>108</v>
      </c>
      <c r="DKP46" s="365"/>
      <c r="DKQ46" s="365"/>
      <c r="DKR46" s="365"/>
      <c r="DKS46" s="365" t="s">
        <v>108</v>
      </c>
      <c r="DKT46" s="365"/>
      <c r="DKU46" s="365"/>
      <c r="DKV46" s="365"/>
      <c r="DKW46" s="365" t="s">
        <v>108</v>
      </c>
      <c r="DKX46" s="365"/>
      <c r="DKY46" s="365"/>
      <c r="DKZ46" s="365"/>
      <c r="DLA46" s="365" t="s">
        <v>108</v>
      </c>
      <c r="DLB46" s="365"/>
      <c r="DLC46" s="365"/>
      <c r="DLD46" s="365"/>
      <c r="DLE46" s="365" t="s">
        <v>108</v>
      </c>
      <c r="DLF46" s="365"/>
      <c r="DLG46" s="365"/>
      <c r="DLH46" s="365"/>
      <c r="DLI46" s="365" t="s">
        <v>108</v>
      </c>
      <c r="DLJ46" s="365"/>
      <c r="DLK46" s="365"/>
      <c r="DLL46" s="365"/>
      <c r="DLM46" s="365" t="s">
        <v>108</v>
      </c>
      <c r="DLN46" s="365"/>
      <c r="DLO46" s="365"/>
      <c r="DLP46" s="365"/>
      <c r="DLQ46" s="365" t="s">
        <v>108</v>
      </c>
      <c r="DLR46" s="365"/>
      <c r="DLS46" s="365"/>
      <c r="DLT46" s="365"/>
      <c r="DLU46" s="365" t="s">
        <v>108</v>
      </c>
      <c r="DLV46" s="365"/>
      <c r="DLW46" s="365"/>
      <c r="DLX46" s="365"/>
      <c r="DLY46" s="365" t="s">
        <v>108</v>
      </c>
      <c r="DLZ46" s="365"/>
      <c r="DMA46" s="365"/>
      <c r="DMB46" s="365"/>
      <c r="DMC46" s="365" t="s">
        <v>108</v>
      </c>
      <c r="DMD46" s="365"/>
      <c r="DME46" s="365"/>
      <c r="DMF46" s="365"/>
      <c r="DMG46" s="365" t="s">
        <v>108</v>
      </c>
      <c r="DMH46" s="365"/>
      <c r="DMI46" s="365"/>
      <c r="DMJ46" s="365"/>
      <c r="DMK46" s="365" t="s">
        <v>108</v>
      </c>
      <c r="DML46" s="365"/>
      <c r="DMM46" s="365"/>
      <c r="DMN46" s="365"/>
      <c r="DMO46" s="365" t="s">
        <v>108</v>
      </c>
      <c r="DMP46" s="365"/>
      <c r="DMQ46" s="365"/>
      <c r="DMR46" s="365"/>
      <c r="DMS46" s="365" t="s">
        <v>108</v>
      </c>
      <c r="DMT46" s="365"/>
      <c r="DMU46" s="365"/>
      <c r="DMV46" s="365"/>
      <c r="DMW46" s="365" t="s">
        <v>108</v>
      </c>
      <c r="DMX46" s="365"/>
      <c r="DMY46" s="365"/>
      <c r="DMZ46" s="365"/>
      <c r="DNA46" s="365" t="s">
        <v>108</v>
      </c>
      <c r="DNB46" s="365"/>
      <c r="DNC46" s="365"/>
      <c r="DND46" s="365"/>
      <c r="DNE46" s="365" t="s">
        <v>108</v>
      </c>
      <c r="DNF46" s="365"/>
      <c r="DNG46" s="365"/>
      <c r="DNH46" s="365"/>
      <c r="DNI46" s="365" t="s">
        <v>108</v>
      </c>
      <c r="DNJ46" s="365"/>
      <c r="DNK46" s="365"/>
      <c r="DNL46" s="365"/>
      <c r="DNM46" s="365" t="s">
        <v>108</v>
      </c>
      <c r="DNN46" s="365"/>
      <c r="DNO46" s="365"/>
      <c r="DNP46" s="365"/>
      <c r="DNQ46" s="365" t="s">
        <v>108</v>
      </c>
      <c r="DNR46" s="365"/>
      <c r="DNS46" s="365"/>
      <c r="DNT46" s="365"/>
      <c r="DNU46" s="365" t="s">
        <v>108</v>
      </c>
      <c r="DNV46" s="365"/>
      <c r="DNW46" s="365"/>
      <c r="DNX46" s="365"/>
      <c r="DNY46" s="365" t="s">
        <v>108</v>
      </c>
      <c r="DNZ46" s="365"/>
      <c r="DOA46" s="365"/>
      <c r="DOB46" s="365"/>
      <c r="DOC46" s="365" t="s">
        <v>108</v>
      </c>
      <c r="DOD46" s="365"/>
      <c r="DOE46" s="365"/>
      <c r="DOF46" s="365"/>
      <c r="DOG46" s="365" t="s">
        <v>108</v>
      </c>
      <c r="DOH46" s="365"/>
      <c r="DOI46" s="365"/>
      <c r="DOJ46" s="365"/>
      <c r="DOK46" s="365" t="s">
        <v>108</v>
      </c>
      <c r="DOL46" s="365"/>
      <c r="DOM46" s="365"/>
      <c r="DON46" s="365"/>
      <c r="DOO46" s="365" t="s">
        <v>108</v>
      </c>
      <c r="DOP46" s="365"/>
      <c r="DOQ46" s="365"/>
      <c r="DOR46" s="365"/>
      <c r="DOS46" s="365" t="s">
        <v>108</v>
      </c>
      <c r="DOT46" s="365"/>
      <c r="DOU46" s="365"/>
      <c r="DOV46" s="365"/>
      <c r="DOW46" s="365" t="s">
        <v>108</v>
      </c>
      <c r="DOX46" s="365"/>
      <c r="DOY46" s="365"/>
      <c r="DOZ46" s="365"/>
      <c r="DPA46" s="365" t="s">
        <v>108</v>
      </c>
      <c r="DPB46" s="365"/>
      <c r="DPC46" s="365"/>
      <c r="DPD46" s="365"/>
      <c r="DPE46" s="365" t="s">
        <v>108</v>
      </c>
      <c r="DPF46" s="365"/>
      <c r="DPG46" s="365"/>
      <c r="DPH46" s="365"/>
      <c r="DPI46" s="365" t="s">
        <v>108</v>
      </c>
      <c r="DPJ46" s="365"/>
      <c r="DPK46" s="365"/>
      <c r="DPL46" s="365"/>
      <c r="DPM46" s="365" t="s">
        <v>108</v>
      </c>
      <c r="DPN46" s="365"/>
      <c r="DPO46" s="365"/>
      <c r="DPP46" s="365"/>
      <c r="DPQ46" s="365" t="s">
        <v>108</v>
      </c>
      <c r="DPR46" s="365"/>
      <c r="DPS46" s="365"/>
      <c r="DPT46" s="365"/>
      <c r="DPU46" s="365" t="s">
        <v>108</v>
      </c>
      <c r="DPV46" s="365"/>
      <c r="DPW46" s="365"/>
      <c r="DPX46" s="365"/>
      <c r="DPY46" s="365" t="s">
        <v>108</v>
      </c>
      <c r="DPZ46" s="365"/>
      <c r="DQA46" s="365"/>
      <c r="DQB46" s="365"/>
      <c r="DQC46" s="365" t="s">
        <v>108</v>
      </c>
      <c r="DQD46" s="365"/>
      <c r="DQE46" s="365"/>
      <c r="DQF46" s="365"/>
      <c r="DQG46" s="365" t="s">
        <v>108</v>
      </c>
      <c r="DQH46" s="365"/>
      <c r="DQI46" s="365"/>
      <c r="DQJ46" s="365"/>
      <c r="DQK46" s="365" t="s">
        <v>108</v>
      </c>
      <c r="DQL46" s="365"/>
      <c r="DQM46" s="365"/>
      <c r="DQN46" s="365"/>
      <c r="DQO46" s="365" t="s">
        <v>108</v>
      </c>
      <c r="DQP46" s="365"/>
      <c r="DQQ46" s="365"/>
      <c r="DQR46" s="365"/>
      <c r="DQS46" s="365" t="s">
        <v>108</v>
      </c>
      <c r="DQT46" s="365"/>
      <c r="DQU46" s="365"/>
      <c r="DQV46" s="365"/>
      <c r="DQW46" s="365" t="s">
        <v>108</v>
      </c>
      <c r="DQX46" s="365"/>
      <c r="DQY46" s="365"/>
      <c r="DQZ46" s="365"/>
      <c r="DRA46" s="365" t="s">
        <v>108</v>
      </c>
      <c r="DRB46" s="365"/>
      <c r="DRC46" s="365"/>
      <c r="DRD46" s="365"/>
      <c r="DRE46" s="365" t="s">
        <v>108</v>
      </c>
      <c r="DRF46" s="365"/>
      <c r="DRG46" s="365"/>
      <c r="DRH46" s="365"/>
      <c r="DRI46" s="365" t="s">
        <v>108</v>
      </c>
      <c r="DRJ46" s="365"/>
      <c r="DRK46" s="365"/>
      <c r="DRL46" s="365"/>
      <c r="DRM46" s="365" t="s">
        <v>108</v>
      </c>
      <c r="DRN46" s="365"/>
      <c r="DRO46" s="365"/>
      <c r="DRP46" s="365"/>
      <c r="DRQ46" s="365" t="s">
        <v>108</v>
      </c>
      <c r="DRR46" s="365"/>
      <c r="DRS46" s="365"/>
      <c r="DRT46" s="365"/>
      <c r="DRU46" s="365" t="s">
        <v>108</v>
      </c>
      <c r="DRV46" s="365"/>
      <c r="DRW46" s="365"/>
      <c r="DRX46" s="365"/>
      <c r="DRY46" s="365" t="s">
        <v>108</v>
      </c>
      <c r="DRZ46" s="365"/>
      <c r="DSA46" s="365"/>
      <c r="DSB46" s="365"/>
      <c r="DSC46" s="365" t="s">
        <v>108</v>
      </c>
      <c r="DSD46" s="365"/>
      <c r="DSE46" s="365"/>
      <c r="DSF46" s="365"/>
      <c r="DSG46" s="365" t="s">
        <v>108</v>
      </c>
      <c r="DSH46" s="365"/>
      <c r="DSI46" s="365"/>
      <c r="DSJ46" s="365"/>
      <c r="DSK46" s="365" t="s">
        <v>108</v>
      </c>
      <c r="DSL46" s="365"/>
      <c r="DSM46" s="365"/>
      <c r="DSN46" s="365"/>
      <c r="DSO46" s="365" t="s">
        <v>108</v>
      </c>
      <c r="DSP46" s="365"/>
      <c r="DSQ46" s="365"/>
      <c r="DSR46" s="365"/>
      <c r="DSS46" s="365" t="s">
        <v>108</v>
      </c>
      <c r="DST46" s="365"/>
      <c r="DSU46" s="365"/>
      <c r="DSV46" s="365"/>
      <c r="DSW46" s="365" t="s">
        <v>108</v>
      </c>
      <c r="DSX46" s="365"/>
      <c r="DSY46" s="365"/>
      <c r="DSZ46" s="365"/>
      <c r="DTA46" s="365" t="s">
        <v>108</v>
      </c>
      <c r="DTB46" s="365"/>
      <c r="DTC46" s="365"/>
      <c r="DTD46" s="365"/>
      <c r="DTE46" s="365" t="s">
        <v>108</v>
      </c>
      <c r="DTF46" s="365"/>
      <c r="DTG46" s="365"/>
      <c r="DTH46" s="365"/>
      <c r="DTI46" s="365" t="s">
        <v>108</v>
      </c>
      <c r="DTJ46" s="365"/>
      <c r="DTK46" s="365"/>
      <c r="DTL46" s="365"/>
      <c r="DTM46" s="365" t="s">
        <v>108</v>
      </c>
      <c r="DTN46" s="365"/>
      <c r="DTO46" s="365"/>
      <c r="DTP46" s="365"/>
      <c r="DTQ46" s="365" t="s">
        <v>108</v>
      </c>
      <c r="DTR46" s="365"/>
      <c r="DTS46" s="365"/>
      <c r="DTT46" s="365"/>
      <c r="DTU46" s="365" t="s">
        <v>108</v>
      </c>
      <c r="DTV46" s="365"/>
      <c r="DTW46" s="365"/>
      <c r="DTX46" s="365"/>
      <c r="DTY46" s="365" t="s">
        <v>108</v>
      </c>
      <c r="DTZ46" s="365"/>
      <c r="DUA46" s="365"/>
      <c r="DUB46" s="365"/>
      <c r="DUC46" s="365" t="s">
        <v>108</v>
      </c>
      <c r="DUD46" s="365"/>
      <c r="DUE46" s="365"/>
      <c r="DUF46" s="365"/>
      <c r="DUG46" s="365" t="s">
        <v>108</v>
      </c>
      <c r="DUH46" s="365"/>
      <c r="DUI46" s="365"/>
      <c r="DUJ46" s="365"/>
      <c r="DUK46" s="365" t="s">
        <v>108</v>
      </c>
      <c r="DUL46" s="365"/>
      <c r="DUM46" s="365"/>
      <c r="DUN46" s="365"/>
      <c r="DUO46" s="365" t="s">
        <v>108</v>
      </c>
      <c r="DUP46" s="365"/>
      <c r="DUQ46" s="365"/>
      <c r="DUR46" s="365"/>
      <c r="DUS46" s="365" t="s">
        <v>108</v>
      </c>
      <c r="DUT46" s="365"/>
      <c r="DUU46" s="365"/>
      <c r="DUV46" s="365"/>
      <c r="DUW46" s="365" t="s">
        <v>108</v>
      </c>
      <c r="DUX46" s="365"/>
      <c r="DUY46" s="365"/>
      <c r="DUZ46" s="365"/>
      <c r="DVA46" s="365" t="s">
        <v>108</v>
      </c>
      <c r="DVB46" s="365"/>
      <c r="DVC46" s="365"/>
      <c r="DVD46" s="365"/>
      <c r="DVE46" s="365" t="s">
        <v>108</v>
      </c>
      <c r="DVF46" s="365"/>
      <c r="DVG46" s="365"/>
      <c r="DVH46" s="365"/>
      <c r="DVI46" s="365" t="s">
        <v>108</v>
      </c>
      <c r="DVJ46" s="365"/>
      <c r="DVK46" s="365"/>
      <c r="DVL46" s="365"/>
      <c r="DVM46" s="365" t="s">
        <v>108</v>
      </c>
      <c r="DVN46" s="365"/>
      <c r="DVO46" s="365"/>
      <c r="DVP46" s="365"/>
      <c r="DVQ46" s="365" t="s">
        <v>108</v>
      </c>
      <c r="DVR46" s="365"/>
      <c r="DVS46" s="365"/>
      <c r="DVT46" s="365"/>
      <c r="DVU46" s="365" t="s">
        <v>108</v>
      </c>
      <c r="DVV46" s="365"/>
      <c r="DVW46" s="365"/>
      <c r="DVX46" s="365"/>
      <c r="DVY46" s="365" t="s">
        <v>108</v>
      </c>
      <c r="DVZ46" s="365"/>
      <c r="DWA46" s="365"/>
      <c r="DWB46" s="365"/>
      <c r="DWC46" s="365" t="s">
        <v>108</v>
      </c>
      <c r="DWD46" s="365"/>
      <c r="DWE46" s="365"/>
      <c r="DWF46" s="365"/>
      <c r="DWG46" s="365" t="s">
        <v>108</v>
      </c>
      <c r="DWH46" s="365"/>
      <c r="DWI46" s="365"/>
      <c r="DWJ46" s="365"/>
      <c r="DWK46" s="365" t="s">
        <v>108</v>
      </c>
      <c r="DWL46" s="365"/>
      <c r="DWM46" s="365"/>
      <c r="DWN46" s="365"/>
      <c r="DWO46" s="365" t="s">
        <v>108</v>
      </c>
      <c r="DWP46" s="365"/>
      <c r="DWQ46" s="365"/>
      <c r="DWR46" s="365"/>
      <c r="DWS46" s="365" t="s">
        <v>108</v>
      </c>
      <c r="DWT46" s="365"/>
      <c r="DWU46" s="365"/>
      <c r="DWV46" s="365"/>
      <c r="DWW46" s="365" t="s">
        <v>108</v>
      </c>
      <c r="DWX46" s="365"/>
      <c r="DWY46" s="365"/>
      <c r="DWZ46" s="365"/>
      <c r="DXA46" s="365" t="s">
        <v>108</v>
      </c>
      <c r="DXB46" s="365"/>
      <c r="DXC46" s="365"/>
      <c r="DXD46" s="365"/>
      <c r="DXE46" s="365" t="s">
        <v>108</v>
      </c>
      <c r="DXF46" s="365"/>
      <c r="DXG46" s="365"/>
      <c r="DXH46" s="365"/>
      <c r="DXI46" s="365" t="s">
        <v>108</v>
      </c>
      <c r="DXJ46" s="365"/>
      <c r="DXK46" s="365"/>
      <c r="DXL46" s="365"/>
      <c r="DXM46" s="365" t="s">
        <v>108</v>
      </c>
      <c r="DXN46" s="365"/>
      <c r="DXO46" s="365"/>
      <c r="DXP46" s="365"/>
      <c r="DXQ46" s="365" t="s">
        <v>108</v>
      </c>
      <c r="DXR46" s="365"/>
      <c r="DXS46" s="365"/>
      <c r="DXT46" s="365"/>
      <c r="DXU46" s="365" t="s">
        <v>108</v>
      </c>
      <c r="DXV46" s="365"/>
      <c r="DXW46" s="365"/>
      <c r="DXX46" s="365"/>
      <c r="DXY46" s="365" t="s">
        <v>108</v>
      </c>
      <c r="DXZ46" s="365"/>
      <c r="DYA46" s="365"/>
      <c r="DYB46" s="365"/>
      <c r="DYC46" s="365" t="s">
        <v>108</v>
      </c>
      <c r="DYD46" s="365"/>
      <c r="DYE46" s="365"/>
      <c r="DYF46" s="365"/>
      <c r="DYG46" s="365" t="s">
        <v>108</v>
      </c>
      <c r="DYH46" s="365"/>
      <c r="DYI46" s="365"/>
      <c r="DYJ46" s="365"/>
      <c r="DYK46" s="365" t="s">
        <v>108</v>
      </c>
      <c r="DYL46" s="365"/>
      <c r="DYM46" s="365"/>
      <c r="DYN46" s="365"/>
      <c r="DYO46" s="365" t="s">
        <v>108</v>
      </c>
      <c r="DYP46" s="365"/>
      <c r="DYQ46" s="365"/>
      <c r="DYR46" s="365"/>
      <c r="DYS46" s="365" t="s">
        <v>108</v>
      </c>
      <c r="DYT46" s="365"/>
      <c r="DYU46" s="365"/>
      <c r="DYV46" s="365"/>
      <c r="DYW46" s="365" t="s">
        <v>108</v>
      </c>
      <c r="DYX46" s="365"/>
      <c r="DYY46" s="365"/>
      <c r="DYZ46" s="365"/>
      <c r="DZA46" s="365" t="s">
        <v>108</v>
      </c>
      <c r="DZB46" s="365"/>
      <c r="DZC46" s="365"/>
      <c r="DZD46" s="365"/>
      <c r="DZE46" s="365" t="s">
        <v>108</v>
      </c>
      <c r="DZF46" s="365"/>
      <c r="DZG46" s="365"/>
      <c r="DZH46" s="365"/>
      <c r="DZI46" s="365" t="s">
        <v>108</v>
      </c>
      <c r="DZJ46" s="365"/>
      <c r="DZK46" s="365"/>
      <c r="DZL46" s="365"/>
      <c r="DZM46" s="365" t="s">
        <v>108</v>
      </c>
      <c r="DZN46" s="365"/>
      <c r="DZO46" s="365"/>
      <c r="DZP46" s="365"/>
      <c r="DZQ46" s="365" t="s">
        <v>108</v>
      </c>
      <c r="DZR46" s="365"/>
      <c r="DZS46" s="365"/>
      <c r="DZT46" s="365"/>
      <c r="DZU46" s="365" t="s">
        <v>108</v>
      </c>
      <c r="DZV46" s="365"/>
      <c r="DZW46" s="365"/>
      <c r="DZX46" s="365"/>
      <c r="DZY46" s="365" t="s">
        <v>108</v>
      </c>
      <c r="DZZ46" s="365"/>
      <c r="EAA46" s="365"/>
      <c r="EAB46" s="365"/>
      <c r="EAC46" s="365" t="s">
        <v>108</v>
      </c>
      <c r="EAD46" s="365"/>
      <c r="EAE46" s="365"/>
      <c r="EAF46" s="365"/>
      <c r="EAG46" s="365" t="s">
        <v>108</v>
      </c>
      <c r="EAH46" s="365"/>
      <c r="EAI46" s="365"/>
      <c r="EAJ46" s="365"/>
      <c r="EAK46" s="365" t="s">
        <v>108</v>
      </c>
      <c r="EAL46" s="365"/>
      <c r="EAM46" s="365"/>
      <c r="EAN46" s="365"/>
      <c r="EAO46" s="365" t="s">
        <v>108</v>
      </c>
      <c r="EAP46" s="365"/>
      <c r="EAQ46" s="365"/>
      <c r="EAR46" s="365"/>
      <c r="EAS46" s="365" t="s">
        <v>108</v>
      </c>
      <c r="EAT46" s="365"/>
      <c r="EAU46" s="365"/>
      <c r="EAV46" s="365"/>
      <c r="EAW46" s="365" t="s">
        <v>108</v>
      </c>
      <c r="EAX46" s="365"/>
      <c r="EAY46" s="365"/>
      <c r="EAZ46" s="365"/>
      <c r="EBA46" s="365" t="s">
        <v>108</v>
      </c>
      <c r="EBB46" s="365"/>
      <c r="EBC46" s="365"/>
      <c r="EBD46" s="365"/>
      <c r="EBE46" s="365" t="s">
        <v>108</v>
      </c>
      <c r="EBF46" s="365"/>
      <c r="EBG46" s="365"/>
      <c r="EBH46" s="365"/>
      <c r="EBI46" s="365" t="s">
        <v>108</v>
      </c>
      <c r="EBJ46" s="365"/>
      <c r="EBK46" s="365"/>
      <c r="EBL46" s="365"/>
      <c r="EBM46" s="365" t="s">
        <v>108</v>
      </c>
      <c r="EBN46" s="365"/>
      <c r="EBO46" s="365"/>
      <c r="EBP46" s="365"/>
      <c r="EBQ46" s="365" t="s">
        <v>108</v>
      </c>
      <c r="EBR46" s="365"/>
      <c r="EBS46" s="365"/>
      <c r="EBT46" s="365"/>
      <c r="EBU46" s="365" t="s">
        <v>108</v>
      </c>
      <c r="EBV46" s="365"/>
      <c r="EBW46" s="365"/>
      <c r="EBX46" s="365"/>
      <c r="EBY46" s="365" t="s">
        <v>108</v>
      </c>
      <c r="EBZ46" s="365"/>
      <c r="ECA46" s="365"/>
      <c r="ECB46" s="365"/>
      <c r="ECC46" s="365" t="s">
        <v>108</v>
      </c>
      <c r="ECD46" s="365"/>
      <c r="ECE46" s="365"/>
      <c r="ECF46" s="365"/>
      <c r="ECG46" s="365" t="s">
        <v>108</v>
      </c>
      <c r="ECH46" s="365"/>
      <c r="ECI46" s="365"/>
      <c r="ECJ46" s="365"/>
      <c r="ECK46" s="365" t="s">
        <v>108</v>
      </c>
      <c r="ECL46" s="365"/>
      <c r="ECM46" s="365"/>
      <c r="ECN46" s="365"/>
      <c r="ECO46" s="365" t="s">
        <v>108</v>
      </c>
      <c r="ECP46" s="365"/>
      <c r="ECQ46" s="365"/>
      <c r="ECR46" s="365"/>
      <c r="ECS46" s="365" t="s">
        <v>108</v>
      </c>
      <c r="ECT46" s="365"/>
      <c r="ECU46" s="365"/>
      <c r="ECV46" s="365"/>
      <c r="ECW46" s="365" t="s">
        <v>108</v>
      </c>
      <c r="ECX46" s="365"/>
      <c r="ECY46" s="365"/>
      <c r="ECZ46" s="365"/>
      <c r="EDA46" s="365" t="s">
        <v>108</v>
      </c>
      <c r="EDB46" s="365"/>
      <c r="EDC46" s="365"/>
      <c r="EDD46" s="365"/>
      <c r="EDE46" s="365" t="s">
        <v>108</v>
      </c>
      <c r="EDF46" s="365"/>
      <c r="EDG46" s="365"/>
      <c r="EDH46" s="365"/>
      <c r="EDI46" s="365" t="s">
        <v>108</v>
      </c>
      <c r="EDJ46" s="365"/>
      <c r="EDK46" s="365"/>
      <c r="EDL46" s="365"/>
      <c r="EDM46" s="365" t="s">
        <v>108</v>
      </c>
      <c r="EDN46" s="365"/>
      <c r="EDO46" s="365"/>
      <c r="EDP46" s="365"/>
      <c r="EDQ46" s="365" t="s">
        <v>108</v>
      </c>
      <c r="EDR46" s="365"/>
      <c r="EDS46" s="365"/>
      <c r="EDT46" s="365"/>
      <c r="EDU46" s="365" t="s">
        <v>108</v>
      </c>
      <c r="EDV46" s="365"/>
      <c r="EDW46" s="365"/>
      <c r="EDX46" s="365"/>
      <c r="EDY46" s="365" t="s">
        <v>108</v>
      </c>
      <c r="EDZ46" s="365"/>
      <c r="EEA46" s="365"/>
      <c r="EEB46" s="365"/>
      <c r="EEC46" s="365" t="s">
        <v>108</v>
      </c>
      <c r="EED46" s="365"/>
      <c r="EEE46" s="365"/>
      <c r="EEF46" s="365"/>
      <c r="EEG46" s="365" t="s">
        <v>108</v>
      </c>
      <c r="EEH46" s="365"/>
      <c r="EEI46" s="365"/>
      <c r="EEJ46" s="365"/>
      <c r="EEK46" s="365" t="s">
        <v>108</v>
      </c>
      <c r="EEL46" s="365"/>
      <c r="EEM46" s="365"/>
      <c r="EEN46" s="365"/>
      <c r="EEO46" s="365" t="s">
        <v>108</v>
      </c>
      <c r="EEP46" s="365"/>
      <c r="EEQ46" s="365"/>
      <c r="EER46" s="365"/>
      <c r="EES46" s="365" t="s">
        <v>108</v>
      </c>
      <c r="EET46" s="365"/>
      <c r="EEU46" s="365"/>
      <c r="EEV46" s="365"/>
      <c r="EEW46" s="365" t="s">
        <v>108</v>
      </c>
      <c r="EEX46" s="365"/>
      <c r="EEY46" s="365"/>
      <c r="EEZ46" s="365"/>
      <c r="EFA46" s="365" t="s">
        <v>108</v>
      </c>
      <c r="EFB46" s="365"/>
      <c r="EFC46" s="365"/>
      <c r="EFD46" s="365"/>
      <c r="EFE46" s="365" t="s">
        <v>108</v>
      </c>
      <c r="EFF46" s="365"/>
      <c r="EFG46" s="365"/>
      <c r="EFH46" s="365"/>
      <c r="EFI46" s="365" t="s">
        <v>108</v>
      </c>
      <c r="EFJ46" s="365"/>
      <c r="EFK46" s="365"/>
      <c r="EFL46" s="365"/>
      <c r="EFM46" s="365" t="s">
        <v>108</v>
      </c>
      <c r="EFN46" s="365"/>
      <c r="EFO46" s="365"/>
      <c r="EFP46" s="365"/>
      <c r="EFQ46" s="365" t="s">
        <v>108</v>
      </c>
      <c r="EFR46" s="365"/>
      <c r="EFS46" s="365"/>
      <c r="EFT46" s="365"/>
      <c r="EFU46" s="365" t="s">
        <v>108</v>
      </c>
      <c r="EFV46" s="365"/>
      <c r="EFW46" s="365"/>
      <c r="EFX46" s="365"/>
      <c r="EFY46" s="365" t="s">
        <v>108</v>
      </c>
      <c r="EFZ46" s="365"/>
      <c r="EGA46" s="365"/>
      <c r="EGB46" s="365"/>
      <c r="EGC46" s="365" t="s">
        <v>108</v>
      </c>
      <c r="EGD46" s="365"/>
      <c r="EGE46" s="365"/>
      <c r="EGF46" s="365"/>
      <c r="EGG46" s="365" t="s">
        <v>108</v>
      </c>
      <c r="EGH46" s="365"/>
      <c r="EGI46" s="365"/>
      <c r="EGJ46" s="365"/>
      <c r="EGK46" s="365" t="s">
        <v>108</v>
      </c>
      <c r="EGL46" s="365"/>
      <c r="EGM46" s="365"/>
      <c r="EGN46" s="365"/>
      <c r="EGO46" s="365" t="s">
        <v>108</v>
      </c>
      <c r="EGP46" s="365"/>
      <c r="EGQ46" s="365"/>
      <c r="EGR46" s="365"/>
      <c r="EGS46" s="365" t="s">
        <v>108</v>
      </c>
      <c r="EGT46" s="365"/>
      <c r="EGU46" s="365"/>
      <c r="EGV46" s="365"/>
      <c r="EGW46" s="365" t="s">
        <v>108</v>
      </c>
      <c r="EGX46" s="365"/>
      <c r="EGY46" s="365"/>
      <c r="EGZ46" s="365"/>
      <c r="EHA46" s="365" t="s">
        <v>108</v>
      </c>
      <c r="EHB46" s="365"/>
      <c r="EHC46" s="365"/>
      <c r="EHD46" s="365"/>
      <c r="EHE46" s="365" t="s">
        <v>108</v>
      </c>
      <c r="EHF46" s="365"/>
      <c r="EHG46" s="365"/>
      <c r="EHH46" s="365"/>
      <c r="EHI46" s="365" t="s">
        <v>108</v>
      </c>
      <c r="EHJ46" s="365"/>
      <c r="EHK46" s="365"/>
      <c r="EHL46" s="365"/>
      <c r="EHM46" s="365" t="s">
        <v>108</v>
      </c>
      <c r="EHN46" s="365"/>
      <c r="EHO46" s="365"/>
      <c r="EHP46" s="365"/>
      <c r="EHQ46" s="365" t="s">
        <v>108</v>
      </c>
      <c r="EHR46" s="365"/>
      <c r="EHS46" s="365"/>
      <c r="EHT46" s="365"/>
      <c r="EHU46" s="365" t="s">
        <v>108</v>
      </c>
      <c r="EHV46" s="365"/>
      <c r="EHW46" s="365"/>
      <c r="EHX46" s="365"/>
      <c r="EHY46" s="365" t="s">
        <v>108</v>
      </c>
      <c r="EHZ46" s="365"/>
      <c r="EIA46" s="365"/>
      <c r="EIB46" s="365"/>
      <c r="EIC46" s="365" t="s">
        <v>108</v>
      </c>
      <c r="EID46" s="365"/>
      <c r="EIE46" s="365"/>
      <c r="EIF46" s="365"/>
      <c r="EIG46" s="365" t="s">
        <v>108</v>
      </c>
      <c r="EIH46" s="365"/>
      <c r="EII46" s="365"/>
      <c r="EIJ46" s="365"/>
      <c r="EIK46" s="365" t="s">
        <v>108</v>
      </c>
      <c r="EIL46" s="365"/>
      <c r="EIM46" s="365"/>
      <c r="EIN46" s="365"/>
      <c r="EIO46" s="365" t="s">
        <v>108</v>
      </c>
      <c r="EIP46" s="365"/>
      <c r="EIQ46" s="365"/>
      <c r="EIR46" s="365"/>
      <c r="EIS46" s="365" t="s">
        <v>108</v>
      </c>
      <c r="EIT46" s="365"/>
      <c r="EIU46" s="365"/>
      <c r="EIV46" s="365"/>
      <c r="EIW46" s="365" t="s">
        <v>108</v>
      </c>
      <c r="EIX46" s="365"/>
      <c r="EIY46" s="365"/>
      <c r="EIZ46" s="365"/>
      <c r="EJA46" s="365" t="s">
        <v>108</v>
      </c>
      <c r="EJB46" s="365"/>
      <c r="EJC46" s="365"/>
      <c r="EJD46" s="365"/>
      <c r="EJE46" s="365" t="s">
        <v>108</v>
      </c>
      <c r="EJF46" s="365"/>
      <c r="EJG46" s="365"/>
      <c r="EJH46" s="365"/>
      <c r="EJI46" s="365" t="s">
        <v>108</v>
      </c>
      <c r="EJJ46" s="365"/>
      <c r="EJK46" s="365"/>
      <c r="EJL46" s="365"/>
      <c r="EJM46" s="365" t="s">
        <v>108</v>
      </c>
      <c r="EJN46" s="365"/>
      <c r="EJO46" s="365"/>
      <c r="EJP46" s="365"/>
      <c r="EJQ46" s="365" t="s">
        <v>108</v>
      </c>
      <c r="EJR46" s="365"/>
      <c r="EJS46" s="365"/>
      <c r="EJT46" s="365"/>
      <c r="EJU46" s="365" t="s">
        <v>108</v>
      </c>
      <c r="EJV46" s="365"/>
      <c r="EJW46" s="365"/>
      <c r="EJX46" s="365"/>
      <c r="EJY46" s="365" t="s">
        <v>108</v>
      </c>
      <c r="EJZ46" s="365"/>
      <c r="EKA46" s="365"/>
      <c r="EKB46" s="365"/>
      <c r="EKC46" s="365" t="s">
        <v>108</v>
      </c>
      <c r="EKD46" s="365"/>
      <c r="EKE46" s="365"/>
      <c r="EKF46" s="365"/>
      <c r="EKG46" s="365" t="s">
        <v>108</v>
      </c>
      <c r="EKH46" s="365"/>
      <c r="EKI46" s="365"/>
      <c r="EKJ46" s="365"/>
      <c r="EKK46" s="365" t="s">
        <v>108</v>
      </c>
      <c r="EKL46" s="365"/>
      <c r="EKM46" s="365"/>
      <c r="EKN46" s="365"/>
      <c r="EKO46" s="365" t="s">
        <v>108</v>
      </c>
      <c r="EKP46" s="365"/>
      <c r="EKQ46" s="365"/>
      <c r="EKR46" s="365"/>
      <c r="EKS46" s="365" t="s">
        <v>108</v>
      </c>
      <c r="EKT46" s="365"/>
      <c r="EKU46" s="365"/>
      <c r="EKV46" s="365"/>
      <c r="EKW46" s="365" t="s">
        <v>108</v>
      </c>
      <c r="EKX46" s="365"/>
      <c r="EKY46" s="365"/>
      <c r="EKZ46" s="365"/>
      <c r="ELA46" s="365" t="s">
        <v>108</v>
      </c>
      <c r="ELB46" s="365"/>
      <c r="ELC46" s="365"/>
      <c r="ELD46" s="365"/>
      <c r="ELE46" s="365" t="s">
        <v>108</v>
      </c>
      <c r="ELF46" s="365"/>
      <c r="ELG46" s="365"/>
      <c r="ELH46" s="365"/>
      <c r="ELI46" s="365" t="s">
        <v>108</v>
      </c>
      <c r="ELJ46" s="365"/>
      <c r="ELK46" s="365"/>
      <c r="ELL46" s="365"/>
      <c r="ELM46" s="365" t="s">
        <v>108</v>
      </c>
      <c r="ELN46" s="365"/>
      <c r="ELO46" s="365"/>
      <c r="ELP46" s="365"/>
      <c r="ELQ46" s="365" t="s">
        <v>108</v>
      </c>
      <c r="ELR46" s="365"/>
      <c r="ELS46" s="365"/>
      <c r="ELT46" s="365"/>
      <c r="ELU46" s="365" t="s">
        <v>108</v>
      </c>
      <c r="ELV46" s="365"/>
      <c r="ELW46" s="365"/>
      <c r="ELX46" s="365"/>
      <c r="ELY46" s="365" t="s">
        <v>108</v>
      </c>
      <c r="ELZ46" s="365"/>
      <c r="EMA46" s="365"/>
      <c r="EMB46" s="365"/>
      <c r="EMC46" s="365" t="s">
        <v>108</v>
      </c>
      <c r="EMD46" s="365"/>
      <c r="EME46" s="365"/>
      <c r="EMF46" s="365"/>
      <c r="EMG46" s="365" t="s">
        <v>108</v>
      </c>
      <c r="EMH46" s="365"/>
      <c r="EMI46" s="365"/>
      <c r="EMJ46" s="365"/>
      <c r="EMK46" s="365" t="s">
        <v>108</v>
      </c>
      <c r="EML46" s="365"/>
      <c r="EMM46" s="365"/>
      <c r="EMN46" s="365"/>
      <c r="EMO46" s="365" t="s">
        <v>108</v>
      </c>
      <c r="EMP46" s="365"/>
      <c r="EMQ46" s="365"/>
      <c r="EMR46" s="365"/>
      <c r="EMS46" s="365" t="s">
        <v>108</v>
      </c>
      <c r="EMT46" s="365"/>
      <c r="EMU46" s="365"/>
      <c r="EMV46" s="365"/>
      <c r="EMW46" s="365" t="s">
        <v>108</v>
      </c>
      <c r="EMX46" s="365"/>
      <c r="EMY46" s="365"/>
      <c r="EMZ46" s="365"/>
      <c r="ENA46" s="365" t="s">
        <v>108</v>
      </c>
      <c r="ENB46" s="365"/>
      <c r="ENC46" s="365"/>
      <c r="END46" s="365"/>
      <c r="ENE46" s="365" t="s">
        <v>108</v>
      </c>
      <c r="ENF46" s="365"/>
      <c r="ENG46" s="365"/>
      <c r="ENH46" s="365"/>
      <c r="ENI46" s="365" t="s">
        <v>108</v>
      </c>
      <c r="ENJ46" s="365"/>
      <c r="ENK46" s="365"/>
      <c r="ENL46" s="365"/>
      <c r="ENM46" s="365" t="s">
        <v>108</v>
      </c>
      <c r="ENN46" s="365"/>
      <c r="ENO46" s="365"/>
      <c r="ENP46" s="365"/>
      <c r="ENQ46" s="365" t="s">
        <v>108</v>
      </c>
      <c r="ENR46" s="365"/>
      <c r="ENS46" s="365"/>
      <c r="ENT46" s="365"/>
      <c r="ENU46" s="365" t="s">
        <v>108</v>
      </c>
      <c r="ENV46" s="365"/>
      <c r="ENW46" s="365"/>
      <c r="ENX46" s="365"/>
      <c r="ENY46" s="365" t="s">
        <v>108</v>
      </c>
      <c r="ENZ46" s="365"/>
      <c r="EOA46" s="365"/>
      <c r="EOB46" s="365"/>
      <c r="EOC46" s="365" t="s">
        <v>108</v>
      </c>
      <c r="EOD46" s="365"/>
      <c r="EOE46" s="365"/>
      <c r="EOF46" s="365"/>
      <c r="EOG46" s="365" t="s">
        <v>108</v>
      </c>
      <c r="EOH46" s="365"/>
      <c r="EOI46" s="365"/>
      <c r="EOJ46" s="365"/>
      <c r="EOK46" s="365" t="s">
        <v>108</v>
      </c>
      <c r="EOL46" s="365"/>
      <c r="EOM46" s="365"/>
      <c r="EON46" s="365"/>
      <c r="EOO46" s="365" t="s">
        <v>108</v>
      </c>
      <c r="EOP46" s="365"/>
      <c r="EOQ46" s="365"/>
      <c r="EOR46" s="365"/>
      <c r="EOS46" s="365" t="s">
        <v>108</v>
      </c>
      <c r="EOT46" s="365"/>
      <c r="EOU46" s="365"/>
      <c r="EOV46" s="365"/>
      <c r="EOW46" s="365" t="s">
        <v>108</v>
      </c>
      <c r="EOX46" s="365"/>
      <c r="EOY46" s="365"/>
      <c r="EOZ46" s="365"/>
      <c r="EPA46" s="365" t="s">
        <v>108</v>
      </c>
      <c r="EPB46" s="365"/>
      <c r="EPC46" s="365"/>
      <c r="EPD46" s="365"/>
      <c r="EPE46" s="365" t="s">
        <v>108</v>
      </c>
      <c r="EPF46" s="365"/>
      <c r="EPG46" s="365"/>
      <c r="EPH46" s="365"/>
      <c r="EPI46" s="365" t="s">
        <v>108</v>
      </c>
      <c r="EPJ46" s="365"/>
      <c r="EPK46" s="365"/>
      <c r="EPL46" s="365"/>
      <c r="EPM46" s="365" t="s">
        <v>108</v>
      </c>
      <c r="EPN46" s="365"/>
      <c r="EPO46" s="365"/>
      <c r="EPP46" s="365"/>
      <c r="EPQ46" s="365" t="s">
        <v>108</v>
      </c>
      <c r="EPR46" s="365"/>
      <c r="EPS46" s="365"/>
      <c r="EPT46" s="365"/>
      <c r="EPU46" s="365" t="s">
        <v>108</v>
      </c>
      <c r="EPV46" s="365"/>
      <c r="EPW46" s="365"/>
      <c r="EPX46" s="365"/>
      <c r="EPY46" s="365" t="s">
        <v>108</v>
      </c>
      <c r="EPZ46" s="365"/>
      <c r="EQA46" s="365"/>
      <c r="EQB46" s="365"/>
      <c r="EQC46" s="365" t="s">
        <v>108</v>
      </c>
      <c r="EQD46" s="365"/>
      <c r="EQE46" s="365"/>
      <c r="EQF46" s="365"/>
      <c r="EQG46" s="365" t="s">
        <v>108</v>
      </c>
      <c r="EQH46" s="365"/>
      <c r="EQI46" s="365"/>
      <c r="EQJ46" s="365"/>
      <c r="EQK46" s="365" t="s">
        <v>108</v>
      </c>
      <c r="EQL46" s="365"/>
      <c r="EQM46" s="365"/>
      <c r="EQN46" s="365"/>
      <c r="EQO46" s="365" t="s">
        <v>108</v>
      </c>
      <c r="EQP46" s="365"/>
      <c r="EQQ46" s="365"/>
      <c r="EQR46" s="365"/>
      <c r="EQS46" s="365" t="s">
        <v>108</v>
      </c>
      <c r="EQT46" s="365"/>
      <c r="EQU46" s="365"/>
      <c r="EQV46" s="365"/>
      <c r="EQW46" s="365" t="s">
        <v>108</v>
      </c>
      <c r="EQX46" s="365"/>
      <c r="EQY46" s="365"/>
      <c r="EQZ46" s="365"/>
      <c r="ERA46" s="365" t="s">
        <v>108</v>
      </c>
      <c r="ERB46" s="365"/>
      <c r="ERC46" s="365"/>
      <c r="ERD46" s="365"/>
      <c r="ERE46" s="365" t="s">
        <v>108</v>
      </c>
      <c r="ERF46" s="365"/>
      <c r="ERG46" s="365"/>
      <c r="ERH46" s="365"/>
      <c r="ERI46" s="365" t="s">
        <v>108</v>
      </c>
      <c r="ERJ46" s="365"/>
      <c r="ERK46" s="365"/>
      <c r="ERL46" s="365"/>
      <c r="ERM46" s="365" t="s">
        <v>108</v>
      </c>
      <c r="ERN46" s="365"/>
      <c r="ERO46" s="365"/>
      <c r="ERP46" s="365"/>
      <c r="ERQ46" s="365" t="s">
        <v>108</v>
      </c>
      <c r="ERR46" s="365"/>
      <c r="ERS46" s="365"/>
      <c r="ERT46" s="365"/>
      <c r="ERU46" s="365" t="s">
        <v>108</v>
      </c>
      <c r="ERV46" s="365"/>
      <c r="ERW46" s="365"/>
      <c r="ERX46" s="365"/>
      <c r="ERY46" s="365" t="s">
        <v>108</v>
      </c>
      <c r="ERZ46" s="365"/>
      <c r="ESA46" s="365"/>
      <c r="ESB46" s="365"/>
      <c r="ESC46" s="365" t="s">
        <v>108</v>
      </c>
      <c r="ESD46" s="365"/>
      <c r="ESE46" s="365"/>
      <c r="ESF46" s="365"/>
      <c r="ESG46" s="365" t="s">
        <v>108</v>
      </c>
      <c r="ESH46" s="365"/>
      <c r="ESI46" s="365"/>
      <c r="ESJ46" s="365"/>
      <c r="ESK46" s="365" t="s">
        <v>108</v>
      </c>
      <c r="ESL46" s="365"/>
      <c r="ESM46" s="365"/>
      <c r="ESN46" s="365"/>
      <c r="ESO46" s="365" t="s">
        <v>108</v>
      </c>
      <c r="ESP46" s="365"/>
      <c r="ESQ46" s="365"/>
      <c r="ESR46" s="365"/>
      <c r="ESS46" s="365" t="s">
        <v>108</v>
      </c>
      <c r="EST46" s="365"/>
      <c r="ESU46" s="365"/>
      <c r="ESV46" s="365"/>
      <c r="ESW46" s="365" t="s">
        <v>108</v>
      </c>
      <c r="ESX46" s="365"/>
      <c r="ESY46" s="365"/>
      <c r="ESZ46" s="365"/>
      <c r="ETA46" s="365" t="s">
        <v>108</v>
      </c>
      <c r="ETB46" s="365"/>
      <c r="ETC46" s="365"/>
      <c r="ETD46" s="365"/>
      <c r="ETE46" s="365" t="s">
        <v>108</v>
      </c>
      <c r="ETF46" s="365"/>
      <c r="ETG46" s="365"/>
      <c r="ETH46" s="365"/>
      <c r="ETI46" s="365" t="s">
        <v>108</v>
      </c>
      <c r="ETJ46" s="365"/>
      <c r="ETK46" s="365"/>
      <c r="ETL46" s="365"/>
      <c r="ETM46" s="365" t="s">
        <v>108</v>
      </c>
      <c r="ETN46" s="365"/>
      <c r="ETO46" s="365"/>
      <c r="ETP46" s="365"/>
      <c r="ETQ46" s="365" t="s">
        <v>108</v>
      </c>
      <c r="ETR46" s="365"/>
      <c r="ETS46" s="365"/>
      <c r="ETT46" s="365"/>
      <c r="ETU46" s="365" t="s">
        <v>108</v>
      </c>
      <c r="ETV46" s="365"/>
      <c r="ETW46" s="365"/>
      <c r="ETX46" s="365"/>
      <c r="ETY46" s="365" t="s">
        <v>108</v>
      </c>
      <c r="ETZ46" s="365"/>
      <c r="EUA46" s="365"/>
      <c r="EUB46" s="365"/>
      <c r="EUC46" s="365" t="s">
        <v>108</v>
      </c>
      <c r="EUD46" s="365"/>
      <c r="EUE46" s="365"/>
      <c r="EUF46" s="365"/>
      <c r="EUG46" s="365" t="s">
        <v>108</v>
      </c>
      <c r="EUH46" s="365"/>
      <c r="EUI46" s="365"/>
      <c r="EUJ46" s="365"/>
      <c r="EUK46" s="365" t="s">
        <v>108</v>
      </c>
      <c r="EUL46" s="365"/>
      <c r="EUM46" s="365"/>
      <c r="EUN46" s="365"/>
      <c r="EUO46" s="365" t="s">
        <v>108</v>
      </c>
      <c r="EUP46" s="365"/>
      <c r="EUQ46" s="365"/>
      <c r="EUR46" s="365"/>
      <c r="EUS46" s="365" t="s">
        <v>108</v>
      </c>
      <c r="EUT46" s="365"/>
      <c r="EUU46" s="365"/>
      <c r="EUV46" s="365"/>
      <c r="EUW46" s="365" t="s">
        <v>108</v>
      </c>
      <c r="EUX46" s="365"/>
      <c r="EUY46" s="365"/>
      <c r="EUZ46" s="365"/>
      <c r="EVA46" s="365" t="s">
        <v>108</v>
      </c>
      <c r="EVB46" s="365"/>
      <c r="EVC46" s="365"/>
      <c r="EVD46" s="365"/>
      <c r="EVE46" s="365" t="s">
        <v>108</v>
      </c>
      <c r="EVF46" s="365"/>
      <c r="EVG46" s="365"/>
      <c r="EVH46" s="365"/>
      <c r="EVI46" s="365" t="s">
        <v>108</v>
      </c>
      <c r="EVJ46" s="365"/>
      <c r="EVK46" s="365"/>
      <c r="EVL46" s="365"/>
      <c r="EVM46" s="365" t="s">
        <v>108</v>
      </c>
      <c r="EVN46" s="365"/>
      <c r="EVO46" s="365"/>
      <c r="EVP46" s="365"/>
      <c r="EVQ46" s="365" t="s">
        <v>108</v>
      </c>
      <c r="EVR46" s="365"/>
      <c r="EVS46" s="365"/>
      <c r="EVT46" s="365"/>
      <c r="EVU46" s="365" t="s">
        <v>108</v>
      </c>
      <c r="EVV46" s="365"/>
      <c r="EVW46" s="365"/>
      <c r="EVX46" s="365"/>
      <c r="EVY46" s="365" t="s">
        <v>108</v>
      </c>
      <c r="EVZ46" s="365"/>
      <c r="EWA46" s="365"/>
      <c r="EWB46" s="365"/>
      <c r="EWC46" s="365" t="s">
        <v>108</v>
      </c>
      <c r="EWD46" s="365"/>
      <c r="EWE46" s="365"/>
      <c r="EWF46" s="365"/>
      <c r="EWG46" s="365" t="s">
        <v>108</v>
      </c>
      <c r="EWH46" s="365"/>
      <c r="EWI46" s="365"/>
      <c r="EWJ46" s="365"/>
      <c r="EWK46" s="365" t="s">
        <v>108</v>
      </c>
      <c r="EWL46" s="365"/>
      <c r="EWM46" s="365"/>
      <c r="EWN46" s="365"/>
      <c r="EWO46" s="365" t="s">
        <v>108</v>
      </c>
      <c r="EWP46" s="365"/>
      <c r="EWQ46" s="365"/>
      <c r="EWR46" s="365"/>
      <c r="EWS46" s="365" t="s">
        <v>108</v>
      </c>
      <c r="EWT46" s="365"/>
      <c r="EWU46" s="365"/>
      <c r="EWV46" s="365"/>
      <c r="EWW46" s="365" t="s">
        <v>108</v>
      </c>
      <c r="EWX46" s="365"/>
      <c r="EWY46" s="365"/>
      <c r="EWZ46" s="365"/>
      <c r="EXA46" s="365" t="s">
        <v>108</v>
      </c>
      <c r="EXB46" s="365"/>
      <c r="EXC46" s="365"/>
      <c r="EXD46" s="365"/>
      <c r="EXE46" s="365" t="s">
        <v>108</v>
      </c>
      <c r="EXF46" s="365"/>
      <c r="EXG46" s="365"/>
      <c r="EXH46" s="365"/>
      <c r="EXI46" s="365" t="s">
        <v>108</v>
      </c>
      <c r="EXJ46" s="365"/>
      <c r="EXK46" s="365"/>
      <c r="EXL46" s="365"/>
      <c r="EXM46" s="365" t="s">
        <v>108</v>
      </c>
      <c r="EXN46" s="365"/>
      <c r="EXO46" s="365"/>
      <c r="EXP46" s="365"/>
      <c r="EXQ46" s="365" t="s">
        <v>108</v>
      </c>
      <c r="EXR46" s="365"/>
      <c r="EXS46" s="365"/>
      <c r="EXT46" s="365"/>
      <c r="EXU46" s="365" t="s">
        <v>108</v>
      </c>
      <c r="EXV46" s="365"/>
      <c r="EXW46" s="365"/>
      <c r="EXX46" s="365"/>
      <c r="EXY46" s="365" t="s">
        <v>108</v>
      </c>
      <c r="EXZ46" s="365"/>
      <c r="EYA46" s="365"/>
      <c r="EYB46" s="365"/>
      <c r="EYC46" s="365" t="s">
        <v>108</v>
      </c>
      <c r="EYD46" s="365"/>
      <c r="EYE46" s="365"/>
      <c r="EYF46" s="365"/>
      <c r="EYG46" s="365" t="s">
        <v>108</v>
      </c>
      <c r="EYH46" s="365"/>
      <c r="EYI46" s="365"/>
      <c r="EYJ46" s="365"/>
      <c r="EYK46" s="365" t="s">
        <v>108</v>
      </c>
      <c r="EYL46" s="365"/>
      <c r="EYM46" s="365"/>
      <c r="EYN46" s="365"/>
      <c r="EYO46" s="365" t="s">
        <v>108</v>
      </c>
      <c r="EYP46" s="365"/>
      <c r="EYQ46" s="365"/>
      <c r="EYR46" s="365"/>
      <c r="EYS46" s="365" t="s">
        <v>108</v>
      </c>
      <c r="EYT46" s="365"/>
      <c r="EYU46" s="365"/>
      <c r="EYV46" s="365"/>
      <c r="EYW46" s="365" t="s">
        <v>108</v>
      </c>
      <c r="EYX46" s="365"/>
      <c r="EYY46" s="365"/>
      <c r="EYZ46" s="365"/>
      <c r="EZA46" s="365" t="s">
        <v>108</v>
      </c>
      <c r="EZB46" s="365"/>
      <c r="EZC46" s="365"/>
      <c r="EZD46" s="365"/>
      <c r="EZE46" s="365" t="s">
        <v>108</v>
      </c>
      <c r="EZF46" s="365"/>
      <c r="EZG46" s="365"/>
      <c r="EZH46" s="365"/>
      <c r="EZI46" s="365" t="s">
        <v>108</v>
      </c>
      <c r="EZJ46" s="365"/>
      <c r="EZK46" s="365"/>
      <c r="EZL46" s="365"/>
      <c r="EZM46" s="365" t="s">
        <v>108</v>
      </c>
      <c r="EZN46" s="365"/>
      <c r="EZO46" s="365"/>
      <c r="EZP46" s="365"/>
      <c r="EZQ46" s="365" t="s">
        <v>108</v>
      </c>
      <c r="EZR46" s="365"/>
      <c r="EZS46" s="365"/>
      <c r="EZT46" s="365"/>
      <c r="EZU46" s="365" t="s">
        <v>108</v>
      </c>
      <c r="EZV46" s="365"/>
      <c r="EZW46" s="365"/>
      <c r="EZX46" s="365"/>
      <c r="EZY46" s="365" t="s">
        <v>108</v>
      </c>
      <c r="EZZ46" s="365"/>
      <c r="FAA46" s="365"/>
      <c r="FAB46" s="365"/>
      <c r="FAC46" s="365" t="s">
        <v>108</v>
      </c>
      <c r="FAD46" s="365"/>
      <c r="FAE46" s="365"/>
      <c r="FAF46" s="365"/>
      <c r="FAG46" s="365" t="s">
        <v>108</v>
      </c>
      <c r="FAH46" s="365"/>
      <c r="FAI46" s="365"/>
      <c r="FAJ46" s="365"/>
      <c r="FAK46" s="365" t="s">
        <v>108</v>
      </c>
      <c r="FAL46" s="365"/>
      <c r="FAM46" s="365"/>
      <c r="FAN46" s="365"/>
      <c r="FAO46" s="365" t="s">
        <v>108</v>
      </c>
      <c r="FAP46" s="365"/>
      <c r="FAQ46" s="365"/>
      <c r="FAR46" s="365"/>
      <c r="FAS46" s="365" t="s">
        <v>108</v>
      </c>
      <c r="FAT46" s="365"/>
      <c r="FAU46" s="365"/>
      <c r="FAV46" s="365"/>
      <c r="FAW46" s="365" t="s">
        <v>108</v>
      </c>
      <c r="FAX46" s="365"/>
      <c r="FAY46" s="365"/>
      <c r="FAZ46" s="365"/>
      <c r="FBA46" s="365" t="s">
        <v>108</v>
      </c>
      <c r="FBB46" s="365"/>
      <c r="FBC46" s="365"/>
      <c r="FBD46" s="365"/>
      <c r="FBE46" s="365" t="s">
        <v>108</v>
      </c>
      <c r="FBF46" s="365"/>
      <c r="FBG46" s="365"/>
      <c r="FBH46" s="365"/>
      <c r="FBI46" s="365" t="s">
        <v>108</v>
      </c>
      <c r="FBJ46" s="365"/>
      <c r="FBK46" s="365"/>
      <c r="FBL46" s="365"/>
      <c r="FBM46" s="365" t="s">
        <v>108</v>
      </c>
      <c r="FBN46" s="365"/>
      <c r="FBO46" s="365"/>
      <c r="FBP46" s="365"/>
      <c r="FBQ46" s="365" t="s">
        <v>108</v>
      </c>
      <c r="FBR46" s="365"/>
      <c r="FBS46" s="365"/>
      <c r="FBT46" s="365"/>
      <c r="FBU46" s="365" t="s">
        <v>108</v>
      </c>
      <c r="FBV46" s="365"/>
      <c r="FBW46" s="365"/>
      <c r="FBX46" s="365"/>
      <c r="FBY46" s="365" t="s">
        <v>108</v>
      </c>
      <c r="FBZ46" s="365"/>
      <c r="FCA46" s="365"/>
      <c r="FCB46" s="365"/>
      <c r="FCC46" s="365" t="s">
        <v>108</v>
      </c>
      <c r="FCD46" s="365"/>
      <c r="FCE46" s="365"/>
      <c r="FCF46" s="365"/>
      <c r="FCG46" s="365" t="s">
        <v>108</v>
      </c>
      <c r="FCH46" s="365"/>
      <c r="FCI46" s="365"/>
      <c r="FCJ46" s="365"/>
      <c r="FCK46" s="365" t="s">
        <v>108</v>
      </c>
      <c r="FCL46" s="365"/>
      <c r="FCM46" s="365"/>
      <c r="FCN46" s="365"/>
      <c r="FCO46" s="365" t="s">
        <v>108</v>
      </c>
      <c r="FCP46" s="365"/>
      <c r="FCQ46" s="365"/>
      <c r="FCR46" s="365"/>
      <c r="FCS46" s="365" t="s">
        <v>108</v>
      </c>
      <c r="FCT46" s="365"/>
      <c r="FCU46" s="365"/>
      <c r="FCV46" s="365"/>
      <c r="FCW46" s="365" t="s">
        <v>108</v>
      </c>
      <c r="FCX46" s="365"/>
      <c r="FCY46" s="365"/>
      <c r="FCZ46" s="365"/>
      <c r="FDA46" s="365" t="s">
        <v>108</v>
      </c>
      <c r="FDB46" s="365"/>
      <c r="FDC46" s="365"/>
      <c r="FDD46" s="365"/>
      <c r="FDE46" s="365" t="s">
        <v>108</v>
      </c>
      <c r="FDF46" s="365"/>
      <c r="FDG46" s="365"/>
      <c r="FDH46" s="365"/>
      <c r="FDI46" s="365" t="s">
        <v>108</v>
      </c>
      <c r="FDJ46" s="365"/>
      <c r="FDK46" s="365"/>
      <c r="FDL46" s="365"/>
      <c r="FDM46" s="365" t="s">
        <v>108</v>
      </c>
      <c r="FDN46" s="365"/>
      <c r="FDO46" s="365"/>
      <c r="FDP46" s="365"/>
      <c r="FDQ46" s="365" t="s">
        <v>108</v>
      </c>
      <c r="FDR46" s="365"/>
      <c r="FDS46" s="365"/>
      <c r="FDT46" s="365"/>
      <c r="FDU46" s="365" t="s">
        <v>108</v>
      </c>
      <c r="FDV46" s="365"/>
      <c r="FDW46" s="365"/>
      <c r="FDX46" s="365"/>
      <c r="FDY46" s="365" t="s">
        <v>108</v>
      </c>
      <c r="FDZ46" s="365"/>
      <c r="FEA46" s="365"/>
      <c r="FEB46" s="365"/>
      <c r="FEC46" s="365" t="s">
        <v>108</v>
      </c>
      <c r="FED46" s="365"/>
      <c r="FEE46" s="365"/>
      <c r="FEF46" s="365"/>
      <c r="FEG46" s="365" t="s">
        <v>108</v>
      </c>
      <c r="FEH46" s="365"/>
      <c r="FEI46" s="365"/>
      <c r="FEJ46" s="365"/>
      <c r="FEK46" s="365" t="s">
        <v>108</v>
      </c>
      <c r="FEL46" s="365"/>
      <c r="FEM46" s="365"/>
      <c r="FEN46" s="365"/>
      <c r="FEO46" s="365" t="s">
        <v>108</v>
      </c>
      <c r="FEP46" s="365"/>
      <c r="FEQ46" s="365"/>
      <c r="FER46" s="365"/>
      <c r="FES46" s="365" t="s">
        <v>108</v>
      </c>
      <c r="FET46" s="365"/>
      <c r="FEU46" s="365"/>
      <c r="FEV46" s="365"/>
      <c r="FEW46" s="365" t="s">
        <v>108</v>
      </c>
      <c r="FEX46" s="365"/>
      <c r="FEY46" s="365"/>
      <c r="FEZ46" s="365"/>
      <c r="FFA46" s="365" t="s">
        <v>108</v>
      </c>
      <c r="FFB46" s="365"/>
      <c r="FFC46" s="365"/>
      <c r="FFD46" s="365"/>
      <c r="FFE46" s="365" t="s">
        <v>108</v>
      </c>
      <c r="FFF46" s="365"/>
      <c r="FFG46" s="365"/>
      <c r="FFH46" s="365"/>
      <c r="FFI46" s="365" t="s">
        <v>108</v>
      </c>
      <c r="FFJ46" s="365"/>
      <c r="FFK46" s="365"/>
      <c r="FFL46" s="365"/>
      <c r="FFM46" s="365" t="s">
        <v>108</v>
      </c>
      <c r="FFN46" s="365"/>
      <c r="FFO46" s="365"/>
      <c r="FFP46" s="365"/>
      <c r="FFQ46" s="365" t="s">
        <v>108</v>
      </c>
      <c r="FFR46" s="365"/>
      <c r="FFS46" s="365"/>
      <c r="FFT46" s="365"/>
      <c r="FFU46" s="365" t="s">
        <v>108</v>
      </c>
      <c r="FFV46" s="365"/>
      <c r="FFW46" s="365"/>
      <c r="FFX46" s="365"/>
      <c r="FFY46" s="365" t="s">
        <v>108</v>
      </c>
      <c r="FFZ46" s="365"/>
      <c r="FGA46" s="365"/>
      <c r="FGB46" s="365"/>
      <c r="FGC46" s="365" t="s">
        <v>108</v>
      </c>
      <c r="FGD46" s="365"/>
      <c r="FGE46" s="365"/>
      <c r="FGF46" s="365"/>
      <c r="FGG46" s="365" t="s">
        <v>108</v>
      </c>
      <c r="FGH46" s="365"/>
      <c r="FGI46" s="365"/>
      <c r="FGJ46" s="365"/>
      <c r="FGK46" s="365" t="s">
        <v>108</v>
      </c>
      <c r="FGL46" s="365"/>
      <c r="FGM46" s="365"/>
      <c r="FGN46" s="365"/>
      <c r="FGO46" s="365" t="s">
        <v>108</v>
      </c>
      <c r="FGP46" s="365"/>
      <c r="FGQ46" s="365"/>
      <c r="FGR46" s="365"/>
      <c r="FGS46" s="365" t="s">
        <v>108</v>
      </c>
      <c r="FGT46" s="365"/>
      <c r="FGU46" s="365"/>
      <c r="FGV46" s="365"/>
      <c r="FGW46" s="365" t="s">
        <v>108</v>
      </c>
      <c r="FGX46" s="365"/>
      <c r="FGY46" s="365"/>
      <c r="FGZ46" s="365"/>
      <c r="FHA46" s="365" t="s">
        <v>108</v>
      </c>
      <c r="FHB46" s="365"/>
      <c r="FHC46" s="365"/>
      <c r="FHD46" s="365"/>
      <c r="FHE46" s="365" t="s">
        <v>108</v>
      </c>
      <c r="FHF46" s="365"/>
      <c r="FHG46" s="365"/>
      <c r="FHH46" s="365"/>
      <c r="FHI46" s="365" t="s">
        <v>108</v>
      </c>
      <c r="FHJ46" s="365"/>
      <c r="FHK46" s="365"/>
      <c r="FHL46" s="365"/>
      <c r="FHM46" s="365" t="s">
        <v>108</v>
      </c>
      <c r="FHN46" s="365"/>
      <c r="FHO46" s="365"/>
      <c r="FHP46" s="365"/>
      <c r="FHQ46" s="365" t="s">
        <v>108</v>
      </c>
      <c r="FHR46" s="365"/>
      <c r="FHS46" s="365"/>
      <c r="FHT46" s="365"/>
      <c r="FHU46" s="365" t="s">
        <v>108</v>
      </c>
      <c r="FHV46" s="365"/>
      <c r="FHW46" s="365"/>
      <c r="FHX46" s="365"/>
      <c r="FHY46" s="365" t="s">
        <v>108</v>
      </c>
      <c r="FHZ46" s="365"/>
      <c r="FIA46" s="365"/>
      <c r="FIB46" s="365"/>
      <c r="FIC46" s="365" t="s">
        <v>108</v>
      </c>
      <c r="FID46" s="365"/>
      <c r="FIE46" s="365"/>
      <c r="FIF46" s="365"/>
      <c r="FIG46" s="365" t="s">
        <v>108</v>
      </c>
      <c r="FIH46" s="365"/>
      <c r="FII46" s="365"/>
      <c r="FIJ46" s="365"/>
      <c r="FIK46" s="365" t="s">
        <v>108</v>
      </c>
      <c r="FIL46" s="365"/>
      <c r="FIM46" s="365"/>
      <c r="FIN46" s="365"/>
      <c r="FIO46" s="365" t="s">
        <v>108</v>
      </c>
      <c r="FIP46" s="365"/>
      <c r="FIQ46" s="365"/>
      <c r="FIR46" s="365"/>
      <c r="FIS46" s="365" t="s">
        <v>108</v>
      </c>
      <c r="FIT46" s="365"/>
      <c r="FIU46" s="365"/>
      <c r="FIV46" s="365"/>
      <c r="FIW46" s="365" t="s">
        <v>108</v>
      </c>
      <c r="FIX46" s="365"/>
      <c r="FIY46" s="365"/>
      <c r="FIZ46" s="365"/>
      <c r="FJA46" s="365" t="s">
        <v>108</v>
      </c>
      <c r="FJB46" s="365"/>
      <c r="FJC46" s="365"/>
      <c r="FJD46" s="365"/>
      <c r="FJE46" s="365" t="s">
        <v>108</v>
      </c>
      <c r="FJF46" s="365"/>
      <c r="FJG46" s="365"/>
      <c r="FJH46" s="365"/>
      <c r="FJI46" s="365" t="s">
        <v>108</v>
      </c>
      <c r="FJJ46" s="365"/>
      <c r="FJK46" s="365"/>
      <c r="FJL46" s="365"/>
      <c r="FJM46" s="365" t="s">
        <v>108</v>
      </c>
      <c r="FJN46" s="365"/>
      <c r="FJO46" s="365"/>
      <c r="FJP46" s="365"/>
      <c r="FJQ46" s="365" t="s">
        <v>108</v>
      </c>
      <c r="FJR46" s="365"/>
      <c r="FJS46" s="365"/>
      <c r="FJT46" s="365"/>
      <c r="FJU46" s="365" t="s">
        <v>108</v>
      </c>
      <c r="FJV46" s="365"/>
      <c r="FJW46" s="365"/>
      <c r="FJX46" s="365"/>
      <c r="FJY46" s="365" t="s">
        <v>108</v>
      </c>
      <c r="FJZ46" s="365"/>
      <c r="FKA46" s="365"/>
      <c r="FKB46" s="365"/>
      <c r="FKC46" s="365" t="s">
        <v>108</v>
      </c>
      <c r="FKD46" s="365"/>
      <c r="FKE46" s="365"/>
      <c r="FKF46" s="365"/>
      <c r="FKG46" s="365" t="s">
        <v>108</v>
      </c>
      <c r="FKH46" s="365"/>
      <c r="FKI46" s="365"/>
      <c r="FKJ46" s="365"/>
      <c r="FKK46" s="365" t="s">
        <v>108</v>
      </c>
      <c r="FKL46" s="365"/>
      <c r="FKM46" s="365"/>
      <c r="FKN46" s="365"/>
      <c r="FKO46" s="365" t="s">
        <v>108</v>
      </c>
      <c r="FKP46" s="365"/>
      <c r="FKQ46" s="365"/>
      <c r="FKR46" s="365"/>
      <c r="FKS46" s="365" t="s">
        <v>108</v>
      </c>
      <c r="FKT46" s="365"/>
      <c r="FKU46" s="365"/>
      <c r="FKV46" s="365"/>
      <c r="FKW46" s="365" t="s">
        <v>108</v>
      </c>
      <c r="FKX46" s="365"/>
      <c r="FKY46" s="365"/>
      <c r="FKZ46" s="365"/>
      <c r="FLA46" s="365" t="s">
        <v>108</v>
      </c>
      <c r="FLB46" s="365"/>
      <c r="FLC46" s="365"/>
      <c r="FLD46" s="365"/>
      <c r="FLE46" s="365" t="s">
        <v>108</v>
      </c>
      <c r="FLF46" s="365"/>
      <c r="FLG46" s="365"/>
      <c r="FLH46" s="365"/>
      <c r="FLI46" s="365" t="s">
        <v>108</v>
      </c>
      <c r="FLJ46" s="365"/>
      <c r="FLK46" s="365"/>
      <c r="FLL46" s="365"/>
      <c r="FLM46" s="365" t="s">
        <v>108</v>
      </c>
      <c r="FLN46" s="365"/>
      <c r="FLO46" s="365"/>
      <c r="FLP46" s="365"/>
      <c r="FLQ46" s="365" t="s">
        <v>108</v>
      </c>
      <c r="FLR46" s="365"/>
      <c r="FLS46" s="365"/>
      <c r="FLT46" s="365"/>
      <c r="FLU46" s="365" t="s">
        <v>108</v>
      </c>
      <c r="FLV46" s="365"/>
      <c r="FLW46" s="365"/>
      <c r="FLX46" s="365"/>
      <c r="FLY46" s="365" t="s">
        <v>108</v>
      </c>
      <c r="FLZ46" s="365"/>
      <c r="FMA46" s="365"/>
      <c r="FMB46" s="365"/>
      <c r="FMC46" s="365" t="s">
        <v>108</v>
      </c>
      <c r="FMD46" s="365"/>
      <c r="FME46" s="365"/>
      <c r="FMF46" s="365"/>
      <c r="FMG46" s="365" t="s">
        <v>108</v>
      </c>
      <c r="FMH46" s="365"/>
      <c r="FMI46" s="365"/>
      <c r="FMJ46" s="365"/>
      <c r="FMK46" s="365" t="s">
        <v>108</v>
      </c>
      <c r="FML46" s="365"/>
      <c r="FMM46" s="365"/>
      <c r="FMN46" s="365"/>
      <c r="FMO46" s="365" t="s">
        <v>108</v>
      </c>
      <c r="FMP46" s="365"/>
      <c r="FMQ46" s="365"/>
      <c r="FMR46" s="365"/>
      <c r="FMS46" s="365" t="s">
        <v>108</v>
      </c>
      <c r="FMT46" s="365"/>
      <c r="FMU46" s="365"/>
      <c r="FMV46" s="365"/>
      <c r="FMW46" s="365" t="s">
        <v>108</v>
      </c>
      <c r="FMX46" s="365"/>
      <c r="FMY46" s="365"/>
      <c r="FMZ46" s="365"/>
      <c r="FNA46" s="365" t="s">
        <v>108</v>
      </c>
      <c r="FNB46" s="365"/>
      <c r="FNC46" s="365"/>
      <c r="FND46" s="365"/>
      <c r="FNE46" s="365" t="s">
        <v>108</v>
      </c>
      <c r="FNF46" s="365"/>
      <c r="FNG46" s="365"/>
      <c r="FNH46" s="365"/>
      <c r="FNI46" s="365" t="s">
        <v>108</v>
      </c>
      <c r="FNJ46" s="365"/>
      <c r="FNK46" s="365"/>
      <c r="FNL46" s="365"/>
      <c r="FNM46" s="365" t="s">
        <v>108</v>
      </c>
      <c r="FNN46" s="365"/>
      <c r="FNO46" s="365"/>
      <c r="FNP46" s="365"/>
      <c r="FNQ46" s="365" t="s">
        <v>108</v>
      </c>
      <c r="FNR46" s="365"/>
      <c r="FNS46" s="365"/>
      <c r="FNT46" s="365"/>
      <c r="FNU46" s="365" t="s">
        <v>108</v>
      </c>
      <c r="FNV46" s="365"/>
      <c r="FNW46" s="365"/>
      <c r="FNX46" s="365"/>
      <c r="FNY46" s="365" t="s">
        <v>108</v>
      </c>
      <c r="FNZ46" s="365"/>
      <c r="FOA46" s="365"/>
      <c r="FOB46" s="365"/>
      <c r="FOC46" s="365" t="s">
        <v>108</v>
      </c>
      <c r="FOD46" s="365"/>
      <c r="FOE46" s="365"/>
      <c r="FOF46" s="365"/>
      <c r="FOG46" s="365" t="s">
        <v>108</v>
      </c>
      <c r="FOH46" s="365"/>
      <c r="FOI46" s="365"/>
      <c r="FOJ46" s="365"/>
      <c r="FOK46" s="365" t="s">
        <v>108</v>
      </c>
      <c r="FOL46" s="365"/>
      <c r="FOM46" s="365"/>
      <c r="FON46" s="365"/>
      <c r="FOO46" s="365" t="s">
        <v>108</v>
      </c>
      <c r="FOP46" s="365"/>
      <c r="FOQ46" s="365"/>
      <c r="FOR46" s="365"/>
      <c r="FOS46" s="365" t="s">
        <v>108</v>
      </c>
      <c r="FOT46" s="365"/>
      <c r="FOU46" s="365"/>
      <c r="FOV46" s="365"/>
      <c r="FOW46" s="365" t="s">
        <v>108</v>
      </c>
      <c r="FOX46" s="365"/>
      <c r="FOY46" s="365"/>
      <c r="FOZ46" s="365"/>
      <c r="FPA46" s="365" t="s">
        <v>108</v>
      </c>
      <c r="FPB46" s="365"/>
      <c r="FPC46" s="365"/>
      <c r="FPD46" s="365"/>
      <c r="FPE46" s="365" t="s">
        <v>108</v>
      </c>
      <c r="FPF46" s="365"/>
      <c r="FPG46" s="365"/>
      <c r="FPH46" s="365"/>
      <c r="FPI46" s="365" t="s">
        <v>108</v>
      </c>
      <c r="FPJ46" s="365"/>
      <c r="FPK46" s="365"/>
      <c r="FPL46" s="365"/>
      <c r="FPM46" s="365" t="s">
        <v>108</v>
      </c>
      <c r="FPN46" s="365"/>
      <c r="FPO46" s="365"/>
      <c r="FPP46" s="365"/>
      <c r="FPQ46" s="365" t="s">
        <v>108</v>
      </c>
      <c r="FPR46" s="365"/>
      <c r="FPS46" s="365"/>
      <c r="FPT46" s="365"/>
      <c r="FPU46" s="365" t="s">
        <v>108</v>
      </c>
      <c r="FPV46" s="365"/>
      <c r="FPW46" s="365"/>
      <c r="FPX46" s="365"/>
      <c r="FPY46" s="365" t="s">
        <v>108</v>
      </c>
      <c r="FPZ46" s="365"/>
      <c r="FQA46" s="365"/>
      <c r="FQB46" s="365"/>
      <c r="FQC46" s="365" t="s">
        <v>108</v>
      </c>
      <c r="FQD46" s="365"/>
      <c r="FQE46" s="365"/>
      <c r="FQF46" s="365"/>
      <c r="FQG46" s="365" t="s">
        <v>108</v>
      </c>
      <c r="FQH46" s="365"/>
      <c r="FQI46" s="365"/>
      <c r="FQJ46" s="365"/>
      <c r="FQK46" s="365" t="s">
        <v>108</v>
      </c>
      <c r="FQL46" s="365"/>
      <c r="FQM46" s="365"/>
      <c r="FQN46" s="365"/>
      <c r="FQO46" s="365" t="s">
        <v>108</v>
      </c>
      <c r="FQP46" s="365"/>
      <c r="FQQ46" s="365"/>
      <c r="FQR46" s="365"/>
      <c r="FQS46" s="365" t="s">
        <v>108</v>
      </c>
      <c r="FQT46" s="365"/>
      <c r="FQU46" s="365"/>
      <c r="FQV46" s="365"/>
      <c r="FQW46" s="365" t="s">
        <v>108</v>
      </c>
      <c r="FQX46" s="365"/>
      <c r="FQY46" s="365"/>
      <c r="FQZ46" s="365"/>
      <c r="FRA46" s="365" t="s">
        <v>108</v>
      </c>
      <c r="FRB46" s="365"/>
      <c r="FRC46" s="365"/>
      <c r="FRD46" s="365"/>
      <c r="FRE46" s="365" t="s">
        <v>108</v>
      </c>
      <c r="FRF46" s="365"/>
      <c r="FRG46" s="365"/>
      <c r="FRH46" s="365"/>
      <c r="FRI46" s="365" t="s">
        <v>108</v>
      </c>
      <c r="FRJ46" s="365"/>
      <c r="FRK46" s="365"/>
      <c r="FRL46" s="365"/>
      <c r="FRM46" s="365" t="s">
        <v>108</v>
      </c>
      <c r="FRN46" s="365"/>
      <c r="FRO46" s="365"/>
      <c r="FRP46" s="365"/>
      <c r="FRQ46" s="365" t="s">
        <v>108</v>
      </c>
      <c r="FRR46" s="365"/>
      <c r="FRS46" s="365"/>
      <c r="FRT46" s="365"/>
      <c r="FRU46" s="365" t="s">
        <v>108</v>
      </c>
      <c r="FRV46" s="365"/>
      <c r="FRW46" s="365"/>
      <c r="FRX46" s="365"/>
      <c r="FRY46" s="365" t="s">
        <v>108</v>
      </c>
      <c r="FRZ46" s="365"/>
      <c r="FSA46" s="365"/>
      <c r="FSB46" s="365"/>
      <c r="FSC46" s="365" t="s">
        <v>108</v>
      </c>
      <c r="FSD46" s="365"/>
      <c r="FSE46" s="365"/>
      <c r="FSF46" s="365"/>
      <c r="FSG46" s="365" t="s">
        <v>108</v>
      </c>
      <c r="FSH46" s="365"/>
      <c r="FSI46" s="365"/>
      <c r="FSJ46" s="365"/>
      <c r="FSK46" s="365" t="s">
        <v>108</v>
      </c>
      <c r="FSL46" s="365"/>
      <c r="FSM46" s="365"/>
      <c r="FSN46" s="365"/>
      <c r="FSO46" s="365" t="s">
        <v>108</v>
      </c>
      <c r="FSP46" s="365"/>
      <c r="FSQ46" s="365"/>
      <c r="FSR46" s="365"/>
      <c r="FSS46" s="365" t="s">
        <v>108</v>
      </c>
      <c r="FST46" s="365"/>
      <c r="FSU46" s="365"/>
      <c r="FSV46" s="365"/>
      <c r="FSW46" s="365" t="s">
        <v>108</v>
      </c>
      <c r="FSX46" s="365"/>
      <c r="FSY46" s="365"/>
      <c r="FSZ46" s="365"/>
      <c r="FTA46" s="365" t="s">
        <v>108</v>
      </c>
      <c r="FTB46" s="365"/>
      <c r="FTC46" s="365"/>
      <c r="FTD46" s="365"/>
      <c r="FTE46" s="365" t="s">
        <v>108</v>
      </c>
      <c r="FTF46" s="365"/>
      <c r="FTG46" s="365"/>
      <c r="FTH46" s="365"/>
      <c r="FTI46" s="365" t="s">
        <v>108</v>
      </c>
      <c r="FTJ46" s="365"/>
      <c r="FTK46" s="365"/>
      <c r="FTL46" s="365"/>
      <c r="FTM46" s="365" t="s">
        <v>108</v>
      </c>
      <c r="FTN46" s="365"/>
      <c r="FTO46" s="365"/>
      <c r="FTP46" s="365"/>
      <c r="FTQ46" s="365" t="s">
        <v>108</v>
      </c>
      <c r="FTR46" s="365"/>
      <c r="FTS46" s="365"/>
      <c r="FTT46" s="365"/>
      <c r="FTU46" s="365" t="s">
        <v>108</v>
      </c>
      <c r="FTV46" s="365"/>
      <c r="FTW46" s="365"/>
      <c r="FTX46" s="365"/>
      <c r="FTY46" s="365" t="s">
        <v>108</v>
      </c>
      <c r="FTZ46" s="365"/>
      <c r="FUA46" s="365"/>
      <c r="FUB46" s="365"/>
      <c r="FUC46" s="365" t="s">
        <v>108</v>
      </c>
      <c r="FUD46" s="365"/>
      <c r="FUE46" s="365"/>
      <c r="FUF46" s="365"/>
      <c r="FUG46" s="365" t="s">
        <v>108</v>
      </c>
      <c r="FUH46" s="365"/>
      <c r="FUI46" s="365"/>
      <c r="FUJ46" s="365"/>
      <c r="FUK46" s="365" t="s">
        <v>108</v>
      </c>
      <c r="FUL46" s="365"/>
      <c r="FUM46" s="365"/>
      <c r="FUN46" s="365"/>
      <c r="FUO46" s="365" t="s">
        <v>108</v>
      </c>
      <c r="FUP46" s="365"/>
      <c r="FUQ46" s="365"/>
      <c r="FUR46" s="365"/>
      <c r="FUS46" s="365" t="s">
        <v>108</v>
      </c>
      <c r="FUT46" s="365"/>
      <c r="FUU46" s="365"/>
      <c r="FUV46" s="365"/>
      <c r="FUW46" s="365" t="s">
        <v>108</v>
      </c>
      <c r="FUX46" s="365"/>
      <c r="FUY46" s="365"/>
      <c r="FUZ46" s="365"/>
      <c r="FVA46" s="365" t="s">
        <v>108</v>
      </c>
      <c r="FVB46" s="365"/>
      <c r="FVC46" s="365"/>
      <c r="FVD46" s="365"/>
      <c r="FVE46" s="365" t="s">
        <v>108</v>
      </c>
      <c r="FVF46" s="365"/>
      <c r="FVG46" s="365"/>
      <c r="FVH46" s="365"/>
      <c r="FVI46" s="365" t="s">
        <v>108</v>
      </c>
      <c r="FVJ46" s="365"/>
      <c r="FVK46" s="365"/>
      <c r="FVL46" s="365"/>
      <c r="FVM46" s="365" t="s">
        <v>108</v>
      </c>
      <c r="FVN46" s="365"/>
      <c r="FVO46" s="365"/>
      <c r="FVP46" s="365"/>
      <c r="FVQ46" s="365" t="s">
        <v>108</v>
      </c>
      <c r="FVR46" s="365"/>
      <c r="FVS46" s="365"/>
      <c r="FVT46" s="365"/>
      <c r="FVU46" s="365" t="s">
        <v>108</v>
      </c>
      <c r="FVV46" s="365"/>
      <c r="FVW46" s="365"/>
      <c r="FVX46" s="365"/>
      <c r="FVY46" s="365" t="s">
        <v>108</v>
      </c>
      <c r="FVZ46" s="365"/>
      <c r="FWA46" s="365"/>
      <c r="FWB46" s="365"/>
      <c r="FWC46" s="365" t="s">
        <v>108</v>
      </c>
      <c r="FWD46" s="365"/>
      <c r="FWE46" s="365"/>
      <c r="FWF46" s="365"/>
      <c r="FWG46" s="365" t="s">
        <v>108</v>
      </c>
      <c r="FWH46" s="365"/>
      <c r="FWI46" s="365"/>
      <c r="FWJ46" s="365"/>
      <c r="FWK46" s="365" t="s">
        <v>108</v>
      </c>
      <c r="FWL46" s="365"/>
      <c r="FWM46" s="365"/>
      <c r="FWN46" s="365"/>
      <c r="FWO46" s="365" t="s">
        <v>108</v>
      </c>
      <c r="FWP46" s="365"/>
      <c r="FWQ46" s="365"/>
      <c r="FWR46" s="365"/>
      <c r="FWS46" s="365" t="s">
        <v>108</v>
      </c>
      <c r="FWT46" s="365"/>
      <c r="FWU46" s="365"/>
      <c r="FWV46" s="365"/>
      <c r="FWW46" s="365" t="s">
        <v>108</v>
      </c>
      <c r="FWX46" s="365"/>
      <c r="FWY46" s="365"/>
      <c r="FWZ46" s="365"/>
      <c r="FXA46" s="365" t="s">
        <v>108</v>
      </c>
      <c r="FXB46" s="365"/>
      <c r="FXC46" s="365"/>
      <c r="FXD46" s="365"/>
      <c r="FXE46" s="365" t="s">
        <v>108</v>
      </c>
      <c r="FXF46" s="365"/>
      <c r="FXG46" s="365"/>
      <c r="FXH46" s="365"/>
      <c r="FXI46" s="365" t="s">
        <v>108</v>
      </c>
      <c r="FXJ46" s="365"/>
      <c r="FXK46" s="365"/>
      <c r="FXL46" s="365"/>
      <c r="FXM46" s="365" t="s">
        <v>108</v>
      </c>
      <c r="FXN46" s="365"/>
      <c r="FXO46" s="365"/>
      <c r="FXP46" s="365"/>
      <c r="FXQ46" s="365" t="s">
        <v>108</v>
      </c>
      <c r="FXR46" s="365"/>
      <c r="FXS46" s="365"/>
      <c r="FXT46" s="365"/>
      <c r="FXU46" s="365" t="s">
        <v>108</v>
      </c>
      <c r="FXV46" s="365"/>
      <c r="FXW46" s="365"/>
      <c r="FXX46" s="365"/>
      <c r="FXY46" s="365" t="s">
        <v>108</v>
      </c>
      <c r="FXZ46" s="365"/>
      <c r="FYA46" s="365"/>
      <c r="FYB46" s="365"/>
      <c r="FYC46" s="365" t="s">
        <v>108</v>
      </c>
      <c r="FYD46" s="365"/>
      <c r="FYE46" s="365"/>
      <c r="FYF46" s="365"/>
      <c r="FYG46" s="365" t="s">
        <v>108</v>
      </c>
      <c r="FYH46" s="365"/>
      <c r="FYI46" s="365"/>
      <c r="FYJ46" s="365"/>
      <c r="FYK46" s="365" t="s">
        <v>108</v>
      </c>
      <c r="FYL46" s="365"/>
      <c r="FYM46" s="365"/>
      <c r="FYN46" s="365"/>
      <c r="FYO46" s="365" t="s">
        <v>108</v>
      </c>
      <c r="FYP46" s="365"/>
      <c r="FYQ46" s="365"/>
      <c r="FYR46" s="365"/>
      <c r="FYS46" s="365" t="s">
        <v>108</v>
      </c>
      <c r="FYT46" s="365"/>
      <c r="FYU46" s="365"/>
      <c r="FYV46" s="365"/>
      <c r="FYW46" s="365" t="s">
        <v>108</v>
      </c>
      <c r="FYX46" s="365"/>
      <c r="FYY46" s="365"/>
      <c r="FYZ46" s="365"/>
      <c r="FZA46" s="365" t="s">
        <v>108</v>
      </c>
      <c r="FZB46" s="365"/>
      <c r="FZC46" s="365"/>
      <c r="FZD46" s="365"/>
      <c r="FZE46" s="365" t="s">
        <v>108</v>
      </c>
      <c r="FZF46" s="365"/>
      <c r="FZG46" s="365"/>
      <c r="FZH46" s="365"/>
      <c r="FZI46" s="365" t="s">
        <v>108</v>
      </c>
      <c r="FZJ46" s="365"/>
      <c r="FZK46" s="365"/>
      <c r="FZL46" s="365"/>
      <c r="FZM46" s="365" t="s">
        <v>108</v>
      </c>
      <c r="FZN46" s="365"/>
      <c r="FZO46" s="365"/>
      <c r="FZP46" s="365"/>
      <c r="FZQ46" s="365" t="s">
        <v>108</v>
      </c>
      <c r="FZR46" s="365"/>
      <c r="FZS46" s="365"/>
      <c r="FZT46" s="365"/>
      <c r="FZU46" s="365" t="s">
        <v>108</v>
      </c>
      <c r="FZV46" s="365"/>
      <c r="FZW46" s="365"/>
      <c r="FZX46" s="365"/>
      <c r="FZY46" s="365" t="s">
        <v>108</v>
      </c>
      <c r="FZZ46" s="365"/>
      <c r="GAA46" s="365"/>
      <c r="GAB46" s="365"/>
      <c r="GAC46" s="365" t="s">
        <v>108</v>
      </c>
      <c r="GAD46" s="365"/>
      <c r="GAE46" s="365"/>
      <c r="GAF46" s="365"/>
      <c r="GAG46" s="365" t="s">
        <v>108</v>
      </c>
      <c r="GAH46" s="365"/>
      <c r="GAI46" s="365"/>
      <c r="GAJ46" s="365"/>
      <c r="GAK46" s="365" t="s">
        <v>108</v>
      </c>
      <c r="GAL46" s="365"/>
      <c r="GAM46" s="365"/>
      <c r="GAN46" s="365"/>
      <c r="GAO46" s="365" t="s">
        <v>108</v>
      </c>
      <c r="GAP46" s="365"/>
      <c r="GAQ46" s="365"/>
      <c r="GAR46" s="365"/>
      <c r="GAS46" s="365" t="s">
        <v>108</v>
      </c>
      <c r="GAT46" s="365"/>
      <c r="GAU46" s="365"/>
      <c r="GAV46" s="365"/>
      <c r="GAW46" s="365" t="s">
        <v>108</v>
      </c>
      <c r="GAX46" s="365"/>
      <c r="GAY46" s="365"/>
      <c r="GAZ46" s="365"/>
      <c r="GBA46" s="365" t="s">
        <v>108</v>
      </c>
      <c r="GBB46" s="365"/>
      <c r="GBC46" s="365"/>
      <c r="GBD46" s="365"/>
      <c r="GBE46" s="365" t="s">
        <v>108</v>
      </c>
      <c r="GBF46" s="365"/>
      <c r="GBG46" s="365"/>
      <c r="GBH46" s="365"/>
      <c r="GBI46" s="365" t="s">
        <v>108</v>
      </c>
      <c r="GBJ46" s="365"/>
      <c r="GBK46" s="365"/>
      <c r="GBL46" s="365"/>
      <c r="GBM46" s="365" t="s">
        <v>108</v>
      </c>
      <c r="GBN46" s="365"/>
      <c r="GBO46" s="365"/>
      <c r="GBP46" s="365"/>
      <c r="GBQ46" s="365" t="s">
        <v>108</v>
      </c>
      <c r="GBR46" s="365"/>
      <c r="GBS46" s="365"/>
      <c r="GBT46" s="365"/>
      <c r="GBU46" s="365" t="s">
        <v>108</v>
      </c>
      <c r="GBV46" s="365"/>
      <c r="GBW46" s="365"/>
      <c r="GBX46" s="365"/>
      <c r="GBY46" s="365" t="s">
        <v>108</v>
      </c>
      <c r="GBZ46" s="365"/>
      <c r="GCA46" s="365"/>
      <c r="GCB46" s="365"/>
      <c r="GCC46" s="365" t="s">
        <v>108</v>
      </c>
      <c r="GCD46" s="365"/>
      <c r="GCE46" s="365"/>
      <c r="GCF46" s="365"/>
      <c r="GCG46" s="365" t="s">
        <v>108</v>
      </c>
      <c r="GCH46" s="365"/>
      <c r="GCI46" s="365"/>
      <c r="GCJ46" s="365"/>
      <c r="GCK46" s="365" t="s">
        <v>108</v>
      </c>
      <c r="GCL46" s="365"/>
      <c r="GCM46" s="365"/>
      <c r="GCN46" s="365"/>
      <c r="GCO46" s="365" t="s">
        <v>108</v>
      </c>
      <c r="GCP46" s="365"/>
      <c r="GCQ46" s="365"/>
      <c r="GCR46" s="365"/>
      <c r="GCS46" s="365" t="s">
        <v>108</v>
      </c>
      <c r="GCT46" s="365"/>
      <c r="GCU46" s="365"/>
      <c r="GCV46" s="365"/>
      <c r="GCW46" s="365" t="s">
        <v>108</v>
      </c>
      <c r="GCX46" s="365"/>
      <c r="GCY46" s="365"/>
      <c r="GCZ46" s="365"/>
      <c r="GDA46" s="365" t="s">
        <v>108</v>
      </c>
      <c r="GDB46" s="365"/>
      <c r="GDC46" s="365"/>
      <c r="GDD46" s="365"/>
      <c r="GDE46" s="365" t="s">
        <v>108</v>
      </c>
      <c r="GDF46" s="365"/>
      <c r="GDG46" s="365"/>
      <c r="GDH46" s="365"/>
      <c r="GDI46" s="365" t="s">
        <v>108</v>
      </c>
      <c r="GDJ46" s="365"/>
      <c r="GDK46" s="365"/>
      <c r="GDL46" s="365"/>
      <c r="GDM46" s="365" t="s">
        <v>108</v>
      </c>
      <c r="GDN46" s="365"/>
      <c r="GDO46" s="365"/>
      <c r="GDP46" s="365"/>
      <c r="GDQ46" s="365" t="s">
        <v>108</v>
      </c>
      <c r="GDR46" s="365"/>
      <c r="GDS46" s="365"/>
      <c r="GDT46" s="365"/>
      <c r="GDU46" s="365" t="s">
        <v>108</v>
      </c>
      <c r="GDV46" s="365"/>
      <c r="GDW46" s="365"/>
      <c r="GDX46" s="365"/>
      <c r="GDY46" s="365" t="s">
        <v>108</v>
      </c>
      <c r="GDZ46" s="365"/>
      <c r="GEA46" s="365"/>
      <c r="GEB46" s="365"/>
      <c r="GEC46" s="365" t="s">
        <v>108</v>
      </c>
      <c r="GED46" s="365"/>
      <c r="GEE46" s="365"/>
      <c r="GEF46" s="365"/>
      <c r="GEG46" s="365" t="s">
        <v>108</v>
      </c>
      <c r="GEH46" s="365"/>
      <c r="GEI46" s="365"/>
      <c r="GEJ46" s="365"/>
      <c r="GEK46" s="365" t="s">
        <v>108</v>
      </c>
      <c r="GEL46" s="365"/>
      <c r="GEM46" s="365"/>
      <c r="GEN46" s="365"/>
      <c r="GEO46" s="365" t="s">
        <v>108</v>
      </c>
      <c r="GEP46" s="365"/>
      <c r="GEQ46" s="365"/>
      <c r="GER46" s="365"/>
      <c r="GES46" s="365" t="s">
        <v>108</v>
      </c>
      <c r="GET46" s="365"/>
      <c r="GEU46" s="365"/>
      <c r="GEV46" s="365"/>
      <c r="GEW46" s="365" t="s">
        <v>108</v>
      </c>
      <c r="GEX46" s="365"/>
      <c r="GEY46" s="365"/>
      <c r="GEZ46" s="365"/>
      <c r="GFA46" s="365" t="s">
        <v>108</v>
      </c>
      <c r="GFB46" s="365"/>
      <c r="GFC46" s="365"/>
      <c r="GFD46" s="365"/>
      <c r="GFE46" s="365" t="s">
        <v>108</v>
      </c>
      <c r="GFF46" s="365"/>
      <c r="GFG46" s="365"/>
      <c r="GFH46" s="365"/>
      <c r="GFI46" s="365" t="s">
        <v>108</v>
      </c>
      <c r="GFJ46" s="365"/>
      <c r="GFK46" s="365"/>
      <c r="GFL46" s="365"/>
      <c r="GFM46" s="365" t="s">
        <v>108</v>
      </c>
      <c r="GFN46" s="365"/>
      <c r="GFO46" s="365"/>
      <c r="GFP46" s="365"/>
      <c r="GFQ46" s="365" t="s">
        <v>108</v>
      </c>
      <c r="GFR46" s="365"/>
      <c r="GFS46" s="365"/>
      <c r="GFT46" s="365"/>
      <c r="GFU46" s="365" t="s">
        <v>108</v>
      </c>
      <c r="GFV46" s="365"/>
      <c r="GFW46" s="365"/>
      <c r="GFX46" s="365"/>
      <c r="GFY46" s="365" t="s">
        <v>108</v>
      </c>
      <c r="GFZ46" s="365"/>
      <c r="GGA46" s="365"/>
      <c r="GGB46" s="365"/>
      <c r="GGC46" s="365" t="s">
        <v>108</v>
      </c>
      <c r="GGD46" s="365"/>
      <c r="GGE46" s="365"/>
      <c r="GGF46" s="365"/>
      <c r="GGG46" s="365" t="s">
        <v>108</v>
      </c>
      <c r="GGH46" s="365"/>
      <c r="GGI46" s="365"/>
      <c r="GGJ46" s="365"/>
      <c r="GGK46" s="365" t="s">
        <v>108</v>
      </c>
      <c r="GGL46" s="365"/>
      <c r="GGM46" s="365"/>
      <c r="GGN46" s="365"/>
      <c r="GGO46" s="365" t="s">
        <v>108</v>
      </c>
      <c r="GGP46" s="365"/>
      <c r="GGQ46" s="365"/>
      <c r="GGR46" s="365"/>
      <c r="GGS46" s="365" t="s">
        <v>108</v>
      </c>
      <c r="GGT46" s="365"/>
      <c r="GGU46" s="365"/>
      <c r="GGV46" s="365"/>
      <c r="GGW46" s="365" t="s">
        <v>108</v>
      </c>
      <c r="GGX46" s="365"/>
      <c r="GGY46" s="365"/>
      <c r="GGZ46" s="365"/>
      <c r="GHA46" s="365" t="s">
        <v>108</v>
      </c>
      <c r="GHB46" s="365"/>
      <c r="GHC46" s="365"/>
      <c r="GHD46" s="365"/>
      <c r="GHE46" s="365" t="s">
        <v>108</v>
      </c>
      <c r="GHF46" s="365"/>
      <c r="GHG46" s="365"/>
      <c r="GHH46" s="365"/>
      <c r="GHI46" s="365" t="s">
        <v>108</v>
      </c>
      <c r="GHJ46" s="365"/>
      <c r="GHK46" s="365"/>
      <c r="GHL46" s="365"/>
      <c r="GHM46" s="365" t="s">
        <v>108</v>
      </c>
      <c r="GHN46" s="365"/>
      <c r="GHO46" s="365"/>
      <c r="GHP46" s="365"/>
      <c r="GHQ46" s="365" t="s">
        <v>108</v>
      </c>
      <c r="GHR46" s="365"/>
      <c r="GHS46" s="365"/>
      <c r="GHT46" s="365"/>
      <c r="GHU46" s="365" t="s">
        <v>108</v>
      </c>
      <c r="GHV46" s="365"/>
      <c r="GHW46" s="365"/>
      <c r="GHX46" s="365"/>
      <c r="GHY46" s="365" t="s">
        <v>108</v>
      </c>
      <c r="GHZ46" s="365"/>
      <c r="GIA46" s="365"/>
      <c r="GIB46" s="365"/>
      <c r="GIC46" s="365" t="s">
        <v>108</v>
      </c>
      <c r="GID46" s="365"/>
      <c r="GIE46" s="365"/>
      <c r="GIF46" s="365"/>
      <c r="GIG46" s="365" t="s">
        <v>108</v>
      </c>
      <c r="GIH46" s="365"/>
      <c r="GII46" s="365"/>
      <c r="GIJ46" s="365"/>
      <c r="GIK46" s="365" t="s">
        <v>108</v>
      </c>
      <c r="GIL46" s="365"/>
      <c r="GIM46" s="365"/>
      <c r="GIN46" s="365"/>
      <c r="GIO46" s="365" t="s">
        <v>108</v>
      </c>
      <c r="GIP46" s="365"/>
      <c r="GIQ46" s="365"/>
      <c r="GIR46" s="365"/>
      <c r="GIS46" s="365" t="s">
        <v>108</v>
      </c>
      <c r="GIT46" s="365"/>
      <c r="GIU46" s="365"/>
      <c r="GIV46" s="365"/>
      <c r="GIW46" s="365" t="s">
        <v>108</v>
      </c>
      <c r="GIX46" s="365"/>
      <c r="GIY46" s="365"/>
      <c r="GIZ46" s="365"/>
      <c r="GJA46" s="365" t="s">
        <v>108</v>
      </c>
      <c r="GJB46" s="365"/>
      <c r="GJC46" s="365"/>
      <c r="GJD46" s="365"/>
      <c r="GJE46" s="365" t="s">
        <v>108</v>
      </c>
      <c r="GJF46" s="365"/>
      <c r="GJG46" s="365"/>
      <c r="GJH46" s="365"/>
      <c r="GJI46" s="365" t="s">
        <v>108</v>
      </c>
      <c r="GJJ46" s="365"/>
      <c r="GJK46" s="365"/>
      <c r="GJL46" s="365"/>
      <c r="GJM46" s="365" t="s">
        <v>108</v>
      </c>
      <c r="GJN46" s="365"/>
      <c r="GJO46" s="365"/>
      <c r="GJP46" s="365"/>
      <c r="GJQ46" s="365" t="s">
        <v>108</v>
      </c>
      <c r="GJR46" s="365"/>
      <c r="GJS46" s="365"/>
      <c r="GJT46" s="365"/>
      <c r="GJU46" s="365" t="s">
        <v>108</v>
      </c>
      <c r="GJV46" s="365"/>
      <c r="GJW46" s="365"/>
      <c r="GJX46" s="365"/>
      <c r="GJY46" s="365" t="s">
        <v>108</v>
      </c>
      <c r="GJZ46" s="365"/>
      <c r="GKA46" s="365"/>
      <c r="GKB46" s="365"/>
      <c r="GKC46" s="365" t="s">
        <v>108</v>
      </c>
      <c r="GKD46" s="365"/>
      <c r="GKE46" s="365"/>
      <c r="GKF46" s="365"/>
      <c r="GKG46" s="365" t="s">
        <v>108</v>
      </c>
      <c r="GKH46" s="365"/>
      <c r="GKI46" s="365"/>
      <c r="GKJ46" s="365"/>
      <c r="GKK46" s="365" t="s">
        <v>108</v>
      </c>
      <c r="GKL46" s="365"/>
      <c r="GKM46" s="365"/>
      <c r="GKN46" s="365"/>
      <c r="GKO46" s="365" t="s">
        <v>108</v>
      </c>
      <c r="GKP46" s="365"/>
      <c r="GKQ46" s="365"/>
      <c r="GKR46" s="365"/>
      <c r="GKS46" s="365" t="s">
        <v>108</v>
      </c>
      <c r="GKT46" s="365"/>
      <c r="GKU46" s="365"/>
      <c r="GKV46" s="365"/>
      <c r="GKW46" s="365" t="s">
        <v>108</v>
      </c>
      <c r="GKX46" s="365"/>
      <c r="GKY46" s="365"/>
      <c r="GKZ46" s="365"/>
      <c r="GLA46" s="365" t="s">
        <v>108</v>
      </c>
      <c r="GLB46" s="365"/>
      <c r="GLC46" s="365"/>
      <c r="GLD46" s="365"/>
      <c r="GLE46" s="365" t="s">
        <v>108</v>
      </c>
      <c r="GLF46" s="365"/>
      <c r="GLG46" s="365"/>
      <c r="GLH46" s="365"/>
      <c r="GLI46" s="365" t="s">
        <v>108</v>
      </c>
      <c r="GLJ46" s="365"/>
      <c r="GLK46" s="365"/>
      <c r="GLL46" s="365"/>
      <c r="GLM46" s="365" t="s">
        <v>108</v>
      </c>
      <c r="GLN46" s="365"/>
      <c r="GLO46" s="365"/>
      <c r="GLP46" s="365"/>
      <c r="GLQ46" s="365" t="s">
        <v>108</v>
      </c>
      <c r="GLR46" s="365"/>
      <c r="GLS46" s="365"/>
      <c r="GLT46" s="365"/>
      <c r="GLU46" s="365" t="s">
        <v>108</v>
      </c>
      <c r="GLV46" s="365"/>
      <c r="GLW46" s="365"/>
      <c r="GLX46" s="365"/>
      <c r="GLY46" s="365" t="s">
        <v>108</v>
      </c>
      <c r="GLZ46" s="365"/>
      <c r="GMA46" s="365"/>
      <c r="GMB46" s="365"/>
      <c r="GMC46" s="365" t="s">
        <v>108</v>
      </c>
      <c r="GMD46" s="365"/>
      <c r="GME46" s="365"/>
      <c r="GMF46" s="365"/>
      <c r="GMG46" s="365" t="s">
        <v>108</v>
      </c>
      <c r="GMH46" s="365"/>
      <c r="GMI46" s="365"/>
      <c r="GMJ46" s="365"/>
      <c r="GMK46" s="365" t="s">
        <v>108</v>
      </c>
      <c r="GML46" s="365"/>
      <c r="GMM46" s="365"/>
      <c r="GMN46" s="365"/>
      <c r="GMO46" s="365" t="s">
        <v>108</v>
      </c>
      <c r="GMP46" s="365"/>
      <c r="GMQ46" s="365"/>
      <c r="GMR46" s="365"/>
      <c r="GMS46" s="365" t="s">
        <v>108</v>
      </c>
      <c r="GMT46" s="365"/>
      <c r="GMU46" s="365"/>
      <c r="GMV46" s="365"/>
      <c r="GMW46" s="365" t="s">
        <v>108</v>
      </c>
      <c r="GMX46" s="365"/>
      <c r="GMY46" s="365"/>
      <c r="GMZ46" s="365"/>
      <c r="GNA46" s="365" t="s">
        <v>108</v>
      </c>
      <c r="GNB46" s="365"/>
      <c r="GNC46" s="365"/>
      <c r="GND46" s="365"/>
      <c r="GNE46" s="365" t="s">
        <v>108</v>
      </c>
      <c r="GNF46" s="365"/>
      <c r="GNG46" s="365"/>
      <c r="GNH46" s="365"/>
      <c r="GNI46" s="365" t="s">
        <v>108</v>
      </c>
      <c r="GNJ46" s="365"/>
      <c r="GNK46" s="365"/>
      <c r="GNL46" s="365"/>
      <c r="GNM46" s="365" t="s">
        <v>108</v>
      </c>
      <c r="GNN46" s="365"/>
      <c r="GNO46" s="365"/>
      <c r="GNP46" s="365"/>
      <c r="GNQ46" s="365" t="s">
        <v>108</v>
      </c>
      <c r="GNR46" s="365"/>
      <c r="GNS46" s="365"/>
      <c r="GNT46" s="365"/>
      <c r="GNU46" s="365" t="s">
        <v>108</v>
      </c>
      <c r="GNV46" s="365"/>
      <c r="GNW46" s="365"/>
      <c r="GNX46" s="365"/>
      <c r="GNY46" s="365" t="s">
        <v>108</v>
      </c>
      <c r="GNZ46" s="365"/>
      <c r="GOA46" s="365"/>
      <c r="GOB46" s="365"/>
      <c r="GOC46" s="365" t="s">
        <v>108</v>
      </c>
      <c r="GOD46" s="365"/>
      <c r="GOE46" s="365"/>
      <c r="GOF46" s="365"/>
      <c r="GOG46" s="365" t="s">
        <v>108</v>
      </c>
      <c r="GOH46" s="365"/>
      <c r="GOI46" s="365"/>
      <c r="GOJ46" s="365"/>
      <c r="GOK46" s="365" t="s">
        <v>108</v>
      </c>
      <c r="GOL46" s="365"/>
      <c r="GOM46" s="365"/>
      <c r="GON46" s="365"/>
      <c r="GOO46" s="365" t="s">
        <v>108</v>
      </c>
      <c r="GOP46" s="365"/>
      <c r="GOQ46" s="365"/>
      <c r="GOR46" s="365"/>
      <c r="GOS46" s="365" t="s">
        <v>108</v>
      </c>
      <c r="GOT46" s="365"/>
      <c r="GOU46" s="365"/>
      <c r="GOV46" s="365"/>
      <c r="GOW46" s="365" t="s">
        <v>108</v>
      </c>
      <c r="GOX46" s="365"/>
      <c r="GOY46" s="365"/>
      <c r="GOZ46" s="365"/>
      <c r="GPA46" s="365" t="s">
        <v>108</v>
      </c>
      <c r="GPB46" s="365"/>
      <c r="GPC46" s="365"/>
      <c r="GPD46" s="365"/>
      <c r="GPE46" s="365" t="s">
        <v>108</v>
      </c>
      <c r="GPF46" s="365"/>
      <c r="GPG46" s="365"/>
      <c r="GPH46" s="365"/>
      <c r="GPI46" s="365" t="s">
        <v>108</v>
      </c>
      <c r="GPJ46" s="365"/>
      <c r="GPK46" s="365"/>
      <c r="GPL46" s="365"/>
      <c r="GPM46" s="365" t="s">
        <v>108</v>
      </c>
      <c r="GPN46" s="365"/>
      <c r="GPO46" s="365"/>
      <c r="GPP46" s="365"/>
      <c r="GPQ46" s="365" t="s">
        <v>108</v>
      </c>
      <c r="GPR46" s="365"/>
      <c r="GPS46" s="365"/>
      <c r="GPT46" s="365"/>
      <c r="GPU46" s="365" t="s">
        <v>108</v>
      </c>
      <c r="GPV46" s="365"/>
      <c r="GPW46" s="365"/>
      <c r="GPX46" s="365"/>
      <c r="GPY46" s="365" t="s">
        <v>108</v>
      </c>
      <c r="GPZ46" s="365"/>
      <c r="GQA46" s="365"/>
      <c r="GQB46" s="365"/>
      <c r="GQC46" s="365" t="s">
        <v>108</v>
      </c>
      <c r="GQD46" s="365"/>
      <c r="GQE46" s="365"/>
      <c r="GQF46" s="365"/>
      <c r="GQG46" s="365" t="s">
        <v>108</v>
      </c>
      <c r="GQH46" s="365"/>
      <c r="GQI46" s="365"/>
      <c r="GQJ46" s="365"/>
      <c r="GQK46" s="365" t="s">
        <v>108</v>
      </c>
      <c r="GQL46" s="365"/>
      <c r="GQM46" s="365"/>
      <c r="GQN46" s="365"/>
      <c r="GQO46" s="365" t="s">
        <v>108</v>
      </c>
      <c r="GQP46" s="365"/>
      <c r="GQQ46" s="365"/>
      <c r="GQR46" s="365"/>
      <c r="GQS46" s="365" t="s">
        <v>108</v>
      </c>
      <c r="GQT46" s="365"/>
      <c r="GQU46" s="365"/>
      <c r="GQV46" s="365"/>
      <c r="GQW46" s="365" t="s">
        <v>108</v>
      </c>
      <c r="GQX46" s="365"/>
      <c r="GQY46" s="365"/>
      <c r="GQZ46" s="365"/>
      <c r="GRA46" s="365" t="s">
        <v>108</v>
      </c>
      <c r="GRB46" s="365"/>
      <c r="GRC46" s="365"/>
      <c r="GRD46" s="365"/>
      <c r="GRE46" s="365" t="s">
        <v>108</v>
      </c>
      <c r="GRF46" s="365"/>
      <c r="GRG46" s="365"/>
      <c r="GRH46" s="365"/>
      <c r="GRI46" s="365" t="s">
        <v>108</v>
      </c>
      <c r="GRJ46" s="365"/>
      <c r="GRK46" s="365"/>
      <c r="GRL46" s="365"/>
      <c r="GRM46" s="365" t="s">
        <v>108</v>
      </c>
      <c r="GRN46" s="365"/>
      <c r="GRO46" s="365"/>
      <c r="GRP46" s="365"/>
      <c r="GRQ46" s="365" t="s">
        <v>108</v>
      </c>
      <c r="GRR46" s="365"/>
      <c r="GRS46" s="365"/>
      <c r="GRT46" s="365"/>
      <c r="GRU46" s="365" t="s">
        <v>108</v>
      </c>
      <c r="GRV46" s="365"/>
      <c r="GRW46" s="365"/>
      <c r="GRX46" s="365"/>
      <c r="GRY46" s="365" t="s">
        <v>108</v>
      </c>
      <c r="GRZ46" s="365"/>
      <c r="GSA46" s="365"/>
      <c r="GSB46" s="365"/>
      <c r="GSC46" s="365" t="s">
        <v>108</v>
      </c>
      <c r="GSD46" s="365"/>
      <c r="GSE46" s="365"/>
      <c r="GSF46" s="365"/>
      <c r="GSG46" s="365" t="s">
        <v>108</v>
      </c>
      <c r="GSH46" s="365"/>
      <c r="GSI46" s="365"/>
      <c r="GSJ46" s="365"/>
      <c r="GSK46" s="365" t="s">
        <v>108</v>
      </c>
      <c r="GSL46" s="365"/>
      <c r="GSM46" s="365"/>
      <c r="GSN46" s="365"/>
      <c r="GSO46" s="365" t="s">
        <v>108</v>
      </c>
      <c r="GSP46" s="365"/>
      <c r="GSQ46" s="365"/>
      <c r="GSR46" s="365"/>
      <c r="GSS46" s="365" t="s">
        <v>108</v>
      </c>
      <c r="GST46" s="365"/>
      <c r="GSU46" s="365"/>
      <c r="GSV46" s="365"/>
      <c r="GSW46" s="365" t="s">
        <v>108</v>
      </c>
      <c r="GSX46" s="365"/>
      <c r="GSY46" s="365"/>
      <c r="GSZ46" s="365"/>
      <c r="GTA46" s="365" t="s">
        <v>108</v>
      </c>
      <c r="GTB46" s="365"/>
      <c r="GTC46" s="365"/>
      <c r="GTD46" s="365"/>
      <c r="GTE46" s="365" t="s">
        <v>108</v>
      </c>
      <c r="GTF46" s="365"/>
      <c r="GTG46" s="365"/>
      <c r="GTH46" s="365"/>
      <c r="GTI46" s="365" t="s">
        <v>108</v>
      </c>
      <c r="GTJ46" s="365"/>
      <c r="GTK46" s="365"/>
      <c r="GTL46" s="365"/>
      <c r="GTM46" s="365" t="s">
        <v>108</v>
      </c>
      <c r="GTN46" s="365"/>
      <c r="GTO46" s="365"/>
      <c r="GTP46" s="365"/>
      <c r="GTQ46" s="365" t="s">
        <v>108</v>
      </c>
      <c r="GTR46" s="365"/>
      <c r="GTS46" s="365"/>
      <c r="GTT46" s="365"/>
      <c r="GTU46" s="365" t="s">
        <v>108</v>
      </c>
      <c r="GTV46" s="365"/>
      <c r="GTW46" s="365"/>
      <c r="GTX46" s="365"/>
      <c r="GTY46" s="365" t="s">
        <v>108</v>
      </c>
      <c r="GTZ46" s="365"/>
      <c r="GUA46" s="365"/>
      <c r="GUB46" s="365"/>
      <c r="GUC46" s="365" t="s">
        <v>108</v>
      </c>
      <c r="GUD46" s="365"/>
      <c r="GUE46" s="365"/>
      <c r="GUF46" s="365"/>
      <c r="GUG46" s="365" t="s">
        <v>108</v>
      </c>
      <c r="GUH46" s="365"/>
      <c r="GUI46" s="365"/>
      <c r="GUJ46" s="365"/>
      <c r="GUK46" s="365" t="s">
        <v>108</v>
      </c>
      <c r="GUL46" s="365"/>
      <c r="GUM46" s="365"/>
      <c r="GUN46" s="365"/>
      <c r="GUO46" s="365" t="s">
        <v>108</v>
      </c>
      <c r="GUP46" s="365"/>
      <c r="GUQ46" s="365"/>
      <c r="GUR46" s="365"/>
      <c r="GUS46" s="365" t="s">
        <v>108</v>
      </c>
      <c r="GUT46" s="365"/>
      <c r="GUU46" s="365"/>
      <c r="GUV46" s="365"/>
      <c r="GUW46" s="365" t="s">
        <v>108</v>
      </c>
      <c r="GUX46" s="365"/>
      <c r="GUY46" s="365"/>
      <c r="GUZ46" s="365"/>
      <c r="GVA46" s="365" t="s">
        <v>108</v>
      </c>
      <c r="GVB46" s="365"/>
      <c r="GVC46" s="365"/>
      <c r="GVD46" s="365"/>
      <c r="GVE46" s="365" t="s">
        <v>108</v>
      </c>
      <c r="GVF46" s="365"/>
      <c r="GVG46" s="365"/>
      <c r="GVH46" s="365"/>
      <c r="GVI46" s="365" t="s">
        <v>108</v>
      </c>
      <c r="GVJ46" s="365"/>
      <c r="GVK46" s="365"/>
      <c r="GVL46" s="365"/>
      <c r="GVM46" s="365" t="s">
        <v>108</v>
      </c>
      <c r="GVN46" s="365"/>
      <c r="GVO46" s="365"/>
      <c r="GVP46" s="365"/>
      <c r="GVQ46" s="365" t="s">
        <v>108</v>
      </c>
      <c r="GVR46" s="365"/>
      <c r="GVS46" s="365"/>
      <c r="GVT46" s="365"/>
      <c r="GVU46" s="365" t="s">
        <v>108</v>
      </c>
      <c r="GVV46" s="365"/>
      <c r="GVW46" s="365"/>
      <c r="GVX46" s="365"/>
      <c r="GVY46" s="365" t="s">
        <v>108</v>
      </c>
      <c r="GVZ46" s="365"/>
      <c r="GWA46" s="365"/>
      <c r="GWB46" s="365"/>
      <c r="GWC46" s="365" t="s">
        <v>108</v>
      </c>
      <c r="GWD46" s="365"/>
      <c r="GWE46" s="365"/>
      <c r="GWF46" s="365"/>
      <c r="GWG46" s="365" t="s">
        <v>108</v>
      </c>
      <c r="GWH46" s="365"/>
      <c r="GWI46" s="365"/>
      <c r="GWJ46" s="365"/>
      <c r="GWK46" s="365" t="s">
        <v>108</v>
      </c>
      <c r="GWL46" s="365"/>
      <c r="GWM46" s="365"/>
      <c r="GWN46" s="365"/>
      <c r="GWO46" s="365" t="s">
        <v>108</v>
      </c>
      <c r="GWP46" s="365"/>
      <c r="GWQ46" s="365"/>
      <c r="GWR46" s="365"/>
      <c r="GWS46" s="365" t="s">
        <v>108</v>
      </c>
      <c r="GWT46" s="365"/>
      <c r="GWU46" s="365"/>
      <c r="GWV46" s="365"/>
      <c r="GWW46" s="365" t="s">
        <v>108</v>
      </c>
      <c r="GWX46" s="365"/>
      <c r="GWY46" s="365"/>
      <c r="GWZ46" s="365"/>
      <c r="GXA46" s="365" t="s">
        <v>108</v>
      </c>
      <c r="GXB46" s="365"/>
      <c r="GXC46" s="365"/>
      <c r="GXD46" s="365"/>
      <c r="GXE46" s="365" t="s">
        <v>108</v>
      </c>
      <c r="GXF46" s="365"/>
      <c r="GXG46" s="365"/>
      <c r="GXH46" s="365"/>
      <c r="GXI46" s="365" t="s">
        <v>108</v>
      </c>
      <c r="GXJ46" s="365"/>
      <c r="GXK46" s="365"/>
      <c r="GXL46" s="365"/>
      <c r="GXM46" s="365" t="s">
        <v>108</v>
      </c>
      <c r="GXN46" s="365"/>
      <c r="GXO46" s="365"/>
      <c r="GXP46" s="365"/>
      <c r="GXQ46" s="365" t="s">
        <v>108</v>
      </c>
      <c r="GXR46" s="365"/>
      <c r="GXS46" s="365"/>
      <c r="GXT46" s="365"/>
      <c r="GXU46" s="365" t="s">
        <v>108</v>
      </c>
      <c r="GXV46" s="365"/>
      <c r="GXW46" s="365"/>
      <c r="GXX46" s="365"/>
      <c r="GXY46" s="365" t="s">
        <v>108</v>
      </c>
      <c r="GXZ46" s="365"/>
      <c r="GYA46" s="365"/>
      <c r="GYB46" s="365"/>
      <c r="GYC46" s="365" t="s">
        <v>108</v>
      </c>
      <c r="GYD46" s="365"/>
      <c r="GYE46" s="365"/>
      <c r="GYF46" s="365"/>
      <c r="GYG46" s="365" t="s">
        <v>108</v>
      </c>
      <c r="GYH46" s="365"/>
      <c r="GYI46" s="365"/>
      <c r="GYJ46" s="365"/>
      <c r="GYK46" s="365" t="s">
        <v>108</v>
      </c>
      <c r="GYL46" s="365"/>
      <c r="GYM46" s="365"/>
      <c r="GYN46" s="365"/>
      <c r="GYO46" s="365" t="s">
        <v>108</v>
      </c>
      <c r="GYP46" s="365"/>
      <c r="GYQ46" s="365"/>
      <c r="GYR46" s="365"/>
      <c r="GYS46" s="365" t="s">
        <v>108</v>
      </c>
      <c r="GYT46" s="365"/>
      <c r="GYU46" s="365"/>
      <c r="GYV46" s="365"/>
      <c r="GYW46" s="365" t="s">
        <v>108</v>
      </c>
      <c r="GYX46" s="365"/>
      <c r="GYY46" s="365"/>
      <c r="GYZ46" s="365"/>
      <c r="GZA46" s="365" t="s">
        <v>108</v>
      </c>
      <c r="GZB46" s="365"/>
      <c r="GZC46" s="365"/>
      <c r="GZD46" s="365"/>
      <c r="GZE46" s="365" t="s">
        <v>108</v>
      </c>
      <c r="GZF46" s="365"/>
      <c r="GZG46" s="365"/>
      <c r="GZH46" s="365"/>
      <c r="GZI46" s="365" t="s">
        <v>108</v>
      </c>
      <c r="GZJ46" s="365"/>
      <c r="GZK46" s="365"/>
      <c r="GZL46" s="365"/>
      <c r="GZM46" s="365" t="s">
        <v>108</v>
      </c>
      <c r="GZN46" s="365"/>
      <c r="GZO46" s="365"/>
      <c r="GZP46" s="365"/>
      <c r="GZQ46" s="365" t="s">
        <v>108</v>
      </c>
      <c r="GZR46" s="365"/>
      <c r="GZS46" s="365"/>
      <c r="GZT46" s="365"/>
      <c r="GZU46" s="365" t="s">
        <v>108</v>
      </c>
      <c r="GZV46" s="365"/>
      <c r="GZW46" s="365"/>
      <c r="GZX46" s="365"/>
      <c r="GZY46" s="365" t="s">
        <v>108</v>
      </c>
      <c r="GZZ46" s="365"/>
      <c r="HAA46" s="365"/>
      <c r="HAB46" s="365"/>
      <c r="HAC46" s="365" t="s">
        <v>108</v>
      </c>
      <c r="HAD46" s="365"/>
      <c r="HAE46" s="365"/>
      <c r="HAF46" s="365"/>
      <c r="HAG46" s="365" t="s">
        <v>108</v>
      </c>
      <c r="HAH46" s="365"/>
      <c r="HAI46" s="365"/>
      <c r="HAJ46" s="365"/>
      <c r="HAK46" s="365" t="s">
        <v>108</v>
      </c>
      <c r="HAL46" s="365"/>
      <c r="HAM46" s="365"/>
      <c r="HAN46" s="365"/>
      <c r="HAO46" s="365" t="s">
        <v>108</v>
      </c>
      <c r="HAP46" s="365"/>
      <c r="HAQ46" s="365"/>
      <c r="HAR46" s="365"/>
      <c r="HAS46" s="365" t="s">
        <v>108</v>
      </c>
      <c r="HAT46" s="365"/>
      <c r="HAU46" s="365"/>
      <c r="HAV46" s="365"/>
      <c r="HAW46" s="365" t="s">
        <v>108</v>
      </c>
      <c r="HAX46" s="365"/>
      <c r="HAY46" s="365"/>
      <c r="HAZ46" s="365"/>
      <c r="HBA46" s="365" t="s">
        <v>108</v>
      </c>
      <c r="HBB46" s="365"/>
      <c r="HBC46" s="365"/>
      <c r="HBD46" s="365"/>
      <c r="HBE46" s="365" t="s">
        <v>108</v>
      </c>
      <c r="HBF46" s="365"/>
      <c r="HBG46" s="365"/>
      <c r="HBH46" s="365"/>
      <c r="HBI46" s="365" t="s">
        <v>108</v>
      </c>
      <c r="HBJ46" s="365"/>
      <c r="HBK46" s="365"/>
      <c r="HBL46" s="365"/>
      <c r="HBM46" s="365" t="s">
        <v>108</v>
      </c>
      <c r="HBN46" s="365"/>
      <c r="HBO46" s="365"/>
      <c r="HBP46" s="365"/>
      <c r="HBQ46" s="365" t="s">
        <v>108</v>
      </c>
      <c r="HBR46" s="365"/>
      <c r="HBS46" s="365"/>
      <c r="HBT46" s="365"/>
      <c r="HBU46" s="365" t="s">
        <v>108</v>
      </c>
      <c r="HBV46" s="365"/>
      <c r="HBW46" s="365"/>
      <c r="HBX46" s="365"/>
      <c r="HBY46" s="365" t="s">
        <v>108</v>
      </c>
      <c r="HBZ46" s="365"/>
      <c r="HCA46" s="365"/>
      <c r="HCB46" s="365"/>
      <c r="HCC46" s="365" t="s">
        <v>108</v>
      </c>
      <c r="HCD46" s="365"/>
      <c r="HCE46" s="365"/>
      <c r="HCF46" s="365"/>
      <c r="HCG46" s="365" t="s">
        <v>108</v>
      </c>
      <c r="HCH46" s="365"/>
      <c r="HCI46" s="365"/>
      <c r="HCJ46" s="365"/>
      <c r="HCK46" s="365" t="s">
        <v>108</v>
      </c>
      <c r="HCL46" s="365"/>
      <c r="HCM46" s="365"/>
      <c r="HCN46" s="365"/>
      <c r="HCO46" s="365" t="s">
        <v>108</v>
      </c>
      <c r="HCP46" s="365"/>
      <c r="HCQ46" s="365"/>
      <c r="HCR46" s="365"/>
      <c r="HCS46" s="365" t="s">
        <v>108</v>
      </c>
      <c r="HCT46" s="365"/>
      <c r="HCU46" s="365"/>
      <c r="HCV46" s="365"/>
      <c r="HCW46" s="365" t="s">
        <v>108</v>
      </c>
      <c r="HCX46" s="365"/>
      <c r="HCY46" s="365"/>
      <c r="HCZ46" s="365"/>
      <c r="HDA46" s="365" t="s">
        <v>108</v>
      </c>
      <c r="HDB46" s="365"/>
      <c r="HDC46" s="365"/>
      <c r="HDD46" s="365"/>
      <c r="HDE46" s="365" t="s">
        <v>108</v>
      </c>
      <c r="HDF46" s="365"/>
      <c r="HDG46" s="365"/>
      <c r="HDH46" s="365"/>
      <c r="HDI46" s="365" t="s">
        <v>108</v>
      </c>
      <c r="HDJ46" s="365"/>
      <c r="HDK46" s="365"/>
      <c r="HDL46" s="365"/>
      <c r="HDM46" s="365" t="s">
        <v>108</v>
      </c>
      <c r="HDN46" s="365"/>
      <c r="HDO46" s="365"/>
      <c r="HDP46" s="365"/>
      <c r="HDQ46" s="365" t="s">
        <v>108</v>
      </c>
      <c r="HDR46" s="365"/>
      <c r="HDS46" s="365"/>
      <c r="HDT46" s="365"/>
      <c r="HDU46" s="365" t="s">
        <v>108</v>
      </c>
      <c r="HDV46" s="365"/>
      <c r="HDW46" s="365"/>
      <c r="HDX46" s="365"/>
      <c r="HDY46" s="365" t="s">
        <v>108</v>
      </c>
      <c r="HDZ46" s="365"/>
      <c r="HEA46" s="365"/>
      <c r="HEB46" s="365"/>
      <c r="HEC46" s="365" t="s">
        <v>108</v>
      </c>
      <c r="HED46" s="365"/>
      <c r="HEE46" s="365"/>
      <c r="HEF46" s="365"/>
      <c r="HEG46" s="365" t="s">
        <v>108</v>
      </c>
      <c r="HEH46" s="365"/>
      <c r="HEI46" s="365"/>
      <c r="HEJ46" s="365"/>
      <c r="HEK46" s="365" t="s">
        <v>108</v>
      </c>
      <c r="HEL46" s="365"/>
      <c r="HEM46" s="365"/>
      <c r="HEN46" s="365"/>
      <c r="HEO46" s="365" t="s">
        <v>108</v>
      </c>
      <c r="HEP46" s="365"/>
      <c r="HEQ46" s="365"/>
      <c r="HER46" s="365"/>
      <c r="HES46" s="365" t="s">
        <v>108</v>
      </c>
      <c r="HET46" s="365"/>
      <c r="HEU46" s="365"/>
      <c r="HEV46" s="365"/>
      <c r="HEW46" s="365" t="s">
        <v>108</v>
      </c>
      <c r="HEX46" s="365"/>
      <c r="HEY46" s="365"/>
      <c r="HEZ46" s="365"/>
      <c r="HFA46" s="365" t="s">
        <v>108</v>
      </c>
      <c r="HFB46" s="365"/>
      <c r="HFC46" s="365"/>
      <c r="HFD46" s="365"/>
      <c r="HFE46" s="365" t="s">
        <v>108</v>
      </c>
      <c r="HFF46" s="365"/>
      <c r="HFG46" s="365"/>
      <c r="HFH46" s="365"/>
      <c r="HFI46" s="365" t="s">
        <v>108</v>
      </c>
      <c r="HFJ46" s="365"/>
      <c r="HFK46" s="365"/>
      <c r="HFL46" s="365"/>
      <c r="HFM46" s="365" t="s">
        <v>108</v>
      </c>
      <c r="HFN46" s="365"/>
      <c r="HFO46" s="365"/>
      <c r="HFP46" s="365"/>
      <c r="HFQ46" s="365" t="s">
        <v>108</v>
      </c>
      <c r="HFR46" s="365"/>
      <c r="HFS46" s="365"/>
      <c r="HFT46" s="365"/>
      <c r="HFU46" s="365" t="s">
        <v>108</v>
      </c>
      <c r="HFV46" s="365"/>
      <c r="HFW46" s="365"/>
      <c r="HFX46" s="365"/>
      <c r="HFY46" s="365" t="s">
        <v>108</v>
      </c>
      <c r="HFZ46" s="365"/>
      <c r="HGA46" s="365"/>
      <c r="HGB46" s="365"/>
      <c r="HGC46" s="365" t="s">
        <v>108</v>
      </c>
      <c r="HGD46" s="365"/>
      <c r="HGE46" s="365"/>
      <c r="HGF46" s="365"/>
      <c r="HGG46" s="365" t="s">
        <v>108</v>
      </c>
      <c r="HGH46" s="365"/>
      <c r="HGI46" s="365"/>
      <c r="HGJ46" s="365"/>
      <c r="HGK46" s="365" t="s">
        <v>108</v>
      </c>
      <c r="HGL46" s="365"/>
      <c r="HGM46" s="365"/>
      <c r="HGN46" s="365"/>
      <c r="HGO46" s="365" t="s">
        <v>108</v>
      </c>
      <c r="HGP46" s="365"/>
      <c r="HGQ46" s="365"/>
      <c r="HGR46" s="365"/>
      <c r="HGS46" s="365" t="s">
        <v>108</v>
      </c>
      <c r="HGT46" s="365"/>
      <c r="HGU46" s="365"/>
      <c r="HGV46" s="365"/>
      <c r="HGW46" s="365" t="s">
        <v>108</v>
      </c>
      <c r="HGX46" s="365"/>
      <c r="HGY46" s="365"/>
      <c r="HGZ46" s="365"/>
      <c r="HHA46" s="365" t="s">
        <v>108</v>
      </c>
      <c r="HHB46" s="365"/>
      <c r="HHC46" s="365"/>
      <c r="HHD46" s="365"/>
      <c r="HHE46" s="365" t="s">
        <v>108</v>
      </c>
      <c r="HHF46" s="365"/>
      <c r="HHG46" s="365"/>
      <c r="HHH46" s="365"/>
      <c r="HHI46" s="365" t="s">
        <v>108</v>
      </c>
      <c r="HHJ46" s="365"/>
      <c r="HHK46" s="365"/>
      <c r="HHL46" s="365"/>
      <c r="HHM46" s="365" t="s">
        <v>108</v>
      </c>
      <c r="HHN46" s="365"/>
      <c r="HHO46" s="365"/>
      <c r="HHP46" s="365"/>
      <c r="HHQ46" s="365" t="s">
        <v>108</v>
      </c>
      <c r="HHR46" s="365"/>
      <c r="HHS46" s="365"/>
      <c r="HHT46" s="365"/>
      <c r="HHU46" s="365" t="s">
        <v>108</v>
      </c>
      <c r="HHV46" s="365"/>
      <c r="HHW46" s="365"/>
      <c r="HHX46" s="365"/>
      <c r="HHY46" s="365" t="s">
        <v>108</v>
      </c>
      <c r="HHZ46" s="365"/>
      <c r="HIA46" s="365"/>
      <c r="HIB46" s="365"/>
      <c r="HIC46" s="365" t="s">
        <v>108</v>
      </c>
      <c r="HID46" s="365"/>
      <c r="HIE46" s="365"/>
      <c r="HIF46" s="365"/>
      <c r="HIG46" s="365" t="s">
        <v>108</v>
      </c>
      <c r="HIH46" s="365"/>
      <c r="HII46" s="365"/>
      <c r="HIJ46" s="365"/>
      <c r="HIK46" s="365" t="s">
        <v>108</v>
      </c>
      <c r="HIL46" s="365"/>
      <c r="HIM46" s="365"/>
      <c r="HIN46" s="365"/>
      <c r="HIO46" s="365" t="s">
        <v>108</v>
      </c>
      <c r="HIP46" s="365"/>
      <c r="HIQ46" s="365"/>
      <c r="HIR46" s="365"/>
      <c r="HIS46" s="365" t="s">
        <v>108</v>
      </c>
      <c r="HIT46" s="365"/>
      <c r="HIU46" s="365"/>
      <c r="HIV46" s="365"/>
      <c r="HIW46" s="365" t="s">
        <v>108</v>
      </c>
      <c r="HIX46" s="365"/>
      <c r="HIY46" s="365"/>
      <c r="HIZ46" s="365"/>
      <c r="HJA46" s="365" t="s">
        <v>108</v>
      </c>
      <c r="HJB46" s="365"/>
      <c r="HJC46" s="365"/>
      <c r="HJD46" s="365"/>
      <c r="HJE46" s="365" t="s">
        <v>108</v>
      </c>
      <c r="HJF46" s="365"/>
      <c r="HJG46" s="365"/>
      <c r="HJH46" s="365"/>
      <c r="HJI46" s="365" t="s">
        <v>108</v>
      </c>
      <c r="HJJ46" s="365"/>
      <c r="HJK46" s="365"/>
      <c r="HJL46" s="365"/>
      <c r="HJM46" s="365" t="s">
        <v>108</v>
      </c>
      <c r="HJN46" s="365"/>
      <c r="HJO46" s="365"/>
      <c r="HJP46" s="365"/>
      <c r="HJQ46" s="365" t="s">
        <v>108</v>
      </c>
      <c r="HJR46" s="365"/>
      <c r="HJS46" s="365"/>
      <c r="HJT46" s="365"/>
      <c r="HJU46" s="365" t="s">
        <v>108</v>
      </c>
      <c r="HJV46" s="365"/>
      <c r="HJW46" s="365"/>
      <c r="HJX46" s="365"/>
      <c r="HJY46" s="365" t="s">
        <v>108</v>
      </c>
      <c r="HJZ46" s="365"/>
      <c r="HKA46" s="365"/>
      <c r="HKB46" s="365"/>
      <c r="HKC46" s="365" t="s">
        <v>108</v>
      </c>
      <c r="HKD46" s="365"/>
      <c r="HKE46" s="365"/>
      <c r="HKF46" s="365"/>
      <c r="HKG46" s="365" t="s">
        <v>108</v>
      </c>
      <c r="HKH46" s="365"/>
      <c r="HKI46" s="365"/>
      <c r="HKJ46" s="365"/>
      <c r="HKK46" s="365" t="s">
        <v>108</v>
      </c>
      <c r="HKL46" s="365"/>
      <c r="HKM46" s="365"/>
      <c r="HKN46" s="365"/>
      <c r="HKO46" s="365" t="s">
        <v>108</v>
      </c>
      <c r="HKP46" s="365"/>
      <c r="HKQ46" s="365"/>
      <c r="HKR46" s="365"/>
      <c r="HKS46" s="365" t="s">
        <v>108</v>
      </c>
      <c r="HKT46" s="365"/>
      <c r="HKU46" s="365"/>
      <c r="HKV46" s="365"/>
      <c r="HKW46" s="365" t="s">
        <v>108</v>
      </c>
      <c r="HKX46" s="365"/>
      <c r="HKY46" s="365"/>
      <c r="HKZ46" s="365"/>
      <c r="HLA46" s="365" t="s">
        <v>108</v>
      </c>
      <c r="HLB46" s="365"/>
      <c r="HLC46" s="365"/>
      <c r="HLD46" s="365"/>
      <c r="HLE46" s="365" t="s">
        <v>108</v>
      </c>
      <c r="HLF46" s="365"/>
      <c r="HLG46" s="365"/>
      <c r="HLH46" s="365"/>
      <c r="HLI46" s="365" t="s">
        <v>108</v>
      </c>
      <c r="HLJ46" s="365"/>
      <c r="HLK46" s="365"/>
      <c r="HLL46" s="365"/>
      <c r="HLM46" s="365" t="s">
        <v>108</v>
      </c>
      <c r="HLN46" s="365"/>
      <c r="HLO46" s="365"/>
      <c r="HLP46" s="365"/>
      <c r="HLQ46" s="365" t="s">
        <v>108</v>
      </c>
      <c r="HLR46" s="365"/>
      <c r="HLS46" s="365"/>
      <c r="HLT46" s="365"/>
      <c r="HLU46" s="365" t="s">
        <v>108</v>
      </c>
      <c r="HLV46" s="365"/>
      <c r="HLW46" s="365"/>
      <c r="HLX46" s="365"/>
      <c r="HLY46" s="365" t="s">
        <v>108</v>
      </c>
      <c r="HLZ46" s="365"/>
      <c r="HMA46" s="365"/>
      <c r="HMB46" s="365"/>
      <c r="HMC46" s="365" t="s">
        <v>108</v>
      </c>
      <c r="HMD46" s="365"/>
      <c r="HME46" s="365"/>
      <c r="HMF46" s="365"/>
      <c r="HMG46" s="365" t="s">
        <v>108</v>
      </c>
      <c r="HMH46" s="365"/>
      <c r="HMI46" s="365"/>
      <c r="HMJ46" s="365"/>
      <c r="HMK46" s="365" t="s">
        <v>108</v>
      </c>
      <c r="HML46" s="365"/>
      <c r="HMM46" s="365"/>
      <c r="HMN46" s="365"/>
      <c r="HMO46" s="365" t="s">
        <v>108</v>
      </c>
      <c r="HMP46" s="365"/>
      <c r="HMQ46" s="365"/>
      <c r="HMR46" s="365"/>
      <c r="HMS46" s="365" t="s">
        <v>108</v>
      </c>
      <c r="HMT46" s="365"/>
      <c r="HMU46" s="365"/>
      <c r="HMV46" s="365"/>
      <c r="HMW46" s="365" t="s">
        <v>108</v>
      </c>
      <c r="HMX46" s="365"/>
      <c r="HMY46" s="365"/>
      <c r="HMZ46" s="365"/>
      <c r="HNA46" s="365" t="s">
        <v>108</v>
      </c>
      <c r="HNB46" s="365"/>
      <c r="HNC46" s="365"/>
      <c r="HND46" s="365"/>
      <c r="HNE46" s="365" t="s">
        <v>108</v>
      </c>
      <c r="HNF46" s="365"/>
      <c r="HNG46" s="365"/>
      <c r="HNH46" s="365"/>
      <c r="HNI46" s="365" t="s">
        <v>108</v>
      </c>
      <c r="HNJ46" s="365"/>
      <c r="HNK46" s="365"/>
      <c r="HNL46" s="365"/>
      <c r="HNM46" s="365" t="s">
        <v>108</v>
      </c>
      <c r="HNN46" s="365"/>
      <c r="HNO46" s="365"/>
      <c r="HNP46" s="365"/>
      <c r="HNQ46" s="365" t="s">
        <v>108</v>
      </c>
      <c r="HNR46" s="365"/>
      <c r="HNS46" s="365"/>
      <c r="HNT46" s="365"/>
      <c r="HNU46" s="365" t="s">
        <v>108</v>
      </c>
      <c r="HNV46" s="365"/>
      <c r="HNW46" s="365"/>
      <c r="HNX46" s="365"/>
      <c r="HNY46" s="365" t="s">
        <v>108</v>
      </c>
      <c r="HNZ46" s="365"/>
      <c r="HOA46" s="365"/>
      <c r="HOB46" s="365"/>
      <c r="HOC46" s="365" t="s">
        <v>108</v>
      </c>
      <c r="HOD46" s="365"/>
      <c r="HOE46" s="365"/>
      <c r="HOF46" s="365"/>
      <c r="HOG46" s="365" t="s">
        <v>108</v>
      </c>
      <c r="HOH46" s="365"/>
      <c r="HOI46" s="365"/>
      <c r="HOJ46" s="365"/>
      <c r="HOK46" s="365" t="s">
        <v>108</v>
      </c>
      <c r="HOL46" s="365"/>
      <c r="HOM46" s="365"/>
      <c r="HON46" s="365"/>
      <c r="HOO46" s="365" t="s">
        <v>108</v>
      </c>
      <c r="HOP46" s="365"/>
      <c r="HOQ46" s="365"/>
      <c r="HOR46" s="365"/>
      <c r="HOS46" s="365" t="s">
        <v>108</v>
      </c>
      <c r="HOT46" s="365"/>
      <c r="HOU46" s="365"/>
      <c r="HOV46" s="365"/>
      <c r="HOW46" s="365" t="s">
        <v>108</v>
      </c>
      <c r="HOX46" s="365"/>
      <c r="HOY46" s="365"/>
      <c r="HOZ46" s="365"/>
      <c r="HPA46" s="365" t="s">
        <v>108</v>
      </c>
      <c r="HPB46" s="365"/>
      <c r="HPC46" s="365"/>
      <c r="HPD46" s="365"/>
      <c r="HPE46" s="365" t="s">
        <v>108</v>
      </c>
      <c r="HPF46" s="365"/>
      <c r="HPG46" s="365"/>
      <c r="HPH46" s="365"/>
      <c r="HPI46" s="365" t="s">
        <v>108</v>
      </c>
      <c r="HPJ46" s="365"/>
      <c r="HPK46" s="365"/>
      <c r="HPL46" s="365"/>
      <c r="HPM46" s="365" t="s">
        <v>108</v>
      </c>
      <c r="HPN46" s="365"/>
      <c r="HPO46" s="365"/>
      <c r="HPP46" s="365"/>
      <c r="HPQ46" s="365" t="s">
        <v>108</v>
      </c>
      <c r="HPR46" s="365"/>
      <c r="HPS46" s="365"/>
      <c r="HPT46" s="365"/>
      <c r="HPU46" s="365" t="s">
        <v>108</v>
      </c>
      <c r="HPV46" s="365"/>
      <c r="HPW46" s="365"/>
      <c r="HPX46" s="365"/>
      <c r="HPY46" s="365" t="s">
        <v>108</v>
      </c>
      <c r="HPZ46" s="365"/>
      <c r="HQA46" s="365"/>
      <c r="HQB46" s="365"/>
      <c r="HQC46" s="365" t="s">
        <v>108</v>
      </c>
      <c r="HQD46" s="365"/>
      <c r="HQE46" s="365"/>
      <c r="HQF46" s="365"/>
      <c r="HQG46" s="365" t="s">
        <v>108</v>
      </c>
      <c r="HQH46" s="365"/>
      <c r="HQI46" s="365"/>
      <c r="HQJ46" s="365"/>
      <c r="HQK46" s="365" t="s">
        <v>108</v>
      </c>
      <c r="HQL46" s="365"/>
      <c r="HQM46" s="365"/>
      <c r="HQN46" s="365"/>
      <c r="HQO46" s="365" t="s">
        <v>108</v>
      </c>
      <c r="HQP46" s="365"/>
      <c r="HQQ46" s="365"/>
      <c r="HQR46" s="365"/>
      <c r="HQS46" s="365" t="s">
        <v>108</v>
      </c>
      <c r="HQT46" s="365"/>
      <c r="HQU46" s="365"/>
      <c r="HQV46" s="365"/>
      <c r="HQW46" s="365" t="s">
        <v>108</v>
      </c>
      <c r="HQX46" s="365"/>
      <c r="HQY46" s="365"/>
      <c r="HQZ46" s="365"/>
      <c r="HRA46" s="365" t="s">
        <v>108</v>
      </c>
      <c r="HRB46" s="365"/>
      <c r="HRC46" s="365"/>
      <c r="HRD46" s="365"/>
      <c r="HRE46" s="365" t="s">
        <v>108</v>
      </c>
      <c r="HRF46" s="365"/>
      <c r="HRG46" s="365"/>
      <c r="HRH46" s="365"/>
      <c r="HRI46" s="365" t="s">
        <v>108</v>
      </c>
      <c r="HRJ46" s="365"/>
      <c r="HRK46" s="365"/>
      <c r="HRL46" s="365"/>
      <c r="HRM46" s="365" t="s">
        <v>108</v>
      </c>
      <c r="HRN46" s="365"/>
      <c r="HRO46" s="365"/>
      <c r="HRP46" s="365"/>
      <c r="HRQ46" s="365" t="s">
        <v>108</v>
      </c>
      <c r="HRR46" s="365"/>
      <c r="HRS46" s="365"/>
      <c r="HRT46" s="365"/>
      <c r="HRU46" s="365" t="s">
        <v>108</v>
      </c>
      <c r="HRV46" s="365"/>
      <c r="HRW46" s="365"/>
      <c r="HRX46" s="365"/>
      <c r="HRY46" s="365" t="s">
        <v>108</v>
      </c>
      <c r="HRZ46" s="365"/>
      <c r="HSA46" s="365"/>
      <c r="HSB46" s="365"/>
      <c r="HSC46" s="365" t="s">
        <v>108</v>
      </c>
      <c r="HSD46" s="365"/>
      <c r="HSE46" s="365"/>
      <c r="HSF46" s="365"/>
      <c r="HSG46" s="365" t="s">
        <v>108</v>
      </c>
      <c r="HSH46" s="365"/>
      <c r="HSI46" s="365"/>
      <c r="HSJ46" s="365"/>
      <c r="HSK46" s="365" t="s">
        <v>108</v>
      </c>
      <c r="HSL46" s="365"/>
      <c r="HSM46" s="365"/>
      <c r="HSN46" s="365"/>
      <c r="HSO46" s="365" t="s">
        <v>108</v>
      </c>
      <c r="HSP46" s="365"/>
      <c r="HSQ46" s="365"/>
      <c r="HSR46" s="365"/>
      <c r="HSS46" s="365" t="s">
        <v>108</v>
      </c>
      <c r="HST46" s="365"/>
      <c r="HSU46" s="365"/>
      <c r="HSV46" s="365"/>
      <c r="HSW46" s="365" t="s">
        <v>108</v>
      </c>
      <c r="HSX46" s="365"/>
      <c r="HSY46" s="365"/>
      <c r="HSZ46" s="365"/>
      <c r="HTA46" s="365" t="s">
        <v>108</v>
      </c>
      <c r="HTB46" s="365"/>
      <c r="HTC46" s="365"/>
      <c r="HTD46" s="365"/>
      <c r="HTE46" s="365" t="s">
        <v>108</v>
      </c>
      <c r="HTF46" s="365"/>
      <c r="HTG46" s="365"/>
      <c r="HTH46" s="365"/>
      <c r="HTI46" s="365" t="s">
        <v>108</v>
      </c>
      <c r="HTJ46" s="365"/>
      <c r="HTK46" s="365"/>
      <c r="HTL46" s="365"/>
      <c r="HTM46" s="365" t="s">
        <v>108</v>
      </c>
      <c r="HTN46" s="365"/>
      <c r="HTO46" s="365"/>
      <c r="HTP46" s="365"/>
      <c r="HTQ46" s="365" t="s">
        <v>108</v>
      </c>
      <c r="HTR46" s="365"/>
      <c r="HTS46" s="365"/>
      <c r="HTT46" s="365"/>
      <c r="HTU46" s="365" t="s">
        <v>108</v>
      </c>
      <c r="HTV46" s="365"/>
      <c r="HTW46" s="365"/>
      <c r="HTX46" s="365"/>
      <c r="HTY46" s="365" t="s">
        <v>108</v>
      </c>
      <c r="HTZ46" s="365"/>
      <c r="HUA46" s="365"/>
      <c r="HUB46" s="365"/>
      <c r="HUC46" s="365" t="s">
        <v>108</v>
      </c>
      <c r="HUD46" s="365"/>
      <c r="HUE46" s="365"/>
      <c r="HUF46" s="365"/>
      <c r="HUG46" s="365" t="s">
        <v>108</v>
      </c>
      <c r="HUH46" s="365"/>
      <c r="HUI46" s="365"/>
      <c r="HUJ46" s="365"/>
      <c r="HUK46" s="365" t="s">
        <v>108</v>
      </c>
      <c r="HUL46" s="365"/>
      <c r="HUM46" s="365"/>
      <c r="HUN46" s="365"/>
      <c r="HUO46" s="365" t="s">
        <v>108</v>
      </c>
      <c r="HUP46" s="365"/>
      <c r="HUQ46" s="365"/>
      <c r="HUR46" s="365"/>
      <c r="HUS46" s="365" t="s">
        <v>108</v>
      </c>
      <c r="HUT46" s="365"/>
      <c r="HUU46" s="365"/>
      <c r="HUV46" s="365"/>
      <c r="HUW46" s="365" t="s">
        <v>108</v>
      </c>
      <c r="HUX46" s="365"/>
      <c r="HUY46" s="365"/>
      <c r="HUZ46" s="365"/>
      <c r="HVA46" s="365" t="s">
        <v>108</v>
      </c>
      <c r="HVB46" s="365"/>
      <c r="HVC46" s="365"/>
      <c r="HVD46" s="365"/>
      <c r="HVE46" s="365" t="s">
        <v>108</v>
      </c>
      <c r="HVF46" s="365"/>
      <c r="HVG46" s="365"/>
      <c r="HVH46" s="365"/>
      <c r="HVI46" s="365" t="s">
        <v>108</v>
      </c>
      <c r="HVJ46" s="365"/>
      <c r="HVK46" s="365"/>
      <c r="HVL46" s="365"/>
      <c r="HVM46" s="365" t="s">
        <v>108</v>
      </c>
      <c r="HVN46" s="365"/>
      <c r="HVO46" s="365"/>
      <c r="HVP46" s="365"/>
      <c r="HVQ46" s="365" t="s">
        <v>108</v>
      </c>
      <c r="HVR46" s="365"/>
      <c r="HVS46" s="365"/>
      <c r="HVT46" s="365"/>
      <c r="HVU46" s="365" t="s">
        <v>108</v>
      </c>
      <c r="HVV46" s="365"/>
      <c r="HVW46" s="365"/>
      <c r="HVX46" s="365"/>
      <c r="HVY46" s="365" t="s">
        <v>108</v>
      </c>
      <c r="HVZ46" s="365"/>
      <c r="HWA46" s="365"/>
      <c r="HWB46" s="365"/>
      <c r="HWC46" s="365" t="s">
        <v>108</v>
      </c>
      <c r="HWD46" s="365"/>
      <c r="HWE46" s="365"/>
      <c r="HWF46" s="365"/>
      <c r="HWG46" s="365" t="s">
        <v>108</v>
      </c>
      <c r="HWH46" s="365"/>
      <c r="HWI46" s="365"/>
      <c r="HWJ46" s="365"/>
      <c r="HWK46" s="365" t="s">
        <v>108</v>
      </c>
      <c r="HWL46" s="365"/>
      <c r="HWM46" s="365"/>
      <c r="HWN46" s="365"/>
      <c r="HWO46" s="365" t="s">
        <v>108</v>
      </c>
      <c r="HWP46" s="365"/>
      <c r="HWQ46" s="365"/>
      <c r="HWR46" s="365"/>
      <c r="HWS46" s="365" t="s">
        <v>108</v>
      </c>
      <c r="HWT46" s="365"/>
      <c r="HWU46" s="365"/>
      <c r="HWV46" s="365"/>
      <c r="HWW46" s="365" t="s">
        <v>108</v>
      </c>
      <c r="HWX46" s="365"/>
      <c r="HWY46" s="365"/>
      <c r="HWZ46" s="365"/>
      <c r="HXA46" s="365" t="s">
        <v>108</v>
      </c>
      <c r="HXB46" s="365"/>
      <c r="HXC46" s="365"/>
      <c r="HXD46" s="365"/>
      <c r="HXE46" s="365" t="s">
        <v>108</v>
      </c>
      <c r="HXF46" s="365"/>
      <c r="HXG46" s="365"/>
      <c r="HXH46" s="365"/>
      <c r="HXI46" s="365" t="s">
        <v>108</v>
      </c>
      <c r="HXJ46" s="365"/>
      <c r="HXK46" s="365"/>
      <c r="HXL46" s="365"/>
      <c r="HXM46" s="365" t="s">
        <v>108</v>
      </c>
      <c r="HXN46" s="365"/>
      <c r="HXO46" s="365"/>
      <c r="HXP46" s="365"/>
      <c r="HXQ46" s="365" t="s">
        <v>108</v>
      </c>
      <c r="HXR46" s="365"/>
      <c r="HXS46" s="365"/>
      <c r="HXT46" s="365"/>
      <c r="HXU46" s="365" t="s">
        <v>108</v>
      </c>
      <c r="HXV46" s="365"/>
      <c r="HXW46" s="365"/>
      <c r="HXX46" s="365"/>
      <c r="HXY46" s="365" t="s">
        <v>108</v>
      </c>
      <c r="HXZ46" s="365"/>
      <c r="HYA46" s="365"/>
      <c r="HYB46" s="365"/>
      <c r="HYC46" s="365" t="s">
        <v>108</v>
      </c>
      <c r="HYD46" s="365"/>
      <c r="HYE46" s="365"/>
      <c r="HYF46" s="365"/>
      <c r="HYG46" s="365" t="s">
        <v>108</v>
      </c>
      <c r="HYH46" s="365"/>
      <c r="HYI46" s="365"/>
      <c r="HYJ46" s="365"/>
      <c r="HYK46" s="365" t="s">
        <v>108</v>
      </c>
      <c r="HYL46" s="365"/>
      <c r="HYM46" s="365"/>
      <c r="HYN46" s="365"/>
      <c r="HYO46" s="365" t="s">
        <v>108</v>
      </c>
      <c r="HYP46" s="365"/>
      <c r="HYQ46" s="365"/>
      <c r="HYR46" s="365"/>
      <c r="HYS46" s="365" t="s">
        <v>108</v>
      </c>
      <c r="HYT46" s="365"/>
      <c r="HYU46" s="365"/>
      <c r="HYV46" s="365"/>
      <c r="HYW46" s="365" t="s">
        <v>108</v>
      </c>
      <c r="HYX46" s="365"/>
      <c r="HYY46" s="365"/>
      <c r="HYZ46" s="365"/>
      <c r="HZA46" s="365" t="s">
        <v>108</v>
      </c>
      <c r="HZB46" s="365"/>
      <c r="HZC46" s="365"/>
      <c r="HZD46" s="365"/>
      <c r="HZE46" s="365" t="s">
        <v>108</v>
      </c>
      <c r="HZF46" s="365"/>
      <c r="HZG46" s="365"/>
      <c r="HZH46" s="365"/>
      <c r="HZI46" s="365" t="s">
        <v>108</v>
      </c>
      <c r="HZJ46" s="365"/>
      <c r="HZK46" s="365"/>
      <c r="HZL46" s="365"/>
      <c r="HZM46" s="365" t="s">
        <v>108</v>
      </c>
      <c r="HZN46" s="365"/>
      <c r="HZO46" s="365"/>
      <c r="HZP46" s="365"/>
      <c r="HZQ46" s="365" t="s">
        <v>108</v>
      </c>
      <c r="HZR46" s="365"/>
      <c r="HZS46" s="365"/>
      <c r="HZT46" s="365"/>
      <c r="HZU46" s="365" t="s">
        <v>108</v>
      </c>
      <c r="HZV46" s="365"/>
      <c r="HZW46" s="365"/>
      <c r="HZX46" s="365"/>
      <c r="HZY46" s="365" t="s">
        <v>108</v>
      </c>
      <c r="HZZ46" s="365"/>
      <c r="IAA46" s="365"/>
      <c r="IAB46" s="365"/>
      <c r="IAC46" s="365" t="s">
        <v>108</v>
      </c>
      <c r="IAD46" s="365"/>
      <c r="IAE46" s="365"/>
      <c r="IAF46" s="365"/>
      <c r="IAG46" s="365" t="s">
        <v>108</v>
      </c>
      <c r="IAH46" s="365"/>
      <c r="IAI46" s="365"/>
      <c r="IAJ46" s="365"/>
      <c r="IAK46" s="365" t="s">
        <v>108</v>
      </c>
      <c r="IAL46" s="365"/>
      <c r="IAM46" s="365"/>
      <c r="IAN46" s="365"/>
      <c r="IAO46" s="365" t="s">
        <v>108</v>
      </c>
      <c r="IAP46" s="365"/>
      <c r="IAQ46" s="365"/>
      <c r="IAR46" s="365"/>
      <c r="IAS46" s="365" t="s">
        <v>108</v>
      </c>
      <c r="IAT46" s="365"/>
      <c r="IAU46" s="365"/>
      <c r="IAV46" s="365"/>
      <c r="IAW46" s="365" t="s">
        <v>108</v>
      </c>
      <c r="IAX46" s="365"/>
      <c r="IAY46" s="365"/>
      <c r="IAZ46" s="365"/>
      <c r="IBA46" s="365" t="s">
        <v>108</v>
      </c>
      <c r="IBB46" s="365"/>
      <c r="IBC46" s="365"/>
      <c r="IBD46" s="365"/>
      <c r="IBE46" s="365" t="s">
        <v>108</v>
      </c>
      <c r="IBF46" s="365"/>
      <c r="IBG46" s="365"/>
      <c r="IBH46" s="365"/>
      <c r="IBI46" s="365" t="s">
        <v>108</v>
      </c>
      <c r="IBJ46" s="365"/>
      <c r="IBK46" s="365"/>
      <c r="IBL46" s="365"/>
      <c r="IBM46" s="365" t="s">
        <v>108</v>
      </c>
      <c r="IBN46" s="365"/>
      <c r="IBO46" s="365"/>
      <c r="IBP46" s="365"/>
      <c r="IBQ46" s="365" t="s">
        <v>108</v>
      </c>
      <c r="IBR46" s="365"/>
      <c r="IBS46" s="365"/>
      <c r="IBT46" s="365"/>
      <c r="IBU46" s="365" t="s">
        <v>108</v>
      </c>
      <c r="IBV46" s="365"/>
      <c r="IBW46" s="365"/>
      <c r="IBX46" s="365"/>
      <c r="IBY46" s="365" t="s">
        <v>108</v>
      </c>
      <c r="IBZ46" s="365"/>
      <c r="ICA46" s="365"/>
      <c r="ICB46" s="365"/>
      <c r="ICC46" s="365" t="s">
        <v>108</v>
      </c>
      <c r="ICD46" s="365"/>
      <c r="ICE46" s="365"/>
      <c r="ICF46" s="365"/>
      <c r="ICG46" s="365" t="s">
        <v>108</v>
      </c>
      <c r="ICH46" s="365"/>
      <c r="ICI46" s="365"/>
      <c r="ICJ46" s="365"/>
      <c r="ICK46" s="365" t="s">
        <v>108</v>
      </c>
      <c r="ICL46" s="365"/>
      <c r="ICM46" s="365"/>
      <c r="ICN46" s="365"/>
      <c r="ICO46" s="365" t="s">
        <v>108</v>
      </c>
      <c r="ICP46" s="365"/>
      <c r="ICQ46" s="365"/>
      <c r="ICR46" s="365"/>
      <c r="ICS46" s="365" t="s">
        <v>108</v>
      </c>
      <c r="ICT46" s="365"/>
      <c r="ICU46" s="365"/>
      <c r="ICV46" s="365"/>
      <c r="ICW46" s="365" t="s">
        <v>108</v>
      </c>
      <c r="ICX46" s="365"/>
      <c r="ICY46" s="365"/>
      <c r="ICZ46" s="365"/>
      <c r="IDA46" s="365" t="s">
        <v>108</v>
      </c>
      <c r="IDB46" s="365"/>
      <c r="IDC46" s="365"/>
      <c r="IDD46" s="365"/>
      <c r="IDE46" s="365" t="s">
        <v>108</v>
      </c>
      <c r="IDF46" s="365"/>
      <c r="IDG46" s="365"/>
      <c r="IDH46" s="365"/>
      <c r="IDI46" s="365" t="s">
        <v>108</v>
      </c>
      <c r="IDJ46" s="365"/>
      <c r="IDK46" s="365"/>
      <c r="IDL46" s="365"/>
      <c r="IDM46" s="365" t="s">
        <v>108</v>
      </c>
      <c r="IDN46" s="365"/>
      <c r="IDO46" s="365"/>
      <c r="IDP46" s="365"/>
      <c r="IDQ46" s="365" t="s">
        <v>108</v>
      </c>
      <c r="IDR46" s="365"/>
      <c r="IDS46" s="365"/>
      <c r="IDT46" s="365"/>
      <c r="IDU46" s="365" t="s">
        <v>108</v>
      </c>
      <c r="IDV46" s="365"/>
      <c r="IDW46" s="365"/>
      <c r="IDX46" s="365"/>
      <c r="IDY46" s="365" t="s">
        <v>108</v>
      </c>
      <c r="IDZ46" s="365"/>
      <c r="IEA46" s="365"/>
      <c r="IEB46" s="365"/>
      <c r="IEC46" s="365" t="s">
        <v>108</v>
      </c>
      <c r="IED46" s="365"/>
      <c r="IEE46" s="365"/>
      <c r="IEF46" s="365"/>
      <c r="IEG46" s="365" t="s">
        <v>108</v>
      </c>
      <c r="IEH46" s="365"/>
      <c r="IEI46" s="365"/>
      <c r="IEJ46" s="365"/>
      <c r="IEK46" s="365" t="s">
        <v>108</v>
      </c>
      <c r="IEL46" s="365"/>
      <c r="IEM46" s="365"/>
      <c r="IEN46" s="365"/>
      <c r="IEO46" s="365" t="s">
        <v>108</v>
      </c>
      <c r="IEP46" s="365"/>
      <c r="IEQ46" s="365"/>
      <c r="IER46" s="365"/>
      <c r="IES46" s="365" t="s">
        <v>108</v>
      </c>
      <c r="IET46" s="365"/>
      <c r="IEU46" s="365"/>
      <c r="IEV46" s="365"/>
      <c r="IEW46" s="365" t="s">
        <v>108</v>
      </c>
      <c r="IEX46" s="365"/>
      <c r="IEY46" s="365"/>
      <c r="IEZ46" s="365"/>
      <c r="IFA46" s="365" t="s">
        <v>108</v>
      </c>
      <c r="IFB46" s="365"/>
      <c r="IFC46" s="365"/>
      <c r="IFD46" s="365"/>
      <c r="IFE46" s="365" t="s">
        <v>108</v>
      </c>
      <c r="IFF46" s="365"/>
      <c r="IFG46" s="365"/>
      <c r="IFH46" s="365"/>
      <c r="IFI46" s="365" t="s">
        <v>108</v>
      </c>
      <c r="IFJ46" s="365"/>
      <c r="IFK46" s="365"/>
      <c r="IFL46" s="365"/>
      <c r="IFM46" s="365" t="s">
        <v>108</v>
      </c>
      <c r="IFN46" s="365"/>
      <c r="IFO46" s="365"/>
      <c r="IFP46" s="365"/>
      <c r="IFQ46" s="365" t="s">
        <v>108</v>
      </c>
      <c r="IFR46" s="365"/>
      <c r="IFS46" s="365"/>
      <c r="IFT46" s="365"/>
      <c r="IFU46" s="365" t="s">
        <v>108</v>
      </c>
      <c r="IFV46" s="365"/>
      <c r="IFW46" s="365"/>
      <c r="IFX46" s="365"/>
      <c r="IFY46" s="365" t="s">
        <v>108</v>
      </c>
      <c r="IFZ46" s="365"/>
      <c r="IGA46" s="365"/>
      <c r="IGB46" s="365"/>
      <c r="IGC46" s="365" t="s">
        <v>108</v>
      </c>
      <c r="IGD46" s="365"/>
      <c r="IGE46" s="365"/>
      <c r="IGF46" s="365"/>
      <c r="IGG46" s="365" t="s">
        <v>108</v>
      </c>
      <c r="IGH46" s="365"/>
      <c r="IGI46" s="365"/>
      <c r="IGJ46" s="365"/>
      <c r="IGK46" s="365" t="s">
        <v>108</v>
      </c>
      <c r="IGL46" s="365"/>
      <c r="IGM46" s="365"/>
      <c r="IGN46" s="365"/>
      <c r="IGO46" s="365" t="s">
        <v>108</v>
      </c>
      <c r="IGP46" s="365"/>
      <c r="IGQ46" s="365"/>
      <c r="IGR46" s="365"/>
      <c r="IGS46" s="365" t="s">
        <v>108</v>
      </c>
      <c r="IGT46" s="365"/>
      <c r="IGU46" s="365"/>
      <c r="IGV46" s="365"/>
      <c r="IGW46" s="365" t="s">
        <v>108</v>
      </c>
      <c r="IGX46" s="365"/>
      <c r="IGY46" s="365"/>
      <c r="IGZ46" s="365"/>
      <c r="IHA46" s="365" t="s">
        <v>108</v>
      </c>
      <c r="IHB46" s="365"/>
      <c r="IHC46" s="365"/>
      <c r="IHD46" s="365"/>
      <c r="IHE46" s="365" t="s">
        <v>108</v>
      </c>
      <c r="IHF46" s="365"/>
      <c r="IHG46" s="365"/>
      <c r="IHH46" s="365"/>
      <c r="IHI46" s="365" t="s">
        <v>108</v>
      </c>
      <c r="IHJ46" s="365"/>
      <c r="IHK46" s="365"/>
      <c r="IHL46" s="365"/>
      <c r="IHM46" s="365" t="s">
        <v>108</v>
      </c>
      <c r="IHN46" s="365"/>
      <c r="IHO46" s="365"/>
      <c r="IHP46" s="365"/>
      <c r="IHQ46" s="365" t="s">
        <v>108</v>
      </c>
      <c r="IHR46" s="365"/>
      <c r="IHS46" s="365"/>
      <c r="IHT46" s="365"/>
      <c r="IHU46" s="365" t="s">
        <v>108</v>
      </c>
      <c r="IHV46" s="365"/>
      <c r="IHW46" s="365"/>
      <c r="IHX46" s="365"/>
      <c r="IHY46" s="365" t="s">
        <v>108</v>
      </c>
      <c r="IHZ46" s="365"/>
      <c r="IIA46" s="365"/>
      <c r="IIB46" s="365"/>
      <c r="IIC46" s="365" t="s">
        <v>108</v>
      </c>
      <c r="IID46" s="365"/>
      <c r="IIE46" s="365"/>
      <c r="IIF46" s="365"/>
      <c r="IIG46" s="365" t="s">
        <v>108</v>
      </c>
      <c r="IIH46" s="365"/>
      <c r="III46" s="365"/>
      <c r="IIJ46" s="365"/>
      <c r="IIK46" s="365" t="s">
        <v>108</v>
      </c>
      <c r="IIL46" s="365"/>
      <c r="IIM46" s="365"/>
      <c r="IIN46" s="365"/>
      <c r="IIO46" s="365" t="s">
        <v>108</v>
      </c>
      <c r="IIP46" s="365"/>
      <c r="IIQ46" s="365"/>
      <c r="IIR46" s="365"/>
      <c r="IIS46" s="365" t="s">
        <v>108</v>
      </c>
      <c r="IIT46" s="365"/>
      <c r="IIU46" s="365"/>
      <c r="IIV46" s="365"/>
      <c r="IIW46" s="365" t="s">
        <v>108</v>
      </c>
      <c r="IIX46" s="365"/>
      <c r="IIY46" s="365"/>
      <c r="IIZ46" s="365"/>
      <c r="IJA46" s="365" t="s">
        <v>108</v>
      </c>
      <c r="IJB46" s="365"/>
      <c r="IJC46" s="365"/>
      <c r="IJD46" s="365"/>
      <c r="IJE46" s="365" t="s">
        <v>108</v>
      </c>
      <c r="IJF46" s="365"/>
      <c r="IJG46" s="365"/>
      <c r="IJH46" s="365"/>
      <c r="IJI46" s="365" t="s">
        <v>108</v>
      </c>
      <c r="IJJ46" s="365"/>
      <c r="IJK46" s="365"/>
      <c r="IJL46" s="365"/>
      <c r="IJM46" s="365" t="s">
        <v>108</v>
      </c>
      <c r="IJN46" s="365"/>
      <c r="IJO46" s="365"/>
      <c r="IJP46" s="365"/>
      <c r="IJQ46" s="365" t="s">
        <v>108</v>
      </c>
      <c r="IJR46" s="365"/>
      <c r="IJS46" s="365"/>
      <c r="IJT46" s="365"/>
      <c r="IJU46" s="365" t="s">
        <v>108</v>
      </c>
      <c r="IJV46" s="365"/>
      <c r="IJW46" s="365"/>
      <c r="IJX46" s="365"/>
      <c r="IJY46" s="365" t="s">
        <v>108</v>
      </c>
      <c r="IJZ46" s="365"/>
      <c r="IKA46" s="365"/>
      <c r="IKB46" s="365"/>
      <c r="IKC46" s="365" t="s">
        <v>108</v>
      </c>
      <c r="IKD46" s="365"/>
      <c r="IKE46" s="365"/>
      <c r="IKF46" s="365"/>
      <c r="IKG46" s="365" t="s">
        <v>108</v>
      </c>
      <c r="IKH46" s="365"/>
      <c r="IKI46" s="365"/>
      <c r="IKJ46" s="365"/>
      <c r="IKK46" s="365" t="s">
        <v>108</v>
      </c>
      <c r="IKL46" s="365"/>
      <c r="IKM46" s="365"/>
      <c r="IKN46" s="365"/>
      <c r="IKO46" s="365" t="s">
        <v>108</v>
      </c>
      <c r="IKP46" s="365"/>
      <c r="IKQ46" s="365"/>
      <c r="IKR46" s="365"/>
      <c r="IKS46" s="365" t="s">
        <v>108</v>
      </c>
      <c r="IKT46" s="365"/>
      <c r="IKU46" s="365"/>
      <c r="IKV46" s="365"/>
      <c r="IKW46" s="365" t="s">
        <v>108</v>
      </c>
      <c r="IKX46" s="365"/>
      <c r="IKY46" s="365"/>
      <c r="IKZ46" s="365"/>
      <c r="ILA46" s="365" t="s">
        <v>108</v>
      </c>
      <c r="ILB46" s="365"/>
      <c r="ILC46" s="365"/>
      <c r="ILD46" s="365"/>
      <c r="ILE46" s="365" t="s">
        <v>108</v>
      </c>
      <c r="ILF46" s="365"/>
      <c r="ILG46" s="365"/>
      <c r="ILH46" s="365"/>
      <c r="ILI46" s="365" t="s">
        <v>108</v>
      </c>
      <c r="ILJ46" s="365"/>
      <c r="ILK46" s="365"/>
      <c r="ILL46" s="365"/>
      <c r="ILM46" s="365" t="s">
        <v>108</v>
      </c>
      <c r="ILN46" s="365"/>
      <c r="ILO46" s="365"/>
      <c r="ILP46" s="365"/>
      <c r="ILQ46" s="365" t="s">
        <v>108</v>
      </c>
      <c r="ILR46" s="365"/>
      <c r="ILS46" s="365"/>
      <c r="ILT46" s="365"/>
      <c r="ILU46" s="365" t="s">
        <v>108</v>
      </c>
      <c r="ILV46" s="365"/>
      <c r="ILW46" s="365"/>
      <c r="ILX46" s="365"/>
      <c r="ILY46" s="365" t="s">
        <v>108</v>
      </c>
      <c r="ILZ46" s="365"/>
      <c r="IMA46" s="365"/>
      <c r="IMB46" s="365"/>
      <c r="IMC46" s="365" t="s">
        <v>108</v>
      </c>
      <c r="IMD46" s="365"/>
      <c r="IME46" s="365"/>
      <c r="IMF46" s="365"/>
      <c r="IMG46" s="365" t="s">
        <v>108</v>
      </c>
      <c r="IMH46" s="365"/>
      <c r="IMI46" s="365"/>
      <c r="IMJ46" s="365"/>
      <c r="IMK46" s="365" t="s">
        <v>108</v>
      </c>
      <c r="IML46" s="365"/>
      <c r="IMM46" s="365"/>
      <c r="IMN46" s="365"/>
      <c r="IMO46" s="365" t="s">
        <v>108</v>
      </c>
      <c r="IMP46" s="365"/>
      <c r="IMQ46" s="365"/>
      <c r="IMR46" s="365"/>
      <c r="IMS46" s="365" t="s">
        <v>108</v>
      </c>
      <c r="IMT46" s="365"/>
      <c r="IMU46" s="365"/>
      <c r="IMV46" s="365"/>
      <c r="IMW46" s="365" t="s">
        <v>108</v>
      </c>
      <c r="IMX46" s="365"/>
      <c r="IMY46" s="365"/>
      <c r="IMZ46" s="365"/>
      <c r="INA46" s="365" t="s">
        <v>108</v>
      </c>
      <c r="INB46" s="365"/>
      <c r="INC46" s="365"/>
      <c r="IND46" s="365"/>
      <c r="INE46" s="365" t="s">
        <v>108</v>
      </c>
      <c r="INF46" s="365"/>
      <c r="ING46" s="365"/>
      <c r="INH46" s="365"/>
      <c r="INI46" s="365" t="s">
        <v>108</v>
      </c>
      <c r="INJ46" s="365"/>
      <c r="INK46" s="365"/>
      <c r="INL46" s="365"/>
      <c r="INM46" s="365" t="s">
        <v>108</v>
      </c>
      <c r="INN46" s="365"/>
      <c r="INO46" s="365"/>
      <c r="INP46" s="365"/>
      <c r="INQ46" s="365" t="s">
        <v>108</v>
      </c>
      <c r="INR46" s="365"/>
      <c r="INS46" s="365"/>
      <c r="INT46" s="365"/>
      <c r="INU46" s="365" t="s">
        <v>108</v>
      </c>
      <c r="INV46" s="365"/>
      <c r="INW46" s="365"/>
      <c r="INX46" s="365"/>
      <c r="INY46" s="365" t="s">
        <v>108</v>
      </c>
      <c r="INZ46" s="365"/>
      <c r="IOA46" s="365"/>
      <c r="IOB46" s="365"/>
      <c r="IOC46" s="365" t="s">
        <v>108</v>
      </c>
      <c r="IOD46" s="365"/>
      <c r="IOE46" s="365"/>
      <c r="IOF46" s="365"/>
      <c r="IOG46" s="365" t="s">
        <v>108</v>
      </c>
      <c r="IOH46" s="365"/>
      <c r="IOI46" s="365"/>
      <c r="IOJ46" s="365"/>
      <c r="IOK46" s="365" t="s">
        <v>108</v>
      </c>
      <c r="IOL46" s="365"/>
      <c r="IOM46" s="365"/>
      <c r="ION46" s="365"/>
      <c r="IOO46" s="365" t="s">
        <v>108</v>
      </c>
      <c r="IOP46" s="365"/>
      <c r="IOQ46" s="365"/>
      <c r="IOR46" s="365"/>
      <c r="IOS46" s="365" t="s">
        <v>108</v>
      </c>
      <c r="IOT46" s="365"/>
      <c r="IOU46" s="365"/>
      <c r="IOV46" s="365"/>
      <c r="IOW46" s="365" t="s">
        <v>108</v>
      </c>
      <c r="IOX46" s="365"/>
      <c r="IOY46" s="365"/>
      <c r="IOZ46" s="365"/>
      <c r="IPA46" s="365" t="s">
        <v>108</v>
      </c>
      <c r="IPB46" s="365"/>
      <c r="IPC46" s="365"/>
      <c r="IPD46" s="365"/>
      <c r="IPE46" s="365" t="s">
        <v>108</v>
      </c>
      <c r="IPF46" s="365"/>
      <c r="IPG46" s="365"/>
      <c r="IPH46" s="365"/>
      <c r="IPI46" s="365" t="s">
        <v>108</v>
      </c>
      <c r="IPJ46" s="365"/>
      <c r="IPK46" s="365"/>
      <c r="IPL46" s="365"/>
      <c r="IPM46" s="365" t="s">
        <v>108</v>
      </c>
      <c r="IPN46" s="365"/>
      <c r="IPO46" s="365"/>
      <c r="IPP46" s="365"/>
      <c r="IPQ46" s="365" t="s">
        <v>108</v>
      </c>
      <c r="IPR46" s="365"/>
      <c r="IPS46" s="365"/>
      <c r="IPT46" s="365"/>
      <c r="IPU46" s="365" t="s">
        <v>108</v>
      </c>
      <c r="IPV46" s="365"/>
      <c r="IPW46" s="365"/>
      <c r="IPX46" s="365"/>
      <c r="IPY46" s="365" t="s">
        <v>108</v>
      </c>
      <c r="IPZ46" s="365"/>
      <c r="IQA46" s="365"/>
      <c r="IQB46" s="365"/>
      <c r="IQC46" s="365" t="s">
        <v>108</v>
      </c>
      <c r="IQD46" s="365"/>
      <c r="IQE46" s="365"/>
      <c r="IQF46" s="365"/>
      <c r="IQG46" s="365" t="s">
        <v>108</v>
      </c>
      <c r="IQH46" s="365"/>
      <c r="IQI46" s="365"/>
      <c r="IQJ46" s="365"/>
      <c r="IQK46" s="365" t="s">
        <v>108</v>
      </c>
      <c r="IQL46" s="365"/>
      <c r="IQM46" s="365"/>
      <c r="IQN46" s="365"/>
      <c r="IQO46" s="365" t="s">
        <v>108</v>
      </c>
      <c r="IQP46" s="365"/>
      <c r="IQQ46" s="365"/>
      <c r="IQR46" s="365"/>
      <c r="IQS46" s="365" t="s">
        <v>108</v>
      </c>
      <c r="IQT46" s="365"/>
      <c r="IQU46" s="365"/>
      <c r="IQV46" s="365"/>
      <c r="IQW46" s="365" t="s">
        <v>108</v>
      </c>
      <c r="IQX46" s="365"/>
      <c r="IQY46" s="365"/>
      <c r="IQZ46" s="365"/>
      <c r="IRA46" s="365" t="s">
        <v>108</v>
      </c>
      <c r="IRB46" s="365"/>
      <c r="IRC46" s="365"/>
      <c r="IRD46" s="365"/>
      <c r="IRE46" s="365" t="s">
        <v>108</v>
      </c>
      <c r="IRF46" s="365"/>
      <c r="IRG46" s="365"/>
      <c r="IRH46" s="365"/>
      <c r="IRI46" s="365" t="s">
        <v>108</v>
      </c>
      <c r="IRJ46" s="365"/>
      <c r="IRK46" s="365"/>
      <c r="IRL46" s="365"/>
      <c r="IRM46" s="365" t="s">
        <v>108</v>
      </c>
      <c r="IRN46" s="365"/>
      <c r="IRO46" s="365"/>
      <c r="IRP46" s="365"/>
      <c r="IRQ46" s="365" t="s">
        <v>108</v>
      </c>
      <c r="IRR46" s="365"/>
      <c r="IRS46" s="365"/>
      <c r="IRT46" s="365"/>
      <c r="IRU46" s="365" t="s">
        <v>108</v>
      </c>
      <c r="IRV46" s="365"/>
      <c r="IRW46" s="365"/>
      <c r="IRX46" s="365"/>
      <c r="IRY46" s="365" t="s">
        <v>108</v>
      </c>
      <c r="IRZ46" s="365"/>
      <c r="ISA46" s="365"/>
      <c r="ISB46" s="365"/>
      <c r="ISC46" s="365" t="s">
        <v>108</v>
      </c>
      <c r="ISD46" s="365"/>
      <c r="ISE46" s="365"/>
      <c r="ISF46" s="365"/>
      <c r="ISG46" s="365" t="s">
        <v>108</v>
      </c>
      <c r="ISH46" s="365"/>
      <c r="ISI46" s="365"/>
      <c r="ISJ46" s="365"/>
      <c r="ISK46" s="365" t="s">
        <v>108</v>
      </c>
      <c r="ISL46" s="365"/>
      <c r="ISM46" s="365"/>
      <c r="ISN46" s="365"/>
      <c r="ISO46" s="365" t="s">
        <v>108</v>
      </c>
      <c r="ISP46" s="365"/>
      <c r="ISQ46" s="365"/>
      <c r="ISR46" s="365"/>
      <c r="ISS46" s="365" t="s">
        <v>108</v>
      </c>
      <c r="IST46" s="365"/>
      <c r="ISU46" s="365"/>
      <c r="ISV46" s="365"/>
      <c r="ISW46" s="365" t="s">
        <v>108</v>
      </c>
      <c r="ISX46" s="365"/>
      <c r="ISY46" s="365"/>
      <c r="ISZ46" s="365"/>
      <c r="ITA46" s="365" t="s">
        <v>108</v>
      </c>
      <c r="ITB46" s="365"/>
      <c r="ITC46" s="365"/>
      <c r="ITD46" s="365"/>
      <c r="ITE46" s="365" t="s">
        <v>108</v>
      </c>
      <c r="ITF46" s="365"/>
      <c r="ITG46" s="365"/>
      <c r="ITH46" s="365"/>
      <c r="ITI46" s="365" t="s">
        <v>108</v>
      </c>
      <c r="ITJ46" s="365"/>
      <c r="ITK46" s="365"/>
      <c r="ITL46" s="365"/>
      <c r="ITM46" s="365" t="s">
        <v>108</v>
      </c>
      <c r="ITN46" s="365"/>
      <c r="ITO46" s="365"/>
      <c r="ITP46" s="365"/>
      <c r="ITQ46" s="365" t="s">
        <v>108</v>
      </c>
      <c r="ITR46" s="365"/>
      <c r="ITS46" s="365"/>
      <c r="ITT46" s="365"/>
      <c r="ITU46" s="365" t="s">
        <v>108</v>
      </c>
      <c r="ITV46" s="365"/>
      <c r="ITW46" s="365"/>
      <c r="ITX46" s="365"/>
      <c r="ITY46" s="365" t="s">
        <v>108</v>
      </c>
      <c r="ITZ46" s="365"/>
      <c r="IUA46" s="365"/>
      <c r="IUB46" s="365"/>
      <c r="IUC46" s="365" t="s">
        <v>108</v>
      </c>
      <c r="IUD46" s="365"/>
      <c r="IUE46" s="365"/>
      <c r="IUF46" s="365"/>
      <c r="IUG46" s="365" t="s">
        <v>108</v>
      </c>
      <c r="IUH46" s="365"/>
      <c r="IUI46" s="365"/>
      <c r="IUJ46" s="365"/>
      <c r="IUK46" s="365" t="s">
        <v>108</v>
      </c>
      <c r="IUL46" s="365"/>
      <c r="IUM46" s="365"/>
      <c r="IUN46" s="365"/>
      <c r="IUO46" s="365" t="s">
        <v>108</v>
      </c>
      <c r="IUP46" s="365"/>
      <c r="IUQ46" s="365"/>
      <c r="IUR46" s="365"/>
      <c r="IUS46" s="365" t="s">
        <v>108</v>
      </c>
      <c r="IUT46" s="365"/>
      <c r="IUU46" s="365"/>
      <c r="IUV46" s="365"/>
      <c r="IUW46" s="365" t="s">
        <v>108</v>
      </c>
      <c r="IUX46" s="365"/>
      <c r="IUY46" s="365"/>
      <c r="IUZ46" s="365"/>
      <c r="IVA46" s="365" t="s">
        <v>108</v>
      </c>
      <c r="IVB46" s="365"/>
      <c r="IVC46" s="365"/>
      <c r="IVD46" s="365"/>
      <c r="IVE46" s="365" t="s">
        <v>108</v>
      </c>
      <c r="IVF46" s="365"/>
      <c r="IVG46" s="365"/>
      <c r="IVH46" s="365"/>
      <c r="IVI46" s="365" t="s">
        <v>108</v>
      </c>
      <c r="IVJ46" s="365"/>
      <c r="IVK46" s="365"/>
      <c r="IVL46" s="365"/>
      <c r="IVM46" s="365" t="s">
        <v>108</v>
      </c>
      <c r="IVN46" s="365"/>
      <c r="IVO46" s="365"/>
      <c r="IVP46" s="365"/>
      <c r="IVQ46" s="365" t="s">
        <v>108</v>
      </c>
      <c r="IVR46" s="365"/>
      <c r="IVS46" s="365"/>
      <c r="IVT46" s="365"/>
      <c r="IVU46" s="365" t="s">
        <v>108</v>
      </c>
      <c r="IVV46" s="365"/>
      <c r="IVW46" s="365"/>
      <c r="IVX46" s="365"/>
      <c r="IVY46" s="365" t="s">
        <v>108</v>
      </c>
      <c r="IVZ46" s="365"/>
      <c r="IWA46" s="365"/>
      <c r="IWB46" s="365"/>
      <c r="IWC46" s="365" t="s">
        <v>108</v>
      </c>
      <c r="IWD46" s="365"/>
      <c r="IWE46" s="365"/>
      <c r="IWF46" s="365"/>
      <c r="IWG46" s="365" t="s">
        <v>108</v>
      </c>
      <c r="IWH46" s="365"/>
      <c r="IWI46" s="365"/>
      <c r="IWJ46" s="365"/>
      <c r="IWK46" s="365" t="s">
        <v>108</v>
      </c>
      <c r="IWL46" s="365"/>
      <c r="IWM46" s="365"/>
      <c r="IWN46" s="365"/>
      <c r="IWO46" s="365" t="s">
        <v>108</v>
      </c>
      <c r="IWP46" s="365"/>
      <c r="IWQ46" s="365"/>
      <c r="IWR46" s="365"/>
      <c r="IWS46" s="365" t="s">
        <v>108</v>
      </c>
      <c r="IWT46" s="365"/>
      <c r="IWU46" s="365"/>
      <c r="IWV46" s="365"/>
      <c r="IWW46" s="365" t="s">
        <v>108</v>
      </c>
      <c r="IWX46" s="365"/>
      <c r="IWY46" s="365"/>
      <c r="IWZ46" s="365"/>
      <c r="IXA46" s="365" t="s">
        <v>108</v>
      </c>
      <c r="IXB46" s="365"/>
      <c r="IXC46" s="365"/>
      <c r="IXD46" s="365"/>
      <c r="IXE46" s="365" t="s">
        <v>108</v>
      </c>
      <c r="IXF46" s="365"/>
      <c r="IXG46" s="365"/>
      <c r="IXH46" s="365"/>
      <c r="IXI46" s="365" t="s">
        <v>108</v>
      </c>
      <c r="IXJ46" s="365"/>
      <c r="IXK46" s="365"/>
      <c r="IXL46" s="365"/>
      <c r="IXM46" s="365" t="s">
        <v>108</v>
      </c>
      <c r="IXN46" s="365"/>
      <c r="IXO46" s="365"/>
      <c r="IXP46" s="365"/>
      <c r="IXQ46" s="365" t="s">
        <v>108</v>
      </c>
      <c r="IXR46" s="365"/>
      <c r="IXS46" s="365"/>
      <c r="IXT46" s="365"/>
      <c r="IXU46" s="365" t="s">
        <v>108</v>
      </c>
      <c r="IXV46" s="365"/>
      <c r="IXW46" s="365"/>
      <c r="IXX46" s="365"/>
      <c r="IXY46" s="365" t="s">
        <v>108</v>
      </c>
      <c r="IXZ46" s="365"/>
      <c r="IYA46" s="365"/>
      <c r="IYB46" s="365"/>
      <c r="IYC46" s="365" t="s">
        <v>108</v>
      </c>
      <c r="IYD46" s="365"/>
      <c r="IYE46" s="365"/>
      <c r="IYF46" s="365"/>
      <c r="IYG46" s="365" t="s">
        <v>108</v>
      </c>
      <c r="IYH46" s="365"/>
      <c r="IYI46" s="365"/>
      <c r="IYJ46" s="365"/>
      <c r="IYK46" s="365" t="s">
        <v>108</v>
      </c>
      <c r="IYL46" s="365"/>
      <c r="IYM46" s="365"/>
      <c r="IYN46" s="365"/>
      <c r="IYO46" s="365" t="s">
        <v>108</v>
      </c>
      <c r="IYP46" s="365"/>
      <c r="IYQ46" s="365"/>
      <c r="IYR46" s="365"/>
      <c r="IYS46" s="365" t="s">
        <v>108</v>
      </c>
      <c r="IYT46" s="365"/>
      <c r="IYU46" s="365"/>
      <c r="IYV46" s="365"/>
      <c r="IYW46" s="365" t="s">
        <v>108</v>
      </c>
      <c r="IYX46" s="365"/>
      <c r="IYY46" s="365"/>
      <c r="IYZ46" s="365"/>
      <c r="IZA46" s="365" t="s">
        <v>108</v>
      </c>
      <c r="IZB46" s="365"/>
      <c r="IZC46" s="365"/>
      <c r="IZD46" s="365"/>
      <c r="IZE46" s="365" t="s">
        <v>108</v>
      </c>
      <c r="IZF46" s="365"/>
      <c r="IZG46" s="365"/>
      <c r="IZH46" s="365"/>
      <c r="IZI46" s="365" t="s">
        <v>108</v>
      </c>
      <c r="IZJ46" s="365"/>
      <c r="IZK46" s="365"/>
      <c r="IZL46" s="365"/>
      <c r="IZM46" s="365" t="s">
        <v>108</v>
      </c>
      <c r="IZN46" s="365"/>
      <c r="IZO46" s="365"/>
      <c r="IZP46" s="365"/>
      <c r="IZQ46" s="365" t="s">
        <v>108</v>
      </c>
      <c r="IZR46" s="365"/>
      <c r="IZS46" s="365"/>
      <c r="IZT46" s="365"/>
      <c r="IZU46" s="365" t="s">
        <v>108</v>
      </c>
      <c r="IZV46" s="365"/>
      <c r="IZW46" s="365"/>
      <c r="IZX46" s="365"/>
      <c r="IZY46" s="365" t="s">
        <v>108</v>
      </c>
      <c r="IZZ46" s="365"/>
      <c r="JAA46" s="365"/>
      <c r="JAB46" s="365"/>
      <c r="JAC46" s="365" t="s">
        <v>108</v>
      </c>
      <c r="JAD46" s="365"/>
      <c r="JAE46" s="365"/>
      <c r="JAF46" s="365"/>
      <c r="JAG46" s="365" t="s">
        <v>108</v>
      </c>
      <c r="JAH46" s="365"/>
      <c r="JAI46" s="365"/>
      <c r="JAJ46" s="365"/>
      <c r="JAK46" s="365" t="s">
        <v>108</v>
      </c>
      <c r="JAL46" s="365"/>
      <c r="JAM46" s="365"/>
      <c r="JAN46" s="365"/>
      <c r="JAO46" s="365" t="s">
        <v>108</v>
      </c>
      <c r="JAP46" s="365"/>
      <c r="JAQ46" s="365"/>
      <c r="JAR46" s="365"/>
      <c r="JAS46" s="365" t="s">
        <v>108</v>
      </c>
      <c r="JAT46" s="365"/>
      <c r="JAU46" s="365"/>
      <c r="JAV46" s="365"/>
      <c r="JAW46" s="365" t="s">
        <v>108</v>
      </c>
      <c r="JAX46" s="365"/>
      <c r="JAY46" s="365"/>
      <c r="JAZ46" s="365"/>
      <c r="JBA46" s="365" t="s">
        <v>108</v>
      </c>
      <c r="JBB46" s="365"/>
      <c r="JBC46" s="365"/>
      <c r="JBD46" s="365"/>
      <c r="JBE46" s="365" t="s">
        <v>108</v>
      </c>
      <c r="JBF46" s="365"/>
      <c r="JBG46" s="365"/>
      <c r="JBH46" s="365"/>
      <c r="JBI46" s="365" t="s">
        <v>108</v>
      </c>
      <c r="JBJ46" s="365"/>
      <c r="JBK46" s="365"/>
      <c r="JBL46" s="365"/>
      <c r="JBM46" s="365" t="s">
        <v>108</v>
      </c>
      <c r="JBN46" s="365"/>
      <c r="JBO46" s="365"/>
      <c r="JBP46" s="365"/>
      <c r="JBQ46" s="365" t="s">
        <v>108</v>
      </c>
      <c r="JBR46" s="365"/>
      <c r="JBS46" s="365"/>
      <c r="JBT46" s="365"/>
      <c r="JBU46" s="365" t="s">
        <v>108</v>
      </c>
      <c r="JBV46" s="365"/>
      <c r="JBW46" s="365"/>
      <c r="JBX46" s="365"/>
      <c r="JBY46" s="365" t="s">
        <v>108</v>
      </c>
      <c r="JBZ46" s="365"/>
      <c r="JCA46" s="365"/>
      <c r="JCB46" s="365"/>
      <c r="JCC46" s="365" t="s">
        <v>108</v>
      </c>
      <c r="JCD46" s="365"/>
      <c r="JCE46" s="365"/>
      <c r="JCF46" s="365"/>
      <c r="JCG46" s="365" t="s">
        <v>108</v>
      </c>
      <c r="JCH46" s="365"/>
      <c r="JCI46" s="365"/>
      <c r="JCJ46" s="365"/>
      <c r="JCK46" s="365" t="s">
        <v>108</v>
      </c>
      <c r="JCL46" s="365"/>
      <c r="JCM46" s="365"/>
      <c r="JCN46" s="365"/>
      <c r="JCO46" s="365" t="s">
        <v>108</v>
      </c>
      <c r="JCP46" s="365"/>
      <c r="JCQ46" s="365"/>
      <c r="JCR46" s="365"/>
      <c r="JCS46" s="365" t="s">
        <v>108</v>
      </c>
      <c r="JCT46" s="365"/>
      <c r="JCU46" s="365"/>
      <c r="JCV46" s="365"/>
      <c r="JCW46" s="365" t="s">
        <v>108</v>
      </c>
      <c r="JCX46" s="365"/>
      <c r="JCY46" s="365"/>
      <c r="JCZ46" s="365"/>
      <c r="JDA46" s="365" t="s">
        <v>108</v>
      </c>
      <c r="JDB46" s="365"/>
      <c r="JDC46" s="365"/>
      <c r="JDD46" s="365"/>
      <c r="JDE46" s="365" t="s">
        <v>108</v>
      </c>
      <c r="JDF46" s="365"/>
      <c r="JDG46" s="365"/>
      <c r="JDH46" s="365"/>
      <c r="JDI46" s="365" t="s">
        <v>108</v>
      </c>
      <c r="JDJ46" s="365"/>
      <c r="JDK46" s="365"/>
      <c r="JDL46" s="365"/>
      <c r="JDM46" s="365" t="s">
        <v>108</v>
      </c>
      <c r="JDN46" s="365"/>
      <c r="JDO46" s="365"/>
      <c r="JDP46" s="365"/>
      <c r="JDQ46" s="365" t="s">
        <v>108</v>
      </c>
      <c r="JDR46" s="365"/>
      <c r="JDS46" s="365"/>
      <c r="JDT46" s="365"/>
      <c r="JDU46" s="365" t="s">
        <v>108</v>
      </c>
      <c r="JDV46" s="365"/>
      <c r="JDW46" s="365"/>
      <c r="JDX46" s="365"/>
      <c r="JDY46" s="365" t="s">
        <v>108</v>
      </c>
      <c r="JDZ46" s="365"/>
      <c r="JEA46" s="365"/>
      <c r="JEB46" s="365"/>
      <c r="JEC46" s="365" t="s">
        <v>108</v>
      </c>
      <c r="JED46" s="365"/>
      <c r="JEE46" s="365"/>
      <c r="JEF46" s="365"/>
      <c r="JEG46" s="365" t="s">
        <v>108</v>
      </c>
      <c r="JEH46" s="365"/>
      <c r="JEI46" s="365"/>
      <c r="JEJ46" s="365"/>
      <c r="JEK46" s="365" t="s">
        <v>108</v>
      </c>
      <c r="JEL46" s="365"/>
      <c r="JEM46" s="365"/>
      <c r="JEN46" s="365"/>
      <c r="JEO46" s="365" t="s">
        <v>108</v>
      </c>
      <c r="JEP46" s="365"/>
      <c r="JEQ46" s="365"/>
      <c r="JER46" s="365"/>
      <c r="JES46" s="365" t="s">
        <v>108</v>
      </c>
      <c r="JET46" s="365"/>
      <c r="JEU46" s="365"/>
      <c r="JEV46" s="365"/>
      <c r="JEW46" s="365" t="s">
        <v>108</v>
      </c>
      <c r="JEX46" s="365"/>
      <c r="JEY46" s="365"/>
      <c r="JEZ46" s="365"/>
      <c r="JFA46" s="365" t="s">
        <v>108</v>
      </c>
      <c r="JFB46" s="365"/>
      <c r="JFC46" s="365"/>
      <c r="JFD46" s="365"/>
      <c r="JFE46" s="365" t="s">
        <v>108</v>
      </c>
      <c r="JFF46" s="365"/>
      <c r="JFG46" s="365"/>
      <c r="JFH46" s="365"/>
      <c r="JFI46" s="365" t="s">
        <v>108</v>
      </c>
      <c r="JFJ46" s="365"/>
      <c r="JFK46" s="365"/>
      <c r="JFL46" s="365"/>
      <c r="JFM46" s="365" t="s">
        <v>108</v>
      </c>
      <c r="JFN46" s="365"/>
      <c r="JFO46" s="365"/>
      <c r="JFP46" s="365"/>
      <c r="JFQ46" s="365" t="s">
        <v>108</v>
      </c>
      <c r="JFR46" s="365"/>
      <c r="JFS46" s="365"/>
      <c r="JFT46" s="365"/>
      <c r="JFU46" s="365" t="s">
        <v>108</v>
      </c>
      <c r="JFV46" s="365"/>
      <c r="JFW46" s="365"/>
      <c r="JFX46" s="365"/>
      <c r="JFY46" s="365" t="s">
        <v>108</v>
      </c>
      <c r="JFZ46" s="365"/>
      <c r="JGA46" s="365"/>
      <c r="JGB46" s="365"/>
      <c r="JGC46" s="365" t="s">
        <v>108</v>
      </c>
      <c r="JGD46" s="365"/>
      <c r="JGE46" s="365"/>
      <c r="JGF46" s="365"/>
      <c r="JGG46" s="365" t="s">
        <v>108</v>
      </c>
      <c r="JGH46" s="365"/>
      <c r="JGI46" s="365"/>
      <c r="JGJ46" s="365"/>
      <c r="JGK46" s="365" t="s">
        <v>108</v>
      </c>
      <c r="JGL46" s="365"/>
      <c r="JGM46" s="365"/>
      <c r="JGN46" s="365"/>
      <c r="JGO46" s="365" t="s">
        <v>108</v>
      </c>
      <c r="JGP46" s="365"/>
      <c r="JGQ46" s="365"/>
      <c r="JGR46" s="365"/>
      <c r="JGS46" s="365" t="s">
        <v>108</v>
      </c>
      <c r="JGT46" s="365"/>
      <c r="JGU46" s="365"/>
      <c r="JGV46" s="365"/>
      <c r="JGW46" s="365" t="s">
        <v>108</v>
      </c>
      <c r="JGX46" s="365"/>
      <c r="JGY46" s="365"/>
      <c r="JGZ46" s="365"/>
      <c r="JHA46" s="365" t="s">
        <v>108</v>
      </c>
      <c r="JHB46" s="365"/>
      <c r="JHC46" s="365"/>
      <c r="JHD46" s="365"/>
      <c r="JHE46" s="365" t="s">
        <v>108</v>
      </c>
      <c r="JHF46" s="365"/>
      <c r="JHG46" s="365"/>
      <c r="JHH46" s="365"/>
      <c r="JHI46" s="365" t="s">
        <v>108</v>
      </c>
      <c r="JHJ46" s="365"/>
      <c r="JHK46" s="365"/>
      <c r="JHL46" s="365"/>
      <c r="JHM46" s="365" t="s">
        <v>108</v>
      </c>
      <c r="JHN46" s="365"/>
      <c r="JHO46" s="365"/>
      <c r="JHP46" s="365"/>
      <c r="JHQ46" s="365" t="s">
        <v>108</v>
      </c>
      <c r="JHR46" s="365"/>
      <c r="JHS46" s="365"/>
      <c r="JHT46" s="365"/>
      <c r="JHU46" s="365" t="s">
        <v>108</v>
      </c>
      <c r="JHV46" s="365"/>
      <c r="JHW46" s="365"/>
      <c r="JHX46" s="365"/>
      <c r="JHY46" s="365" t="s">
        <v>108</v>
      </c>
      <c r="JHZ46" s="365"/>
      <c r="JIA46" s="365"/>
      <c r="JIB46" s="365"/>
      <c r="JIC46" s="365" t="s">
        <v>108</v>
      </c>
      <c r="JID46" s="365"/>
      <c r="JIE46" s="365"/>
      <c r="JIF46" s="365"/>
      <c r="JIG46" s="365" t="s">
        <v>108</v>
      </c>
      <c r="JIH46" s="365"/>
      <c r="JII46" s="365"/>
      <c r="JIJ46" s="365"/>
      <c r="JIK46" s="365" t="s">
        <v>108</v>
      </c>
      <c r="JIL46" s="365"/>
      <c r="JIM46" s="365"/>
      <c r="JIN46" s="365"/>
      <c r="JIO46" s="365" t="s">
        <v>108</v>
      </c>
      <c r="JIP46" s="365"/>
      <c r="JIQ46" s="365"/>
      <c r="JIR46" s="365"/>
      <c r="JIS46" s="365" t="s">
        <v>108</v>
      </c>
      <c r="JIT46" s="365"/>
      <c r="JIU46" s="365"/>
      <c r="JIV46" s="365"/>
      <c r="JIW46" s="365" t="s">
        <v>108</v>
      </c>
      <c r="JIX46" s="365"/>
      <c r="JIY46" s="365"/>
      <c r="JIZ46" s="365"/>
      <c r="JJA46" s="365" t="s">
        <v>108</v>
      </c>
      <c r="JJB46" s="365"/>
      <c r="JJC46" s="365"/>
      <c r="JJD46" s="365"/>
      <c r="JJE46" s="365" t="s">
        <v>108</v>
      </c>
      <c r="JJF46" s="365"/>
      <c r="JJG46" s="365"/>
      <c r="JJH46" s="365"/>
      <c r="JJI46" s="365" t="s">
        <v>108</v>
      </c>
      <c r="JJJ46" s="365"/>
      <c r="JJK46" s="365"/>
      <c r="JJL46" s="365"/>
      <c r="JJM46" s="365" t="s">
        <v>108</v>
      </c>
      <c r="JJN46" s="365"/>
      <c r="JJO46" s="365"/>
      <c r="JJP46" s="365"/>
      <c r="JJQ46" s="365" t="s">
        <v>108</v>
      </c>
      <c r="JJR46" s="365"/>
      <c r="JJS46" s="365"/>
      <c r="JJT46" s="365"/>
      <c r="JJU46" s="365" t="s">
        <v>108</v>
      </c>
      <c r="JJV46" s="365"/>
      <c r="JJW46" s="365"/>
      <c r="JJX46" s="365"/>
      <c r="JJY46" s="365" t="s">
        <v>108</v>
      </c>
      <c r="JJZ46" s="365"/>
      <c r="JKA46" s="365"/>
      <c r="JKB46" s="365"/>
      <c r="JKC46" s="365" t="s">
        <v>108</v>
      </c>
      <c r="JKD46" s="365"/>
      <c r="JKE46" s="365"/>
      <c r="JKF46" s="365"/>
      <c r="JKG46" s="365" t="s">
        <v>108</v>
      </c>
      <c r="JKH46" s="365"/>
      <c r="JKI46" s="365"/>
      <c r="JKJ46" s="365"/>
      <c r="JKK46" s="365" t="s">
        <v>108</v>
      </c>
      <c r="JKL46" s="365"/>
      <c r="JKM46" s="365"/>
      <c r="JKN46" s="365"/>
      <c r="JKO46" s="365" t="s">
        <v>108</v>
      </c>
      <c r="JKP46" s="365"/>
      <c r="JKQ46" s="365"/>
      <c r="JKR46" s="365"/>
      <c r="JKS46" s="365" t="s">
        <v>108</v>
      </c>
      <c r="JKT46" s="365"/>
      <c r="JKU46" s="365"/>
      <c r="JKV46" s="365"/>
      <c r="JKW46" s="365" t="s">
        <v>108</v>
      </c>
      <c r="JKX46" s="365"/>
      <c r="JKY46" s="365"/>
      <c r="JKZ46" s="365"/>
      <c r="JLA46" s="365" t="s">
        <v>108</v>
      </c>
      <c r="JLB46" s="365"/>
      <c r="JLC46" s="365"/>
      <c r="JLD46" s="365"/>
      <c r="JLE46" s="365" t="s">
        <v>108</v>
      </c>
      <c r="JLF46" s="365"/>
      <c r="JLG46" s="365"/>
      <c r="JLH46" s="365"/>
      <c r="JLI46" s="365" t="s">
        <v>108</v>
      </c>
      <c r="JLJ46" s="365"/>
      <c r="JLK46" s="365"/>
      <c r="JLL46" s="365"/>
      <c r="JLM46" s="365" t="s">
        <v>108</v>
      </c>
      <c r="JLN46" s="365"/>
      <c r="JLO46" s="365"/>
      <c r="JLP46" s="365"/>
      <c r="JLQ46" s="365" t="s">
        <v>108</v>
      </c>
      <c r="JLR46" s="365"/>
      <c r="JLS46" s="365"/>
      <c r="JLT46" s="365"/>
      <c r="JLU46" s="365" t="s">
        <v>108</v>
      </c>
      <c r="JLV46" s="365"/>
      <c r="JLW46" s="365"/>
      <c r="JLX46" s="365"/>
      <c r="JLY46" s="365" t="s">
        <v>108</v>
      </c>
      <c r="JLZ46" s="365"/>
      <c r="JMA46" s="365"/>
      <c r="JMB46" s="365"/>
      <c r="JMC46" s="365" t="s">
        <v>108</v>
      </c>
      <c r="JMD46" s="365"/>
      <c r="JME46" s="365"/>
      <c r="JMF46" s="365"/>
      <c r="JMG46" s="365" t="s">
        <v>108</v>
      </c>
      <c r="JMH46" s="365"/>
      <c r="JMI46" s="365"/>
      <c r="JMJ46" s="365"/>
      <c r="JMK46" s="365" t="s">
        <v>108</v>
      </c>
      <c r="JML46" s="365"/>
      <c r="JMM46" s="365"/>
      <c r="JMN46" s="365"/>
      <c r="JMO46" s="365" t="s">
        <v>108</v>
      </c>
      <c r="JMP46" s="365"/>
      <c r="JMQ46" s="365"/>
      <c r="JMR46" s="365"/>
      <c r="JMS46" s="365" t="s">
        <v>108</v>
      </c>
      <c r="JMT46" s="365"/>
      <c r="JMU46" s="365"/>
      <c r="JMV46" s="365"/>
      <c r="JMW46" s="365" t="s">
        <v>108</v>
      </c>
      <c r="JMX46" s="365"/>
      <c r="JMY46" s="365"/>
      <c r="JMZ46" s="365"/>
      <c r="JNA46" s="365" t="s">
        <v>108</v>
      </c>
      <c r="JNB46" s="365"/>
      <c r="JNC46" s="365"/>
      <c r="JND46" s="365"/>
      <c r="JNE46" s="365" t="s">
        <v>108</v>
      </c>
      <c r="JNF46" s="365"/>
      <c r="JNG46" s="365"/>
      <c r="JNH46" s="365"/>
      <c r="JNI46" s="365" t="s">
        <v>108</v>
      </c>
      <c r="JNJ46" s="365"/>
      <c r="JNK46" s="365"/>
      <c r="JNL46" s="365"/>
      <c r="JNM46" s="365" t="s">
        <v>108</v>
      </c>
      <c r="JNN46" s="365"/>
      <c r="JNO46" s="365"/>
      <c r="JNP46" s="365"/>
      <c r="JNQ46" s="365" t="s">
        <v>108</v>
      </c>
      <c r="JNR46" s="365"/>
      <c r="JNS46" s="365"/>
      <c r="JNT46" s="365"/>
      <c r="JNU46" s="365" t="s">
        <v>108</v>
      </c>
      <c r="JNV46" s="365"/>
      <c r="JNW46" s="365"/>
      <c r="JNX46" s="365"/>
      <c r="JNY46" s="365" t="s">
        <v>108</v>
      </c>
      <c r="JNZ46" s="365"/>
      <c r="JOA46" s="365"/>
      <c r="JOB46" s="365"/>
      <c r="JOC46" s="365" t="s">
        <v>108</v>
      </c>
      <c r="JOD46" s="365"/>
      <c r="JOE46" s="365"/>
      <c r="JOF46" s="365"/>
      <c r="JOG46" s="365" t="s">
        <v>108</v>
      </c>
      <c r="JOH46" s="365"/>
      <c r="JOI46" s="365"/>
      <c r="JOJ46" s="365"/>
      <c r="JOK46" s="365" t="s">
        <v>108</v>
      </c>
      <c r="JOL46" s="365"/>
      <c r="JOM46" s="365"/>
      <c r="JON46" s="365"/>
      <c r="JOO46" s="365" t="s">
        <v>108</v>
      </c>
      <c r="JOP46" s="365"/>
      <c r="JOQ46" s="365"/>
      <c r="JOR46" s="365"/>
      <c r="JOS46" s="365" t="s">
        <v>108</v>
      </c>
      <c r="JOT46" s="365"/>
      <c r="JOU46" s="365"/>
      <c r="JOV46" s="365"/>
      <c r="JOW46" s="365" t="s">
        <v>108</v>
      </c>
      <c r="JOX46" s="365"/>
      <c r="JOY46" s="365"/>
      <c r="JOZ46" s="365"/>
      <c r="JPA46" s="365" t="s">
        <v>108</v>
      </c>
      <c r="JPB46" s="365"/>
      <c r="JPC46" s="365"/>
      <c r="JPD46" s="365"/>
      <c r="JPE46" s="365" t="s">
        <v>108</v>
      </c>
      <c r="JPF46" s="365"/>
      <c r="JPG46" s="365"/>
      <c r="JPH46" s="365"/>
      <c r="JPI46" s="365" t="s">
        <v>108</v>
      </c>
      <c r="JPJ46" s="365"/>
      <c r="JPK46" s="365"/>
      <c r="JPL46" s="365"/>
      <c r="JPM46" s="365" t="s">
        <v>108</v>
      </c>
      <c r="JPN46" s="365"/>
      <c r="JPO46" s="365"/>
      <c r="JPP46" s="365"/>
      <c r="JPQ46" s="365" t="s">
        <v>108</v>
      </c>
      <c r="JPR46" s="365"/>
      <c r="JPS46" s="365"/>
      <c r="JPT46" s="365"/>
      <c r="JPU46" s="365" t="s">
        <v>108</v>
      </c>
      <c r="JPV46" s="365"/>
      <c r="JPW46" s="365"/>
      <c r="JPX46" s="365"/>
      <c r="JPY46" s="365" t="s">
        <v>108</v>
      </c>
      <c r="JPZ46" s="365"/>
      <c r="JQA46" s="365"/>
      <c r="JQB46" s="365"/>
      <c r="JQC46" s="365" t="s">
        <v>108</v>
      </c>
      <c r="JQD46" s="365"/>
      <c r="JQE46" s="365"/>
      <c r="JQF46" s="365"/>
      <c r="JQG46" s="365" t="s">
        <v>108</v>
      </c>
      <c r="JQH46" s="365"/>
      <c r="JQI46" s="365"/>
      <c r="JQJ46" s="365"/>
      <c r="JQK46" s="365" t="s">
        <v>108</v>
      </c>
      <c r="JQL46" s="365"/>
      <c r="JQM46" s="365"/>
      <c r="JQN46" s="365"/>
      <c r="JQO46" s="365" t="s">
        <v>108</v>
      </c>
      <c r="JQP46" s="365"/>
      <c r="JQQ46" s="365"/>
      <c r="JQR46" s="365"/>
      <c r="JQS46" s="365" t="s">
        <v>108</v>
      </c>
      <c r="JQT46" s="365"/>
      <c r="JQU46" s="365"/>
      <c r="JQV46" s="365"/>
      <c r="JQW46" s="365" t="s">
        <v>108</v>
      </c>
      <c r="JQX46" s="365"/>
      <c r="JQY46" s="365"/>
      <c r="JQZ46" s="365"/>
      <c r="JRA46" s="365" t="s">
        <v>108</v>
      </c>
      <c r="JRB46" s="365"/>
      <c r="JRC46" s="365"/>
      <c r="JRD46" s="365"/>
      <c r="JRE46" s="365" t="s">
        <v>108</v>
      </c>
      <c r="JRF46" s="365"/>
      <c r="JRG46" s="365"/>
      <c r="JRH46" s="365"/>
      <c r="JRI46" s="365" t="s">
        <v>108</v>
      </c>
      <c r="JRJ46" s="365"/>
      <c r="JRK46" s="365"/>
      <c r="JRL46" s="365"/>
      <c r="JRM46" s="365" t="s">
        <v>108</v>
      </c>
      <c r="JRN46" s="365"/>
      <c r="JRO46" s="365"/>
      <c r="JRP46" s="365"/>
      <c r="JRQ46" s="365" t="s">
        <v>108</v>
      </c>
      <c r="JRR46" s="365"/>
      <c r="JRS46" s="365"/>
      <c r="JRT46" s="365"/>
      <c r="JRU46" s="365" t="s">
        <v>108</v>
      </c>
      <c r="JRV46" s="365"/>
      <c r="JRW46" s="365"/>
      <c r="JRX46" s="365"/>
      <c r="JRY46" s="365" t="s">
        <v>108</v>
      </c>
      <c r="JRZ46" s="365"/>
      <c r="JSA46" s="365"/>
      <c r="JSB46" s="365"/>
      <c r="JSC46" s="365" t="s">
        <v>108</v>
      </c>
      <c r="JSD46" s="365"/>
      <c r="JSE46" s="365"/>
      <c r="JSF46" s="365"/>
      <c r="JSG46" s="365" t="s">
        <v>108</v>
      </c>
      <c r="JSH46" s="365"/>
      <c r="JSI46" s="365"/>
      <c r="JSJ46" s="365"/>
      <c r="JSK46" s="365" t="s">
        <v>108</v>
      </c>
      <c r="JSL46" s="365"/>
      <c r="JSM46" s="365"/>
      <c r="JSN46" s="365"/>
      <c r="JSO46" s="365" t="s">
        <v>108</v>
      </c>
      <c r="JSP46" s="365"/>
      <c r="JSQ46" s="365"/>
      <c r="JSR46" s="365"/>
      <c r="JSS46" s="365" t="s">
        <v>108</v>
      </c>
      <c r="JST46" s="365"/>
      <c r="JSU46" s="365"/>
      <c r="JSV46" s="365"/>
      <c r="JSW46" s="365" t="s">
        <v>108</v>
      </c>
      <c r="JSX46" s="365"/>
      <c r="JSY46" s="365"/>
      <c r="JSZ46" s="365"/>
      <c r="JTA46" s="365" t="s">
        <v>108</v>
      </c>
      <c r="JTB46" s="365"/>
      <c r="JTC46" s="365"/>
      <c r="JTD46" s="365"/>
      <c r="JTE46" s="365" t="s">
        <v>108</v>
      </c>
      <c r="JTF46" s="365"/>
      <c r="JTG46" s="365"/>
      <c r="JTH46" s="365"/>
      <c r="JTI46" s="365" t="s">
        <v>108</v>
      </c>
      <c r="JTJ46" s="365"/>
      <c r="JTK46" s="365"/>
      <c r="JTL46" s="365"/>
      <c r="JTM46" s="365" t="s">
        <v>108</v>
      </c>
      <c r="JTN46" s="365"/>
      <c r="JTO46" s="365"/>
      <c r="JTP46" s="365"/>
      <c r="JTQ46" s="365" t="s">
        <v>108</v>
      </c>
      <c r="JTR46" s="365"/>
      <c r="JTS46" s="365"/>
      <c r="JTT46" s="365"/>
      <c r="JTU46" s="365" t="s">
        <v>108</v>
      </c>
      <c r="JTV46" s="365"/>
      <c r="JTW46" s="365"/>
      <c r="JTX46" s="365"/>
      <c r="JTY46" s="365" t="s">
        <v>108</v>
      </c>
      <c r="JTZ46" s="365"/>
      <c r="JUA46" s="365"/>
      <c r="JUB46" s="365"/>
      <c r="JUC46" s="365" t="s">
        <v>108</v>
      </c>
      <c r="JUD46" s="365"/>
      <c r="JUE46" s="365"/>
      <c r="JUF46" s="365"/>
      <c r="JUG46" s="365" t="s">
        <v>108</v>
      </c>
      <c r="JUH46" s="365"/>
      <c r="JUI46" s="365"/>
      <c r="JUJ46" s="365"/>
      <c r="JUK46" s="365" t="s">
        <v>108</v>
      </c>
      <c r="JUL46" s="365"/>
      <c r="JUM46" s="365"/>
      <c r="JUN46" s="365"/>
      <c r="JUO46" s="365" t="s">
        <v>108</v>
      </c>
      <c r="JUP46" s="365"/>
      <c r="JUQ46" s="365"/>
      <c r="JUR46" s="365"/>
      <c r="JUS46" s="365" t="s">
        <v>108</v>
      </c>
      <c r="JUT46" s="365"/>
      <c r="JUU46" s="365"/>
      <c r="JUV46" s="365"/>
      <c r="JUW46" s="365" t="s">
        <v>108</v>
      </c>
      <c r="JUX46" s="365"/>
      <c r="JUY46" s="365"/>
      <c r="JUZ46" s="365"/>
      <c r="JVA46" s="365" t="s">
        <v>108</v>
      </c>
      <c r="JVB46" s="365"/>
      <c r="JVC46" s="365"/>
      <c r="JVD46" s="365"/>
      <c r="JVE46" s="365" t="s">
        <v>108</v>
      </c>
      <c r="JVF46" s="365"/>
      <c r="JVG46" s="365"/>
      <c r="JVH46" s="365"/>
      <c r="JVI46" s="365" t="s">
        <v>108</v>
      </c>
      <c r="JVJ46" s="365"/>
      <c r="JVK46" s="365"/>
      <c r="JVL46" s="365"/>
      <c r="JVM46" s="365" t="s">
        <v>108</v>
      </c>
      <c r="JVN46" s="365"/>
      <c r="JVO46" s="365"/>
      <c r="JVP46" s="365"/>
      <c r="JVQ46" s="365" t="s">
        <v>108</v>
      </c>
      <c r="JVR46" s="365"/>
      <c r="JVS46" s="365"/>
      <c r="JVT46" s="365"/>
      <c r="JVU46" s="365" t="s">
        <v>108</v>
      </c>
      <c r="JVV46" s="365"/>
      <c r="JVW46" s="365"/>
      <c r="JVX46" s="365"/>
      <c r="JVY46" s="365" t="s">
        <v>108</v>
      </c>
      <c r="JVZ46" s="365"/>
      <c r="JWA46" s="365"/>
      <c r="JWB46" s="365"/>
      <c r="JWC46" s="365" t="s">
        <v>108</v>
      </c>
      <c r="JWD46" s="365"/>
      <c r="JWE46" s="365"/>
      <c r="JWF46" s="365"/>
      <c r="JWG46" s="365" t="s">
        <v>108</v>
      </c>
      <c r="JWH46" s="365"/>
      <c r="JWI46" s="365"/>
      <c r="JWJ46" s="365"/>
      <c r="JWK46" s="365" t="s">
        <v>108</v>
      </c>
      <c r="JWL46" s="365"/>
      <c r="JWM46" s="365"/>
      <c r="JWN46" s="365"/>
      <c r="JWO46" s="365" t="s">
        <v>108</v>
      </c>
      <c r="JWP46" s="365"/>
      <c r="JWQ46" s="365"/>
      <c r="JWR46" s="365"/>
      <c r="JWS46" s="365" t="s">
        <v>108</v>
      </c>
      <c r="JWT46" s="365"/>
      <c r="JWU46" s="365"/>
      <c r="JWV46" s="365"/>
      <c r="JWW46" s="365" t="s">
        <v>108</v>
      </c>
      <c r="JWX46" s="365"/>
      <c r="JWY46" s="365"/>
      <c r="JWZ46" s="365"/>
      <c r="JXA46" s="365" t="s">
        <v>108</v>
      </c>
      <c r="JXB46" s="365"/>
      <c r="JXC46" s="365"/>
      <c r="JXD46" s="365"/>
      <c r="JXE46" s="365" t="s">
        <v>108</v>
      </c>
      <c r="JXF46" s="365"/>
      <c r="JXG46" s="365"/>
      <c r="JXH46" s="365"/>
      <c r="JXI46" s="365" t="s">
        <v>108</v>
      </c>
      <c r="JXJ46" s="365"/>
      <c r="JXK46" s="365"/>
      <c r="JXL46" s="365"/>
      <c r="JXM46" s="365" t="s">
        <v>108</v>
      </c>
      <c r="JXN46" s="365"/>
      <c r="JXO46" s="365"/>
      <c r="JXP46" s="365"/>
      <c r="JXQ46" s="365" t="s">
        <v>108</v>
      </c>
      <c r="JXR46" s="365"/>
      <c r="JXS46" s="365"/>
      <c r="JXT46" s="365"/>
      <c r="JXU46" s="365" t="s">
        <v>108</v>
      </c>
      <c r="JXV46" s="365"/>
      <c r="JXW46" s="365"/>
      <c r="JXX46" s="365"/>
      <c r="JXY46" s="365" t="s">
        <v>108</v>
      </c>
      <c r="JXZ46" s="365"/>
      <c r="JYA46" s="365"/>
      <c r="JYB46" s="365"/>
      <c r="JYC46" s="365" t="s">
        <v>108</v>
      </c>
      <c r="JYD46" s="365"/>
      <c r="JYE46" s="365"/>
      <c r="JYF46" s="365"/>
      <c r="JYG46" s="365" t="s">
        <v>108</v>
      </c>
      <c r="JYH46" s="365"/>
      <c r="JYI46" s="365"/>
      <c r="JYJ46" s="365"/>
      <c r="JYK46" s="365" t="s">
        <v>108</v>
      </c>
      <c r="JYL46" s="365"/>
      <c r="JYM46" s="365"/>
      <c r="JYN46" s="365"/>
      <c r="JYO46" s="365" t="s">
        <v>108</v>
      </c>
      <c r="JYP46" s="365"/>
      <c r="JYQ46" s="365"/>
      <c r="JYR46" s="365"/>
      <c r="JYS46" s="365" t="s">
        <v>108</v>
      </c>
      <c r="JYT46" s="365"/>
      <c r="JYU46" s="365"/>
      <c r="JYV46" s="365"/>
      <c r="JYW46" s="365" t="s">
        <v>108</v>
      </c>
      <c r="JYX46" s="365"/>
      <c r="JYY46" s="365"/>
      <c r="JYZ46" s="365"/>
      <c r="JZA46" s="365" t="s">
        <v>108</v>
      </c>
      <c r="JZB46" s="365"/>
      <c r="JZC46" s="365"/>
      <c r="JZD46" s="365"/>
      <c r="JZE46" s="365" t="s">
        <v>108</v>
      </c>
      <c r="JZF46" s="365"/>
      <c r="JZG46" s="365"/>
      <c r="JZH46" s="365"/>
      <c r="JZI46" s="365" t="s">
        <v>108</v>
      </c>
      <c r="JZJ46" s="365"/>
      <c r="JZK46" s="365"/>
      <c r="JZL46" s="365"/>
      <c r="JZM46" s="365" t="s">
        <v>108</v>
      </c>
      <c r="JZN46" s="365"/>
      <c r="JZO46" s="365"/>
      <c r="JZP46" s="365"/>
      <c r="JZQ46" s="365" t="s">
        <v>108</v>
      </c>
      <c r="JZR46" s="365"/>
      <c r="JZS46" s="365"/>
      <c r="JZT46" s="365"/>
      <c r="JZU46" s="365" t="s">
        <v>108</v>
      </c>
      <c r="JZV46" s="365"/>
      <c r="JZW46" s="365"/>
      <c r="JZX46" s="365"/>
      <c r="JZY46" s="365" t="s">
        <v>108</v>
      </c>
      <c r="JZZ46" s="365"/>
      <c r="KAA46" s="365"/>
      <c r="KAB46" s="365"/>
      <c r="KAC46" s="365" t="s">
        <v>108</v>
      </c>
      <c r="KAD46" s="365"/>
      <c r="KAE46" s="365"/>
      <c r="KAF46" s="365"/>
      <c r="KAG46" s="365" t="s">
        <v>108</v>
      </c>
      <c r="KAH46" s="365"/>
      <c r="KAI46" s="365"/>
      <c r="KAJ46" s="365"/>
      <c r="KAK46" s="365" t="s">
        <v>108</v>
      </c>
      <c r="KAL46" s="365"/>
      <c r="KAM46" s="365"/>
      <c r="KAN46" s="365"/>
      <c r="KAO46" s="365" t="s">
        <v>108</v>
      </c>
      <c r="KAP46" s="365"/>
      <c r="KAQ46" s="365"/>
      <c r="KAR46" s="365"/>
      <c r="KAS46" s="365" t="s">
        <v>108</v>
      </c>
      <c r="KAT46" s="365"/>
      <c r="KAU46" s="365"/>
      <c r="KAV46" s="365"/>
      <c r="KAW46" s="365" t="s">
        <v>108</v>
      </c>
      <c r="KAX46" s="365"/>
      <c r="KAY46" s="365"/>
      <c r="KAZ46" s="365"/>
      <c r="KBA46" s="365" t="s">
        <v>108</v>
      </c>
      <c r="KBB46" s="365"/>
      <c r="KBC46" s="365"/>
      <c r="KBD46" s="365"/>
      <c r="KBE46" s="365" t="s">
        <v>108</v>
      </c>
      <c r="KBF46" s="365"/>
      <c r="KBG46" s="365"/>
      <c r="KBH46" s="365"/>
      <c r="KBI46" s="365" t="s">
        <v>108</v>
      </c>
      <c r="KBJ46" s="365"/>
      <c r="KBK46" s="365"/>
      <c r="KBL46" s="365"/>
      <c r="KBM46" s="365" t="s">
        <v>108</v>
      </c>
      <c r="KBN46" s="365"/>
      <c r="KBO46" s="365"/>
      <c r="KBP46" s="365"/>
      <c r="KBQ46" s="365" t="s">
        <v>108</v>
      </c>
      <c r="KBR46" s="365"/>
      <c r="KBS46" s="365"/>
      <c r="KBT46" s="365"/>
      <c r="KBU46" s="365" t="s">
        <v>108</v>
      </c>
      <c r="KBV46" s="365"/>
      <c r="KBW46" s="365"/>
      <c r="KBX46" s="365"/>
      <c r="KBY46" s="365" t="s">
        <v>108</v>
      </c>
      <c r="KBZ46" s="365"/>
      <c r="KCA46" s="365"/>
      <c r="KCB46" s="365"/>
      <c r="KCC46" s="365" t="s">
        <v>108</v>
      </c>
      <c r="KCD46" s="365"/>
      <c r="KCE46" s="365"/>
      <c r="KCF46" s="365"/>
      <c r="KCG46" s="365" t="s">
        <v>108</v>
      </c>
      <c r="KCH46" s="365"/>
      <c r="KCI46" s="365"/>
      <c r="KCJ46" s="365"/>
      <c r="KCK46" s="365" t="s">
        <v>108</v>
      </c>
      <c r="KCL46" s="365"/>
      <c r="KCM46" s="365"/>
      <c r="KCN46" s="365"/>
      <c r="KCO46" s="365" t="s">
        <v>108</v>
      </c>
      <c r="KCP46" s="365"/>
      <c r="KCQ46" s="365"/>
      <c r="KCR46" s="365"/>
      <c r="KCS46" s="365" t="s">
        <v>108</v>
      </c>
      <c r="KCT46" s="365"/>
      <c r="KCU46" s="365"/>
      <c r="KCV46" s="365"/>
      <c r="KCW46" s="365" t="s">
        <v>108</v>
      </c>
      <c r="KCX46" s="365"/>
      <c r="KCY46" s="365"/>
      <c r="KCZ46" s="365"/>
      <c r="KDA46" s="365" t="s">
        <v>108</v>
      </c>
      <c r="KDB46" s="365"/>
      <c r="KDC46" s="365"/>
      <c r="KDD46" s="365"/>
      <c r="KDE46" s="365" t="s">
        <v>108</v>
      </c>
      <c r="KDF46" s="365"/>
      <c r="KDG46" s="365"/>
      <c r="KDH46" s="365"/>
      <c r="KDI46" s="365" t="s">
        <v>108</v>
      </c>
      <c r="KDJ46" s="365"/>
      <c r="KDK46" s="365"/>
      <c r="KDL46" s="365"/>
      <c r="KDM46" s="365" t="s">
        <v>108</v>
      </c>
      <c r="KDN46" s="365"/>
      <c r="KDO46" s="365"/>
      <c r="KDP46" s="365"/>
      <c r="KDQ46" s="365" t="s">
        <v>108</v>
      </c>
      <c r="KDR46" s="365"/>
      <c r="KDS46" s="365"/>
      <c r="KDT46" s="365"/>
      <c r="KDU46" s="365" t="s">
        <v>108</v>
      </c>
      <c r="KDV46" s="365"/>
      <c r="KDW46" s="365"/>
      <c r="KDX46" s="365"/>
      <c r="KDY46" s="365" t="s">
        <v>108</v>
      </c>
      <c r="KDZ46" s="365"/>
      <c r="KEA46" s="365"/>
      <c r="KEB46" s="365"/>
      <c r="KEC46" s="365" t="s">
        <v>108</v>
      </c>
      <c r="KED46" s="365"/>
      <c r="KEE46" s="365"/>
      <c r="KEF46" s="365"/>
      <c r="KEG46" s="365" t="s">
        <v>108</v>
      </c>
      <c r="KEH46" s="365"/>
      <c r="KEI46" s="365"/>
      <c r="KEJ46" s="365"/>
      <c r="KEK46" s="365" t="s">
        <v>108</v>
      </c>
      <c r="KEL46" s="365"/>
      <c r="KEM46" s="365"/>
      <c r="KEN46" s="365"/>
      <c r="KEO46" s="365" t="s">
        <v>108</v>
      </c>
      <c r="KEP46" s="365"/>
      <c r="KEQ46" s="365"/>
      <c r="KER46" s="365"/>
      <c r="KES46" s="365" t="s">
        <v>108</v>
      </c>
      <c r="KET46" s="365"/>
      <c r="KEU46" s="365"/>
      <c r="KEV46" s="365"/>
      <c r="KEW46" s="365" t="s">
        <v>108</v>
      </c>
      <c r="KEX46" s="365"/>
      <c r="KEY46" s="365"/>
      <c r="KEZ46" s="365"/>
      <c r="KFA46" s="365" t="s">
        <v>108</v>
      </c>
      <c r="KFB46" s="365"/>
      <c r="KFC46" s="365"/>
      <c r="KFD46" s="365"/>
      <c r="KFE46" s="365" t="s">
        <v>108</v>
      </c>
      <c r="KFF46" s="365"/>
      <c r="KFG46" s="365"/>
      <c r="KFH46" s="365"/>
      <c r="KFI46" s="365" t="s">
        <v>108</v>
      </c>
      <c r="KFJ46" s="365"/>
      <c r="KFK46" s="365"/>
      <c r="KFL46" s="365"/>
      <c r="KFM46" s="365" t="s">
        <v>108</v>
      </c>
      <c r="KFN46" s="365"/>
      <c r="KFO46" s="365"/>
      <c r="KFP46" s="365"/>
      <c r="KFQ46" s="365" t="s">
        <v>108</v>
      </c>
      <c r="KFR46" s="365"/>
      <c r="KFS46" s="365"/>
      <c r="KFT46" s="365"/>
      <c r="KFU46" s="365" t="s">
        <v>108</v>
      </c>
      <c r="KFV46" s="365"/>
      <c r="KFW46" s="365"/>
      <c r="KFX46" s="365"/>
      <c r="KFY46" s="365" t="s">
        <v>108</v>
      </c>
      <c r="KFZ46" s="365"/>
      <c r="KGA46" s="365"/>
      <c r="KGB46" s="365"/>
      <c r="KGC46" s="365" t="s">
        <v>108</v>
      </c>
      <c r="KGD46" s="365"/>
      <c r="KGE46" s="365"/>
      <c r="KGF46" s="365"/>
      <c r="KGG46" s="365" t="s">
        <v>108</v>
      </c>
      <c r="KGH46" s="365"/>
      <c r="KGI46" s="365"/>
      <c r="KGJ46" s="365"/>
      <c r="KGK46" s="365" t="s">
        <v>108</v>
      </c>
      <c r="KGL46" s="365"/>
      <c r="KGM46" s="365"/>
      <c r="KGN46" s="365"/>
      <c r="KGO46" s="365" t="s">
        <v>108</v>
      </c>
      <c r="KGP46" s="365"/>
      <c r="KGQ46" s="365"/>
      <c r="KGR46" s="365"/>
      <c r="KGS46" s="365" t="s">
        <v>108</v>
      </c>
      <c r="KGT46" s="365"/>
      <c r="KGU46" s="365"/>
      <c r="KGV46" s="365"/>
      <c r="KGW46" s="365" t="s">
        <v>108</v>
      </c>
      <c r="KGX46" s="365"/>
      <c r="KGY46" s="365"/>
      <c r="KGZ46" s="365"/>
      <c r="KHA46" s="365" t="s">
        <v>108</v>
      </c>
      <c r="KHB46" s="365"/>
      <c r="KHC46" s="365"/>
      <c r="KHD46" s="365"/>
      <c r="KHE46" s="365" t="s">
        <v>108</v>
      </c>
      <c r="KHF46" s="365"/>
      <c r="KHG46" s="365"/>
      <c r="KHH46" s="365"/>
      <c r="KHI46" s="365" t="s">
        <v>108</v>
      </c>
      <c r="KHJ46" s="365"/>
      <c r="KHK46" s="365"/>
      <c r="KHL46" s="365"/>
      <c r="KHM46" s="365" t="s">
        <v>108</v>
      </c>
      <c r="KHN46" s="365"/>
      <c r="KHO46" s="365"/>
      <c r="KHP46" s="365"/>
      <c r="KHQ46" s="365" t="s">
        <v>108</v>
      </c>
      <c r="KHR46" s="365"/>
      <c r="KHS46" s="365"/>
      <c r="KHT46" s="365"/>
      <c r="KHU46" s="365" t="s">
        <v>108</v>
      </c>
      <c r="KHV46" s="365"/>
      <c r="KHW46" s="365"/>
      <c r="KHX46" s="365"/>
      <c r="KHY46" s="365" t="s">
        <v>108</v>
      </c>
      <c r="KHZ46" s="365"/>
      <c r="KIA46" s="365"/>
      <c r="KIB46" s="365"/>
      <c r="KIC46" s="365" t="s">
        <v>108</v>
      </c>
      <c r="KID46" s="365"/>
      <c r="KIE46" s="365"/>
      <c r="KIF46" s="365"/>
      <c r="KIG46" s="365" t="s">
        <v>108</v>
      </c>
      <c r="KIH46" s="365"/>
      <c r="KII46" s="365"/>
      <c r="KIJ46" s="365"/>
      <c r="KIK46" s="365" t="s">
        <v>108</v>
      </c>
      <c r="KIL46" s="365"/>
      <c r="KIM46" s="365"/>
      <c r="KIN46" s="365"/>
      <c r="KIO46" s="365" t="s">
        <v>108</v>
      </c>
      <c r="KIP46" s="365"/>
      <c r="KIQ46" s="365"/>
      <c r="KIR46" s="365"/>
      <c r="KIS46" s="365" t="s">
        <v>108</v>
      </c>
      <c r="KIT46" s="365"/>
      <c r="KIU46" s="365"/>
      <c r="KIV46" s="365"/>
      <c r="KIW46" s="365" t="s">
        <v>108</v>
      </c>
      <c r="KIX46" s="365"/>
      <c r="KIY46" s="365"/>
      <c r="KIZ46" s="365"/>
      <c r="KJA46" s="365" t="s">
        <v>108</v>
      </c>
      <c r="KJB46" s="365"/>
      <c r="KJC46" s="365"/>
      <c r="KJD46" s="365"/>
      <c r="KJE46" s="365" t="s">
        <v>108</v>
      </c>
      <c r="KJF46" s="365"/>
      <c r="KJG46" s="365"/>
      <c r="KJH46" s="365"/>
      <c r="KJI46" s="365" t="s">
        <v>108</v>
      </c>
      <c r="KJJ46" s="365"/>
      <c r="KJK46" s="365"/>
      <c r="KJL46" s="365"/>
      <c r="KJM46" s="365" t="s">
        <v>108</v>
      </c>
      <c r="KJN46" s="365"/>
      <c r="KJO46" s="365"/>
      <c r="KJP46" s="365"/>
      <c r="KJQ46" s="365" t="s">
        <v>108</v>
      </c>
      <c r="KJR46" s="365"/>
      <c r="KJS46" s="365"/>
      <c r="KJT46" s="365"/>
      <c r="KJU46" s="365" t="s">
        <v>108</v>
      </c>
      <c r="KJV46" s="365"/>
      <c r="KJW46" s="365"/>
      <c r="KJX46" s="365"/>
      <c r="KJY46" s="365" t="s">
        <v>108</v>
      </c>
      <c r="KJZ46" s="365"/>
      <c r="KKA46" s="365"/>
      <c r="KKB46" s="365"/>
      <c r="KKC46" s="365" t="s">
        <v>108</v>
      </c>
      <c r="KKD46" s="365"/>
      <c r="KKE46" s="365"/>
      <c r="KKF46" s="365"/>
      <c r="KKG46" s="365" t="s">
        <v>108</v>
      </c>
      <c r="KKH46" s="365"/>
      <c r="KKI46" s="365"/>
      <c r="KKJ46" s="365"/>
      <c r="KKK46" s="365" t="s">
        <v>108</v>
      </c>
      <c r="KKL46" s="365"/>
      <c r="KKM46" s="365"/>
      <c r="KKN46" s="365"/>
      <c r="KKO46" s="365" t="s">
        <v>108</v>
      </c>
      <c r="KKP46" s="365"/>
      <c r="KKQ46" s="365"/>
      <c r="KKR46" s="365"/>
      <c r="KKS46" s="365" t="s">
        <v>108</v>
      </c>
      <c r="KKT46" s="365"/>
      <c r="KKU46" s="365"/>
      <c r="KKV46" s="365"/>
      <c r="KKW46" s="365" t="s">
        <v>108</v>
      </c>
      <c r="KKX46" s="365"/>
      <c r="KKY46" s="365"/>
      <c r="KKZ46" s="365"/>
      <c r="KLA46" s="365" t="s">
        <v>108</v>
      </c>
      <c r="KLB46" s="365"/>
      <c r="KLC46" s="365"/>
      <c r="KLD46" s="365"/>
      <c r="KLE46" s="365" t="s">
        <v>108</v>
      </c>
      <c r="KLF46" s="365"/>
      <c r="KLG46" s="365"/>
      <c r="KLH46" s="365"/>
      <c r="KLI46" s="365" t="s">
        <v>108</v>
      </c>
      <c r="KLJ46" s="365"/>
      <c r="KLK46" s="365"/>
      <c r="KLL46" s="365"/>
      <c r="KLM46" s="365" t="s">
        <v>108</v>
      </c>
      <c r="KLN46" s="365"/>
      <c r="KLO46" s="365"/>
      <c r="KLP46" s="365"/>
      <c r="KLQ46" s="365" t="s">
        <v>108</v>
      </c>
      <c r="KLR46" s="365"/>
      <c r="KLS46" s="365"/>
      <c r="KLT46" s="365"/>
      <c r="KLU46" s="365" t="s">
        <v>108</v>
      </c>
      <c r="KLV46" s="365"/>
      <c r="KLW46" s="365"/>
      <c r="KLX46" s="365"/>
      <c r="KLY46" s="365" t="s">
        <v>108</v>
      </c>
      <c r="KLZ46" s="365"/>
      <c r="KMA46" s="365"/>
      <c r="KMB46" s="365"/>
      <c r="KMC46" s="365" t="s">
        <v>108</v>
      </c>
      <c r="KMD46" s="365"/>
      <c r="KME46" s="365"/>
      <c r="KMF46" s="365"/>
      <c r="KMG46" s="365" t="s">
        <v>108</v>
      </c>
      <c r="KMH46" s="365"/>
      <c r="KMI46" s="365"/>
      <c r="KMJ46" s="365"/>
      <c r="KMK46" s="365" t="s">
        <v>108</v>
      </c>
      <c r="KML46" s="365"/>
      <c r="KMM46" s="365"/>
      <c r="KMN46" s="365"/>
      <c r="KMO46" s="365" t="s">
        <v>108</v>
      </c>
      <c r="KMP46" s="365"/>
      <c r="KMQ46" s="365"/>
      <c r="KMR46" s="365"/>
      <c r="KMS46" s="365" t="s">
        <v>108</v>
      </c>
      <c r="KMT46" s="365"/>
      <c r="KMU46" s="365"/>
      <c r="KMV46" s="365"/>
      <c r="KMW46" s="365" t="s">
        <v>108</v>
      </c>
      <c r="KMX46" s="365"/>
      <c r="KMY46" s="365"/>
      <c r="KMZ46" s="365"/>
      <c r="KNA46" s="365" t="s">
        <v>108</v>
      </c>
      <c r="KNB46" s="365"/>
      <c r="KNC46" s="365"/>
      <c r="KND46" s="365"/>
      <c r="KNE46" s="365" t="s">
        <v>108</v>
      </c>
      <c r="KNF46" s="365"/>
      <c r="KNG46" s="365"/>
      <c r="KNH46" s="365"/>
      <c r="KNI46" s="365" t="s">
        <v>108</v>
      </c>
      <c r="KNJ46" s="365"/>
      <c r="KNK46" s="365"/>
      <c r="KNL46" s="365"/>
      <c r="KNM46" s="365" t="s">
        <v>108</v>
      </c>
      <c r="KNN46" s="365"/>
      <c r="KNO46" s="365"/>
      <c r="KNP46" s="365"/>
      <c r="KNQ46" s="365" t="s">
        <v>108</v>
      </c>
      <c r="KNR46" s="365"/>
      <c r="KNS46" s="365"/>
      <c r="KNT46" s="365"/>
      <c r="KNU46" s="365" t="s">
        <v>108</v>
      </c>
      <c r="KNV46" s="365"/>
      <c r="KNW46" s="365"/>
      <c r="KNX46" s="365"/>
      <c r="KNY46" s="365" t="s">
        <v>108</v>
      </c>
      <c r="KNZ46" s="365"/>
      <c r="KOA46" s="365"/>
      <c r="KOB46" s="365"/>
      <c r="KOC46" s="365" t="s">
        <v>108</v>
      </c>
      <c r="KOD46" s="365"/>
      <c r="KOE46" s="365"/>
      <c r="KOF46" s="365"/>
      <c r="KOG46" s="365" t="s">
        <v>108</v>
      </c>
      <c r="KOH46" s="365"/>
      <c r="KOI46" s="365"/>
      <c r="KOJ46" s="365"/>
      <c r="KOK46" s="365" t="s">
        <v>108</v>
      </c>
      <c r="KOL46" s="365"/>
      <c r="KOM46" s="365"/>
      <c r="KON46" s="365"/>
      <c r="KOO46" s="365" t="s">
        <v>108</v>
      </c>
      <c r="KOP46" s="365"/>
      <c r="KOQ46" s="365"/>
      <c r="KOR46" s="365"/>
      <c r="KOS46" s="365" t="s">
        <v>108</v>
      </c>
      <c r="KOT46" s="365"/>
      <c r="KOU46" s="365"/>
      <c r="KOV46" s="365"/>
      <c r="KOW46" s="365" t="s">
        <v>108</v>
      </c>
      <c r="KOX46" s="365"/>
      <c r="KOY46" s="365"/>
      <c r="KOZ46" s="365"/>
      <c r="KPA46" s="365" t="s">
        <v>108</v>
      </c>
      <c r="KPB46" s="365"/>
      <c r="KPC46" s="365"/>
      <c r="KPD46" s="365"/>
      <c r="KPE46" s="365" t="s">
        <v>108</v>
      </c>
      <c r="KPF46" s="365"/>
      <c r="KPG46" s="365"/>
      <c r="KPH46" s="365"/>
      <c r="KPI46" s="365" t="s">
        <v>108</v>
      </c>
      <c r="KPJ46" s="365"/>
      <c r="KPK46" s="365"/>
      <c r="KPL46" s="365"/>
      <c r="KPM46" s="365" t="s">
        <v>108</v>
      </c>
      <c r="KPN46" s="365"/>
      <c r="KPO46" s="365"/>
      <c r="KPP46" s="365"/>
      <c r="KPQ46" s="365" t="s">
        <v>108</v>
      </c>
      <c r="KPR46" s="365"/>
      <c r="KPS46" s="365"/>
      <c r="KPT46" s="365"/>
      <c r="KPU46" s="365" t="s">
        <v>108</v>
      </c>
      <c r="KPV46" s="365"/>
      <c r="KPW46" s="365"/>
      <c r="KPX46" s="365"/>
      <c r="KPY46" s="365" t="s">
        <v>108</v>
      </c>
      <c r="KPZ46" s="365"/>
      <c r="KQA46" s="365"/>
      <c r="KQB46" s="365"/>
      <c r="KQC46" s="365" t="s">
        <v>108</v>
      </c>
      <c r="KQD46" s="365"/>
      <c r="KQE46" s="365"/>
      <c r="KQF46" s="365"/>
      <c r="KQG46" s="365" t="s">
        <v>108</v>
      </c>
      <c r="KQH46" s="365"/>
      <c r="KQI46" s="365"/>
      <c r="KQJ46" s="365"/>
      <c r="KQK46" s="365" t="s">
        <v>108</v>
      </c>
      <c r="KQL46" s="365"/>
      <c r="KQM46" s="365"/>
      <c r="KQN46" s="365"/>
      <c r="KQO46" s="365" t="s">
        <v>108</v>
      </c>
      <c r="KQP46" s="365"/>
      <c r="KQQ46" s="365"/>
      <c r="KQR46" s="365"/>
      <c r="KQS46" s="365" t="s">
        <v>108</v>
      </c>
      <c r="KQT46" s="365"/>
      <c r="KQU46" s="365"/>
      <c r="KQV46" s="365"/>
      <c r="KQW46" s="365" t="s">
        <v>108</v>
      </c>
      <c r="KQX46" s="365"/>
      <c r="KQY46" s="365"/>
      <c r="KQZ46" s="365"/>
      <c r="KRA46" s="365" t="s">
        <v>108</v>
      </c>
      <c r="KRB46" s="365"/>
      <c r="KRC46" s="365"/>
      <c r="KRD46" s="365"/>
      <c r="KRE46" s="365" t="s">
        <v>108</v>
      </c>
      <c r="KRF46" s="365"/>
      <c r="KRG46" s="365"/>
      <c r="KRH46" s="365"/>
      <c r="KRI46" s="365" t="s">
        <v>108</v>
      </c>
      <c r="KRJ46" s="365"/>
      <c r="KRK46" s="365"/>
      <c r="KRL46" s="365"/>
      <c r="KRM46" s="365" t="s">
        <v>108</v>
      </c>
      <c r="KRN46" s="365"/>
      <c r="KRO46" s="365"/>
      <c r="KRP46" s="365"/>
      <c r="KRQ46" s="365" t="s">
        <v>108</v>
      </c>
      <c r="KRR46" s="365"/>
      <c r="KRS46" s="365"/>
      <c r="KRT46" s="365"/>
      <c r="KRU46" s="365" t="s">
        <v>108</v>
      </c>
      <c r="KRV46" s="365"/>
      <c r="KRW46" s="365"/>
      <c r="KRX46" s="365"/>
      <c r="KRY46" s="365" t="s">
        <v>108</v>
      </c>
      <c r="KRZ46" s="365"/>
      <c r="KSA46" s="365"/>
      <c r="KSB46" s="365"/>
      <c r="KSC46" s="365" t="s">
        <v>108</v>
      </c>
      <c r="KSD46" s="365"/>
      <c r="KSE46" s="365"/>
      <c r="KSF46" s="365"/>
      <c r="KSG46" s="365" t="s">
        <v>108</v>
      </c>
      <c r="KSH46" s="365"/>
      <c r="KSI46" s="365"/>
      <c r="KSJ46" s="365"/>
      <c r="KSK46" s="365" t="s">
        <v>108</v>
      </c>
      <c r="KSL46" s="365"/>
      <c r="KSM46" s="365"/>
      <c r="KSN46" s="365"/>
      <c r="KSO46" s="365" t="s">
        <v>108</v>
      </c>
      <c r="KSP46" s="365"/>
      <c r="KSQ46" s="365"/>
      <c r="KSR46" s="365"/>
      <c r="KSS46" s="365" t="s">
        <v>108</v>
      </c>
      <c r="KST46" s="365"/>
      <c r="KSU46" s="365"/>
      <c r="KSV46" s="365"/>
      <c r="KSW46" s="365" t="s">
        <v>108</v>
      </c>
      <c r="KSX46" s="365"/>
      <c r="KSY46" s="365"/>
      <c r="KSZ46" s="365"/>
      <c r="KTA46" s="365" t="s">
        <v>108</v>
      </c>
      <c r="KTB46" s="365"/>
      <c r="KTC46" s="365"/>
      <c r="KTD46" s="365"/>
      <c r="KTE46" s="365" t="s">
        <v>108</v>
      </c>
      <c r="KTF46" s="365"/>
      <c r="KTG46" s="365"/>
      <c r="KTH46" s="365"/>
      <c r="KTI46" s="365" t="s">
        <v>108</v>
      </c>
      <c r="KTJ46" s="365"/>
      <c r="KTK46" s="365"/>
      <c r="KTL46" s="365"/>
      <c r="KTM46" s="365" t="s">
        <v>108</v>
      </c>
      <c r="KTN46" s="365"/>
      <c r="KTO46" s="365"/>
      <c r="KTP46" s="365"/>
      <c r="KTQ46" s="365" t="s">
        <v>108</v>
      </c>
      <c r="KTR46" s="365"/>
      <c r="KTS46" s="365"/>
      <c r="KTT46" s="365"/>
      <c r="KTU46" s="365" t="s">
        <v>108</v>
      </c>
      <c r="KTV46" s="365"/>
      <c r="KTW46" s="365"/>
      <c r="KTX46" s="365"/>
      <c r="KTY46" s="365" t="s">
        <v>108</v>
      </c>
      <c r="KTZ46" s="365"/>
      <c r="KUA46" s="365"/>
      <c r="KUB46" s="365"/>
      <c r="KUC46" s="365" t="s">
        <v>108</v>
      </c>
      <c r="KUD46" s="365"/>
      <c r="KUE46" s="365"/>
      <c r="KUF46" s="365"/>
      <c r="KUG46" s="365" t="s">
        <v>108</v>
      </c>
      <c r="KUH46" s="365"/>
      <c r="KUI46" s="365"/>
      <c r="KUJ46" s="365"/>
      <c r="KUK46" s="365" t="s">
        <v>108</v>
      </c>
      <c r="KUL46" s="365"/>
      <c r="KUM46" s="365"/>
      <c r="KUN46" s="365"/>
      <c r="KUO46" s="365" t="s">
        <v>108</v>
      </c>
      <c r="KUP46" s="365"/>
      <c r="KUQ46" s="365"/>
      <c r="KUR46" s="365"/>
      <c r="KUS46" s="365" t="s">
        <v>108</v>
      </c>
      <c r="KUT46" s="365"/>
      <c r="KUU46" s="365"/>
      <c r="KUV46" s="365"/>
      <c r="KUW46" s="365" t="s">
        <v>108</v>
      </c>
      <c r="KUX46" s="365"/>
      <c r="KUY46" s="365"/>
      <c r="KUZ46" s="365"/>
      <c r="KVA46" s="365" t="s">
        <v>108</v>
      </c>
      <c r="KVB46" s="365"/>
      <c r="KVC46" s="365"/>
      <c r="KVD46" s="365"/>
      <c r="KVE46" s="365" t="s">
        <v>108</v>
      </c>
      <c r="KVF46" s="365"/>
      <c r="KVG46" s="365"/>
      <c r="KVH46" s="365"/>
      <c r="KVI46" s="365" t="s">
        <v>108</v>
      </c>
      <c r="KVJ46" s="365"/>
      <c r="KVK46" s="365"/>
      <c r="KVL46" s="365"/>
      <c r="KVM46" s="365" t="s">
        <v>108</v>
      </c>
      <c r="KVN46" s="365"/>
      <c r="KVO46" s="365"/>
      <c r="KVP46" s="365"/>
      <c r="KVQ46" s="365" t="s">
        <v>108</v>
      </c>
      <c r="KVR46" s="365"/>
      <c r="KVS46" s="365"/>
      <c r="KVT46" s="365"/>
      <c r="KVU46" s="365" t="s">
        <v>108</v>
      </c>
      <c r="KVV46" s="365"/>
      <c r="KVW46" s="365"/>
      <c r="KVX46" s="365"/>
      <c r="KVY46" s="365" t="s">
        <v>108</v>
      </c>
      <c r="KVZ46" s="365"/>
      <c r="KWA46" s="365"/>
      <c r="KWB46" s="365"/>
      <c r="KWC46" s="365" t="s">
        <v>108</v>
      </c>
      <c r="KWD46" s="365"/>
      <c r="KWE46" s="365"/>
      <c r="KWF46" s="365"/>
      <c r="KWG46" s="365" t="s">
        <v>108</v>
      </c>
      <c r="KWH46" s="365"/>
      <c r="KWI46" s="365"/>
      <c r="KWJ46" s="365"/>
      <c r="KWK46" s="365" t="s">
        <v>108</v>
      </c>
      <c r="KWL46" s="365"/>
      <c r="KWM46" s="365"/>
      <c r="KWN46" s="365"/>
      <c r="KWO46" s="365" t="s">
        <v>108</v>
      </c>
      <c r="KWP46" s="365"/>
      <c r="KWQ46" s="365"/>
      <c r="KWR46" s="365"/>
      <c r="KWS46" s="365" t="s">
        <v>108</v>
      </c>
      <c r="KWT46" s="365"/>
      <c r="KWU46" s="365"/>
      <c r="KWV46" s="365"/>
      <c r="KWW46" s="365" t="s">
        <v>108</v>
      </c>
      <c r="KWX46" s="365"/>
      <c r="KWY46" s="365"/>
      <c r="KWZ46" s="365"/>
      <c r="KXA46" s="365" t="s">
        <v>108</v>
      </c>
      <c r="KXB46" s="365"/>
      <c r="KXC46" s="365"/>
      <c r="KXD46" s="365"/>
      <c r="KXE46" s="365" t="s">
        <v>108</v>
      </c>
      <c r="KXF46" s="365"/>
      <c r="KXG46" s="365"/>
      <c r="KXH46" s="365"/>
      <c r="KXI46" s="365" t="s">
        <v>108</v>
      </c>
      <c r="KXJ46" s="365"/>
      <c r="KXK46" s="365"/>
      <c r="KXL46" s="365"/>
      <c r="KXM46" s="365" t="s">
        <v>108</v>
      </c>
      <c r="KXN46" s="365"/>
      <c r="KXO46" s="365"/>
      <c r="KXP46" s="365"/>
      <c r="KXQ46" s="365" t="s">
        <v>108</v>
      </c>
      <c r="KXR46" s="365"/>
      <c r="KXS46" s="365"/>
      <c r="KXT46" s="365"/>
      <c r="KXU46" s="365" t="s">
        <v>108</v>
      </c>
      <c r="KXV46" s="365"/>
      <c r="KXW46" s="365"/>
      <c r="KXX46" s="365"/>
      <c r="KXY46" s="365" t="s">
        <v>108</v>
      </c>
      <c r="KXZ46" s="365"/>
      <c r="KYA46" s="365"/>
      <c r="KYB46" s="365"/>
      <c r="KYC46" s="365" t="s">
        <v>108</v>
      </c>
      <c r="KYD46" s="365"/>
      <c r="KYE46" s="365"/>
      <c r="KYF46" s="365"/>
      <c r="KYG46" s="365" t="s">
        <v>108</v>
      </c>
      <c r="KYH46" s="365"/>
      <c r="KYI46" s="365"/>
      <c r="KYJ46" s="365"/>
      <c r="KYK46" s="365" t="s">
        <v>108</v>
      </c>
      <c r="KYL46" s="365"/>
      <c r="KYM46" s="365"/>
      <c r="KYN46" s="365"/>
      <c r="KYO46" s="365" t="s">
        <v>108</v>
      </c>
      <c r="KYP46" s="365"/>
      <c r="KYQ46" s="365"/>
      <c r="KYR46" s="365"/>
      <c r="KYS46" s="365" t="s">
        <v>108</v>
      </c>
      <c r="KYT46" s="365"/>
      <c r="KYU46" s="365"/>
      <c r="KYV46" s="365"/>
      <c r="KYW46" s="365" t="s">
        <v>108</v>
      </c>
      <c r="KYX46" s="365"/>
      <c r="KYY46" s="365"/>
      <c r="KYZ46" s="365"/>
      <c r="KZA46" s="365" t="s">
        <v>108</v>
      </c>
      <c r="KZB46" s="365"/>
      <c r="KZC46" s="365"/>
      <c r="KZD46" s="365"/>
      <c r="KZE46" s="365" t="s">
        <v>108</v>
      </c>
      <c r="KZF46" s="365"/>
      <c r="KZG46" s="365"/>
      <c r="KZH46" s="365"/>
      <c r="KZI46" s="365" t="s">
        <v>108</v>
      </c>
      <c r="KZJ46" s="365"/>
      <c r="KZK46" s="365"/>
      <c r="KZL46" s="365"/>
      <c r="KZM46" s="365" t="s">
        <v>108</v>
      </c>
      <c r="KZN46" s="365"/>
      <c r="KZO46" s="365"/>
      <c r="KZP46" s="365"/>
      <c r="KZQ46" s="365" t="s">
        <v>108</v>
      </c>
      <c r="KZR46" s="365"/>
      <c r="KZS46" s="365"/>
      <c r="KZT46" s="365"/>
      <c r="KZU46" s="365" t="s">
        <v>108</v>
      </c>
      <c r="KZV46" s="365"/>
      <c r="KZW46" s="365"/>
      <c r="KZX46" s="365"/>
      <c r="KZY46" s="365" t="s">
        <v>108</v>
      </c>
      <c r="KZZ46" s="365"/>
      <c r="LAA46" s="365"/>
      <c r="LAB46" s="365"/>
      <c r="LAC46" s="365" t="s">
        <v>108</v>
      </c>
      <c r="LAD46" s="365"/>
      <c r="LAE46" s="365"/>
      <c r="LAF46" s="365"/>
      <c r="LAG46" s="365" t="s">
        <v>108</v>
      </c>
      <c r="LAH46" s="365"/>
      <c r="LAI46" s="365"/>
      <c r="LAJ46" s="365"/>
      <c r="LAK46" s="365" t="s">
        <v>108</v>
      </c>
      <c r="LAL46" s="365"/>
      <c r="LAM46" s="365"/>
      <c r="LAN46" s="365"/>
      <c r="LAO46" s="365" t="s">
        <v>108</v>
      </c>
      <c r="LAP46" s="365"/>
      <c r="LAQ46" s="365"/>
      <c r="LAR46" s="365"/>
      <c r="LAS46" s="365" t="s">
        <v>108</v>
      </c>
      <c r="LAT46" s="365"/>
      <c r="LAU46" s="365"/>
      <c r="LAV46" s="365"/>
      <c r="LAW46" s="365" t="s">
        <v>108</v>
      </c>
      <c r="LAX46" s="365"/>
      <c r="LAY46" s="365"/>
      <c r="LAZ46" s="365"/>
      <c r="LBA46" s="365" t="s">
        <v>108</v>
      </c>
      <c r="LBB46" s="365"/>
      <c r="LBC46" s="365"/>
      <c r="LBD46" s="365"/>
      <c r="LBE46" s="365" t="s">
        <v>108</v>
      </c>
      <c r="LBF46" s="365"/>
      <c r="LBG46" s="365"/>
      <c r="LBH46" s="365"/>
      <c r="LBI46" s="365" t="s">
        <v>108</v>
      </c>
      <c r="LBJ46" s="365"/>
      <c r="LBK46" s="365"/>
      <c r="LBL46" s="365"/>
      <c r="LBM46" s="365" t="s">
        <v>108</v>
      </c>
      <c r="LBN46" s="365"/>
      <c r="LBO46" s="365"/>
      <c r="LBP46" s="365"/>
      <c r="LBQ46" s="365" t="s">
        <v>108</v>
      </c>
      <c r="LBR46" s="365"/>
      <c r="LBS46" s="365"/>
      <c r="LBT46" s="365"/>
      <c r="LBU46" s="365" t="s">
        <v>108</v>
      </c>
      <c r="LBV46" s="365"/>
      <c r="LBW46" s="365"/>
      <c r="LBX46" s="365"/>
      <c r="LBY46" s="365" t="s">
        <v>108</v>
      </c>
      <c r="LBZ46" s="365"/>
      <c r="LCA46" s="365"/>
      <c r="LCB46" s="365"/>
      <c r="LCC46" s="365" t="s">
        <v>108</v>
      </c>
      <c r="LCD46" s="365"/>
      <c r="LCE46" s="365"/>
      <c r="LCF46" s="365"/>
      <c r="LCG46" s="365" t="s">
        <v>108</v>
      </c>
      <c r="LCH46" s="365"/>
      <c r="LCI46" s="365"/>
      <c r="LCJ46" s="365"/>
      <c r="LCK46" s="365" t="s">
        <v>108</v>
      </c>
      <c r="LCL46" s="365"/>
      <c r="LCM46" s="365"/>
      <c r="LCN46" s="365"/>
      <c r="LCO46" s="365" t="s">
        <v>108</v>
      </c>
      <c r="LCP46" s="365"/>
      <c r="LCQ46" s="365"/>
      <c r="LCR46" s="365"/>
      <c r="LCS46" s="365" t="s">
        <v>108</v>
      </c>
      <c r="LCT46" s="365"/>
      <c r="LCU46" s="365"/>
      <c r="LCV46" s="365"/>
      <c r="LCW46" s="365" t="s">
        <v>108</v>
      </c>
      <c r="LCX46" s="365"/>
      <c r="LCY46" s="365"/>
      <c r="LCZ46" s="365"/>
      <c r="LDA46" s="365" t="s">
        <v>108</v>
      </c>
      <c r="LDB46" s="365"/>
      <c r="LDC46" s="365"/>
      <c r="LDD46" s="365"/>
      <c r="LDE46" s="365" t="s">
        <v>108</v>
      </c>
      <c r="LDF46" s="365"/>
      <c r="LDG46" s="365"/>
      <c r="LDH46" s="365"/>
      <c r="LDI46" s="365" t="s">
        <v>108</v>
      </c>
      <c r="LDJ46" s="365"/>
      <c r="LDK46" s="365"/>
      <c r="LDL46" s="365"/>
      <c r="LDM46" s="365" t="s">
        <v>108</v>
      </c>
      <c r="LDN46" s="365"/>
      <c r="LDO46" s="365"/>
      <c r="LDP46" s="365"/>
      <c r="LDQ46" s="365" t="s">
        <v>108</v>
      </c>
      <c r="LDR46" s="365"/>
      <c r="LDS46" s="365"/>
      <c r="LDT46" s="365"/>
      <c r="LDU46" s="365" t="s">
        <v>108</v>
      </c>
      <c r="LDV46" s="365"/>
      <c r="LDW46" s="365"/>
      <c r="LDX46" s="365"/>
      <c r="LDY46" s="365" t="s">
        <v>108</v>
      </c>
      <c r="LDZ46" s="365"/>
      <c r="LEA46" s="365"/>
      <c r="LEB46" s="365"/>
      <c r="LEC46" s="365" t="s">
        <v>108</v>
      </c>
      <c r="LED46" s="365"/>
      <c r="LEE46" s="365"/>
      <c r="LEF46" s="365"/>
      <c r="LEG46" s="365" t="s">
        <v>108</v>
      </c>
      <c r="LEH46" s="365"/>
      <c r="LEI46" s="365"/>
      <c r="LEJ46" s="365"/>
      <c r="LEK46" s="365" t="s">
        <v>108</v>
      </c>
      <c r="LEL46" s="365"/>
      <c r="LEM46" s="365"/>
      <c r="LEN46" s="365"/>
      <c r="LEO46" s="365" t="s">
        <v>108</v>
      </c>
      <c r="LEP46" s="365"/>
      <c r="LEQ46" s="365"/>
      <c r="LER46" s="365"/>
      <c r="LES46" s="365" t="s">
        <v>108</v>
      </c>
      <c r="LET46" s="365"/>
      <c r="LEU46" s="365"/>
      <c r="LEV46" s="365"/>
      <c r="LEW46" s="365" t="s">
        <v>108</v>
      </c>
      <c r="LEX46" s="365"/>
      <c r="LEY46" s="365"/>
      <c r="LEZ46" s="365"/>
      <c r="LFA46" s="365" t="s">
        <v>108</v>
      </c>
      <c r="LFB46" s="365"/>
      <c r="LFC46" s="365"/>
      <c r="LFD46" s="365"/>
      <c r="LFE46" s="365" t="s">
        <v>108</v>
      </c>
      <c r="LFF46" s="365"/>
      <c r="LFG46" s="365"/>
      <c r="LFH46" s="365"/>
      <c r="LFI46" s="365" t="s">
        <v>108</v>
      </c>
      <c r="LFJ46" s="365"/>
      <c r="LFK46" s="365"/>
      <c r="LFL46" s="365"/>
      <c r="LFM46" s="365" t="s">
        <v>108</v>
      </c>
      <c r="LFN46" s="365"/>
      <c r="LFO46" s="365"/>
      <c r="LFP46" s="365"/>
      <c r="LFQ46" s="365" t="s">
        <v>108</v>
      </c>
      <c r="LFR46" s="365"/>
      <c r="LFS46" s="365"/>
      <c r="LFT46" s="365"/>
      <c r="LFU46" s="365" t="s">
        <v>108</v>
      </c>
      <c r="LFV46" s="365"/>
      <c r="LFW46" s="365"/>
      <c r="LFX46" s="365"/>
      <c r="LFY46" s="365" t="s">
        <v>108</v>
      </c>
      <c r="LFZ46" s="365"/>
      <c r="LGA46" s="365"/>
      <c r="LGB46" s="365"/>
      <c r="LGC46" s="365" t="s">
        <v>108</v>
      </c>
      <c r="LGD46" s="365"/>
      <c r="LGE46" s="365"/>
      <c r="LGF46" s="365"/>
      <c r="LGG46" s="365" t="s">
        <v>108</v>
      </c>
      <c r="LGH46" s="365"/>
      <c r="LGI46" s="365"/>
      <c r="LGJ46" s="365"/>
      <c r="LGK46" s="365" t="s">
        <v>108</v>
      </c>
      <c r="LGL46" s="365"/>
      <c r="LGM46" s="365"/>
      <c r="LGN46" s="365"/>
      <c r="LGO46" s="365" t="s">
        <v>108</v>
      </c>
      <c r="LGP46" s="365"/>
      <c r="LGQ46" s="365"/>
      <c r="LGR46" s="365"/>
      <c r="LGS46" s="365" t="s">
        <v>108</v>
      </c>
      <c r="LGT46" s="365"/>
      <c r="LGU46" s="365"/>
      <c r="LGV46" s="365"/>
      <c r="LGW46" s="365" t="s">
        <v>108</v>
      </c>
      <c r="LGX46" s="365"/>
      <c r="LGY46" s="365"/>
      <c r="LGZ46" s="365"/>
      <c r="LHA46" s="365" t="s">
        <v>108</v>
      </c>
      <c r="LHB46" s="365"/>
      <c r="LHC46" s="365"/>
      <c r="LHD46" s="365"/>
      <c r="LHE46" s="365" t="s">
        <v>108</v>
      </c>
      <c r="LHF46" s="365"/>
      <c r="LHG46" s="365"/>
      <c r="LHH46" s="365"/>
      <c r="LHI46" s="365" t="s">
        <v>108</v>
      </c>
      <c r="LHJ46" s="365"/>
      <c r="LHK46" s="365"/>
      <c r="LHL46" s="365"/>
      <c r="LHM46" s="365" t="s">
        <v>108</v>
      </c>
      <c r="LHN46" s="365"/>
      <c r="LHO46" s="365"/>
      <c r="LHP46" s="365"/>
      <c r="LHQ46" s="365" t="s">
        <v>108</v>
      </c>
      <c r="LHR46" s="365"/>
      <c r="LHS46" s="365"/>
      <c r="LHT46" s="365"/>
      <c r="LHU46" s="365" t="s">
        <v>108</v>
      </c>
      <c r="LHV46" s="365"/>
      <c r="LHW46" s="365"/>
      <c r="LHX46" s="365"/>
      <c r="LHY46" s="365" t="s">
        <v>108</v>
      </c>
      <c r="LHZ46" s="365"/>
      <c r="LIA46" s="365"/>
      <c r="LIB46" s="365"/>
      <c r="LIC46" s="365" t="s">
        <v>108</v>
      </c>
      <c r="LID46" s="365"/>
      <c r="LIE46" s="365"/>
      <c r="LIF46" s="365"/>
      <c r="LIG46" s="365" t="s">
        <v>108</v>
      </c>
      <c r="LIH46" s="365"/>
      <c r="LII46" s="365"/>
      <c r="LIJ46" s="365"/>
      <c r="LIK46" s="365" t="s">
        <v>108</v>
      </c>
      <c r="LIL46" s="365"/>
      <c r="LIM46" s="365"/>
      <c r="LIN46" s="365"/>
      <c r="LIO46" s="365" t="s">
        <v>108</v>
      </c>
      <c r="LIP46" s="365"/>
      <c r="LIQ46" s="365"/>
      <c r="LIR46" s="365"/>
      <c r="LIS46" s="365" t="s">
        <v>108</v>
      </c>
      <c r="LIT46" s="365"/>
      <c r="LIU46" s="365"/>
      <c r="LIV46" s="365"/>
      <c r="LIW46" s="365" t="s">
        <v>108</v>
      </c>
      <c r="LIX46" s="365"/>
      <c r="LIY46" s="365"/>
      <c r="LIZ46" s="365"/>
      <c r="LJA46" s="365" t="s">
        <v>108</v>
      </c>
      <c r="LJB46" s="365"/>
      <c r="LJC46" s="365"/>
      <c r="LJD46" s="365"/>
      <c r="LJE46" s="365" t="s">
        <v>108</v>
      </c>
      <c r="LJF46" s="365"/>
      <c r="LJG46" s="365"/>
      <c r="LJH46" s="365"/>
      <c r="LJI46" s="365" t="s">
        <v>108</v>
      </c>
      <c r="LJJ46" s="365"/>
      <c r="LJK46" s="365"/>
      <c r="LJL46" s="365"/>
      <c r="LJM46" s="365" t="s">
        <v>108</v>
      </c>
      <c r="LJN46" s="365"/>
      <c r="LJO46" s="365"/>
      <c r="LJP46" s="365"/>
      <c r="LJQ46" s="365" t="s">
        <v>108</v>
      </c>
      <c r="LJR46" s="365"/>
      <c r="LJS46" s="365"/>
      <c r="LJT46" s="365"/>
      <c r="LJU46" s="365" t="s">
        <v>108</v>
      </c>
      <c r="LJV46" s="365"/>
      <c r="LJW46" s="365"/>
      <c r="LJX46" s="365"/>
      <c r="LJY46" s="365" t="s">
        <v>108</v>
      </c>
      <c r="LJZ46" s="365"/>
      <c r="LKA46" s="365"/>
      <c r="LKB46" s="365"/>
      <c r="LKC46" s="365" t="s">
        <v>108</v>
      </c>
      <c r="LKD46" s="365"/>
      <c r="LKE46" s="365"/>
      <c r="LKF46" s="365"/>
      <c r="LKG46" s="365" t="s">
        <v>108</v>
      </c>
      <c r="LKH46" s="365"/>
      <c r="LKI46" s="365"/>
      <c r="LKJ46" s="365"/>
      <c r="LKK46" s="365" t="s">
        <v>108</v>
      </c>
      <c r="LKL46" s="365"/>
      <c r="LKM46" s="365"/>
      <c r="LKN46" s="365"/>
      <c r="LKO46" s="365" t="s">
        <v>108</v>
      </c>
      <c r="LKP46" s="365"/>
      <c r="LKQ46" s="365"/>
      <c r="LKR46" s="365"/>
      <c r="LKS46" s="365" t="s">
        <v>108</v>
      </c>
      <c r="LKT46" s="365"/>
      <c r="LKU46" s="365"/>
      <c r="LKV46" s="365"/>
      <c r="LKW46" s="365" t="s">
        <v>108</v>
      </c>
      <c r="LKX46" s="365"/>
      <c r="LKY46" s="365"/>
      <c r="LKZ46" s="365"/>
      <c r="LLA46" s="365" t="s">
        <v>108</v>
      </c>
      <c r="LLB46" s="365"/>
      <c r="LLC46" s="365"/>
      <c r="LLD46" s="365"/>
      <c r="LLE46" s="365" t="s">
        <v>108</v>
      </c>
      <c r="LLF46" s="365"/>
      <c r="LLG46" s="365"/>
      <c r="LLH46" s="365"/>
      <c r="LLI46" s="365" t="s">
        <v>108</v>
      </c>
      <c r="LLJ46" s="365"/>
      <c r="LLK46" s="365"/>
      <c r="LLL46" s="365"/>
      <c r="LLM46" s="365" t="s">
        <v>108</v>
      </c>
      <c r="LLN46" s="365"/>
      <c r="LLO46" s="365"/>
      <c r="LLP46" s="365"/>
      <c r="LLQ46" s="365" t="s">
        <v>108</v>
      </c>
      <c r="LLR46" s="365"/>
      <c r="LLS46" s="365"/>
      <c r="LLT46" s="365"/>
      <c r="LLU46" s="365" t="s">
        <v>108</v>
      </c>
      <c r="LLV46" s="365"/>
      <c r="LLW46" s="365"/>
      <c r="LLX46" s="365"/>
      <c r="LLY46" s="365" t="s">
        <v>108</v>
      </c>
      <c r="LLZ46" s="365"/>
      <c r="LMA46" s="365"/>
      <c r="LMB46" s="365"/>
      <c r="LMC46" s="365" t="s">
        <v>108</v>
      </c>
      <c r="LMD46" s="365"/>
      <c r="LME46" s="365"/>
      <c r="LMF46" s="365"/>
      <c r="LMG46" s="365" t="s">
        <v>108</v>
      </c>
      <c r="LMH46" s="365"/>
      <c r="LMI46" s="365"/>
      <c r="LMJ46" s="365"/>
      <c r="LMK46" s="365" t="s">
        <v>108</v>
      </c>
      <c r="LML46" s="365"/>
      <c r="LMM46" s="365"/>
      <c r="LMN46" s="365"/>
      <c r="LMO46" s="365" t="s">
        <v>108</v>
      </c>
      <c r="LMP46" s="365"/>
      <c r="LMQ46" s="365"/>
      <c r="LMR46" s="365"/>
      <c r="LMS46" s="365" t="s">
        <v>108</v>
      </c>
      <c r="LMT46" s="365"/>
      <c r="LMU46" s="365"/>
      <c r="LMV46" s="365"/>
      <c r="LMW46" s="365" t="s">
        <v>108</v>
      </c>
      <c r="LMX46" s="365"/>
      <c r="LMY46" s="365"/>
      <c r="LMZ46" s="365"/>
      <c r="LNA46" s="365" t="s">
        <v>108</v>
      </c>
      <c r="LNB46" s="365"/>
      <c r="LNC46" s="365"/>
      <c r="LND46" s="365"/>
      <c r="LNE46" s="365" t="s">
        <v>108</v>
      </c>
      <c r="LNF46" s="365"/>
      <c r="LNG46" s="365"/>
      <c r="LNH46" s="365"/>
      <c r="LNI46" s="365" t="s">
        <v>108</v>
      </c>
      <c r="LNJ46" s="365"/>
      <c r="LNK46" s="365"/>
      <c r="LNL46" s="365"/>
      <c r="LNM46" s="365" t="s">
        <v>108</v>
      </c>
      <c r="LNN46" s="365"/>
      <c r="LNO46" s="365"/>
      <c r="LNP46" s="365"/>
      <c r="LNQ46" s="365" t="s">
        <v>108</v>
      </c>
      <c r="LNR46" s="365"/>
      <c r="LNS46" s="365"/>
      <c r="LNT46" s="365"/>
      <c r="LNU46" s="365" t="s">
        <v>108</v>
      </c>
      <c r="LNV46" s="365"/>
      <c r="LNW46" s="365"/>
      <c r="LNX46" s="365"/>
      <c r="LNY46" s="365" t="s">
        <v>108</v>
      </c>
      <c r="LNZ46" s="365"/>
      <c r="LOA46" s="365"/>
      <c r="LOB46" s="365"/>
      <c r="LOC46" s="365" t="s">
        <v>108</v>
      </c>
      <c r="LOD46" s="365"/>
      <c r="LOE46" s="365"/>
      <c r="LOF46" s="365"/>
      <c r="LOG46" s="365" t="s">
        <v>108</v>
      </c>
      <c r="LOH46" s="365"/>
      <c r="LOI46" s="365"/>
      <c r="LOJ46" s="365"/>
      <c r="LOK46" s="365" t="s">
        <v>108</v>
      </c>
      <c r="LOL46" s="365"/>
      <c r="LOM46" s="365"/>
      <c r="LON46" s="365"/>
      <c r="LOO46" s="365" t="s">
        <v>108</v>
      </c>
      <c r="LOP46" s="365"/>
      <c r="LOQ46" s="365"/>
      <c r="LOR46" s="365"/>
      <c r="LOS46" s="365" t="s">
        <v>108</v>
      </c>
      <c r="LOT46" s="365"/>
      <c r="LOU46" s="365"/>
      <c r="LOV46" s="365"/>
      <c r="LOW46" s="365" t="s">
        <v>108</v>
      </c>
      <c r="LOX46" s="365"/>
      <c r="LOY46" s="365"/>
      <c r="LOZ46" s="365"/>
      <c r="LPA46" s="365" t="s">
        <v>108</v>
      </c>
      <c r="LPB46" s="365"/>
      <c r="LPC46" s="365"/>
      <c r="LPD46" s="365"/>
      <c r="LPE46" s="365" t="s">
        <v>108</v>
      </c>
      <c r="LPF46" s="365"/>
      <c r="LPG46" s="365"/>
      <c r="LPH46" s="365"/>
      <c r="LPI46" s="365" t="s">
        <v>108</v>
      </c>
      <c r="LPJ46" s="365"/>
      <c r="LPK46" s="365"/>
      <c r="LPL46" s="365"/>
      <c r="LPM46" s="365" t="s">
        <v>108</v>
      </c>
      <c r="LPN46" s="365"/>
      <c r="LPO46" s="365"/>
      <c r="LPP46" s="365"/>
      <c r="LPQ46" s="365" t="s">
        <v>108</v>
      </c>
      <c r="LPR46" s="365"/>
      <c r="LPS46" s="365"/>
      <c r="LPT46" s="365"/>
      <c r="LPU46" s="365" t="s">
        <v>108</v>
      </c>
      <c r="LPV46" s="365"/>
      <c r="LPW46" s="365"/>
      <c r="LPX46" s="365"/>
      <c r="LPY46" s="365" t="s">
        <v>108</v>
      </c>
      <c r="LPZ46" s="365"/>
      <c r="LQA46" s="365"/>
      <c r="LQB46" s="365"/>
      <c r="LQC46" s="365" t="s">
        <v>108</v>
      </c>
      <c r="LQD46" s="365"/>
      <c r="LQE46" s="365"/>
      <c r="LQF46" s="365"/>
      <c r="LQG46" s="365" t="s">
        <v>108</v>
      </c>
      <c r="LQH46" s="365"/>
      <c r="LQI46" s="365"/>
      <c r="LQJ46" s="365"/>
      <c r="LQK46" s="365" t="s">
        <v>108</v>
      </c>
      <c r="LQL46" s="365"/>
      <c r="LQM46" s="365"/>
      <c r="LQN46" s="365"/>
      <c r="LQO46" s="365" t="s">
        <v>108</v>
      </c>
      <c r="LQP46" s="365"/>
      <c r="LQQ46" s="365"/>
      <c r="LQR46" s="365"/>
      <c r="LQS46" s="365" t="s">
        <v>108</v>
      </c>
      <c r="LQT46" s="365"/>
      <c r="LQU46" s="365"/>
      <c r="LQV46" s="365"/>
      <c r="LQW46" s="365" t="s">
        <v>108</v>
      </c>
      <c r="LQX46" s="365"/>
      <c r="LQY46" s="365"/>
      <c r="LQZ46" s="365"/>
      <c r="LRA46" s="365" t="s">
        <v>108</v>
      </c>
      <c r="LRB46" s="365"/>
      <c r="LRC46" s="365"/>
      <c r="LRD46" s="365"/>
      <c r="LRE46" s="365" t="s">
        <v>108</v>
      </c>
      <c r="LRF46" s="365"/>
      <c r="LRG46" s="365"/>
      <c r="LRH46" s="365"/>
      <c r="LRI46" s="365" t="s">
        <v>108</v>
      </c>
      <c r="LRJ46" s="365"/>
      <c r="LRK46" s="365"/>
      <c r="LRL46" s="365"/>
      <c r="LRM46" s="365" t="s">
        <v>108</v>
      </c>
      <c r="LRN46" s="365"/>
      <c r="LRO46" s="365"/>
      <c r="LRP46" s="365"/>
      <c r="LRQ46" s="365" t="s">
        <v>108</v>
      </c>
      <c r="LRR46" s="365"/>
      <c r="LRS46" s="365"/>
      <c r="LRT46" s="365"/>
      <c r="LRU46" s="365" t="s">
        <v>108</v>
      </c>
      <c r="LRV46" s="365"/>
      <c r="LRW46" s="365"/>
      <c r="LRX46" s="365"/>
      <c r="LRY46" s="365" t="s">
        <v>108</v>
      </c>
      <c r="LRZ46" s="365"/>
      <c r="LSA46" s="365"/>
      <c r="LSB46" s="365"/>
      <c r="LSC46" s="365" t="s">
        <v>108</v>
      </c>
      <c r="LSD46" s="365"/>
      <c r="LSE46" s="365"/>
      <c r="LSF46" s="365"/>
      <c r="LSG46" s="365" t="s">
        <v>108</v>
      </c>
      <c r="LSH46" s="365"/>
      <c r="LSI46" s="365"/>
      <c r="LSJ46" s="365"/>
      <c r="LSK46" s="365" t="s">
        <v>108</v>
      </c>
      <c r="LSL46" s="365"/>
      <c r="LSM46" s="365"/>
      <c r="LSN46" s="365"/>
      <c r="LSO46" s="365" t="s">
        <v>108</v>
      </c>
      <c r="LSP46" s="365"/>
      <c r="LSQ46" s="365"/>
      <c r="LSR46" s="365"/>
      <c r="LSS46" s="365" t="s">
        <v>108</v>
      </c>
      <c r="LST46" s="365"/>
      <c r="LSU46" s="365"/>
      <c r="LSV46" s="365"/>
      <c r="LSW46" s="365" t="s">
        <v>108</v>
      </c>
      <c r="LSX46" s="365"/>
      <c r="LSY46" s="365"/>
      <c r="LSZ46" s="365"/>
      <c r="LTA46" s="365" t="s">
        <v>108</v>
      </c>
      <c r="LTB46" s="365"/>
      <c r="LTC46" s="365"/>
      <c r="LTD46" s="365"/>
      <c r="LTE46" s="365" t="s">
        <v>108</v>
      </c>
      <c r="LTF46" s="365"/>
      <c r="LTG46" s="365"/>
      <c r="LTH46" s="365"/>
      <c r="LTI46" s="365" t="s">
        <v>108</v>
      </c>
      <c r="LTJ46" s="365"/>
      <c r="LTK46" s="365"/>
      <c r="LTL46" s="365"/>
      <c r="LTM46" s="365" t="s">
        <v>108</v>
      </c>
      <c r="LTN46" s="365"/>
      <c r="LTO46" s="365"/>
      <c r="LTP46" s="365"/>
      <c r="LTQ46" s="365" t="s">
        <v>108</v>
      </c>
      <c r="LTR46" s="365"/>
      <c r="LTS46" s="365"/>
      <c r="LTT46" s="365"/>
      <c r="LTU46" s="365" t="s">
        <v>108</v>
      </c>
      <c r="LTV46" s="365"/>
      <c r="LTW46" s="365"/>
      <c r="LTX46" s="365"/>
      <c r="LTY46" s="365" t="s">
        <v>108</v>
      </c>
      <c r="LTZ46" s="365"/>
      <c r="LUA46" s="365"/>
      <c r="LUB46" s="365"/>
      <c r="LUC46" s="365" t="s">
        <v>108</v>
      </c>
      <c r="LUD46" s="365"/>
      <c r="LUE46" s="365"/>
      <c r="LUF46" s="365"/>
      <c r="LUG46" s="365" t="s">
        <v>108</v>
      </c>
      <c r="LUH46" s="365"/>
      <c r="LUI46" s="365"/>
      <c r="LUJ46" s="365"/>
      <c r="LUK46" s="365" t="s">
        <v>108</v>
      </c>
      <c r="LUL46" s="365"/>
      <c r="LUM46" s="365"/>
      <c r="LUN46" s="365"/>
      <c r="LUO46" s="365" t="s">
        <v>108</v>
      </c>
      <c r="LUP46" s="365"/>
      <c r="LUQ46" s="365"/>
      <c r="LUR46" s="365"/>
      <c r="LUS46" s="365" t="s">
        <v>108</v>
      </c>
      <c r="LUT46" s="365"/>
      <c r="LUU46" s="365"/>
      <c r="LUV46" s="365"/>
      <c r="LUW46" s="365" t="s">
        <v>108</v>
      </c>
      <c r="LUX46" s="365"/>
      <c r="LUY46" s="365"/>
      <c r="LUZ46" s="365"/>
      <c r="LVA46" s="365" t="s">
        <v>108</v>
      </c>
      <c r="LVB46" s="365"/>
      <c r="LVC46" s="365"/>
      <c r="LVD46" s="365"/>
      <c r="LVE46" s="365" t="s">
        <v>108</v>
      </c>
      <c r="LVF46" s="365"/>
      <c r="LVG46" s="365"/>
      <c r="LVH46" s="365"/>
      <c r="LVI46" s="365" t="s">
        <v>108</v>
      </c>
      <c r="LVJ46" s="365"/>
      <c r="LVK46" s="365"/>
      <c r="LVL46" s="365"/>
      <c r="LVM46" s="365" t="s">
        <v>108</v>
      </c>
      <c r="LVN46" s="365"/>
      <c r="LVO46" s="365"/>
      <c r="LVP46" s="365"/>
      <c r="LVQ46" s="365" t="s">
        <v>108</v>
      </c>
      <c r="LVR46" s="365"/>
      <c r="LVS46" s="365"/>
      <c r="LVT46" s="365"/>
      <c r="LVU46" s="365" t="s">
        <v>108</v>
      </c>
      <c r="LVV46" s="365"/>
      <c r="LVW46" s="365"/>
      <c r="LVX46" s="365"/>
      <c r="LVY46" s="365" t="s">
        <v>108</v>
      </c>
      <c r="LVZ46" s="365"/>
      <c r="LWA46" s="365"/>
      <c r="LWB46" s="365"/>
      <c r="LWC46" s="365" t="s">
        <v>108</v>
      </c>
      <c r="LWD46" s="365"/>
      <c r="LWE46" s="365"/>
      <c r="LWF46" s="365"/>
      <c r="LWG46" s="365" t="s">
        <v>108</v>
      </c>
      <c r="LWH46" s="365"/>
      <c r="LWI46" s="365"/>
      <c r="LWJ46" s="365"/>
      <c r="LWK46" s="365" t="s">
        <v>108</v>
      </c>
      <c r="LWL46" s="365"/>
      <c r="LWM46" s="365"/>
      <c r="LWN46" s="365"/>
      <c r="LWO46" s="365" t="s">
        <v>108</v>
      </c>
      <c r="LWP46" s="365"/>
      <c r="LWQ46" s="365"/>
      <c r="LWR46" s="365"/>
      <c r="LWS46" s="365" t="s">
        <v>108</v>
      </c>
      <c r="LWT46" s="365"/>
      <c r="LWU46" s="365"/>
      <c r="LWV46" s="365"/>
      <c r="LWW46" s="365" t="s">
        <v>108</v>
      </c>
      <c r="LWX46" s="365"/>
      <c r="LWY46" s="365"/>
      <c r="LWZ46" s="365"/>
      <c r="LXA46" s="365" t="s">
        <v>108</v>
      </c>
      <c r="LXB46" s="365"/>
      <c r="LXC46" s="365"/>
      <c r="LXD46" s="365"/>
      <c r="LXE46" s="365" t="s">
        <v>108</v>
      </c>
      <c r="LXF46" s="365"/>
      <c r="LXG46" s="365"/>
      <c r="LXH46" s="365"/>
      <c r="LXI46" s="365" t="s">
        <v>108</v>
      </c>
      <c r="LXJ46" s="365"/>
      <c r="LXK46" s="365"/>
      <c r="LXL46" s="365"/>
      <c r="LXM46" s="365" t="s">
        <v>108</v>
      </c>
      <c r="LXN46" s="365"/>
      <c r="LXO46" s="365"/>
      <c r="LXP46" s="365"/>
      <c r="LXQ46" s="365" t="s">
        <v>108</v>
      </c>
      <c r="LXR46" s="365"/>
      <c r="LXS46" s="365"/>
      <c r="LXT46" s="365"/>
      <c r="LXU46" s="365" t="s">
        <v>108</v>
      </c>
      <c r="LXV46" s="365"/>
      <c r="LXW46" s="365"/>
      <c r="LXX46" s="365"/>
      <c r="LXY46" s="365" t="s">
        <v>108</v>
      </c>
      <c r="LXZ46" s="365"/>
      <c r="LYA46" s="365"/>
      <c r="LYB46" s="365"/>
      <c r="LYC46" s="365" t="s">
        <v>108</v>
      </c>
      <c r="LYD46" s="365"/>
      <c r="LYE46" s="365"/>
      <c r="LYF46" s="365"/>
      <c r="LYG46" s="365" t="s">
        <v>108</v>
      </c>
      <c r="LYH46" s="365"/>
      <c r="LYI46" s="365"/>
      <c r="LYJ46" s="365"/>
      <c r="LYK46" s="365" t="s">
        <v>108</v>
      </c>
      <c r="LYL46" s="365"/>
      <c r="LYM46" s="365"/>
      <c r="LYN46" s="365"/>
      <c r="LYO46" s="365" t="s">
        <v>108</v>
      </c>
      <c r="LYP46" s="365"/>
      <c r="LYQ46" s="365"/>
      <c r="LYR46" s="365"/>
      <c r="LYS46" s="365" t="s">
        <v>108</v>
      </c>
      <c r="LYT46" s="365"/>
      <c r="LYU46" s="365"/>
      <c r="LYV46" s="365"/>
      <c r="LYW46" s="365" t="s">
        <v>108</v>
      </c>
      <c r="LYX46" s="365"/>
      <c r="LYY46" s="365"/>
      <c r="LYZ46" s="365"/>
      <c r="LZA46" s="365" t="s">
        <v>108</v>
      </c>
      <c r="LZB46" s="365"/>
      <c r="LZC46" s="365"/>
      <c r="LZD46" s="365"/>
      <c r="LZE46" s="365" t="s">
        <v>108</v>
      </c>
      <c r="LZF46" s="365"/>
      <c r="LZG46" s="365"/>
      <c r="LZH46" s="365"/>
      <c r="LZI46" s="365" t="s">
        <v>108</v>
      </c>
      <c r="LZJ46" s="365"/>
      <c r="LZK46" s="365"/>
      <c r="LZL46" s="365"/>
      <c r="LZM46" s="365" t="s">
        <v>108</v>
      </c>
      <c r="LZN46" s="365"/>
      <c r="LZO46" s="365"/>
      <c r="LZP46" s="365"/>
      <c r="LZQ46" s="365" t="s">
        <v>108</v>
      </c>
      <c r="LZR46" s="365"/>
      <c r="LZS46" s="365"/>
      <c r="LZT46" s="365"/>
      <c r="LZU46" s="365" t="s">
        <v>108</v>
      </c>
      <c r="LZV46" s="365"/>
      <c r="LZW46" s="365"/>
      <c r="LZX46" s="365"/>
      <c r="LZY46" s="365" t="s">
        <v>108</v>
      </c>
      <c r="LZZ46" s="365"/>
      <c r="MAA46" s="365"/>
      <c r="MAB46" s="365"/>
      <c r="MAC46" s="365" t="s">
        <v>108</v>
      </c>
      <c r="MAD46" s="365"/>
      <c r="MAE46" s="365"/>
      <c r="MAF46" s="365"/>
      <c r="MAG46" s="365" t="s">
        <v>108</v>
      </c>
      <c r="MAH46" s="365"/>
      <c r="MAI46" s="365"/>
      <c r="MAJ46" s="365"/>
      <c r="MAK46" s="365" t="s">
        <v>108</v>
      </c>
      <c r="MAL46" s="365"/>
      <c r="MAM46" s="365"/>
      <c r="MAN46" s="365"/>
      <c r="MAO46" s="365" t="s">
        <v>108</v>
      </c>
      <c r="MAP46" s="365"/>
      <c r="MAQ46" s="365"/>
      <c r="MAR46" s="365"/>
      <c r="MAS46" s="365" t="s">
        <v>108</v>
      </c>
      <c r="MAT46" s="365"/>
      <c r="MAU46" s="365"/>
      <c r="MAV46" s="365"/>
      <c r="MAW46" s="365" t="s">
        <v>108</v>
      </c>
      <c r="MAX46" s="365"/>
      <c r="MAY46" s="365"/>
      <c r="MAZ46" s="365"/>
      <c r="MBA46" s="365" t="s">
        <v>108</v>
      </c>
      <c r="MBB46" s="365"/>
      <c r="MBC46" s="365"/>
      <c r="MBD46" s="365"/>
      <c r="MBE46" s="365" t="s">
        <v>108</v>
      </c>
      <c r="MBF46" s="365"/>
      <c r="MBG46" s="365"/>
      <c r="MBH46" s="365"/>
      <c r="MBI46" s="365" t="s">
        <v>108</v>
      </c>
      <c r="MBJ46" s="365"/>
      <c r="MBK46" s="365"/>
      <c r="MBL46" s="365"/>
      <c r="MBM46" s="365" t="s">
        <v>108</v>
      </c>
      <c r="MBN46" s="365"/>
      <c r="MBO46" s="365"/>
      <c r="MBP46" s="365"/>
      <c r="MBQ46" s="365" t="s">
        <v>108</v>
      </c>
      <c r="MBR46" s="365"/>
      <c r="MBS46" s="365"/>
      <c r="MBT46" s="365"/>
      <c r="MBU46" s="365" t="s">
        <v>108</v>
      </c>
      <c r="MBV46" s="365"/>
      <c r="MBW46" s="365"/>
      <c r="MBX46" s="365"/>
      <c r="MBY46" s="365" t="s">
        <v>108</v>
      </c>
      <c r="MBZ46" s="365"/>
      <c r="MCA46" s="365"/>
      <c r="MCB46" s="365"/>
      <c r="MCC46" s="365" t="s">
        <v>108</v>
      </c>
      <c r="MCD46" s="365"/>
      <c r="MCE46" s="365"/>
      <c r="MCF46" s="365"/>
      <c r="MCG46" s="365" t="s">
        <v>108</v>
      </c>
      <c r="MCH46" s="365"/>
      <c r="MCI46" s="365"/>
      <c r="MCJ46" s="365"/>
      <c r="MCK46" s="365" t="s">
        <v>108</v>
      </c>
      <c r="MCL46" s="365"/>
      <c r="MCM46" s="365"/>
      <c r="MCN46" s="365"/>
      <c r="MCO46" s="365" t="s">
        <v>108</v>
      </c>
      <c r="MCP46" s="365"/>
      <c r="MCQ46" s="365"/>
      <c r="MCR46" s="365"/>
      <c r="MCS46" s="365" t="s">
        <v>108</v>
      </c>
      <c r="MCT46" s="365"/>
      <c r="MCU46" s="365"/>
      <c r="MCV46" s="365"/>
      <c r="MCW46" s="365" t="s">
        <v>108</v>
      </c>
      <c r="MCX46" s="365"/>
      <c r="MCY46" s="365"/>
      <c r="MCZ46" s="365"/>
      <c r="MDA46" s="365" t="s">
        <v>108</v>
      </c>
      <c r="MDB46" s="365"/>
      <c r="MDC46" s="365"/>
      <c r="MDD46" s="365"/>
      <c r="MDE46" s="365" t="s">
        <v>108</v>
      </c>
      <c r="MDF46" s="365"/>
      <c r="MDG46" s="365"/>
      <c r="MDH46" s="365"/>
      <c r="MDI46" s="365" t="s">
        <v>108</v>
      </c>
      <c r="MDJ46" s="365"/>
      <c r="MDK46" s="365"/>
      <c r="MDL46" s="365"/>
      <c r="MDM46" s="365" t="s">
        <v>108</v>
      </c>
      <c r="MDN46" s="365"/>
      <c r="MDO46" s="365"/>
      <c r="MDP46" s="365"/>
      <c r="MDQ46" s="365" t="s">
        <v>108</v>
      </c>
      <c r="MDR46" s="365"/>
      <c r="MDS46" s="365"/>
      <c r="MDT46" s="365"/>
      <c r="MDU46" s="365" t="s">
        <v>108</v>
      </c>
      <c r="MDV46" s="365"/>
      <c r="MDW46" s="365"/>
      <c r="MDX46" s="365"/>
      <c r="MDY46" s="365" t="s">
        <v>108</v>
      </c>
      <c r="MDZ46" s="365"/>
      <c r="MEA46" s="365"/>
      <c r="MEB46" s="365"/>
      <c r="MEC46" s="365" t="s">
        <v>108</v>
      </c>
      <c r="MED46" s="365"/>
      <c r="MEE46" s="365"/>
      <c r="MEF46" s="365"/>
      <c r="MEG46" s="365" t="s">
        <v>108</v>
      </c>
      <c r="MEH46" s="365"/>
      <c r="MEI46" s="365"/>
      <c r="MEJ46" s="365"/>
      <c r="MEK46" s="365" t="s">
        <v>108</v>
      </c>
      <c r="MEL46" s="365"/>
      <c r="MEM46" s="365"/>
      <c r="MEN46" s="365"/>
      <c r="MEO46" s="365" t="s">
        <v>108</v>
      </c>
      <c r="MEP46" s="365"/>
      <c r="MEQ46" s="365"/>
      <c r="MER46" s="365"/>
      <c r="MES46" s="365" t="s">
        <v>108</v>
      </c>
      <c r="MET46" s="365"/>
      <c r="MEU46" s="365"/>
      <c r="MEV46" s="365"/>
      <c r="MEW46" s="365" t="s">
        <v>108</v>
      </c>
      <c r="MEX46" s="365"/>
      <c r="MEY46" s="365"/>
      <c r="MEZ46" s="365"/>
      <c r="MFA46" s="365" t="s">
        <v>108</v>
      </c>
      <c r="MFB46" s="365"/>
      <c r="MFC46" s="365"/>
      <c r="MFD46" s="365"/>
      <c r="MFE46" s="365" t="s">
        <v>108</v>
      </c>
      <c r="MFF46" s="365"/>
      <c r="MFG46" s="365"/>
      <c r="MFH46" s="365"/>
      <c r="MFI46" s="365" t="s">
        <v>108</v>
      </c>
      <c r="MFJ46" s="365"/>
      <c r="MFK46" s="365"/>
      <c r="MFL46" s="365"/>
      <c r="MFM46" s="365" t="s">
        <v>108</v>
      </c>
      <c r="MFN46" s="365"/>
      <c r="MFO46" s="365"/>
      <c r="MFP46" s="365"/>
      <c r="MFQ46" s="365" t="s">
        <v>108</v>
      </c>
      <c r="MFR46" s="365"/>
      <c r="MFS46" s="365"/>
      <c r="MFT46" s="365"/>
      <c r="MFU46" s="365" t="s">
        <v>108</v>
      </c>
      <c r="MFV46" s="365"/>
      <c r="MFW46" s="365"/>
      <c r="MFX46" s="365"/>
      <c r="MFY46" s="365" t="s">
        <v>108</v>
      </c>
      <c r="MFZ46" s="365"/>
      <c r="MGA46" s="365"/>
      <c r="MGB46" s="365"/>
      <c r="MGC46" s="365" t="s">
        <v>108</v>
      </c>
      <c r="MGD46" s="365"/>
      <c r="MGE46" s="365"/>
      <c r="MGF46" s="365"/>
      <c r="MGG46" s="365" t="s">
        <v>108</v>
      </c>
      <c r="MGH46" s="365"/>
      <c r="MGI46" s="365"/>
      <c r="MGJ46" s="365"/>
      <c r="MGK46" s="365" t="s">
        <v>108</v>
      </c>
      <c r="MGL46" s="365"/>
      <c r="MGM46" s="365"/>
      <c r="MGN46" s="365"/>
      <c r="MGO46" s="365" t="s">
        <v>108</v>
      </c>
      <c r="MGP46" s="365"/>
      <c r="MGQ46" s="365"/>
      <c r="MGR46" s="365"/>
      <c r="MGS46" s="365" t="s">
        <v>108</v>
      </c>
      <c r="MGT46" s="365"/>
      <c r="MGU46" s="365"/>
      <c r="MGV46" s="365"/>
      <c r="MGW46" s="365" t="s">
        <v>108</v>
      </c>
      <c r="MGX46" s="365"/>
      <c r="MGY46" s="365"/>
      <c r="MGZ46" s="365"/>
      <c r="MHA46" s="365" t="s">
        <v>108</v>
      </c>
      <c r="MHB46" s="365"/>
      <c r="MHC46" s="365"/>
      <c r="MHD46" s="365"/>
      <c r="MHE46" s="365" t="s">
        <v>108</v>
      </c>
      <c r="MHF46" s="365"/>
      <c r="MHG46" s="365"/>
      <c r="MHH46" s="365"/>
      <c r="MHI46" s="365" t="s">
        <v>108</v>
      </c>
      <c r="MHJ46" s="365"/>
      <c r="MHK46" s="365"/>
      <c r="MHL46" s="365"/>
      <c r="MHM46" s="365" t="s">
        <v>108</v>
      </c>
      <c r="MHN46" s="365"/>
      <c r="MHO46" s="365"/>
      <c r="MHP46" s="365"/>
      <c r="MHQ46" s="365" t="s">
        <v>108</v>
      </c>
      <c r="MHR46" s="365"/>
      <c r="MHS46" s="365"/>
      <c r="MHT46" s="365"/>
      <c r="MHU46" s="365" t="s">
        <v>108</v>
      </c>
      <c r="MHV46" s="365"/>
      <c r="MHW46" s="365"/>
      <c r="MHX46" s="365"/>
      <c r="MHY46" s="365" t="s">
        <v>108</v>
      </c>
      <c r="MHZ46" s="365"/>
      <c r="MIA46" s="365"/>
      <c r="MIB46" s="365"/>
      <c r="MIC46" s="365" t="s">
        <v>108</v>
      </c>
      <c r="MID46" s="365"/>
      <c r="MIE46" s="365"/>
      <c r="MIF46" s="365"/>
      <c r="MIG46" s="365" t="s">
        <v>108</v>
      </c>
      <c r="MIH46" s="365"/>
      <c r="MII46" s="365"/>
      <c r="MIJ46" s="365"/>
      <c r="MIK46" s="365" t="s">
        <v>108</v>
      </c>
      <c r="MIL46" s="365"/>
      <c r="MIM46" s="365"/>
      <c r="MIN46" s="365"/>
      <c r="MIO46" s="365" t="s">
        <v>108</v>
      </c>
      <c r="MIP46" s="365"/>
      <c r="MIQ46" s="365"/>
      <c r="MIR46" s="365"/>
      <c r="MIS46" s="365" t="s">
        <v>108</v>
      </c>
      <c r="MIT46" s="365"/>
      <c r="MIU46" s="365"/>
      <c r="MIV46" s="365"/>
      <c r="MIW46" s="365" t="s">
        <v>108</v>
      </c>
      <c r="MIX46" s="365"/>
      <c r="MIY46" s="365"/>
      <c r="MIZ46" s="365"/>
      <c r="MJA46" s="365" t="s">
        <v>108</v>
      </c>
      <c r="MJB46" s="365"/>
      <c r="MJC46" s="365"/>
      <c r="MJD46" s="365"/>
      <c r="MJE46" s="365" t="s">
        <v>108</v>
      </c>
      <c r="MJF46" s="365"/>
      <c r="MJG46" s="365"/>
      <c r="MJH46" s="365"/>
      <c r="MJI46" s="365" t="s">
        <v>108</v>
      </c>
      <c r="MJJ46" s="365"/>
      <c r="MJK46" s="365"/>
      <c r="MJL46" s="365"/>
      <c r="MJM46" s="365" t="s">
        <v>108</v>
      </c>
      <c r="MJN46" s="365"/>
      <c r="MJO46" s="365"/>
      <c r="MJP46" s="365"/>
      <c r="MJQ46" s="365" t="s">
        <v>108</v>
      </c>
      <c r="MJR46" s="365"/>
      <c r="MJS46" s="365"/>
      <c r="MJT46" s="365"/>
      <c r="MJU46" s="365" t="s">
        <v>108</v>
      </c>
      <c r="MJV46" s="365"/>
      <c r="MJW46" s="365"/>
      <c r="MJX46" s="365"/>
      <c r="MJY46" s="365" t="s">
        <v>108</v>
      </c>
      <c r="MJZ46" s="365"/>
      <c r="MKA46" s="365"/>
      <c r="MKB46" s="365"/>
      <c r="MKC46" s="365" t="s">
        <v>108</v>
      </c>
      <c r="MKD46" s="365"/>
      <c r="MKE46" s="365"/>
      <c r="MKF46" s="365"/>
      <c r="MKG46" s="365" t="s">
        <v>108</v>
      </c>
      <c r="MKH46" s="365"/>
      <c r="MKI46" s="365"/>
      <c r="MKJ46" s="365"/>
      <c r="MKK46" s="365" t="s">
        <v>108</v>
      </c>
      <c r="MKL46" s="365"/>
      <c r="MKM46" s="365"/>
      <c r="MKN46" s="365"/>
      <c r="MKO46" s="365" t="s">
        <v>108</v>
      </c>
      <c r="MKP46" s="365"/>
      <c r="MKQ46" s="365"/>
      <c r="MKR46" s="365"/>
      <c r="MKS46" s="365" t="s">
        <v>108</v>
      </c>
      <c r="MKT46" s="365"/>
      <c r="MKU46" s="365"/>
      <c r="MKV46" s="365"/>
      <c r="MKW46" s="365" t="s">
        <v>108</v>
      </c>
      <c r="MKX46" s="365"/>
      <c r="MKY46" s="365"/>
      <c r="MKZ46" s="365"/>
      <c r="MLA46" s="365" t="s">
        <v>108</v>
      </c>
      <c r="MLB46" s="365"/>
      <c r="MLC46" s="365"/>
      <c r="MLD46" s="365"/>
      <c r="MLE46" s="365" t="s">
        <v>108</v>
      </c>
      <c r="MLF46" s="365"/>
      <c r="MLG46" s="365"/>
      <c r="MLH46" s="365"/>
      <c r="MLI46" s="365" t="s">
        <v>108</v>
      </c>
      <c r="MLJ46" s="365"/>
      <c r="MLK46" s="365"/>
      <c r="MLL46" s="365"/>
      <c r="MLM46" s="365" t="s">
        <v>108</v>
      </c>
      <c r="MLN46" s="365"/>
      <c r="MLO46" s="365"/>
      <c r="MLP46" s="365"/>
      <c r="MLQ46" s="365" t="s">
        <v>108</v>
      </c>
      <c r="MLR46" s="365"/>
      <c r="MLS46" s="365"/>
      <c r="MLT46" s="365"/>
      <c r="MLU46" s="365" t="s">
        <v>108</v>
      </c>
      <c r="MLV46" s="365"/>
      <c r="MLW46" s="365"/>
      <c r="MLX46" s="365"/>
      <c r="MLY46" s="365" t="s">
        <v>108</v>
      </c>
      <c r="MLZ46" s="365"/>
      <c r="MMA46" s="365"/>
      <c r="MMB46" s="365"/>
      <c r="MMC46" s="365" t="s">
        <v>108</v>
      </c>
      <c r="MMD46" s="365"/>
      <c r="MME46" s="365"/>
      <c r="MMF46" s="365"/>
      <c r="MMG46" s="365" t="s">
        <v>108</v>
      </c>
      <c r="MMH46" s="365"/>
      <c r="MMI46" s="365"/>
      <c r="MMJ46" s="365"/>
      <c r="MMK46" s="365" t="s">
        <v>108</v>
      </c>
      <c r="MML46" s="365"/>
      <c r="MMM46" s="365"/>
      <c r="MMN46" s="365"/>
      <c r="MMO46" s="365" t="s">
        <v>108</v>
      </c>
      <c r="MMP46" s="365"/>
      <c r="MMQ46" s="365"/>
      <c r="MMR46" s="365"/>
      <c r="MMS46" s="365" t="s">
        <v>108</v>
      </c>
      <c r="MMT46" s="365"/>
      <c r="MMU46" s="365"/>
      <c r="MMV46" s="365"/>
      <c r="MMW46" s="365" t="s">
        <v>108</v>
      </c>
      <c r="MMX46" s="365"/>
      <c r="MMY46" s="365"/>
      <c r="MMZ46" s="365"/>
      <c r="MNA46" s="365" t="s">
        <v>108</v>
      </c>
      <c r="MNB46" s="365"/>
      <c r="MNC46" s="365"/>
      <c r="MND46" s="365"/>
      <c r="MNE46" s="365" t="s">
        <v>108</v>
      </c>
      <c r="MNF46" s="365"/>
      <c r="MNG46" s="365"/>
      <c r="MNH46" s="365"/>
      <c r="MNI46" s="365" t="s">
        <v>108</v>
      </c>
      <c r="MNJ46" s="365"/>
      <c r="MNK46" s="365"/>
      <c r="MNL46" s="365"/>
      <c r="MNM46" s="365" t="s">
        <v>108</v>
      </c>
      <c r="MNN46" s="365"/>
      <c r="MNO46" s="365"/>
      <c r="MNP46" s="365"/>
      <c r="MNQ46" s="365" t="s">
        <v>108</v>
      </c>
      <c r="MNR46" s="365"/>
      <c r="MNS46" s="365"/>
      <c r="MNT46" s="365"/>
      <c r="MNU46" s="365" t="s">
        <v>108</v>
      </c>
      <c r="MNV46" s="365"/>
      <c r="MNW46" s="365"/>
      <c r="MNX46" s="365"/>
      <c r="MNY46" s="365" t="s">
        <v>108</v>
      </c>
      <c r="MNZ46" s="365"/>
      <c r="MOA46" s="365"/>
      <c r="MOB46" s="365"/>
      <c r="MOC46" s="365" t="s">
        <v>108</v>
      </c>
      <c r="MOD46" s="365"/>
      <c r="MOE46" s="365"/>
      <c r="MOF46" s="365"/>
      <c r="MOG46" s="365" t="s">
        <v>108</v>
      </c>
      <c r="MOH46" s="365"/>
      <c r="MOI46" s="365"/>
      <c r="MOJ46" s="365"/>
      <c r="MOK46" s="365" t="s">
        <v>108</v>
      </c>
      <c r="MOL46" s="365"/>
      <c r="MOM46" s="365"/>
      <c r="MON46" s="365"/>
      <c r="MOO46" s="365" t="s">
        <v>108</v>
      </c>
      <c r="MOP46" s="365"/>
      <c r="MOQ46" s="365"/>
      <c r="MOR46" s="365"/>
      <c r="MOS46" s="365" t="s">
        <v>108</v>
      </c>
      <c r="MOT46" s="365"/>
      <c r="MOU46" s="365"/>
      <c r="MOV46" s="365"/>
      <c r="MOW46" s="365" t="s">
        <v>108</v>
      </c>
      <c r="MOX46" s="365"/>
      <c r="MOY46" s="365"/>
      <c r="MOZ46" s="365"/>
      <c r="MPA46" s="365" t="s">
        <v>108</v>
      </c>
      <c r="MPB46" s="365"/>
      <c r="MPC46" s="365"/>
      <c r="MPD46" s="365"/>
      <c r="MPE46" s="365" t="s">
        <v>108</v>
      </c>
      <c r="MPF46" s="365"/>
      <c r="MPG46" s="365"/>
      <c r="MPH46" s="365"/>
      <c r="MPI46" s="365" t="s">
        <v>108</v>
      </c>
      <c r="MPJ46" s="365"/>
      <c r="MPK46" s="365"/>
      <c r="MPL46" s="365"/>
      <c r="MPM46" s="365" t="s">
        <v>108</v>
      </c>
      <c r="MPN46" s="365"/>
      <c r="MPO46" s="365"/>
      <c r="MPP46" s="365"/>
      <c r="MPQ46" s="365" t="s">
        <v>108</v>
      </c>
      <c r="MPR46" s="365"/>
      <c r="MPS46" s="365"/>
      <c r="MPT46" s="365"/>
      <c r="MPU46" s="365" t="s">
        <v>108</v>
      </c>
      <c r="MPV46" s="365"/>
      <c r="MPW46" s="365"/>
      <c r="MPX46" s="365"/>
      <c r="MPY46" s="365" t="s">
        <v>108</v>
      </c>
      <c r="MPZ46" s="365"/>
      <c r="MQA46" s="365"/>
      <c r="MQB46" s="365"/>
      <c r="MQC46" s="365" t="s">
        <v>108</v>
      </c>
      <c r="MQD46" s="365"/>
      <c r="MQE46" s="365"/>
      <c r="MQF46" s="365"/>
      <c r="MQG46" s="365" t="s">
        <v>108</v>
      </c>
      <c r="MQH46" s="365"/>
      <c r="MQI46" s="365"/>
      <c r="MQJ46" s="365"/>
      <c r="MQK46" s="365" t="s">
        <v>108</v>
      </c>
      <c r="MQL46" s="365"/>
      <c r="MQM46" s="365"/>
      <c r="MQN46" s="365"/>
      <c r="MQO46" s="365" t="s">
        <v>108</v>
      </c>
      <c r="MQP46" s="365"/>
      <c r="MQQ46" s="365"/>
      <c r="MQR46" s="365"/>
      <c r="MQS46" s="365" t="s">
        <v>108</v>
      </c>
      <c r="MQT46" s="365"/>
      <c r="MQU46" s="365"/>
      <c r="MQV46" s="365"/>
      <c r="MQW46" s="365" t="s">
        <v>108</v>
      </c>
      <c r="MQX46" s="365"/>
      <c r="MQY46" s="365"/>
      <c r="MQZ46" s="365"/>
      <c r="MRA46" s="365" t="s">
        <v>108</v>
      </c>
      <c r="MRB46" s="365"/>
      <c r="MRC46" s="365"/>
      <c r="MRD46" s="365"/>
      <c r="MRE46" s="365" t="s">
        <v>108</v>
      </c>
      <c r="MRF46" s="365"/>
      <c r="MRG46" s="365"/>
      <c r="MRH46" s="365"/>
      <c r="MRI46" s="365" t="s">
        <v>108</v>
      </c>
      <c r="MRJ46" s="365"/>
      <c r="MRK46" s="365"/>
      <c r="MRL46" s="365"/>
      <c r="MRM46" s="365" t="s">
        <v>108</v>
      </c>
      <c r="MRN46" s="365"/>
      <c r="MRO46" s="365"/>
      <c r="MRP46" s="365"/>
      <c r="MRQ46" s="365" t="s">
        <v>108</v>
      </c>
      <c r="MRR46" s="365"/>
      <c r="MRS46" s="365"/>
      <c r="MRT46" s="365"/>
      <c r="MRU46" s="365" t="s">
        <v>108</v>
      </c>
      <c r="MRV46" s="365"/>
      <c r="MRW46" s="365"/>
      <c r="MRX46" s="365"/>
      <c r="MRY46" s="365" t="s">
        <v>108</v>
      </c>
      <c r="MRZ46" s="365"/>
      <c r="MSA46" s="365"/>
      <c r="MSB46" s="365"/>
      <c r="MSC46" s="365" t="s">
        <v>108</v>
      </c>
      <c r="MSD46" s="365"/>
      <c r="MSE46" s="365"/>
      <c r="MSF46" s="365"/>
      <c r="MSG46" s="365" t="s">
        <v>108</v>
      </c>
      <c r="MSH46" s="365"/>
      <c r="MSI46" s="365"/>
      <c r="MSJ46" s="365"/>
      <c r="MSK46" s="365" t="s">
        <v>108</v>
      </c>
      <c r="MSL46" s="365"/>
      <c r="MSM46" s="365"/>
      <c r="MSN46" s="365"/>
      <c r="MSO46" s="365" t="s">
        <v>108</v>
      </c>
      <c r="MSP46" s="365"/>
      <c r="MSQ46" s="365"/>
      <c r="MSR46" s="365"/>
      <c r="MSS46" s="365" t="s">
        <v>108</v>
      </c>
      <c r="MST46" s="365"/>
      <c r="MSU46" s="365"/>
      <c r="MSV46" s="365"/>
      <c r="MSW46" s="365" t="s">
        <v>108</v>
      </c>
      <c r="MSX46" s="365"/>
      <c r="MSY46" s="365"/>
      <c r="MSZ46" s="365"/>
      <c r="MTA46" s="365" t="s">
        <v>108</v>
      </c>
      <c r="MTB46" s="365"/>
      <c r="MTC46" s="365"/>
      <c r="MTD46" s="365"/>
      <c r="MTE46" s="365" t="s">
        <v>108</v>
      </c>
      <c r="MTF46" s="365"/>
      <c r="MTG46" s="365"/>
      <c r="MTH46" s="365"/>
      <c r="MTI46" s="365" t="s">
        <v>108</v>
      </c>
      <c r="MTJ46" s="365"/>
      <c r="MTK46" s="365"/>
      <c r="MTL46" s="365"/>
      <c r="MTM46" s="365" t="s">
        <v>108</v>
      </c>
      <c r="MTN46" s="365"/>
      <c r="MTO46" s="365"/>
      <c r="MTP46" s="365"/>
      <c r="MTQ46" s="365" t="s">
        <v>108</v>
      </c>
      <c r="MTR46" s="365"/>
      <c r="MTS46" s="365"/>
      <c r="MTT46" s="365"/>
      <c r="MTU46" s="365" t="s">
        <v>108</v>
      </c>
      <c r="MTV46" s="365"/>
      <c r="MTW46" s="365"/>
      <c r="MTX46" s="365"/>
      <c r="MTY46" s="365" t="s">
        <v>108</v>
      </c>
      <c r="MTZ46" s="365"/>
      <c r="MUA46" s="365"/>
      <c r="MUB46" s="365"/>
      <c r="MUC46" s="365" t="s">
        <v>108</v>
      </c>
      <c r="MUD46" s="365"/>
      <c r="MUE46" s="365"/>
      <c r="MUF46" s="365"/>
      <c r="MUG46" s="365" t="s">
        <v>108</v>
      </c>
      <c r="MUH46" s="365"/>
      <c r="MUI46" s="365"/>
      <c r="MUJ46" s="365"/>
      <c r="MUK46" s="365" t="s">
        <v>108</v>
      </c>
      <c r="MUL46" s="365"/>
      <c r="MUM46" s="365"/>
      <c r="MUN46" s="365"/>
      <c r="MUO46" s="365" t="s">
        <v>108</v>
      </c>
      <c r="MUP46" s="365"/>
      <c r="MUQ46" s="365"/>
      <c r="MUR46" s="365"/>
      <c r="MUS46" s="365" t="s">
        <v>108</v>
      </c>
      <c r="MUT46" s="365"/>
      <c r="MUU46" s="365"/>
      <c r="MUV46" s="365"/>
      <c r="MUW46" s="365" t="s">
        <v>108</v>
      </c>
      <c r="MUX46" s="365"/>
      <c r="MUY46" s="365"/>
      <c r="MUZ46" s="365"/>
      <c r="MVA46" s="365" t="s">
        <v>108</v>
      </c>
      <c r="MVB46" s="365"/>
      <c r="MVC46" s="365"/>
      <c r="MVD46" s="365"/>
      <c r="MVE46" s="365" t="s">
        <v>108</v>
      </c>
      <c r="MVF46" s="365"/>
      <c r="MVG46" s="365"/>
      <c r="MVH46" s="365"/>
      <c r="MVI46" s="365" t="s">
        <v>108</v>
      </c>
      <c r="MVJ46" s="365"/>
      <c r="MVK46" s="365"/>
      <c r="MVL46" s="365"/>
      <c r="MVM46" s="365" t="s">
        <v>108</v>
      </c>
      <c r="MVN46" s="365"/>
      <c r="MVO46" s="365"/>
      <c r="MVP46" s="365"/>
      <c r="MVQ46" s="365" t="s">
        <v>108</v>
      </c>
      <c r="MVR46" s="365"/>
      <c r="MVS46" s="365"/>
      <c r="MVT46" s="365"/>
      <c r="MVU46" s="365" t="s">
        <v>108</v>
      </c>
      <c r="MVV46" s="365"/>
      <c r="MVW46" s="365"/>
      <c r="MVX46" s="365"/>
      <c r="MVY46" s="365" t="s">
        <v>108</v>
      </c>
      <c r="MVZ46" s="365"/>
      <c r="MWA46" s="365"/>
      <c r="MWB46" s="365"/>
      <c r="MWC46" s="365" t="s">
        <v>108</v>
      </c>
      <c r="MWD46" s="365"/>
      <c r="MWE46" s="365"/>
      <c r="MWF46" s="365"/>
      <c r="MWG46" s="365" t="s">
        <v>108</v>
      </c>
      <c r="MWH46" s="365"/>
      <c r="MWI46" s="365"/>
      <c r="MWJ46" s="365"/>
      <c r="MWK46" s="365" t="s">
        <v>108</v>
      </c>
      <c r="MWL46" s="365"/>
      <c r="MWM46" s="365"/>
      <c r="MWN46" s="365"/>
      <c r="MWO46" s="365" t="s">
        <v>108</v>
      </c>
      <c r="MWP46" s="365"/>
      <c r="MWQ46" s="365"/>
      <c r="MWR46" s="365"/>
      <c r="MWS46" s="365" t="s">
        <v>108</v>
      </c>
      <c r="MWT46" s="365"/>
      <c r="MWU46" s="365"/>
      <c r="MWV46" s="365"/>
      <c r="MWW46" s="365" t="s">
        <v>108</v>
      </c>
      <c r="MWX46" s="365"/>
      <c r="MWY46" s="365"/>
      <c r="MWZ46" s="365"/>
      <c r="MXA46" s="365" t="s">
        <v>108</v>
      </c>
      <c r="MXB46" s="365"/>
      <c r="MXC46" s="365"/>
      <c r="MXD46" s="365"/>
      <c r="MXE46" s="365" t="s">
        <v>108</v>
      </c>
      <c r="MXF46" s="365"/>
      <c r="MXG46" s="365"/>
      <c r="MXH46" s="365"/>
      <c r="MXI46" s="365" t="s">
        <v>108</v>
      </c>
      <c r="MXJ46" s="365"/>
      <c r="MXK46" s="365"/>
      <c r="MXL46" s="365"/>
      <c r="MXM46" s="365" t="s">
        <v>108</v>
      </c>
      <c r="MXN46" s="365"/>
      <c r="MXO46" s="365"/>
      <c r="MXP46" s="365"/>
      <c r="MXQ46" s="365" t="s">
        <v>108</v>
      </c>
      <c r="MXR46" s="365"/>
      <c r="MXS46" s="365"/>
      <c r="MXT46" s="365"/>
      <c r="MXU46" s="365" t="s">
        <v>108</v>
      </c>
      <c r="MXV46" s="365"/>
      <c r="MXW46" s="365"/>
      <c r="MXX46" s="365"/>
      <c r="MXY46" s="365" t="s">
        <v>108</v>
      </c>
      <c r="MXZ46" s="365"/>
      <c r="MYA46" s="365"/>
      <c r="MYB46" s="365"/>
      <c r="MYC46" s="365" t="s">
        <v>108</v>
      </c>
      <c r="MYD46" s="365"/>
      <c r="MYE46" s="365"/>
      <c r="MYF46" s="365"/>
      <c r="MYG46" s="365" t="s">
        <v>108</v>
      </c>
      <c r="MYH46" s="365"/>
      <c r="MYI46" s="365"/>
      <c r="MYJ46" s="365"/>
      <c r="MYK46" s="365" t="s">
        <v>108</v>
      </c>
      <c r="MYL46" s="365"/>
      <c r="MYM46" s="365"/>
      <c r="MYN46" s="365"/>
      <c r="MYO46" s="365" t="s">
        <v>108</v>
      </c>
      <c r="MYP46" s="365"/>
      <c r="MYQ46" s="365"/>
      <c r="MYR46" s="365"/>
      <c r="MYS46" s="365" t="s">
        <v>108</v>
      </c>
      <c r="MYT46" s="365"/>
      <c r="MYU46" s="365"/>
      <c r="MYV46" s="365"/>
      <c r="MYW46" s="365" t="s">
        <v>108</v>
      </c>
      <c r="MYX46" s="365"/>
      <c r="MYY46" s="365"/>
      <c r="MYZ46" s="365"/>
      <c r="MZA46" s="365" t="s">
        <v>108</v>
      </c>
      <c r="MZB46" s="365"/>
      <c r="MZC46" s="365"/>
      <c r="MZD46" s="365"/>
      <c r="MZE46" s="365" t="s">
        <v>108</v>
      </c>
      <c r="MZF46" s="365"/>
      <c r="MZG46" s="365"/>
      <c r="MZH46" s="365"/>
      <c r="MZI46" s="365" t="s">
        <v>108</v>
      </c>
      <c r="MZJ46" s="365"/>
      <c r="MZK46" s="365"/>
      <c r="MZL46" s="365"/>
      <c r="MZM46" s="365" t="s">
        <v>108</v>
      </c>
      <c r="MZN46" s="365"/>
      <c r="MZO46" s="365"/>
      <c r="MZP46" s="365"/>
      <c r="MZQ46" s="365" t="s">
        <v>108</v>
      </c>
      <c r="MZR46" s="365"/>
      <c r="MZS46" s="365"/>
      <c r="MZT46" s="365"/>
      <c r="MZU46" s="365" t="s">
        <v>108</v>
      </c>
      <c r="MZV46" s="365"/>
      <c r="MZW46" s="365"/>
      <c r="MZX46" s="365"/>
      <c r="MZY46" s="365" t="s">
        <v>108</v>
      </c>
      <c r="MZZ46" s="365"/>
      <c r="NAA46" s="365"/>
      <c r="NAB46" s="365"/>
      <c r="NAC46" s="365" t="s">
        <v>108</v>
      </c>
      <c r="NAD46" s="365"/>
      <c r="NAE46" s="365"/>
      <c r="NAF46" s="365"/>
      <c r="NAG46" s="365" t="s">
        <v>108</v>
      </c>
      <c r="NAH46" s="365"/>
      <c r="NAI46" s="365"/>
      <c r="NAJ46" s="365"/>
      <c r="NAK46" s="365" t="s">
        <v>108</v>
      </c>
      <c r="NAL46" s="365"/>
      <c r="NAM46" s="365"/>
      <c r="NAN46" s="365"/>
      <c r="NAO46" s="365" t="s">
        <v>108</v>
      </c>
      <c r="NAP46" s="365"/>
      <c r="NAQ46" s="365"/>
      <c r="NAR46" s="365"/>
      <c r="NAS46" s="365" t="s">
        <v>108</v>
      </c>
      <c r="NAT46" s="365"/>
      <c r="NAU46" s="365"/>
      <c r="NAV46" s="365"/>
      <c r="NAW46" s="365" t="s">
        <v>108</v>
      </c>
      <c r="NAX46" s="365"/>
      <c r="NAY46" s="365"/>
      <c r="NAZ46" s="365"/>
      <c r="NBA46" s="365" t="s">
        <v>108</v>
      </c>
      <c r="NBB46" s="365"/>
      <c r="NBC46" s="365"/>
      <c r="NBD46" s="365"/>
      <c r="NBE46" s="365" t="s">
        <v>108</v>
      </c>
      <c r="NBF46" s="365"/>
      <c r="NBG46" s="365"/>
      <c r="NBH46" s="365"/>
      <c r="NBI46" s="365" t="s">
        <v>108</v>
      </c>
      <c r="NBJ46" s="365"/>
      <c r="NBK46" s="365"/>
      <c r="NBL46" s="365"/>
      <c r="NBM46" s="365" t="s">
        <v>108</v>
      </c>
      <c r="NBN46" s="365"/>
      <c r="NBO46" s="365"/>
      <c r="NBP46" s="365"/>
      <c r="NBQ46" s="365" t="s">
        <v>108</v>
      </c>
      <c r="NBR46" s="365"/>
      <c r="NBS46" s="365"/>
      <c r="NBT46" s="365"/>
      <c r="NBU46" s="365" t="s">
        <v>108</v>
      </c>
      <c r="NBV46" s="365"/>
      <c r="NBW46" s="365"/>
      <c r="NBX46" s="365"/>
      <c r="NBY46" s="365" t="s">
        <v>108</v>
      </c>
      <c r="NBZ46" s="365"/>
      <c r="NCA46" s="365"/>
      <c r="NCB46" s="365"/>
      <c r="NCC46" s="365" t="s">
        <v>108</v>
      </c>
      <c r="NCD46" s="365"/>
      <c r="NCE46" s="365"/>
      <c r="NCF46" s="365"/>
      <c r="NCG46" s="365" t="s">
        <v>108</v>
      </c>
      <c r="NCH46" s="365"/>
      <c r="NCI46" s="365"/>
      <c r="NCJ46" s="365"/>
      <c r="NCK46" s="365" t="s">
        <v>108</v>
      </c>
      <c r="NCL46" s="365"/>
      <c r="NCM46" s="365"/>
      <c r="NCN46" s="365"/>
      <c r="NCO46" s="365" t="s">
        <v>108</v>
      </c>
      <c r="NCP46" s="365"/>
      <c r="NCQ46" s="365"/>
      <c r="NCR46" s="365"/>
      <c r="NCS46" s="365" t="s">
        <v>108</v>
      </c>
      <c r="NCT46" s="365"/>
      <c r="NCU46" s="365"/>
      <c r="NCV46" s="365"/>
      <c r="NCW46" s="365" t="s">
        <v>108</v>
      </c>
      <c r="NCX46" s="365"/>
      <c r="NCY46" s="365"/>
      <c r="NCZ46" s="365"/>
      <c r="NDA46" s="365" t="s">
        <v>108</v>
      </c>
      <c r="NDB46" s="365"/>
      <c r="NDC46" s="365"/>
      <c r="NDD46" s="365"/>
      <c r="NDE46" s="365" t="s">
        <v>108</v>
      </c>
      <c r="NDF46" s="365"/>
      <c r="NDG46" s="365"/>
      <c r="NDH46" s="365"/>
      <c r="NDI46" s="365" t="s">
        <v>108</v>
      </c>
      <c r="NDJ46" s="365"/>
      <c r="NDK46" s="365"/>
      <c r="NDL46" s="365"/>
      <c r="NDM46" s="365" t="s">
        <v>108</v>
      </c>
      <c r="NDN46" s="365"/>
      <c r="NDO46" s="365"/>
      <c r="NDP46" s="365"/>
      <c r="NDQ46" s="365" t="s">
        <v>108</v>
      </c>
      <c r="NDR46" s="365"/>
      <c r="NDS46" s="365"/>
      <c r="NDT46" s="365"/>
      <c r="NDU46" s="365" t="s">
        <v>108</v>
      </c>
      <c r="NDV46" s="365"/>
      <c r="NDW46" s="365"/>
      <c r="NDX46" s="365"/>
      <c r="NDY46" s="365" t="s">
        <v>108</v>
      </c>
      <c r="NDZ46" s="365"/>
      <c r="NEA46" s="365"/>
      <c r="NEB46" s="365"/>
      <c r="NEC46" s="365" t="s">
        <v>108</v>
      </c>
      <c r="NED46" s="365"/>
      <c r="NEE46" s="365"/>
      <c r="NEF46" s="365"/>
      <c r="NEG46" s="365" t="s">
        <v>108</v>
      </c>
      <c r="NEH46" s="365"/>
      <c r="NEI46" s="365"/>
      <c r="NEJ46" s="365"/>
      <c r="NEK46" s="365" t="s">
        <v>108</v>
      </c>
      <c r="NEL46" s="365"/>
      <c r="NEM46" s="365"/>
      <c r="NEN46" s="365"/>
      <c r="NEO46" s="365" t="s">
        <v>108</v>
      </c>
      <c r="NEP46" s="365"/>
      <c r="NEQ46" s="365"/>
      <c r="NER46" s="365"/>
      <c r="NES46" s="365" t="s">
        <v>108</v>
      </c>
      <c r="NET46" s="365"/>
      <c r="NEU46" s="365"/>
      <c r="NEV46" s="365"/>
      <c r="NEW46" s="365" t="s">
        <v>108</v>
      </c>
      <c r="NEX46" s="365"/>
      <c r="NEY46" s="365"/>
      <c r="NEZ46" s="365"/>
      <c r="NFA46" s="365" t="s">
        <v>108</v>
      </c>
      <c r="NFB46" s="365"/>
      <c r="NFC46" s="365"/>
      <c r="NFD46" s="365"/>
      <c r="NFE46" s="365" t="s">
        <v>108</v>
      </c>
      <c r="NFF46" s="365"/>
      <c r="NFG46" s="365"/>
      <c r="NFH46" s="365"/>
      <c r="NFI46" s="365" t="s">
        <v>108</v>
      </c>
      <c r="NFJ46" s="365"/>
      <c r="NFK46" s="365"/>
      <c r="NFL46" s="365"/>
      <c r="NFM46" s="365" t="s">
        <v>108</v>
      </c>
      <c r="NFN46" s="365"/>
      <c r="NFO46" s="365"/>
      <c r="NFP46" s="365"/>
      <c r="NFQ46" s="365" t="s">
        <v>108</v>
      </c>
      <c r="NFR46" s="365"/>
      <c r="NFS46" s="365"/>
      <c r="NFT46" s="365"/>
      <c r="NFU46" s="365" t="s">
        <v>108</v>
      </c>
      <c r="NFV46" s="365"/>
      <c r="NFW46" s="365"/>
      <c r="NFX46" s="365"/>
      <c r="NFY46" s="365" t="s">
        <v>108</v>
      </c>
      <c r="NFZ46" s="365"/>
      <c r="NGA46" s="365"/>
      <c r="NGB46" s="365"/>
      <c r="NGC46" s="365" t="s">
        <v>108</v>
      </c>
      <c r="NGD46" s="365"/>
      <c r="NGE46" s="365"/>
      <c r="NGF46" s="365"/>
      <c r="NGG46" s="365" t="s">
        <v>108</v>
      </c>
      <c r="NGH46" s="365"/>
      <c r="NGI46" s="365"/>
      <c r="NGJ46" s="365"/>
      <c r="NGK46" s="365" t="s">
        <v>108</v>
      </c>
      <c r="NGL46" s="365"/>
      <c r="NGM46" s="365"/>
      <c r="NGN46" s="365"/>
      <c r="NGO46" s="365" t="s">
        <v>108</v>
      </c>
      <c r="NGP46" s="365"/>
      <c r="NGQ46" s="365"/>
      <c r="NGR46" s="365"/>
      <c r="NGS46" s="365" t="s">
        <v>108</v>
      </c>
      <c r="NGT46" s="365"/>
      <c r="NGU46" s="365"/>
      <c r="NGV46" s="365"/>
      <c r="NGW46" s="365" t="s">
        <v>108</v>
      </c>
      <c r="NGX46" s="365"/>
      <c r="NGY46" s="365"/>
      <c r="NGZ46" s="365"/>
      <c r="NHA46" s="365" t="s">
        <v>108</v>
      </c>
      <c r="NHB46" s="365"/>
      <c r="NHC46" s="365"/>
      <c r="NHD46" s="365"/>
      <c r="NHE46" s="365" t="s">
        <v>108</v>
      </c>
      <c r="NHF46" s="365"/>
      <c r="NHG46" s="365"/>
      <c r="NHH46" s="365"/>
      <c r="NHI46" s="365" t="s">
        <v>108</v>
      </c>
      <c r="NHJ46" s="365"/>
      <c r="NHK46" s="365"/>
      <c r="NHL46" s="365"/>
      <c r="NHM46" s="365" t="s">
        <v>108</v>
      </c>
      <c r="NHN46" s="365"/>
      <c r="NHO46" s="365"/>
      <c r="NHP46" s="365"/>
      <c r="NHQ46" s="365" t="s">
        <v>108</v>
      </c>
      <c r="NHR46" s="365"/>
      <c r="NHS46" s="365"/>
      <c r="NHT46" s="365"/>
      <c r="NHU46" s="365" t="s">
        <v>108</v>
      </c>
      <c r="NHV46" s="365"/>
      <c r="NHW46" s="365"/>
      <c r="NHX46" s="365"/>
      <c r="NHY46" s="365" t="s">
        <v>108</v>
      </c>
      <c r="NHZ46" s="365"/>
      <c r="NIA46" s="365"/>
      <c r="NIB46" s="365"/>
      <c r="NIC46" s="365" t="s">
        <v>108</v>
      </c>
      <c r="NID46" s="365"/>
      <c r="NIE46" s="365"/>
      <c r="NIF46" s="365"/>
      <c r="NIG46" s="365" t="s">
        <v>108</v>
      </c>
      <c r="NIH46" s="365"/>
      <c r="NII46" s="365"/>
      <c r="NIJ46" s="365"/>
      <c r="NIK46" s="365" t="s">
        <v>108</v>
      </c>
      <c r="NIL46" s="365"/>
      <c r="NIM46" s="365"/>
      <c r="NIN46" s="365"/>
      <c r="NIO46" s="365" t="s">
        <v>108</v>
      </c>
      <c r="NIP46" s="365"/>
      <c r="NIQ46" s="365"/>
      <c r="NIR46" s="365"/>
      <c r="NIS46" s="365" t="s">
        <v>108</v>
      </c>
      <c r="NIT46" s="365"/>
      <c r="NIU46" s="365"/>
      <c r="NIV46" s="365"/>
      <c r="NIW46" s="365" t="s">
        <v>108</v>
      </c>
      <c r="NIX46" s="365"/>
      <c r="NIY46" s="365"/>
      <c r="NIZ46" s="365"/>
      <c r="NJA46" s="365" t="s">
        <v>108</v>
      </c>
      <c r="NJB46" s="365"/>
      <c r="NJC46" s="365"/>
      <c r="NJD46" s="365"/>
      <c r="NJE46" s="365" t="s">
        <v>108</v>
      </c>
      <c r="NJF46" s="365"/>
      <c r="NJG46" s="365"/>
      <c r="NJH46" s="365"/>
      <c r="NJI46" s="365" t="s">
        <v>108</v>
      </c>
      <c r="NJJ46" s="365"/>
      <c r="NJK46" s="365"/>
      <c r="NJL46" s="365"/>
      <c r="NJM46" s="365" t="s">
        <v>108</v>
      </c>
      <c r="NJN46" s="365"/>
      <c r="NJO46" s="365"/>
      <c r="NJP46" s="365"/>
      <c r="NJQ46" s="365" t="s">
        <v>108</v>
      </c>
      <c r="NJR46" s="365"/>
      <c r="NJS46" s="365"/>
      <c r="NJT46" s="365"/>
      <c r="NJU46" s="365" t="s">
        <v>108</v>
      </c>
      <c r="NJV46" s="365"/>
      <c r="NJW46" s="365"/>
      <c r="NJX46" s="365"/>
      <c r="NJY46" s="365" t="s">
        <v>108</v>
      </c>
      <c r="NJZ46" s="365"/>
      <c r="NKA46" s="365"/>
      <c r="NKB46" s="365"/>
      <c r="NKC46" s="365" t="s">
        <v>108</v>
      </c>
      <c r="NKD46" s="365"/>
      <c r="NKE46" s="365"/>
      <c r="NKF46" s="365"/>
      <c r="NKG46" s="365" t="s">
        <v>108</v>
      </c>
      <c r="NKH46" s="365"/>
      <c r="NKI46" s="365"/>
      <c r="NKJ46" s="365"/>
      <c r="NKK46" s="365" t="s">
        <v>108</v>
      </c>
      <c r="NKL46" s="365"/>
      <c r="NKM46" s="365"/>
      <c r="NKN46" s="365"/>
      <c r="NKO46" s="365" t="s">
        <v>108</v>
      </c>
      <c r="NKP46" s="365"/>
      <c r="NKQ46" s="365"/>
      <c r="NKR46" s="365"/>
      <c r="NKS46" s="365" t="s">
        <v>108</v>
      </c>
      <c r="NKT46" s="365"/>
      <c r="NKU46" s="365"/>
      <c r="NKV46" s="365"/>
      <c r="NKW46" s="365" t="s">
        <v>108</v>
      </c>
      <c r="NKX46" s="365"/>
      <c r="NKY46" s="365"/>
      <c r="NKZ46" s="365"/>
      <c r="NLA46" s="365" t="s">
        <v>108</v>
      </c>
      <c r="NLB46" s="365"/>
      <c r="NLC46" s="365"/>
      <c r="NLD46" s="365"/>
      <c r="NLE46" s="365" t="s">
        <v>108</v>
      </c>
      <c r="NLF46" s="365"/>
      <c r="NLG46" s="365"/>
      <c r="NLH46" s="365"/>
      <c r="NLI46" s="365" t="s">
        <v>108</v>
      </c>
      <c r="NLJ46" s="365"/>
      <c r="NLK46" s="365"/>
      <c r="NLL46" s="365"/>
      <c r="NLM46" s="365" t="s">
        <v>108</v>
      </c>
      <c r="NLN46" s="365"/>
      <c r="NLO46" s="365"/>
      <c r="NLP46" s="365"/>
      <c r="NLQ46" s="365" t="s">
        <v>108</v>
      </c>
      <c r="NLR46" s="365"/>
      <c r="NLS46" s="365"/>
      <c r="NLT46" s="365"/>
      <c r="NLU46" s="365" t="s">
        <v>108</v>
      </c>
      <c r="NLV46" s="365"/>
      <c r="NLW46" s="365"/>
      <c r="NLX46" s="365"/>
      <c r="NLY46" s="365" t="s">
        <v>108</v>
      </c>
      <c r="NLZ46" s="365"/>
      <c r="NMA46" s="365"/>
      <c r="NMB46" s="365"/>
      <c r="NMC46" s="365" t="s">
        <v>108</v>
      </c>
      <c r="NMD46" s="365"/>
      <c r="NME46" s="365"/>
      <c r="NMF46" s="365"/>
      <c r="NMG46" s="365" t="s">
        <v>108</v>
      </c>
      <c r="NMH46" s="365"/>
      <c r="NMI46" s="365"/>
      <c r="NMJ46" s="365"/>
      <c r="NMK46" s="365" t="s">
        <v>108</v>
      </c>
      <c r="NML46" s="365"/>
      <c r="NMM46" s="365"/>
      <c r="NMN46" s="365"/>
      <c r="NMO46" s="365" t="s">
        <v>108</v>
      </c>
      <c r="NMP46" s="365"/>
      <c r="NMQ46" s="365"/>
      <c r="NMR46" s="365"/>
      <c r="NMS46" s="365" t="s">
        <v>108</v>
      </c>
      <c r="NMT46" s="365"/>
      <c r="NMU46" s="365"/>
      <c r="NMV46" s="365"/>
      <c r="NMW46" s="365" t="s">
        <v>108</v>
      </c>
      <c r="NMX46" s="365"/>
      <c r="NMY46" s="365"/>
      <c r="NMZ46" s="365"/>
      <c r="NNA46" s="365" t="s">
        <v>108</v>
      </c>
      <c r="NNB46" s="365"/>
      <c r="NNC46" s="365"/>
      <c r="NND46" s="365"/>
      <c r="NNE46" s="365" t="s">
        <v>108</v>
      </c>
      <c r="NNF46" s="365"/>
      <c r="NNG46" s="365"/>
      <c r="NNH46" s="365"/>
      <c r="NNI46" s="365" t="s">
        <v>108</v>
      </c>
      <c r="NNJ46" s="365"/>
      <c r="NNK46" s="365"/>
      <c r="NNL46" s="365"/>
      <c r="NNM46" s="365" t="s">
        <v>108</v>
      </c>
      <c r="NNN46" s="365"/>
      <c r="NNO46" s="365"/>
      <c r="NNP46" s="365"/>
      <c r="NNQ46" s="365" t="s">
        <v>108</v>
      </c>
      <c r="NNR46" s="365"/>
      <c r="NNS46" s="365"/>
      <c r="NNT46" s="365"/>
      <c r="NNU46" s="365" t="s">
        <v>108</v>
      </c>
      <c r="NNV46" s="365"/>
      <c r="NNW46" s="365"/>
      <c r="NNX46" s="365"/>
      <c r="NNY46" s="365" t="s">
        <v>108</v>
      </c>
      <c r="NNZ46" s="365"/>
      <c r="NOA46" s="365"/>
      <c r="NOB46" s="365"/>
      <c r="NOC46" s="365" t="s">
        <v>108</v>
      </c>
      <c r="NOD46" s="365"/>
      <c r="NOE46" s="365"/>
      <c r="NOF46" s="365"/>
      <c r="NOG46" s="365" t="s">
        <v>108</v>
      </c>
      <c r="NOH46" s="365"/>
      <c r="NOI46" s="365"/>
      <c r="NOJ46" s="365"/>
      <c r="NOK46" s="365" t="s">
        <v>108</v>
      </c>
      <c r="NOL46" s="365"/>
      <c r="NOM46" s="365"/>
      <c r="NON46" s="365"/>
      <c r="NOO46" s="365" t="s">
        <v>108</v>
      </c>
      <c r="NOP46" s="365"/>
      <c r="NOQ46" s="365"/>
      <c r="NOR46" s="365"/>
      <c r="NOS46" s="365" t="s">
        <v>108</v>
      </c>
      <c r="NOT46" s="365"/>
      <c r="NOU46" s="365"/>
      <c r="NOV46" s="365"/>
      <c r="NOW46" s="365" t="s">
        <v>108</v>
      </c>
      <c r="NOX46" s="365"/>
      <c r="NOY46" s="365"/>
      <c r="NOZ46" s="365"/>
      <c r="NPA46" s="365" t="s">
        <v>108</v>
      </c>
      <c r="NPB46" s="365"/>
      <c r="NPC46" s="365"/>
      <c r="NPD46" s="365"/>
      <c r="NPE46" s="365" t="s">
        <v>108</v>
      </c>
      <c r="NPF46" s="365"/>
      <c r="NPG46" s="365"/>
      <c r="NPH46" s="365"/>
      <c r="NPI46" s="365" t="s">
        <v>108</v>
      </c>
      <c r="NPJ46" s="365"/>
      <c r="NPK46" s="365"/>
      <c r="NPL46" s="365"/>
      <c r="NPM46" s="365" t="s">
        <v>108</v>
      </c>
      <c r="NPN46" s="365"/>
      <c r="NPO46" s="365"/>
      <c r="NPP46" s="365"/>
      <c r="NPQ46" s="365" t="s">
        <v>108</v>
      </c>
      <c r="NPR46" s="365"/>
      <c r="NPS46" s="365"/>
      <c r="NPT46" s="365"/>
      <c r="NPU46" s="365" t="s">
        <v>108</v>
      </c>
      <c r="NPV46" s="365"/>
      <c r="NPW46" s="365"/>
      <c r="NPX46" s="365"/>
      <c r="NPY46" s="365" t="s">
        <v>108</v>
      </c>
      <c r="NPZ46" s="365"/>
      <c r="NQA46" s="365"/>
      <c r="NQB46" s="365"/>
      <c r="NQC46" s="365" t="s">
        <v>108</v>
      </c>
      <c r="NQD46" s="365"/>
      <c r="NQE46" s="365"/>
      <c r="NQF46" s="365"/>
      <c r="NQG46" s="365" t="s">
        <v>108</v>
      </c>
      <c r="NQH46" s="365"/>
      <c r="NQI46" s="365"/>
      <c r="NQJ46" s="365"/>
      <c r="NQK46" s="365" t="s">
        <v>108</v>
      </c>
      <c r="NQL46" s="365"/>
      <c r="NQM46" s="365"/>
      <c r="NQN46" s="365"/>
      <c r="NQO46" s="365" t="s">
        <v>108</v>
      </c>
      <c r="NQP46" s="365"/>
      <c r="NQQ46" s="365"/>
      <c r="NQR46" s="365"/>
      <c r="NQS46" s="365" t="s">
        <v>108</v>
      </c>
      <c r="NQT46" s="365"/>
      <c r="NQU46" s="365"/>
      <c r="NQV46" s="365"/>
      <c r="NQW46" s="365" t="s">
        <v>108</v>
      </c>
      <c r="NQX46" s="365"/>
      <c r="NQY46" s="365"/>
      <c r="NQZ46" s="365"/>
      <c r="NRA46" s="365" t="s">
        <v>108</v>
      </c>
      <c r="NRB46" s="365"/>
      <c r="NRC46" s="365"/>
      <c r="NRD46" s="365"/>
      <c r="NRE46" s="365" t="s">
        <v>108</v>
      </c>
      <c r="NRF46" s="365"/>
      <c r="NRG46" s="365"/>
      <c r="NRH46" s="365"/>
      <c r="NRI46" s="365" t="s">
        <v>108</v>
      </c>
      <c r="NRJ46" s="365"/>
      <c r="NRK46" s="365"/>
      <c r="NRL46" s="365"/>
      <c r="NRM46" s="365" t="s">
        <v>108</v>
      </c>
      <c r="NRN46" s="365"/>
      <c r="NRO46" s="365"/>
      <c r="NRP46" s="365"/>
      <c r="NRQ46" s="365" t="s">
        <v>108</v>
      </c>
      <c r="NRR46" s="365"/>
      <c r="NRS46" s="365"/>
      <c r="NRT46" s="365"/>
      <c r="NRU46" s="365" t="s">
        <v>108</v>
      </c>
      <c r="NRV46" s="365"/>
      <c r="NRW46" s="365"/>
      <c r="NRX46" s="365"/>
      <c r="NRY46" s="365" t="s">
        <v>108</v>
      </c>
      <c r="NRZ46" s="365"/>
      <c r="NSA46" s="365"/>
      <c r="NSB46" s="365"/>
      <c r="NSC46" s="365" t="s">
        <v>108</v>
      </c>
      <c r="NSD46" s="365"/>
      <c r="NSE46" s="365"/>
      <c r="NSF46" s="365"/>
      <c r="NSG46" s="365" t="s">
        <v>108</v>
      </c>
      <c r="NSH46" s="365"/>
      <c r="NSI46" s="365"/>
      <c r="NSJ46" s="365"/>
      <c r="NSK46" s="365" t="s">
        <v>108</v>
      </c>
      <c r="NSL46" s="365"/>
      <c r="NSM46" s="365"/>
      <c r="NSN46" s="365"/>
      <c r="NSO46" s="365" t="s">
        <v>108</v>
      </c>
      <c r="NSP46" s="365"/>
      <c r="NSQ46" s="365"/>
      <c r="NSR46" s="365"/>
      <c r="NSS46" s="365" t="s">
        <v>108</v>
      </c>
      <c r="NST46" s="365"/>
      <c r="NSU46" s="365"/>
      <c r="NSV46" s="365"/>
      <c r="NSW46" s="365" t="s">
        <v>108</v>
      </c>
      <c r="NSX46" s="365"/>
      <c r="NSY46" s="365"/>
      <c r="NSZ46" s="365"/>
      <c r="NTA46" s="365" t="s">
        <v>108</v>
      </c>
      <c r="NTB46" s="365"/>
      <c r="NTC46" s="365"/>
      <c r="NTD46" s="365"/>
      <c r="NTE46" s="365" t="s">
        <v>108</v>
      </c>
      <c r="NTF46" s="365"/>
      <c r="NTG46" s="365"/>
      <c r="NTH46" s="365"/>
      <c r="NTI46" s="365" t="s">
        <v>108</v>
      </c>
      <c r="NTJ46" s="365"/>
      <c r="NTK46" s="365"/>
      <c r="NTL46" s="365"/>
      <c r="NTM46" s="365" t="s">
        <v>108</v>
      </c>
      <c r="NTN46" s="365"/>
      <c r="NTO46" s="365"/>
      <c r="NTP46" s="365"/>
      <c r="NTQ46" s="365" t="s">
        <v>108</v>
      </c>
      <c r="NTR46" s="365"/>
      <c r="NTS46" s="365"/>
      <c r="NTT46" s="365"/>
      <c r="NTU46" s="365" t="s">
        <v>108</v>
      </c>
      <c r="NTV46" s="365"/>
      <c r="NTW46" s="365"/>
      <c r="NTX46" s="365"/>
      <c r="NTY46" s="365" t="s">
        <v>108</v>
      </c>
      <c r="NTZ46" s="365"/>
      <c r="NUA46" s="365"/>
      <c r="NUB46" s="365"/>
      <c r="NUC46" s="365" t="s">
        <v>108</v>
      </c>
      <c r="NUD46" s="365"/>
      <c r="NUE46" s="365"/>
      <c r="NUF46" s="365"/>
      <c r="NUG46" s="365" t="s">
        <v>108</v>
      </c>
      <c r="NUH46" s="365"/>
      <c r="NUI46" s="365"/>
      <c r="NUJ46" s="365"/>
      <c r="NUK46" s="365" t="s">
        <v>108</v>
      </c>
      <c r="NUL46" s="365"/>
      <c r="NUM46" s="365"/>
      <c r="NUN46" s="365"/>
      <c r="NUO46" s="365" t="s">
        <v>108</v>
      </c>
      <c r="NUP46" s="365"/>
      <c r="NUQ46" s="365"/>
      <c r="NUR46" s="365"/>
      <c r="NUS46" s="365" t="s">
        <v>108</v>
      </c>
      <c r="NUT46" s="365"/>
      <c r="NUU46" s="365"/>
      <c r="NUV46" s="365"/>
      <c r="NUW46" s="365" t="s">
        <v>108</v>
      </c>
      <c r="NUX46" s="365"/>
      <c r="NUY46" s="365"/>
      <c r="NUZ46" s="365"/>
      <c r="NVA46" s="365" t="s">
        <v>108</v>
      </c>
      <c r="NVB46" s="365"/>
      <c r="NVC46" s="365"/>
      <c r="NVD46" s="365"/>
      <c r="NVE46" s="365" t="s">
        <v>108</v>
      </c>
      <c r="NVF46" s="365"/>
      <c r="NVG46" s="365"/>
      <c r="NVH46" s="365"/>
      <c r="NVI46" s="365" t="s">
        <v>108</v>
      </c>
      <c r="NVJ46" s="365"/>
      <c r="NVK46" s="365"/>
      <c r="NVL46" s="365"/>
      <c r="NVM46" s="365" t="s">
        <v>108</v>
      </c>
      <c r="NVN46" s="365"/>
      <c r="NVO46" s="365"/>
      <c r="NVP46" s="365"/>
      <c r="NVQ46" s="365" t="s">
        <v>108</v>
      </c>
      <c r="NVR46" s="365"/>
      <c r="NVS46" s="365"/>
      <c r="NVT46" s="365"/>
      <c r="NVU46" s="365" t="s">
        <v>108</v>
      </c>
      <c r="NVV46" s="365"/>
      <c r="NVW46" s="365"/>
      <c r="NVX46" s="365"/>
      <c r="NVY46" s="365" t="s">
        <v>108</v>
      </c>
      <c r="NVZ46" s="365"/>
      <c r="NWA46" s="365"/>
      <c r="NWB46" s="365"/>
      <c r="NWC46" s="365" t="s">
        <v>108</v>
      </c>
      <c r="NWD46" s="365"/>
      <c r="NWE46" s="365"/>
      <c r="NWF46" s="365"/>
      <c r="NWG46" s="365" t="s">
        <v>108</v>
      </c>
      <c r="NWH46" s="365"/>
      <c r="NWI46" s="365"/>
      <c r="NWJ46" s="365"/>
      <c r="NWK46" s="365" t="s">
        <v>108</v>
      </c>
      <c r="NWL46" s="365"/>
      <c r="NWM46" s="365"/>
      <c r="NWN46" s="365"/>
      <c r="NWO46" s="365" t="s">
        <v>108</v>
      </c>
      <c r="NWP46" s="365"/>
      <c r="NWQ46" s="365"/>
      <c r="NWR46" s="365"/>
      <c r="NWS46" s="365" t="s">
        <v>108</v>
      </c>
      <c r="NWT46" s="365"/>
      <c r="NWU46" s="365"/>
      <c r="NWV46" s="365"/>
      <c r="NWW46" s="365" t="s">
        <v>108</v>
      </c>
      <c r="NWX46" s="365"/>
      <c r="NWY46" s="365"/>
      <c r="NWZ46" s="365"/>
      <c r="NXA46" s="365" t="s">
        <v>108</v>
      </c>
      <c r="NXB46" s="365"/>
      <c r="NXC46" s="365"/>
      <c r="NXD46" s="365"/>
      <c r="NXE46" s="365" t="s">
        <v>108</v>
      </c>
      <c r="NXF46" s="365"/>
      <c r="NXG46" s="365"/>
      <c r="NXH46" s="365"/>
      <c r="NXI46" s="365" t="s">
        <v>108</v>
      </c>
      <c r="NXJ46" s="365"/>
      <c r="NXK46" s="365"/>
      <c r="NXL46" s="365"/>
      <c r="NXM46" s="365" t="s">
        <v>108</v>
      </c>
      <c r="NXN46" s="365"/>
      <c r="NXO46" s="365"/>
      <c r="NXP46" s="365"/>
      <c r="NXQ46" s="365" t="s">
        <v>108</v>
      </c>
      <c r="NXR46" s="365"/>
      <c r="NXS46" s="365"/>
      <c r="NXT46" s="365"/>
      <c r="NXU46" s="365" t="s">
        <v>108</v>
      </c>
      <c r="NXV46" s="365"/>
      <c r="NXW46" s="365"/>
      <c r="NXX46" s="365"/>
      <c r="NXY46" s="365" t="s">
        <v>108</v>
      </c>
      <c r="NXZ46" s="365"/>
      <c r="NYA46" s="365"/>
      <c r="NYB46" s="365"/>
      <c r="NYC46" s="365" t="s">
        <v>108</v>
      </c>
      <c r="NYD46" s="365"/>
      <c r="NYE46" s="365"/>
      <c r="NYF46" s="365"/>
      <c r="NYG46" s="365" t="s">
        <v>108</v>
      </c>
      <c r="NYH46" s="365"/>
      <c r="NYI46" s="365"/>
      <c r="NYJ46" s="365"/>
      <c r="NYK46" s="365" t="s">
        <v>108</v>
      </c>
      <c r="NYL46" s="365"/>
      <c r="NYM46" s="365"/>
      <c r="NYN46" s="365"/>
      <c r="NYO46" s="365" t="s">
        <v>108</v>
      </c>
      <c r="NYP46" s="365"/>
      <c r="NYQ46" s="365"/>
      <c r="NYR46" s="365"/>
      <c r="NYS46" s="365" t="s">
        <v>108</v>
      </c>
      <c r="NYT46" s="365"/>
      <c r="NYU46" s="365"/>
      <c r="NYV46" s="365"/>
      <c r="NYW46" s="365" t="s">
        <v>108</v>
      </c>
      <c r="NYX46" s="365"/>
      <c r="NYY46" s="365"/>
      <c r="NYZ46" s="365"/>
      <c r="NZA46" s="365" t="s">
        <v>108</v>
      </c>
      <c r="NZB46" s="365"/>
      <c r="NZC46" s="365"/>
      <c r="NZD46" s="365"/>
      <c r="NZE46" s="365" t="s">
        <v>108</v>
      </c>
      <c r="NZF46" s="365"/>
      <c r="NZG46" s="365"/>
      <c r="NZH46" s="365"/>
      <c r="NZI46" s="365" t="s">
        <v>108</v>
      </c>
      <c r="NZJ46" s="365"/>
      <c r="NZK46" s="365"/>
      <c r="NZL46" s="365"/>
      <c r="NZM46" s="365" t="s">
        <v>108</v>
      </c>
      <c r="NZN46" s="365"/>
      <c r="NZO46" s="365"/>
      <c r="NZP46" s="365"/>
      <c r="NZQ46" s="365" t="s">
        <v>108</v>
      </c>
      <c r="NZR46" s="365"/>
      <c r="NZS46" s="365"/>
      <c r="NZT46" s="365"/>
      <c r="NZU46" s="365" t="s">
        <v>108</v>
      </c>
      <c r="NZV46" s="365"/>
      <c r="NZW46" s="365"/>
      <c r="NZX46" s="365"/>
      <c r="NZY46" s="365" t="s">
        <v>108</v>
      </c>
      <c r="NZZ46" s="365"/>
      <c r="OAA46" s="365"/>
      <c r="OAB46" s="365"/>
      <c r="OAC46" s="365" t="s">
        <v>108</v>
      </c>
      <c r="OAD46" s="365"/>
      <c r="OAE46" s="365"/>
      <c r="OAF46" s="365"/>
      <c r="OAG46" s="365" t="s">
        <v>108</v>
      </c>
      <c r="OAH46" s="365"/>
      <c r="OAI46" s="365"/>
      <c r="OAJ46" s="365"/>
      <c r="OAK46" s="365" t="s">
        <v>108</v>
      </c>
      <c r="OAL46" s="365"/>
      <c r="OAM46" s="365"/>
      <c r="OAN46" s="365"/>
      <c r="OAO46" s="365" t="s">
        <v>108</v>
      </c>
      <c r="OAP46" s="365"/>
      <c r="OAQ46" s="365"/>
      <c r="OAR46" s="365"/>
      <c r="OAS46" s="365" t="s">
        <v>108</v>
      </c>
      <c r="OAT46" s="365"/>
      <c r="OAU46" s="365"/>
      <c r="OAV46" s="365"/>
      <c r="OAW46" s="365" t="s">
        <v>108</v>
      </c>
      <c r="OAX46" s="365"/>
      <c r="OAY46" s="365"/>
      <c r="OAZ46" s="365"/>
      <c r="OBA46" s="365" t="s">
        <v>108</v>
      </c>
      <c r="OBB46" s="365"/>
      <c r="OBC46" s="365"/>
      <c r="OBD46" s="365"/>
      <c r="OBE46" s="365" t="s">
        <v>108</v>
      </c>
      <c r="OBF46" s="365"/>
      <c r="OBG46" s="365"/>
      <c r="OBH46" s="365"/>
      <c r="OBI46" s="365" t="s">
        <v>108</v>
      </c>
      <c r="OBJ46" s="365"/>
      <c r="OBK46" s="365"/>
      <c r="OBL46" s="365"/>
      <c r="OBM46" s="365" t="s">
        <v>108</v>
      </c>
      <c r="OBN46" s="365"/>
      <c r="OBO46" s="365"/>
      <c r="OBP46" s="365"/>
      <c r="OBQ46" s="365" t="s">
        <v>108</v>
      </c>
      <c r="OBR46" s="365"/>
      <c r="OBS46" s="365"/>
      <c r="OBT46" s="365"/>
      <c r="OBU46" s="365" t="s">
        <v>108</v>
      </c>
      <c r="OBV46" s="365"/>
      <c r="OBW46" s="365"/>
      <c r="OBX46" s="365"/>
      <c r="OBY46" s="365" t="s">
        <v>108</v>
      </c>
      <c r="OBZ46" s="365"/>
      <c r="OCA46" s="365"/>
      <c r="OCB46" s="365"/>
      <c r="OCC46" s="365" t="s">
        <v>108</v>
      </c>
      <c r="OCD46" s="365"/>
      <c r="OCE46" s="365"/>
      <c r="OCF46" s="365"/>
      <c r="OCG46" s="365" t="s">
        <v>108</v>
      </c>
      <c r="OCH46" s="365"/>
      <c r="OCI46" s="365"/>
      <c r="OCJ46" s="365"/>
      <c r="OCK46" s="365" t="s">
        <v>108</v>
      </c>
      <c r="OCL46" s="365"/>
      <c r="OCM46" s="365"/>
      <c r="OCN46" s="365"/>
      <c r="OCO46" s="365" t="s">
        <v>108</v>
      </c>
      <c r="OCP46" s="365"/>
      <c r="OCQ46" s="365"/>
      <c r="OCR46" s="365"/>
      <c r="OCS46" s="365" t="s">
        <v>108</v>
      </c>
      <c r="OCT46" s="365"/>
      <c r="OCU46" s="365"/>
      <c r="OCV46" s="365"/>
      <c r="OCW46" s="365" t="s">
        <v>108</v>
      </c>
      <c r="OCX46" s="365"/>
      <c r="OCY46" s="365"/>
      <c r="OCZ46" s="365"/>
      <c r="ODA46" s="365" t="s">
        <v>108</v>
      </c>
      <c r="ODB46" s="365"/>
      <c r="ODC46" s="365"/>
      <c r="ODD46" s="365"/>
      <c r="ODE46" s="365" t="s">
        <v>108</v>
      </c>
      <c r="ODF46" s="365"/>
      <c r="ODG46" s="365"/>
      <c r="ODH46" s="365"/>
      <c r="ODI46" s="365" t="s">
        <v>108</v>
      </c>
      <c r="ODJ46" s="365"/>
      <c r="ODK46" s="365"/>
      <c r="ODL46" s="365"/>
      <c r="ODM46" s="365" t="s">
        <v>108</v>
      </c>
      <c r="ODN46" s="365"/>
      <c r="ODO46" s="365"/>
      <c r="ODP46" s="365"/>
      <c r="ODQ46" s="365" t="s">
        <v>108</v>
      </c>
      <c r="ODR46" s="365"/>
      <c r="ODS46" s="365"/>
      <c r="ODT46" s="365"/>
      <c r="ODU46" s="365" t="s">
        <v>108</v>
      </c>
      <c r="ODV46" s="365"/>
      <c r="ODW46" s="365"/>
      <c r="ODX46" s="365"/>
      <c r="ODY46" s="365" t="s">
        <v>108</v>
      </c>
      <c r="ODZ46" s="365"/>
      <c r="OEA46" s="365"/>
      <c r="OEB46" s="365"/>
      <c r="OEC46" s="365" t="s">
        <v>108</v>
      </c>
      <c r="OED46" s="365"/>
      <c r="OEE46" s="365"/>
      <c r="OEF46" s="365"/>
      <c r="OEG46" s="365" t="s">
        <v>108</v>
      </c>
      <c r="OEH46" s="365"/>
      <c r="OEI46" s="365"/>
      <c r="OEJ46" s="365"/>
      <c r="OEK46" s="365" t="s">
        <v>108</v>
      </c>
      <c r="OEL46" s="365"/>
      <c r="OEM46" s="365"/>
      <c r="OEN46" s="365"/>
      <c r="OEO46" s="365" t="s">
        <v>108</v>
      </c>
      <c r="OEP46" s="365"/>
      <c r="OEQ46" s="365"/>
      <c r="OER46" s="365"/>
      <c r="OES46" s="365" t="s">
        <v>108</v>
      </c>
      <c r="OET46" s="365"/>
      <c r="OEU46" s="365"/>
      <c r="OEV46" s="365"/>
      <c r="OEW46" s="365" t="s">
        <v>108</v>
      </c>
      <c r="OEX46" s="365"/>
      <c r="OEY46" s="365"/>
      <c r="OEZ46" s="365"/>
      <c r="OFA46" s="365" t="s">
        <v>108</v>
      </c>
      <c r="OFB46" s="365"/>
      <c r="OFC46" s="365"/>
      <c r="OFD46" s="365"/>
      <c r="OFE46" s="365" t="s">
        <v>108</v>
      </c>
      <c r="OFF46" s="365"/>
      <c r="OFG46" s="365"/>
      <c r="OFH46" s="365"/>
      <c r="OFI46" s="365" t="s">
        <v>108</v>
      </c>
      <c r="OFJ46" s="365"/>
      <c r="OFK46" s="365"/>
      <c r="OFL46" s="365"/>
      <c r="OFM46" s="365" t="s">
        <v>108</v>
      </c>
      <c r="OFN46" s="365"/>
      <c r="OFO46" s="365"/>
      <c r="OFP46" s="365"/>
      <c r="OFQ46" s="365" t="s">
        <v>108</v>
      </c>
      <c r="OFR46" s="365"/>
      <c r="OFS46" s="365"/>
      <c r="OFT46" s="365"/>
      <c r="OFU46" s="365" t="s">
        <v>108</v>
      </c>
      <c r="OFV46" s="365"/>
      <c r="OFW46" s="365"/>
      <c r="OFX46" s="365"/>
      <c r="OFY46" s="365" t="s">
        <v>108</v>
      </c>
      <c r="OFZ46" s="365"/>
      <c r="OGA46" s="365"/>
      <c r="OGB46" s="365"/>
      <c r="OGC46" s="365" t="s">
        <v>108</v>
      </c>
      <c r="OGD46" s="365"/>
      <c r="OGE46" s="365"/>
      <c r="OGF46" s="365"/>
      <c r="OGG46" s="365" t="s">
        <v>108</v>
      </c>
      <c r="OGH46" s="365"/>
      <c r="OGI46" s="365"/>
      <c r="OGJ46" s="365"/>
      <c r="OGK46" s="365" t="s">
        <v>108</v>
      </c>
      <c r="OGL46" s="365"/>
      <c r="OGM46" s="365"/>
      <c r="OGN46" s="365"/>
      <c r="OGO46" s="365" t="s">
        <v>108</v>
      </c>
      <c r="OGP46" s="365"/>
      <c r="OGQ46" s="365"/>
      <c r="OGR46" s="365"/>
      <c r="OGS46" s="365" t="s">
        <v>108</v>
      </c>
      <c r="OGT46" s="365"/>
      <c r="OGU46" s="365"/>
      <c r="OGV46" s="365"/>
      <c r="OGW46" s="365" t="s">
        <v>108</v>
      </c>
      <c r="OGX46" s="365"/>
      <c r="OGY46" s="365"/>
      <c r="OGZ46" s="365"/>
      <c r="OHA46" s="365" t="s">
        <v>108</v>
      </c>
      <c r="OHB46" s="365"/>
      <c r="OHC46" s="365"/>
      <c r="OHD46" s="365"/>
      <c r="OHE46" s="365" t="s">
        <v>108</v>
      </c>
      <c r="OHF46" s="365"/>
      <c r="OHG46" s="365"/>
      <c r="OHH46" s="365"/>
      <c r="OHI46" s="365" t="s">
        <v>108</v>
      </c>
      <c r="OHJ46" s="365"/>
      <c r="OHK46" s="365"/>
      <c r="OHL46" s="365"/>
      <c r="OHM46" s="365" t="s">
        <v>108</v>
      </c>
      <c r="OHN46" s="365"/>
      <c r="OHO46" s="365"/>
      <c r="OHP46" s="365"/>
      <c r="OHQ46" s="365" t="s">
        <v>108</v>
      </c>
      <c r="OHR46" s="365"/>
      <c r="OHS46" s="365"/>
      <c r="OHT46" s="365"/>
      <c r="OHU46" s="365" t="s">
        <v>108</v>
      </c>
      <c r="OHV46" s="365"/>
      <c r="OHW46" s="365"/>
      <c r="OHX46" s="365"/>
      <c r="OHY46" s="365" t="s">
        <v>108</v>
      </c>
      <c r="OHZ46" s="365"/>
      <c r="OIA46" s="365"/>
      <c r="OIB46" s="365"/>
      <c r="OIC46" s="365" t="s">
        <v>108</v>
      </c>
      <c r="OID46" s="365"/>
      <c r="OIE46" s="365"/>
      <c r="OIF46" s="365"/>
      <c r="OIG46" s="365" t="s">
        <v>108</v>
      </c>
      <c r="OIH46" s="365"/>
      <c r="OII46" s="365"/>
      <c r="OIJ46" s="365"/>
      <c r="OIK46" s="365" t="s">
        <v>108</v>
      </c>
      <c r="OIL46" s="365"/>
      <c r="OIM46" s="365"/>
      <c r="OIN46" s="365"/>
      <c r="OIO46" s="365" t="s">
        <v>108</v>
      </c>
      <c r="OIP46" s="365"/>
      <c r="OIQ46" s="365"/>
      <c r="OIR46" s="365"/>
      <c r="OIS46" s="365" t="s">
        <v>108</v>
      </c>
      <c r="OIT46" s="365"/>
      <c r="OIU46" s="365"/>
      <c r="OIV46" s="365"/>
      <c r="OIW46" s="365" t="s">
        <v>108</v>
      </c>
      <c r="OIX46" s="365"/>
      <c r="OIY46" s="365"/>
      <c r="OIZ46" s="365"/>
      <c r="OJA46" s="365" t="s">
        <v>108</v>
      </c>
      <c r="OJB46" s="365"/>
      <c r="OJC46" s="365"/>
      <c r="OJD46" s="365"/>
      <c r="OJE46" s="365" t="s">
        <v>108</v>
      </c>
      <c r="OJF46" s="365"/>
      <c r="OJG46" s="365"/>
      <c r="OJH46" s="365"/>
      <c r="OJI46" s="365" t="s">
        <v>108</v>
      </c>
      <c r="OJJ46" s="365"/>
      <c r="OJK46" s="365"/>
      <c r="OJL46" s="365"/>
      <c r="OJM46" s="365" t="s">
        <v>108</v>
      </c>
      <c r="OJN46" s="365"/>
      <c r="OJO46" s="365"/>
      <c r="OJP46" s="365"/>
      <c r="OJQ46" s="365" t="s">
        <v>108</v>
      </c>
      <c r="OJR46" s="365"/>
      <c r="OJS46" s="365"/>
      <c r="OJT46" s="365"/>
      <c r="OJU46" s="365" t="s">
        <v>108</v>
      </c>
      <c r="OJV46" s="365"/>
      <c r="OJW46" s="365"/>
      <c r="OJX46" s="365"/>
      <c r="OJY46" s="365" t="s">
        <v>108</v>
      </c>
      <c r="OJZ46" s="365"/>
      <c r="OKA46" s="365"/>
      <c r="OKB46" s="365"/>
      <c r="OKC46" s="365" t="s">
        <v>108</v>
      </c>
      <c r="OKD46" s="365"/>
      <c r="OKE46" s="365"/>
      <c r="OKF46" s="365"/>
      <c r="OKG46" s="365" t="s">
        <v>108</v>
      </c>
      <c r="OKH46" s="365"/>
      <c r="OKI46" s="365"/>
      <c r="OKJ46" s="365"/>
      <c r="OKK46" s="365" t="s">
        <v>108</v>
      </c>
      <c r="OKL46" s="365"/>
      <c r="OKM46" s="365"/>
      <c r="OKN46" s="365"/>
      <c r="OKO46" s="365" t="s">
        <v>108</v>
      </c>
      <c r="OKP46" s="365"/>
      <c r="OKQ46" s="365"/>
      <c r="OKR46" s="365"/>
      <c r="OKS46" s="365" t="s">
        <v>108</v>
      </c>
      <c r="OKT46" s="365"/>
      <c r="OKU46" s="365"/>
      <c r="OKV46" s="365"/>
      <c r="OKW46" s="365" t="s">
        <v>108</v>
      </c>
      <c r="OKX46" s="365"/>
      <c r="OKY46" s="365"/>
      <c r="OKZ46" s="365"/>
      <c r="OLA46" s="365" t="s">
        <v>108</v>
      </c>
      <c r="OLB46" s="365"/>
      <c r="OLC46" s="365"/>
      <c r="OLD46" s="365"/>
      <c r="OLE46" s="365" t="s">
        <v>108</v>
      </c>
      <c r="OLF46" s="365"/>
      <c r="OLG46" s="365"/>
      <c r="OLH46" s="365"/>
      <c r="OLI46" s="365" t="s">
        <v>108</v>
      </c>
      <c r="OLJ46" s="365"/>
      <c r="OLK46" s="365"/>
      <c r="OLL46" s="365"/>
      <c r="OLM46" s="365" t="s">
        <v>108</v>
      </c>
      <c r="OLN46" s="365"/>
      <c r="OLO46" s="365"/>
      <c r="OLP46" s="365"/>
      <c r="OLQ46" s="365" t="s">
        <v>108</v>
      </c>
      <c r="OLR46" s="365"/>
      <c r="OLS46" s="365"/>
      <c r="OLT46" s="365"/>
      <c r="OLU46" s="365" t="s">
        <v>108</v>
      </c>
      <c r="OLV46" s="365"/>
      <c r="OLW46" s="365"/>
      <c r="OLX46" s="365"/>
      <c r="OLY46" s="365" t="s">
        <v>108</v>
      </c>
      <c r="OLZ46" s="365"/>
      <c r="OMA46" s="365"/>
      <c r="OMB46" s="365"/>
      <c r="OMC46" s="365" t="s">
        <v>108</v>
      </c>
      <c r="OMD46" s="365"/>
      <c r="OME46" s="365"/>
      <c r="OMF46" s="365"/>
      <c r="OMG46" s="365" t="s">
        <v>108</v>
      </c>
      <c r="OMH46" s="365"/>
      <c r="OMI46" s="365"/>
      <c r="OMJ46" s="365"/>
      <c r="OMK46" s="365" t="s">
        <v>108</v>
      </c>
      <c r="OML46" s="365"/>
      <c r="OMM46" s="365"/>
      <c r="OMN46" s="365"/>
      <c r="OMO46" s="365" t="s">
        <v>108</v>
      </c>
      <c r="OMP46" s="365"/>
      <c r="OMQ46" s="365"/>
      <c r="OMR46" s="365"/>
      <c r="OMS46" s="365" t="s">
        <v>108</v>
      </c>
      <c r="OMT46" s="365"/>
      <c r="OMU46" s="365"/>
      <c r="OMV46" s="365"/>
      <c r="OMW46" s="365" t="s">
        <v>108</v>
      </c>
      <c r="OMX46" s="365"/>
      <c r="OMY46" s="365"/>
      <c r="OMZ46" s="365"/>
      <c r="ONA46" s="365" t="s">
        <v>108</v>
      </c>
      <c r="ONB46" s="365"/>
      <c r="ONC46" s="365"/>
      <c r="OND46" s="365"/>
      <c r="ONE46" s="365" t="s">
        <v>108</v>
      </c>
      <c r="ONF46" s="365"/>
      <c r="ONG46" s="365"/>
      <c r="ONH46" s="365"/>
      <c r="ONI46" s="365" t="s">
        <v>108</v>
      </c>
      <c r="ONJ46" s="365"/>
      <c r="ONK46" s="365"/>
      <c r="ONL46" s="365"/>
      <c r="ONM46" s="365" t="s">
        <v>108</v>
      </c>
      <c r="ONN46" s="365"/>
      <c r="ONO46" s="365"/>
      <c r="ONP46" s="365"/>
      <c r="ONQ46" s="365" t="s">
        <v>108</v>
      </c>
      <c r="ONR46" s="365"/>
      <c r="ONS46" s="365"/>
      <c r="ONT46" s="365"/>
      <c r="ONU46" s="365" t="s">
        <v>108</v>
      </c>
      <c r="ONV46" s="365"/>
      <c r="ONW46" s="365"/>
      <c r="ONX46" s="365"/>
      <c r="ONY46" s="365" t="s">
        <v>108</v>
      </c>
      <c r="ONZ46" s="365"/>
      <c r="OOA46" s="365"/>
      <c r="OOB46" s="365"/>
      <c r="OOC46" s="365" t="s">
        <v>108</v>
      </c>
      <c r="OOD46" s="365"/>
      <c r="OOE46" s="365"/>
      <c r="OOF46" s="365"/>
      <c r="OOG46" s="365" t="s">
        <v>108</v>
      </c>
      <c r="OOH46" s="365"/>
      <c r="OOI46" s="365"/>
      <c r="OOJ46" s="365"/>
      <c r="OOK46" s="365" t="s">
        <v>108</v>
      </c>
      <c r="OOL46" s="365"/>
      <c r="OOM46" s="365"/>
      <c r="OON46" s="365"/>
      <c r="OOO46" s="365" t="s">
        <v>108</v>
      </c>
      <c r="OOP46" s="365"/>
      <c r="OOQ46" s="365"/>
      <c r="OOR46" s="365"/>
      <c r="OOS46" s="365" t="s">
        <v>108</v>
      </c>
      <c r="OOT46" s="365"/>
      <c r="OOU46" s="365"/>
      <c r="OOV46" s="365"/>
      <c r="OOW46" s="365" t="s">
        <v>108</v>
      </c>
      <c r="OOX46" s="365"/>
      <c r="OOY46" s="365"/>
      <c r="OOZ46" s="365"/>
      <c r="OPA46" s="365" t="s">
        <v>108</v>
      </c>
      <c r="OPB46" s="365"/>
      <c r="OPC46" s="365"/>
      <c r="OPD46" s="365"/>
      <c r="OPE46" s="365" t="s">
        <v>108</v>
      </c>
      <c r="OPF46" s="365"/>
      <c r="OPG46" s="365"/>
      <c r="OPH46" s="365"/>
      <c r="OPI46" s="365" t="s">
        <v>108</v>
      </c>
      <c r="OPJ46" s="365"/>
      <c r="OPK46" s="365"/>
      <c r="OPL46" s="365"/>
      <c r="OPM46" s="365" t="s">
        <v>108</v>
      </c>
      <c r="OPN46" s="365"/>
      <c r="OPO46" s="365"/>
      <c r="OPP46" s="365"/>
      <c r="OPQ46" s="365" t="s">
        <v>108</v>
      </c>
      <c r="OPR46" s="365"/>
      <c r="OPS46" s="365"/>
      <c r="OPT46" s="365"/>
      <c r="OPU46" s="365" t="s">
        <v>108</v>
      </c>
      <c r="OPV46" s="365"/>
      <c r="OPW46" s="365"/>
      <c r="OPX46" s="365"/>
      <c r="OPY46" s="365" t="s">
        <v>108</v>
      </c>
      <c r="OPZ46" s="365"/>
      <c r="OQA46" s="365"/>
      <c r="OQB46" s="365"/>
      <c r="OQC46" s="365" t="s">
        <v>108</v>
      </c>
      <c r="OQD46" s="365"/>
      <c r="OQE46" s="365"/>
      <c r="OQF46" s="365"/>
      <c r="OQG46" s="365" t="s">
        <v>108</v>
      </c>
      <c r="OQH46" s="365"/>
      <c r="OQI46" s="365"/>
      <c r="OQJ46" s="365"/>
      <c r="OQK46" s="365" t="s">
        <v>108</v>
      </c>
      <c r="OQL46" s="365"/>
      <c r="OQM46" s="365"/>
      <c r="OQN46" s="365"/>
      <c r="OQO46" s="365" t="s">
        <v>108</v>
      </c>
      <c r="OQP46" s="365"/>
      <c r="OQQ46" s="365"/>
      <c r="OQR46" s="365"/>
      <c r="OQS46" s="365" t="s">
        <v>108</v>
      </c>
      <c r="OQT46" s="365"/>
      <c r="OQU46" s="365"/>
      <c r="OQV46" s="365"/>
      <c r="OQW46" s="365" t="s">
        <v>108</v>
      </c>
      <c r="OQX46" s="365"/>
      <c r="OQY46" s="365"/>
      <c r="OQZ46" s="365"/>
      <c r="ORA46" s="365" t="s">
        <v>108</v>
      </c>
      <c r="ORB46" s="365"/>
      <c r="ORC46" s="365"/>
      <c r="ORD46" s="365"/>
      <c r="ORE46" s="365" t="s">
        <v>108</v>
      </c>
      <c r="ORF46" s="365"/>
      <c r="ORG46" s="365"/>
      <c r="ORH46" s="365"/>
      <c r="ORI46" s="365" t="s">
        <v>108</v>
      </c>
      <c r="ORJ46" s="365"/>
      <c r="ORK46" s="365"/>
      <c r="ORL46" s="365"/>
      <c r="ORM46" s="365" t="s">
        <v>108</v>
      </c>
      <c r="ORN46" s="365"/>
      <c r="ORO46" s="365"/>
      <c r="ORP46" s="365"/>
      <c r="ORQ46" s="365" t="s">
        <v>108</v>
      </c>
      <c r="ORR46" s="365"/>
      <c r="ORS46" s="365"/>
      <c r="ORT46" s="365"/>
      <c r="ORU46" s="365" t="s">
        <v>108</v>
      </c>
      <c r="ORV46" s="365"/>
      <c r="ORW46" s="365"/>
      <c r="ORX46" s="365"/>
      <c r="ORY46" s="365" t="s">
        <v>108</v>
      </c>
      <c r="ORZ46" s="365"/>
      <c r="OSA46" s="365"/>
      <c r="OSB46" s="365"/>
      <c r="OSC46" s="365" t="s">
        <v>108</v>
      </c>
      <c r="OSD46" s="365"/>
      <c r="OSE46" s="365"/>
      <c r="OSF46" s="365"/>
      <c r="OSG46" s="365" t="s">
        <v>108</v>
      </c>
      <c r="OSH46" s="365"/>
      <c r="OSI46" s="365"/>
      <c r="OSJ46" s="365"/>
      <c r="OSK46" s="365" t="s">
        <v>108</v>
      </c>
      <c r="OSL46" s="365"/>
      <c r="OSM46" s="365"/>
      <c r="OSN46" s="365"/>
      <c r="OSO46" s="365" t="s">
        <v>108</v>
      </c>
      <c r="OSP46" s="365"/>
      <c r="OSQ46" s="365"/>
      <c r="OSR46" s="365"/>
      <c r="OSS46" s="365" t="s">
        <v>108</v>
      </c>
      <c r="OST46" s="365"/>
      <c r="OSU46" s="365"/>
      <c r="OSV46" s="365"/>
      <c r="OSW46" s="365" t="s">
        <v>108</v>
      </c>
      <c r="OSX46" s="365"/>
      <c r="OSY46" s="365"/>
      <c r="OSZ46" s="365"/>
      <c r="OTA46" s="365" t="s">
        <v>108</v>
      </c>
      <c r="OTB46" s="365"/>
      <c r="OTC46" s="365"/>
      <c r="OTD46" s="365"/>
      <c r="OTE46" s="365" t="s">
        <v>108</v>
      </c>
      <c r="OTF46" s="365"/>
      <c r="OTG46" s="365"/>
      <c r="OTH46" s="365"/>
      <c r="OTI46" s="365" t="s">
        <v>108</v>
      </c>
      <c r="OTJ46" s="365"/>
      <c r="OTK46" s="365"/>
      <c r="OTL46" s="365"/>
      <c r="OTM46" s="365" t="s">
        <v>108</v>
      </c>
      <c r="OTN46" s="365"/>
      <c r="OTO46" s="365"/>
      <c r="OTP46" s="365"/>
      <c r="OTQ46" s="365" t="s">
        <v>108</v>
      </c>
      <c r="OTR46" s="365"/>
      <c r="OTS46" s="365"/>
      <c r="OTT46" s="365"/>
      <c r="OTU46" s="365" t="s">
        <v>108</v>
      </c>
      <c r="OTV46" s="365"/>
      <c r="OTW46" s="365"/>
      <c r="OTX46" s="365"/>
      <c r="OTY46" s="365" t="s">
        <v>108</v>
      </c>
      <c r="OTZ46" s="365"/>
      <c r="OUA46" s="365"/>
      <c r="OUB46" s="365"/>
      <c r="OUC46" s="365" t="s">
        <v>108</v>
      </c>
      <c r="OUD46" s="365"/>
      <c r="OUE46" s="365"/>
      <c r="OUF46" s="365"/>
      <c r="OUG46" s="365" t="s">
        <v>108</v>
      </c>
      <c r="OUH46" s="365"/>
      <c r="OUI46" s="365"/>
      <c r="OUJ46" s="365"/>
      <c r="OUK46" s="365" t="s">
        <v>108</v>
      </c>
      <c r="OUL46" s="365"/>
      <c r="OUM46" s="365"/>
      <c r="OUN46" s="365"/>
      <c r="OUO46" s="365" t="s">
        <v>108</v>
      </c>
      <c r="OUP46" s="365"/>
      <c r="OUQ46" s="365"/>
      <c r="OUR46" s="365"/>
      <c r="OUS46" s="365" t="s">
        <v>108</v>
      </c>
      <c r="OUT46" s="365"/>
      <c r="OUU46" s="365"/>
      <c r="OUV46" s="365"/>
      <c r="OUW46" s="365" t="s">
        <v>108</v>
      </c>
      <c r="OUX46" s="365"/>
      <c r="OUY46" s="365"/>
      <c r="OUZ46" s="365"/>
      <c r="OVA46" s="365" t="s">
        <v>108</v>
      </c>
      <c r="OVB46" s="365"/>
      <c r="OVC46" s="365"/>
      <c r="OVD46" s="365"/>
      <c r="OVE46" s="365" t="s">
        <v>108</v>
      </c>
      <c r="OVF46" s="365"/>
      <c r="OVG46" s="365"/>
      <c r="OVH46" s="365"/>
      <c r="OVI46" s="365" t="s">
        <v>108</v>
      </c>
      <c r="OVJ46" s="365"/>
      <c r="OVK46" s="365"/>
      <c r="OVL46" s="365"/>
      <c r="OVM46" s="365" t="s">
        <v>108</v>
      </c>
      <c r="OVN46" s="365"/>
      <c r="OVO46" s="365"/>
      <c r="OVP46" s="365"/>
      <c r="OVQ46" s="365" t="s">
        <v>108</v>
      </c>
      <c r="OVR46" s="365"/>
      <c r="OVS46" s="365"/>
      <c r="OVT46" s="365"/>
      <c r="OVU46" s="365" t="s">
        <v>108</v>
      </c>
      <c r="OVV46" s="365"/>
      <c r="OVW46" s="365"/>
      <c r="OVX46" s="365"/>
      <c r="OVY46" s="365" t="s">
        <v>108</v>
      </c>
      <c r="OVZ46" s="365"/>
      <c r="OWA46" s="365"/>
      <c r="OWB46" s="365"/>
      <c r="OWC46" s="365" t="s">
        <v>108</v>
      </c>
      <c r="OWD46" s="365"/>
      <c r="OWE46" s="365"/>
      <c r="OWF46" s="365"/>
      <c r="OWG46" s="365" t="s">
        <v>108</v>
      </c>
      <c r="OWH46" s="365"/>
      <c r="OWI46" s="365"/>
      <c r="OWJ46" s="365"/>
      <c r="OWK46" s="365" t="s">
        <v>108</v>
      </c>
      <c r="OWL46" s="365"/>
      <c r="OWM46" s="365"/>
      <c r="OWN46" s="365"/>
      <c r="OWO46" s="365" t="s">
        <v>108</v>
      </c>
      <c r="OWP46" s="365"/>
      <c r="OWQ46" s="365"/>
      <c r="OWR46" s="365"/>
      <c r="OWS46" s="365" t="s">
        <v>108</v>
      </c>
      <c r="OWT46" s="365"/>
      <c r="OWU46" s="365"/>
      <c r="OWV46" s="365"/>
      <c r="OWW46" s="365" t="s">
        <v>108</v>
      </c>
      <c r="OWX46" s="365"/>
      <c r="OWY46" s="365"/>
      <c r="OWZ46" s="365"/>
      <c r="OXA46" s="365" t="s">
        <v>108</v>
      </c>
      <c r="OXB46" s="365"/>
      <c r="OXC46" s="365"/>
      <c r="OXD46" s="365"/>
      <c r="OXE46" s="365" t="s">
        <v>108</v>
      </c>
      <c r="OXF46" s="365"/>
      <c r="OXG46" s="365"/>
      <c r="OXH46" s="365"/>
      <c r="OXI46" s="365" t="s">
        <v>108</v>
      </c>
      <c r="OXJ46" s="365"/>
      <c r="OXK46" s="365"/>
      <c r="OXL46" s="365"/>
      <c r="OXM46" s="365" t="s">
        <v>108</v>
      </c>
      <c r="OXN46" s="365"/>
      <c r="OXO46" s="365"/>
      <c r="OXP46" s="365"/>
      <c r="OXQ46" s="365" t="s">
        <v>108</v>
      </c>
      <c r="OXR46" s="365"/>
      <c r="OXS46" s="365"/>
      <c r="OXT46" s="365"/>
      <c r="OXU46" s="365" t="s">
        <v>108</v>
      </c>
      <c r="OXV46" s="365"/>
      <c r="OXW46" s="365"/>
      <c r="OXX46" s="365"/>
      <c r="OXY46" s="365" t="s">
        <v>108</v>
      </c>
      <c r="OXZ46" s="365"/>
      <c r="OYA46" s="365"/>
      <c r="OYB46" s="365"/>
      <c r="OYC46" s="365" t="s">
        <v>108</v>
      </c>
      <c r="OYD46" s="365"/>
      <c r="OYE46" s="365"/>
      <c r="OYF46" s="365"/>
      <c r="OYG46" s="365" t="s">
        <v>108</v>
      </c>
      <c r="OYH46" s="365"/>
      <c r="OYI46" s="365"/>
      <c r="OYJ46" s="365"/>
      <c r="OYK46" s="365" t="s">
        <v>108</v>
      </c>
      <c r="OYL46" s="365"/>
      <c r="OYM46" s="365"/>
      <c r="OYN46" s="365"/>
      <c r="OYO46" s="365" t="s">
        <v>108</v>
      </c>
      <c r="OYP46" s="365"/>
      <c r="OYQ46" s="365"/>
      <c r="OYR46" s="365"/>
      <c r="OYS46" s="365" t="s">
        <v>108</v>
      </c>
      <c r="OYT46" s="365"/>
      <c r="OYU46" s="365"/>
      <c r="OYV46" s="365"/>
      <c r="OYW46" s="365" t="s">
        <v>108</v>
      </c>
      <c r="OYX46" s="365"/>
      <c r="OYY46" s="365"/>
      <c r="OYZ46" s="365"/>
      <c r="OZA46" s="365" t="s">
        <v>108</v>
      </c>
      <c r="OZB46" s="365"/>
      <c r="OZC46" s="365"/>
      <c r="OZD46" s="365"/>
      <c r="OZE46" s="365" t="s">
        <v>108</v>
      </c>
      <c r="OZF46" s="365"/>
      <c r="OZG46" s="365"/>
      <c r="OZH46" s="365"/>
      <c r="OZI46" s="365" t="s">
        <v>108</v>
      </c>
      <c r="OZJ46" s="365"/>
      <c r="OZK46" s="365"/>
      <c r="OZL46" s="365"/>
      <c r="OZM46" s="365" t="s">
        <v>108</v>
      </c>
      <c r="OZN46" s="365"/>
      <c r="OZO46" s="365"/>
      <c r="OZP46" s="365"/>
      <c r="OZQ46" s="365" t="s">
        <v>108</v>
      </c>
      <c r="OZR46" s="365"/>
      <c r="OZS46" s="365"/>
      <c r="OZT46" s="365"/>
      <c r="OZU46" s="365" t="s">
        <v>108</v>
      </c>
      <c r="OZV46" s="365"/>
      <c r="OZW46" s="365"/>
      <c r="OZX46" s="365"/>
      <c r="OZY46" s="365" t="s">
        <v>108</v>
      </c>
      <c r="OZZ46" s="365"/>
      <c r="PAA46" s="365"/>
      <c r="PAB46" s="365"/>
      <c r="PAC46" s="365" t="s">
        <v>108</v>
      </c>
      <c r="PAD46" s="365"/>
      <c r="PAE46" s="365"/>
      <c r="PAF46" s="365"/>
      <c r="PAG46" s="365" t="s">
        <v>108</v>
      </c>
      <c r="PAH46" s="365"/>
      <c r="PAI46" s="365"/>
      <c r="PAJ46" s="365"/>
      <c r="PAK46" s="365" t="s">
        <v>108</v>
      </c>
      <c r="PAL46" s="365"/>
      <c r="PAM46" s="365"/>
      <c r="PAN46" s="365"/>
      <c r="PAO46" s="365" t="s">
        <v>108</v>
      </c>
      <c r="PAP46" s="365"/>
      <c r="PAQ46" s="365"/>
      <c r="PAR46" s="365"/>
      <c r="PAS46" s="365" t="s">
        <v>108</v>
      </c>
      <c r="PAT46" s="365"/>
      <c r="PAU46" s="365"/>
      <c r="PAV46" s="365"/>
      <c r="PAW46" s="365" t="s">
        <v>108</v>
      </c>
      <c r="PAX46" s="365"/>
      <c r="PAY46" s="365"/>
      <c r="PAZ46" s="365"/>
      <c r="PBA46" s="365" t="s">
        <v>108</v>
      </c>
      <c r="PBB46" s="365"/>
      <c r="PBC46" s="365"/>
      <c r="PBD46" s="365"/>
      <c r="PBE46" s="365" t="s">
        <v>108</v>
      </c>
      <c r="PBF46" s="365"/>
      <c r="PBG46" s="365"/>
      <c r="PBH46" s="365"/>
      <c r="PBI46" s="365" t="s">
        <v>108</v>
      </c>
      <c r="PBJ46" s="365"/>
      <c r="PBK46" s="365"/>
      <c r="PBL46" s="365"/>
      <c r="PBM46" s="365" t="s">
        <v>108</v>
      </c>
      <c r="PBN46" s="365"/>
      <c r="PBO46" s="365"/>
      <c r="PBP46" s="365"/>
      <c r="PBQ46" s="365" t="s">
        <v>108</v>
      </c>
      <c r="PBR46" s="365"/>
      <c r="PBS46" s="365"/>
      <c r="PBT46" s="365"/>
      <c r="PBU46" s="365" t="s">
        <v>108</v>
      </c>
      <c r="PBV46" s="365"/>
      <c r="PBW46" s="365"/>
      <c r="PBX46" s="365"/>
      <c r="PBY46" s="365" t="s">
        <v>108</v>
      </c>
      <c r="PBZ46" s="365"/>
      <c r="PCA46" s="365"/>
      <c r="PCB46" s="365"/>
      <c r="PCC46" s="365" t="s">
        <v>108</v>
      </c>
      <c r="PCD46" s="365"/>
      <c r="PCE46" s="365"/>
      <c r="PCF46" s="365"/>
      <c r="PCG46" s="365" t="s">
        <v>108</v>
      </c>
      <c r="PCH46" s="365"/>
      <c r="PCI46" s="365"/>
      <c r="PCJ46" s="365"/>
      <c r="PCK46" s="365" t="s">
        <v>108</v>
      </c>
      <c r="PCL46" s="365"/>
      <c r="PCM46" s="365"/>
      <c r="PCN46" s="365"/>
      <c r="PCO46" s="365" t="s">
        <v>108</v>
      </c>
      <c r="PCP46" s="365"/>
      <c r="PCQ46" s="365"/>
      <c r="PCR46" s="365"/>
      <c r="PCS46" s="365" t="s">
        <v>108</v>
      </c>
      <c r="PCT46" s="365"/>
      <c r="PCU46" s="365"/>
      <c r="PCV46" s="365"/>
      <c r="PCW46" s="365" t="s">
        <v>108</v>
      </c>
      <c r="PCX46" s="365"/>
      <c r="PCY46" s="365"/>
      <c r="PCZ46" s="365"/>
      <c r="PDA46" s="365" t="s">
        <v>108</v>
      </c>
      <c r="PDB46" s="365"/>
      <c r="PDC46" s="365"/>
      <c r="PDD46" s="365"/>
      <c r="PDE46" s="365" t="s">
        <v>108</v>
      </c>
      <c r="PDF46" s="365"/>
      <c r="PDG46" s="365"/>
      <c r="PDH46" s="365"/>
      <c r="PDI46" s="365" t="s">
        <v>108</v>
      </c>
      <c r="PDJ46" s="365"/>
      <c r="PDK46" s="365"/>
      <c r="PDL46" s="365"/>
      <c r="PDM46" s="365" t="s">
        <v>108</v>
      </c>
      <c r="PDN46" s="365"/>
      <c r="PDO46" s="365"/>
      <c r="PDP46" s="365"/>
      <c r="PDQ46" s="365" t="s">
        <v>108</v>
      </c>
      <c r="PDR46" s="365"/>
      <c r="PDS46" s="365"/>
      <c r="PDT46" s="365"/>
      <c r="PDU46" s="365" t="s">
        <v>108</v>
      </c>
      <c r="PDV46" s="365"/>
      <c r="PDW46" s="365"/>
      <c r="PDX46" s="365"/>
      <c r="PDY46" s="365" t="s">
        <v>108</v>
      </c>
      <c r="PDZ46" s="365"/>
      <c r="PEA46" s="365"/>
      <c r="PEB46" s="365"/>
      <c r="PEC46" s="365" t="s">
        <v>108</v>
      </c>
      <c r="PED46" s="365"/>
      <c r="PEE46" s="365"/>
      <c r="PEF46" s="365"/>
      <c r="PEG46" s="365" t="s">
        <v>108</v>
      </c>
      <c r="PEH46" s="365"/>
      <c r="PEI46" s="365"/>
      <c r="PEJ46" s="365"/>
      <c r="PEK46" s="365" t="s">
        <v>108</v>
      </c>
      <c r="PEL46" s="365"/>
      <c r="PEM46" s="365"/>
      <c r="PEN46" s="365"/>
      <c r="PEO46" s="365" t="s">
        <v>108</v>
      </c>
      <c r="PEP46" s="365"/>
      <c r="PEQ46" s="365"/>
      <c r="PER46" s="365"/>
      <c r="PES46" s="365" t="s">
        <v>108</v>
      </c>
      <c r="PET46" s="365"/>
      <c r="PEU46" s="365"/>
      <c r="PEV46" s="365"/>
      <c r="PEW46" s="365" t="s">
        <v>108</v>
      </c>
      <c r="PEX46" s="365"/>
      <c r="PEY46" s="365"/>
      <c r="PEZ46" s="365"/>
      <c r="PFA46" s="365" t="s">
        <v>108</v>
      </c>
      <c r="PFB46" s="365"/>
      <c r="PFC46" s="365"/>
      <c r="PFD46" s="365"/>
      <c r="PFE46" s="365" t="s">
        <v>108</v>
      </c>
      <c r="PFF46" s="365"/>
      <c r="PFG46" s="365"/>
      <c r="PFH46" s="365"/>
      <c r="PFI46" s="365" t="s">
        <v>108</v>
      </c>
      <c r="PFJ46" s="365"/>
      <c r="PFK46" s="365"/>
      <c r="PFL46" s="365"/>
      <c r="PFM46" s="365" t="s">
        <v>108</v>
      </c>
      <c r="PFN46" s="365"/>
      <c r="PFO46" s="365"/>
      <c r="PFP46" s="365"/>
      <c r="PFQ46" s="365" t="s">
        <v>108</v>
      </c>
      <c r="PFR46" s="365"/>
      <c r="PFS46" s="365"/>
      <c r="PFT46" s="365"/>
      <c r="PFU46" s="365" t="s">
        <v>108</v>
      </c>
      <c r="PFV46" s="365"/>
      <c r="PFW46" s="365"/>
      <c r="PFX46" s="365"/>
      <c r="PFY46" s="365" t="s">
        <v>108</v>
      </c>
      <c r="PFZ46" s="365"/>
      <c r="PGA46" s="365"/>
      <c r="PGB46" s="365"/>
      <c r="PGC46" s="365" t="s">
        <v>108</v>
      </c>
      <c r="PGD46" s="365"/>
      <c r="PGE46" s="365"/>
      <c r="PGF46" s="365"/>
      <c r="PGG46" s="365" t="s">
        <v>108</v>
      </c>
      <c r="PGH46" s="365"/>
      <c r="PGI46" s="365"/>
      <c r="PGJ46" s="365"/>
      <c r="PGK46" s="365" t="s">
        <v>108</v>
      </c>
      <c r="PGL46" s="365"/>
      <c r="PGM46" s="365"/>
      <c r="PGN46" s="365"/>
      <c r="PGO46" s="365" t="s">
        <v>108</v>
      </c>
      <c r="PGP46" s="365"/>
      <c r="PGQ46" s="365"/>
      <c r="PGR46" s="365"/>
      <c r="PGS46" s="365" t="s">
        <v>108</v>
      </c>
      <c r="PGT46" s="365"/>
      <c r="PGU46" s="365"/>
      <c r="PGV46" s="365"/>
      <c r="PGW46" s="365" t="s">
        <v>108</v>
      </c>
      <c r="PGX46" s="365"/>
      <c r="PGY46" s="365"/>
      <c r="PGZ46" s="365"/>
      <c r="PHA46" s="365" t="s">
        <v>108</v>
      </c>
      <c r="PHB46" s="365"/>
      <c r="PHC46" s="365"/>
      <c r="PHD46" s="365"/>
      <c r="PHE46" s="365" t="s">
        <v>108</v>
      </c>
      <c r="PHF46" s="365"/>
      <c r="PHG46" s="365"/>
      <c r="PHH46" s="365"/>
      <c r="PHI46" s="365" t="s">
        <v>108</v>
      </c>
      <c r="PHJ46" s="365"/>
      <c r="PHK46" s="365"/>
      <c r="PHL46" s="365"/>
      <c r="PHM46" s="365" t="s">
        <v>108</v>
      </c>
      <c r="PHN46" s="365"/>
      <c r="PHO46" s="365"/>
      <c r="PHP46" s="365"/>
      <c r="PHQ46" s="365" t="s">
        <v>108</v>
      </c>
      <c r="PHR46" s="365"/>
      <c r="PHS46" s="365"/>
      <c r="PHT46" s="365"/>
      <c r="PHU46" s="365" t="s">
        <v>108</v>
      </c>
      <c r="PHV46" s="365"/>
      <c r="PHW46" s="365"/>
      <c r="PHX46" s="365"/>
      <c r="PHY46" s="365" t="s">
        <v>108</v>
      </c>
      <c r="PHZ46" s="365"/>
      <c r="PIA46" s="365"/>
      <c r="PIB46" s="365"/>
      <c r="PIC46" s="365" t="s">
        <v>108</v>
      </c>
      <c r="PID46" s="365"/>
      <c r="PIE46" s="365"/>
      <c r="PIF46" s="365"/>
      <c r="PIG46" s="365" t="s">
        <v>108</v>
      </c>
      <c r="PIH46" s="365"/>
      <c r="PII46" s="365"/>
      <c r="PIJ46" s="365"/>
      <c r="PIK46" s="365" t="s">
        <v>108</v>
      </c>
      <c r="PIL46" s="365"/>
      <c r="PIM46" s="365"/>
      <c r="PIN46" s="365"/>
      <c r="PIO46" s="365" t="s">
        <v>108</v>
      </c>
      <c r="PIP46" s="365"/>
      <c r="PIQ46" s="365"/>
      <c r="PIR46" s="365"/>
      <c r="PIS46" s="365" t="s">
        <v>108</v>
      </c>
      <c r="PIT46" s="365"/>
      <c r="PIU46" s="365"/>
      <c r="PIV46" s="365"/>
      <c r="PIW46" s="365" t="s">
        <v>108</v>
      </c>
      <c r="PIX46" s="365"/>
      <c r="PIY46" s="365"/>
      <c r="PIZ46" s="365"/>
      <c r="PJA46" s="365" t="s">
        <v>108</v>
      </c>
      <c r="PJB46" s="365"/>
      <c r="PJC46" s="365"/>
      <c r="PJD46" s="365"/>
      <c r="PJE46" s="365" t="s">
        <v>108</v>
      </c>
      <c r="PJF46" s="365"/>
      <c r="PJG46" s="365"/>
      <c r="PJH46" s="365"/>
      <c r="PJI46" s="365" t="s">
        <v>108</v>
      </c>
      <c r="PJJ46" s="365"/>
      <c r="PJK46" s="365"/>
      <c r="PJL46" s="365"/>
      <c r="PJM46" s="365" t="s">
        <v>108</v>
      </c>
      <c r="PJN46" s="365"/>
      <c r="PJO46" s="365"/>
      <c r="PJP46" s="365"/>
      <c r="PJQ46" s="365" t="s">
        <v>108</v>
      </c>
      <c r="PJR46" s="365"/>
      <c r="PJS46" s="365"/>
      <c r="PJT46" s="365"/>
      <c r="PJU46" s="365" t="s">
        <v>108</v>
      </c>
      <c r="PJV46" s="365"/>
      <c r="PJW46" s="365"/>
      <c r="PJX46" s="365"/>
      <c r="PJY46" s="365" t="s">
        <v>108</v>
      </c>
      <c r="PJZ46" s="365"/>
      <c r="PKA46" s="365"/>
      <c r="PKB46" s="365"/>
      <c r="PKC46" s="365" t="s">
        <v>108</v>
      </c>
      <c r="PKD46" s="365"/>
      <c r="PKE46" s="365"/>
      <c r="PKF46" s="365"/>
      <c r="PKG46" s="365" t="s">
        <v>108</v>
      </c>
      <c r="PKH46" s="365"/>
      <c r="PKI46" s="365"/>
      <c r="PKJ46" s="365"/>
      <c r="PKK46" s="365" t="s">
        <v>108</v>
      </c>
      <c r="PKL46" s="365"/>
      <c r="PKM46" s="365"/>
      <c r="PKN46" s="365"/>
      <c r="PKO46" s="365" t="s">
        <v>108</v>
      </c>
      <c r="PKP46" s="365"/>
      <c r="PKQ46" s="365"/>
      <c r="PKR46" s="365"/>
      <c r="PKS46" s="365" t="s">
        <v>108</v>
      </c>
      <c r="PKT46" s="365"/>
      <c r="PKU46" s="365"/>
      <c r="PKV46" s="365"/>
      <c r="PKW46" s="365" t="s">
        <v>108</v>
      </c>
      <c r="PKX46" s="365"/>
      <c r="PKY46" s="365"/>
      <c r="PKZ46" s="365"/>
      <c r="PLA46" s="365" t="s">
        <v>108</v>
      </c>
      <c r="PLB46" s="365"/>
      <c r="PLC46" s="365"/>
      <c r="PLD46" s="365"/>
      <c r="PLE46" s="365" t="s">
        <v>108</v>
      </c>
      <c r="PLF46" s="365"/>
      <c r="PLG46" s="365"/>
      <c r="PLH46" s="365"/>
      <c r="PLI46" s="365" t="s">
        <v>108</v>
      </c>
      <c r="PLJ46" s="365"/>
      <c r="PLK46" s="365"/>
      <c r="PLL46" s="365"/>
      <c r="PLM46" s="365" t="s">
        <v>108</v>
      </c>
      <c r="PLN46" s="365"/>
      <c r="PLO46" s="365"/>
      <c r="PLP46" s="365"/>
      <c r="PLQ46" s="365" t="s">
        <v>108</v>
      </c>
      <c r="PLR46" s="365"/>
      <c r="PLS46" s="365"/>
      <c r="PLT46" s="365"/>
      <c r="PLU46" s="365" t="s">
        <v>108</v>
      </c>
      <c r="PLV46" s="365"/>
      <c r="PLW46" s="365"/>
      <c r="PLX46" s="365"/>
      <c r="PLY46" s="365" t="s">
        <v>108</v>
      </c>
      <c r="PLZ46" s="365"/>
      <c r="PMA46" s="365"/>
      <c r="PMB46" s="365"/>
      <c r="PMC46" s="365" t="s">
        <v>108</v>
      </c>
      <c r="PMD46" s="365"/>
      <c r="PME46" s="365"/>
      <c r="PMF46" s="365"/>
      <c r="PMG46" s="365" t="s">
        <v>108</v>
      </c>
      <c r="PMH46" s="365"/>
      <c r="PMI46" s="365"/>
      <c r="PMJ46" s="365"/>
      <c r="PMK46" s="365" t="s">
        <v>108</v>
      </c>
      <c r="PML46" s="365"/>
      <c r="PMM46" s="365"/>
      <c r="PMN46" s="365"/>
      <c r="PMO46" s="365" t="s">
        <v>108</v>
      </c>
      <c r="PMP46" s="365"/>
      <c r="PMQ46" s="365"/>
      <c r="PMR46" s="365"/>
      <c r="PMS46" s="365" t="s">
        <v>108</v>
      </c>
      <c r="PMT46" s="365"/>
      <c r="PMU46" s="365"/>
      <c r="PMV46" s="365"/>
      <c r="PMW46" s="365" t="s">
        <v>108</v>
      </c>
      <c r="PMX46" s="365"/>
      <c r="PMY46" s="365"/>
      <c r="PMZ46" s="365"/>
      <c r="PNA46" s="365" t="s">
        <v>108</v>
      </c>
      <c r="PNB46" s="365"/>
      <c r="PNC46" s="365"/>
      <c r="PND46" s="365"/>
      <c r="PNE46" s="365" t="s">
        <v>108</v>
      </c>
      <c r="PNF46" s="365"/>
      <c r="PNG46" s="365"/>
      <c r="PNH46" s="365"/>
      <c r="PNI46" s="365" t="s">
        <v>108</v>
      </c>
      <c r="PNJ46" s="365"/>
      <c r="PNK46" s="365"/>
      <c r="PNL46" s="365"/>
      <c r="PNM46" s="365" t="s">
        <v>108</v>
      </c>
      <c r="PNN46" s="365"/>
      <c r="PNO46" s="365"/>
      <c r="PNP46" s="365"/>
      <c r="PNQ46" s="365" t="s">
        <v>108</v>
      </c>
      <c r="PNR46" s="365"/>
      <c r="PNS46" s="365"/>
      <c r="PNT46" s="365"/>
      <c r="PNU46" s="365" t="s">
        <v>108</v>
      </c>
      <c r="PNV46" s="365"/>
      <c r="PNW46" s="365"/>
      <c r="PNX46" s="365"/>
      <c r="PNY46" s="365" t="s">
        <v>108</v>
      </c>
      <c r="PNZ46" s="365"/>
      <c r="POA46" s="365"/>
      <c r="POB46" s="365"/>
      <c r="POC46" s="365" t="s">
        <v>108</v>
      </c>
      <c r="POD46" s="365"/>
      <c r="POE46" s="365"/>
      <c r="POF46" s="365"/>
      <c r="POG46" s="365" t="s">
        <v>108</v>
      </c>
      <c r="POH46" s="365"/>
      <c r="POI46" s="365"/>
      <c r="POJ46" s="365"/>
      <c r="POK46" s="365" t="s">
        <v>108</v>
      </c>
      <c r="POL46" s="365"/>
      <c r="POM46" s="365"/>
      <c r="PON46" s="365"/>
      <c r="POO46" s="365" t="s">
        <v>108</v>
      </c>
      <c r="POP46" s="365"/>
      <c r="POQ46" s="365"/>
      <c r="POR46" s="365"/>
      <c r="POS46" s="365" t="s">
        <v>108</v>
      </c>
      <c r="POT46" s="365"/>
      <c r="POU46" s="365"/>
      <c r="POV46" s="365"/>
      <c r="POW46" s="365" t="s">
        <v>108</v>
      </c>
      <c r="POX46" s="365"/>
      <c r="POY46" s="365"/>
      <c r="POZ46" s="365"/>
      <c r="PPA46" s="365" t="s">
        <v>108</v>
      </c>
      <c r="PPB46" s="365"/>
      <c r="PPC46" s="365"/>
      <c r="PPD46" s="365"/>
      <c r="PPE46" s="365" t="s">
        <v>108</v>
      </c>
      <c r="PPF46" s="365"/>
      <c r="PPG46" s="365"/>
      <c r="PPH46" s="365"/>
      <c r="PPI46" s="365" t="s">
        <v>108</v>
      </c>
      <c r="PPJ46" s="365"/>
      <c r="PPK46" s="365"/>
      <c r="PPL46" s="365"/>
      <c r="PPM46" s="365" t="s">
        <v>108</v>
      </c>
      <c r="PPN46" s="365"/>
      <c r="PPO46" s="365"/>
      <c r="PPP46" s="365"/>
      <c r="PPQ46" s="365" t="s">
        <v>108</v>
      </c>
      <c r="PPR46" s="365"/>
      <c r="PPS46" s="365"/>
      <c r="PPT46" s="365"/>
      <c r="PPU46" s="365" t="s">
        <v>108</v>
      </c>
      <c r="PPV46" s="365"/>
      <c r="PPW46" s="365"/>
      <c r="PPX46" s="365"/>
      <c r="PPY46" s="365" t="s">
        <v>108</v>
      </c>
      <c r="PPZ46" s="365"/>
      <c r="PQA46" s="365"/>
      <c r="PQB46" s="365"/>
      <c r="PQC46" s="365" t="s">
        <v>108</v>
      </c>
      <c r="PQD46" s="365"/>
      <c r="PQE46" s="365"/>
      <c r="PQF46" s="365"/>
      <c r="PQG46" s="365" t="s">
        <v>108</v>
      </c>
      <c r="PQH46" s="365"/>
      <c r="PQI46" s="365"/>
      <c r="PQJ46" s="365"/>
      <c r="PQK46" s="365" t="s">
        <v>108</v>
      </c>
      <c r="PQL46" s="365"/>
      <c r="PQM46" s="365"/>
      <c r="PQN46" s="365"/>
      <c r="PQO46" s="365" t="s">
        <v>108</v>
      </c>
      <c r="PQP46" s="365"/>
      <c r="PQQ46" s="365"/>
      <c r="PQR46" s="365"/>
      <c r="PQS46" s="365" t="s">
        <v>108</v>
      </c>
      <c r="PQT46" s="365"/>
      <c r="PQU46" s="365"/>
      <c r="PQV46" s="365"/>
      <c r="PQW46" s="365" t="s">
        <v>108</v>
      </c>
      <c r="PQX46" s="365"/>
      <c r="PQY46" s="365"/>
      <c r="PQZ46" s="365"/>
      <c r="PRA46" s="365" t="s">
        <v>108</v>
      </c>
      <c r="PRB46" s="365"/>
      <c r="PRC46" s="365"/>
      <c r="PRD46" s="365"/>
      <c r="PRE46" s="365" t="s">
        <v>108</v>
      </c>
      <c r="PRF46" s="365"/>
      <c r="PRG46" s="365"/>
      <c r="PRH46" s="365"/>
      <c r="PRI46" s="365" t="s">
        <v>108</v>
      </c>
      <c r="PRJ46" s="365"/>
      <c r="PRK46" s="365"/>
      <c r="PRL46" s="365"/>
      <c r="PRM46" s="365" t="s">
        <v>108</v>
      </c>
      <c r="PRN46" s="365"/>
      <c r="PRO46" s="365"/>
      <c r="PRP46" s="365"/>
      <c r="PRQ46" s="365" t="s">
        <v>108</v>
      </c>
      <c r="PRR46" s="365"/>
      <c r="PRS46" s="365"/>
      <c r="PRT46" s="365"/>
      <c r="PRU46" s="365" t="s">
        <v>108</v>
      </c>
      <c r="PRV46" s="365"/>
      <c r="PRW46" s="365"/>
      <c r="PRX46" s="365"/>
      <c r="PRY46" s="365" t="s">
        <v>108</v>
      </c>
      <c r="PRZ46" s="365"/>
      <c r="PSA46" s="365"/>
      <c r="PSB46" s="365"/>
      <c r="PSC46" s="365" t="s">
        <v>108</v>
      </c>
      <c r="PSD46" s="365"/>
      <c r="PSE46" s="365"/>
      <c r="PSF46" s="365"/>
      <c r="PSG46" s="365" t="s">
        <v>108</v>
      </c>
      <c r="PSH46" s="365"/>
      <c r="PSI46" s="365"/>
      <c r="PSJ46" s="365"/>
      <c r="PSK46" s="365" t="s">
        <v>108</v>
      </c>
      <c r="PSL46" s="365"/>
      <c r="PSM46" s="365"/>
      <c r="PSN46" s="365"/>
      <c r="PSO46" s="365" t="s">
        <v>108</v>
      </c>
      <c r="PSP46" s="365"/>
      <c r="PSQ46" s="365"/>
      <c r="PSR46" s="365"/>
      <c r="PSS46" s="365" t="s">
        <v>108</v>
      </c>
      <c r="PST46" s="365"/>
      <c r="PSU46" s="365"/>
      <c r="PSV46" s="365"/>
      <c r="PSW46" s="365" t="s">
        <v>108</v>
      </c>
      <c r="PSX46" s="365"/>
      <c r="PSY46" s="365"/>
      <c r="PSZ46" s="365"/>
      <c r="PTA46" s="365" t="s">
        <v>108</v>
      </c>
      <c r="PTB46" s="365"/>
      <c r="PTC46" s="365"/>
      <c r="PTD46" s="365"/>
      <c r="PTE46" s="365" t="s">
        <v>108</v>
      </c>
      <c r="PTF46" s="365"/>
      <c r="PTG46" s="365"/>
      <c r="PTH46" s="365"/>
      <c r="PTI46" s="365" t="s">
        <v>108</v>
      </c>
      <c r="PTJ46" s="365"/>
      <c r="PTK46" s="365"/>
      <c r="PTL46" s="365"/>
      <c r="PTM46" s="365" t="s">
        <v>108</v>
      </c>
      <c r="PTN46" s="365"/>
      <c r="PTO46" s="365"/>
      <c r="PTP46" s="365"/>
      <c r="PTQ46" s="365" t="s">
        <v>108</v>
      </c>
      <c r="PTR46" s="365"/>
      <c r="PTS46" s="365"/>
      <c r="PTT46" s="365"/>
      <c r="PTU46" s="365" t="s">
        <v>108</v>
      </c>
      <c r="PTV46" s="365"/>
      <c r="PTW46" s="365"/>
      <c r="PTX46" s="365"/>
      <c r="PTY46" s="365" t="s">
        <v>108</v>
      </c>
      <c r="PTZ46" s="365"/>
      <c r="PUA46" s="365"/>
      <c r="PUB46" s="365"/>
      <c r="PUC46" s="365" t="s">
        <v>108</v>
      </c>
      <c r="PUD46" s="365"/>
      <c r="PUE46" s="365"/>
      <c r="PUF46" s="365"/>
      <c r="PUG46" s="365" t="s">
        <v>108</v>
      </c>
      <c r="PUH46" s="365"/>
      <c r="PUI46" s="365"/>
      <c r="PUJ46" s="365"/>
      <c r="PUK46" s="365" t="s">
        <v>108</v>
      </c>
      <c r="PUL46" s="365"/>
      <c r="PUM46" s="365"/>
      <c r="PUN46" s="365"/>
      <c r="PUO46" s="365" t="s">
        <v>108</v>
      </c>
      <c r="PUP46" s="365"/>
      <c r="PUQ46" s="365"/>
      <c r="PUR46" s="365"/>
      <c r="PUS46" s="365" t="s">
        <v>108</v>
      </c>
      <c r="PUT46" s="365"/>
      <c r="PUU46" s="365"/>
      <c r="PUV46" s="365"/>
      <c r="PUW46" s="365" t="s">
        <v>108</v>
      </c>
      <c r="PUX46" s="365"/>
      <c r="PUY46" s="365"/>
      <c r="PUZ46" s="365"/>
      <c r="PVA46" s="365" t="s">
        <v>108</v>
      </c>
      <c r="PVB46" s="365"/>
      <c r="PVC46" s="365"/>
      <c r="PVD46" s="365"/>
      <c r="PVE46" s="365" t="s">
        <v>108</v>
      </c>
      <c r="PVF46" s="365"/>
      <c r="PVG46" s="365"/>
      <c r="PVH46" s="365"/>
      <c r="PVI46" s="365" t="s">
        <v>108</v>
      </c>
      <c r="PVJ46" s="365"/>
      <c r="PVK46" s="365"/>
      <c r="PVL46" s="365"/>
      <c r="PVM46" s="365" t="s">
        <v>108</v>
      </c>
      <c r="PVN46" s="365"/>
      <c r="PVO46" s="365"/>
      <c r="PVP46" s="365"/>
      <c r="PVQ46" s="365" t="s">
        <v>108</v>
      </c>
      <c r="PVR46" s="365"/>
      <c r="PVS46" s="365"/>
      <c r="PVT46" s="365"/>
      <c r="PVU46" s="365" t="s">
        <v>108</v>
      </c>
      <c r="PVV46" s="365"/>
      <c r="PVW46" s="365"/>
      <c r="PVX46" s="365"/>
      <c r="PVY46" s="365" t="s">
        <v>108</v>
      </c>
      <c r="PVZ46" s="365"/>
      <c r="PWA46" s="365"/>
      <c r="PWB46" s="365"/>
      <c r="PWC46" s="365" t="s">
        <v>108</v>
      </c>
      <c r="PWD46" s="365"/>
      <c r="PWE46" s="365"/>
      <c r="PWF46" s="365"/>
      <c r="PWG46" s="365" t="s">
        <v>108</v>
      </c>
      <c r="PWH46" s="365"/>
      <c r="PWI46" s="365"/>
      <c r="PWJ46" s="365"/>
      <c r="PWK46" s="365" t="s">
        <v>108</v>
      </c>
      <c r="PWL46" s="365"/>
      <c r="PWM46" s="365"/>
      <c r="PWN46" s="365"/>
      <c r="PWO46" s="365" t="s">
        <v>108</v>
      </c>
      <c r="PWP46" s="365"/>
      <c r="PWQ46" s="365"/>
      <c r="PWR46" s="365"/>
      <c r="PWS46" s="365" t="s">
        <v>108</v>
      </c>
      <c r="PWT46" s="365"/>
      <c r="PWU46" s="365"/>
      <c r="PWV46" s="365"/>
      <c r="PWW46" s="365" t="s">
        <v>108</v>
      </c>
      <c r="PWX46" s="365"/>
      <c r="PWY46" s="365"/>
      <c r="PWZ46" s="365"/>
      <c r="PXA46" s="365" t="s">
        <v>108</v>
      </c>
      <c r="PXB46" s="365"/>
      <c r="PXC46" s="365"/>
      <c r="PXD46" s="365"/>
      <c r="PXE46" s="365" t="s">
        <v>108</v>
      </c>
      <c r="PXF46" s="365"/>
      <c r="PXG46" s="365"/>
      <c r="PXH46" s="365"/>
      <c r="PXI46" s="365" t="s">
        <v>108</v>
      </c>
      <c r="PXJ46" s="365"/>
      <c r="PXK46" s="365"/>
      <c r="PXL46" s="365"/>
      <c r="PXM46" s="365" t="s">
        <v>108</v>
      </c>
      <c r="PXN46" s="365"/>
      <c r="PXO46" s="365"/>
      <c r="PXP46" s="365"/>
      <c r="PXQ46" s="365" t="s">
        <v>108</v>
      </c>
      <c r="PXR46" s="365"/>
      <c r="PXS46" s="365"/>
      <c r="PXT46" s="365"/>
      <c r="PXU46" s="365" t="s">
        <v>108</v>
      </c>
      <c r="PXV46" s="365"/>
      <c r="PXW46" s="365"/>
      <c r="PXX46" s="365"/>
      <c r="PXY46" s="365" t="s">
        <v>108</v>
      </c>
      <c r="PXZ46" s="365"/>
      <c r="PYA46" s="365"/>
      <c r="PYB46" s="365"/>
      <c r="PYC46" s="365" t="s">
        <v>108</v>
      </c>
      <c r="PYD46" s="365"/>
      <c r="PYE46" s="365"/>
      <c r="PYF46" s="365"/>
      <c r="PYG46" s="365" t="s">
        <v>108</v>
      </c>
      <c r="PYH46" s="365"/>
      <c r="PYI46" s="365"/>
      <c r="PYJ46" s="365"/>
      <c r="PYK46" s="365" t="s">
        <v>108</v>
      </c>
      <c r="PYL46" s="365"/>
      <c r="PYM46" s="365"/>
      <c r="PYN46" s="365"/>
      <c r="PYO46" s="365" t="s">
        <v>108</v>
      </c>
      <c r="PYP46" s="365"/>
      <c r="PYQ46" s="365"/>
      <c r="PYR46" s="365"/>
      <c r="PYS46" s="365" t="s">
        <v>108</v>
      </c>
      <c r="PYT46" s="365"/>
      <c r="PYU46" s="365"/>
      <c r="PYV46" s="365"/>
      <c r="PYW46" s="365" t="s">
        <v>108</v>
      </c>
      <c r="PYX46" s="365"/>
      <c r="PYY46" s="365"/>
      <c r="PYZ46" s="365"/>
      <c r="PZA46" s="365" t="s">
        <v>108</v>
      </c>
      <c r="PZB46" s="365"/>
      <c r="PZC46" s="365"/>
      <c r="PZD46" s="365"/>
      <c r="PZE46" s="365" t="s">
        <v>108</v>
      </c>
      <c r="PZF46" s="365"/>
      <c r="PZG46" s="365"/>
      <c r="PZH46" s="365"/>
      <c r="PZI46" s="365" t="s">
        <v>108</v>
      </c>
      <c r="PZJ46" s="365"/>
      <c r="PZK46" s="365"/>
      <c r="PZL46" s="365"/>
      <c r="PZM46" s="365" t="s">
        <v>108</v>
      </c>
      <c r="PZN46" s="365"/>
      <c r="PZO46" s="365"/>
      <c r="PZP46" s="365"/>
      <c r="PZQ46" s="365" t="s">
        <v>108</v>
      </c>
      <c r="PZR46" s="365"/>
      <c r="PZS46" s="365"/>
      <c r="PZT46" s="365"/>
      <c r="PZU46" s="365" t="s">
        <v>108</v>
      </c>
      <c r="PZV46" s="365"/>
      <c r="PZW46" s="365"/>
      <c r="PZX46" s="365"/>
      <c r="PZY46" s="365" t="s">
        <v>108</v>
      </c>
      <c r="PZZ46" s="365"/>
      <c r="QAA46" s="365"/>
      <c r="QAB46" s="365"/>
      <c r="QAC46" s="365" t="s">
        <v>108</v>
      </c>
      <c r="QAD46" s="365"/>
      <c r="QAE46" s="365"/>
      <c r="QAF46" s="365"/>
      <c r="QAG46" s="365" t="s">
        <v>108</v>
      </c>
      <c r="QAH46" s="365"/>
      <c r="QAI46" s="365"/>
      <c r="QAJ46" s="365"/>
      <c r="QAK46" s="365" t="s">
        <v>108</v>
      </c>
      <c r="QAL46" s="365"/>
      <c r="QAM46" s="365"/>
      <c r="QAN46" s="365"/>
      <c r="QAO46" s="365" t="s">
        <v>108</v>
      </c>
      <c r="QAP46" s="365"/>
      <c r="QAQ46" s="365"/>
      <c r="QAR46" s="365"/>
      <c r="QAS46" s="365" t="s">
        <v>108</v>
      </c>
      <c r="QAT46" s="365"/>
      <c r="QAU46" s="365"/>
      <c r="QAV46" s="365"/>
      <c r="QAW46" s="365" t="s">
        <v>108</v>
      </c>
      <c r="QAX46" s="365"/>
      <c r="QAY46" s="365"/>
      <c r="QAZ46" s="365"/>
      <c r="QBA46" s="365" t="s">
        <v>108</v>
      </c>
      <c r="QBB46" s="365"/>
      <c r="QBC46" s="365"/>
      <c r="QBD46" s="365"/>
      <c r="QBE46" s="365" t="s">
        <v>108</v>
      </c>
      <c r="QBF46" s="365"/>
      <c r="QBG46" s="365"/>
      <c r="QBH46" s="365"/>
      <c r="QBI46" s="365" t="s">
        <v>108</v>
      </c>
      <c r="QBJ46" s="365"/>
      <c r="QBK46" s="365"/>
      <c r="QBL46" s="365"/>
      <c r="QBM46" s="365" t="s">
        <v>108</v>
      </c>
      <c r="QBN46" s="365"/>
      <c r="QBO46" s="365"/>
      <c r="QBP46" s="365"/>
      <c r="QBQ46" s="365" t="s">
        <v>108</v>
      </c>
      <c r="QBR46" s="365"/>
      <c r="QBS46" s="365"/>
      <c r="QBT46" s="365"/>
      <c r="QBU46" s="365" t="s">
        <v>108</v>
      </c>
      <c r="QBV46" s="365"/>
      <c r="QBW46" s="365"/>
      <c r="QBX46" s="365"/>
      <c r="QBY46" s="365" t="s">
        <v>108</v>
      </c>
      <c r="QBZ46" s="365"/>
      <c r="QCA46" s="365"/>
      <c r="QCB46" s="365"/>
      <c r="QCC46" s="365" t="s">
        <v>108</v>
      </c>
      <c r="QCD46" s="365"/>
      <c r="QCE46" s="365"/>
      <c r="QCF46" s="365"/>
      <c r="QCG46" s="365" t="s">
        <v>108</v>
      </c>
      <c r="QCH46" s="365"/>
      <c r="QCI46" s="365"/>
      <c r="QCJ46" s="365"/>
      <c r="QCK46" s="365" t="s">
        <v>108</v>
      </c>
      <c r="QCL46" s="365"/>
      <c r="QCM46" s="365"/>
      <c r="QCN46" s="365"/>
      <c r="QCO46" s="365" t="s">
        <v>108</v>
      </c>
      <c r="QCP46" s="365"/>
      <c r="QCQ46" s="365"/>
      <c r="QCR46" s="365"/>
      <c r="QCS46" s="365" t="s">
        <v>108</v>
      </c>
      <c r="QCT46" s="365"/>
      <c r="QCU46" s="365"/>
      <c r="QCV46" s="365"/>
      <c r="QCW46" s="365" t="s">
        <v>108</v>
      </c>
      <c r="QCX46" s="365"/>
      <c r="QCY46" s="365"/>
      <c r="QCZ46" s="365"/>
      <c r="QDA46" s="365" t="s">
        <v>108</v>
      </c>
      <c r="QDB46" s="365"/>
      <c r="QDC46" s="365"/>
      <c r="QDD46" s="365"/>
      <c r="QDE46" s="365" t="s">
        <v>108</v>
      </c>
      <c r="QDF46" s="365"/>
      <c r="QDG46" s="365"/>
      <c r="QDH46" s="365"/>
      <c r="QDI46" s="365" t="s">
        <v>108</v>
      </c>
      <c r="QDJ46" s="365"/>
      <c r="QDK46" s="365"/>
      <c r="QDL46" s="365"/>
      <c r="QDM46" s="365" t="s">
        <v>108</v>
      </c>
      <c r="QDN46" s="365"/>
      <c r="QDO46" s="365"/>
      <c r="QDP46" s="365"/>
      <c r="QDQ46" s="365" t="s">
        <v>108</v>
      </c>
      <c r="QDR46" s="365"/>
      <c r="QDS46" s="365"/>
      <c r="QDT46" s="365"/>
      <c r="QDU46" s="365" t="s">
        <v>108</v>
      </c>
      <c r="QDV46" s="365"/>
      <c r="QDW46" s="365"/>
      <c r="QDX46" s="365"/>
      <c r="QDY46" s="365" t="s">
        <v>108</v>
      </c>
      <c r="QDZ46" s="365"/>
      <c r="QEA46" s="365"/>
      <c r="QEB46" s="365"/>
      <c r="QEC46" s="365" t="s">
        <v>108</v>
      </c>
      <c r="QED46" s="365"/>
      <c r="QEE46" s="365"/>
      <c r="QEF46" s="365"/>
      <c r="QEG46" s="365" t="s">
        <v>108</v>
      </c>
      <c r="QEH46" s="365"/>
      <c r="QEI46" s="365"/>
      <c r="QEJ46" s="365"/>
      <c r="QEK46" s="365" t="s">
        <v>108</v>
      </c>
      <c r="QEL46" s="365"/>
      <c r="QEM46" s="365"/>
      <c r="QEN46" s="365"/>
      <c r="QEO46" s="365" t="s">
        <v>108</v>
      </c>
      <c r="QEP46" s="365"/>
      <c r="QEQ46" s="365"/>
      <c r="QER46" s="365"/>
      <c r="QES46" s="365" t="s">
        <v>108</v>
      </c>
      <c r="QET46" s="365"/>
      <c r="QEU46" s="365"/>
      <c r="QEV46" s="365"/>
      <c r="QEW46" s="365" t="s">
        <v>108</v>
      </c>
      <c r="QEX46" s="365"/>
      <c r="QEY46" s="365"/>
      <c r="QEZ46" s="365"/>
      <c r="QFA46" s="365" t="s">
        <v>108</v>
      </c>
      <c r="QFB46" s="365"/>
      <c r="QFC46" s="365"/>
      <c r="QFD46" s="365"/>
      <c r="QFE46" s="365" t="s">
        <v>108</v>
      </c>
      <c r="QFF46" s="365"/>
      <c r="QFG46" s="365"/>
      <c r="QFH46" s="365"/>
      <c r="QFI46" s="365" t="s">
        <v>108</v>
      </c>
      <c r="QFJ46" s="365"/>
      <c r="QFK46" s="365"/>
      <c r="QFL46" s="365"/>
      <c r="QFM46" s="365" t="s">
        <v>108</v>
      </c>
      <c r="QFN46" s="365"/>
      <c r="QFO46" s="365"/>
      <c r="QFP46" s="365"/>
      <c r="QFQ46" s="365" t="s">
        <v>108</v>
      </c>
      <c r="QFR46" s="365"/>
      <c r="QFS46" s="365"/>
      <c r="QFT46" s="365"/>
      <c r="QFU46" s="365" t="s">
        <v>108</v>
      </c>
      <c r="QFV46" s="365"/>
      <c r="QFW46" s="365"/>
      <c r="QFX46" s="365"/>
      <c r="QFY46" s="365" t="s">
        <v>108</v>
      </c>
      <c r="QFZ46" s="365"/>
      <c r="QGA46" s="365"/>
      <c r="QGB46" s="365"/>
      <c r="QGC46" s="365" t="s">
        <v>108</v>
      </c>
      <c r="QGD46" s="365"/>
      <c r="QGE46" s="365"/>
      <c r="QGF46" s="365"/>
      <c r="QGG46" s="365" t="s">
        <v>108</v>
      </c>
      <c r="QGH46" s="365"/>
      <c r="QGI46" s="365"/>
      <c r="QGJ46" s="365"/>
      <c r="QGK46" s="365" t="s">
        <v>108</v>
      </c>
      <c r="QGL46" s="365"/>
      <c r="QGM46" s="365"/>
      <c r="QGN46" s="365"/>
      <c r="QGO46" s="365" t="s">
        <v>108</v>
      </c>
      <c r="QGP46" s="365"/>
      <c r="QGQ46" s="365"/>
      <c r="QGR46" s="365"/>
      <c r="QGS46" s="365" t="s">
        <v>108</v>
      </c>
      <c r="QGT46" s="365"/>
      <c r="QGU46" s="365"/>
      <c r="QGV46" s="365"/>
      <c r="QGW46" s="365" t="s">
        <v>108</v>
      </c>
      <c r="QGX46" s="365"/>
      <c r="QGY46" s="365"/>
      <c r="QGZ46" s="365"/>
      <c r="QHA46" s="365" t="s">
        <v>108</v>
      </c>
      <c r="QHB46" s="365"/>
      <c r="QHC46" s="365"/>
      <c r="QHD46" s="365"/>
      <c r="QHE46" s="365" t="s">
        <v>108</v>
      </c>
      <c r="QHF46" s="365"/>
      <c r="QHG46" s="365"/>
      <c r="QHH46" s="365"/>
      <c r="QHI46" s="365" t="s">
        <v>108</v>
      </c>
      <c r="QHJ46" s="365"/>
      <c r="QHK46" s="365"/>
      <c r="QHL46" s="365"/>
      <c r="QHM46" s="365" t="s">
        <v>108</v>
      </c>
      <c r="QHN46" s="365"/>
      <c r="QHO46" s="365"/>
      <c r="QHP46" s="365"/>
      <c r="QHQ46" s="365" t="s">
        <v>108</v>
      </c>
      <c r="QHR46" s="365"/>
      <c r="QHS46" s="365"/>
      <c r="QHT46" s="365"/>
      <c r="QHU46" s="365" t="s">
        <v>108</v>
      </c>
      <c r="QHV46" s="365"/>
      <c r="QHW46" s="365"/>
      <c r="QHX46" s="365"/>
      <c r="QHY46" s="365" t="s">
        <v>108</v>
      </c>
      <c r="QHZ46" s="365"/>
      <c r="QIA46" s="365"/>
      <c r="QIB46" s="365"/>
      <c r="QIC46" s="365" t="s">
        <v>108</v>
      </c>
      <c r="QID46" s="365"/>
      <c r="QIE46" s="365"/>
      <c r="QIF46" s="365"/>
      <c r="QIG46" s="365" t="s">
        <v>108</v>
      </c>
      <c r="QIH46" s="365"/>
      <c r="QII46" s="365"/>
      <c r="QIJ46" s="365"/>
      <c r="QIK46" s="365" t="s">
        <v>108</v>
      </c>
      <c r="QIL46" s="365"/>
      <c r="QIM46" s="365"/>
      <c r="QIN46" s="365"/>
      <c r="QIO46" s="365" t="s">
        <v>108</v>
      </c>
      <c r="QIP46" s="365"/>
      <c r="QIQ46" s="365"/>
      <c r="QIR46" s="365"/>
      <c r="QIS46" s="365" t="s">
        <v>108</v>
      </c>
      <c r="QIT46" s="365"/>
      <c r="QIU46" s="365"/>
      <c r="QIV46" s="365"/>
      <c r="QIW46" s="365" t="s">
        <v>108</v>
      </c>
      <c r="QIX46" s="365"/>
      <c r="QIY46" s="365"/>
      <c r="QIZ46" s="365"/>
      <c r="QJA46" s="365" t="s">
        <v>108</v>
      </c>
      <c r="QJB46" s="365"/>
      <c r="QJC46" s="365"/>
      <c r="QJD46" s="365"/>
      <c r="QJE46" s="365" t="s">
        <v>108</v>
      </c>
      <c r="QJF46" s="365"/>
      <c r="QJG46" s="365"/>
      <c r="QJH46" s="365"/>
      <c r="QJI46" s="365" t="s">
        <v>108</v>
      </c>
      <c r="QJJ46" s="365"/>
      <c r="QJK46" s="365"/>
      <c r="QJL46" s="365"/>
      <c r="QJM46" s="365" t="s">
        <v>108</v>
      </c>
      <c r="QJN46" s="365"/>
      <c r="QJO46" s="365"/>
      <c r="QJP46" s="365"/>
      <c r="QJQ46" s="365" t="s">
        <v>108</v>
      </c>
      <c r="QJR46" s="365"/>
      <c r="QJS46" s="365"/>
      <c r="QJT46" s="365"/>
      <c r="QJU46" s="365" t="s">
        <v>108</v>
      </c>
      <c r="QJV46" s="365"/>
      <c r="QJW46" s="365"/>
      <c r="QJX46" s="365"/>
      <c r="QJY46" s="365" t="s">
        <v>108</v>
      </c>
      <c r="QJZ46" s="365"/>
      <c r="QKA46" s="365"/>
      <c r="QKB46" s="365"/>
      <c r="QKC46" s="365" t="s">
        <v>108</v>
      </c>
      <c r="QKD46" s="365"/>
      <c r="QKE46" s="365"/>
      <c r="QKF46" s="365"/>
      <c r="QKG46" s="365" t="s">
        <v>108</v>
      </c>
      <c r="QKH46" s="365"/>
      <c r="QKI46" s="365"/>
      <c r="QKJ46" s="365"/>
      <c r="QKK46" s="365" t="s">
        <v>108</v>
      </c>
      <c r="QKL46" s="365"/>
      <c r="QKM46" s="365"/>
      <c r="QKN46" s="365"/>
      <c r="QKO46" s="365" t="s">
        <v>108</v>
      </c>
      <c r="QKP46" s="365"/>
      <c r="QKQ46" s="365"/>
      <c r="QKR46" s="365"/>
      <c r="QKS46" s="365" t="s">
        <v>108</v>
      </c>
      <c r="QKT46" s="365"/>
      <c r="QKU46" s="365"/>
      <c r="QKV46" s="365"/>
      <c r="QKW46" s="365" t="s">
        <v>108</v>
      </c>
      <c r="QKX46" s="365"/>
      <c r="QKY46" s="365"/>
      <c r="QKZ46" s="365"/>
      <c r="QLA46" s="365" t="s">
        <v>108</v>
      </c>
      <c r="QLB46" s="365"/>
      <c r="QLC46" s="365"/>
      <c r="QLD46" s="365"/>
      <c r="QLE46" s="365" t="s">
        <v>108</v>
      </c>
      <c r="QLF46" s="365"/>
      <c r="QLG46" s="365"/>
      <c r="QLH46" s="365"/>
      <c r="QLI46" s="365" t="s">
        <v>108</v>
      </c>
      <c r="QLJ46" s="365"/>
      <c r="QLK46" s="365"/>
      <c r="QLL46" s="365"/>
      <c r="QLM46" s="365" t="s">
        <v>108</v>
      </c>
      <c r="QLN46" s="365"/>
      <c r="QLO46" s="365"/>
      <c r="QLP46" s="365"/>
      <c r="QLQ46" s="365" t="s">
        <v>108</v>
      </c>
      <c r="QLR46" s="365"/>
      <c r="QLS46" s="365"/>
      <c r="QLT46" s="365"/>
      <c r="QLU46" s="365" t="s">
        <v>108</v>
      </c>
      <c r="QLV46" s="365"/>
      <c r="QLW46" s="365"/>
      <c r="QLX46" s="365"/>
      <c r="QLY46" s="365" t="s">
        <v>108</v>
      </c>
      <c r="QLZ46" s="365"/>
      <c r="QMA46" s="365"/>
      <c r="QMB46" s="365"/>
      <c r="QMC46" s="365" t="s">
        <v>108</v>
      </c>
      <c r="QMD46" s="365"/>
      <c r="QME46" s="365"/>
      <c r="QMF46" s="365"/>
      <c r="QMG46" s="365" t="s">
        <v>108</v>
      </c>
      <c r="QMH46" s="365"/>
      <c r="QMI46" s="365"/>
      <c r="QMJ46" s="365"/>
      <c r="QMK46" s="365" t="s">
        <v>108</v>
      </c>
      <c r="QML46" s="365"/>
      <c r="QMM46" s="365"/>
      <c r="QMN46" s="365"/>
      <c r="QMO46" s="365" t="s">
        <v>108</v>
      </c>
      <c r="QMP46" s="365"/>
      <c r="QMQ46" s="365"/>
      <c r="QMR46" s="365"/>
      <c r="QMS46" s="365" t="s">
        <v>108</v>
      </c>
      <c r="QMT46" s="365"/>
      <c r="QMU46" s="365"/>
      <c r="QMV46" s="365"/>
      <c r="QMW46" s="365" t="s">
        <v>108</v>
      </c>
      <c r="QMX46" s="365"/>
      <c r="QMY46" s="365"/>
      <c r="QMZ46" s="365"/>
      <c r="QNA46" s="365" t="s">
        <v>108</v>
      </c>
      <c r="QNB46" s="365"/>
      <c r="QNC46" s="365"/>
      <c r="QND46" s="365"/>
      <c r="QNE46" s="365" t="s">
        <v>108</v>
      </c>
      <c r="QNF46" s="365"/>
      <c r="QNG46" s="365"/>
      <c r="QNH46" s="365"/>
      <c r="QNI46" s="365" t="s">
        <v>108</v>
      </c>
      <c r="QNJ46" s="365"/>
      <c r="QNK46" s="365"/>
      <c r="QNL46" s="365"/>
      <c r="QNM46" s="365" t="s">
        <v>108</v>
      </c>
      <c r="QNN46" s="365"/>
      <c r="QNO46" s="365"/>
      <c r="QNP46" s="365"/>
      <c r="QNQ46" s="365" t="s">
        <v>108</v>
      </c>
      <c r="QNR46" s="365"/>
      <c r="QNS46" s="365"/>
      <c r="QNT46" s="365"/>
      <c r="QNU46" s="365" t="s">
        <v>108</v>
      </c>
      <c r="QNV46" s="365"/>
      <c r="QNW46" s="365"/>
      <c r="QNX46" s="365"/>
      <c r="QNY46" s="365" t="s">
        <v>108</v>
      </c>
      <c r="QNZ46" s="365"/>
      <c r="QOA46" s="365"/>
      <c r="QOB46" s="365"/>
      <c r="QOC46" s="365" t="s">
        <v>108</v>
      </c>
      <c r="QOD46" s="365"/>
      <c r="QOE46" s="365"/>
      <c r="QOF46" s="365"/>
      <c r="QOG46" s="365" t="s">
        <v>108</v>
      </c>
      <c r="QOH46" s="365"/>
      <c r="QOI46" s="365"/>
      <c r="QOJ46" s="365"/>
      <c r="QOK46" s="365" t="s">
        <v>108</v>
      </c>
      <c r="QOL46" s="365"/>
      <c r="QOM46" s="365"/>
      <c r="QON46" s="365"/>
      <c r="QOO46" s="365" t="s">
        <v>108</v>
      </c>
      <c r="QOP46" s="365"/>
      <c r="QOQ46" s="365"/>
      <c r="QOR46" s="365"/>
      <c r="QOS46" s="365" t="s">
        <v>108</v>
      </c>
      <c r="QOT46" s="365"/>
      <c r="QOU46" s="365"/>
      <c r="QOV46" s="365"/>
      <c r="QOW46" s="365" t="s">
        <v>108</v>
      </c>
      <c r="QOX46" s="365"/>
      <c r="QOY46" s="365"/>
      <c r="QOZ46" s="365"/>
      <c r="QPA46" s="365" t="s">
        <v>108</v>
      </c>
      <c r="QPB46" s="365"/>
      <c r="QPC46" s="365"/>
      <c r="QPD46" s="365"/>
      <c r="QPE46" s="365" t="s">
        <v>108</v>
      </c>
      <c r="QPF46" s="365"/>
      <c r="QPG46" s="365"/>
      <c r="QPH46" s="365"/>
      <c r="QPI46" s="365" t="s">
        <v>108</v>
      </c>
      <c r="QPJ46" s="365"/>
      <c r="QPK46" s="365"/>
      <c r="QPL46" s="365"/>
      <c r="QPM46" s="365" t="s">
        <v>108</v>
      </c>
      <c r="QPN46" s="365"/>
      <c r="QPO46" s="365"/>
      <c r="QPP46" s="365"/>
      <c r="QPQ46" s="365" t="s">
        <v>108</v>
      </c>
      <c r="QPR46" s="365"/>
      <c r="QPS46" s="365"/>
      <c r="QPT46" s="365"/>
      <c r="QPU46" s="365" t="s">
        <v>108</v>
      </c>
      <c r="QPV46" s="365"/>
      <c r="QPW46" s="365"/>
      <c r="QPX46" s="365"/>
      <c r="QPY46" s="365" t="s">
        <v>108</v>
      </c>
      <c r="QPZ46" s="365"/>
      <c r="QQA46" s="365"/>
      <c r="QQB46" s="365"/>
      <c r="QQC46" s="365" t="s">
        <v>108</v>
      </c>
      <c r="QQD46" s="365"/>
      <c r="QQE46" s="365"/>
      <c r="QQF46" s="365"/>
      <c r="QQG46" s="365" t="s">
        <v>108</v>
      </c>
      <c r="QQH46" s="365"/>
      <c r="QQI46" s="365"/>
      <c r="QQJ46" s="365"/>
      <c r="QQK46" s="365" t="s">
        <v>108</v>
      </c>
      <c r="QQL46" s="365"/>
      <c r="QQM46" s="365"/>
      <c r="QQN46" s="365"/>
      <c r="QQO46" s="365" t="s">
        <v>108</v>
      </c>
      <c r="QQP46" s="365"/>
      <c r="QQQ46" s="365"/>
      <c r="QQR46" s="365"/>
      <c r="QQS46" s="365" t="s">
        <v>108</v>
      </c>
      <c r="QQT46" s="365"/>
      <c r="QQU46" s="365"/>
      <c r="QQV46" s="365"/>
      <c r="QQW46" s="365" t="s">
        <v>108</v>
      </c>
      <c r="QQX46" s="365"/>
      <c r="QQY46" s="365"/>
      <c r="QQZ46" s="365"/>
      <c r="QRA46" s="365" t="s">
        <v>108</v>
      </c>
      <c r="QRB46" s="365"/>
      <c r="QRC46" s="365"/>
      <c r="QRD46" s="365"/>
      <c r="QRE46" s="365" t="s">
        <v>108</v>
      </c>
      <c r="QRF46" s="365"/>
      <c r="QRG46" s="365"/>
      <c r="QRH46" s="365"/>
      <c r="QRI46" s="365" t="s">
        <v>108</v>
      </c>
      <c r="QRJ46" s="365"/>
      <c r="QRK46" s="365"/>
      <c r="QRL46" s="365"/>
      <c r="QRM46" s="365" t="s">
        <v>108</v>
      </c>
      <c r="QRN46" s="365"/>
      <c r="QRO46" s="365"/>
      <c r="QRP46" s="365"/>
      <c r="QRQ46" s="365" t="s">
        <v>108</v>
      </c>
      <c r="QRR46" s="365"/>
      <c r="QRS46" s="365"/>
      <c r="QRT46" s="365"/>
      <c r="QRU46" s="365" t="s">
        <v>108</v>
      </c>
      <c r="QRV46" s="365"/>
      <c r="QRW46" s="365"/>
      <c r="QRX46" s="365"/>
      <c r="QRY46" s="365" t="s">
        <v>108</v>
      </c>
      <c r="QRZ46" s="365"/>
      <c r="QSA46" s="365"/>
      <c r="QSB46" s="365"/>
      <c r="QSC46" s="365" t="s">
        <v>108</v>
      </c>
      <c r="QSD46" s="365"/>
      <c r="QSE46" s="365"/>
      <c r="QSF46" s="365"/>
      <c r="QSG46" s="365" t="s">
        <v>108</v>
      </c>
      <c r="QSH46" s="365"/>
      <c r="QSI46" s="365"/>
      <c r="QSJ46" s="365"/>
      <c r="QSK46" s="365" t="s">
        <v>108</v>
      </c>
      <c r="QSL46" s="365"/>
      <c r="QSM46" s="365"/>
      <c r="QSN46" s="365"/>
      <c r="QSO46" s="365" t="s">
        <v>108</v>
      </c>
      <c r="QSP46" s="365"/>
      <c r="QSQ46" s="365"/>
      <c r="QSR46" s="365"/>
      <c r="QSS46" s="365" t="s">
        <v>108</v>
      </c>
      <c r="QST46" s="365"/>
      <c r="QSU46" s="365"/>
      <c r="QSV46" s="365"/>
      <c r="QSW46" s="365" t="s">
        <v>108</v>
      </c>
      <c r="QSX46" s="365"/>
      <c r="QSY46" s="365"/>
      <c r="QSZ46" s="365"/>
      <c r="QTA46" s="365" t="s">
        <v>108</v>
      </c>
      <c r="QTB46" s="365"/>
      <c r="QTC46" s="365"/>
      <c r="QTD46" s="365"/>
      <c r="QTE46" s="365" t="s">
        <v>108</v>
      </c>
      <c r="QTF46" s="365"/>
      <c r="QTG46" s="365"/>
      <c r="QTH46" s="365"/>
      <c r="QTI46" s="365" t="s">
        <v>108</v>
      </c>
      <c r="QTJ46" s="365"/>
      <c r="QTK46" s="365"/>
      <c r="QTL46" s="365"/>
      <c r="QTM46" s="365" t="s">
        <v>108</v>
      </c>
      <c r="QTN46" s="365"/>
      <c r="QTO46" s="365"/>
      <c r="QTP46" s="365"/>
      <c r="QTQ46" s="365" t="s">
        <v>108</v>
      </c>
      <c r="QTR46" s="365"/>
      <c r="QTS46" s="365"/>
      <c r="QTT46" s="365"/>
      <c r="QTU46" s="365" t="s">
        <v>108</v>
      </c>
      <c r="QTV46" s="365"/>
      <c r="QTW46" s="365"/>
      <c r="QTX46" s="365"/>
      <c r="QTY46" s="365" t="s">
        <v>108</v>
      </c>
      <c r="QTZ46" s="365"/>
      <c r="QUA46" s="365"/>
      <c r="QUB46" s="365"/>
      <c r="QUC46" s="365" t="s">
        <v>108</v>
      </c>
      <c r="QUD46" s="365"/>
      <c r="QUE46" s="365"/>
      <c r="QUF46" s="365"/>
      <c r="QUG46" s="365" t="s">
        <v>108</v>
      </c>
      <c r="QUH46" s="365"/>
      <c r="QUI46" s="365"/>
      <c r="QUJ46" s="365"/>
      <c r="QUK46" s="365" t="s">
        <v>108</v>
      </c>
      <c r="QUL46" s="365"/>
      <c r="QUM46" s="365"/>
      <c r="QUN46" s="365"/>
      <c r="QUO46" s="365" t="s">
        <v>108</v>
      </c>
      <c r="QUP46" s="365"/>
      <c r="QUQ46" s="365"/>
      <c r="QUR46" s="365"/>
      <c r="QUS46" s="365" t="s">
        <v>108</v>
      </c>
      <c r="QUT46" s="365"/>
      <c r="QUU46" s="365"/>
      <c r="QUV46" s="365"/>
      <c r="QUW46" s="365" t="s">
        <v>108</v>
      </c>
      <c r="QUX46" s="365"/>
      <c r="QUY46" s="365"/>
      <c r="QUZ46" s="365"/>
      <c r="QVA46" s="365" t="s">
        <v>108</v>
      </c>
      <c r="QVB46" s="365"/>
      <c r="QVC46" s="365"/>
      <c r="QVD46" s="365"/>
      <c r="QVE46" s="365" t="s">
        <v>108</v>
      </c>
      <c r="QVF46" s="365"/>
      <c r="QVG46" s="365"/>
      <c r="QVH46" s="365"/>
      <c r="QVI46" s="365" t="s">
        <v>108</v>
      </c>
      <c r="QVJ46" s="365"/>
      <c r="QVK46" s="365"/>
      <c r="QVL46" s="365"/>
      <c r="QVM46" s="365" t="s">
        <v>108</v>
      </c>
      <c r="QVN46" s="365"/>
      <c r="QVO46" s="365"/>
      <c r="QVP46" s="365"/>
      <c r="QVQ46" s="365" t="s">
        <v>108</v>
      </c>
      <c r="QVR46" s="365"/>
      <c r="QVS46" s="365"/>
      <c r="QVT46" s="365"/>
      <c r="QVU46" s="365" t="s">
        <v>108</v>
      </c>
      <c r="QVV46" s="365"/>
      <c r="QVW46" s="365"/>
      <c r="QVX46" s="365"/>
      <c r="QVY46" s="365" t="s">
        <v>108</v>
      </c>
      <c r="QVZ46" s="365"/>
      <c r="QWA46" s="365"/>
      <c r="QWB46" s="365"/>
      <c r="QWC46" s="365" t="s">
        <v>108</v>
      </c>
      <c r="QWD46" s="365"/>
      <c r="QWE46" s="365"/>
      <c r="QWF46" s="365"/>
      <c r="QWG46" s="365" t="s">
        <v>108</v>
      </c>
      <c r="QWH46" s="365"/>
      <c r="QWI46" s="365"/>
      <c r="QWJ46" s="365"/>
      <c r="QWK46" s="365" t="s">
        <v>108</v>
      </c>
      <c r="QWL46" s="365"/>
      <c r="QWM46" s="365"/>
      <c r="QWN46" s="365"/>
      <c r="QWO46" s="365" t="s">
        <v>108</v>
      </c>
      <c r="QWP46" s="365"/>
      <c r="QWQ46" s="365"/>
      <c r="QWR46" s="365"/>
      <c r="QWS46" s="365" t="s">
        <v>108</v>
      </c>
      <c r="QWT46" s="365"/>
      <c r="QWU46" s="365"/>
      <c r="QWV46" s="365"/>
      <c r="QWW46" s="365" t="s">
        <v>108</v>
      </c>
      <c r="QWX46" s="365"/>
      <c r="QWY46" s="365"/>
      <c r="QWZ46" s="365"/>
      <c r="QXA46" s="365" t="s">
        <v>108</v>
      </c>
      <c r="QXB46" s="365"/>
      <c r="QXC46" s="365"/>
      <c r="QXD46" s="365"/>
      <c r="QXE46" s="365" t="s">
        <v>108</v>
      </c>
      <c r="QXF46" s="365"/>
      <c r="QXG46" s="365"/>
      <c r="QXH46" s="365"/>
      <c r="QXI46" s="365" t="s">
        <v>108</v>
      </c>
      <c r="QXJ46" s="365"/>
      <c r="QXK46" s="365"/>
      <c r="QXL46" s="365"/>
      <c r="QXM46" s="365" t="s">
        <v>108</v>
      </c>
      <c r="QXN46" s="365"/>
      <c r="QXO46" s="365"/>
      <c r="QXP46" s="365"/>
      <c r="QXQ46" s="365" t="s">
        <v>108</v>
      </c>
      <c r="QXR46" s="365"/>
      <c r="QXS46" s="365"/>
      <c r="QXT46" s="365"/>
      <c r="QXU46" s="365" t="s">
        <v>108</v>
      </c>
      <c r="QXV46" s="365"/>
      <c r="QXW46" s="365"/>
      <c r="QXX46" s="365"/>
      <c r="QXY46" s="365" t="s">
        <v>108</v>
      </c>
      <c r="QXZ46" s="365"/>
      <c r="QYA46" s="365"/>
      <c r="QYB46" s="365"/>
      <c r="QYC46" s="365" t="s">
        <v>108</v>
      </c>
      <c r="QYD46" s="365"/>
      <c r="QYE46" s="365"/>
      <c r="QYF46" s="365"/>
      <c r="QYG46" s="365" t="s">
        <v>108</v>
      </c>
      <c r="QYH46" s="365"/>
      <c r="QYI46" s="365"/>
      <c r="QYJ46" s="365"/>
      <c r="QYK46" s="365" t="s">
        <v>108</v>
      </c>
      <c r="QYL46" s="365"/>
      <c r="QYM46" s="365"/>
      <c r="QYN46" s="365"/>
      <c r="QYO46" s="365" t="s">
        <v>108</v>
      </c>
      <c r="QYP46" s="365"/>
      <c r="QYQ46" s="365"/>
      <c r="QYR46" s="365"/>
      <c r="QYS46" s="365" t="s">
        <v>108</v>
      </c>
      <c r="QYT46" s="365"/>
      <c r="QYU46" s="365"/>
      <c r="QYV46" s="365"/>
      <c r="QYW46" s="365" t="s">
        <v>108</v>
      </c>
      <c r="QYX46" s="365"/>
      <c r="QYY46" s="365"/>
      <c r="QYZ46" s="365"/>
      <c r="QZA46" s="365" t="s">
        <v>108</v>
      </c>
      <c r="QZB46" s="365"/>
      <c r="QZC46" s="365"/>
      <c r="QZD46" s="365"/>
      <c r="QZE46" s="365" t="s">
        <v>108</v>
      </c>
      <c r="QZF46" s="365"/>
      <c r="QZG46" s="365"/>
      <c r="QZH46" s="365"/>
      <c r="QZI46" s="365" t="s">
        <v>108</v>
      </c>
      <c r="QZJ46" s="365"/>
      <c r="QZK46" s="365"/>
      <c r="QZL46" s="365"/>
      <c r="QZM46" s="365" t="s">
        <v>108</v>
      </c>
      <c r="QZN46" s="365"/>
      <c r="QZO46" s="365"/>
      <c r="QZP46" s="365"/>
      <c r="QZQ46" s="365" t="s">
        <v>108</v>
      </c>
      <c r="QZR46" s="365"/>
      <c r="QZS46" s="365"/>
      <c r="QZT46" s="365"/>
      <c r="QZU46" s="365" t="s">
        <v>108</v>
      </c>
      <c r="QZV46" s="365"/>
      <c r="QZW46" s="365"/>
      <c r="QZX46" s="365"/>
      <c r="QZY46" s="365" t="s">
        <v>108</v>
      </c>
      <c r="QZZ46" s="365"/>
      <c r="RAA46" s="365"/>
      <c r="RAB46" s="365"/>
      <c r="RAC46" s="365" t="s">
        <v>108</v>
      </c>
      <c r="RAD46" s="365"/>
      <c r="RAE46" s="365"/>
      <c r="RAF46" s="365"/>
      <c r="RAG46" s="365" t="s">
        <v>108</v>
      </c>
      <c r="RAH46" s="365"/>
      <c r="RAI46" s="365"/>
      <c r="RAJ46" s="365"/>
      <c r="RAK46" s="365" t="s">
        <v>108</v>
      </c>
      <c r="RAL46" s="365"/>
      <c r="RAM46" s="365"/>
      <c r="RAN46" s="365"/>
      <c r="RAO46" s="365" t="s">
        <v>108</v>
      </c>
      <c r="RAP46" s="365"/>
      <c r="RAQ46" s="365"/>
      <c r="RAR46" s="365"/>
      <c r="RAS46" s="365" t="s">
        <v>108</v>
      </c>
      <c r="RAT46" s="365"/>
      <c r="RAU46" s="365"/>
      <c r="RAV46" s="365"/>
      <c r="RAW46" s="365" t="s">
        <v>108</v>
      </c>
      <c r="RAX46" s="365"/>
      <c r="RAY46" s="365"/>
      <c r="RAZ46" s="365"/>
      <c r="RBA46" s="365" t="s">
        <v>108</v>
      </c>
      <c r="RBB46" s="365"/>
      <c r="RBC46" s="365"/>
      <c r="RBD46" s="365"/>
      <c r="RBE46" s="365" t="s">
        <v>108</v>
      </c>
      <c r="RBF46" s="365"/>
      <c r="RBG46" s="365"/>
      <c r="RBH46" s="365"/>
      <c r="RBI46" s="365" t="s">
        <v>108</v>
      </c>
      <c r="RBJ46" s="365"/>
      <c r="RBK46" s="365"/>
      <c r="RBL46" s="365"/>
      <c r="RBM46" s="365" t="s">
        <v>108</v>
      </c>
      <c r="RBN46" s="365"/>
      <c r="RBO46" s="365"/>
      <c r="RBP46" s="365"/>
      <c r="RBQ46" s="365" t="s">
        <v>108</v>
      </c>
      <c r="RBR46" s="365"/>
      <c r="RBS46" s="365"/>
      <c r="RBT46" s="365"/>
      <c r="RBU46" s="365" t="s">
        <v>108</v>
      </c>
      <c r="RBV46" s="365"/>
      <c r="RBW46" s="365"/>
      <c r="RBX46" s="365"/>
      <c r="RBY46" s="365" t="s">
        <v>108</v>
      </c>
      <c r="RBZ46" s="365"/>
      <c r="RCA46" s="365"/>
      <c r="RCB46" s="365"/>
      <c r="RCC46" s="365" t="s">
        <v>108</v>
      </c>
      <c r="RCD46" s="365"/>
      <c r="RCE46" s="365"/>
      <c r="RCF46" s="365"/>
      <c r="RCG46" s="365" t="s">
        <v>108</v>
      </c>
      <c r="RCH46" s="365"/>
      <c r="RCI46" s="365"/>
      <c r="RCJ46" s="365"/>
      <c r="RCK46" s="365" t="s">
        <v>108</v>
      </c>
      <c r="RCL46" s="365"/>
      <c r="RCM46" s="365"/>
      <c r="RCN46" s="365"/>
      <c r="RCO46" s="365" t="s">
        <v>108</v>
      </c>
      <c r="RCP46" s="365"/>
      <c r="RCQ46" s="365"/>
      <c r="RCR46" s="365"/>
      <c r="RCS46" s="365" t="s">
        <v>108</v>
      </c>
      <c r="RCT46" s="365"/>
      <c r="RCU46" s="365"/>
      <c r="RCV46" s="365"/>
      <c r="RCW46" s="365" t="s">
        <v>108</v>
      </c>
      <c r="RCX46" s="365"/>
      <c r="RCY46" s="365"/>
      <c r="RCZ46" s="365"/>
      <c r="RDA46" s="365" t="s">
        <v>108</v>
      </c>
      <c r="RDB46" s="365"/>
      <c r="RDC46" s="365"/>
      <c r="RDD46" s="365"/>
      <c r="RDE46" s="365" t="s">
        <v>108</v>
      </c>
      <c r="RDF46" s="365"/>
      <c r="RDG46" s="365"/>
      <c r="RDH46" s="365"/>
      <c r="RDI46" s="365" t="s">
        <v>108</v>
      </c>
      <c r="RDJ46" s="365"/>
      <c r="RDK46" s="365"/>
      <c r="RDL46" s="365"/>
      <c r="RDM46" s="365" t="s">
        <v>108</v>
      </c>
      <c r="RDN46" s="365"/>
      <c r="RDO46" s="365"/>
      <c r="RDP46" s="365"/>
      <c r="RDQ46" s="365" t="s">
        <v>108</v>
      </c>
      <c r="RDR46" s="365"/>
      <c r="RDS46" s="365"/>
      <c r="RDT46" s="365"/>
      <c r="RDU46" s="365" t="s">
        <v>108</v>
      </c>
      <c r="RDV46" s="365"/>
      <c r="RDW46" s="365"/>
      <c r="RDX46" s="365"/>
      <c r="RDY46" s="365" t="s">
        <v>108</v>
      </c>
      <c r="RDZ46" s="365"/>
      <c r="REA46" s="365"/>
      <c r="REB46" s="365"/>
      <c r="REC46" s="365" t="s">
        <v>108</v>
      </c>
      <c r="RED46" s="365"/>
      <c r="REE46" s="365"/>
      <c r="REF46" s="365"/>
      <c r="REG46" s="365" t="s">
        <v>108</v>
      </c>
      <c r="REH46" s="365"/>
      <c r="REI46" s="365"/>
      <c r="REJ46" s="365"/>
      <c r="REK46" s="365" t="s">
        <v>108</v>
      </c>
      <c r="REL46" s="365"/>
      <c r="REM46" s="365"/>
      <c r="REN46" s="365"/>
      <c r="REO46" s="365" t="s">
        <v>108</v>
      </c>
      <c r="REP46" s="365"/>
      <c r="REQ46" s="365"/>
      <c r="RER46" s="365"/>
      <c r="RES46" s="365" t="s">
        <v>108</v>
      </c>
      <c r="RET46" s="365"/>
      <c r="REU46" s="365"/>
      <c r="REV46" s="365"/>
      <c r="REW46" s="365" t="s">
        <v>108</v>
      </c>
      <c r="REX46" s="365"/>
      <c r="REY46" s="365"/>
      <c r="REZ46" s="365"/>
      <c r="RFA46" s="365" t="s">
        <v>108</v>
      </c>
      <c r="RFB46" s="365"/>
      <c r="RFC46" s="365"/>
      <c r="RFD46" s="365"/>
      <c r="RFE46" s="365" t="s">
        <v>108</v>
      </c>
      <c r="RFF46" s="365"/>
      <c r="RFG46" s="365"/>
      <c r="RFH46" s="365"/>
      <c r="RFI46" s="365" t="s">
        <v>108</v>
      </c>
      <c r="RFJ46" s="365"/>
      <c r="RFK46" s="365"/>
      <c r="RFL46" s="365"/>
      <c r="RFM46" s="365" t="s">
        <v>108</v>
      </c>
      <c r="RFN46" s="365"/>
      <c r="RFO46" s="365"/>
      <c r="RFP46" s="365"/>
      <c r="RFQ46" s="365" t="s">
        <v>108</v>
      </c>
      <c r="RFR46" s="365"/>
      <c r="RFS46" s="365"/>
      <c r="RFT46" s="365"/>
      <c r="RFU46" s="365" t="s">
        <v>108</v>
      </c>
      <c r="RFV46" s="365"/>
      <c r="RFW46" s="365"/>
      <c r="RFX46" s="365"/>
      <c r="RFY46" s="365" t="s">
        <v>108</v>
      </c>
      <c r="RFZ46" s="365"/>
      <c r="RGA46" s="365"/>
      <c r="RGB46" s="365"/>
      <c r="RGC46" s="365" t="s">
        <v>108</v>
      </c>
      <c r="RGD46" s="365"/>
      <c r="RGE46" s="365"/>
      <c r="RGF46" s="365"/>
      <c r="RGG46" s="365" t="s">
        <v>108</v>
      </c>
      <c r="RGH46" s="365"/>
      <c r="RGI46" s="365"/>
      <c r="RGJ46" s="365"/>
      <c r="RGK46" s="365" t="s">
        <v>108</v>
      </c>
      <c r="RGL46" s="365"/>
      <c r="RGM46" s="365"/>
      <c r="RGN46" s="365"/>
      <c r="RGO46" s="365" t="s">
        <v>108</v>
      </c>
      <c r="RGP46" s="365"/>
      <c r="RGQ46" s="365"/>
      <c r="RGR46" s="365"/>
      <c r="RGS46" s="365" t="s">
        <v>108</v>
      </c>
      <c r="RGT46" s="365"/>
      <c r="RGU46" s="365"/>
      <c r="RGV46" s="365"/>
      <c r="RGW46" s="365" t="s">
        <v>108</v>
      </c>
      <c r="RGX46" s="365"/>
      <c r="RGY46" s="365"/>
      <c r="RGZ46" s="365"/>
      <c r="RHA46" s="365" t="s">
        <v>108</v>
      </c>
      <c r="RHB46" s="365"/>
      <c r="RHC46" s="365"/>
      <c r="RHD46" s="365"/>
      <c r="RHE46" s="365" t="s">
        <v>108</v>
      </c>
      <c r="RHF46" s="365"/>
      <c r="RHG46" s="365"/>
      <c r="RHH46" s="365"/>
      <c r="RHI46" s="365" t="s">
        <v>108</v>
      </c>
      <c r="RHJ46" s="365"/>
      <c r="RHK46" s="365"/>
      <c r="RHL46" s="365"/>
      <c r="RHM46" s="365" t="s">
        <v>108</v>
      </c>
      <c r="RHN46" s="365"/>
      <c r="RHO46" s="365"/>
      <c r="RHP46" s="365"/>
      <c r="RHQ46" s="365" t="s">
        <v>108</v>
      </c>
      <c r="RHR46" s="365"/>
      <c r="RHS46" s="365"/>
      <c r="RHT46" s="365"/>
      <c r="RHU46" s="365" t="s">
        <v>108</v>
      </c>
      <c r="RHV46" s="365"/>
      <c r="RHW46" s="365"/>
      <c r="RHX46" s="365"/>
      <c r="RHY46" s="365" t="s">
        <v>108</v>
      </c>
      <c r="RHZ46" s="365"/>
      <c r="RIA46" s="365"/>
      <c r="RIB46" s="365"/>
      <c r="RIC46" s="365" t="s">
        <v>108</v>
      </c>
      <c r="RID46" s="365"/>
      <c r="RIE46" s="365"/>
      <c r="RIF46" s="365"/>
      <c r="RIG46" s="365" t="s">
        <v>108</v>
      </c>
      <c r="RIH46" s="365"/>
      <c r="RII46" s="365"/>
      <c r="RIJ46" s="365"/>
      <c r="RIK46" s="365" t="s">
        <v>108</v>
      </c>
      <c r="RIL46" s="365"/>
      <c r="RIM46" s="365"/>
      <c r="RIN46" s="365"/>
      <c r="RIO46" s="365" t="s">
        <v>108</v>
      </c>
      <c r="RIP46" s="365"/>
      <c r="RIQ46" s="365"/>
      <c r="RIR46" s="365"/>
      <c r="RIS46" s="365" t="s">
        <v>108</v>
      </c>
      <c r="RIT46" s="365"/>
      <c r="RIU46" s="365"/>
      <c r="RIV46" s="365"/>
      <c r="RIW46" s="365" t="s">
        <v>108</v>
      </c>
      <c r="RIX46" s="365"/>
      <c r="RIY46" s="365"/>
      <c r="RIZ46" s="365"/>
      <c r="RJA46" s="365" t="s">
        <v>108</v>
      </c>
      <c r="RJB46" s="365"/>
      <c r="RJC46" s="365"/>
      <c r="RJD46" s="365"/>
      <c r="RJE46" s="365" t="s">
        <v>108</v>
      </c>
      <c r="RJF46" s="365"/>
      <c r="RJG46" s="365"/>
      <c r="RJH46" s="365"/>
      <c r="RJI46" s="365" t="s">
        <v>108</v>
      </c>
      <c r="RJJ46" s="365"/>
      <c r="RJK46" s="365"/>
      <c r="RJL46" s="365"/>
      <c r="RJM46" s="365" t="s">
        <v>108</v>
      </c>
      <c r="RJN46" s="365"/>
      <c r="RJO46" s="365"/>
      <c r="RJP46" s="365"/>
      <c r="RJQ46" s="365" t="s">
        <v>108</v>
      </c>
      <c r="RJR46" s="365"/>
      <c r="RJS46" s="365"/>
      <c r="RJT46" s="365"/>
      <c r="RJU46" s="365" t="s">
        <v>108</v>
      </c>
      <c r="RJV46" s="365"/>
      <c r="RJW46" s="365"/>
      <c r="RJX46" s="365"/>
      <c r="RJY46" s="365" t="s">
        <v>108</v>
      </c>
      <c r="RJZ46" s="365"/>
      <c r="RKA46" s="365"/>
      <c r="RKB46" s="365"/>
      <c r="RKC46" s="365" t="s">
        <v>108</v>
      </c>
      <c r="RKD46" s="365"/>
      <c r="RKE46" s="365"/>
      <c r="RKF46" s="365"/>
      <c r="RKG46" s="365" t="s">
        <v>108</v>
      </c>
      <c r="RKH46" s="365"/>
      <c r="RKI46" s="365"/>
      <c r="RKJ46" s="365"/>
      <c r="RKK46" s="365" t="s">
        <v>108</v>
      </c>
      <c r="RKL46" s="365"/>
      <c r="RKM46" s="365"/>
      <c r="RKN46" s="365"/>
      <c r="RKO46" s="365" t="s">
        <v>108</v>
      </c>
      <c r="RKP46" s="365"/>
      <c r="RKQ46" s="365"/>
      <c r="RKR46" s="365"/>
      <c r="RKS46" s="365" t="s">
        <v>108</v>
      </c>
      <c r="RKT46" s="365"/>
      <c r="RKU46" s="365"/>
      <c r="RKV46" s="365"/>
      <c r="RKW46" s="365" t="s">
        <v>108</v>
      </c>
      <c r="RKX46" s="365"/>
      <c r="RKY46" s="365"/>
      <c r="RKZ46" s="365"/>
      <c r="RLA46" s="365" t="s">
        <v>108</v>
      </c>
      <c r="RLB46" s="365"/>
      <c r="RLC46" s="365"/>
      <c r="RLD46" s="365"/>
      <c r="RLE46" s="365" t="s">
        <v>108</v>
      </c>
      <c r="RLF46" s="365"/>
      <c r="RLG46" s="365"/>
      <c r="RLH46" s="365"/>
      <c r="RLI46" s="365" t="s">
        <v>108</v>
      </c>
      <c r="RLJ46" s="365"/>
      <c r="RLK46" s="365"/>
      <c r="RLL46" s="365"/>
      <c r="RLM46" s="365" t="s">
        <v>108</v>
      </c>
      <c r="RLN46" s="365"/>
      <c r="RLO46" s="365"/>
      <c r="RLP46" s="365"/>
      <c r="RLQ46" s="365" t="s">
        <v>108</v>
      </c>
      <c r="RLR46" s="365"/>
      <c r="RLS46" s="365"/>
      <c r="RLT46" s="365"/>
      <c r="RLU46" s="365" t="s">
        <v>108</v>
      </c>
      <c r="RLV46" s="365"/>
      <c r="RLW46" s="365"/>
      <c r="RLX46" s="365"/>
      <c r="RLY46" s="365" t="s">
        <v>108</v>
      </c>
      <c r="RLZ46" s="365"/>
      <c r="RMA46" s="365"/>
      <c r="RMB46" s="365"/>
      <c r="RMC46" s="365" t="s">
        <v>108</v>
      </c>
      <c r="RMD46" s="365"/>
      <c r="RME46" s="365"/>
      <c r="RMF46" s="365"/>
      <c r="RMG46" s="365" t="s">
        <v>108</v>
      </c>
      <c r="RMH46" s="365"/>
      <c r="RMI46" s="365"/>
      <c r="RMJ46" s="365"/>
      <c r="RMK46" s="365" t="s">
        <v>108</v>
      </c>
      <c r="RML46" s="365"/>
      <c r="RMM46" s="365"/>
      <c r="RMN46" s="365"/>
      <c r="RMO46" s="365" t="s">
        <v>108</v>
      </c>
      <c r="RMP46" s="365"/>
      <c r="RMQ46" s="365"/>
      <c r="RMR46" s="365"/>
      <c r="RMS46" s="365" t="s">
        <v>108</v>
      </c>
      <c r="RMT46" s="365"/>
      <c r="RMU46" s="365"/>
      <c r="RMV46" s="365"/>
      <c r="RMW46" s="365" t="s">
        <v>108</v>
      </c>
      <c r="RMX46" s="365"/>
      <c r="RMY46" s="365"/>
      <c r="RMZ46" s="365"/>
      <c r="RNA46" s="365" t="s">
        <v>108</v>
      </c>
      <c r="RNB46" s="365"/>
      <c r="RNC46" s="365"/>
      <c r="RND46" s="365"/>
      <c r="RNE46" s="365" t="s">
        <v>108</v>
      </c>
      <c r="RNF46" s="365"/>
      <c r="RNG46" s="365"/>
      <c r="RNH46" s="365"/>
      <c r="RNI46" s="365" t="s">
        <v>108</v>
      </c>
      <c r="RNJ46" s="365"/>
      <c r="RNK46" s="365"/>
      <c r="RNL46" s="365"/>
      <c r="RNM46" s="365" t="s">
        <v>108</v>
      </c>
      <c r="RNN46" s="365"/>
      <c r="RNO46" s="365"/>
      <c r="RNP46" s="365"/>
      <c r="RNQ46" s="365" t="s">
        <v>108</v>
      </c>
      <c r="RNR46" s="365"/>
      <c r="RNS46" s="365"/>
      <c r="RNT46" s="365"/>
      <c r="RNU46" s="365" t="s">
        <v>108</v>
      </c>
      <c r="RNV46" s="365"/>
      <c r="RNW46" s="365"/>
      <c r="RNX46" s="365"/>
      <c r="RNY46" s="365" t="s">
        <v>108</v>
      </c>
      <c r="RNZ46" s="365"/>
      <c r="ROA46" s="365"/>
      <c r="ROB46" s="365"/>
      <c r="ROC46" s="365" t="s">
        <v>108</v>
      </c>
      <c r="ROD46" s="365"/>
      <c r="ROE46" s="365"/>
      <c r="ROF46" s="365"/>
      <c r="ROG46" s="365" t="s">
        <v>108</v>
      </c>
      <c r="ROH46" s="365"/>
      <c r="ROI46" s="365"/>
      <c r="ROJ46" s="365"/>
      <c r="ROK46" s="365" t="s">
        <v>108</v>
      </c>
      <c r="ROL46" s="365"/>
      <c r="ROM46" s="365"/>
      <c r="RON46" s="365"/>
      <c r="ROO46" s="365" t="s">
        <v>108</v>
      </c>
      <c r="ROP46" s="365"/>
      <c r="ROQ46" s="365"/>
      <c r="ROR46" s="365"/>
      <c r="ROS46" s="365" t="s">
        <v>108</v>
      </c>
      <c r="ROT46" s="365"/>
      <c r="ROU46" s="365"/>
      <c r="ROV46" s="365"/>
      <c r="ROW46" s="365" t="s">
        <v>108</v>
      </c>
      <c r="ROX46" s="365"/>
      <c r="ROY46" s="365"/>
      <c r="ROZ46" s="365"/>
      <c r="RPA46" s="365" t="s">
        <v>108</v>
      </c>
      <c r="RPB46" s="365"/>
      <c r="RPC46" s="365"/>
      <c r="RPD46" s="365"/>
      <c r="RPE46" s="365" t="s">
        <v>108</v>
      </c>
      <c r="RPF46" s="365"/>
      <c r="RPG46" s="365"/>
      <c r="RPH46" s="365"/>
      <c r="RPI46" s="365" t="s">
        <v>108</v>
      </c>
      <c r="RPJ46" s="365"/>
      <c r="RPK46" s="365"/>
      <c r="RPL46" s="365"/>
      <c r="RPM46" s="365" t="s">
        <v>108</v>
      </c>
      <c r="RPN46" s="365"/>
      <c r="RPO46" s="365"/>
      <c r="RPP46" s="365"/>
      <c r="RPQ46" s="365" t="s">
        <v>108</v>
      </c>
      <c r="RPR46" s="365"/>
      <c r="RPS46" s="365"/>
      <c r="RPT46" s="365"/>
      <c r="RPU46" s="365" t="s">
        <v>108</v>
      </c>
      <c r="RPV46" s="365"/>
      <c r="RPW46" s="365"/>
      <c r="RPX46" s="365"/>
      <c r="RPY46" s="365" t="s">
        <v>108</v>
      </c>
      <c r="RPZ46" s="365"/>
      <c r="RQA46" s="365"/>
      <c r="RQB46" s="365"/>
      <c r="RQC46" s="365" t="s">
        <v>108</v>
      </c>
      <c r="RQD46" s="365"/>
      <c r="RQE46" s="365"/>
      <c r="RQF46" s="365"/>
      <c r="RQG46" s="365" t="s">
        <v>108</v>
      </c>
      <c r="RQH46" s="365"/>
      <c r="RQI46" s="365"/>
      <c r="RQJ46" s="365"/>
      <c r="RQK46" s="365" t="s">
        <v>108</v>
      </c>
      <c r="RQL46" s="365"/>
      <c r="RQM46" s="365"/>
      <c r="RQN46" s="365"/>
      <c r="RQO46" s="365" t="s">
        <v>108</v>
      </c>
      <c r="RQP46" s="365"/>
      <c r="RQQ46" s="365"/>
      <c r="RQR46" s="365"/>
      <c r="RQS46" s="365" t="s">
        <v>108</v>
      </c>
      <c r="RQT46" s="365"/>
      <c r="RQU46" s="365"/>
      <c r="RQV46" s="365"/>
      <c r="RQW46" s="365" t="s">
        <v>108</v>
      </c>
      <c r="RQX46" s="365"/>
      <c r="RQY46" s="365"/>
      <c r="RQZ46" s="365"/>
      <c r="RRA46" s="365" t="s">
        <v>108</v>
      </c>
      <c r="RRB46" s="365"/>
      <c r="RRC46" s="365"/>
      <c r="RRD46" s="365"/>
      <c r="RRE46" s="365" t="s">
        <v>108</v>
      </c>
      <c r="RRF46" s="365"/>
      <c r="RRG46" s="365"/>
      <c r="RRH46" s="365"/>
      <c r="RRI46" s="365" t="s">
        <v>108</v>
      </c>
      <c r="RRJ46" s="365"/>
      <c r="RRK46" s="365"/>
      <c r="RRL46" s="365"/>
      <c r="RRM46" s="365" t="s">
        <v>108</v>
      </c>
      <c r="RRN46" s="365"/>
      <c r="RRO46" s="365"/>
      <c r="RRP46" s="365"/>
      <c r="RRQ46" s="365" t="s">
        <v>108</v>
      </c>
      <c r="RRR46" s="365"/>
      <c r="RRS46" s="365"/>
      <c r="RRT46" s="365"/>
      <c r="RRU46" s="365" t="s">
        <v>108</v>
      </c>
      <c r="RRV46" s="365"/>
      <c r="RRW46" s="365"/>
      <c r="RRX46" s="365"/>
      <c r="RRY46" s="365" t="s">
        <v>108</v>
      </c>
      <c r="RRZ46" s="365"/>
      <c r="RSA46" s="365"/>
      <c r="RSB46" s="365"/>
      <c r="RSC46" s="365" t="s">
        <v>108</v>
      </c>
      <c r="RSD46" s="365"/>
      <c r="RSE46" s="365"/>
      <c r="RSF46" s="365"/>
      <c r="RSG46" s="365" t="s">
        <v>108</v>
      </c>
      <c r="RSH46" s="365"/>
      <c r="RSI46" s="365"/>
      <c r="RSJ46" s="365"/>
      <c r="RSK46" s="365" t="s">
        <v>108</v>
      </c>
      <c r="RSL46" s="365"/>
      <c r="RSM46" s="365"/>
      <c r="RSN46" s="365"/>
      <c r="RSO46" s="365" t="s">
        <v>108</v>
      </c>
      <c r="RSP46" s="365"/>
      <c r="RSQ46" s="365"/>
      <c r="RSR46" s="365"/>
      <c r="RSS46" s="365" t="s">
        <v>108</v>
      </c>
      <c r="RST46" s="365"/>
      <c r="RSU46" s="365"/>
      <c r="RSV46" s="365"/>
      <c r="RSW46" s="365" t="s">
        <v>108</v>
      </c>
      <c r="RSX46" s="365"/>
      <c r="RSY46" s="365"/>
      <c r="RSZ46" s="365"/>
      <c r="RTA46" s="365" t="s">
        <v>108</v>
      </c>
      <c r="RTB46" s="365"/>
      <c r="RTC46" s="365"/>
      <c r="RTD46" s="365"/>
      <c r="RTE46" s="365" t="s">
        <v>108</v>
      </c>
      <c r="RTF46" s="365"/>
      <c r="RTG46" s="365"/>
      <c r="RTH46" s="365"/>
      <c r="RTI46" s="365" t="s">
        <v>108</v>
      </c>
      <c r="RTJ46" s="365"/>
      <c r="RTK46" s="365"/>
      <c r="RTL46" s="365"/>
      <c r="RTM46" s="365" t="s">
        <v>108</v>
      </c>
      <c r="RTN46" s="365"/>
      <c r="RTO46" s="365"/>
      <c r="RTP46" s="365"/>
      <c r="RTQ46" s="365" t="s">
        <v>108</v>
      </c>
      <c r="RTR46" s="365"/>
      <c r="RTS46" s="365"/>
      <c r="RTT46" s="365"/>
      <c r="RTU46" s="365" t="s">
        <v>108</v>
      </c>
      <c r="RTV46" s="365"/>
      <c r="RTW46" s="365"/>
      <c r="RTX46" s="365"/>
      <c r="RTY46" s="365" t="s">
        <v>108</v>
      </c>
      <c r="RTZ46" s="365"/>
      <c r="RUA46" s="365"/>
      <c r="RUB46" s="365"/>
      <c r="RUC46" s="365" t="s">
        <v>108</v>
      </c>
      <c r="RUD46" s="365"/>
      <c r="RUE46" s="365"/>
      <c r="RUF46" s="365"/>
      <c r="RUG46" s="365" t="s">
        <v>108</v>
      </c>
      <c r="RUH46" s="365"/>
      <c r="RUI46" s="365"/>
      <c r="RUJ46" s="365"/>
      <c r="RUK46" s="365" t="s">
        <v>108</v>
      </c>
      <c r="RUL46" s="365"/>
      <c r="RUM46" s="365"/>
      <c r="RUN46" s="365"/>
      <c r="RUO46" s="365" t="s">
        <v>108</v>
      </c>
      <c r="RUP46" s="365"/>
      <c r="RUQ46" s="365"/>
      <c r="RUR46" s="365"/>
      <c r="RUS46" s="365" t="s">
        <v>108</v>
      </c>
      <c r="RUT46" s="365"/>
      <c r="RUU46" s="365"/>
      <c r="RUV46" s="365"/>
      <c r="RUW46" s="365" t="s">
        <v>108</v>
      </c>
      <c r="RUX46" s="365"/>
      <c r="RUY46" s="365"/>
      <c r="RUZ46" s="365"/>
      <c r="RVA46" s="365" t="s">
        <v>108</v>
      </c>
      <c r="RVB46" s="365"/>
      <c r="RVC46" s="365"/>
      <c r="RVD46" s="365"/>
      <c r="RVE46" s="365" t="s">
        <v>108</v>
      </c>
      <c r="RVF46" s="365"/>
      <c r="RVG46" s="365"/>
      <c r="RVH46" s="365"/>
      <c r="RVI46" s="365" t="s">
        <v>108</v>
      </c>
      <c r="RVJ46" s="365"/>
      <c r="RVK46" s="365"/>
      <c r="RVL46" s="365"/>
      <c r="RVM46" s="365" t="s">
        <v>108</v>
      </c>
      <c r="RVN46" s="365"/>
      <c r="RVO46" s="365"/>
      <c r="RVP46" s="365"/>
      <c r="RVQ46" s="365" t="s">
        <v>108</v>
      </c>
      <c r="RVR46" s="365"/>
      <c r="RVS46" s="365"/>
      <c r="RVT46" s="365"/>
      <c r="RVU46" s="365" t="s">
        <v>108</v>
      </c>
      <c r="RVV46" s="365"/>
      <c r="RVW46" s="365"/>
      <c r="RVX46" s="365"/>
      <c r="RVY46" s="365" t="s">
        <v>108</v>
      </c>
      <c r="RVZ46" s="365"/>
      <c r="RWA46" s="365"/>
      <c r="RWB46" s="365"/>
      <c r="RWC46" s="365" t="s">
        <v>108</v>
      </c>
      <c r="RWD46" s="365"/>
      <c r="RWE46" s="365"/>
      <c r="RWF46" s="365"/>
      <c r="RWG46" s="365" t="s">
        <v>108</v>
      </c>
      <c r="RWH46" s="365"/>
      <c r="RWI46" s="365"/>
      <c r="RWJ46" s="365"/>
      <c r="RWK46" s="365" t="s">
        <v>108</v>
      </c>
      <c r="RWL46" s="365"/>
      <c r="RWM46" s="365"/>
      <c r="RWN46" s="365"/>
      <c r="RWO46" s="365" t="s">
        <v>108</v>
      </c>
      <c r="RWP46" s="365"/>
      <c r="RWQ46" s="365"/>
      <c r="RWR46" s="365"/>
      <c r="RWS46" s="365" t="s">
        <v>108</v>
      </c>
      <c r="RWT46" s="365"/>
      <c r="RWU46" s="365"/>
      <c r="RWV46" s="365"/>
      <c r="RWW46" s="365" t="s">
        <v>108</v>
      </c>
      <c r="RWX46" s="365"/>
      <c r="RWY46" s="365"/>
      <c r="RWZ46" s="365"/>
      <c r="RXA46" s="365" t="s">
        <v>108</v>
      </c>
      <c r="RXB46" s="365"/>
      <c r="RXC46" s="365"/>
      <c r="RXD46" s="365"/>
      <c r="RXE46" s="365" t="s">
        <v>108</v>
      </c>
      <c r="RXF46" s="365"/>
      <c r="RXG46" s="365"/>
      <c r="RXH46" s="365"/>
      <c r="RXI46" s="365" t="s">
        <v>108</v>
      </c>
      <c r="RXJ46" s="365"/>
      <c r="RXK46" s="365"/>
      <c r="RXL46" s="365"/>
      <c r="RXM46" s="365" t="s">
        <v>108</v>
      </c>
      <c r="RXN46" s="365"/>
      <c r="RXO46" s="365"/>
      <c r="RXP46" s="365"/>
      <c r="RXQ46" s="365" t="s">
        <v>108</v>
      </c>
      <c r="RXR46" s="365"/>
      <c r="RXS46" s="365"/>
      <c r="RXT46" s="365"/>
      <c r="RXU46" s="365" t="s">
        <v>108</v>
      </c>
      <c r="RXV46" s="365"/>
      <c r="RXW46" s="365"/>
      <c r="RXX46" s="365"/>
      <c r="RXY46" s="365" t="s">
        <v>108</v>
      </c>
      <c r="RXZ46" s="365"/>
      <c r="RYA46" s="365"/>
      <c r="RYB46" s="365"/>
      <c r="RYC46" s="365" t="s">
        <v>108</v>
      </c>
      <c r="RYD46" s="365"/>
      <c r="RYE46" s="365"/>
      <c r="RYF46" s="365"/>
      <c r="RYG46" s="365" t="s">
        <v>108</v>
      </c>
      <c r="RYH46" s="365"/>
      <c r="RYI46" s="365"/>
      <c r="RYJ46" s="365"/>
      <c r="RYK46" s="365" t="s">
        <v>108</v>
      </c>
      <c r="RYL46" s="365"/>
      <c r="RYM46" s="365"/>
      <c r="RYN46" s="365"/>
      <c r="RYO46" s="365" t="s">
        <v>108</v>
      </c>
      <c r="RYP46" s="365"/>
      <c r="RYQ46" s="365"/>
      <c r="RYR46" s="365"/>
      <c r="RYS46" s="365" t="s">
        <v>108</v>
      </c>
      <c r="RYT46" s="365"/>
      <c r="RYU46" s="365"/>
      <c r="RYV46" s="365"/>
      <c r="RYW46" s="365" t="s">
        <v>108</v>
      </c>
      <c r="RYX46" s="365"/>
      <c r="RYY46" s="365"/>
      <c r="RYZ46" s="365"/>
      <c r="RZA46" s="365" t="s">
        <v>108</v>
      </c>
      <c r="RZB46" s="365"/>
      <c r="RZC46" s="365"/>
      <c r="RZD46" s="365"/>
      <c r="RZE46" s="365" t="s">
        <v>108</v>
      </c>
      <c r="RZF46" s="365"/>
      <c r="RZG46" s="365"/>
      <c r="RZH46" s="365"/>
      <c r="RZI46" s="365" t="s">
        <v>108</v>
      </c>
      <c r="RZJ46" s="365"/>
      <c r="RZK46" s="365"/>
      <c r="RZL46" s="365"/>
      <c r="RZM46" s="365" t="s">
        <v>108</v>
      </c>
      <c r="RZN46" s="365"/>
      <c r="RZO46" s="365"/>
      <c r="RZP46" s="365"/>
      <c r="RZQ46" s="365" t="s">
        <v>108</v>
      </c>
      <c r="RZR46" s="365"/>
      <c r="RZS46" s="365"/>
      <c r="RZT46" s="365"/>
      <c r="RZU46" s="365" t="s">
        <v>108</v>
      </c>
      <c r="RZV46" s="365"/>
      <c r="RZW46" s="365"/>
      <c r="RZX46" s="365"/>
      <c r="RZY46" s="365" t="s">
        <v>108</v>
      </c>
      <c r="RZZ46" s="365"/>
      <c r="SAA46" s="365"/>
      <c r="SAB46" s="365"/>
      <c r="SAC46" s="365" t="s">
        <v>108</v>
      </c>
      <c r="SAD46" s="365"/>
      <c r="SAE46" s="365"/>
      <c r="SAF46" s="365"/>
      <c r="SAG46" s="365" t="s">
        <v>108</v>
      </c>
      <c r="SAH46" s="365"/>
      <c r="SAI46" s="365"/>
      <c r="SAJ46" s="365"/>
      <c r="SAK46" s="365" t="s">
        <v>108</v>
      </c>
      <c r="SAL46" s="365"/>
      <c r="SAM46" s="365"/>
      <c r="SAN46" s="365"/>
      <c r="SAO46" s="365" t="s">
        <v>108</v>
      </c>
      <c r="SAP46" s="365"/>
      <c r="SAQ46" s="365"/>
      <c r="SAR46" s="365"/>
      <c r="SAS46" s="365" t="s">
        <v>108</v>
      </c>
      <c r="SAT46" s="365"/>
      <c r="SAU46" s="365"/>
      <c r="SAV46" s="365"/>
      <c r="SAW46" s="365" t="s">
        <v>108</v>
      </c>
      <c r="SAX46" s="365"/>
      <c r="SAY46" s="365"/>
      <c r="SAZ46" s="365"/>
      <c r="SBA46" s="365" t="s">
        <v>108</v>
      </c>
      <c r="SBB46" s="365"/>
      <c r="SBC46" s="365"/>
      <c r="SBD46" s="365"/>
      <c r="SBE46" s="365" t="s">
        <v>108</v>
      </c>
      <c r="SBF46" s="365"/>
      <c r="SBG46" s="365"/>
      <c r="SBH46" s="365"/>
      <c r="SBI46" s="365" t="s">
        <v>108</v>
      </c>
      <c r="SBJ46" s="365"/>
      <c r="SBK46" s="365"/>
      <c r="SBL46" s="365"/>
      <c r="SBM46" s="365" t="s">
        <v>108</v>
      </c>
      <c r="SBN46" s="365"/>
      <c r="SBO46" s="365"/>
      <c r="SBP46" s="365"/>
      <c r="SBQ46" s="365" t="s">
        <v>108</v>
      </c>
      <c r="SBR46" s="365"/>
      <c r="SBS46" s="365"/>
      <c r="SBT46" s="365"/>
      <c r="SBU46" s="365" t="s">
        <v>108</v>
      </c>
      <c r="SBV46" s="365"/>
      <c r="SBW46" s="365"/>
      <c r="SBX46" s="365"/>
      <c r="SBY46" s="365" t="s">
        <v>108</v>
      </c>
      <c r="SBZ46" s="365"/>
      <c r="SCA46" s="365"/>
      <c r="SCB46" s="365"/>
      <c r="SCC46" s="365" t="s">
        <v>108</v>
      </c>
      <c r="SCD46" s="365"/>
      <c r="SCE46" s="365"/>
      <c r="SCF46" s="365"/>
      <c r="SCG46" s="365" t="s">
        <v>108</v>
      </c>
      <c r="SCH46" s="365"/>
      <c r="SCI46" s="365"/>
      <c r="SCJ46" s="365"/>
      <c r="SCK46" s="365" t="s">
        <v>108</v>
      </c>
      <c r="SCL46" s="365"/>
      <c r="SCM46" s="365"/>
      <c r="SCN46" s="365"/>
      <c r="SCO46" s="365" t="s">
        <v>108</v>
      </c>
      <c r="SCP46" s="365"/>
      <c r="SCQ46" s="365"/>
      <c r="SCR46" s="365"/>
      <c r="SCS46" s="365" t="s">
        <v>108</v>
      </c>
      <c r="SCT46" s="365"/>
      <c r="SCU46" s="365"/>
      <c r="SCV46" s="365"/>
      <c r="SCW46" s="365" t="s">
        <v>108</v>
      </c>
      <c r="SCX46" s="365"/>
      <c r="SCY46" s="365"/>
      <c r="SCZ46" s="365"/>
      <c r="SDA46" s="365" t="s">
        <v>108</v>
      </c>
      <c r="SDB46" s="365"/>
      <c r="SDC46" s="365"/>
      <c r="SDD46" s="365"/>
      <c r="SDE46" s="365" t="s">
        <v>108</v>
      </c>
      <c r="SDF46" s="365"/>
      <c r="SDG46" s="365"/>
      <c r="SDH46" s="365"/>
      <c r="SDI46" s="365" t="s">
        <v>108</v>
      </c>
      <c r="SDJ46" s="365"/>
      <c r="SDK46" s="365"/>
      <c r="SDL46" s="365"/>
      <c r="SDM46" s="365" t="s">
        <v>108</v>
      </c>
      <c r="SDN46" s="365"/>
      <c r="SDO46" s="365"/>
      <c r="SDP46" s="365"/>
      <c r="SDQ46" s="365" t="s">
        <v>108</v>
      </c>
      <c r="SDR46" s="365"/>
      <c r="SDS46" s="365"/>
      <c r="SDT46" s="365"/>
      <c r="SDU46" s="365" t="s">
        <v>108</v>
      </c>
      <c r="SDV46" s="365"/>
      <c r="SDW46" s="365"/>
      <c r="SDX46" s="365"/>
      <c r="SDY46" s="365" t="s">
        <v>108</v>
      </c>
      <c r="SDZ46" s="365"/>
      <c r="SEA46" s="365"/>
      <c r="SEB46" s="365"/>
      <c r="SEC46" s="365" t="s">
        <v>108</v>
      </c>
      <c r="SED46" s="365"/>
      <c r="SEE46" s="365"/>
      <c r="SEF46" s="365"/>
      <c r="SEG46" s="365" t="s">
        <v>108</v>
      </c>
      <c r="SEH46" s="365"/>
      <c r="SEI46" s="365"/>
      <c r="SEJ46" s="365"/>
      <c r="SEK46" s="365" t="s">
        <v>108</v>
      </c>
      <c r="SEL46" s="365"/>
      <c r="SEM46" s="365"/>
      <c r="SEN46" s="365"/>
      <c r="SEO46" s="365" t="s">
        <v>108</v>
      </c>
      <c r="SEP46" s="365"/>
      <c r="SEQ46" s="365"/>
      <c r="SER46" s="365"/>
      <c r="SES46" s="365" t="s">
        <v>108</v>
      </c>
      <c r="SET46" s="365"/>
      <c r="SEU46" s="365"/>
      <c r="SEV46" s="365"/>
      <c r="SEW46" s="365" t="s">
        <v>108</v>
      </c>
      <c r="SEX46" s="365"/>
      <c r="SEY46" s="365"/>
      <c r="SEZ46" s="365"/>
      <c r="SFA46" s="365" t="s">
        <v>108</v>
      </c>
      <c r="SFB46" s="365"/>
      <c r="SFC46" s="365"/>
      <c r="SFD46" s="365"/>
      <c r="SFE46" s="365" t="s">
        <v>108</v>
      </c>
      <c r="SFF46" s="365"/>
      <c r="SFG46" s="365"/>
      <c r="SFH46" s="365"/>
      <c r="SFI46" s="365" t="s">
        <v>108</v>
      </c>
      <c r="SFJ46" s="365"/>
      <c r="SFK46" s="365"/>
      <c r="SFL46" s="365"/>
      <c r="SFM46" s="365" t="s">
        <v>108</v>
      </c>
      <c r="SFN46" s="365"/>
      <c r="SFO46" s="365"/>
      <c r="SFP46" s="365"/>
      <c r="SFQ46" s="365" t="s">
        <v>108</v>
      </c>
      <c r="SFR46" s="365"/>
      <c r="SFS46" s="365"/>
      <c r="SFT46" s="365"/>
      <c r="SFU46" s="365" t="s">
        <v>108</v>
      </c>
      <c r="SFV46" s="365"/>
      <c r="SFW46" s="365"/>
      <c r="SFX46" s="365"/>
      <c r="SFY46" s="365" t="s">
        <v>108</v>
      </c>
      <c r="SFZ46" s="365"/>
      <c r="SGA46" s="365"/>
      <c r="SGB46" s="365"/>
      <c r="SGC46" s="365" t="s">
        <v>108</v>
      </c>
      <c r="SGD46" s="365"/>
      <c r="SGE46" s="365"/>
      <c r="SGF46" s="365"/>
      <c r="SGG46" s="365" t="s">
        <v>108</v>
      </c>
      <c r="SGH46" s="365"/>
      <c r="SGI46" s="365"/>
      <c r="SGJ46" s="365"/>
      <c r="SGK46" s="365" t="s">
        <v>108</v>
      </c>
      <c r="SGL46" s="365"/>
      <c r="SGM46" s="365"/>
      <c r="SGN46" s="365"/>
      <c r="SGO46" s="365" t="s">
        <v>108</v>
      </c>
      <c r="SGP46" s="365"/>
      <c r="SGQ46" s="365"/>
      <c r="SGR46" s="365"/>
      <c r="SGS46" s="365" t="s">
        <v>108</v>
      </c>
      <c r="SGT46" s="365"/>
      <c r="SGU46" s="365"/>
      <c r="SGV46" s="365"/>
      <c r="SGW46" s="365" t="s">
        <v>108</v>
      </c>
      <c r="SGX46" s="365"/>
      <c r="SGY46" s="365"/>
      <c r="SGZ46" s="365"/>
      <c r="SHA46" s="365" t="s">
        <v>108</v>
      </c>
      <c r="SHB46" s="365"/>
      <c r="SHC46" s="365"/>
      <c r="SHD46" s="365"/>
      <c r="SHE46" s="365" t="s">
        <v>108</v>
      </c>
      <c r="SHF46" s="365"/>
      <c r="SHG46" s="365"/>
      <c r="SHH46" s="365"/>
      <c r="SHI46" s="365" t="s">
        <v>108</v>
      </c>
      <c r="SHJ46" s="365"/>
      <c r="SHK46" s="365"/>
      <c r="SHL46" s="365"/>
      <c r="SHM46" s="365" t="s">
        <v>108</v>
      </c>
      <c r="SHN46" s="365"/>
      <c r="SHO46" s="365"/>
      <c r="SHP46" s="365"/>
      <c r="SHQ46" s="365" t="s">
        <v>108</v>
      </c>
      <c r="SHR46" s="365"/>
      <c r="SHS46" s="365"/>
      <c r="SHT46" s="365"/>
      <c r="SHU46" s="365" t="s">
        <v>108</v>
      </c>
      <c r="SHV46" s="365"/>
      <c r="SHW46" s="365"/>
      <c r="SHX46" s="365"/>
      <c r="SHY46" s="365" t="s">
        <v>108</v>
      </c>
      <c r="SHZ46" s="365"/>
      <c r="SIA46" s="365"/>
      <c r="SIB46" s="365"/>
      <c r="SIC46" s="365" t="s">
        <v>108</v>
      </c>
      <c r="SID46" s="365"/>
      <c r="SIE46" s="365"/>
      <c r="SIF46" s="365"/>
      <c r="SIG46" s="365" t="s">
        <v>108</v>
      </c>
      <c r="SIH46" s="365"/>
      <c r="SII46" s="365"/>
      <c r="SIJ46" s="365"/>
      <c r="SIK46" s="365" t="s">
        <v>108</v>
      </c>
      <c r="SIL46" s="365"/>
      <c r="SIM46" s="365"/>
      <c r="SIN46" s="365"/>
      <c r="SIO46" s="365" t="s">
        <v>108</v>
      </c>
      <c r="SIP46" s="365"/>
      <c r="SIQ46" s="365"/>
      <c r="SIR46" s="365"/>
      <c r="SIS46" s="365" t="s">
        <v>108</v>
      </c>
      <c r="SIT46" s="365"/>
      <c r="SIU46" s="365"/>
      <c r="SIV46" s="365"/>
      <c r="SIW46" s="365" t="s">
        <v>108</v>
      </c>
      <c r="SIX46" s="365"/>
      <c r="SIY46" s="365"/>
      <c r="SIZ46" s="365"/>
      <c r="SJA46" s="365" t="s">
        <v>108</v>
      </c>
      <c r="SJB46" s="365"/>
      <c r="SJC46" s="365"/>
      <c r="SJD46" s="365"/>
      <c r="SJE46" s="365" t="s">
        <v>108</v>
      </c>
      <c r="SJF46" s="365"/>
      <c r="SJG46" s="365"/>
      <c r="SJH46" s="365"/>
      <c r="SJI46" s="365" t="s">
        <v>108</v>
      </c>
      <c r="SJJ46" s="365"/>
      <c r="SJK46" s="365"/>
      <c r="SJL46" s="365"/>
      <c r="SJM46" s="365" t="s">
        <v>108</v>
      </c>
      <c r="SJN46" s="365"/>
      <c r="SJO46" s="365"/>
      <c r="SJP46" s="365"/>
      <c r="SJQ46" s="365" t="s">
        <v>108</v>
      </c>
      <c r="SJR46" s="365"/>
      <c r="SJS46" s="365"/>
      <c r="SJT46" s="365"/>
      <c r="SJU46" s="365" t="s">
        <v>108</v>
      </c>
      <c r="SJV46" s="365"/>
      <c r="SJW46" s="365"/>
      <c r="SJX46" s="365"/>
      <c r="SJY46" s="365" t="s">
        <v>108</v>
      </c>
      <c r="SJZ46" s="365"/>
      <c r="SKA46" s="365"/>
      <c r="SKB46" s="365"/>
      <c r="SKC46" s="365" t="s">
        <v>108</v>
      </c>
      <c r="SKD46" s="365"/>
      <c r="SKE46" s="365"/>
      <c r="SKF46" s="365"/>
      <c r="SKG46" s="365" t="s">
        <v>108</v>
      </c>
      <c r="SKH46" s="365"/>
      <c r="SKI46" s="365"/>
      <c r="SKJ46" s="365"/>
      <c r="SKK46" s="365" t="s">
        <v>108</v>
      </c>
      <c r="SKL46" s="365"/>
      <c r="SKM46" s="365"/>
      <c r="SKN46" s="365"/>
      <c r="SKO46" s="365" t="s">
        <v>108</v>
      </c>
      <c r="SKP46" s="365"/>
      <c r="SKQ46" s="365"/>
      <c r="SKR46" s="365"/>
      <c r="SKS46" s="365" t="s">
        <v>108</v>
      </c>
      <c r="SKT46" s="365"/>
      <c r="SKU46" s="365"/>
      <c r="SKV46" s="365"/>
      <c r="SKW46" s="365" t="s">
        <v>108</v>
      </c>
      <c r="SKX46" s="365"/>
      <c r="SKY46" s="365"/>
      <c r="SKZ46" s="365"/>
      <c r="SLA46" s="365" t="s">
        <v>108</v>
      </c>
      <c r="SLB46" s="365"/>
      <c r="SLC46" s="365"/>
      <c r="SLD46" s="365"/>
      <c r="SLE46" s="365" t="s">
        <v>108</v>
      </c>
      <c r="SLF46" s="365"/>
      <c r="SLG46" s="365"/>
      <c r="SLH46" s="365"/>
      <c r="SLI46" s="365" t="s">
        <v>108</v>
      </c>
      <c r="SLJ46" s="365"/>
      <c r="SLK46" s="365"/>
      <c r="SLL46" s="365"/>
      <c r="SLM46" s="365" t="s">
        <v>108</v>
      </c>
      <c r="SLN46" s="365"/>
      <c r="SLO46" s="365"/>
      <c r="SLP46" s="365"/>
      <c r="SLQ46" s="365" t="s">
        <v>108</v>
      </c>
      <c r="SLR46" s="365"/>
      <c r="SLS46" s="365"/>
      <c r="SLT46" s="365"/>
      <c r="SLU46" s="365" t="s">
        <v>108</v>
      </c>
      <c r="SLV46" s="365"/>
      <c r="SLW46" s="365"/>
      <c r="SLX46" s="365"/>
      <c r="SLY46" s="365" t="s">
        <v>108</v>
      </c>
      <c r="SLZ46" s="365"/>
      <c r="SMA46" s="365"/>
      <c r="SMB46" s="365"/>
      <c r="SMC46" s="365" t="s">
        <v>108</v>
      </c>
      <c r="SMD46" s="365"/>
      <c r="SME46" s="365"/>
      <c r="SMF46" s="365"/>
      <c r="SMG46" s="365" t="s">
        <v>108</v>
      </c>
      <c r="SMH46" s="365"/>
      <c r="SMI46" s="365"/>
      <c r="SMJ46" s="365"/>
      <c r="SMK46" s="365" t="s">
        <v>108</v>
      </c>
      <c r="SML46" s="365"/>
      <c r="SMM46" s="365"/>
      <c r="SMN46" s="365"/>
      <c r="SMO46" s="365" t="s">
        <v>108</v>
      </c>
      <c r="SMP46" s="365"/>
      <c r="SMQ46" s="365"/>
      <c r="SMR46" s="365"/>
      <c r="SMS46" s="365" t="s">
        <v>108</v>
      </c>
      <c r="SMT46" s="365"/>
      <c r="SMU46" s="365"/>
      <c r="SMV46" s="365"/>
      <c r="SMW46" s="365" t="s">
        <v>108</v>
      </c>
      <c r="SMX46" s="365"/>
      <c r="SMY46" s="365"/>
      <c r="SMZ46" s="365"/>
      <c r="SNA46" s="365" t="s">
        <v>108</v>
      </c>
      <c r="SNB46" s="365"/>
      <c r="SNC46" s="365"/>
      <c r="SND46" s="365"/>
      <c r="SNE46" s="365" t="s">
        <v>108</v>
      </c>
      <c r="SNF46" s="365"/>
      <c r="SNG46" s="365"/>
      <c r="SNH46" s="365"/>
      <c r="SNI46" s="365" t="s">
        <v>108</v>
      </c>
      <c r="SNJ46" s="365"/>
      <c r="SNK46" s="365"/>
      <c r="SNL46" s="365"/>
      <c r="SNM46" s="365" t="s">
        <v>108</v>
      </c>
      <c r="SNN46" s="365"/>
      <c r="SNO46" s="365"/>
      <c r="SNP46" s="365"/>
      <c r="SNQ46" s="365" t="s">
        <v>108</v>
      </c>
      <c r="SNR46" s="365"/>
      <c r="SNS46" s="365"/>
      <c r="SNT46" s="365"/>
      <c r="SNU46" s="365" t="s">
        <v>108</v>
      </c>
      <c r="SNV46" s="365"/>
      <c r="SNW46" s="365"/>
      <c r="SNX46" s="365"/>
      <c r="SNY46" s="365" t="s">
        <v>108</v>
      </c>
      <c r="SNZ46" s="365"/>
      <c r="SOA46" s="365"/>
      <c r="SOB46" s="365"/>
      <c r="SOC46" s="365" t="s">
        <v>108</v>
      </c>
      <c r="SOD46" s="365"/>
      <c r="SOE46" s="365"/>
      <c r="SOF46" s="365"/>
      <c r="SOG46" s="365" t="s">
        <v>108</v>
      </c>
      <c r="SOH46" s="365"/>
      <c r="SOI46" s="365"/>
      <c r="SOJ46" s="365"/>
      <c r="SOK46" s="365" t="s">
        <v>108</v>
      </c>
      <c r="SOL46" s="365"/>
      <c r="SOM46" s="365"/>
      <c r="SON46" s="365"/>
      <c r="SOO46" s="365" t="s">
        <v>108</v>
      </c>
      <c r="SOP46" s="365"/>
      <c r="SOQ46" s="365"/>
      <c r="SOR46" s="365"/>
      <c r="SOS46" s="365" t="s">
        <v>108</v>
      </c>
      <c r="SOT46" s="365"/>
      <c r="SOU46" s="365"/>
      <c r="SOV46" s="365"/>
      <c r="SOW46" s="365" t="s">
        <v>108</v>
      </c>
      <c r="SOX46" s="365"/>
      <c r="SOY46" s="365"/>
      <c r="SOZ46" s="365"/>
      <c r="SPA46" s="365" t="s">
        <v>108</v>
      </c>
      <c r="SPB46" s="365"/>
      <c r="SPC46" s="365"/>
      <c r="SPD46" s="365"/>
      <c r="SPE46" s="365" t="s">
        <v>108</v>
      </c>
      <c r="SPF46" s="365"/>
      <c r="SPG46" s="365"/>
      <c r="SPH46" s="365"/>
      <c r="SPI46" s="365" t="s">
        <v>108</v>
      </c>
      <c r="SPJ46" s="365"/>
      <c r="SPK46" s="365"/>
      <c r="SPL46" s="365"/>
      <c r="SPM46" s="365" t="s">
        <v>108</v>
      </c>
      <c r="SPN46" s="365"/>
      <c r="SPO46" s="365"/>
      <c r="SPP46" s="365"/>
      <c r="SPQ46" s="365" t="s">
        <v>108</v>
      </c>
      <c r="SPR46" s="365"/>
      <c r="SPS46" s="365"/>
      <c r="SPT46" s="365"/>
      <c r="SPU46" s="365" t="s">
        <v>108</v>
      </c>
      <c r="SPV46" s="365"/>
      <c r="SPW46" s="365"/>
      <c r="SPX46" s="365"/>
      <c r="SPY46" s="365" t="s">
        <v>108</v>
      </c>
      <c r="SPZ46" s="365"/>
      <c r="SQA46" s="365"/>
      <c r="SQB46" s="365"/>
      <c r="SQC46" s="365" t="s">
        <v>108</v>
      </c>
      <c r="SQD46" s="365"/>
      <c r="SQE46" s="365"/>
      <c r="SQF46" s="365"/>
      <c r="SQG46" s="365" t="s">
        <v>108</v>
      </c>
      <c r="SQH46" s="365"/>
      <c r="SQI46" s="365"/>
      <c r="SQJ46" s="365"/>
      <c r="SQK46" s="365" t="s">
        <v>108</v>
      </c>
      <c r="SQL46" s="365"/>
      <c r="SQM46" s="365"/>
      <c r="SQN46" s="365"/>
      <c r="SQO46" s="365" t="s">
        <v>108</v>
      </c>
      <c r="SQP46" s="365"/>
      <c r="SQQ46" s="365"/>
      <c r="SQR46" s="365"/>
      <c r="SQS46" s="365" t="s">
        <v>108</v>
      </c>
      <c r="SQT46" s="365"/>
      <c r="SQU46" s="365"/>
      <c r="SQV46" s="365"/>
      <c r="SQW46" s="365" t="s">
        <v>108</v>
      </c>
      <c r="SQX46" s="365"/>
      <c r="SQY46" s="365"/>
      <c r="SQZ46" s="365"/>
      <c r="SRA46" s="365" t="s">
        <v>108</v>
      </c>
      <c r="SRB46" s="365"/>
      <c r="SRC46" s="365"/>
      <c r="SRD46" s="365"/>
      <c r="SRE46" s="365" t="s">
        <v>108</v>
      </c>
      <c r="SRF46" s="365"/>
      <c r="SRG46" s="365"/>
      <c r="SRH46" s="365"/>
      <c r="SRI46" s="365" t="s">
        <v>108</v>
      </c>
      <c r="SRJ46" s="365"/>
      <c r="SRK46" s="365"/>
      <c r="SRL46" s="365"/>
      <c r="SRM46" s="365" t="s">
        <v>108</v>
      </c>
      <c r="SRN46" s="365"/>
      <c r="SRO46" s="365"/>
      <c r="SRP46" s="365"/>
      <c r="SRQ46" s="365" t="s">
        <v>108</v>
      </c>
      <c r="SRR46" s="365"/>
      <c r="SRS46" s="365"/>
      <c r="SRT46" s="365"/>
      <c r="SRU46" s="365" t="s">
        <v>108</v>
      </c>
      <c r="SRV46" s="365"/>
      <c r="SRW46" s="365"/>
      <c r="SRX46" s="365"/>
      <c r="SRY46" s="365" t="s">
        <v>108</v>
      </c>
      <c r="SRZ46" s="365"/>
      <c r="SSA46" s="365"/>
      <c r="SSB46" s="365"/>
      <c r="SSC46" s="365" t="s">
        <v>108</v>
      </c>
      <c r="SSD46" s="365"/>
      <c r="SSE46" s="365"/>
      <c r="SSF46" s="365"/>
      <c r="SSG46" s="365" t="s">
        <v>108</v>
      </c>
      <c r="SSH46" s="365"/>
      <c r="SSI46" s="365"/>
      <c r="SSJ46" s="365"/>
      <c r="SSK46" s="365" t="s">
        <v>108</v>
      </c>
      <c r="SSL46" s="365"/>
      <c r="SSM46" s="365"/>
      <c r="SSN46" s="365"/>
      <c r="SSO46" s="365" t="s">
        <v>108</v>
      </c>
      <c r="SSP46" s="365"/>
      <c r="SSQ46" s="365"/>
      <c r="SSR46" s="365"/>
      <c r="SSS46" s="365" t="s">
        <v>108</v>
      </c>
      <c r="SST46" s="365"/>
      <c r="SSU46" s="365"/>
      <c r="SSV46" s="365"/>
      <c r="SSW46" s="365" t="s">
        <v>108</v>
      </c>
      <c r="SSX46" s="365"/>
      <c r="SSY46" s="365"/>
      <c r="SSZ46" s="365"/>
      <c r="STA46" s="365" t="s">
        <v>108</v>
      </c>
      <c r="STB46" s="365"/>
      <c r="STC46" s="365"/>
      <c r="STD46" s="365"/>
      <c r="STE46" s="365" t="s">
        <v>108</v>
      </c>
      <c r="STF46" s="365"/>
      <c r="STG46" s="365"/>
      <c r="STH46" s="365"/>
      <c r="STI46" s="365" t="s">
        <v>108</v>
      </c>
      <c r="STJ46" s="365"/>
      <c r="STK46" s="365"/>
      <c r="STL46" s="365"/>
      <c r="STM46" s="365" t="s">
        <v>108</v>
      </c>
      <c r="STN46" s="365"/>
      <c r="STO46" s="365"/>
      <c r="STP46" s="365"/>
      <c r="STQ46" s="365" t="s">
        <v>108</v>
      </c>
      <c r="STR46" s="365"/>
      <c r="STS46" s="365"/>
      <c r="STT46" s="365"/>
      <c r="STU46" s="365" t="s">
        <v>108</v>
      </c>
      <c r="STV46" s="365"/>
      <c r="STW46" s="365"/>
      <c r="STX46" s="365"/>
      <c r="STY46" s="365" t="s">
        <v>108</v>
      </c>
      <c r="STZ46" s="365"/>
      <c r="SUA46" s="365"/>
      <c r="SUB46" s="365"/>
      <c r="SUC46" s="365" t="s">
        <v>108</v>
      </c>
      <c r="SUD46" s="365"/>
      <c r="SUE46" s="365"/>
      <c r="SUF46" s="365"/>
      <c r="SUG46" s="365" t="s">
        <v>108</v>
      </c>
      <c r="SUH46" s="365"/>
      <c r="SUI46" s="365"/>
      <c r="SUJ46" s="365"/>
      <c r="SUK46" s="365" t="s">
        <v>108</v>
      </c>
      <c r="SUL46" s="365"/>
      <c r="SUM46" s="365"/>
      <c r="SUN46" s="365"/>
      <c r="SUO46" s="365" t="s">
        <v>108</v>
      </c>
      <c r="SUP46" s="365"/>
      <c r="SUQ46" s="365"/>
      <c r="SUR46" s="365"/>
      <c r="SUS46" s="365" t="s">
        <v>108</v>
      </c>
      <c r="SUT46" s="365"/>
      <c r="SUU46" s="365"/>
      <c r="SUV46" s="365"/>
      <c r="SUW46" s="365" t="s">
        <v>108</v>
      </c>
      <c r="SUX46" s="365"/>
      <c r="SUY46" s="365"/>
      <c r="SUZ46" s="365"/>
      <c r="SVA46" s="365" t="s">
        <v>108</v>
      </c>
      <c r="SVB46" s="365"/>
      <c r="SVC46" s="365"/>
      <c r="SVD46" s="365"/>
      <c r="SVE46" s="365" t="s">
        <v>108</v>
      </c>
      <c r="SVF46" s="365"/>
      <c r="SVG46" s="365"/>
      <c r="SVH46" s="365"/>
      <c r="SVI46" s="365" t="s">
        <v>108</v>
      </c>
      <c r="SVJ46" s="365"/>
      <c r="SVK46" s="365"/>
      <c r="SVL46" s="365"/>
      <c r="SVM46" s="365" t="s">
        <v>108</v>
      </c>
      <c r="SVN46" s="365"/>
      <c r="SVO46" s="365"/>
      <c r="SVP46" s="365"/>
      <c r="SVQ46" s="365" t="s">
        <v>108</v>
      </c>
      <c r="SVR46" s="365"/>
      <c r="SVS46" s="365"/>
      <c r="SVT46" s="365"/>
      <c r="SVU46" s="365" t="s">
        <v>108</v>
      </c>
      <c r="SVV46" s="365"/>
      <c r="SVW46" s="365"/>
      <c r="SVX46" s="365"/>
      <c r="SVY46" s="365" t="s">
        <v>108</v>
      </c>
      <c r="SVZ46" s="365"/>
      <c r="SWA46" s="365"/>
      <c r="SWB46" s="365"/>
      <c r="SWC46" s="365" t="s">
        <v>108</v>
      </c>
      <c r="SWD46" s="365"/>
      <c r="SWE46" s="365"/>
      <c r="SWF46" s="365"/>
      <c r="SWG46" s="365" t="s">
        <v>108</v>
      </c>
      <c r="SWH46" s="365"/>
      <c r="SWI46" s="365"/>
      <c r="SWJ46" s="365"/>
      <c r="SWK46" s="365" t="s">
        <v>108</v>
      </c>
      <c r="SWL46" s="365"/>
      <c r="SWM46" s="365"/>
      <c r="SWN46" s="365"/>
      <c r="SWO46" s="365" t="s">
        <v>108</v>
      </c>
      <c r="SWP46" s="365"/>
      <c r="SWQ46" s="365"/>
      <c r="SWR46" s="365"/>
      <c r="SWS46" s="365" t="s">
        <v>108</v>
      </c>
      <c r="SWT46" s="365"/>
      <c r="SWU46" s="365"/>
      <c r="SWV46" s="365"/>
      <c r="SWW46" s="365" t="s">
        <v>108</v>
      </c>
      <c r="SWX46" s="365"/>
      <c r="SWY46" s="365"/>
      <c r="SWZ46" s="365"/>
      <c r="SXA46" s="365" t="s">
        <v>108</v>
      </c>
      <c r="SXB46" s="365"/>
      <c r="SXC46" s="365"/>
      <c r="SXD46" s="365"/>
      <c r="SXE46" s="365" t="s">
        <v>108</v>
      </c>
      <c r="SXF46" s="365"/>
      <c r="SXG46" s="365"/>
      <c r="SXH46" s="365"/>
      <c r="SXI46" s="365" t="s">
        <v>108</v>
      </c>
      <c r="SXJ46" s="365"/>
      <c r="SXK46" s="365"/>
      <c r="SXL46" s="365"/>
      <c r="SXM46" s="365" t="s">
        <v>108</v>
      </c>
      <c r="SXN46" s="365"/>
      <c r="SXO46" s="365"/>
      <c r="SXP46" s="365"/>
      <c r="SXQ46" s="365" t="s">
        <v>108</v>
      </c>
      <c r="SXR46" s="365"/>
      <c r="SXS46" s="365"/>
      <c r="SXT46" s="365"/>
      <c r="SXU46" s="365" t="s">
        <v>108</v>
      </c>
      <c r="SXV46" s="365"/>
      <c r="SXW46" s="365"/>
      <c r="SXX46" s="365"/>
      <c r="SXY46" s="365" t="s">
        <v>108</v>
      </c>
      <c r="SXZ46" s="365"/>
      <c r="SYA46" s="365"/>
      <c r="SYB46" s="365"/>
      <c r="SYC46" s="365" t="s">
        <v>108</v>
      </c>
      <c r="SYD46" s="365"/>
      <c r="SYE46" s="365"/>
      <c r="SYF46" s="365"/>
      <c r="SYG46" s="365" t="s">
        <v>108</v>
      </c>
      <c r="SYH46" s="365"/>
      <c r="SYI46" s="365"/>
      <c r="SYJ46" s="365"/>
      <c r="SYK46" s="365" t="s">
        <v>108</v>
      </c>
      <c r="SYL46" s="365"/>
      <c r="SYM46" s="365"/>
      <c r="SYN46" s="365"/>
      <c r="SYO46" s="365" t="s">
        <v>108</v>
      </c>
      <c r="SYP46" s="365"/>
      <c r="SYQ46" s="365"/>
      <c r="SYR46" s="365"/>
      <c r="SYS46" s="365" t="s">
        <v>108</v>
      </c>
      <c r="SYT46" s="365"/>
      <c r="SYU46" s="365"/>
      <c r="SYV46" s="365"/>
      <c r="SYW46" s="365" t="s">
        <v>108</v>
      </c>
      <c r="SYX46" s="365"/>
      <c r="SYY46" s="365"/>
      <c r="SYZ46" s="365"/>
      <c r="SZA46" s="365" t="s">
        <v>108</v>
      </c>
      <c r="SZB46" s="365"/>
      <c r="SZC46" s="365"/>
      <c r="SZD46" s="365"/>
      <c r="SZE46" s="365" t="s">
        <v>108</v>
      </c>
      <c r="SZF46" s="365"/>
      <c r="SZG46" s="365"/>
      <c r="SZH46" s="365"/>
      <c r="SZI46" s="365" t="s">
        <v>108</v>
      </c>
      <c r="SZJ46" s="365"/>
      <c r="SZK46" s="365"/>
      <c r="SZL46" s="365"/>
      <c r="SZM46" s="365" t="s">
        <v>108</v>
      </c>
      <c r="SZN46" s="365"/>
      <c r="SZO46" s="365"/>
      <c r="SZP46" s="365"/>
      <c r="SZQ46" s="365" t="s">
        <v>108</v>
      </c>
      <c r="SZR46" s="365"/>
      <c r="SZS46" s="365"/>
      <c r="SZT46" s="365"/>
      <c r="SZU46" s="365" t="s">
        <v>108</v>
      </c>
      <c r="SZV46" s="365"/>
      <c r="SZW46" s="365"/>
      <c r="SZX46" s="365"/>
      <c r="SZY46" s="365" t="s">
        <v>108</v>
      </c>
      <c r="SZZ46" s="365"/>
      <c r="TAA46" s="365"/>
      <c r="TAB46" s="365"/>
      <c r="TAC46" s="365" t="s">
        <v>108</v>
      </c>
      <c r="TAD46" s="365"/>
      <c r="TAE46" s="365"/>
      <c r="TAF46" s="365"/>
      <c r="TAG46" s="365" t="s">
        <v>108</v>
      </c>
      <c r="TAH46" s="365"/>
      <c r="TAI46" s="365"/>
      <c r="TAJ46" s="365"/>
      <c r="TAK46" s="365" t="s">
        <v>108</v>
      </c>
      <c r="TAL46" s="365"/>
      <c r="TAM46" s="365"/>
      <c r="TAN46" s="365"/>
      <c r="TAO46" s="365" t="s">
        <v>108</v>
      </c>
      <c r="TAP46" s="365"/>
      <c r="TAQ46" s="365"/>
      <c r="TAR46" s="365"/>
      <c r="TAS46" s="365" t="s">
        <v>108</v>
      </c>
      <c r="TAT46" s="365"/>
      <c r="TAU46" s="365"/>
      <c r="TAV46" s="365"/>
      <c r="TAW46" s="365" t="s">
        <v>108</v>
      </c>
      <c r="TAX46" s="365"/>
      <c r="TAY46" s="365"/>
      <c r="TAZ46" s="365"/>
      <c r="TBA46" s="365" t="s">
        <v>108</v>
      </c>
      <c r="TBB46" s="365"/>
      <c r="TBC46" s="365"/>
      <c r="TBD46" s="365"/>
      <c r="TBE46" s="365" t="s">
        <v>108</v>
      </c>
      <c r="TBF46" s="365"/>
      <c r="TBG46" s="365"/>
      <c r="TBH46" s="365"/>
      <c r="TBI46" s="365" t="s">
        <v>108</v>
      </c>
      <c r="TBJ46" s="365"/>
      <c r="TBK46" s="365"/>
      <c r="TBL46" s="365"/>
      <c r="TBM46" s="365" t="s">
        <v>108</v>
      </c>
      <c r="TBN46" s="365"/>
      <c r="TBO46" s="365"/>
      <c r="TBP46" s="365"/>
      <c r="TBQ46" s="365" t="s">
        <v>108</v>
      </c>
      <c r="TBR46" s="365"/>
      <c r="TBS46" s="365"/>
      <c r="TBT46" s="365"/>
      <c r="TBU46" s="365" t="s">
        <v>108</v>
      </c>
      <c r="TBV46" s="365"/>
      <c r="TBW46" s="365"/>
      <c r="TBX46" s="365"/>
      <c r="TBY46" s="365" t="s">
        <v>108</v>
      </c>
      <c r="TBZ46" s="365"/>
      <c r="TCA46" s="365"/>
      <c r="TCB46" s="365"/>
      <c r="TCC46" s="365" t="s">
        <v>108</v>
      </c>
      <c r="TCD46" s="365"/>
      <c r="TCE46" s="365"/>
      <c r="TCF46" s="365"/>
      <c r="TCG46" s="365" t="s">
        <v>108</v>
      </c>
      <c r="TCH46" s="365"/>
      <c r="TCI46" s="365"/>
      <c r="TCJ46" s="365"/>
      <c r="TCK46" s="365" t="s">
        <v>108</v>
      </c>
      <c r="TCL46" s="365"/>
      <c r="TCM46" s="365"/>
      <c r="TCN46" s="365"/>
      <c r="TCO46" s="365" t="s">
        <v>108</v>
      </c>
      <c r="TCP46" s="365"/>
      <c r="TCQ46" s="365"/>
      <c r="TCR46" s="365"/>
      <c r="TCS46" s="365" t="s">
        <v>108</v>
      </c>
      <c r="TCT46" s="365"/>
      <c r="TCU46" s="365"/>
      <c r="TCV46" s="365"/>
      <c r="TCW46" s="365" t="s">
        <v>108</v>
      </c>
      <c r="TCX46" s="365"/>
      <c r="TCY46" s="365"/>
      <c r="TCZ46" s="365"/>
      <c r="TDA46" s="365" t="s">
        <v>108</v>
      </c>
      <c r="TDB46" s="365"/>
      <c r="TDC46" s="365"/>
      <c r="TDD46" s="365"/>
      <c r="TDE46" s="365" t="s">
        <v>108</v>
      </c>
      <c r="TDF46" s="365"/>
      <c r="TDG46" s="365"/>
      <c r="TDH46" s="365"/>
      <c r="TDI46" s="365" t="s">
        <v>108</v>
      </c>
      <c r="TDJ46" s="365"/>
      <c r="TDK46" s="365"/>
      <c r="TDL46" s="365"/>
      <c r="TDM46" s="365" t="s">
        <v>108</v>
      </c>
      <c r="TDN46" s="365"/>
      <c r="TDO46" s="365"/>
      <c r="TDP46" s="365"/>
      <c r="TDQ46" s="365" t="s">
        <v>108</v>
      </c>
      <c r="TDR46" s="365"/>
      <c r="TDS46" s="365"/>
      <c r="TDT46" s="365"/>
      <c r="TDU46" s="365" t="s">
        <v>108</v>
      </c>
      <c r="TDV46" s="365"/>
      <c r="TDW46" s="365"/>
      <c r="TDX46" s="365"/>
      <c r="TDY46" s="365" t="s">
        <v>108</v>
      </c>
      <c r="TDZ46" s="365"/>
      <c r="TEA46" s="365"/>
      <c r="TEB46" s="365"/>
      <c r="TEC46" s="365" t="s">
        <v>108</v>
      </c>
      <c r="TED46" s="365"/>
      <c r="TEE46" s="365"/>
      <c r="TEF46" s="365"/>
      <c r="TEG46" s="365" t="s">
        <v>108</v>
      </c>
      <c r="TEH46" s="365"/>
      <c r="TEI46" s="365"/>
      <c r="TEJ46" s="365"/>
      <c r="TEK46" s="365" t="s">
        <v>108</v>
      </c>
      <c r="TEL46" s="365"/>
      <c r="TEM46" s="365"/>
      <c r="TEN46" s="365"/>
      <c r="TEO46" s="365" t="s">
        <v>108</v>
      </c>
      <c r="TEP46" s="365"/>
      <c r="TEQ46" s="365"/>
      <c r="TER46" s="365"/>
      <c r="TES46" s="365" t="s">
        <v>108</v>
      </c>
      <c r="TET46" s="365"/>
      <c r="TEU46" s="365"/>
      <c r="TEV46" s="365"/>
      <c r="TEW46" s="365" t="s">
        <v>108</v>
      </c>
      <c r="TEX46" s="365"/>
      <c r="TEY46" s="365"/>
      <c r="TEZ46" s="365"/>
      <c r="TFA46" s="365" t="s">
        <v>108</v>
      </c>
      <c r="TFB46" s="365"/>
      <c r="TFC46" s="365"/>
      <c r="TFD46" s="365"/>
      <c r="TFE46" s="365" t="s">
        <v>108</v>
      </c>
      <c r="TFF46" s="365"/>
      <c r="TFG46" s="365"/>
      <c r="TFH46" s="365"/>
      <c r="TFI46" s="365" t="s">
        <v>108</v>
      </c>
      <c r="TFJ46" s="365"/>
      <c r="TFK46" s="365"/>
      <c r="TFL46" s="365"/>
      <c r="TFM46" s="365" t="s">
        <v>108</v>
      </c>
      <c r="TFN46" s="365"/>
      <c r="TFO46" s="365"/>
      <c r="TFP46" s="365"/>
      <c r="TFQ46" s="365" t="s">
        <v>108</v>
      </c>
      <c r="TFR46" s="365"/>
      <c r="TFS46" s="365"/>
      <c r="TFT46" s="365"/>
      <c r="TFU46" s="365" t="s">
        <v>108</v>
      </c>
      <c r="TFV46" s="365"/>
      <c r="TFW46" s="365"/>
      <c r="TFX46" s="365"/>
      <c r="TFY46" s="365" t="s">
        <v>108</v>
      </c>
      <c r="TFZ46" s="365"/>
      <c r="TGA46" s="365"/>
      <c r="TGB46" s="365"/>
      <c r="TGC46" s="365" t="s">
        <v>108</v>
      </c>
      <c r="TGD46" s="365"/>
      <c r="TGE46" s="365"/>
      <c r="TGF46" s="365"/>
      <c r="TGG46" s="365" t="s">
        <v>108</v>
      </c>
      <c r="TGH46" s="365"/>
      <c r="TGI46" s="365"/>
      <c r="TGJ46" s="365"/>
      <c r="TGK46" s="365" t="s">
        <v>108</v>
      </c>
      <c r="TGL46" s="365"/>
      <c r="TGM46" s="365"/>
      <c r="TGN46" s="365"/>
      <c r="TGO46" s="365" t="s">
        <v>108</v>
      </c>
      <c r="TGP46" s="365"/>
      <c r="TGQ46" s="365"/>
      <c r="TGR46" s="365"/>
      <c r="TGS46" s="365" t="s">
        <v>108</v>
      </c>
      <c r="TGT46" s="365"/>
      <c r="TGU46" s="365"/>
      <c r="TGV46" s="365"/>
      <c r="TGW46" s="365" t="s">
        <v>108</v>
      </c>
      <c r="TGX46" s="365"/>
      <c r="TGY46" s="365"/>
      <c r="TGZ46" s="365"/>
      <c r="THA46" s="365" t="s">
        <v>108</v>
      </c>
      <c r="THB46" s="365"/>
      <c r="THC46" s="365"/>
      <c r="THD46" s="365"/>
      <c r="THE46" s="365" t="s">
        <v>108</v>
      </c>
      <c r="THF46" s="365"/>
      <c r="THG46" s="365"/>
      <c r="THH46" s="365"/>
      <c r="THI46" s="365" t="s">
        <v>108</v>
      </c>
      <c r="THJ46" s="365"/>
      <c r="THK46" s="365"/>
      <c r="THL46" s="365"/>
      <c r="THM46" s="365" t="s">
        <v>108</v>
      </c>
      <c r="THN46" s="365"/>
      <c r="THO46" s="365"/>
      <c r="THP46" s="365"/>
      <c r="THQ46" s="365" t="s">
        <v>108</v>
      </c>
      <c r="THR46" s="365"/>
      <c r="THS46" s="365"/>
      <c r="THT46" s="365"/>
      <c r="THU46" s="365" t="s">
        <v>108</v>
      </c>
      <c r="THV46" s="365"/>
      <c r="THW46" s="365"/>
      <c r="THX46" s="365"/>
      <c r="THY46" s="365" t="s">
        <v>108</v>
      </c>
      <c r="THZ46" s="365"/>
      <c r="TIA46" s="365"/>
      <c r="TIB46" s="365"/>
      <c r="TIC46" s="365" t="s">
        <v>108</v>
      </c>
      <c r="TID46" s="365"/>
      <c r="TIE46" s="365"/>
      <c r="TIF46" s="365"/>
      <c r="TIG46" s="365" t="s">
        <v>108</v>
      </c>
      <c r="TIH46" s="365"/>
      <c r="TII46" s="365"/>
      <c r="TIJ46" s="365"/>
      <c r="TIK46" s="365" t="s">
        <v>108</v>
      </c>
      <c r="TIL46" s="365"/>
      <c r="TIM46" s="365"/>
      <c r="TIN46" s="365"/>
      <c r="TIO46" s="365" t="s">
        <v>108</v>
      </c>
      <c r="TIP46" s="365"/>
      <c r="TIQ46" s="365"/>
      <c r="TIR46" s="365"/>
      <c r="TIS46" s="365" t="s">
        <v>108</v>
      </c>
      <c r="TIT46" s="365"/>
      <c r="TIU46" s="365"/>
      <c r="TIV46" s="365"/>
      <c r="TIW46" s="365" t="s">
        <v>108</v>
      </c>
      <c r="TIX46" s="365"/>
      <c r="TIY46" s="365"/>
      <c r="TIZ46" s="365"/>
      <c r="TJA46" s="365" t="s">
        <v>108</v>
      </c>
      <c r="TJB46" s="365"/>
      <c r="TJC46" s="365"/>
      <c r="TJD46" s="365"/>
      <c r="TJE46" s="365" t="s">
        <v>108</v>
      </c>
      <c r="TJF46" s="365"/>
      <c r="TJG46" s="365"/>
      <c r="TJH46" s="365"/>
      <c r="TJI46" s="365" t="s">
        <v>108</v>
      </c>
      <c r="TJJ46" s="365"/>
      <c r="TJK46" s="365"/>
      <c r="TJL46" s="365"/>
      <c r="TJM46" s="365" t="s">
        <v>108</v>
      </c>
      <c r="TJN46" s="365"/>
      <c r="TJO46" s="365"/>
      <c r="TJP46" s="365"/>
      <c r="TJQ46" s="365" t="s">
        <v>108</v>
      </c>
      <c r="TJR46" s="365"/>
      <c r="TJS46" s="365"/>
      <c r="TJT46" s="365"/>
      <c r="TJU46" s="365" t="s">
        <v>108</v>
      </c>
      <c r="TJV46" s="365"/>
      <c r="TJW46" s="365"/>
      <c r="TJX46" s="365"/>
      <c r="TJY46" s="365" t="s">
        <v>108</v>
      </c>
      <c r="TJZ46" s="365"/>
      <c r="TKA46" s="365"/>
      <c r="TKB46" s="365"/>
      <c r="TKC46" s="365" t="s">
        <v>108</v>
      </c>
      <c r="TKD46" s="365"/>
      <c r="TKE46" s="365"/>
      <c r="TKF46" s="365"/>
      <c r="TKG46" s="365" t="s">
        <v>108</v>
      </c>
      <c r="TKH46" s="365"/>
      <c r="TKI46" s="365"/>
      <c r="TKJ46" s="365"/>
      <c r="TKK46" s="365" t="s">
        <v>108</v>
      </c>
      <c r="TKL46" s="365"/>
      <c r="TKM46" s="365"/>
      <c r="TKN46" s="365"/>
      <c r="TKO46" s="365" t="s">
        <v>108</v>
      </c>
      <c r="TKP46" s="365"/>
      <c r="TKQ46" s="365"/>
      <c r="TKR46" s="365"/>
      <c r="TKS46" s="365" t="s">
        <v>108</v>
      </c>
      <c r="TKT46" s="365"/>
      <c r="TKU46" s="365"/>
      <c r="TKV46" s="365"/>
      <c r="TKW46" s="365" t="s">
        <v>108</v>
      </c>
      <c r="TKX46" s="365"/>
      <c r="TKY46" s="365"/>
      <c r="TKZ46" s="365"/>
      <c r="TLA46" s="365" t="s">
        <v>108</v>
      </c>
      <c r="TLB46" s="365"/>
      <c r="TLC46" s="365"/>
      <c r="TLD46" s="365"/>
      <c r="TLE46" s="365" t="s">
        <v>108</v>
      </c>
      <c r="TLF46" s="365"/>
      <c r="TLG46" s="365"/>
      <c r="TLH46" s="365"/>
      <c r="TLI46" s="365" t="s">
        <v>108</v>
      </c>
      <c r="TLJ46" s="365"/>
      <c r="TLK46" s="365"/>
      <c r="TLL46" s="365"/>
      <c r="TLM46" s="365" t="s">
        <v>108</v>
      </c>
      <c r="TLN46" s="365"/>
      <c r="TLO46" s="365"/>
      <c r="TLP46" s="365"/>
      <c r="TLQ46" s="365" t="s">
        <v>108</v>
      </c>
      <c r="TLR46" s="365"/>
      <c r="TLS46" s="365"/>
      <c r="TLT46" s="365"/>
      <c r="TLU46" s="365" t="s">
        <v>108</v>
      </c>
      <c r="TLV46" s="365"/>
      <c r="TLW46" s="365"/>
      <c r="TLX46" s="365"/>
      <c r="TLY46" s="365" t="s">
        <v>108</v>
      </c>
      <c r="TLZ46" s="365"/>
      <c r="TMA46" s="365"/>
      <c r="TMB46" s="365"/>
      <c r="TMC46" s="365" t="s">
        <v>108</v>
      </c>
      <c r="TMD46" s="365"/>
      <c r="TME46" s="365"/>
      <c r="TMF46" s="365"/>
      <c r="TMG46" s="365" t="s">
        <v>108</v>
      </c>
      <c r="TMH46" s="365"/>
      <c r="TMI46" s="365"/>
      <c r="TMJ46" s="365"/>
      <c r="TMK46" s="365" t="s">
        <v>108</v>
      </c>
      <c r="TML46" s="365"/>
      <c r="TMM46" s="365"/>
      <c r="TMN46" s="365"/>
      <c r="TMO46" s="365" t="s">
        <v>108</v>
      </c>
      <c r="TMP46" s="365"/>
      <c r="TMQ46" s="365"/>
      <c r="TMR46" s="365"/>
      <c r="TMS46" s="365" t="s">
        <v>108</v>
      </c>
      <c r="TMT46" s="365"/>
      <c r="TMU46" s="365"/>
      <c r="TMV46" s="365"/>
      <c r="TMW46" s="365" t="s">
        <v>108</v>
      </c>
      <c r="TMX46" s="365"/>
      <c r="TMY46" s="365"/>
      <c r="TMZ46" s="365"/>
      <c r="TNA46" s="365" t="s">
        <v>108</v>
      </c>
      <c r="TNB46" s="365"/>
      <c r="TNC46" s="365"/>
      <c r="TND46" s="365"/>
      <c r="TNE46" s="365" t="s">
        <v>108</v>
      </c>
      <c r="TNF46" s="365"/>
      <c r="TNG46" s="365"/>
      <c r="TNH46" s="365"/>
      <c r="TNI46" s="365" t="s">
        <v>108</v>
      </c>
      <c r="TNJ46" s="365"/>
      <c r="TNK46" s="365"/>
      <c r="TNL46" s="365"/>
      <c r="TNM46" s="365" t="s">
        <v>108</v>
      </c>
      <c r="TNN46" s="365"/>
      <c r="TNO46" s="365"/>
      <c r="TNP46" s="365"/>
      <c r="TNQ46" s="365" t="s">
        <v>108</v>
      </c>
      <c r="TNR46" s="365"/>
      <c r="TNS46" s="365"/>
      <c r="TNT46" s="365"/>
      <c r="TNU46" s="365" t="s">
        <v>108</v>
      </c>
      <c r="TNV46" s="365"/>
      <c r="TNW46" s="365"/>
      <c r="TNX46" s="365"/>
      <c r="TNY46" s="365" t="s">
        <v>108</v>
      </c>
      <c r="TNZ46" s="365"/>
      <c r="TOA46" s="365"/>
      <c r="TOB46" s="365"/>
      <c r="TOC46" s="365" t="s">
        <v>108</v>
      </c>
      <c r="TOD46" s="365"/>
      <c r="TOE46" s="365"/>
      <c r="TOF46" s="365"/>
      <c r="TOG46" s="365" t="s">
        <v>108</v>
      </c>
      <c r="TOH46" s="365"/>
      <c r="TOI46" s="365"/>
      <c r="TOJ46" s="365"/>
      <c r="TOK46" s="365" t="s">
        <v>108</v>
      </c>
      <c r="TOL46" s="365"/>
      <c r="TOM46" s="365"/>
      <c r="TON46" s="365"/>
      <c r="TOO46" s="365" t="s">
        <v>108</v>
      </c>
      <c r="TOP46" s="365"/>
      <c r="TOQ46" s="365"/>
      <c r="TOR46" s="365"/>
      <c r="TOS46" s="365" t="s">
        <v>108</v>
      </c>
      <c r="TOT46" s="365"/>
      <c r="TOU46" s="365"/>
      <c r="TOV46" s="365"/>
      <c r="TOW46" s="365" t="s">
        <v>108</v>
      </c>
      <c r="TOX46" s="365"/>
      <c r="TOY46" s="365"/>
      <c r="TOZ46" s="365"/>
      <c r="TPA46" s="365" t="s">
        <v>108</v>
      </c>
      <c r="TPB46" s="365"/>
      <c r="TPC46" s="365"/>
      <c r="TPD46" s="365"/>
      <c r="TPE46" s="365" t="s">
        <v>108</v>
      </c>
      <c r="TPF46" s="365"/>
      <c r="TPG46" s="365"/>
      <c r="TPH46" s="365"/>
      <c r="TPI46" s="365" t="s">
        <v>108</v>
      </c>
      <c r="TPJ46" s="365"/>
      <c r="TPK46" s="365"/>
      <c r="TPL46" s="365"/>
      <c r="TPM46" s="365" t="s">
        <v>108</v>
      </c>
      <c r="TPN46" s="365"/>
      <c r="TPO46" s="365"/>
      <c r="TPP46" s="365"/>
      <c r="TPQ46" s="365" t="s">
        <v>108</v>
      </c>
      <c r="TPR46" s="365"/>
      <c r="TPS46" s="365"/>
      <c r="TPT46" s="365"/>
      <c r="TPU46" s="365" t="s">
        <v>108</v>
      </c>
      <c r="TPV46" s="365"/>
      <c r="TPW46" s="365"/>
      <c r="TPX46" s="365"/>
      <c r="TPY46" s="365" t="s">
        <v>108</v>
      </c>
      <c r="TPZ46" s="365"/>
      <c r="TQA46" s="365"/>
      <c r="TQB46" s="365"/>
      <c r="TQC46" s="365" t="s">
        <v>108</v>
      </c>
      <c r="TQD46" s="365"/>
      <c r="TQE46" s="365"/>
      <c r="TQF46" s="365"/>
      <c r="TQG46" s="365" t="s">
        <v>108</v>
      </c>
      <c r="TQH46" s="365"/>
      <c r="TQI46" s="365"/>
      <c r="TQJ46" s="365"/>
      <c r="TQK46" s="365" t="s">
        <v>108</v>
      </c>
      <c r="TQL46" s="365"/>
      <c r="TQM46" s="365"/>
      <c r="TQN46" s="365"/>
      <c r="TQO46" s="365" t="s">
        <v>108</v>
      </c>
      <c r="TQP46" s="365"/>
      <c r="TQQ46" s="365"/>
      <c r="TQR46" s="365"/>
      <c r="TQS46" s="365" t="s">
        <v>108</v>
      </c>
      <c r="TQT46" s="365"/>
      <c r="TQU46" s="365"/>
      <c r="TQV46" s="365"/>
      <c r="TQW46" s="365" t="s">
        <v>108</v>
      </c>
      <c r="TQX46" s="365"/>
      <c r="TQY46" s="365"/>
      <c r="TQZ46" s="365"/>
      <c r="TRA46" s="365" t="s">
        <v>108</v>
      </c>
      <c r="TRB46" s="365"/>
      <c r="TRC46" s="365"/>
      <c r="TRD46" s="365"/>
      <c r="TRE46" s="365" t="s">
        <v>108</v>
      </c>
      <c r="TRF46" s="365"/>
      <c r="TRG46" s="365"/>
      <c r="TRH46" s="365"/>
      <c r="TRI46" s="365" t="s">
        <v>108</v>
      </c>
      <c r="TRJ46" s="365"/>
      <c r="TRK46" s="365"/>
      <c r="TRL46" s="365"/>
      <c r="TRM46" s="365" t="s">
        <v>108</v>
      </c>
      <c r="TRN46" s="365"/>
      <c r="TRO46" s="365"/>
      <c r="TRP46" s="365"/>
      <c r="TRQ46" s="365" t="s">
        <v>108</v>
      </c>
      <c r="TRR46" s="365"/>
      <c r="TRS46" s="365"/>
      <c r="TRT46" s="365"/>
      <c r="TRU46" s="365" t="s">
        <v>108</v>
      </c>
      <c r="TRV46" s="365"/>
      <c r="TRW46" s="365"/>
      <c r="TRX46" s="365"/>
      <c r="TRY46" s="365" t="s">
        <v>108</v>
      </c>
      <c r="TRZ46" s="365"/>
      <c r="TSA46" s="365"/>
      <c r="TSB46" s="365"/>
      <c r="TSC46" s="365" t="s">
        <v>108</v>
      </c>
      <c r="TSD46" s="365"/>
      <c r="TSE46" s="365"/>
      <c r="TSF46" s="365"/>
      <c r="TSG46" s="365" t="s">
        <v>108</v>
      </c>
      <c r="TSH46" s="365"/>
      <c r="TSI46" s="365"/>
      <c r="TSJ46" s="365"/>
      <c r="TSK46" s="365" t="s">
        <v>108</v>
      </c>
      <c r="TSL46" s="365"/>
      <c r="TSM46" s="365"/>
      <c r="TSN46" s="365"/>
      <c r="TSO46" s="365" t="s">
        <v>108</v>
      </c>
      <c r="TSP46" s="365"/>
      <c r="TSQ46" s="365"/>
      <c r="TSR46" s="365"/>
      <c r="TSS46" s="365" t="s">
        <v>108</v>
      </c>
      <c r="TST46" s="365"/>
      <c r="TSU46" s="365"/>
      <c r="TSV46" s="365"/>
      <c r="TSW46" s="365" t="s">
        <v>108</v>
      </c>
      <c r="TSX46" s="365"/>
      <c r="TSY46" s="365"/>
      <c r="TSZ46" s="365"/>
      <c r="TTA46" s="365" t="s">
        <v>108</v>
      </c>
      <c r="TTB46" s="365"/>
      <c r="TTC46" s="365"/>
      <c r="TTD46" s="365"/>
      <c r="TTE46" s="365" t="s">
        <v>108</v>
      </c>
      <c r="TTF46" s="365"/>
      <c r="TTG46" s="365"/>
      <c r="TTH46" s="365"/>
      <c r="TTI46" s="365" t="s">
        <v>108</v>
      </c>
      <c r="TTJ46" s="365"/>
      <c r="TTK46" s="365"/>
      <c r="TTL46" s="365"/>
      <c r="TTM46" s="365" t="s">
        <v>108</v>
      </c>
      <c r="TTN46" s="365"/>
      <c r="TTO46" s="365"/>
      <c r="TTP46" s="365"/>
      <c r="TTQ46" s="365" t="s">
        <v>108</v>
      </c>
      <c r="TTR46" s="365"/>
      <c r="TTS46" s="365"/>
      <c r="TTT46" s="365"/>
      <c r="TTU46" s="365" t="s">
        <v>108</v>
      </c>
      <c r="TTV46" s="365"/>
      <c r="TTW46" s="365"/>
      <c r="TTX46" s="365"/>
      <c r="TTY46" s="365" t="s">
        <v>108</v>
      </c>
      <c r="TTZ46" s="365"/>
      <c r="TUA46" s="365"/>
      <c r="TUB46" s="365"/>
      <c r="TUC46" s="365" t="s">
        <v>108</v>
      </c>
      <c r="TUD46" s="365"/>
      <c r="TUE46" s="365"/>
      <c r="TUF46" s="365"/>
      <c r="TUG46" s="365" t="s">
        <v>108</v>
      </c>
      <c r="TUH46" s="365"/>
      <c r="TUI46" s="365"/>
      <c r="TUJ46" s="365"/>
      <c r="TUK46" s="365" t="s">
        <v>108</v>
      </c>
      <c r="TUL46" s="365"/>
      <c r="TUM46" s="365"/>
      <c r="TUN46" s="365"/>
      <c r="TUO46" s="365" t="s">
        <v>108</v>
      </c>
      <c r="TUP46" s="365"/>
      <c r="TUQ46" s="365"/>
      <c r="TUR46" s="365"/>
      <c r="TUS46" s="365" t="s">
        <v>108</v>
      </c>
      <c r="TUT46" s="365"/>
      <c r="TUU46" s="365"/>
      <c r="TUV46" s="365"/>
      <c r="TUW46" s="365" t="s">
        <v>108</v>
      </c>
      <c r="TUX46" s="365"/>
      <c r="TUY46" s="365"/>
      <c r="TUZ46" s="365"/>
      <c r="TVA46" s="365" t="s">
        <v>108</v>
      </c>
      <c r="TVB46" s="365"/>
      <c r="TVC46" s="365"/>
      <c r="TVD46" s="365"/>
      <c r="TVE46" s="365" t="s">
        <v>108</v>
      </c>
      <c r="TVF46" s="365"/>
      <c r="TVG46" s="365"/>
      <c r="TVH46" s="365"/>
      <c r="TVI46" s="365" t="s">
        <v>108</v>
      </c>
      <c r="TVJ46" s="365"/>
      <c r="TVK46" s="365"/>
      <c r="TVL46" s="365"/>
      <c r="TVM46" s="365" t="s">
        <v>108</v>
      </c>
      <c r="TVN46" s="365"/>
      <c r="TVO46" s="365"/>
      <c r="TVP46" s="365"/>
      <c r="TVQ46" s="365" t="s">
        <v>108</v>
      </c>
      <c r="TVR46" s="365"/>
      <c r="TVS46" s="365"/>
      <c r="TVT46" s="365"/>
      <c r="TVU46" s="365" t="s">
        <v>108</v>
      </c>
      <c r="TVV46" s="365"/>
      <c r="TVW46" s="365"/>
      <c r="TVX46" s="365"/>
      <c r="TVY46" s="365" t="s">
        <v>108</v>
      </c>
      <c r="TVZ46" s="365"/>
      <c r="TWA46" s="365"/>
      <c r="TWB46" s="365"/>
      <c r="TWC46" s="365" t="s">
        <v>108</v>
      </c>
      <c r="TWD46" s="365"/>
      <c r="TWE46" s="365"/>
      <c r="TWF46" s="365"/>
      <c r="TWG46" s="365" t="s">
        <v>108</v>
      </c>
      <c r="TWH46" s="365"/>
      <c r="TWI46" s="365"/>
      <c r="TWJ46" s="365"/>
      <c r="TWK46" s="365" t="s">
        <v>108</v>
      </c>
      <c r="TWL46" s="365"/>
      <c r="TWM46" s="365"/>
      <c r="TWN46" s="365"/>
      <c r="TWO46" s="365" t="s">
        <v>108</v>
      </c>
      <c r="TWP46" s="365"/>
      <c r="TWQ46" s="365"/>
      <c r="TWR46" s="365"/>
      <c r="TWS46" s="365" t="s">
        <v>108</v>
      </c>
      <c r="TWT46" s="365"/>
      <c r="TWU46" s="365"/>
      <c r="TWV46" s="365"/>
      <c r="TWW46" s="365" t="s">
        <v>108</v>
      </c>
      <c r="TWX46" s="365"/>
      <c r="TWY46" s="365"/>
      <c r="TWZ46" s="365"/>
      <c r="TXA46" s="365" t="s">
        <v>108</v>
      </c>
      <c r="TXB46" s="365"/>
      <c r="TXC46" s="365"/>
      <c r="TXD46" s="365"/>
      <c r="TXE46" s="365" t="s">
        <v>108</v>
      </c>
      <c r="TXF46" s="365"/>
      <c r="TXG46" s="365"/>
      <c r="TXH46" s="365"/>
      <c r="TXI46" s="365" t="s">
        <v>108</v>
      </c>
      <c r="TXJ46" s="365"/>
      <c r="TXK46" s="365"/>
      <c r="TXL46" s="365"/>
      <c r="TXM46" s="365" t="s">
        <v>108</v>
      </c>
      <c r="TXN46" s="365"/>
      <c r="TXO46" s="365"/>
      <c r="TXP46" s="365"/>
      <c r="TXQ46" s="365" t="s">
        <v>108</v>
      </c>
      <c r="TXR46" s="365"/>
      <c r="TXS46" s="365"/>
      <c r="TXT46" s="365"/>
      <c r="TXU46" s="365" t="s">
        <v>108</v>
      </c>
      <c r="TXV46" s="365"/>
      <c r="TXW46" s="365"/>
      <c r="TXX46" s="365"/>
      <c r="TXY46" s="365" t="s">
        <v>108</v>
      </c>
      <c r="TXZ46" s="365"/>
      <c r="TYA46" s="365"/>
      <c r="TYB46" s="365"/>
      <c r="TYC46" s="365" t="s">
        <v>108</v>
      </c>
      <c r="TYD46" s="365"/>
      <c r="TYE46" s="365"/>
      <c r="TYF46" s="365"/>
      <c r="TYG46" s="365" t="s">
        <v>108</v>
      </c>
      <c r="TYH46" s="365"/>
      <c r="TYI46" s="365"/>
      <c r="TYJ46" s="365"/>
      <c r="TYK46" s="365" t="s">
        <v>108</v>
      </c>
      <c r="TYL46" s="365"/>
      <c r="TYM46" s="365"/>
      <c r="TYN46" s="365"/>
      <c r="TYO46" s="365" t="s">
        <v>108</v>
      </c>
      <c r="TYP46" s="365"/>
      <c r="TYQ46" s="365"/>
      <c r="TYR46" s="365"/>
      <c r="TYS46" s="365" t="s">
        <v>108</v>
      </c>
      <c r="TYT46" s="365"/>
      <c r="TYU46" s="365"/>
      <c r="TYV46" s="365"/>
      <c r="TYW46" s="365" t="s">
        <v>108</v>
      </c>
      <c r="TYX46" s="365"/>
      <c r="TYY46" s="365"/>
      <c r="TYZ46" s="365"/>
      <c r="TZA46" s="365" t="s">
        <v>108</v>
      </c>
      <c r="TZB46" s="365"/>
      <c r="TZC46" s="365"/>
      <c r="TZD46" s="365"/>
      <c r="TZE46" s="365" t="s">
        <v>108</v>
      </c>
      <c r="TZF46" s="365"/>
      <c r="TZG46" s="365"/>
      <c r="TZH46" s="365"/>
      <c r="TZI46" s="365" t="s">
        <v>108</v>
      </c>
      <c r="TZJ46" s="365"/>
      <c r="TZK46" s="365"/>
      <c r="TZL46" s="365"/>
      <c r="TZM46" s="365" t="s">
        <v>108</v>
      </c>
      <c r="TZN46" s="365"/>
      <c r="TZO46" s="365"/>
      <c r="TZP46" s="365"/>
      <c r="TZQ46" s="365" t="s">
        <v>108</v>
      </c>
      <c r="TZR46" s="365"/>
      <c r="TZS46" s="365"/>
      <c r="TZT46" s="365"/>
      <c r="TZU46" s="365" t="s">
        <v>108</v>
      </c>
      <c r="TZV46" s="365"/>
      <c r="TZW46" s="365"/>
      <c r="TZX46" s="365"/>
      <c r="TZY46" s="365" t="s">
        <v>108</v>
      </c>
      <c r="TZZ46" s="365"/>
      <c r="UAA46" s="365"/>
      <c r="UAB46" s="365"/>
      <c r="UAC46" s="365" t="s">
        <v>108</v>
      </c>
      <c r="UAD46" s="365"/>
      <c r="UAE46" s="365"/>
      <c r="UAF46" s="365"/>
      <c r="UAG46" s="365" t="s">
        <v>108</v>
      </c>
      <c r="UAH46" s="365"/>
      <c r="UAI46" s="365"/>
      <c r="UAJ46" s="365"/>
      <c r="UAK46" s="365" t="s">
        <v>108</v>
      </c>
      <c r="UAL46" s="365"/>
      <c r="UAM46" s="365"/>
      <c r="UAN46" s="365"/>
      <c r="UAO46" s="365" t="s">
        <v>108</v>
      </c>
      <c r="UAP46" s="365"/>
      <c r="UAQ46" s="365"/>
      <c r="UAR46" s="365"/>
      <c r="UAS46" s="365" t="s">
        <v>108</v>
      </c>
      <c r="UAT46" s="365"/>
      <c r="UAU46" s="365"/>
      <c r="UAV46" s="365"/>
      <c r="UAW46" s="365" t="s">
        <v>108</v>
      </c>
      <c r="UAX46" s="365"/>
      <c r="UAY46" s="365"/>
      <c r="UAZ46" s="365"/>
      <c r="UBA46" s="365" t="s">
        <v>108</v>
      </c>
      <c r="UBB46" s="365"/>
      <c r="UBC46" s="365"/>
      <c r="UBD46" s="365"/>
      <c r="UBE46" s="365" t="s">
        <v>108</v>
      </c>
      <c r="UBF46" s="365"/>
      <c r="UBG46" s="365"/>
      <c r="UBH46" s="365"/>
      <c r="UBI46" s="365" t="s">
        <v>108</v>
      </c>
      <c r="UBJ46" s="365"/>
      <c r="UBK46" s="365"/>
      <c r="UBL46" s="365"/>
      <c r="UBM46" s="365" t="s">
        <v>108</v>
      </c>
      <c r="UBN46" s="365"/>
      <c r="UBO46" s="365"/>
      <c r="UBP46" s="365"/>
      <c r="UBQ46" s="365" t="s">
        <v>108</v>
      </c>
      <c r="UBR46" s="365"/>
      <c r="UBS46" s="365"/>
      <c r="UBT46" s="365"/>
      <c r="UBU46" s="365" t="s">
        <v>108</v>
      </c>
      <c r="UBV46" s="365"/>
      <c r="UBW46" s="365"/>
      <c r="UBX46" s="365"/>
      <c r="UBY46" s="365" t="s">
        <v>108</v>
      </c>
      <c r="UBZ46" s="365"/>
      <c r="UCA46" s="365"/>
      <c r="UCB46" s="365"/>
      <c r="UCC46" s="365" t="s">
        <v>108</v>
      </c>
      <c r="UCD46" s="365"/>
      <c r="UCE46" s="365"/>
      <c r="UCF46" s="365"/>
      <c r="UCG46" s="365" t="s">
        <v>108</v>
      </c>
      <c r="UCH46" s="365"/>
      <c r="UCI46" s="365"/>
      <c r="UCJ46" s="365"/>
      <c r="UCK46" s="365" t="s">
        <v>108</v>
      </c>
      <c r="UCL46" s="365"/>
      <c r="UCM46" s="365"/>
      <c r="UCN46" s="365"/>
      <c r="UCO46" s="365" t="s">
        <v>108</v>
      </c>
      <c r="UCP46" s="365"/>
      <c r="UCQ46" s="365"/>
      <c r="UCR46" s="365"/>
      <c r="UCS46" s="365" t="s">
        <v>108</v>
      </c>
      <c r="UCT46" s="365"/>
      <c r="UCU46" s="365"/>
      <c r="UCV46" s="365"/>
      <c r="UCW46" s="365" t="s">
        <v>108</v>
      </c>
      <c r="UCX46" s="365"/>
      <c r="UCY46" s="365"/>
      <c r="UCZ46" s="365"/>
      <c r="UDA46" s="365" t="s">
        <v>108</v>
      </c>
      <c r="UDB46" s="365"/>
      <c r="UDC46" s="365"/>
      <c r="UDD46" s="365"/>
      <c r="UDE46" s="365" t="s">
        <v>108</v>
      </c>
      <c r="UDF46" s="365"/>
      <c r="UDG46" s="365"/>
      <c r="UDH46" s="365"/>
      <c r="UDI46" s="365" t="s">
        <v>108</v>
      </c>
      <c r="UDJ46" s="365"/>
      <c r="UDK46" s="365"/>
      <c r="UDL46" s="365"/>
      <c r="UDM46" s="365" t="s">
        <v>108</v>
      </c>
      <c r="UDN46" s="365"/>
      <c r="UDO46" s="365"/>
      <c r="UDP46" s="365"/>
      <c r="UDQ46" s="365" t="s">
        <v>108</v>
      </c>
      <c r="UDR46" s="365"/>
      <c r="UDS46" s="365"/>
      <c r="UDT46" s="365"/>
      <c r="UDU46" s="365" t="s">
        <v>108</v>
      </c>
      <c r="UDV46" s="365"/>
      <c r="UDW46" s="365"/>
      <c r="UDX46" s="365"/>
      <c r="UDY46" s="365" t="s">
        <v>108</v>
      </c>
      <c r="UDZ46" s="365"/>
      <c r="UEA46" s="365"/>
      <c r="UEB46" s="365"/>
      <c r="UEC46" s="365" t="s">
        <v>108</v>
      </c>
      <c r="UED46" s="365"/>
      <c r="UEE46" s="365"/>
      <c r="UEF46" s="365"/>
      <c r="UEG46" s="365" t="s">
        <v>108</v>
      </c>
      <c r="UEH46" s="365"/>
      <c r="UEI46" s="365"/>
      <c r="UEJ46" s="365"/>
      <c r="UEK46" s="365" t="s">
        <v>108</v>
      </c>
      <c r="UEL46" s="365"/>
      <c r="UEM46" s="365"/>
      <c r="UEN46" s="365"/>
      <c r="UEO46" s="365" t="s">
        <v>108</v>
      </c>
      <c r="UEP46" s="365"/>
      <c r="UEQ46" s="365"/>
      <c r="UER46" s="365"/>
      <c r="UES46" s="365" t="s">
        <v>108</v>
      </c>
      <c r="UET46" s="365"/>
      <c r="UEU46" s="365"/>
      <c r="UEV46" s="365"/>
      <c r="UEW46" s="365" t="s">
        <v>108</v>
      </c>
      <c r="UEX46" s="365"/>
      <c r="UEY46" s="365"/>
      <c r="UEZ46" s="365"/>
      <c r="UFA46" s="365" t="s">
        <v>108</v>
      </c>
      <c r="UFB46" s="365"/>
      <c r="UFC46" s="365"/>
      <c r="UFD46" s="365"/>
      <c r="UFE46" s="365" t="s">
        <v>108</v>
      </c>
      <c r="UFF46" s="365"/>
      <c r="UFG46" s="365"/>
      <c r="UFH46" s="365"/>
      <c r="UFI46" s="365" t="s">
        <v>108</v>
      </c>
      <c r="UFJ46" s="365"/>
      <c r="UFK46" s="365"/>
      <c r="UFL46" s="365"/>
      <c r="UFM46" s="365" t="s">
        <v>108</v>
      </c>
      <c r="UFN46" s="365"/>
      <c r="UFO46" s="365"/>
      <c r="UFP46" s="365"/>
      <c r="UFQ46" s="365" t="s">
        <v>108</v>
      </c>
      <c r="UFR46" s="365"/>
      <c r="UFS46" s="365"/>
      <c r="UFT46" s="365"/>
      <c r="UFU46" s="365" t="s">
        <v>108</v>
      </c>
      <c r="UFV46" s="365"/>
      <c r="UFW46" s="365"/>
      <c r="UFX46" s="365"/>
      <c r="UFY46" s="365" t="s">
        <v>108</v>
      </c>
      <c r="UFZ46" s="365"/>
      <c r="UGA46" s="365"/>
      <c r="UGB46" s="365"/>
      <c r="UGC46" s="365" t="s">
        <v>108</v>
      </c>
      <c r="UGD46" s="365"/>
      <c r="UGE46" s="365"/>
      <c r="UGF46" s="365"/>
      <c r="UGG46" s="365" t="s">
        <v>108</v>
      </c>
      <c r="UGH46" s="365"/>
      <c r="UGI46" s="365"/>
      <c r="UGJ46" s="365"/>
      <c r="UGK46" s="365" t="s">
        <v>108</v>
      </c>
      <c r="UGL46" s="365"/>
      <c r="UGM46" s="365"/>
      <c r="UGN46" s="365"/>
      <c r="UGO46" s="365" t="s">
        <v>108</v>
      </c>
      <c r="UGP46" s="365"/>
      <c r="UGQ46" s="365"/>
      <c r="UGR46" s="365"/>
      <c r="UGS46" s="365" t="s">
        <v>108</v>
      </c>
      <c r="UGT46" s="365"/>
      <c r="UGU46" s="365"/>
      <c r="UGV46" s="365"/>
      <c r="UGW46" s="365" t="s">
        <v>108</v>
      </c>
      <c r="UGX46" s="365"/>
      <c r="UGY46" s="365"/>
      <c r="UGZ46" s="365"/>
      <c r="UHA46" s="365" t="s">
        <v>108</v>
      </c>
      <c r="UHB46" s="365"/>
      <c r="UHC46" s="365"/>
      <c r="UHD46" s="365"/>
      <c r="UHE46" s="365" t="s">
        <v>108</v>
      </c>
      <c r="UHF46" s="365"/>
      <c r="UHG46" s="365"/>
      <c r="UHH46" s="365"/>
      <c r="UHI46" s="365" t="s">
        <v>108</v>
      </c>
      <c r="UHJ46" s="365"/>
      <c r="UHK46" s="365"/>
      <c r="UHL46" s="365"/>
      <c r="UHM46" s="365" t="s">
        <v>108</v>
      </c>
      <c r="UHN46" s="365"/>
      <c r="UHO46" s="365"/>
      <c r="UHP46" s="365"/>
      <c r="UHQ46" s="365" t="s">
        <v>108</v>
      </c>
      <c r="UHR46" s="365"/>
      <c r="UHS46" s="365"/>
      <c r="UHT46" s="365"/>
      <c r="UHU46" s="365" t="s">
        <v>108</v>
      </c>
      <c r="UHV46" s="365"/>
      <c r="UHW46" s="365"/>
      <c r="UHX46" s="365"/>
      <c r="UHY46" s="365" t="s">
        <v>108</v>
      </c>
      <c r="UHZ46" s="365"/>
      <c r="UIA46" s="365"/>
      <c r="UIB46" s="365"/>
      <c r="UIC46" s="365" t="s">
        <v>108</v>
      </c>
      <c r="UID46" s="365"/>
      <c r="UIE46" s="365"/>
      <c r="UIF46" s="365"/>
      <c r="UIG46" s="365" t="s">
        <v>108</v>
      </c>
      <c r="UIH46" s="365"/>
      <c r="UII46" s="365"/>
      <c r="UIJ46" s="365"/>
      <c r="UIK46" s="365" t="s">
        <v>108</v>
      </c>
      <c r="UIL46" s="365"/>
      <c r="UIM46" s="365"/>
      <c r="UIN46" s="365"/>
      <c r="UIO46" s="365" t="s">
        <v>108</v>
      </c>
      <c r="UIP46" s="365"/>
      <c r="UIQ46" s="365"/>
      <c r="UIR46" s="365"/>
      <c r="UIS46" s="365" t="s">
        <v>108</v>
      </c>
      <c r="UIT46" s="365"/>
      <c r="UIU46" s="365"/>
      <c r="UIV46" s="365"/>
      <c r="UIW46" s="365" t="s">
        <v>108</v>
      </c>
      <c r="UIX46" s="365"/>
      <c r="UIY46" s="365"/>
      <c r="UIZ46" s="365"/>
      <c r="UJA46" s="365" t="s">
        <v>108</v>
      </c>
      <c r="UJB46" s="365"/>
      <c r="UJC46" s="365"/>
      <c r="UJD46" s="365"/>
      <c r="UJE46" s="365" t="s">
        <v>108</v>
      </c>
      <c r="UJF46" s="365"/>
      <c r="UJG46" s="365"/>
      <c r="UJH46" s="365"/>
      <c r="UJI46" s="365" t="s">
        <v>108</v>
      </c>
      <c r="UJJ46" s="365"/>
      <c r="UJK46" s="365"/>
      <c r="UJL46" s="365"/>
      <c r="UJM46" s="365" t="s">
        <v>108</v>
      </c>
      <c r="UJN46" s="365"/>
      <c r="UJO46" s="365"/>
      <c r="UJP46" s="365"/>
      <c r="UJQ46" s="365" t="s">
        <v>108</v>
      </c>
      <c r="UJR46" s="365"/>
      <c r="UJS46" s="365"/>
      <c r="UJT46" s="365"/>
      <c r="UJU46" s="365" t="s">
        <v>108</v>
      </c>
      <c r="UJV46" s="365"/>
      <c r="UJW46" s="365"/>
      <c r="UJX46" s="365"/>
      <c r="UJY46" s="365" t="s">
        <v>108</v>
      </c>
      <c r="UJZ46" s="365"/>
      <c r="UKA46" s="365"/>
      <c r="UKB46" s="365"/>
      <c r="UKC46" s="365" t="s">
        <v>108</v>
      </c>
      <c r="UKD46" s="365"/>
      <c r="UKE46" s="365"/>
      <c r="UKF46" s="365"/>
      <c r="UKG46" s="365" t="s">
        <v>108</v>
      </c>
      <c r="UKH46" s="365"/>
      <c r="UKI46" s="365"/>
      <c r="UKJ46" s="365"/>
      <c r="UKK46" s="365" t="s">
        <v>108</v>
      </c>
      <c r="UKL46" s="365"/>
      <c r="UKM46" s="365"/>
      <c r="UKN46" s="365"/>
      <c r="UKO46" s="365" t="s">
        <v>108</v>
      </c>
      <c r="UKP46" s="365"/>
      <c r="UKQ46" s="365"/>
      <c r="UKR46" s="365"/>
      <c r="UKS46" s="365" t="s">
        <v>108</v>
      </c>
      <c r="UKT46" s="365"/>
      <c r="UKU46" s="365"/>
      <c r="UKV46" s="365"/>
      <c r="UKW46" s="365" t="s">
        <v>108</v>
      </c>
      <c r="UKX46" s="365"/>
      <c r="UKY46" s="365"/>
      <c r="UKZ46" s="365"/>
      <c r="ULA46" s="365" t="s">
        <v>108</v>
      </c>
      <c r="ULB46" s="365"/>
      <c r="ULC46" s="365"/>
      <c r="ULD46" s="365"/>
      <c r="ULE46" s="365" t="s">
        <v>108</v>
      </c>
      <c r="ULF46" s="365"/>
      <c r="ULG46" s="365"/>
      <c r="ULH46" s="365"/>
      <c r="ULI46" s="365" t="s">
        <v>108</v>
      </c>
      <c r="ULJ46" s="365"/>
      <c r="ULK46" s="365"/>
      <c r="ULL46" s="365"/>
      <c r="ULM46" s="365" t="s">
        <v>108</v>
      </c>
      <c r="ULN46" s="365"/>
      <c r="ULO46" s="365"/>
      <c r="ULP46" s="365"/>
      <c r="ULQ46" s="365" t="s">
        <v>108</v>
      </c>
      <c r="ULR46" s="365"/>
      <c r="ULS46" s="365"/>
      <c r="ULT46" s="365"/>
      <c r="ULU46" s="365" t="s">
        <v>108</v>
      </c>
      <c r="ULV46" s="365"/>
      <c r="ULW46" s="365"/>
      <c r="ULX46" s="365"/>
      <c r="ULY46" s="365" t="s">
        <v>108</v>
      </c>
      <c r="ULZ46" s="365"/>
      <c r="UMA46" s="365"/>
      <c r="UMB46" s="365"/>
      <c r="UMC46" s="365" t="s">
        <v>108</v>
      </c>
      <c r="UMD46" s="365"/>
      <c r="UME46" s="365"/>
      <c r="UMF46" s="365"/>
      <c r="UMG46" s="365" t="s">
        <v>108</v>
      </c>
      <c r="UMH46" s="365"/>
      <c r="UMI46" s="365"/>
      <c r="UMJ46" s="365"/>
      <c r="UMK46" s="365" t="s">
        <v>108</v>
      </c>
      <c r="UML46" s="365"/>
      <c r="UMM46" s="365"/>
      <c r="UMN46" s="365"/>
      <c r="UMO46" s="365" t="s">
        <v>108</v>
      </c>
      <c r="UMP46" s="365"/>
      <c r="UMQ46" s="365"/>
      <c r="UMR46" s="365"/>
      <c r="UMS46" s="365" t="s">
        <v>108</v>
      </c>
      <c r="UMT46" s="365"/>
      <c r="UMU46" s="365"/>
      <c r="UMV46" s="365"/>
      <c r="UMW46" s="365" t="s">
        <v>108</v>
      </c>
      <c r="UMX46" s="365"/>
      <c r="UMY46" s="365"/>
      <c r="UMZ46" s="365"/>
      <c r="UNA46" s="365" t="s">
        <v>108</v>
      </c>
      <c r="UNB46" s="365"/>
      <c r="UNC46" s="365"/>
      <c r="UND46" s="365"/>
      <c r="UNE46" s="365" t="s">
        <v>108</v>
      </c>
      <c r="UNF46" s="365"/>
      <c r="UNG46" s="365"/>
      <c r="UNH46" s="365"/>
      <c r="UNI46" s="365" t="s">
        <v>108</v>
      </c>
      <c r="UNJ46" s="365"/>
      <c r="UNK46" s="365"/>
      <c r="UNL46" s="365"/>
      <c r="UNM46" s="365" t="s">
        <v>108</v>
      </c>
      <c r="UNN46" s="365"/>
      <c r="UNO46" s="365"/>
      <c r="UNP46" s="365"/>
      <c r="UNQ46" s="365" t="s">
        <v>108</v>
      </c>
      <c r="UNR46" s="365"/>
      <c r="UNS46" s="365"/>
      <c r="UNT46" s="365"/>
      <c r="UNU46" s="365" t="s">
        <v>108</v>
      </c>
      <c r="UNV46" s="365"/>
      <c r="UNW46" s="365"/>
      <c r="UNX46" s="365"/>
      <c r="UNY46" s="365" t="s">
        <v>108</v>
      </c>
      <c r="UNZ46" s="365"/>
      <c r="UOA46" s="365"/>
      <c r="UOB46" s="365"/>
      <c r="UOC46" s="365" t="s">
        <v>108</v>
      </c>
      <c r="UOD46" s="365"/>
      <c r="UOE46" s="365"/>
      <c r="UOF46" s="365"/>
      <c r="UOG46" s="365" t="s">
        <v>108</v>
      </c>
      <c r="UOH46" s="365"/>
      <c r="UOI46" s="365"/>
      <c r="UOJ46" s="365"/>
      <c r="UOK46" s="365" t="s">
        <v>108</v>
      </c>
      <c r="UOL46" s="365"/>
      <c r="UOM46" s="365"/>
      <c r="UON46" s="365"/>
      <c r="UOO46" s="365" t="s">
        <v>108</v>
      </c>
      <c r="UOP46" s="365"/>
      <c r="UOQ46" s="365"/>
      <c r="UOR46" s="365"/>
      <c r="UOS46" s="365" t="s">
        <v>108</v>
      </c>
      <c r="UOT46" s="365"/>
      <c r="UOU46" s="365"/>
      <c r="UOV46" s="365"/>
      <c r="UOW46" s="365" t="s">
        <v>108</v>
      </c>
      <c r="UOX46" s="365"/>
      <c r="UOY46" s="365"/>
      <c r="UOZ46" s="365"/>
      <c r="UPA46" s="365" t="s">
        <v>108</v>
      </c>
      <c r="UPB46" s="365"/>
      <c r="UPC46" s="365"/>
      <c r="UPD46" s="365"/>
      <c r="UPE46" s="365" t="s">
        <v>108</v>
      </c>
      <c r="UPF46" s="365"/>
      <c r="UPG46" s="365"/>
      <c r="UPH46" s="365"/>
      <c r="UPI46" s="365" t="s">
        <v>108</v>
      </c>
      <c r="UPJ46" s="365"/>
      <c r="UPK46" s="365"/>
      <c r="UPL46" s="365"/>
      <c r="UPM46" s="365" t="s">
        <v>108</v>
      </c>
      <c r="UPN46" s="365"/>
      <c r="UPO46" s="365"/>
      <c r="UPP46" s="365"/>
      <c r="UPQ46" s="365" t="s">
        <v>108</v>
      </c>
      <c r="UPR46" s="365"/>
      <c r="UPS46" s="365"/>
      <c r="UPT46" s="365"/>
      <c r="UPU46" s="365" t="s">
        <v>108</v>
      </c>
      <c r="UPV46" s="365"/>
      <c r="UPW46" s="365"/>
      <c r="UPX46" s="365"/>
      <c r="UPY46" s="365" t="s">
        <v>108</v>
      </c>
      <c r="UPZ46" s="365"/>
      <c r="UQA46" s="365"/>
      <c r="UQB46" s="365"/>
      <c r="UQC46" s="365" t="s">
        <v>108</v>
      </c>
      <c r="UQD46" s="365"/>
      <c r="UQE46" s="365"/>
      <c r="UQF46" s="365"/>
      <c r="UQG46" s="365" t="s">
        <v>108</v>
      </c>
      <c r="UQH46" s="365"/>
      <c r="UQI46" s="365"/>
      <c r="UQJ46" s="365"/>
      <c r="UQK46" s="365" t="s">
        <v>108</v>
      </c>
      <c r="UQL46" s="365"/>
      <c r="UQM46" s="365"/>
      <c r="UQN46" s="365"/>
      <c r="UQO46" s="365" t="s">
        <v>108</v>
      </c>
      <c r="UQP46" s="365"/>
      <c r="UQQ46" s="365"/>
      <c r="UQR46" s="365"/>
      <c r="UQS46" s="365" t="s">
        <v>108</v>
      </c>
      <c r="UQT46" s="365"/>
      <c r="UQU46" s="365"/>
      <c r="UQV46" s="365"/>
      <c r="UQW46" s="365" t="s">
        <v>108</v>
      </c>
      <c r="UQX46" s="365"/>
      <c r="UQY46" s="365"/>
      <c r="UQZ46" s="365"/>
      <c r="URA46" s="365" t="s">
        <v>108</v>
      </c>
      <c r="URB46" s="365"/>
      <c r="URC46" s="365"/>
      <c r="URD46" s="365"/>
      <c r="URE46" s="365" t="s">
        <v>108</v>
      </c>
      <c r="URF46" s="365"/>
      <c r="URG46" s="365"/>
      <c r="URH46" s="365"/>
      <c r="URI46" s="365" t="s">
        <v>108</v>
      </c>
      <c r="URJ46" s="365"/>
      <c r="URK46" s="365"/>
      <c r="URL46" s="365"/>
      <c r="URM46" s="365" t="s">
        <v>108</v>
      </c>
      <c r="URN46" s="365"/>
      <c r="URO46" s="365"/>
      <c r="URP46" s="365"/>
      <c r="URQ46" s="365" t="s">
        <v>108</v>
      </c>
      <c r="URR46" s="365"/>
      <c r="URS46" s="365"/>
      <c r="URT46" s="365"/>
      <c r="URU46" s="365" t="s">
        <v>108</v>
      </c>
      <c r="URV46" s="365"/>
      <c r="URW46" s="365"/>
      <c r="URX46" s="365"/>
      <c r="URY46" s="365" t="s">
        <v>108</v>
      </c>
      <c r="URZ46" s="365"/>
      <c r="USA46" s="365"/>
      <c r="USB46" s="365"/>
      <c r="USC46" s="365" t="s">
        <v>108</v>
      </c>
      <c r="USD46" s="365"/>
      <c r="USE46" s="365"/>
      <c r="USF46" s="365"/>
      <c r="USG46" s="365" t="s">
        <v>108</v>
      </c>
      <c r="USH46" s="365"/>
      <c r="USI46" s="365"/>
      <c r="USJ46" s="365"/>
      <c r="USK46" s="365" t="s">
        <v>108</v>
      </c>
      <c r="USL46" s="365"/>
      <c r="USM46" s="365"/>
      <c r="USN46" s="365"/>
      <c r="USO46" s="365" t="s">
        <v>108</v>
      </c>
      <c r="USP46" s="365"/>
      <c r="USQ46" s="365"/>
      <c r="USR46" s="365"/>
      <c r="USS46" s="365" t="s">
        <v>108</v>
      </c>
      <c r="UST46" s="365"/>
      <c r="USU46" s="365"/>
      <c r="USV46" s="365"/>
      <c r="USW46" s="365" t="s">
        <v>108</v>
      </c>
      <c r="USX46" s="365"/>
      <c r="USY46" s="365"/>
      <c r="USZ46" s="365"/>
      <c r="UTA46" s="365" t="s">
        <v>108</v>
      </c>
      <c r="UTB46" s="365"/>
      <c r="UTC46" s="365"/>
      <c r="UTD46" s="365"/>
      <c r="UTE46" s="365" t="s">
        <v>108</v>
      </c>
      <c r="UTF46" s="365"/>
      <c r="UTG46" s="365"/>
      <c r="UTH46" s="365"/>
      <c r="UTI46" s="365" t="s">
        <v>108</v>
      </c>
      <c r="UTJ46" s="365"/>
      <c r="UTK46" s="365"/>
      <c r="UTL46" s="365"/>
      <c r="UTM46" s="365" t="s">
        <v>108</v>
      </c>
      <c r="UTN46" s="365"/>
      <c r="UTO46" s="365"/>
      <c r="UTP46" s="365"/>
      <c r="UTQ46" s="365" t="s">
        <v>108</v>
      </c>
      <c r="UTR46" s="365"/>
      <c r="UTS46" s="365"/>
      <c r="UTT46" s="365"/>
      <c r="UTU46" s="365" t="s">
        <v>108</v>
      </c>
      <c r="UTV46" s="365"/>
      <c r="UTW46" s="365"/>
      <c r="UTX46" s="365"/>
      <c r="UTY46" s="365" t="s">
        <v>108</v>
      </c>
      <c r="UTZ46" s="365"/>
      <c r="UUA46" s="365"/>
      <c r="UUB46" s="365"/>
      <c r="UUC46" s="365" t="s">
        <v>108</v>
      </c>
      <c r="UUD46" s="365"/>
      <c r="UUE46" s="365"/>
      <c r="UUF46" s="365"/>
      <c r="UUG46" s="365" t="s">
        <v>108</v>
      </c>
      <c r="UUH46" s="365"/>
      <c r="UUI46" s="365"/>
      <c r="UUJ46" s="365"/>
      <c r="UUK46" s="365" t="s">
        <v>108</v>
      </c>
      <c r="UUL46" s="365"/>
      <c r="UUM46" s="365"/>
      <c r="UUN46" s="365"/>
      <c r="UUO46" s="365" t="s">
        <v>108</v>
      </c>
      <c r="UUP46" s="365"/>
      <c r="UUQ46" s="365"/>
      <c r="UUR46" s="365"/>
      <c r="UUS46" s="365" t="s">
        <v>108</v>
      </c>
      <c r="UUT46" s="365"/>
      <c r="UUU46" s="365"/>
      <c r="UUV46" s="365"/>
      <c r="UUW46" s="365" t="s">
        <v>108</v>
      </c>
      <c r="UUX46" s="365"/>
      <c r="UUY46" s="365"/>
      <c r="UUZ46" s="365"/>
      <c r="UVA46" s="365" t="s">
        <v>108</v>
      </c>
      <c r="UVB46" s="365"/>
      <c r="UVC46" s="365"/>
      <c r="UVD46" s="365"/>
      <c r="UVE46" s="365" t="s">
        <v>108</v>
      </c>
      <c r="UVF46" s="365"/>
      <c r="UVG46" s="365"/>
      <c r="UVH46" s="365"/>
      <c r="UVI46" s="365" t="s">
        <v>108</v>
      </c>
      <c r="UVJ46" s="365"/>
      <c r="UVK46" s="365"/>
      <c r="UVL46" s="365"/>
      <c r="UVM46" s="365" t="s">
        <v>108</v>
      </c>
      <c r="UVN46" s="365"/>
      <c r="UVO46" s="365"/>
      <c r="UVP46" s="365"/>
      <c r="UVQ46" s="365" t="s">
        <v>108</v>
      </c>
      <c r="UVR46" s="365"/>
      <c r="UVS46" s="365"/>
      <c r="UVT46" s="365"/>
      <c r="UVU46" s="365" t="s">
        <v>108</v>
      </c>
      <c r="UVV46" s="365"/>
      <c r="UVW46" s="365"/>
      <c r="UVX46" s="365"/>
      <c r="UVY46" s="365" t="s">
        <v>108</v>
      </c>
      <c r="UVZ46" s="365"/>
      <c r="UWA46" s="365"/>
      <c r="UWB46" s="365"/>
      <c r="UWC46" s="365" t="s">
        <v>108</v>
      </c>
      <c r="UWD46" s="365"/>
      <c r="UWE46" s="365"/>
      <c r="UWF46" s="365"/>
      <c r="UWG46" s="365" t="s">
        <v>108</v>
      </c>
      <c r="UWH46" s="365"/>
      <c r="UWI46" s="365"/>
      <c r="UWJ46" s="365"/>
      <c r="UWK46" s="365" t="s">
        <v>108</v>
      </c>
      <c r="UWL46" s="365"/>
      <c r="UWM46" s="365"/>
      <c r="UWN46" s="365"/>
      <c r="UWO46" s="365" t="s">
        <v>108</v>
      </c>
      <c r="UWP46" s="365"/>
      <c r="UWQ46" s="365"/>
      <c r="UWR46" s="365"/>
      <c r="UWS46" s="365" t="s">
        <v>108</v>
      </c>
      <c r="UWT46" s="365"/>
      <c r="UWU46" s="365"/>
      <c r="UWV46" s="365"/>
      <c r="UWW46" s="365" t="s">
        <v>108</v>
      </c>
      <c r="UWX46" s="365"/>
      <c r="UWY46" s="365"/>
      <c r="UWZ46" s="365"/>
      <c r="UXA46" s="365" t="s">
        <v>108</v>
      </c>
      <c r="UXB46" s="365"/>
      <c r="UXC46" s="365"/>
      <c r="UXD46" s="365"/>
      <c r="UXE46" s="365" t="s">
        <v>108</v>
      </c>
      <c r="UXF46" s="365"/>
      <c r="UXG46" s="365"/>
      <c r="UXH46" s="365"/>
      <c r="UXI46" s="365" t="s">
        <v>108</v>
      </c>
      <c r="UXJ46" s="365"/>
      <c r="UXK46" s="365"/>
      <c r="UXL46" s="365"/>
      <c r="UXM46" s="365" t="s">
        <v>108</v>
      </c>
      <c r="UXN46" s="365"/>
      <c r="UXO46" s="365"/>
      <c r="UXP46" s="365"/>
      <c r="UXQ46" s="365" t="s">
        <v>108</v>
      </c>
      <c r="UXR46" s="365"/>
      <c r="UXS46" s="365"/>
      <c r="UXT46" s="365"/>
      <c r="UXU46" s="365" t="s">
        <v>108</v>
      </c>
      <c r="UXV46" s="365"/>
      <c r="UXW46" s="365"/>
      <c r="UXX46" s="365"/>
      <c r="UXY46" s="365" t="s">
        <v>108</v>
      </c>
      <c r="UXZ46" s="365"/>
      <c r="UYA46" s="365"/>
      <c r="UYB46" s="365"/>
      <c r="UYC46" s="365" t="s">
        <v>108</v>
      </c>
      <c r="UYD46" s="365"/>
      <c r="UYE46" s="365"/>
      <c r="UYF46" s="365"/>
      <c r="UYG46" s="365" t="s">
        <v>108</v>
      </c>
      <c r="UYH46" s="365"/>
      <c r="UYI46" s="365"/>
      <c r="UYJ46" s="365"/>
      <c r="UYK46" s="365" t="s">
        <v>108</v>
      </c>
      <c r="UYL46" s="365"/>
      <c r="UYM46" s="365"/>
      <c r="UYN46" s="365"/>
      <c r="UYO46" s="365" t="s">
        <v>108</v>
      </c>
      <c r="UYP46" s="365"/>
      <c r="UYQ46" s="365"/>
      <c r="UYR46" s="365"/>
      <c r="UYS46" s="365" t="s">
        <v>108</v>
      </c>
      <c r="UYT46" s="365"/>
      <c r="UYU46" s="365"/>
      <c r="UYV46" s="365"/>
      <c r="UYW46" s="365" t="s">
        <v>108</v>
      </c>
      <c r="UYX46" s="365"/>
      <c r="UYY46" s="365"/>
      <c r="UYZ46" s="365"/>
      <c r="UZA46" s="365" t="s">
        <v>108</v>
      </c>
      <c r="UZB46" s="365"/>
      <c r="UZC46" s="365"/>
      <c r="UZD46" s="365"/>
      <c r="UZE46" s="365" t="s">
        <v>108</v>
      </c>
      <c r="UZF46" s="365"/>
      <c r="UZG46" s="365"/>
      <c r="UZH46" s="365"/>
      <c r="UZI46" s="365" t="s">
        <v>108</v>
      </c>
      <c r="UZJ46" s="365"/>
      <c r="UZK46" s="365"/>
      <c r="UZL46" s="365"/>
      <c r="UZM46" s="365" t="s">
        <v>108</v>
      </c>
      <c r="UZN46" s="365"/>
      <c r="UZO46" s="365"/>
      <c r="UZP46" s="365"/>
      <c r="UZQ46" s="365" t="s">
        <v>108</v>
      </c>
      <c r="UZR46" s="365"/>
      <c r="UZS46" s="365"/>
      <c r="UZT46" s="365"/>
      <c r="UZU46" s="365" t="s">
        <v>108</v>
      </c>
      <c r="UZV46" s="365"/>
      <c r="UZW46" s="365"/>
      <c r="UZX46" s="365"/>
      <c r="UZY46" s="365" t="s">
        <v>108</v>
      </c>
      <c r="UZZ46" s="365"/>
      <c r="VAA46" s="365"/>
      <c r="VAB46" s="365"/>
      <c r="VAC46" s="365" t="s">
        <v>108</v>
      </c>
      <c r="VAD46" s="365"/>
      <c r="VAE46" s="365"/>
      <c r="VAF46" s="365"/>
      <c r="VAG46" s="365" t="s">
        <v>108</v>
      </c>
      <c r="VAH46" s="365"/>
      <c r="VAI46" s="365"/>
      <c r="VAJ46" s="365"/>
      <c r="VAK46" s="365" t="s">
        <v>108</v>
      </c>
      <c r="VAL46" s="365"/>
      <c r="VAM46" s="365"/>
      <c r="VAN46" s="365"/>
      <c r="VAO46" s="365" t="s">
        <v>108</v>
      </c>
      <c r="VAP46" s="365"/>
      <c r="VAQ46" s="365"/>
      <c r="VAR46" s="365"/>
      <c r="VAS46" s="365" t="s">
        <v>108</v>
      </c>
      <c r="VAT46" s="365"/>
      <c r="VAU46" s="365"/>
      <c r="VAV46" s="365"/>
      <c r="VAW46" s="365" t="s">
        <v>108</v>
      </c>
      <c r="VAX46" s="365"/>
      <c r="VAY46" s="365"/>
      <c r="VAZ46" s="365"/>
      <c r="VBA46" s="365" t="s">
        <v>108</v>
      </c>
      <c r="VBB46" s="365"/>
      <c r="VBC46" s="365"/>
      <c r="VBD46" s="365"/>
      <c r="VBE46" s="365" t="s">
        <v>108</v>
      </c>
      <c r="VBF46" s="365"/>
      <c r="VBG46" s="365"/>
      <c r="VBH46" s="365"/>
      <c r="VBI46" s="365" t="s">
        <v>108</v>
      </c>
      <c r="VBJ46" s="365"/>
      <c r="VBK46" s="365"/>
      <c r="VBL46" s="365"/>
      <c r="VBM46" s="365" t="s">
        <v>108</v>
      </c>
      <c r="VBN46" s="365"/>
      <c r="VBO46" s="365"/>
      <c r="VBP46" s="365"/>
      <c r="VBQ46" s="365" t="s">
        <v>108</v>
      </c>
      <c r="VBR46" s="365"/>
      <c r="VBS46" s="365"/>
      <c r="VBT46" s="365"/>
      <c r="VBU46" s="365" t="s">
        <v>108</v>
      </c>
      <c r="VBV46" s="365"/>
      <c r="VBW46" s="365"/>
      <c r="VBX46" s="365"/>
      <c r="VBY46" s="365" t="s">
        <v>108</v>
      </c>
      <c r="VBZ46" s="365"/>
      <c r="VCA46" s="365"/>
      <c r="VCB46" s="365"/>
      <c r="VCC46" s="365" t="s">
        <v>108</v>
      </c>
      <c r="VCD46" s="365"/>
      <c r="VCE46" s="365"/>
      <c r="VCF46" s="365"/>
      <c r="VCG46" s="365" t="s">
        <v>108</v>
      </c>
      <c r="VCH46" s="365"/>
      <c r="VCI46" s="365"/>
      <c r="VCJ46" s="365"/>
      <c r="VCK46" s="365" t="s">
        <v>108</v>
      </c>
      <c r="VCL46" s="365"/>
      <c r="VCM46" s="365"/>
      <c r="VCN46" s="365"/>
      <c r="VCO46" s="365" t="s">
        <v>108</v>
      </c>
      <c r="VCP46" s="365"/>
      <c r="VCQ46" s="365"/>
      <c r="VCR46" s="365"/>
      <c r="VCS46" s="365" t="s">
        <v>108</v>
      </c>
      <c r="VCT46" s="365"/>
      <c r="VCU46" s="365"/>
      <c r="VCV46" s="365"/>
      <c r="VCW46" s="365" t="s">
        <v>108</v>
      </c>
      <c r="VCX46" s="365"/>
      <c r="VCY46" s="365"/>
      <c r="VCZ46" s="365"/>
      <c r="VDA46" s="365" t="s">
        <v>108</v>
      </c>
      <c r="VDB46" s="365"/>
      <c r="VDC46" s="365"/>
      <c r="VDD46" s="365"/>
      <c r="VDE46" s="365" t="s">
        <v>108</v>
      </c>
      <c r="VDF46" s="365"/>
      <c r="VDG46" s="365"/>
      <c r="VDH46" s="365"/>
      <c r="VDI46" s="365" t="s">
        <v>108</v>
      </c>
      <c r="VDJ46" s="365"/>
      <c r="VDK46" s="365"/>
      <c r="VDL46" s="365"/>
      <c r="VDM46" s="365" t="s">
        <v>108</v>
      </c>
      <c r="VDN46" s="365"/>
      <c r="VDO46" s="365"/>
      <c r="VDP46" s="365"/>
      <c r="VDQ46" s="365" t="s">
        <v>108</v>
      </c>
      <c r="VDR46" s="365"/>
      <c r="VDS46" s="365"/>
      <c r="VDT46" s="365"/>
      <c r="VDU46" s="365" t="s">
        <v>108</v>
      </c>
      <c r="VDV46" s="365"/>
      <c r="VDW46" s="365"/>
      <c r="VDX46" s="365"/>
      <c r="VDY46" s="365" t="s">
        <v>108</v>
      </c>
      <c r="VDZ46" s="365"/>
      <c r="VEA46" s="365"/>
      <c r="VEB46" s="365"/>
      <c r="VEC46" s="365" t="s">
        <v>108</v>
      </c>
      <c r="VED46" s="365"/>
      <c r="VEE46" s="365"/>
      <c r="VEF46" s="365"/>
      <c r="VEG46" s="365" t="s">
        <v>108</v>
      </c>
      <c r="VEH46" s="365"/>
      <c r="VEI46" s="365"/>
      <c r="VEJ46" s="365"/>
      <c r="VEK46" s="365" t="s">
        <v>108</v>
      </c>
      <c r="VEL46" s="365"/>
      <c r="VEM46" s="365"/>
      <c r="VEN46" s="365"/>
      <c r="VEO46" s="365" t="s">
        <v>108</v>
      </c>
      <c r="VEP46" s="365"/>
      <c r="VEQ46" s="365"/>
      <c r="VER46" s="365"/>
      <c r="VES46" s="365" t="s">
        <v>108</v>
      </c>
      <c r="VET46" s="365"/>
      <c r="VEU46" s="365"/>
      <c r="VEV46" s="365"/>
      <c r="VEW46" s="365" t="s">
        <v>108</v>
      </c>
      <c r="VEX46" s="365"/>
      <c r="VEY46" s="365"/>
      <c r="VEZ46" s="365"/>
      <c r="VFA46" s="365" t="s">
        <v>108</v>
      </c>
      <c r="VFB46" s="365"/>
      <c r="VFC46" s="365"/>
      <c r="VFD46" s="365"/>
      <c r="VFE46" s="365" t="s">
        <v>108</v>
      </c>
      <c r="VFF46" s="365"/>
      <c r="VFG46" s="365"/>
      <c r="VFH46" s="365"/>
      <c r="VFI46" s="365" t="s">
        <v>108</v>
      </c>
      <c r="VFJ46" s="365"/>
      <c r="VFK46" s="365"/>
      <c r="VFL46" s="365"/>
      <c r="VFM46" s="365" t="s">
        <v>108</v>
      </c>
      <c r="VFN46" s="365"/>
      <c r="VFO46" s="365"/>
      <c r="VFP46" s="365"/>
      <c r="VFQ46" s="365" t="s">
        <v>108</v>
      </c>
      <c r="VFR46" s="365"/>
      <c r="VFS46" s="365"/>
      <c r="VFT46" s="365"/>
      <c r="VFU46" s="365" t="s">
        <v>108</v>
      </c>
      <c r="VFV46" s="365"/>
      <c r="VFW46" s="365"/>
      <c r="VFX46" s="365"/>
      <c r="VFY46" s="365" t="s">
        <v>108</v>
      </c>
      <c r="VFZ46" s="365"/>
      <c r="VGA46" s="365"/>
      <c r="VGB46" s="365"/>
      <c r="VGC46" s="365" t="s">
        <v>108</v>
      </c>
      <c r="VGD46" s="365"/>
      <c r="VGE46" s="365"/>
      <c r="VGF46" s="365"/>
      <c r="VGG46" s="365" t="s">
        <v>108</v>
      </c>
      <c r="VGH46" s="365"/>
      <c r="VGI46" s="365"/>
      <c r="VGJ46" s="365"/>
      <c r="VGK46" s="365" t="s">
        <v>108</v>
      </c>
      <c r="VGL46" s="365"/>
      <c r="VGM46" s="365"/>
      <c r="VGN46" s="365"/>
      <c r="VGO46" s="365" t="s">
        <v>108</v>
      </c>
      <c r="VGP46" s="365"/>
      <c r="VGQ46" s="365"/>
      <c r="VGR46" s="365"/>
      <c r="VGS46" s="365" t="s">
        <v>108</v>
      </c>
      <c r="VGT46" s="365"/>
      <c r="VGU46" s="365"/>
      <c r="VGV46" s="365"/>
      <c r="VGW46" s="365" t="s">
        <v>108</v>
      </c>
      <c r="VGX46" s="365"/>
      <c r="VGY46" s="365"/>
      <c r="VGZ46" s="365"/>
      <c r="VHA46" s="365" t="s">
        <v>108</v>
      </c>
      <c r="VHB46" s="365"/>
      <c r="VHC46" s="365"/>
      <c r="VHD46" s="365"/>
      <c r="VHE46" s="365" t="s">
        <v>108</v>
      </c>
      <c r="VHF46" s="365"/>
      <c r="VHG46" s="365"/>
      <c r="VHH46" s="365"/>
      <c r="VHI46" s="365" t="s">
        <v>108</v>
      </c>
      <c r="VHJ46" s="365"/>
      <c r="VHK46" s="365"/>
      <c r="VHL46" s="365"/>
      <c r="VHM46" s="365" t="s">
        <v>108</v>
      </c>
      <c r="VHN46" s="365"/>
      <c r="VHO46" s="365"/>
      <c r="VHP46" s="365"/>
      <c r="VHQ46" s="365" t="s">
        <v>108</v>
      </c>
      <c r="VHR46" s="365"/>
      <c r="VHS46" s="365"/>
      <c r="VHT46" s="365"/>
      <c r="VHU46" s="365" t="s">
        <v>108</v>
      </c>
      <c r="VHV46" s="365"/>
      <c r="VHW46" s="365"/>
      <c r="VHX46" s="365"/>
      <c r="VHY46" s="365" t="s">
        <v>108</v>
      </c>
      <c r="VHZ46" s="365"/>
      <c r="VIA46" s="365"/>
      <c r="VIB46" s="365"/>
      <c r="VIC46" s="365" t="s">
        <v>108</v>
      </c>
      <c r="VID46" s="365"/>
      <c r="VIE46" s="365"/>
      <c r="VIF46" s="365"/>
      <c r="VIG46" s="365" t="s">
        <v>108</v>
      </c>
      <c r="VIH46" s="365"/>
      <c r="VII46" s="365"/>
      <c r="VIJ46" s="365"/>
      <c r="VIK46" s="365" t="s">
        <v>108</v>
      </c>
      <c r="VIL46" s="365"/>
      <c r="VIM46" s="365"/>
      <c r="VIN46" s="365"/>
      <c r="VIO46" s="365" t="s">
        <v>108</v>
      </c>
      <c r="VIP46" s="365"/>
      <c r="VIQ46" s="365"/>
      <c r="VIR46" s="365"/>
      <c r="VIS46" s="365" t="s">
        <v>108</v>
      </c>
      <c r="VIT46" s="365"/>
      <c r="VIU46" s="365"/>
      <c r="VIV46" s="365"/>
      <c r="VIW46" s="365" t="s">
        <v>108</v>
      </c>
      <c r="VIX46" s="365"/>
      <c r="VIY46" s="365"/>
      <c r="VIZ46" s="365"/>
      <c r="VJA46" s="365" t="s">
        <v>108</v>
      </c>
      <c r="VJB46" s="365"/>
      <c r="VJC46" s="365"/>
      <c r="VJD46" s="365"/>
      <c r="VJE46" s="365" t="s">
        <v>108</v>
      </c>
      <c r="VJF46" s="365"/>
      <c r="VJG46" s="365"/>
      <c r="VJH46" s="365"/>
      <c r="VJI46" s="365" t="s">
        <v>108</v>
      </c>
      <c r="VJJ46" s="365"/>
      <c r="VJK46" s="365"/>
      <c r="VJL46" s="365"/>
      <c r="VJM46" s="365" t="s">
        <v>108</v>
      </c>
      <c r="VJN46" s="365"/>
      <c r="VJO46" s="365"/>
      <c r="VJP46" s="365"/>
      <c r="VJQ46" s="365" t="s">
        <v>108</v>
      </c>
      <c r="VJR46" s="365"/>
      <c r="VJS46" s="365"/>
      <c r="VJT46" s="365"/>
      <c r="VJU46" s="365" t="s">
        <v>108</v>
      </c>
      <c r="VJV46" s="365"/>
      <c r="VJW46" s="365"/>
      <c r="VJX46" s="365"/>
      <c r="VJY46" s="365" t="s">
        <v>108</v>
      </c>
      <c r="VJZ46" s="365"/>
      <c r="VKA46" s="365"/>
      <c r="VKB46" s="365"/>
      <c r="VKC46" s="365" t="s">
        <v>108</v>
      </c>
      <c r="VKD46" s="365"/>
      <c r="VKE46" s="365"/>
      <c r="VKF46" s="365"/>
      <c r="VKG46" s="365" t="s">
        <v>108</v>
      </c>
      <c r="VKH46" s="365"/>
      <c r="VKI46" s="365"/>
      <c r="VKJ46" s="365"/>
      <c r="VKK46" s="365" t="s">
        <v>108</v>
      </c>
      <c r="VKL46" s="365"/>
      <c r="VKM46" s="365"/>
      <c r="VKN46" s="365"/>
      <c r="VKO46" s="365" t="s">
        <v>108</v>
      </c>
      <c r="VKP46" s="365"/>
      <c r="VKQ46" s="365"/>
      <c r="VKR46" s="365"/>
      <c r="VKS46" s="365" t="s">
        <v>108</v>
      </c>
      <c r="VKT46" s="365"/>
      <c r="VKU46" s="365"/>
      <c r="VKV46" s="365"/>
      <c r="VKW46" s="365" t="s">
        <v>108</v>
      </c>
      <c r="VKX46" s="365"/>
      <c r="VKY46" s="365"/>
      <c r="VKZ46" s="365"/>
      <c r="VLA46" s="365" t="s">
        <v>108</v>
      </c>
      <c r="VLB46" s="365"/>
      <c r="VLC46" s="365"/>
      <c r="VLD46" s="365"/>
      <c r="VLE46" s="365" t="s">
        <v>108</v>
      </c>
      <c r="VLF46" s="365"/>
      <c r="VLG46" s="365"/>
      <c r="VLH46" s="365"/>
      <c r="VLI46" s="365" t="s">
        <v>108</v>
      </c>
      <c r="VLJ46" s="365"/>
      <c r="VLK46" s="365"/>
      <c r="VLL46" s="365"/>
      <c r="VLM46" s="365" t="s">
        <v>108</v>
      </c>
      <c r="VLN46" s="365"/>
      <c r="VLO46" s="365"/>
      <c r="VLP46" s="365"/>
      <c r="VLQ46" s="365" t="s">
        <v>108</v>
      </c>
      <c r="VLR46" s="365"/>
      <c r="VLS46" s="365"/>
      <c r="VLT46" s="365"/>
      <c r="VLU46" s="365" t="s">
        <v>108</v>
      </c>
      <c r="VLV46" s="365"/>
      <c r="VLW46" s="365"/>
      <c r="VLX46" s="365"/>
      <c r="VLY46" s="365" t="s">
        <v>108</v>
      </c>
      <c r="VLZ46" s="365"/>
      <c r="VMA46" s="365"/>
      <c r="VMB46" s="365"/>
      <c r="VMC46" s="365" t="s">
        <v>108</v>
      </c>
      <c r="VMD46" s="365"/>
      <c r="VME46" s="365"/>
      <c r="VMF46" s="365"/>
      <c r="VMG46" s="365" t="s">
        <v>108</v>
      </c>
      <c r="VMH46" s="365"/>
      <c r="VMI46" s="365"/>
      <c r="VMJ46" s="365"/>
      <c r="VMK46" s="365" t="s">
        <v>108</v>
      </c>
      <c r="VML46" s="365"/>
      <c r="VMM46" s="365"/>
      <c r="VMN46" s="365"/>
      <c r="VMO46" s="365" t="s">
        <v>108</v>
      </c>
      <c r="VMP46" s="365"/>
      <c r="VMQ46" s="365"/>
      <c r="VMR46" s="365"/>
      <c r="VMS46" s="365" t="s">
        <v>108</v>
      </c>
      <c r="VMT46" s="365"/>
      <c r="VMU46" s="365"/>
      <c r="VMV46" s="365"/>
      <c r="VMW46" s="365" t="s">
        <v>108</v>
      </c>
      <c r="VMX46" s="365"/>
      <c r="VMY46" s="365"/>
      <c r="VMZ46" s="365"/>
      <c r="VNA46" s="365" t="s">
        <v>108</v>
      </c>
      <c r="VNB46" s="365"/>
      <c r="VNC46" s="365"/>
      <c r="VND46" s="365"/>
      <c r="VNE46" s="365" t="s">
        <v>108</v>
      </c>
      <c r="VNF46" s="365"/>
      <c r="VNG46" s="365"/>
      <c r="VNH46" s="365"/>
      <c r="VNI46" s="365" t="s">
        <v>108</v>
      </c>
      <c r="VNJ46" s="365"/>
      <c r="VNK46" s="365"/>
      <c r="VNL46" s="365"/>
      <c r="VNM46" s="365" t="s">
        <v>108</v>
      </c>
      <c r="VNN46" s="365"/>
      <c r="VNO46" s="365"/>
      <c r="VNP46" s="365"/>
      <c r="VNQ46" s="365" t="s">
        <v>108</v>
      </c>
      <c r="VNR46" s="365"/>
      <c r="VNS46" s="365"/>
      <c r="VNT46" s="365"/>
      <c r="VNU46" s="365" t="s">
        <v>108</v>
      </c>
      <c r="VNV46" s="365"/>
      <c r="VNW46" s="365"/>
      <c r="VNX46" s="365"/>
      <c r="VNY46" s="365" t="s">
        <v>108</v>
      </c>
      <c r="VNZ46" s="365"/>
      <c r="VOA46" s="365"/>
      <c r="VOB46" s="365"/>
      <c r="VOC46" s="365" t="s">
        <v>108</v>
      </c>
      <c r="VOD46" s="365"/>
      <c r="VOE46" s="365"/>
      <c r="VOF46" s="365"/>
      <c r="VOG46" s="365" t="s">
        <v>108</v>
      </c>
      <c r="VOH46" s="365"/>
      <c r="VOI46" s="365"/>
      <c r="VOJ46" s="365"/>
      <c r="VOK46" s="365" t="s">
        <v>108</v>
      </c>
      <c r="VOL46" s="365"/>
      <c r="VOM46" s="365"/>
      <c r="VON46" s="365"/>
      <c r="VOO46" s="365" t="s">
        <v>108</v>
      </c>
      <c r="VOP46" s="365"/>
      <c r="VOQ46" s="365"/>
      <c r="VOR46" s="365"/>
      <c r="VOS46" s="365" t="s">
        <v>108</v>
      </c>
      <c r="VOT46" s="365"/>
      <c r="VOU46" s="365"/>
      <c r="VOV46" s="365"/>
      <c r="VOW46" s="365" t="s">
        <v>108</v>
      </c>
      <c r="VOX46" s="365"/>
      <c r="VOY46" s="365"/>
      <c r="VOZ46" s="365"/>
      <c r="VPA46" s="365" t="s">
        <v>108</v>
      </c>
      <c r="VPB46" s="365"/>
      <c r="VPC46" s="365"/>
      <c r="VPD46" s="365"/>
      <c r="VPE46" s="365" t="s">
        <v>108</v>
      </c>
      <c r="VPF46" s="365"/>
      <c r="VPG46" s="365"/>
      <c r="VPH46" s="365"/>
      <c r="VPI46" s="365" t="s">
        <v>108</v>
      </c>
      <c r="VPJ46" s="365"/>
      <c r="VPK46" s="365"/>
      <c r="VPL46" s="365"/>
      <c r="VPM46" s="365" t="s">
        <v>108</v>
      </c>
      <c r="VPN46" s="365"/>
      <c r="VPO46" s="365"/>
      <c r="VPP46" s="365"/>
      <c r="VPQ46" s="365" t="s">
        <v>108</v>
      </c>
      <c r="VPR46" s="365"/>
      <c r="VPS46" s="365"/>
      <c r="VPT46" s="365"/>
      <c r="VPU46" s="365" t="s">
        <v>108</v>
      </c>
      <c r="VPV46" s="365"/>
      <c r="VPW46" s="365"/>
      <c r="VPX46" s="365"/>
      <c r="VPY46" s="365" t="s">
        <v>108</v>
      </c>
      <c r="VPZ46" s="365"/>
      <c r="VQA46" s="365"/>
      <c r="VQB46" s="365"/>
      <c r="VQC46" s="365" t="s">
        <v>108</v>
      </c>
      <c r="VQD46" s="365"/>
      <c r="VQE46" s="365"/>
      <c r="VQF46" s="365"/>
      <c r="VQG46" s="365" t="s">
        <v>108</v>
      </c>
      <c r="VQH46" s="365"/>
      <c r="VQI46" s="365"/>
      <c r="VQJ46" s="365"/>
      <c r="VQK46" s="365" t="s">
        <v>108</v>
      </c>
      <c r="VQL46" s="365"/>
      <c r="VQM46" s="365"/>
      <c r="VQN46" s="365"/>
      <c r="VQO46" s="365" t="s">
        <v>108</v>
      </c>
      <c r="VQP46" s="365"/>
      <c r="VQQ46" s="365"/>
      <c r="VQR46" s="365"/>
      <c r="VQS46" s="365" t="s">
        <v>108</v>
      </c>
      <c r="VQT46" s="365"/>
      <c r="VQU46" s="365"/>
      <c r="VQV46" s="365"/>
      <c r="VQW46" s="365" t="s">
        <v>108</v>
      </c>
      <c r="VQX46" s="365"/>
      <c r="VQY46" s="365"/>
      <c r="VQZ46" s="365"/>
      <c r="VRA46" s="365" t="s">
        <v>108</v>
      </c>
      <c r="VRB46" s="365"/>
      <c r="VRC46" s="365"/>
      <c r="VRD46" s="365"/>
      <c r="VRE46" s="365" t="s">
        <v>108</v>
      </c>
      <c r="VRF46" s="365"/>
      <c r="VRG46" s="365"/>
      <c r="VRH46" s="365"/>
      <c r="VRI46" s="365" t="s">
        <v>108</v>
      </c>
      <c r="VRJ46" s="365"/>
      <c r="VRK46" s="365"/>
      <c r="VRL46" s="365"/>
      <c r="VRM46" s="365" t="s">
        <v>108</v>
      </c>
      <c r="VRN46" s="365"/>
      <c r="VRO46" s="365"/>
      <c r="VRP46" s="365"/>
      <c r="VRQ46" s="365" t="s">
        <v>108</v>
      </c>
      <c r="VRR46" s="365"/>
      <c r="VRS46" s="365"/>
      <c r="VRT46" s="365"/>
      <c r="VRU46" s="365" t="s">
        <v>108</v>
      </c>
      <c r="VRV46" s="365"/>
      <c r="VRW46" s="365"/>
      <c r="VRX46" s="365"/>
      <c r="VRY46" s="365" t="s">
        <v>108</v>
      </c>
      <c r="VRZ46" s="365"/>
      <c r="VSA46" s="365"/>
      <c r="VSB46" s="365"/>
      <c r="VSC46" s="365" t="s">
        <v>108</v>
      </c>
      <c r="VSD46" s="365"/>
      <c r="VSE46" s="365"/>
      <c r="VSF46" s="365"/>
      <c r="VSG46" s="365" t="s">
        <v>108</v>
      </c>
      <c r="VSH46" s="365"/>
      <c r="VSI46" s="365"/>
      <c r="VSJ46" s="365"/>
      <c r="VSK46" s="365" t="s">
        <v>108</v>
      </c>
      <c r="VSL46" s="365"/>
      <c r="VSM46" s="365"/>
      <c r="VSN46" s="365"/>
      <c r="VSO46" s="365" t="s">
        <v>108</v>
      </c>
      <c r="VSP46" s="365"/>
      <c r="VSQ46" s="365"/>
      <c r="VSR46" s="365"/>
      <c r="VSS46" s="365" t="s">
        <v>108</v>
      </c>
      <c r="VST46" s="365"/>
      <c r="VSU46" s="365"/>
      <c r="VSV46" s="365"/>
      <c r="VSW46" s="365" t="s">
        <v>108</v>
      </c>
      <c r="VSX46" s="365"/>
      <c r="VSY46" s="365"/>
      <c r="VSZ46" s="365"/>
      <c r="VTA46" s="365" t="s">
        <v>108</v>
      </c>
      <c r="VTB46" s="365"/>
      <c r="VTC46" s="365"/>
      <c r="VTD46" s="365"/>
      <c r="VTE46" s="365" t="s">
        <v>108</v>
      </c>
      <c r="VTF46" s="365"/>
      <c r="VTG46" s="365"/>
      <c r="VTH46" s="365"/>
      <c r="VTI46" s="365" t="s">
        <v>108</v>
      </c>
      <c r="VTJ46" s="365"/>
      <c r="VTK46" s="365"/>
      <c r="VTL46" s="365"/>
      <c r="VTM46" s="365" t="s">
        <v>108</v>
      </c>
      <c r="VTN46" s="365"/>
      <c r="VTO46" s="365"/>
      <c r="VTP46" s="365"/>
      <c r="VTQ46" s="365" t="s">
        <v>108</v>
      </c>
      <c r="VTR46" s="365"/>
      <c r="VTS46" s="365"/>
      <c r="VTT46" s="365"/>
      <c r="VTU46" s="365" t="s">
        <v>108</v>
      </c>
      <c r="VTV46" s="365"/>
      <c r="VTW46" s="365"/>
      <c r="VTX46" s="365"/>
      <c r="VTY46" s="365" t="s">
        <v>108</v>
      </c>
      <c r="VTZ46" s="365"/>
      <c r="VUA46" s="365"/>
      <c r="VUB46" s="365"/>
      <c r="VUC46" s="365" t="s">
        <v>108</v>
      </c>
      <c r="VUD46" s="365"/>
      <c r="VUE46" s="365"/>
      <c r="VUF46" s="365"/>
      <c r="VUG46" s="365" t="s">
        <v>108</v>
      </c>
      <c r="VUH46" s="365"/>
      <c r="VUI46" s="365"/>
      <c r="VUJ46" s="365"/>
      <c r="VUK46" s="365" t="s">
        <v>108</v>
      </c>
      <c r="VUL46" s="365"/>
      <c r="VUM46" s="365"/>
      <c r="VUN46" s="365"/>
      <c r="VUO46" s="365" t="s">
        <v>108</v>
      </c>
      <c r="VUP46" s="365"/>
      <c r="VUQ46" s="365"/>
      <c r="VUR46" s="365"/>
      <c r="VUS46" s="365" t="s">
        <v>108</v>
      </c>
      <c r="VUT46" s="365"/>
      <c r="VUU46" s="365"/>
      <c r="VUV46" s="365"/>
      <c r="VUW46" s="365" t="s">
        <v>108</v>
      </c>
      <c r="VUX46" s="365"/>
      <c r="VUY46" s="365"/>
      <c r="VUZ46" s="365"/>
      <c r="VVA46" s="365" t="s">
        <v>108</v>
      </c>
      <c r="VVB46" s="365"/>
      <c r="VVC46" s="365"/>
      <c r="VVD46" s="365"/>
      <c r="VVE46" s="365" t="s">
        <v>108</v>
      </c>
      <c r="VVF46" s="365"/>
      <c r="VVG46" s="365"/>
      <c r="VVH46" s="365"/>
      <c r="VVI46" s="365" t="s">
        <v>108</v>
      </c>
      <c r="VVJ46" s="365"/>
      <c r="VVK46" s="365"/>
      <c r="VVL46" s="365"/>
      <c r="VVM46" s="365" t="s">
        <v>108</v>
      </c>
      <c r="VVN46" s="365"/>
      <c r="VVO46" s="365"/>
      <c r="VVP46" s="365"/>
      <c r="VVQ46" s="365" t="s">
        <v>108</v>
      </c>
      <c r="VVR46" s="365"/>
      <c r="VVS46" s="365"/>
      <c r="VVT46" s="365"/>
      <c r="VVU46" s="365" t="s">
        <v>108</v>
      </c>
      <c r="VVV46" s="365"/>
      <c r="VVW46" s="365"/>
      <c r="VVX46" s="365"/>
      <c r="VVY46" s="365" t="s">
        <v>108</v>
      </c>
      <c r="VVZ46" s="365"/>
      <c r="VWA46" s="365"/>
      <c r="VWB46" s="365"/>
      <c r="VWC46" s="365" t="s">
        <v>108</v>
      </c>
      <c r="VWD46" s="365"/>
      <c r="VWE46" s="365"/>
      <c r="VWF46" s="365"/>
      <c r="VWG46" s="365" t="s">
        <v>108</v>
      </c>
      <c r="VWH46" s="365"/>
      <c r="VWI46" s="365"/>
      <c r="VWJ46" s="365"/>
      <c r="VWK46" s="365" t="s">
        <v>108</v>
      </c>
      <c r="VWL46" s="365"/>
      <c r="VWM46" s="365"/>
      <c r="VWN46" s="365"/>
      <c r="VWO46" s="365" t="s">
        <v>108</v>
      </c>
      <c r="VWP46" s="365"/>
      <c r="VWQ46" s="365"/>
      <c r="VWR46" s="365"/>
      <c r="VWS46" s="365" t="s">
        <v>108</v>
      </c>
      <c r="VWT46" s="365"/>
      <c r="VWU46" s="365"/>
      <c r="VWV46" s="365"/>
      <c r="VWW46" s="365" t="s">
        <v>108</v>
      </c>
      <c r="VWX46" s="365"/>
      <c r="VWY46" s="365"/>
      <c r="VWZ46" s="365"/>
      <c r="VXA46" s="365" t="s">
        <v>108</v>
      </c>
      <c r="VXB46" s="365"/>
      <c r="VXC46" s="365"/>
      <c r="VXD46" s="365"/>
      <c r="VXE46" s="365" t="s">
        <v>108</v>
      </c>
      <c r="VXF46" s="365"/>
      <c r="VXG46" s="365"/>
      <c r="VXH46" s="365"/>
      <c r="VXI46" s="365" t="s">
        <v>108</v>
      </c>
      <c r="VXJ46" s="365"/>
      <c r="VXK46" s="365"/>
      <c r="VXL46" s="365"/>
      <c r="VXM46" s="365" t="s">
        <v>108</v>
      </c>
      <c r="VXN46" s="365"/>
      <c r="VXO46" s="365"/>
      <c r="VXP46" s="365"/>
      <c r="VXQ46" s="365" t="s">
        <v>108</v>
      </c>
      <c r="VXR46" s="365"/>
      <c r="VXS46" s="365"/>
      <c r="VXT46" s="365"/>
      <c r="VXU46" s="365" t="s">
        <v>108</v>
      </c>
      <c r="VXV46" s="365"/>
      <c r="VXW46" s="365"/>
      <c r="VXX46" s="365"/>
      <c r="VXY46" s="365" t="s">
        <v>108</v>
      </c>
      <c r="VXZ46" s="365"/>
      <c r="VYA46" s="365"/>
      <c r="VYB46" s="365"/>
      <c r="VYC46" s="365" t="s">
        <v>108</v>
      </c>
      <c r="VYD46" s="365"/>
      <c r="VYE46" s="365"/>
      <c r="VYF46" s="365"/>
      <c r="VYG46" s="365" t="s">
        <v>108</v>
      </c>
      <c r="VYH46" s="365"/>
      <c r="VYI46" s="365"/>
      <c r="VYJ46" s="365"/>
      <c r="VYK46" s="365" t="s">
        <v>108</v>
      </c>
      <c r="VYL46" s="365"/>
      <c r="VYM46" s="365"/>
      <c r="VYN46" s="365"/>
      <c r="VYO46" s="365" t="s">
        <v>108</v>
      </c>
      <c r="VYP46" s="365"/>
      <c r="VYQ46" s="365"/>
      <c r="VYR46" s="365"/>
      <c r="VYS46" s="365" t="s">
        <v>108</v>
      </c>
      <c r="VYT46" s="365"/>
      <c r="VYU46" s="365"/>
      <c r="VYV46" s="365"/>
      <c r="VYW46" s="365" t="s">
        <v>108</v>
      </c>
      <c r="VYX46" s="365"/>
      <c r="VYY46" s="365"/>
      <c r="VYZ46" s="365"/>
      <c r="VZA46" s="365" t="s">
        <v>108</v>
      </c>
      <c r="VZB46" s="365"/>
      <c r="VZC46" s="365"/>
      <c r="VZD46" s="365"/>
      <c r="VZE46" s="365" t="s">
        <v>108</v>
      </c>
      <c r="VZF46" s="365"/>
      <c r="VZG46" s="365"/>
      <c r="VZH46" s="365"/>
      <c r="VZI46" s="365" t="s">
        <v>108</v>
      </c>
      <c r="VZJ46" s="365"/>
      <c r="VZK46" s="365"/>
      <c r="VZL46" s="365"/>
      <c r="VZM46" s="365" t="s">
        <v>108</v>
      </c>
      <c r="VZN46" s="365"/>
      <c r="VZO46" s="365"/>
      <c r="VZP46" s="365"/>
      <c r="VZQ46" s="365" t="s">
        <v>108</v>
      </c>
      <c r="VZR46" s="365"/>
      <c r="VZS46" s="365"/>
      <c r="VZT46" s="365"/>
      <c r="VZU46" s="365" t="s">
        <v>108</v>
      </c>
      <c r="VZV46" s="365"/>
      <c r="VZW46" s="365"/>
      <c r="VZX46" s="365"/>
      <c r="VZY46" s="365" t="s">
        <v>108</v>
      </c>
      <c r="VZZ46" s="365"/>
      <c r="WAA46" s="365"/>
      <c r="WAB46" s="365"/>
      <c r="WAC46" s="365" t="s">
        <v>108</v>
      </c>
      <c r="WAD46" s="365"/>
      <c r="WAE46" s="365"/>
      <c r="WAF46" s="365"/>
      <c r="WAG46" s="365" t="s">
        <v>108</v>
      </c>
      <c r="WAH46" s="365"/>
      <c r="WAI46" s="365"/>
      <c r="WAJ46" s="365"/>
      <c r="WAK46" s="365" t="s">
        <v>108</v>
      </c>
      <c r="WAL46" s="365"/>
      <c r="WAM46" s="365"/>
      <c r="WAN46" s="365"/>
      <c r="WAO46" s="365" t="s">
        <v>108</v>
      </c>
      <c r="WAP46" s="365"/>
      <c r="WAQ46" s="365"/>
      <c r="WAR46" s="365"/>
      <c r="WAS46" s="365" t="s">
        <v>108</v>
      </c>
      <c r="WAT46" s="365"/>
      <c r="WAU46" s="365"/>
      <c r="WAV46" s="365"/>
      <c r="WAW46" s="365" t="s">
        <v>108</v>
      </c>
      <c r="WAX46" s="365"/>
      <c r="WAY46" s="365"/>
      <c r="WAZ46" s="365"/>
      <c r="WBA46" s="365" t="s">
        <v>108</v>
      </c>
      <c r="WBB46" s="365"/>
      <c r="WBC46" s="365"/>
      <c r="WBD46" s="365"/>
      <c r="WBE46" s="365" t="s">
        <v>108</v>
      </c>
      <c r="WBF46" s="365"/>
      <c r="WBG46" s="365"/>
      <c r="WBH46" s="365"/>
      <c r="WBI46" s="365" t="s">
        <v>108</v>
      </c>
      <c r="WBJ46" s="365"/>
      <c r="WBK46" s="365"/>
      <c r="WBL46" s="365"/>
      <c r="WBM46" s="365" t="s">
        <v>108</v>
      </c>
      <c r="WBN46" s="365"/>
      <c r="WBO46" s="365"/>
      <c r="WBP46" s="365"/>
      <c r="WBQ46" s="365" t="s">
        <v>108</v>
      </c>
      <c r="WBR46" s="365"/>
      <c r="WBS46" s="365"/>
      <c r="WBT46" s="365"/>
      <c r="WBU46" s="365" t="s">
        <v>108</v>
      </c>
      <c r="WBV46" s="365"/>
      <c r="WBW46" s="365"/>
      <c r="WBX46" s="365"/>
      <c r="WBY46" s="365" t="s">
        <v>108</v>
      </c>
      <c r="WBZ46" s="365"/>
      <c r="WCA46" s="365"/>
      <c r="WCB46" s="365"/>
      <c r="WCC46" s="365" t="s">
        <v>108</v>
      </c>
      <c r="WCD46" s="365"/>
      <c r="WCE46" s="365"/>
      <c r="WCF46" s="365"/>
      <c r="WCG46" s="365" t="s">
        <v>108</v>
      </c>
      <c r="WCH46" s="365"/>
      <c r="WCI46" s="365"/>
      <c r="WCJ46" s="365"/>
      <c r="WCK46" s="365" t="s">
        <v>108</v>
      </c>
      <c r="WCL46" s="365"/>
      <c r="WCM46" s="365"/>
      <c r="WCN46" s="365"/>
      <c r="WCO46" s="365" t="s">
        <v>108</v>
      </c>
      <c r="WCP46" s="365"/>
      <c r="WCQ46" s="365"/>
      <c r="WCR46" s="365"/>
      <c r="WCS46" s="365" t="s">
        <v>108</v>
      </c>
      <c r="WCT46" s="365"/>
      <c r="WCU46" s="365"/>
      <c r="WCV46" s="365"/>
      <c r="WCW46" s="365" t="s">
        <v>108</v>
      </c>
      <c r="WCX46" s="365"/>
      <c r="WCY46" s="365"/>
      <c r="WCZ46" s="365"/>
      <c r="WDA46" s="365" t="s">
        <v>108</v>
      </c>
      <c r="WDB46" s="365"/>
      <c r="WDC46" s="365"/>
      <c r="WDD46" s="365"/>
      <c r="WDE46" s="365" t="s">
        <v>108</v>
      </c>
      <c r="WDF46" s="365"/>
      <c r="WDG46" s="365"/>
      <c r="WDH46" s="365"/>
      <c r="WDI46" s="365" t="s">
        <v>108</v>
      </c>
      <c r="WDJ46" s="365"/>
      <c r="WDK46" s="365"/>
      <c r="WDL46" s="365"/>
      <c r="WDM46" s="365" t="s">
        <v>108</v>
      </c>
      <c r="WDN46" s="365"/>
      <c r="WDO46" s="365"/>
      <c r="WDP46" s="365"/>
      <c r="WDQ46" s="365" t="s">
        <v>108</v>
      </c>
      <c r="WDR46" s="365"/>
      <c r="WDS46" s="365"/>
      <c r="WDT46" s="365"/>
      <c r="WDU46" s="365" t="s">
        <v>108</v>
      </c>
      <c r="WDV46" s="365"/>
      <c r="WDW46" s="365"/>
      <c r="WDX46" s="365"/>
      <c r="WDY46" s="365" t="s">
        <v>108</v>
      </c>
      <c r="WDZ46" s="365"/>
      <c r="WEA46" s="365"/>
      <c r="WEB46" s="365"/>
      <c r="WEC46" s="365" t="s">
        <v>108</v>
      </c>
      <c r="WED46" s="365"/>
      <c r="WEE46" s="365"/>
      <c r="WEF46" s="365"/>
      <c r="WEG46" s="365" t="s">
        <v>108</v>
      </c>
      <c r="WEH46" s="365"/>
      <c r="WEI46" s="365"/>
      <c r="WEJ46" s="365"/>
      <c r="WEK46" s="365" t="s">
        <v>108</v>
      </c>
      <c r="WEL46" s="365"/>
      <c r="WEM46" s="365"/>
      <c r="WEN46" s="365"/>
      <c r="WEO46" s="365" t="s">
        <v>108</v>
      </c>
      <c r="WEP46" s="365"/>
      <c r="WEQ46" s="365"/>
      <c r="WER46" s="365"/>
      <c r="WES46" s="365" t="s">
        <v>108</v>
      </c>
      <c r="WET46" s="365"/>
      <c r="WEU46" s="365"/>
      <c r="WEV46" s="365"/>
      <c r="WEW46" s="365" t="s">
        <v>108</v>
      </c>
      <c r="WEX46" s="365"/>
      <c r="WEY46" s="365"/>
      <c r="WEZ46" s="365"/>
      <c r="WFA46" s="365" t="s">
        <v>108</v>
      </c>
      <c r="WFB46" s="365"/>
      <c r="WFC46" s="365"/>
      <c r="WFD46" s="365"/>
      <c r="WFE46" s="365" t="s">
        <v>108</v>
      </c>
      <c r="WFF46" s="365"/>
      <c r="WFG46" s="365"/>
      <c r="WFH46" s="365"/>
      <c r="WFI46" s="365" t="s">
        <v>108</v>
      </c>
      <c r="WFJ46" s="365"/>
      <c r="WFK46" s="365"/>
      <c r="WFL46" s="365"/>
      <c r="WFM46" s="365" t="s">
        <v>108</v>
      </c>
      <c r="WFN46" s="365"/>
      <c r="WFO46" s="365"/>
      <c r="WFP46" s="365"/>
      <c r="WFQ46" s="365" t="s">
        <v>108</v>
      </c>
      <c r="WFR46" s="365"/>
      <c r="WFS46" s="365"/>
      <c r="WFT46" s="365"/>
      <c r="WFU46" s="365" t="s">
        <v>108</v>
      </c>
      <c r="WFV46" s="365"/>
      <c r="WFW46" s="365"/>
      <c r="WFX46" s="365"/>
      <c r="WFY46" s="365" t="s">
        <v>108</v>
      </c>
      <c r="WFZ46" s="365"/>
      <c r="WGA46" s="365"/>
      <c r="WGB46" s="365"/>
      <c r="WGC46" s="365" t="s">
        <v>108</v>
      </c>
      <c r="WGD46" s="365"/>
      <c r="WGE46" s="365"/>
      <c r="WGF46" s="365"/>
      <c r="WGG46" s="365" t="s">
        <v>108</v>
      </c>
      <c r="WGH46" s="365"/>
      <c r="WGI46" s="365"/>
      <c r="WGJ46" s="365"/>
      <c r="WGK46" s="365" t="s">
        <v>108</v>
      </c>
      <c r="WGL46" s="365"/>
      <c r="WGM46" s="365"/>
      <c r="WGN46" s="365"/>
      <c r="WGO46" s="365" t="s">
        <v>108</v>
      </c>
      <c r="WGP46" s="365"/>
      <c r="WGQ46" s="365"/>
      <c r="WGR46" s="365"/>
      <c r="WGS46" s="365" t="s">
        <v>108</v>
      </c>
      <c r="WGT46" s="365"/>
      <c r="WGU46" s="365"/>
      <c r="WGV46" s="365"/>
      <c r="WGW46" s="365" t="s">
        <v>108</v>
      </c>
      <c r="WGX46" s="365"/>
      <c r="WGY46" s="365"/>
      <c r="WGZ46" s="365"/>
      <c r="WHA46" s="365" t="s">
        <v>108</v>
      </c>
      <c r="WHB46" s="365"/>
      <c r="WHC46" s="365"/>
      <c r="WHD46" s="365"/>
      <c r="WHE46" s="365" t="s">
        <v>108</v>
      </c>
      <c r="WHF46" s="365"/>
      <c r="WHG46" s="365"/>
      <c r="WHH46" s="365"/>
      <c r="WHI46" s="365" t="s">
        <v>108</v>
      </c>
      <c r="WHJ46" s="365"/>
      <c r="WHK46" s="365"/>
      <c r="WHL46" s="365"/>
      <c r="WHM46" s="365" t="s">
        <v>108</v>
      </c>
      <c r="WHN46" s="365"/>
      <c r="WHO46" s="365"/>
      <c r="WHP46" s="365"/>
      <c r="WHQ46" s="365" t="s">
        <v>108</v>
      </c>
      <c r="WHR46" s="365"/>
      <c r="WHS46" s="365"/>
      <c r="WHT46" s="365"/>
      <c r="WHU46" s="365" t="s">
        <v>108</v>
      </c>
      <c r="WHV46" s="365"/>
      <c r="WHW46" s="365"/>
      <c r="WHX46" s="365"/>
      <c r="WHY46" s="365" t="s">
        <v>108</v>
      </c>
      <c r="WHZ46" s="365"/>
      <c r="WIA46" s="365"/>
      <c r="WIB46" s="365"/>
      <c r="WIC46" s="365" t="s">
        <v>108</v>
      </c>
      <c r="WID46" s="365"/>
      <c r="WIE46" s="365"/>
      <c r="WIF46" s="365"/>
      <c r="WIG46" s="365" t="s">
        <v>108</v>
      </c>
      <c r="WIH46" s="365"/>
      <c r="WII46" s="365"/>
      <c r="WIJ46" s="365"/>
      <c r="WIK46" s="365" t="s">
        <v>108</v>
      </c>
      <c r="WIL46" s="365"/>
      <c r="WIM46" s="365"/>
      <c r="WIN46" s="365"/>
      <c r="WIO46" s="365" t="s">
        <v>108</v>
      </c>
      <c r="WIP46" s="365"/>
      <c r="WIQ46" s="365"/>
      <c r="WIR46" s="365"/>
      <c r="WIS46" s="365" t="s">
        <v>108</v>
      </c>
      <c r="WIT46" s="365"/>
      <c r="WIU46" s="365"/>
      <c r="WIV46" s="365"/>
      <c r="WIW46" s="365" t="s">
        <v>108</v>
      </c>
      <c r="WIX46" s="365"/>
      <c r="WIY46" s="365"/>
      <c r="WIZ46" s="365"/>
      <c r="WJA46" s="365" t="s">
        <v>108</v>
      </c>
      <c r="WJB46" s="365"/>
      <c r="WJC46" s="365"/>
      <c r="WJD46" s="365"/>
      <c r="WJE46" s="365" t="s">
        <v>108</v>
      </c>
      <c r="WJF46" s="365"/>
      <c r="WJG46" s="365"/>
      <c r="WJH46" s="365"/>
      <c r="WJI46" s="365" t="s">
        <v>108</v>
      </c>
      <c r="WJJ46" s="365"/>
      <c r="WJK46" s="365"/>
      <c r="WJL46" s="365"/>
      <c r="WJM46" s="365" t="s">
        <v>108</v>
      </c>
      <c r="WJN46" s="365"/>
      <c r="WJO46" s="365"/>
      <c r="WJP46" s="365"/>
      <c r="WJQ46" s="365" t="s">
        <v>108</v>
      </c>
      <c r="WJR46" s="365"/>
      <c r="WJS46" s="365"/>
      <c r="WJT46" s="365"/>
      <c r="WJU46" s="365" t="s">
        <v>108</v>
      </c>
      <c r="WJV46" s="365"/>
      <c r="WJW46" s="365"/>
      <c r="WJX46" s="365"/>
      <c r="WJY46" s="365" t="s">
        <v>108</v>
      </c>
      <c r="WJZ46" s="365"/>
      <c r="WKA46" s="365"/>
      <c r="WKB46" s="365"/>
      <c r="WKC46" s="365" t="s">
        <v>108</v>
      </c>
      <c r="WKD46" s="365"/>
      <c r="WKE46" s="365"/>
      <c r="WKF46" s="365"/>
      <c r="WKG46" s="365" t="s">
        <v>108</v>
      </c>
      <c r="WKH46" s="365"/>
      <c r="WKI46" s="365"/>
      <c r="WKJ46" s="365"/>
      <c r="WKK46" s="365" t="s">
        <v>108</v>
      </c>
      <c r="WKL46" s="365"/>
      <c r="WKM46" s="365"/>
      <c r="WKN46" s="365"/>
      <c r="WKO46" s="365" t="s">
        <v>108</v>
      </c>
      <c r="WKP46" s="365"/>
      <c r="WKQ46" s="365"/>
      <c r="WKR46" s="365"/>
      <c r="WKS46" s="365" t="s">
        <v>108</v>
      </c>
      <c r="WKT46" s="365"/>
      <c r="WKU46" s="365"/>
      <c r="WKV46" s="365"/>
      <c r="WKW46" s="365" t="s">
        <v>108</v>
      </c>
      <c r="WKX46" s="365"/>
      <c r="WKY46" s="365"/>
      <c r="WKZ46" s="365"/>
      <c r="WLA46" s="365" t="s">
        <v>108</v>
      </c>
      <c r="WLB46" s="365"/>
      <c r="WLC46" s="365"/>
      <c r="WLD46" s="365"/>
      <c r="WLE46" s="365" t="s">
        <v>108</v>
      </c>
      <c r="WLF46" s="365"/>
      <c r="WLG46" s="365"/>
      <c r="WLH46" s="365"/>
      <c r="WLI46" s="365" t="s">
        <v>108</v>
      </c>
      <c r="WLJ46" s="365"/>
      <c r="WLK46" s="365"/>
      <c r="WLL46" s="365"/>
      <c r="WLM46" s="365" t="s">
        <v>108</v>
      </c>
      <c r="WLN46" s="365"/>
      <c r="WLO46" s="365"/>
      <c r="WLP46" s="365"/>
      <c r="WLQ46" s="365" t="s">
        <v>108</v>
      </c>
      <c r="WLR46" s="365"/>
      <c r="WLS46" s="365"/>
      <c r="WLT46" s="365"/>
      <c r="WLU46" s="365" t="s">
        <v>108</v>
      </c>
      <c r="WLV46" s="365"/>
      <c r="WLW46" s="365"/>
      <c r="WLX46" s="365"/>
      <c r="WLY46" s="365" t="s">
        <v>108</v>
      </c>
      <c r="WLZ46" s="365"/>
      <c r="WMA46" s="365"/>
      <c r="WMB46" s="365"/>
      <c r="WMC46" s="365" t="s">
        <v>108</v>
      </c>
      <c r="WMD46" s="365"/>
      <c r="WME46" s="365"/>
      <c r="WMF46" s="365"/>
      <c r="WMG46" s="365" t="s">
        <v>108</v>
      </c>
      <c r="WMH46" s="365"/>
      <c r="WMI46" s="365"/>
      <c r="WMJ46" s="365"/>
      <c r="WMK46" s="365" t="s">
        <v>108</v>
      </c>
      <c r="WML46" s="365"/>
      <c r="WMM46" s="365"/>
      <c r="WMN46" s="365"/>
      <c r="WMO46" s="365" t="s">
        <v>108</v>
      </c>
      <c r="WMP46" s="365"/>
      <c r="WMQ46" s="365"/>
      <c r="WMR46" s="365"/>
      <c r="WMS46" s="365" t="s">
        <v>108</v>
      </c>
      <c r="WMT46" s="365"/>
      <c r="WMU46" s="365"/>
      <c r="WMV46" s="365"/>
      <c r="WMW46" s="365" t="s">
        <v>108</v>
      </c>
      <c r="WMX46" s="365"/>
      <c r="WMY46" s="365"/>
      <c r="WMZ46" s="365"/>
      <c r="WNA46" s="365" t="s">
        <v>108</v>
      </c>
      <c r="WNB46" s="365"/>
      <c r="WNC46" s="365"/>
      <c r="WND46" s="365"/>
      <c r="WNE46" s="365" t="s">
        <v>108</v>
      </c>
      <c r="WNF46" s="365"/>
      <c r="WNG46" s="365"/>
      <c r="WNH46" s="365"/>
      <c r="WNI46" s="365" t="s">
        <v>108</v>
      </c>
      <c r="WNJ46" s="365"/>
      <c r="WNK46" s="365"/>
      <c r="WNL46" s="365"/>
      <c r="WNM46" s="365" t="s">
        <v>108</v>
      </c>
      <c r="WNN46" s="365"/>
      <c r="WNO46" s="365"/>
      <c r="WNP46" s="365"/>
      <c r="WNQ46" s="365" t="s">
        <v>108</v>
      </c>
      <c r="WNR46" s="365"/>
      <c r="WNS46" s="365"/>
      <c r="WNT46" s="365"/>
      <c r="WNU46" s="365" t="s">
        <v>108</v>
      </c>
      <c r="WNV46" s="365"/>
      <c r="WNW46" s="365"/>
      <c r="WNX46" s="365"/>
      <c r="WNY46" s="365" t="s">
        <v>108</v>
      </c>
      <c r="WNZ46" s="365"/>
      <c r="WOA46" s="365"/>
      <c r="WOB46" s="365"/>
      <c r="WOC46" s="365" t="s">
        <v>108</v>
      </c>
      <c r="WOD46" s="365"/>
      <c r="WOE46" s="365"/>
      <c r="WOF46" s="365"/>
      <c r="WOG46" s="365" t="s">
        <v>108</v>
      </c>
      <c r="WOH46" s="365"/>
      <c r="WOI46" s="365"/>
      <c r="WOJ46" s="365"/>
      <c r="WOK46" s="365" t="s">
        <v>108</v>
      </c>
      <c r="WOL46" s="365"/>
      <c r="WOM46" s="365"/>
      <c r="WON46" s="365"/>
      <c r="WOO46" s="365" t="s">
        <v>108</v>
      </c>
      <c r="WOP46" s="365"/>
      <c r="WOQ46" s="365"/>
      <c r="WOR46" s="365"/>
      <c r="WOS46" s="365" t="s">
        <v>108</v>
      </c>
      <c r="WOT46" s="365"/>
      <c r="WOU46" s="365"/>
      <c r="WOV46" s="365"/>
      <c r="WOW46" s="365" t="s">
        <v>108</v>
      </c>
      <c r="WOX46" s="365"/>
      <c r="WOY46" s="365"/>
      <c r="WOZ46" s="365"/>
      <c r="WPA46" s="365" t="s">
        <v>108</v>
      </c>
      <c r="WPB46" s="365"/>
      <c r="WPC46" s="365"/>
      <c r="WPD46" s="365"/>
      <c r="WPE46" s="365" t="s">
        <v>108</v>
      </c>
      <c r="WPF46" s="365"/>
      <c r="WPG46" s="365"/>
      <c r="WPH46" s="365"/>
      <c r="WPI46" s="365" t="s">
        <v>108</v>
      </c>
      <c r="WPJ46" s="365"/>
      <c r="WPK46" s="365"/>
      <c r="WPL46" s="365"/>
      <c r="WPM46" s="365" t="s">
        <v>108</v>
      </c>
      <c r="WPN46" s="365"/>
      <c r="WPO46" s="365"/>
      <c r="WPP46" s="365"/>
      <c r="WPQ46" s="365" t="s">
        <v>108</v>
      </c>
      <c r="WPR46" s="365"/>
      <c r="WPS46" s="365"/>
      <c r="WPT46" s="365"/>
      <c r="WPU46" s="365" t="s">
        <v>108</v>
      </c>
      <c r="WPV46" s="365"/>
      <c r="WPW46" s="365"/>
      <c r="WPX46" s="365"/>
      <c r="WPY46" s="365" t="s">
        <v>108</v>
      </c>
      <c r="WPZ46" s="365"/>
      <c r="WQA46" s="365"/>
      <c r="WQB46" s="365"/>
      <c r="WQC46" s="365" t="s">
        <v>108</v>
      </c>
      <c r="WQD46" s="365"/>
      <c r="WQE46" s="365"/>
      <c r="WQF46" s="365"/>
      <c r="WQG46" s="365" t="s">
        <v>108</v>
      </c>
      <c r="WQH46" s="365"/>
      <c r="WQI46" s="365"/>
      <c r="WQJ46" s="365"/>
      <c r="WQK46" s="365" t="s">
        <v>108</v>
      </c>
      <c r="WQL46" s="365"/>
      <c r="WQM46" s="365"/>
      <c r="WQN46" s="365"/>
      <c r="WQO46" s="365" t="s">
        <v>108</v>
      </c>
      <c r="WQP46" s="365"/>
      <c r="WQQ46" s="365"/>
      <c r="WQR46" s="365"/>
      <c r="WQS46" s="365" t="s">
        <v>108</v>
      </c>
      <c r="WQT46" s="365"/>
      <c r="WQU46" s="365"/>
      <c r="WQV46" s="365"/>
      <c r="WQW46" s="365" t="s">
        <v>108</v>
      </c>
      <c r="WQX46" s="365"/>
      <c r="WQY46" s="365"/>
      <c r="WQZ46" s="365"/>
      <c r="WRA46" s="365" t="s">
        <v>108</v>
      </c>
      <c r="WRB46" s="365"/>
      <c r="WRC46" s="365"/>
      <c r="WRD46" s="365"/>
      <c r="WRE46" s="365" t="s">
        <v>108</v>
      </c>
      <c r="WRF46" s="365"/>
      <c r="WRG46" s="365"/>
      <c r="WRH46" s="365"/>
      <c r="WRI46" s="365" t="s">
        <v>108</v>
      </c>
      <c r="WRJ46" s="365"/>
      <c r="WRK46" s="365"/>
      <c r="WRL46" s="365"/>
      <c r="WRM46" s="365" t="s">
        <v>108</v>
      </c>
      <c r="WRN46" s="365"/>
      <c r="WRO46" s="365"/>
      <c r="WRP46" s="365"/>
      <c r="WRQ46" s="365" t="s">
        <v>108</v>
      </c>
      <c r="WRR46" s="365"/>
      <c r="WRS46" s="365"/>
      <c r="WRT46" s="365"/>
      <c r="WRU46" s="365" t="s">
        <v>108</v>
      </c>
      <c r="WRV46" s="365"/>
      <c r="WRW46" s="365"/>
      <c r="WRX46" s="365"/>
      <c r="WRY46" s="365" t="s">
        <v>108</v>
      </c>
      <c r="WRZ46" s="365"/>
      <c r="WSA46" s="365"/>
      <c r="WSB46" s="365"/>
      <c r="WSC46" s="365" t="s">
        <v>108</v>
      </c>
      <c r="WSD46" s="365"/>
      <c r="WSE46" s="365"/>
      <c r="WSF46" s="365"/>
      <c r="WSG46" s="365" t="s">
        <v>108</v>
      </c>
      <c r="WSH46" s="365"/>
      <c r="WSI46" s="365"/>
      <c r="WSJ46" s="365"/>
      <c r="WSK46" s="365" t="s">
        <v>108</v>
      </c>
      <c r="WSL46" s="365"/>
      <c r="WSM46" s="365"/>
      <c r="WSN46" s="365"/>
      <c r="WSO46" s="365" t="s">
        <v>108</v>
      </c>
      <c r="WSP46" s="365"/>
      <c r="WSQ46" s="365"/>
      <c r="WSR46" s="365"/>
      <c r="WSS46" s="365" t="s">
        <v>108</v>
      </c>
      <c r="WST46" s="365"/>
      <c r="WSU46" s="365"/>
      <c r="WSV46" s="365"/>
      <c r="WSW46" s="365" t="s">
        <v>108</v>
      </c>
      <c r="WSX46" s="365"/>
      <c r="WSY46" s="365"/>
      <c r="WSZ46" s="365"/>
      <c r="WTA46" s="365" t="s">
        <v>108</v>
      </c>
      <c r="WTB46" s="365"/>
      <c r="WTC46" s="365"/>
      <c r="WTD46" s="365"/>
      <c r="WTE46" s="365" t="s">
        <v>108</v>
      </c>
      <c r="WTF46" s="365"/>
      <c r="WTG46" s="365"/>
      <c r="WTH46" s="365"/>
      <c r="WTI46" s="365" t="s">
        <v>108</v>
      </c>
      <c r="WTJ46" s="365"/>
      <c r="WTK46" s="365"/>
      <c r="WTL46" s="365"/>
      <c r="WTM46" s="365" t="s">
        <v>108</v>
      </c>
      <c r="WTN46" s="365"/>
      <c r="WTO46" s="365"/>
      <c r="WTP46" s="365"/>
      <c r="WTQ46" s="365" t="s">
        <v>108</v>
      </c>
      <c r="WTR46" s="365"/>
      <c r="WTS46" s="365"/>
      <c r="WTT46" s="365"/>
      <c r="WTU46" s="365" t="s">
        <v>108</v>
      </c>
      <c r="WTV46" s="365"/>
      <c r="WTW46" s="365"/>
      <c r="WTX46" s="365"/>
      <c r="WTY46" s="365" t="s">
        <v>108</v>
      </c>
      <c r="WTZ46" s="365"/>
      <c r="WUA46" s="365"/>
      <c r="WUB46" s="365"/>
      <c r="WUC46" s="365" t="s">
        <v>108</v>
      </c>
      <c r="WUD46" s="365"/>
      <c r="WUE46" s="365"/>
      <c r="WUF46" s="365"/>
      <c r="WUG46" s="365" t="s">
        <v>108</v>
      </c>
      <c r="WUH46" s="365"/>
      <c r="WUI46" s="365"/>
      <c r="WUJ46" s="365"/>
      <c r="WUK46" s="365" t="s">
        <v>108</v>
      </c>
      <c r="WUL46" s="365"/>
      <c r="WUM46" s="365"/>
      <c r="WUN46" s="365"/>
      <c r="WUO46" s="365" t="s">
        <v>108</v>
      </c>
      <c r="WUP46" s="365"/>
      <c r="WUQ46" s="365"/>
      <c r="WUR46" s="365"/>
      <c r="WUS46" s="365" t="s">
        <v>108</v>
      </c>
      <c r="WUT46" s="365"/>
      <c r="WUU46" s="365"/>
      <c r="WUV46" s="365"/>
      <c r="WUW46" s="365" t="s">
        <v>108</v>
      </c>
      <c r="WUX46" s="365"/>
      <c r="WUY46" s="365"/>
      <c r="WUZ46" s="365"/>
      <c r="WVA46" s="365" t="s">
        <v>108</v>
      </c>
      <c r="WVB46" s="365"/>
      <c r="WVC46" s="365"/>
      <c r="WVD46" s="365"/>
      <c r="WVE46" s="365" t="s">
        <v>108</v>
      </c>
      <c r="WVF46" s="365"/>
      <c r="WVG46" s="365"/>
      <c r="WVH46" s="365"/>
      <c r="WVI46" s="365" t="s">
        <v>108</v>
      </c>
      <c r="WVJ46" s="365"/>
      <c r="WVK46" s="365"/>
      <c r="WVL46" s="365"/>
      <c r="WVM46" s="365" t="s">
        <v>108</v>
      </c>
      <c r="WVN46" s="365"/>
      <c r="WVO46" s="365"/>
      <c r="WVP46" s="365"/>
      <c r="WVQ46" s="365" t="s">
        <v>108</v>
      </c>
      <c r="WVR46" s="365"/>
      <c r="WVS46" s="365"/>
      <c r="WVT46" s="365"/>
      <c r="WVU46" s="365" t="s">
        <v>108</v>
      </c>
      <c r="WVV46" s="365"/>
      <c r="WVW46" s="365"/>
      <c r="WVX46" s="365"/>
      <c r="WVY46" s="365" t="s">
        <v>108</v>
      </c>
      <c r="WVZ46" s="365"/>
      <c r="WWA46" s="365"/>
      <c r="WWB46" s="365"/>
      <c r="WWC46" s="365" t="s">
        <v>108</v>
      </c>
      <c r="WWD46" s="365"/>
      <c r="WWE46" s="365"/>
      <c r="WWF46" s="365"/>
      <c r="WWG46" s="365" t="s">
        <v>108</v>
      </c>
      <c r="WWH46" s="365"/>
      <c r="WWI46" s="365"/>
      <c r="WWJ46" s="365"/>
      <c r="WWK46" s="365" t="s">
        <v>108</v>
      </c>
      <c r="WWL46" s="365"/>
      <c r="WWM46" s="365"/>
      <c r="WWN46" s="365"/>
      <c r="WWO46" s="365" t="s">
        <v>108</v>
      </c>
      <c r="WWP46" s="365"/>
      <c r="WWQ46" s="365"/>
      <c r="WWR46" s="365"/>
      <c r="WWS46" s="365" t="s">
        <v>108</v>
      </c>
      <c r="WWT46" s="365"/>
      <c r="WWU46" s="365"/>
      <c r="WWV46" s="365"/>
      <c r="WWW46" s="365" t="s">
        <v>108</v>
      </c>
      <c r="WWX46" s="365"/>
      <c r="WWY46" s="365"/>
      <c r="WWZ46" s="365"/>
      <c r="WXA46" s="365" t="s">
        <v>108</v>
      </c>
      <c r="WXB46" s="365"/>
      <c r="WXC46" s="365"/>
      <c r="WXD46" s="365"/>
      <c r="WXE46" s="365" t="s">
        <v>108</v>
      </c>
      <c r="WXF46" s="365"/>
      <c r="WXG46" s="365"/>
      <c r="WXH46" s="365"/>
      <c r="WXI46" s="365" t="s">
        <v>108</v>
      </c>
      <c r="WXJ46" s="365"/>
      <c r="WXK46" s="365"/>
      <c r="WXL46" s="365"/>
      <c r="WXM46" s="365" t="s">
        <v>108</v>
      </c>
      <c r="WXN46" s="365"/>
      <c r="WXO46" s="365"/>
      <c r="WXP46" s="365"/>
      <c r="WXQ46" s="365" t="s">
        <v>108</v>
      </c>
      <c r="WXR46" s="365"/>
      <c r="WXS46" s="365"/>
      <c r="WXT46" s="365"/>
      <c r="WXU46" s="365" t="s">
        <v>108</v>
      </c>
      <c r="WXV46" s="365"/>
      <c r="WXW46" s="365"/>
      <c r="WXX46" s="365"/>
      <c r="WXY46" s="365" t="s">
        <v>108</v>
      </c>
      <c r="WXZ46" s="365"/>
      <c r="WYA46" s="365"/>
      <c r="WYB46" s="365"/>
      <c r="WYC46" s="365" t="s">
        <v>108</v>
      </c>
      <c r="WYD46" s="365"/>
      <c r="WYE46" s="365"/>
      <c r="WYF46" s="365"/>
      <c r="WYG46" s="365" t="s">
        <v>108</v>
      </c>
      <c r="WYH46" s="365"/>
      <c r="WYI46" s="365"/>
      <c r="WYJ46" s="365"/>
      <c r="WYK46" s="365" t="s">
        <v>108</v>
      </c>
      <c r="WYL46" s="365"/>
      <c r="WYM46" s="365"/>
      <c r="WYN46" s="365"/>
      <c r="WYO46" s="365" t="s">
        <v>108</v>
      </c>
      <c r="WYP46" s="365"/>
      <c r="WYQ46" s="365"/>
      <c r="WYR46" s="365"/>
      <c r="WYS46" s="365" t="s">
        <v>108</v>
      </c>
      <c r="WYT46" s="365"/>
      <c r="WYU46" s="365"/>
      <c r="WYV46" s="365"/>
      <c r="WYW46" s="365" t="s">
        <v>108</v>
      </c>
      <c r="WYX46" s="365"/>
      <c r="WYY46" s="365"/>
      <c r="WYZ46" s="365"/>
      <c r="WZA46" s="365" t="s">
        <v>108</v>
      </c>
      <c r="WZB46" s="365"/>
      <c r="WZC46" s="365"/>
      <c r="WZD46" s="365"/>
      <c r="WZE46" s="365" t="s">
        <v>108</v>
      </c>
      <c r="WZF46" s="365"/>
      <c r="WZG46" s="365"/>
      <c r="WZH46" s="365"/>
      <c r="WZI46" s="365" t="s">
        <v>108</v>
      </c>
      <c r="WZJ46" s="365"/>
      <c r="WZK46" s="365"/>
      <c r="WZL46" s="365"/>
      <c r="WZM46" s="365" t="s">
        <v>108</v>
      </c>
      <c r="WZN46" s="365"/>
      <c r="WZO46" s="365"/>
      <c r="WZP46" s="365"/>
      <c r="WZQ46" s="365" t="s">
        <v>108</v>
      </c>
      <c r="WZR46" s="365"/>
      <c r="WZS46" s="365"/>
      <c r="WZT46" s="365"/>
      <c r="WZU46" s="365" t="s">
        <v>108</v>
      </c>
      <c r="WZV46" s="365"/>
      <c r="WZW46" s="365"/>
      <c r="WZX46" s="365"/>
      <c r="WZY46" s="365" t="s">
        <v>108</v>
      </c>
      <c r="WZZ46" s="365"/>
      <c r="XAA46" s="365"/>
      <c r="XAB46" s="365"/>
      <c r="XAC46" s="365" t="s">
        <v>108</v>
      </c>
      <c r="XAD46" s="365"/>
      <c r="XAE46" s="365"/>
      <c r="XAF46" s="365"/>
      <c r="XAG46" s="365" t="s">
        <v>108</v>
      </c>
      <c r="XAH46" s="365"/>
      <c r="XAI46" s="365"/>
      <c r="XAJ46" s="365"/>
      <c r="XAK46" s="365" t="s">
        <v>108</v>
      </c>
      <c r="XAL46" s="365"/>
      <c r="XAM46" s="365"/>
      <c r="XAN46" s="365"/>
      <c r="XAO46" s="365" t="s">
        <v>108</v>
      </c>
      <c r="XAP46" s="365"/>
      <c r="XAQ46" s="365"/>
      <c r="XAR46" s="365"/>
      <c r="XAS46" s="365" t="s">
        <v>108</v>
      </c>
      <c r="XAT46" s="365"/>
      <c r="XAU46" s="365"/>
      <c r="XAV46" s="365"/>
      <c r="XAW46" s="365" t="s">
        <v>108</v>
      </c>
      <c r="XAX46" s="365"/>
      <c r="XAY46" s="365"/>
      <c r="XAZ46" s="365"/>
      <c r="XBA46" s="365" t="s">
        <v>108</v>
      </c>
      <c r="XBB46" s="365"/>
      <c r="XBC46" s="365"/>
      <c r="XBD46" s="365"/>
      <c r="XBE46" s="365" t="s">
        <v>108</v>
      </c>
      <c r="XBF46" s="365"/>
      <c r="XBG46" s="365"/>
      <c r="XBH46" s="365"/>
      <c r="XBI46" s="365" t="s">
        <v>108</v>
      </c>
      <c r="XBJ46" s="365"/>
      <c r="XBK46" s="365"/>
      <c r="XBL46" s="365"/>
      <c r="XBM46" s="365" t="s">
        <v>108</v>
      </c>
      <c r="XBN46" s="365"/>
      <c r="XBO46" s="365"/>
      <c r="XBP46" s="365"/>
      <c r="XBQ46" s="365" t="s">
        <v>108</v>
      </c>
      <c r="XBR46" s="365"/>
      <c r="XBS46" s="365"/>
      <c r="XBT46" s="365"/>
      <c r="XBU46" s="365" t="s">
        <v>108</v>
      </c>
      <c r="XBV46" s="365"/>
      <c r="XBW46" s="365"/>
      <c r="XBX46" s="365"/>
      <c r="XBY46" s="365" t="s">
        <v>108</v>
      </c>
      <c r="XBZ46" s="365"/>
      <c r="XCA46" s="365"/>
      <c r="XCB46" s="365"/>
      <c r="XCC46" s="365" t="s">
        <v>108</v>
      </c>
      <c r="XCD46" s="365"/>
      <c r="XCE46" s="365"/>
      <c r="XCF46" s="365"/>
      <c r="XCG46" s="365" t="s">
        <v>108</v>
      </c>
      <c r="XCH46" s="365"/>
      <c r="XCI46" s="365"/>
      <c r="XCJ46" s="365"/>
      <c r="XCK46" s="365" t="s">
        <v>108</v>
      </c>
      <c r="XCL46" s="365"/>
      <c r="XCM46" s="365"/>
      <c r="XCN46" s="365"/>
      <c r="XCO46" s="365" t="s">
        <v>108</v>
      </c>
      <c r="XCP46" s="365"/>
      <c r="XCQ46" s="365"/>
      <c r="XCR46" s="365"/>
      <c r="XCS46" s="365" t="s">
        <v>108</v>
      </c>
      <c r="XCT46" s="365"/>
      <c r="XCU46" s="365"/>
      <c r="XCV46" s="365"/>
    </row>
    <row r="47" spans="1:16324" ht="27" x14ac:dyDescent="0.35">
      <c r="A47" s="206" t="s">
        <v>109</v>
      </c>
      <c r="B47" s="207" t="s">
        <v>110</v>
      </c>
      <c r="C47" s="207" t="s">
        <v>111</v>
      </c>
      <c r="D47" s="206">
        <v>1</v>
      </c>
      <c r="E47" s="206" t="s">
        <v>23</v>
      </c>
    </row>
    <row r="48" spans="1:16324" ht="27" x14ac:dyDescent="0.35">
      <c r="A48" s="206" t="s">
        <v>112</v>
      </c>
      <c r="B48" s="207" t="s">
        <v>113</v>
      </c>
      <c r="C48" s="207" t="s">
        <v>114</v>
      </c>
      <c r="D48" s="206">
        <v>2</v>
      </c>
      <c r="E48" s="206" t="s">
        <v>23</v>
      </c>
    </row>
    <row r="49" spans="1:5" x14ac:dyDescent="0.35">
      <c r="A49" s="360" t="s">
        <v>115</v>
      </c>
      <c r="B49" s="361" t="s">
        <v>116</v>
      </c>
      <c r="C49" s="207" t="s">
        <v>117</v>
      </c>
      <c r="D49" s="206">
        <v>1</v>
      </c>
      <c r="E49" s="206" t="s">
        <v>23</v>
      </c>
    </row>
    <row r="50" spans="1:5" x14ac:dyDescent="0.35">
      <c r="A50" s="360"/>
      <c r="B50" s="361"/>
      <c r="C50" s="207" t="s">
        <v>118</v>
      </c>
      <c r="D50" s="206">
        <v>1</v>
      </c>
      <c r="E50" s="206" t="s">
        <v>23</v>
      </c>
    </row>
    <row r="51" spans="1:5" x14ac:dyDescent="0.35">
      <c r="A51" s="206" t="s">
        <v>119</v>
      </c>
      <c r="B51" s="207" t="s">
        <v>120</v>
      </c>
      <c r="C51" s="207" t="s">
        <v>121</v>
      </c>
      <c r="D51" s="206">
        <v>1</v>
      </c>
      <c r="E51" s="206" t="s">
        <v>23</v>
      </c>
    </row>
    <row r="52" spans="1:5" ht="54" x14ac:dyDescent="0.35">
      <c r="A52" s="206" t="s">
        <v>122</v>
      </c>
      <c r="B52" s="207" t="s">
        <v>123</v>
      </c>
      <c r="C52" s="207" t="s">
        <v>124</v>
      </c>
      <c r="D52" s="206">
        <v>2</v>
      </c>
      <c r="E52" s="206" t="s">
        <v>23</v>
      </c>
    </row>
    <row r="53" spans="1:5" ht="94.5" x14ac:dyDescent="0.25">
      <c r="A53" s="206" t="s">
        <v>2706</v>
      </c>
      <c r="B53" s="207" t="s">
        <v>125</v>
      </c>
      <c r="C53" s="209" t="s">
        <v>126</v>
      </c>
      <c r="D53" s="206">
        <v>2</v>
      </c>
      <c r="E53" s="206" t="s">
        <v>23</v>
      </c>
    </row>
    <row r="54" spans="1:5" ht="162" x14ac:dyDescent="0.35">
      <c r="A54" s="206" t="s">
        <v>127</v>
      </c>
      <c r="B54" s="207" t="s">
        <v>128</v>
      </c>
      <c r="C54" s="207" t="s">
        <v>129</v>
      </c>
      <c r="D54" s="206">
        <v>2</v>
      </c>
      <c r="E54" s="206" t="s">
        <v>23</v>
      </c>
    </row>
    <row r="55" spans="1:5" ht="40.5" x14ac:dyDescent="0.35">
      <c r="A55" s="206" t="s">
        <v>130</v>
      </c>
      <c r="B55" s="207" t="s">
        <v>131</v>
      </c>
      <c r="C55" s="207" t="s">
        <v>132</v>
      </c>
      <c r="D55" s="206">
        <v>1</v>
      </c>
      <c r="E55" s="206" t="s">
        <v>23</v>
      </c>
    </row>
    <row r="56" spans="1:5" ht="94.5" x14ac:dyDescent="0.35">
      <c r="A56" s="206" t="s">
        <v>133</v>
      </c>
      <c r="B56" s="207" t="s">
        <v>134</v>
      </c>
      <c r="C56" s="207" t="s">
        <v>135</v>
      </c>
      <c r="D56" s="206">
        <v>2</v>
      </c>
      <c r="E56" s="206" t="s">
        <v>23</v>
      </c>
    </row>
    <row r="57" spans="1:5" ht="27" x14ac:dyDescent="0.35">
      <c r="A57" s="206" t="s">
        <v>136</v>
      </c>
      <c r="B57" s="207" t="s">
        <v>137</v>
      </c>
      <c r="C57" s="207" t="s">
        <v>138</v>
      </c>
      <c r="D57" s="206">
        <v>1</v>
      </c>
      <c r="E57" s="206" t="s">
        <v>23</v>
      </c>
    </row>
    <row r="58" spans="1:5" ht="67.5" x14ac:dyDescent="0.35">
      <c r="A58" s="206" t="s">
        <v>139</v>
      </c>
      <c r="B58" s="207" t="s">
        <v>140</v>
      </c>
      <c r="C58" s="207" t="s">
        <v>141</v>
      </c>
      <c r="D58" s="206">
        <v>4</v>
      </c>
      <c r="E58" s="206" t="s">
        <v>23</v>
      </c>
    </row>
    <row r="59" spans="1:5" ht="27" x14ac:dyDescent="0.35">
      <c r="A59" s="206" t="s">
        <v>142</v>
      </c>
      <c r="B59" s="207" t="s">
        <v>143</v>
      </c>
      <c r="C59" s="207" t="s">
        <v>144</v>
      </c>
      <c r="D59" s="206">
        <v>1</v>
      </c>
      <c r="E59" s="206" t="s">
        <v>23</v>
      </c>
    </row>
    <row r="60" spans="1:5" ht="135" x14ac:dyDescent="0.35">
      <c r="A60" s="206" t="s">
        <v>145</v>
      </c>
      <c r="B60" s="207" t="s">
        <v>146</v>
      </c>
      <c r="C60" s="207" t="s">
        <v>147</v>
      </c>
      <c r="D60" s="206">
        <v>2</v>
      </c>
      <c r="E60" s="206" t="s">
        <v>23</v>
      </c>
    </row>
    <row r="61" spans="1:5" ht="27" x14ac:dyDescent="0.35">
      <c r="A61" s="206" t="s">
        <v>148</v>
      </c>
      <c r="B61" s="207" t="s">
        <v>149</v>
      </c>
      <c r="C61" s="207" t="s">
        <v>150</v>
      </c>
      <c r="D61" s="206">
        <v>0.5</v>
      </c>
      <c r="E61" s="206" t="s">
        <v>23</v>
      </c>
    </row>
    <row r="62" spans="1:5" x14ac:dyDescent="0.35">
      <c r="A62" s="206" t="s">
        <v>151</v>
      </c>
      <c r="B62" s="207" t="s">
        <v>152</v>
      </c>
      <c r="C62" s="207" t="s">
        <v>153</v>
      </c>
      <c r="D62" s="206">
        <v>0.5</v>
      </c>
      <c r="E62" s="206" t="s">
        <v>23</v>
      </c>
    </row>
    <row r="63" spans="1:5" x14ac:dyDescent="0.35">
      <c r="A63" s="206" t="s">
        <v>154</v>
      </c>
      <c r="B63" s="207" t="s">
        <v>155</v>
      </c>
      <c r="C63" s="207" t="s">
        <v>156</v>
      </c>
      <c r="D63" s="206">
        <v>0.5</v>
      </c>
      <c r="E63" s="206" t="s">
        <v>23</v>
      </c>
    </row>
    <row r="64" spans="1:5" ht="27" x14ac:dyDescent="0.35">
      <c r="A64" s="206" t="s">
        <v>157</v>
      </c>
      <c r="B64" s="207" t="s">
        <v>158</v>
      </c>
      <c r="C64" s="207" t="s">
        <v>159</v>
      </c>
      <c r="D64" s="206">
        <v>1</v>
      </c>
      <c r="E64" s="206" t="s">
        <v>23</v>
      </c>
    </row>
    <row r="65" spans="1:5" ht="27" x14ac:dyDescent="0.35">
      <c r="A65" s="206" t="s">
        <v>160</v>
      </c>
      <c r="B65" s="207" t="s">
        <v>161</v>
      </c>
      <c r="C65" s="207" t="s">
        <v>162</v>
      </c>
      <c r="D65" s="206">
        <v>0.5</v>
      </c>
      <c r="E65" s="206" t="s">
        <v>23</v>
      </c>
    </row>
    <row r="66" spans="1:5" ht="40.5" x14ac:dyDescent="0.35">
      <c r="A66" s="206" t="s">
        <v>163</v>
      </c>
      <c r="B66" s="207" t="s">
        <v>164</v>
      </c>
      <c r="C66" s="207" t="s">
        <v>165</v>
      </c>
      <c r="D66" s="206">
        <v>1</v>
      </c>
      <c r="E66" s="206" t="s">
        <v>23</v>
      </c>
    </row>
    <row r="67" spans="1:5" ht="40.5" x14ac:dyDescent="0.35">
      <c r="A67" s="360" t="s">
        <v>166</v>
      </c>
      <c r="B67" s="361" t="s">
        <v>167</v>
      </c>
      <c r="C67" s="207" t="s">
        <v>168</v>
      </c>
      <c r="D67" s="206">
        <v>4</v>
      </c>
      <c r="E67" s="206" t="s">
        <v>23</v>
      </c>
    </row>
    <row r="68" spans="1:5" ht="27" x14ac:dyDescent="0.35">
      <c r="A68" s="360"/>
      <c r="B68" s="361"/>
      <c r="C68" s="207" t="s">
        <v>169</v>
      </c>
      <c r="D68" s="206">
        <v>2</v>
      </c>
      <c r="E68" s="206" t="s">
        <v>23</v>
      </c>
    </row>
    <row r="69" spans="1:5" x14ac:dyDescent="0.35">
      <c r="A69" s="360"/>
      <c r="B69" s="361"/>
      <c r="C69" s="207" t="s">
        <v>170</v>
      </c>
      <c r="D69" s="206">
        <v>2</v>
      </c>
      <c r="E69" s="206" t="s">
        <v>23</v>
      </c>
    </row>
    <row r="70" spans="1:5" ht="30" customHeight="1" x14ac:dyDescent="0.35">
      <c r="A70" s="232" t="s">
        <v>171</v>
      </c>
      <c r="B70" s="232"/>
      <c r="C70" s="233"/>
      <c r="D70" s="234"/>
      <c r="E70" s="235"/>
    </row>
    <row r="71" spans="1:5" ht="27" x14ac:dyDescent="0.35">
      <c r="A71" s="206" t="s">
        <v>172</v>
      </c>
      <c r="B71" s="207" t="s">
        <v>173</v>
      </c>
      <c r="C71" s="207" t="s">
        <v>174</v>
      </c>
      <c r="D71" s="206">
        <v>1</v>
      </c>
      <c r="E71" s="206" t="s">
        <v>23</v>
      </c>
    </row>
    <row r="72" spans="1:5" ht="27" x14ac:dyDescent="0.35">
      <c r="A72" s="206" t="s">
        <v>175</v>
      </c>
      <c r="B72" s="207" t="s">
        <v>176</v>
      </c>
      <c r="C72" s="207" t="s">
        <v>177</v>
      </c>
      <c r="D72" s="206">
        <v>4</v>
      </c>
      <c r="E72" s="206" t="s">
        <v>23</v>
      </c>
    </row>
    <row r="73" spans="1:5" ht="108" x14ac:dyDescent="0.35">
      <c r="A73" s="206" t="s">
        <v>178</v>
      </c>
      <c r="B73" s="207" t="s">
        <v>179</v>
      </c>
      <c r="C73" s="207" t="s">
        <v>180</v>
      </c>
      <c r="D73" s="206">
        <v>7</v>
      </c>
      <c r="E73" s="206" t="s">
        <v>23</v>
      </c>
    </row>
    <row r="74" spans="1:5" ht="54" x14ac:dyDescent="0.35">
      <c r="A74" s="206" t="s">
        <v>181</v>
      </c>
      <c r="B74" s="207" t="s">
        <v>182</v>
      </c>
      <c r="C74" s="207" t="s">
        <v>183</v>
      </c>
      <c r="D74" s="206">
        <v>3</v>
      </c>
      <c r="E74" s="206" t="s">
        <v>23</v>
      </c>
    </row>
    <row r="75" spans="1:5" ht="40.5" x14ac:dyDescent="0.35">
      <c r="A75" s="206" t="s">
        <v>184</v>
      </c>
      <c r="B75" s="207" t="s">
        <v>185</v>
      </c>
      <c r="C75" s="207" t="s">
        <v>186</v>
      </c>
      <c r="D75" s="206">
        <v>3</v>
      </c>
      <c r="E75" s="206" t="s">
        <v>23</v>
      </c>
    </row>
    <row r="76" spans="1:5" ht="40.5" x14ac:dyDescent="0.35">
      <c r="A76" s="206" t="s">
        <v>187</v>
      </c>
      <c r="B76" s="207" t="s">
        <v>188</v>
      </c>
      <c r="C76" s="207" t="s">
        <v>189</v>
      </c>
      <c r="D76" s="206">
        <v>3</v>
      </c>
      <c r="E76" s="206" t="s">
        <v>23</v>
      </c>
    </row>
    <row r="77" spans="1:5" ht="67.5" x14ac:dyDescent="0.35">
      <c r="A77" s="206" t="s">
        <v>190</v>
      </c>
      <c r="B77" s="207" t="s">
        <v>191</v>
      </c>
      <c r="C77" s="207" t="s">
        <v>192</v>
      </c>
      <c r="D77" s="206">
        <v>2</v>
      </c>
      <c r="E77" s="206" t="s">
        <v>23</v>
      </c>
    </row>
    <row r="78" spans="1:5" ht="30" customHeight="1" x14ac:dyDescent="0.35">
      <c r="A78" s="232" t="s">
        <v>193</v>
      </c>
      <c r="B78" s="232"/>
      <c r="C78" s="233"/>
      <c r="D78" s="234"/>
      <c r="E78" s="235"/>
    </row>
    <row r="79" spans="1:5" x14ac:dyDescent="0.35">
      <c r="A79" s="206" t="s">
        <v>194</v>
      </c>
      <c r="B79" s="207" t="s">
        <v>195</v>
      </c>
      <c r="C79" s="207" t="s">
        <v>195</v>
      </c>
      <c r="D79" s="206">
        <v>1</v>
      </c>
      <c r="E79" s="206" t="s">
        <v>196</v>
      </c>
    </row>
    <row r="80" spans="1:5" ht="40.5" x14ac:dyDescent="0.35">
      <c r="A80" s="206" t="s">
        <v>197</v>
      </c>
      <c r="B80" s="207" t="s">
        <v>198</v>
      </c>
      <c r="C80" s="207" t="s">
        <v>199</v>
      </c>
      <c r="D80" s="206">
        <v>1</v>
      </c>
      <c r="E80" s="206" t="s">
        <v>196</v>
      </c>
    </row>
    <row r="81" spans="1:5" x14ac:dyDescent="0.35">
      <c r="A81" s="206" t="s">
        <v>200</v>
      </c>
      <c r="B81" s="207" t="s">
        <v>201</v>
      </c>
      <c r="C81" s="207" t="s">
        <v>202</v>
      </c>
      <c r="D81" s="206">
        <v>1</v>
      </c>
      <c r="E81" s="206" t="s">
        <v>196</v>
      </c>
    </row>
    <row r="82" spans="1:5" ht="40.5" x14ac:dyDescent="0.35">
      <c r="A82" s="206" t="s">
        <v>203</v>
      </c>
      <c r="B82" s="207" t="s">
        <v>204</v>
      </c>
      <c r="C82" s="207" t="s">
        <v>205</v>
      </c>
      <c r="D82" s="206">
        <v>2</v>
      </c>
      <c r="E82" s="206" t="s">
        <v>196</v>
      </c>
    </row>
    <row r="83" spans="1:5" ht="54" x14ac:dyDescent="0.35">
      <c r="A83" s="206" t="s">
        <v>206</v>
      </c>
      <c r="B83" s="207" t="s">
        <v>207</v>
      </c>
      <c r="C83" s="207" t="s">
        <v>208</v>
      </c>
      <c r="D83" s="206">
        <v>1</v>
      </c>
      <c r="E83" s="206" t="s">
        <v>196</v>
      </c>
    </row>
    <row r="84" spans="1:5" ht="40.5" x14ac:dyDescent="0.35">
      <c r="A84" s="206" t="s">
        <v>209</v>
      </c>
      <c r="B84" s="207" t="s">
        <v>210</v>
      </c>
      <c r="C84" s="207" t="s">
        <v>211</v>
      </c>
      <c r="D84" s="206">
        <v>2</v>
      </c>
      <c r="E84" s="206" t="s">
        <v>196</v>
      </c>
    </row>
    <row r="85" spans="1:5" x14ac:dyDescent="0.35">
      <c r="A85" s="206" t="s">
        <v>212</v>
      </c>
      <c r="B85" s="207" t="s">
        <v>213</v>
      </c>
      <c r="C85" s="207" t="s">
        <v>214</v>
      </c>
      <c r="D85" s="206">
        <v>1</v>
      </c>
      <c r="E85" s="206" t="s">
        <v>196</v>
      </c>
    </row>
    <row r="86" spans="1:5" ht="40.5" x14ac:dyDescent="0.35">
      <c r="A86" s="206" t="s">
        <v>215</v>
      </c>
      <c r="B86" s="207" t="s">
        <v>216</v>
      </c>
      <c r="C86" s="207" t="s">
        <v>217</v>
      </c>
      <c r="D86" s="206">
        <v>2</v>
      </c>
      <c r="E86" s="206" t="s">
        <v>196</v>
      </c>
    </row>
    <row r="87" spans="1:5" ht="27" x14ac:dyDescent="0.35">
      <c r="A87" s="206" t="s">
        <v>218</v>
      </c>
      <c r="B87" s="207" t="s">
        <v>219</v>
      </c>
      <c r="C87" s="207" t="s">
        <v>219</v>
      </c>
      <c r="D87" s="206">
        <v>1</v>
      </c>
      <c r="E87" s="206" t="s">
        <v>196</v>
      </c>
    </row>
    <row r="88" spans="1:5" ht="121.5" x14ac:dyDescent="0.35">
      <c r="A88" s="210" t="s">
        <v>220</v>
      </c>
      <c r="B88" s="207" t="s">
        <v>221</v>
      </c>
      <c r="C88" s="207" t="s">
        <v>222</v>
      </c>
      <c r="D88" s="206">
        <v>3</v>
      </c>
      <c r="E88" s="206" t="s">
        <v>196</v>
      </c>
    </row>
    <row r="89" spans="1:5" ht="30" customHeight="1" x14ac:dyDescent="0.35">
      <c r="A89" s="232" t="s">
        <v>223</v>
      </c>
      <c r="B89" s="232"/>
      <c r="C89" s="233"/>
      <c r="D89" s="234"/>
      <c r="E89" s="235"/>
    </row>
    <row r="90" spans="1:5" ht="40.5" x14ac:dyDescent="0.35">
      <c r="A90" s="206" t="s">
        <v>224</v>
      </c>
      <c r="B90" s="207" t="s">
        <v>225</v>
      </c>
      <c r="C90" s="207" t="s">
        <v>226</v>
      </c>
      <c r="D90" s="206">
        <v>8</v>
      </c>
      <c r="E90" s="206" t="s">
        <v>23</v>
      </c>
    </row>
    <row r="91" spans="1:5" ht="67.5" x14ac:dyDescent="0.35">
      <c r="A91" s="206" t="s">
        <v>227</v>
      </c>
      <c r="B91" s="207" t="s">
        <v>228</v>
      </c>
      <c r="C91" s="207" t="s">
        <v>229</v>
      </c>
      <c r="D91" s="206">
        <v>6</v>
      </c>
      <c r="E91" s="206" t="s">
        <v>23</v>
      </c>
    </row>
    <row r="92" spans="1:5" ht="27" x14ac:dyDescent="0.35">
      <c r="A92" s="360" t="s">
        <v>230</v>
      </c>
      <c r="B92" s="361" t="s">
        <v>231</v>
      </c>
      <c r="C92" s="207" t="s">
        <v>232</v>
      </c>
      <c r="D92" s="206">
        <v>4</v>
      </c>
      <c r="E92" s="206" t="s">
        <v>23</v>
      </c>
    </row>
    <row r="93" spans="1:5" ht="27" x14ac:dyDescent="0.35">
      <c r="A93" s="360"/>
      <c r="B93" s="361"/>
      <c r="C93" s="207" t="s">
        <v>233</v>
      </c>
      <c r="D93" s="206">
        <v>4</v>
      </c>
      <c r="E93" s="206" t="s">
        <v>23</v>
      </c>
    </row>
    <row r="94" spans="1:5" ht="81" x14ac:dyDescent="0.35">
      <c r="A94" s="360"/>
      <c r="B94" s="361"/>
      <c r="C94" s="207" t="s">
        <v>234</v>
      </c>
      <c r="D94" s="206">
        <v>4</v>
      </c>
      <c r="E94" s="206" t="s">
        <v>23</v>
      </c>
    </row>
    <row r="95" spans="1:5" ht="40.5" x14ac:dyDescent="0.35">
      <c r="A95" s="360"/>
      <c r="B95" s="361"/>
      <c r="C95" s="207" t="s">
        <v>235</v>
      </c>
      <c r="D95" s="206">
        <v>4</v>
      </c>
      <c r="E95" s="206" t="s">
        <v>23</v>
      </c>
    </row>
    <row r="96" spans="1:5" ht="40.5" x14ac:dyDescent="0.35">
      <c r="A96" s="360"/>
      <c r="B96" s="361"/>
      <c r="C96" s="207" t="s">
        <v>236</v>
      </c>
      <c r="D96" s="206">
        <v>4</v>
      </c>
      <c r="E96" s="206" t="s">
        <v>23</v>
      </c>
    </row>
    <row r="97" spans="1:5" ht="40.5" x14ac:dyDescent="0.35">
      <c r="A97" s="360"/>
      <c r="B97" s="361"/>
      <c r="C97" s="207" t="s">
        <v>237</v>
      </c>
      <c r="D97" s="206">
        <v>4</v>
      </c>
      <c r="E97" s="206" t="s">
        <v>23</v>
      </c>
    </row>
    <row r="98" spans="1:5" x14ac:dyDescent="0.35">
      <c r="A98" s="206" t="s">
        <v>238</v>
      </c>
      <c r="B98" s="207" t="s">
        <v>239</v>
      </c>
      <c r="D98" s="206">
        <v>4</v>
      </c>
      <c r="E98" s="206" t="s">
        <v>23</v>
      </c>
    </row>
    <row r="99" spans="1:5" x14ac:dyDescent="0.35">
      <c r="A99" s="206" t="s">
        <v>240</v>
      </c>
      <c r="B99" s="207" t="s">
        <v>241</v>
      </c>
      <c r="D99" s="206">
        <v>2</v>
      </c>
      <c r="E99" s="206" t="s">
        <v>23</v>
      </c>
    </row>
    <row r="100" spans="1:5" ht="27" x14ac:dyDescent="0.35">
      <c r="A100" s="360" t="s">
        <v>242</v>
      </c>
      <c r="B100" s="361" t="s">
        <v>243</v>
      </c>
      <c r="C100" s="207" t="s">
        <v>244</v>
      </c>
      <c r="D100" s="206">
        <v>4</v>
      </c>
      <c r="E100" s="206" t="s">
        <v>23</v>
      </c>
    </row>
    <row r="101" spans="1:5" x14ac:dyDescent="0.35">
      <c r="A101" s="360"/>
      <c r="B101" s="361"/>
      <c r="C101" s="207" t="s">
        <v>245</v>
      </c>
      <c r="D101" s="206">
        <v>4</v>
      </c>
      <c r="E101" s="206" t="s">
        <v>23</v>
      </c>
    </row>
    <row r="102" spans="1:5" ht="30" customHeight="1" x14ac:dyDescent="0.35">
      <c r="A102" s="232" t="s">
        <v>246</v>
      </c>
      <c r="B102" s="232"/>
      <c r="C102" s="233"/>
      <c r="D102" s="234"/>
      <c r="E102" s="235"/>
    </row>
    <row r="103" spans="1:5" x14ac:dyDescent="0.35">
      <c r="A103" s="211" t="s">
        <v>247</v>
      </c>
      <c r="B103" s="207" t="s">
        <v>248</v>
      </c>
      <c r="C103" s="207" t="s">
        <v>249</v>
      </c>
      <c r="D103" s="362">
        <v>92</v>
      </c>
      <c r="E103" s="206" t="s">
        <v>23</v>
      </c>
    </row>
    <row r="104" spans="1:5" x14ac:dyDescent="0.35">
      <c r="A104" s="211" t="s">
        <v>250</v>
      </c>
      <c r="B104" s="207" t="s">
        <v>251</v>
      </c>
      <c r="C104" s="207" t="s">
        <v>252</v>
      </c>
      <c r="D104" s="363"/>
      <c r="E104" s="206" t="s">
        <v>23</v>
      </c>
    </row>
    <row r="105" spans="1:5" ht="30" customHeight="1" x14ac:dyDescent="0.35">
      <c r="A105" s="232" t="s">
        <v>253</v>
      </c>
      <c r="B105" s="232"/>
      <c r="C105" s="233"/>
      <c r="D105" s="234"/>
      <c r="E105" s="235"/>
    </row>
    <row r="106" spans="1:5" ht="27" x14ac:dyDescent="0.35">
      <c r="A106" s="206" t="s">
        <v>254</v>
      </c>
      <c r="B106" s="207" t="s">
        <v>255</v>
      </c>
      <c r="C106" s="207" t="s">
        <v>256</v>
      </c>
      <c r="D106" s="206">
        <v>2</v>
      </c>
      <c r="E106" s="206" t="s">
        <v>23</v>
      </c>
    </row>
    <row r="107" spans="1:5" ht="67.5" x14ac:dyDescent="0.35">
      <c r="A107" s="206" t="s">
        <v>257</v>
      </c>
      <c r="B107" s="207" t="s">
        <v>258</v>
      </c>
      <c r="C107" s="207" t="s">
        <v>259</v>
      </c>
      <c r="D107" s="206">
        <v>1</v>
      </c>
      <c r="E107" s="206" t="s">
        <v>23</v>
      </c>
    </row>
    <row r="108" spans="1:5" ht="54" x14ac:dyDescent="0.35">
      <c r="A108" s="206" t="s">
        <v>260</v>
      </c>
      <c r="B108" s="207" t="s">
        <v>261</v>
      </c>
      <c r="C108" s="207" t="s">
        <v>262</v>
      </c>
      <c r="D108" s="206">
        <v>1</v>
      </c>
      <c r="E108" s="206" t="s">
        <v>23</v>
      </c>
    </row>
    <row r="109" spans="1:5" x14ac:dyDescent="0.35">
      <c r="A109" s="360" t="s">
        <v>263</v>
      </c>
      <c r="B109" s="361" t="s">
        <v>264</v>
      </c>
      <c r="C109" s="207" t="s">
        <v>265</v>
      </c>
      <c r="D109" s="206">
        <v>1</v>
      </c>
      <c r="E109" s="206" t="s">
        <v>23</v>
      </c>
    </row>
    <row r="110" spans="1:5" x14ac:dyDescent="0.35">
      <c r="A110" s="360"/>
      <c r="B110" s="361"/>
      <c r="C110" s="207" t="s">
        <v>266</v>
      </c>
      <c r="D110" s="206">
        <v>1</v>
      </c>
      <c r="E110" s="206" t="s">
        <v>23</v>
      </c>
    </row>
    <row r="111" spans="1:5" ht="67.5" x14ac:dyDescent="0.35">
      <c r="A111" s="360"/>
      <c r="B111" s="361"/>
      <c r="C111" s="207" t="s">
        <v>267</v>
      </c>
      <c r="D111" s="206">
        <v>2</v>
      </c>
      <c r="E111" s="206" t="s">
        <v>23</v>
      </c>
    </row>
    <row r="112" spans="1:5" ht="27" x14ac:dyDescent="0.35">
      <c r="A112" s="360"/>
      <c r="B112" s="361"/>
      <c r="C112" s="207" t="s">
        <v>268</v>
      </c>
      <c r="D112" s="206">
        <v>1</v>
      </c>
      <c r="E112" s="206" t="s">
        <v>23</v>
      </c>
    </row>
    <row r="113" spans="1:5" x14ac:dyDescent="0.35">
      <c r="A113" s="360"/>
      <c r="B113" s="361"/>
      <c r="C113" s="207" t="s">
        <v>269</v>
      </c>
      <c r="D113" s="206">
        <v>1</v>
      </c>
      <c r="E113" s="206" t="s">
        <v>23</v>
      </c>
    </row>
    <row r="114" spans="1:5" x14ac:dyDescent="0.35">
      <c r="A114" s="360"/>
      <c r="B114" s="361"/>
      <c r="C114" s="207" t="s">
        <v>270</v>
      </c>
      <c r="D114" s="206">
        <v>1</v>
      </c>
      <c r="E114" s="206" t="s">
        <v>23</v>
      </c>
    </row>
    <row r="115" spans="1:5" x14ac:dyDescent="0.35">
      <c r="A115" s="206" t="s">
        <v>271</v>
      </c>
      <c r="B115" s="207" t="s">
        <v>272</v>
      </c>
      <c r="D115" s="206">
        <v>2</v>
      </c>
      <c r="E115" s="206" t="s">
        <v>23</v>
      </c>
    </row>
    <row r="116" spans="1:5" x14ac:dyDescent="0.35">
      <c r="A116" s="360" t="s">
        <v>273</v>
      </c>
      <c r="B116" s="361" t="s">
        <v>274</v>
      </c>
      <c r="C116" s="207" t="s">
        <v>275</v>
      </c>
      <c r="D116" s="206">
        <v>2</v>
      </c>
      <c r="E116" s="206" t="s">
        <v>23</v>
      </c>
    </row>
    <row r="117" spans="1:5" ht="27" x14ac:dyDescent="0.35">
      <c r="A117" s="360"/>
      <c r="B117" s="361"/>
      <c r="C117" s="207" t="s">
        <v>276</v>
      </c>
      <c r="D117" s="206">
        <v>1</v>
      </c>
      <c r="E117" s="206" t="s">
        <v>23</v>
      </c>
    </row>
    <row r="118" spans="1:5" x14ac:dyDescent="0.35">
      <c r="A118" s="360" t="s">
        <v>277</v>
      </c>
      <c r="B118" s="361" t="s">
        <v>278</v>
      </c>
      <c r="C118" s="207" t="s">
        <v>279</v>
      </c>
      <c r="D118" s="206">
        <v>1</v>
      </c>
      <c r="E118" s="206" t="s">
        <v>23</v>
      </c>
    </row>
    <row r="119" spans="1:5" x14ac:dyDescent="0.35">
      <c r="A119" s="360"/>
      <c r="B119" s="361"/>
      <c r="C119" s="207" t="s">
        <v>280</v>
      </c>
      <c r="D119" s="206">
        <v>1</v>
      </c>
      <c r="E119" s="206" t="s">
        <v>23</v>
      </c>
    </row>
    <row r="120" spans="1:5" ht="27" x14ac:dyDescent="0.35">
      <c r="A120" s="360"/>
      <c r="B120" s="361"/>
      <c r="C120" s="207" t="s">
        <v>281</v>
      </c>
      <c r="D120" s="206">
        <v>1</v>
      </c>
      <c r="E120" s="206" t="s">
        <v>23</v>
      </c>
    </row>
    <row r="121" spans="1:5" x14ac:dyDescent="0.35">
      <c r="A121" s="360"/>
      <c r="B121" s="361"/>
      <c r="C121" s="207" t="s">
        <v>282</v>
      </c>
      <c r="D121" s="206">
        <v>1</v>
      </c>
      <c r="E121" s="206" t="s">
        <v>23</v>
      </c>
    </row>
    <row r="122" spans="1:5" x14ac:dyDescent="0.35">
      <c r="A122" s="360"/>
      <c r="B122" s="361"/>
      <c r="C122" s="207" t="s">
        <v>283</v>
      </c>
      <c r="D122" s="206">
        <v>2</v>
      </c>
      <c r="E122" s="206" t="s">
        <v>23</v>
      </c>
    </row>
    <row r="123" spans="1:5" ht="27" x14ac:dyDescent="0.35">
      <c r="A123" s="360"/>
      <c r="B123" s="361"/>
      <c r="C123" s="207" t="s">
        <v>284</v>
      </c>
      <c r="D123" s="206">
        <v>1</v>
      </c>
      <c r="E123" s="206" t="s">
        <v>23</v>
      </c>
    </row>
    <row r="124" spans="1:5" ht="27" x14ac:dyDescent="0.35">
      <c r="A124" s="360"/>
      <c r="B124" s="361"/>
      <c r="C124" s="207" t="s">
        <v>285</v>
      </c>
      <c r="D124" s="206">
        <v>1</v>
      </c>
      <c r="E124" s="206" t="s">
        <v>23</v>
      </c>
    </row>
    <row r="125" spans="1:5" ht="54" x14ac:dyDescent="0.35">
      <c r="A125" s="206" t="s">
        <v>286</v>
      </c>
      <c r="B125" s="207" t="s">
        <v>287</v>
      </c>
      <c r="C125" s="207" t="s">
        <v>288</v>
      </c>
      <c r="D125" s="206">
        <v>1</v>
      </c>
      <c r="E125" s="206" t="s">
        <v>23</v>
      </c>
    </row>
    <row r="126" spans="1:5" ht="54" x14ac:dyDescent="0.35">
      <c r="A126" s="206" t="s">
        <v>289</v>
      </c>
      <c r="B126" s="207" t="s">
        <v>290</v>
      </c>
      <c r="C126" s="207" t="s">
        <v>291</v>
      </c>
      <c r="D126" s="206">
        <v>1</v>
      </c>
      <c r="E126" s="206" t="s">
        <v>23</v>
      </c>
    </row>
    <row r="127" spans="1:5" ht="121.5" x14ac:dyDescent="0.35">
      <c r="A127" s="206" t="s">
        <v>292</v>
      </c>
      <c r="B127" s="207" t="s">
        <v>293</v>
      </c>
      <c r="C127" s="207" t="s">
        <v>294</v>
      </c>
      <c r="D127" s="206">
        <v>2</v>
      </c>
      <c r="E127" s="206" t="s">
        <v>23</v>
      </c>
    </row>
    <row r="128" spans="1:5" ht="40.5" x14ac:dyDescent="0.35">
      <c r="A128" s="206" t="s">
        <v>295</v>
      </c>
      <c r="B128" s="207" t="s">
        <v>296</v>
      </c>
      <c r="C128" s="207" t="s">
        <v>297</v>
      </c>
      <c r="D128" s="206">
        <v>1</v>
      </c>
      <c r="E128" s="206" t="s">
        <v>23</v>
      </c>
    </row>
    <row r="129" spans="1:5" ht="30" customHeight="1" x14ac:dyDescent="0.35">
      <c r="A129" s="232" t="s">
        <v>298</v>
      </c>
      <c r="B129" s="232"/>
      <c r="C129" s="233"/>
      <c r="D129" s="234"/>
      <c r="E129" s="235"/>
    </row>
    <row r="130" spans="1:5" ht="67.5" x14ac:dyDescent="0.35">
      <c r="A130" s="206" t="s">
        <v>299</v>
      </c>
      <c r="B130" s="207" t="s">
        <v>300</v>
      </c>
      <c r="C130" s="207" t="s">
        <v>301</v>
      </c>
      <c r="D130" s="206">
        <v>1</v>
      </c>
      <c r="E130" s="206" t="s">
        <v>23</v>
      </c>
    </row>
    <row r="131" spans="1:5" ht="108" x14ac:dyDescent="0.35">
      <c r="A131" s="206" t="s">
        <v>302</v>
      </c>
      <c r="B131" s="207" t="s">
        <v>303</v>
      </c>
      <c r="C131" s="207" t="s">
        <v>304</v>
      </c>
      <c r="D131" s="206">
        <v>8</v>
      </c>
      <c r="E131" s="206" t="s">
        <v>23</v>
      </c>
    </row>
    <row r="132" spans="1:5" ht="67.5" x14ac:dyDescent="0.35">
      <c r="A132" s="206" t="s">
        <v>305</v>
      </c>
      <c r="B132" s="207" t="s">
        <v>306</v>
      </c>
      <c r="C132" s="207" t="s">
        <v>307</v>
      </c>
      <c r="D132" s="206">
        <v>5</v>
      </c>
      <c r="E132" s="206" t="s">
        <v>23</v>
      </c>
    </row>
    <row r="133" spans="1:5" ht="54" x14ac:dyDescent="0.35">
      <c r="A133" s="206" t="s">
        <v>308</v>
      </c>
      <c r="B133" s="207" t="s">
        <v>309</v>
      </c>
      <c r="C133" s="207" t="s">
        <v>310</v>
      </c>
      <c r="D133" s="206">
        <v>1</v>
      </c>
      <c r="E133" s="206" t="s">
        <v>23</v>
      </c>
    </row>
    <row r="134" spans="1:5" ht="67.5" x14ac:dyDescent="0.35">
      <c r="A134" s="206" t="s">
        <v>311</v>
      </c>
      <c r="B134" s="207" t="s">
        <v>312</v>
      </c>
      <c r="C134" s="207" t="s">
        <v>313</v>
      </c>
      <c r="D134" s="206">
        <v>1</v>
      </c>
      <c r="E134" s="206" t="s">
        <v>23</v>
      </c>
    </row>
    <row r="135" spans="1:5" ht="27" x14ac:dyDescent="0.35">
      <c r="A135" s="206" t="s">
        <v>314</v>
      </c>
      <c r="B135" s="207" t="s">
        <v>315</v>
      </c>
      <c r="C135" s="207" t="s">
        <v>316</v>
      </c>
      <c r="D135" s="206">
        <v>1</v>
      </c>
      <c r="E135" s="206" t="s">
        <v>23</v>
      </c>
    </row>
    <row r="136" spans="1:5" ht="27" x14ac:dyDescent="0.35">
      <c r="A136" s="206" t="s">
        <v>317</v>
      </c>
      <c r="B136" s="207" t="s">
        <v>318</v>
      </c>
      <c r="C136" s="207" t="s">
        <v>319</v>
      </c>
      <c r="D136" s="206">
        <v>1</v>
      </c>
      <c r="E136" s="206" t="s">
        <v>23</v>
      </c>
    </row>
    <row r="137" spans="1:5" x14ac:dyDescent="0.35">
      <c r="A137" s="206" t="s">
        <v>320</v>
      </c>
      <c r="B137" s="207" t="s">
        <v>321</v>
      </c>
      <c r="C137" s="207" t="s">
        <v>322</v>
      </c>
      <c r="D137" s="206">
        <v>1</v>
      </c>
      <c r="E137" s="206" t="s">
        <v>23</v>
      </c>
    </row>
    <row r="138" spans="1:5" x14ac:dyDescent="0.35">
      <c r="A138" s="206" t="s">
        <v>323</v>
      </c>
      <c r="B138" s="207" t="s">
        <v>322</v>
      </c>
      <c r="C138" s="207" t="s">
        <v>324</v>
      </c>
      <c r="D138" s="206">
        <v>1</v>
      </c>
      <c r="E138" s="206" t="s">
        <v>23</v>
      </c>
    </row>
    <row r="139" spans="1:5" ht="40.5" x14ac:dyDescent="0.35">
      <c r="A139" s="206" t="s">
        <v>325</v>
      </c>
      <c r="B139" s="207" t="s">
        <v>326</v>
      </c>
      <c r="C139" s="207" t="s">
        <v>327</v>
      </c>
      <c r="D139" s="206">
        <v>1</v>
      </c>
      <c r="E139" s="206" t="s">
        <v>23</v>
      </c>
    </row>
    <row r="140" spans="1:5" ht="27" x14ac:dyDescent="0.35">
      <c r="A140" s="206" t="s">
        <v>328</v>
      </c>
      <c r="B140" s="207" t="s">
        <v>329</v>
      </c>
      <c r="C140" s="207" t="s">
        <v>330</v>
      </c>
      <c r="D140" s="206">
        <v>1</v>
      </c>
      <c r="E140" s="206" t="s">
        <v>23</v>
      </c>
    </row>
    <row r="141" spans="1:5" x14ac:dyDescent="0.35">
      <c r="A141" s="206" t="s">
        <v>331</v>
      </c>
      <c r="B141" s="207" t="s">
        <v>332</v>
      </c>
      <c r="C141" s="207" t="s">
        <v>333</v>
      </c>
      <c r="D141" s="206">
        <v>1</v>
      </c>
      <c r="E141" s="206" t="s">
        <v>23</v>
      </c>
    </row>
    <row r="142" spans="1:5" ht="40.5" x14ac:dyDescent="0.35">
      <c r="A142" s="206" t="s">
        <v>334</v>
      </c>
      <c r="B142" s="207" t="s">
        <v>333</v>
      </c>
      <c r="C142" s="207" t="s">
        <v>335</v>
      </c>
      <c r="D142" s="206">
        <v>1</v>
      </c>
      <c r="E142" s="206" t="s">
        <v>23</v>
      </c>
    </row>
    <row r="143" spans="1:5" ht="27" x14ac:dyDescent="0.35">
      <c r="A143" s="206" t="s">
        <v>336</v>
      </c>
      <c r="B143" s="207" t="s">
        <v>337</v>
      </c>
      <c r="C143" s="207" t="s">
        <v>338</v>
      </c>
      <c r="D143" s="206">
        <v>1</v>
      </c>
      <c r="E143" s="206" t="s">
        <v>23</v>
      </c>
    </row>
    <row r="144" spans="1:5" ht="40.5" x14ac:dyDescent="0.35">
      <c r="A144" s="206" t="s">
        <v>339</v>
      </c>
      <c r="B144" s="207" t="s">
        <v>340</v>
      </c>
      <c r="C144" s="207" t="s">
        <v>341</v>
      </c>
      <c r="D144" s="206">
        <v>2</v>
      </c>
      <c r="E144" s="206" t="s">
        <v>23</v>
      </c>
    </row>
    <row r="145" spans="1:5" ht="30" customHeight="1" x14ac:dyDescent="0.35">
      <c r="A145" s="232" t="s">
        <v>342</v>
      </c>
      <c r="B145" s="232"/>
      <c r="C145" s="233"/>
      <c r="D145" s="234"/>
      <c r="E145" s="235"/>
    </row>
    <row r="146" spans="1:5" ht="27" x14ac:dyDescent="0.35">
      <c r="A146" s="206" t="s">
        <v>343</v>
      </c>
      <c r="B146" s="207" t="s">
        <v>344</v>
      </c>
      <c r="C146" s="207" t="s">
        <v>345</v>
      </c>
      <c r="D146" s="206">
        <v>0.5</v>
      </c>
      <c r="E146" s="206" t="s">
        <v>23</v>
      </c>
    </row>
    <row r="147" spans="1:5" ht="54" x14ac:dyDescent="0.35">
      <c r="A147" s="206" t="s">
        <v>346</v>
      </c>
      <c r="B147" s="207" t="s">
        <v>347</v>
      </c>
      <c r="C147" s="207" t="s">
        <v>348</v>
      </c>
      <c r="D147" s="206">
        <v>1</v>
      </c>
      <c r="E147" s="206" t="s">
        <v>23</v>
      </c>
    </row>
    <row r="148" spans="1:5" ht="94.5" x14ac:dyDescent="0.35">
      <c r="A148" s="206" t="s">
        <v>349</v>
      </c>
      <c r="B148" s="207" t="s">
        <v>350</v>
      </c>
      <c r="C148" s="207" t="s">
        <v>351</v>
      </c>
      <c r="D148" s="206">
        <v>3</v>
      </c>
      <c r="E148" s="206" t="s">
        <v>23</v>
      </c>
    </row>
    <row r="149" spans="1:5" ht="40.5" x14ac:dyDescent="0.35">
      <c r="A149" s="206" t="s">
        <v>352</v>
      </c>
      <c r="B149" s="207" t="s">
        <v>353</v>
      </c>
      <c r="C149" s="207" t="s">
        <v>353</v>
      </c>
      <c r="D149" s="206">
        <v>2</v>
      </c>
      <c r="E149" s="206" t="s">
        <v>23</v>
      </c>
    </row>
    <row r="150" spans="1:5" x14ac:dyDescent="0.35">
      <c r="A150" s="206" t="s">
        <v>354</v>
      </c>
      <c r="B150" s="207" t="s">
        <v>355</v>
      </c>
      <c r="C150" s="207" t="s">
        <v>356</v>
      </c>
      <c r="D150" s="206">
        <v>0.5</v>
      </c>
      <c r="E150" s="206" t="s">
        <v>23</v>
      </c>
    </row>
    <row r="151" spans="1:5" ht="67.5" x14ac:dyDescent="0.35">
      <c r="A151" s="206" t="s">
        <v>357</v>
      </c>
      <c r="B151" s="207" t="s">
        <v>358</v>
      </c>
      <c r="C151" s="207" t="s">
        <v>359</v>
      </c>
      <c r="D151" s="206">
        <v>3</v>
      </c>
      <c r="E151" s="206" t="s">
        <v>23</v>
      </c>
    </row>
    <row r="152" spans="1:5" ht="27" x14ac:dyDescent="0.35">
      <c r="A152" s="206" t="s">
        <v>360</v>
      </c>
      <c r="B152" s="207" t="s">
        <v>361</v>
      </c>
      <c r="C152" s="207" t="s">
        <v>362</v>
      </c>
      <c r="D152" s="206">
        <v>2</v>
      </c>
      <c r="E152" s="206" t="s">
        <v>23</v>
      </c>
    </row>
    <row r="153" spans="1:5" ht="94.5" x14ac:dyDescent="0.35">
      <c r="A153" s="206" t="s">
        <v>363</v>
      </c>
      <c r="B153" s="207" t="s">
        <v>364</v>
      </c>
      <c r="C153" s="207" t="s">
        <v>365</v>
      </c>
      <c r="D153" s="206">
        <v>1</v>
      </c>
      <c r="E153" s="206" t="s">
        <v>23</v>
      </c>
    </row>
    <row r="154" spans="1:5" ht="30" customHeight="1" x14ac:dyDescent="0.35">
      <c r="A154" s="236" t="s">
        <v>366</v>
      </c>
      <c r="B154" s="236"/>
      <c r="C154" s="237"/>
      <c r="D154" s="238"/>
      <c r="E154" s="239"/>
    </row>
    <row r="155" spans="1:5" x14ac:dyDescent="0.35">
      <c r="A155" s="206" t="s">
        <v>367</v>
      </c>
      <c r="B155" s="207" t="s">
        <v>368</v>
      </c>
      <c r="C155" s="207" t="s">
        <v>369</v>
      </c>
      <c r="D155" s="206">
        <v>100</v>
      </c>
      <c r="E155" s="212" t="s">
        <v>370</v>
      </c>
    </row>
    <row r="156" spans="1:5" ht="30" customHeight="1" x14ac:dyDescent="0.35">
      <c r="A156" s="236" t="s">
        <v>371</v>
      </c>
      <c r="B156" s="236"/>
      <c r="C156" s="237"/>
      <c r="D156" s="238"/>
      <c r="E156" s="239"/>
    </row>
    <row r="157" spans="1:5" x14ac:dyDescent="0.35">
      <c r="A157" s="206" t="s">
        <v>372</v>
      </c>
      <c r="B157" s="207" t="s">
        <v>373</v>
      </c>
      <c r="C157" s="207" t="s">
        <v>374</v>
      </c>
      <c r="D157" s="206">
        <v>54</v>
      </c>
      <c r="E157" s="212" t="s">
        <v>370</v>
      </c>
    </row>
    <row r="158" spans="1:5" x14ac:dyDescent="0.35">
      <c r="A158" s="206" t="s">
        <v>375</v>
      </c>
      <c r="B158" s="207" t="s">
        <v>376</v>
      </c>
      <c r="C158" s="207" t="s">
        <v>377</v>
      </c>
      <c r="D158" s="206">
        <v>46</v>
      </c>
      <c r="E158" s="212" t="s">
        <v>370</v>
      </c>
    </row>
    <row r="159" spans="1:5" ht="30" customHeight="1" x14ac:dyDescent="0.35">
      <c r="A159" s="236" t="s">
        <v>378</v>
      </c>
      <c r="B159" s="236"/>
      <c r="C159" s="237"/>
      <c r="D159" s="238"/>
      <c r="E159" s="239"/>
    </row>
    <row r="160" spans="1:5" x14ac:dyDescent="0.35">
      <c r="A160" s="206" t="s">
        <v>379</v>
      </c>
      <c r="B160" s="207" t="s">
        <v>380</v>
      </c>
      <c r="D160" s="206">
        <v>18</v>
      </c>
      <c r="E160" s="212" t="s">
        <v>370</v>
      </c>
    </row>
    <row r="161" spans="1:5" ht="27" x14ac:dyDescent="0.35">
      <c r="A161" s="206" t="s">
        <v>381</v>
      </c>
      <c r="B161" s="207" t="s">
        <v>382</v>
      </c>
      <c r="D161" s="206">
        <v>22</v>
      </c>
      <c r="E161" s="212" t="s">
        <v>370</v>
      </c>
    </row>
    <row r="162" spans="1:5" x14ac:dyDescent="0.35">
      <c r="A162" s="206" t="s">
        <v>383</v>
      </c>
      <c r="B162" s="207" t="s">
        <v>384</v>
      </c>
      <c r="D162" s="206">
        <v>20</v>
      </c>
      <c r="E162" s="212" t="s">
        <v>370</v>
      </c>
    </row>
    <row r="163" spans="1:5" x14ac:dyDescent="0.35">
      <c r="A163" s="206" t="s">
        <v>385</v>
      </c>
      <c r="B163" s="207" t="s">
        <v>386</v>
      </c>
      <c r="D163" s="206">
        <v>20</v>
      </c>
      <c r="E163" s="212" t="s">
        <v>370</v>
      </c>
    </row>
    <row r="164" spans="1:5" ht="27" x14ac:dyDescent="0.35">
      <c r="A164" s="206" t="s">
        <v>387</v>
      </c>
      <c r="B164" s="207" t="s">
        <v>388</v>
      </c>
      <c r="D164" s="206">
        <v>20</v>
      </c>
      <c r="E164" s="212" t="s">
        <v>370</v>
      </c>
    </row>
    <row r="165" spans="1:5" ht="30" customHeight="1" x14ac:dyDescent="0.35">
      <c r="A165" s="236" t="s">
        <v>389</v>
      </c>
      <c r="B165" s="236"/>
      <c r="C165" s="237"/>
      <c r="D165" s="238"/>
      <c r="E165" s="239"/>
    </row>
    <row r="166" spans="1:5" x14ac:dyDescent="0.35">
      <c r="A166" s="206" t="s">
        <v>390</v>
      </c>
      <c r="B166" s="207" t="s">
        <v>380</v>
      </c>
      <c r="D166" s="206">
        <v>23</v>
      </c>
      <c r="E166" s="212" t="s">
        <v>370</v>
      </c>
    </row>
    <row r="167" spans="1:5" ht="27" x14ac:dyDescent="0.35">
      <c r="A167" s="206" t="s">
        <v>391</v>
      </c>
      <c r="B167" s="207" t="s">
        <v>382</v>
      </c>
      <c r="D167" s="206">
        <v>24</v>
      </c>
      <c r="E167" s="212" t="s">
        <v>370</v>
      </c>
    </row>
    <row r="168" spans="1:5" x14ac:dyDescent="0.35">
      <c r="A168" s="206" t="s">
        <v>392</v>
      </c>
      <c r="B168" s="207" t="s">
        <v>384</v>
      </c>
      <c r="D168" s="206">
        <v>12</v>
      </c>
      <c r="E168" s="212" t="s">
        <v>370</v>
      </c>
    </row>
    <row r="169" spans="1:5" x14ac:dyDescent="0.35">
      <c r="A169" s="206" t="s">
        <v>393</v>
      </c>
      <c r="B169" s="207" t="s">
        <v>386</v>
      </c>
      <c r="D169" s="206">
        <v>18</v>
      </c>
      <c r="E169" s="212" t="s">
        <v>370</v>
      </c>
    </row>
    <row r="170" spans="1:5" ht="27" x14ac:dyDescent="0.35">
      <c r="A170" s="206" t="s">
        <v>394</v>
      </c>
      <c r="B170" s="207" t="s">
        <v>388</v>
      </c>
      <c r="D170" s="206">
        <v>23</v>
      </c>
      <c r="E170" s="212" t="s">
        <v>370</v>
      </c>
    </row>
    <row r="171" spans="1:5" ht="30" customHeight="1" x14ac:dyDescent="0.35">
      <c r="A171" s="236" t="s">
        <v>395</v>
      </c>
      <c r="B171" s="236"/>
      <c r="C171" s="237"/>
      <c r="D171" s="238"/>
      <c r="E171" s="239"/>
    </row>
    <row r="172" spans="1:5" x14ac:dyDescent="0.35">
      <c r="A172" s="206" t="s">
        <v>396</v>
      </c>
      <c r="B172" s="207" t="s">
        <v>380</v>
      </c>
      <c r="D172" s="206">
        <v>22</v>
      </c>
      <c r="E172" s="212" t="s">
        <v>370</v>
      </c>
    </row>
    <row r="173" spans="1:5" x14ac:dyDescent="0.35">
      <c r="A173" s="206" t="s">
        <v>397</v>
      </c>
      <c r="B173" s="207" t="s">
        <v>398</v>
      </c>
      <c r="D173" s="206">
        <v>25</v>
      </c>
      <c r="E173" s="212" t="s">
        <v>370</v>
      </c>
    </row>
    <row r="174" spans="1:5" x14ac:dyDescent="0.35">
      <c r="A174" s="206" t="s">
        <v>399</v>
      </c>
      <c r="B174" s="207" t="s">
        <v>400</v>
      </c>
      <c r="D174" s="206">
        <v>20</v>
      </c>
      <c r="E174" s="212" t="s">
        <v>370</v>
      </c>
    </row>
    <row r="175" spans="1:5" ht="27" x14ac:dyDescent="0.35">
      <c r="A175" s="206" t="s">
        <v>401</v>
      </c>
      <c r="B175" s="207" t="s">
        <v>402</v>
      </c>
      <c r="D175" s="206">
        <v>33</v>
      </c>
      <c r="E175" s="212" t="s">
        <v>370</v>
      </c>
    </row>
    <row r="176" spans="1:5" ht="30" customHeight="1" x14ac:dyDescent="0.35">
      <c r="A176" s="236" t="s">
        <v>403</v>
      </c>
      <c r="B176" s="236"/>
      <c r="C176" s="237"/>
      <c r="D176" s="238"/>
      <c r="E176" s="239"/>
    </row>
    <row r="177" spans="1:5" x14ac:dyDescent="0.35">
      <c r="A177" s="206" t="s">
        <v>404</v>
      </c>
      <c r="B177" s="207" t="s">
        <v>380</v>
      </c>
      <c r="D177" s="206">
        <v>40</v>
      </c>
      <c r="E177" s="212" t="s">
        <v>370</v>
      </c>
    </row>
    <row r="178" spans="1:5" ht="27" x14ac:dyDescent="0.35">
      <c r="A178" s="206" t="s">
        <v>405</v>
      </c>
      <c r="B178" s="207" t="s">
        <v>406</v>
      </c>
      <c r="D178" s="206">
        <v>20</v>
      </c>
      <c r="E178" s="212" t="s">
        <v>370</v>
      </c>
    </row>
    <row r="179" spans="1:5" x14ac:dyDescent="0.35">
      <c r="A179" s="206" t="s">
        <v>407</v>
      </c>
      <c r="B179" s="207" t="s">
        <v>408</v>
      </c>
      <c r="D179" s="206">
        <v>20</v>
      </c>
      <c r="E179" s="212" t="s">
        <v>370</v>
      </c>
    </row>
    <row r="180" spans="1:5" x14ac:dyDescent="0.35">
      <c r="A180" s="206" t="s">
        <v>409</v>
      </c>
      <c r="B180" s="207" t="s">
        <v>410</v>
      </c>
      <c r="D180" s="206">
        <v>20</v>
      </c>
      <c r="E180" s="212" t="s">
        <v>370</v>
      </c>
    </row>
    <row r="181" spans="1:5" ht="30" customHeight="1" x14ac:dyDescent="0.35">
      <c r="A181" s="236" t="s">
        <v>411</v>
      </c>
      <c r="B181" s="236"/>
      <c r="C181" s="237"/>
      <c r="D181" s="238"/>
      <c r="E181" s="239"/>
    </row>
    <row r="182" spans="1:5" x14ac:dyDescent="0.35">
      <c r="A182" s="206" t="s">
        <v>412</v>
      </c>
      <c r="B182" s="207" t="s">
        <v>380</v>
      </c>
      <c r="D182" s="206">
        <v>20</v>
      </c>
      <c r="E182" s="212" t="s">
        <v>370</v>
      </c>
    </row>
    <row r="183" spans="1:5" x14ac:dyDescent="0.35">
      <c r="A183" s="206" t="s">
        <v>413</v>
      </c>
      <c r="B183" s="207" t="s">
        <v>414</v>
      </c>
      <c r="D183" s="206">
        <v>20</v>
      </c>
      <c r="E183" s="212" t="s">
        <v>370</v>
      </c>
    </row>
    <row r="184" spans="1:5" x14ac:dyDescent="0.35">
      <c r="A184" s="206" t="s">
        <v>415</v>
      </c>
      <c r="B184" s="207" t="s">
        <v>384</v>
      </c>
      <c r="D184" s="206">
        <v>20</v>
      </c>
      <c r="E184" s="212" t="s">
        <v>370</v>
      </c>
    </row>
    <row r="185" spans="1:5" x14ac:dyDescent="0.35">
      <c r="A185" s="206" t="s">
        <v>416</v>
      </c>
      <c r="B185" s="207" t="s">
        <v>386</v>
      </c>
      <c r="D185" s="206">
        <v>20</v>
      </c>
      <c r="E185" s="212" t="s">
        <v>370</v>
      </c>
    </row>
    <row r="186" spans="1:5" x14ac:dyDescent="0.35">
      <c r="A186" s="206" t="s">
        <v>417</v>
      </c>
      <c r="B186" s="207" t="s">
        <v>418</v>
      </c>
      <c r="D186" s="206">
        <v>20</v>
      </c>
      <c r="E186" s="212" t="s">
        <v>370</v>
      </c>
    </row>
    <row r="187" spans="1:5" ht="30" customHeight="1" x14ac:dyDescent="0.35">
      <c r="A187" s="236" t="s">
        <v>419</v>
      </c>
      <c r="B187" s="236"/>
      <c r="C187" s="237"/>
      <c r="D187" s="238"/>
      <c r="E187" s="239"/>
    </row>
    <row r="188" spans="1:5" x14ac:dyDescent="0.35">
      <c r="A188" s="206" t="s">
        <v>420</v>
      </c>
      <c r="B188" s="207" t="s">
        <v>380</v>
      </c>
      <c r="D188" s="206">
        <v>20</v>
      </c>
      <c r="E188" s="212" t="s">
        <v>370</v>
      </c>
    </row>
    <row r="189" spans="1:5" x14ac:dyDescent="0.35">
      <c r="A189" s="206" t="s">
        <v>421</v>
      </c>
      <c r="B189" s="207" t="s">
        <v>414</v>
      </c>
      <c r="D189" s="206">
        <v>20</v>
      </c>
      <c r="E189" s="212" t="s">
        <v>370</v>
      </c>
    </row>
    <row r="190" spans="1:5" x14ac:dyDescent="0.35">
      <c r="A190" s="206" t="s">
        <v>422</v>
      </c>
      <c r="B190" s="207" t="s">
        <v>384</v>
      </c>
      <c r="D190" s="206">
        <v>20</v>
      </c>
      <c r="E190" s="212" t="s">
        <v>370</v>
      </c>
    </row>
    <row r="191" spans="1:5" x14ac:dyDescent="0.35">
      <c r="A191" s="206" t="s">
        <v>423</v>
      </c>
      <c r="B191" s="207" t="s">
        <v>386</v>
      </c>
      <c r="D191" s="206">
        <v>20</v>
      </c>
      <c r="E191" s="212" t="s">
        <v>370</v>
      </c>
    </row>
    <row r="192" spans="1:5" x14ac:dyDescent="0.35">
      <c r="A192" s="206" t="s">
        <v>424</v>
      </c>
      <c r="B192" s="207" t="s">
        <v>418</v>
      </c>
      <c r="D192" s="206">
        <v>20</v>
      </c>
      <c r="E192" s="212" t="s">
        <v>370</v>
      </c>
    </row>
    <row r="193" spans="1:5" ht="30" customHeight="1" x14ac:dyDescent="0.35">
      <c r="A193" s="236" t="s">
        <v>425</v>
      </c>
      <c r="B193" s="236"/>
      <c r="C193" s="237"/>
      <c r="D193" s="238"/>
      <c r="E193" s="239"/>
    </row>
    <row r="194" spans="1:5" x14ac:dyDescent="0.35">
      <c r="A194" s="206" t="s">
        <v>426</v>
      </c>
      <c r="B194" s="207" t="s">
        <v>380</v>
      </c>
      <c r="D194" s="206">
        <v>50</v>
      </c>
      <c r="E194" s="212" t="s">
        <v>370</v>
      </c>
    </row>
    <row r="195" spans="1:5" x14ac:dyDescent="0.35">
      <c r="A195" s="206" t="s">
        <v>427</v>
      </c>
      <c r="B195" s="207" t="s">
        <v>428</v>
      </c>
      <c r="D195" s="206">
        <v>20</v>
      </c>
      <c r="E195" s="212" t="s">
        <v>370</v>
      </c>
    </row>
    <row r="196" spans="1:5" x14ac:dyDescent="0.35">
      <c r="A196" s="206" t="s">
        <v>429</v>
      </c>
      <c r="B196" s="207" t="s">
        <v>386</v>
      </c>
      <c r="D196" s="206">
        <v>10</v>
      </c>
      <c r="E196" s="212" t="s">
        <v>370</v>
      </c>
    </row>
    <row r="197" spans="1:5" x14ac:dyDescent="0.35">
      <c r="A197" s="206" t="s">
        <v>430</v>
      </c>
      <c r="B197" s="207" t="s">
        <v>418</v>
      </c>
      <c r="D197" s="206">
        <v>20</v>
      </c>
      <c r="E197" s="212" t="s">
        <v>370</v>
      </c>
    </row>
    <row r="198" spans="1:5" ht="30" customHeight="1" x14ac:dyDescent="0.35">
      <c r="A198" s="236" t="s">
        <v>431</v>
      </c>
      <c r="B198" s="236"/>
      <c r="C198" s="237"/>
      <c r="D198" s="238"/>
      <c r="E198" s="239"/>
    </row>
    <row r="199" spans="1:5" x14ac:dyDescent="0.35">
      <c r="A199" s="206" t="s">
        <v>432</v>
      </c>
      <c r="B199" s="207" t="s">
        <v>380</v>
      </c>
      <c r="D199" s="206">
        <v>21</v>
      </c>
      <c r="E199" s="212" t="s">
        <v>370</v>
      </c>
    </row>
    <row r="200" spans="1:5" ht="27" x14ac:dyDescent="0.35">
      <c r="A200" s="206" t="s">
        <v>433</v>
      </c>
      <c r="B200" s="207" t="s">
        <v>434</v>
      </c>
      <c r="D200" s="206">
        <v>30</v>
      </c>
      <c r="E200" s="212" t="s">
        <v>370</v>
      </c>
    </row>
    <row r="201" spans="1:5" x14ac:dyDescent="0.35">
      <c r="A201" s="206" t="s">
        <v>435</v>
      </c>
      <c r="B201" s="207" t="s">
        <v>436</v>
      </c>
      <c r="D201" s="206">
        <v>15</v>
      </c>
      <c r="E201" s="212" t="s">
        <v>370</v>
      </c>
    </row>
    <row r="202" spans="1:5" x14ac:dyDescent="0.35">
      <c r="A202" s="206" t="s">
        <v>437</v>
      </c>
      <c r="B202" s="207" t="s">
        <v>438</v>
      </c>
      <c r="D202" s="206">
        <v>34</v>
      </c>
      <c r="E202" s="212" t="s">
        <v>370</v>
      </c>
    </row>
    <row r="203" spans="1:5" ht="30" customHeight="1" x14ac:dyDescent="0.35">
      <c r="A203" s="236" t="s">
        <v>439</v>
      </c>
      <c r="B203" s="236"/>
      <c r="C203" s="237"/>
      <c r="D203" s="238"/>
      <c r="E203" s="239"/>
    </row>
    <row r="204" spans="1:5" x14ac:dyDescent="0.35">
      <c r="A204" s="206" t="s">
        <v>440</v>
      </c>
      <c r="B204" s="207" t="s">
        <v>380</v>
      </c>
      <c r="D204" s="206">
        <v>28</v>
      </c>
      <c r="E204" s="212" t="s">
        <v>370</v>
      </c>
    </row>
    <row r="205" spans="1:5" ht="27" x14ac:dyDescent="0.35">
      <c r="A205" s="206" t="s">
        <v>441</v>
      </c>
      <c r="B205" s="207" t="s">
        <v>434</v>
      </c>
      <c r="D205" s="206">
        <v>30</v>
      </c>
      <c r="E205" s="212" t="s">
        <v>370</v>
      </c>
    </row>
    <row r="206" spans="1:5" x14ac:dyDescent="0.35">
      <c r="A206" s="206" t="s">
        <v>442</v>
      </c>
      <c r="B206" s="207" t="s">
        <v>436</v>
      </c>
      <c r="D206" s="206">
        <v>8</v>
      </c>
      <c r="E206" s="212" t="s">
        <v>370</v>
      </c>
    </row>
    <row r="207" spans="1:5" x14ac:dyDescent="0.35">
      <c r="A207" s="206" t="s">
        <v>443</v>
      </c>
      <c r="B207" s="207" t="s">
        <v>438</v>
      </c>
      <c r="D207" s="206">
        <v>34</v>
      </c>
      <c r="E207" s="212" t="s">
        <v>370</v>
      </c>
    </row>
    <row r="208" spans="1:5" ht="30" customHeight="1" x14ac:dyDescent="0.35">
      <c r="A208" s="236" t="s">
        <v>444</v>
      </c>
      <c r="B208" s="236"/>
      <c r="C208" s="237"/>
      <c r="D208" s="238"/>
      <c r="E208" s="239"/>
    </row>
    <row r="209" spans="1:5" x14ac:dyDescent="0.35">
      <c r="A209" s="206" t="s">
        <v>445</v>
      </c>
      <c r="B209" s="207" t="s">
        <v>380</v>
      </c>
      <c r="D209" s="206">
        <v>20</v>
      </c>
      <c r="E209" s="212" t="s">
        <v>370</v>
      </c>
    </row>
    <row r="210" spans="1:5" ht="27" x14ac:dyDescent="0.35">
      <c r="A210" s="206" t="s">
        <v>446</v>
      </c>
      <c r="B210" s="207" t="s">
        <v>406</v>
      </c>
      <c r="D210" s="206">
        <v>21</v>
      </c>
      <c r="E210" s="212" t="s">
        <v>370</v>
      </c>
    </row>
    <row r="211" spans="1:5" x14ac:dyDescent="0.35">
      <c r="A211" s="206" t="s">
        <v>447</v>
      </c>
      <c r="B211" s="207" t="s">
        <v>384</v>
      </c>
      <c r="D211" s="206">
        <v>20</v>
      </c>
      <c r="E211" s="212" t="s">
        <v>370</v>
      </c>
    </row>
    <row r="212" spans="1:5" x14ac:dyDescent="0.35">
      <c r="A212" s="206" t="s">
        <v>448</v>
      </c>
      <c r="B212" s="207" t="s">
        <v>386</v>
      </c>
      <c r="D212" s="206">
        <v>20</v>
      </c>
      <c r="E212" s="212" t="s">
        <v>370</v>
      </c>
    </row>
    <row r="213" spans="1:5" x14ac:dyDescent="0.35">
      <c r="A213" s="206" t="s">
        <v>449</v>
      </c>
      <c r="B213" s="207" t="s">
        <v>418</v>
      </c>
      <c r="D213" s="206">
        <v>19</v>
      </c>
      <c r="E213" s="212" t="s">
        <v>370</v>
      </c>
    </row>
    <row r="214" spans="1:5" ht="31.5" customHeight="1" x14ac:dyDescent="0.35">
      <c r="A214" s="240" t="s">
        <v>450</v>
      </c>
      <c r="B214" s="240"/>
      <c r="C214" s="241"/>
      <c r="D214" s="242"/>
      <c r="E214" s="243"/>
    </row>
    <row r="215" spans="1:5" x14ac:dyDescent="0.35">
      <c r="A215" s="206" t="s">
        <v>451</v>
      </c>
      <c r="B215" s="207" t="s">
        <v>452</v>
      </c>
      <c r="C215" s="207" t="s">
        <v>453</v>
      </c>
      <c r="D215" s="213">
        <v>1</v>
      </c>
      <c r="E215" s="212" t="s">
        <v>370</v>
      </c>
    </row>
    <row r="216" spans="1:5" x14ac:dyDescent="0.35">
      <c r="A216" s="206" t="s">
        <v>454</v>
      </c>
      <c r="B216" s="207" t="s">
        <v>455</v>
      </c>
      <c r="C216" s="207" t="s">
        <v>456</v>
      </c>
      <c r="D216" s="213">
        <v>1</v>
      </c>
      <c r="E216" s="212" t="s">
        <v>370</v>
      </c>
    </row>
    <row r="217" spans="1:5" x14ac:dyDescent="0.35">
      <c r="A217" s="206" t="s">
        <v>457</v>
      </c>
      <c r="B217" s="207" t="s">
        <v>458</v>
      </c>
      <c r="C217" s="207" t="s">
        <v>459</v>
      </c>
      <c r="D217" s="213">
        <v>1</v>
      </c>
      <c r="E217" s="212" t="s">
        <v>370</v>
      </c>
    </row>
    <row r="218" spans="1:5" x14ac:dyDescent="0.35">
      <c r="A218" s="206" t="s">
        <v>460</v>
      </c>
      <c r="B218" s="207" t="s">
        <v>461</v>
      </c>
      <c r="C218" s="207" t="s">
        <v>462</v>
      </c>
      <c r="D218" s="213" t="s">
        <v>463</v>
      </c>
      <c r="E218" s="212" t="s">
        <v>464</v>
      </c>
    </row>
    <row r="219" spans="1:5" ht="31.5" customHeight="1" x14ac:dyDescent="0.35">
      <c r="A219" s="240" t="s">
        <v>465</v>
      </c>
      <c r="B219" s="240"/>
      <c r="C219" s="241"/>
      <c r="D219" s="242"/>
      <c r="E219" s="243"/>
    </row>
    <row r="220" spans="1:5" ht="15" customHeight="1" x14ac:dyDescent="0.35">
      <c r="A220" s="206" t="s">
        <v>466</v>
      </c>
      <c r="B220" s="207" t="s">
        <v>467</v>
      </c>
      <c r="C220" s="207" t="s">
        <v>468</v>
      </c>
      <c r="D220" s="213">
        <v>0.6</v>
      </c>
      <c r="E220" s="212" t="s">
        <v>370</v>
      </c>
    </row>
    <row r="221" spans="1:5" ht="26.25" customHeight="1" x14ac:dyDescent="0.35">
      <c r="A221" s="206" t="s">
        <v>469</v>
      </c>
      <c r="B221" s="207" t="s">
        <v>470</v>
      </c>
      <c r="C221" s="207" t="s">
        <v>471</v>
      </c>
      <c r="D221" s="213">
        <v>0.4</v>
      </c>
      <c r="E221" s="212" t="s">
        <v>370</v>
      </c>
    </row>
    <row r="222" spans="1:5" ht="15" customHeight="1" x14ac:dyDescent="0.35">
      <c r="A222" s="206" t="s">
        <v>472</v>
      </c>
      <c r="B222" s="207" t="s">
        <v>473</v>
      </c>
      <c r="C222" s="207" t="s">
        <v>474</v>
      </c>
      <c r="D222" s="213">
        <v>1</v>
      </c>
      <c r="E222" s="212" t="s">
        <v>370</v>
      </c>
    </row>
    <row r="223" spans="1:5" ht="33.75" customHeight="1" x14ac:dyDescent="0.35">
      <c r="A223" s="206" t="s">
        <v>475</v>
      </c>
      <c r="B223" s="207" t="s">
        <v>476</v>
      </c>
      <c r="C223" s="207" t="s">
        <v>477</v>
      </c>
      <c r="D223" s="213">
        <v>1</v>
      </c>
      <c r="E223" s="212" t="s">
        <v>370</v>
      </c>
    </row>
    <row r="224" spans="1:5" ht="27" customHeight="1" x14ac:dyDescent="0.35">
      <c r="A224" s="206" t="s">
        <v>478</v>
      </c>
      <c r="B224" s="207" t="s">
        <v>479</v>
      </c>
      <c r="C224" s="207" t="s">
        <v>480</v>
      </c>
      <c r="D224" s="213">
        <v>1</v>
      </c>
      <c r="E224" s="212" t="s">
        <v>464</v>
      </c>
    </row>
    <row r="225" spans="1:5" ht="27" x14ac:dyDescent="0.35">
      <c r="A225" s="206" t="s">
        <v>481</v>
      </c>
      <c r="B225" s="207" t="s">
        <v>482</v>
      </c>
      <c r="C225" s="207" t="s">
        <v>483</v>
      </c>
      <c r="D225" s="213">
        <v>1</v>
      </c>
      <c r="E225" s="212" t="s">
        <v>464</v>
      </c>
    </row>
    <row r="226" spans="1:5" ht="15" customHeight="1" x14ac:dyDescent="0.35">
      <c r="A226" s="206" t="s">
        <v>484</v>
      </c>
      <c r="B226" s="207" t="s">
        <v>485</v>
      </c>
      <c r="C226" s="207" t="s">
        <v>486</v>
      </c>
      <c r="D226" s="213" t="s">
        <v>463</v>
      </c>
      <c r="E226" s="212" t="s">
        <v>464</v>
      </c>
    </row>
    <row r="227" spans="1:5" ht="15" customHeight="1" x14ac:dyDescent="0.35">
      <c r="A227" s="206" t="s">
        <v>487</v>
      </c>
      <c r="B227" s="207" t="s">
        <v>488</v>
      </c>
      <c r="C227" s="207" t="s">
        <v>489</v>
      </c>
      <c r="D227" s="213">
        <v>1</v>
      </c>
      <c r="E227" s="212" t="s">
        <v>370</v>
      </c>
    </row>
    <row r="228" spans="1:5" ht="15" customHeight="1" x14ac:dyDescent="0.35">
      <c r="A228" s="206" t="s">
        <v>490</v>
      </c>
      <c r="B228" s="207" t="s">
        <v>491</v>
      </c>
      <c r="C228" s="207" t="s">
        <v>492</v>
      </c>
      <c r="D228" s="213">
        <v>1</v>
      </c>
      <c r="E228" s="212" t="s">
        <v>370</v>
      </c>
    </row>
    <row r="229" spans="1:5" ht="29.25" customHeight="1" x14ac:dyDescent="0.35">
      <c r="A229" s="206" t="s">
        <v>493</v>
      </c>
      <c r="B229" s="207" t="s">
        <v>494</v>
      </c>
      <c r="C229" s="207" t="s">
        <v>495</v>
      </c>
      <c r="D229" s="213">
        <v>1</v>
      </c>
      <c r="E229" s="212" t="s">
        <v>23</v>
      </c>
    </row>
    <row r="230" spans="1:5" ht="31.5" customHeight="1" x14ac:dyDescent="0.35">
      <c r="A230" s="240" t="s">
        <v>496</v>
      </c>
      <c r="B230" s="240"/>
      <c r="C230" s="241"/>
      <c r="D230" s="242"/>
      <c r="E230" s="243"/>
    </row>
    <row r="231" spans="1:5" ht="27" x14ac:dyDescent="0.35">
      <c r="A231" s="206" t="s">
        <v>497</v>
      </c>
      <c r="B231" s="207" t="s">
        <v>498</v>
      </c>
      <c r="C231" s="207" t="s">
        <v>499</v>
      </c>
      <c r="D231" s="213">
        <v>1</v>
      </c>
      <c r="E231" s="212" t="s">
        <v>500</v>
      </c>
    </row>
    <row r="232" spans="1:5" ht="27" x14ac:dyDescent="0.35">
      <c r="A232" s="206" t="s">
        <v>501</v>
      </c>
      <c r="B232" s="207" t="s">
        <v>502</v>
      </c>
      <c r="C232" s="207" t="s">
        <v>503</v>
      </c>
      <c r="D232" s="213">
        <v>1</v>
      </c>
      <c r="E232" s="212" t="s">
        <v>500</v>
      </c>
    </row>
    <row r="233" spans="1:5" ht="27" x14ac:dyDescent="0.35">
      <c r="A233" s="206" t="s">
        <v>504</v>
      </c>
      <c r="B233" s="207" t="s">
        <v>498</v>
      </c>
      <c r="C233" s="207" t="s">
        <v>505</v>
      </c>
      <c r="D233" s="213">
        <v>1</v>
      </c>
      <c r="E233" s="212" t="s">
        <v>500</v>
      </c>
    </row>
    <row r="234" spans="1:5" ht="27" x14ac:dyDescent="0.35">
      <c r="A234" s="206" t="s">
        <v>506</v>
      </c>
      <c r="B234" s="207" t="s">
        <v>502</v>
      </c>
      <c r="C234" s="207" t="s">
        <v>507</v>
      </c>
      <c r="D234" s="213">
        <v>1</v>
      </c>
      <c r="E234" s="212" t="s">
        <v>500</v>
      </c>
    </row>
    <row r="235" spans="1:5" ht="31.5" customHeight="1" x14ac:dyDescent="0.35">
      <c r="A235" s="240" t="s">
        <v>508</v>
      </c>
      <c r="B235" s="240"/>
      <c r="C235" s="241"/>
      <c r="D235" s="242"/>
      <c r="E235" s="243"/>
    </row>
    <row r="236" spans="1:5" x14ac:dyDescent="0.35">
      <c r="A236" s="206" t="s">
        <v>509</v>
      </c>
      <c r="B236" s="207" t="s">
        <v>510</v>
      </c>
      <c r="C236" s="207" t="s">
        <v>511</v>
      </c>
      <c r="D236" s="362" t="s">
        <v>512</v>
      </c>
      <c r="E236" s="212" t="s">
        <v>370</v>
      </c>
    </row>
    <row r="237" spans="1:5" x14ac:dyDescent="0.35">
      <c r="A237" s="206" t="s">
        <v>513</v>
      </c>
      <c r="B237" s="207" t="s">
        <v>514</v>
      </c>
      <c r="C237" s="207" t="s">
        <v>515</v>
      </c>
      <c r="D237" s="364"/>
      <c r="E237" s="212" t="s">
        <v>370</v>
      </c>
    </row>
    <row r="238" spans="1:5" x14ac:dyDescent="0.35">
      <c r="A238" s="206" t="s">
        <v>516</v>
      </c>
      <c r="B238" s="207" t="s">
        <v>517</v>
      </c>
      <c r="C238" s="207" t="s">
        <v>518</v>
      </c>
      <c r="D238" s="364"/>
      <c r="E238" s="212" t="s">
        <v>370</v>
      </c>
    </row>
    <row r="239" spans="1:5" ht="27" x14ac:dyDescent="0.35">
      <c r="A239" s="206" t="s">
        <v>519</v>
      </c>
      <c r="B239" s="207" t="s">
        <v>520</v>
      </c>
      <c r="C239" s="207" t="s">
        <v>521</v>
      </c>
      <c r="D239" s="364"/>
      <c r="E239" s="212" t="s">
        <v>370</v>
      </c>
    </row>
    <row r="240" spans="1:5" x14ac:dyDescent="0.35">
      <c r="A240" s="206" t="s">
        <v>522</v>
      </c>
      <c r="B240" s="207" t="s">
        <v>523</v>
      </c>
      <c r="C240" s="207" t="s">
        <v>524</v>
      </c>
      <c r="D240" s="364"/>
      <c r="E240" s="212" t="s">
        <v>370</v>
      </c>
    </row>
    <row r="241" spans="1:5" x14ac:dyDescent="0.35">
      <c r="A241" s="206" t="s">
        <v>525</v>
      </c>
      <c r="B241" s="207" t="s">
        <v>526</v>
      </c>
      <c r="C241" s="207" t="s">
        <v>527</v>
      </c>
      <c r="D241" s="364"/>
      <c r="E241" s="212" t="s">
        <v>370</v>
      </c>
    </row>
    <row r="242" spans="1:5" x14ac:dyDescent="0.35">
      <c r="A242" s="206" t="s">
        <v>528</v>
      </c>
      <c r="B242" s="207" t="s">
        <v>529</v>
      </c>
      <c r="C242" s="207" t="s">
        <v>530</v>
      </c>
      <c r="D242" s="363"/>
      <c r="E242" s="212" t="s">
        <v>370</v>
      </c>
    </row>
    <row r="243" spans="1:5" ht="31.5" customHeight="1" x14ac:dyDescent="0.35">
      <c r="A243" s="244" t="s">
        <v>531</v>
      </c>
      <c r="B243" s="244"/>
      <c r="C243" s="245"/>
      <c r="D243" s="246"/>
      <c r="E243" s="247"/>
    </row>
    <row r="244" spans="1:5" x14ac:dyDescent="0.35">
      <c r="A244" s="206" t="s">
        <v>532</v>
      </c>
      <c r="B244" s="207" t="s">
        <v>533</v>
      </c>
      <c r="C244" s="207" t="s">
        <v>534</v>
      </c>
      <c r="D244" s="213">
        <v>0.2</v>
      </c>
      <c r="E244" s="212" t="s">
        <v>535</v>
      </c>
    </row>
    <row r="245" spans="1:5" x14ac:dyDescent="0.35">
      <c r="A245" s="206" t="s">
        <v>536</v>
      </c>
      <c r="B245" s="207" t="s">
        <v>537</v>
      </c>
      <c r="C245" s="207" t="s">
        <v>538</v>
      </c>
      <c r="D245" s="213">
        <v>0.8</v>
      </c>
      <c r="E245" s="212" t="s">
        <v>535</v>
      </c>
    </row>
    <row r="246" spans="1:5" x14ac:dyDescent="0.35">
      <c r="A246" s="206" t="s">
        <v>539</v>
      </c>
      <c r="B246" s="207" t="s">
        <v>540</v>
      </c>
      <c r="C246" s="207" t="s">
        <v>541</v>
      </c>
      <c r="D246" s="213">
        <v>1</v>
      </c>
      <c r="E246" s="212" t="s">
        <v>535</v>
      </c>
    </row>
    <row r="247" spans="1:5" x14ac:dyDescent="0.35">
      <c r="A247" s="206" t="s">
        <v>542</v>
      </c>
      <c r="B247" s="207" t="s">
        <v>543</v>
      </c>
      <c r="C247" s="207" t="s">
        <v>544</v>
      </c>
      <c r="D247" s="213">
        <v>1</v>
      </c>
      <c r="E247" s="212" t="s">
        <v>535</v>
      </c>
    </row>
    <row r="248" spans="1:5" x14ac:dyDescent="0.35">
      <c r="A248" s="206" t="s">
        <v>545</v>
      </c>
      <c r="B248" s="207" t="s">
        <v>546</v>
      </c>
      <c r="C248" s="207" t="s">
        <v>547</v>
      </c>
      <c r="D248" s="213">
        <v>1</v>
      </c>
      <c r="E248" s="212" t="s">
        <v>535</v>
      </c>
    </row>
    <row r="249" spans="1:5" x14ac:dyDescent="0.35">
      <c r="A249" s="206" t="s">
        <v>548</v>
      </c>
      <c r="B249" s="207" t="s">
        <v>549</v>
      </c>
      <c r="C249" s="207" t="s">
        <v>550</v>
      </c>
      <c r="D249" s="213">
        <v>1</v>
      </c>
      <c r="E249" s="212" t="s">
        <v>535</v>
      </c>
    </row>
    <row r="250" spans="1:5" x14ac:dyDescent="0.35">
      <c r="A250" s="206" t="s">
        <v>551</v>
      </c>
      <c r="B250" s="207" t="s">
        <v>552</v>
      </c>
      <c r="C250" s="207" t="s">
        <v>553</v>
      </c>
      <c r="D250" s="213">
        <v>1</v>
      </c>
      <c r="E250" s="212" t="s">
        <v>535</v>
      </c>
    </row>
    <row r="251" spans="1:5" ht="31.5" customHeight="1" x14ac:dyDescent="0.35">
      <c r="A251" s="244" t="s">
        <v>554</v>
      </c>
      <c r="B251" s="244"/>
      <c r="C251" s="245"/>
      <c r="D251" s="246"/>
      <c r="E251" s="247"/>
    </row>
    <row r="252" spans="1:5" x14ac:dyDescent="0.35">
      <c r="A252" s="206" t="s">
        <v>555</v>
      </c>
      <c r="B252" s="207" t="s">
        <v>556</v>
      </c>
      <c r="C252" s="207" t="s">
        <v>557</v>
      </c>
      <c r="D252" s="213">
        <v>1</v>
      </c>
      <c r="E252" s="212" t="s">
        <v>535</v>
      </c>
    </row>
    <row r="253" spans="1:5" x14ac:dyDescent="0.35">
      <c r="A253" s="206" t="s">
        <v>558</v>
      </c>
      <c r="B253" s="207" t="s">
        <v>559</v>
      </c>
      <c r="C253" s="207" t="s">
        <v>560</v>
      </c>
      <c r="D253" s="213">
        <v>1</v>
      </c>
      <c r="E253" s="212" t="s">
        <v>535</v>
      </c>
    </row>
    <row r="254" spans="1:5" x14ac:dyDescent="0.35">
      <c r="A254" s="206" t="s">
        <v>561</v>
      </c>
      <c r="B254" s="207" t="s">
        <v>562</v>
      </c>
      <c r="C254" s="207" t="s">
        <v>563</v>
      </c>
      <c r="D254" s="213">
        <v>1</v>
      </c>
      <c r="E254" s="212" t="s">
        <v>535</v>
      </c>
    </row>
    <row r="255" spans="1:5" x14ac:dyDescent="0.35">
      <c r="A255" s="206" t="s">
        <v>564</v>
      </c>
      <c r="B255" s="207" t="s">
        <v>565</v>
      </c>
      <c r="C255" s="207" t="s">
        <v>566</v>
      </c>
      <c r="D255" s="213">
        <v>1</v>
      </c>
      <c r="E255" s="212" t="s">
        <v>535</v>
      </c>
    </row>
    <row r="256" spans="1:5" x14ac:dyDescent="0.35">
      <c r="A256" s="206" t="s">
        <v>567</v>
      </c>
      <c r="B256" s="207" t="s">
        <v>568</v>
      </c>
      <c r="C256" s="207" t="s">
        <v>569</v>
      </c>
      <c r="D256" s="213">
        <v>1</v>
      </c>
      <c r="E256" s="212" t="s">
        <v>535</v>
      </c>
    </row>
    <row r="257" spans="1:5" x14ac:dyDescent="0.35">
      <c r="A257" s="206" t="s">
        <v>570</v>
      </c>
      <c r="B257" s="207" t="s">
        <v>571</v>
      </c>
      <c r="C257" s="207" t="s">
        <v>572</v>
      </c>
      <c r="D257" s="213">
        <v>1</v>
      </c>
      <c r="E257" s="212" t="s">
        <v>535</v>
      </c>
    </row>
    <row r="258" spans="1:5" x14ac:dyDescent="0.35">
      <c r="A258" s="206" t="s">
        <v>573</v>
      </c>
      <c r="B258" s="207" t="s">
        <v>574</v>
      </c>
      <c r="C258" s="207" t="s">
        <v>575</v>
      </c>
      <c r="D258" s="213">
        <v>1</v>
      </c>
      <c r="E258" s="212" t="s">
        <v>535</v>
      </c>
    </row>
    <row r="259" spans="1:5" x14ac:dyDescent="0.35">
      <c r="A259" s="206" t="s">
        <v>576</v>
      </c>
      <c r="B259" s="207" t="s">
        <v>577</v>
      </c>
      <c r="C259" s="207" t="s">
        <v>578</v>
      </c>
      <c r="D259" s="213">
        <v>1</v>
      </c>
      <c r="E259" s="212" t="s">
        <v>535</v>
      </c>
    </row>
    <row r="260" spans="1:5" x14ac:dyDescent="0.35">
      <c r="A260" s="206" t="s">
        <v>579</v>
      </c>
      <c r="B260" s="207" t="s">
        <v>580</v>
      </c>
      <c r="C260" s="207" t="s">
        <v>581</v>
      </c>
      <c r="D260" s="213">
        <v>1</v>
      </c>
      <c r="E260" s="212" t="s">
        <v>535</v>
      </c>
    </row>
    <row r="261" spans="1:5" x14ac:dyDescent="0.35">
      <c r="A261" s="206" t="s">
        <v>582</v>
      </c>
      <c r="B261" s="207" t="s">
        <v>583</v>
      </c>
      <c r="C261" s="207" t="s">
        <v>584</v>
      </c>
      <c r="D261" s="213">
        <v>1</v>
      </c>
      <c r="E261" s="212" t="s">
        <v>535</v>
      </c>
    </row>
    <row r="262" spans="1:5" x14ac:dyDescent="0.35">
      <c r="A262" s="206" t="s">
        <v>585</v>
      </c>
      <c r="B262" s="207" t="s">
        <v>586</v>
      </c>
      <c r="C262" s="207" t="s">
        <v>587</v>
      </c>
      <c r="D262" s="213">
        <v>1</v>
      </c>
      <c r="E262" s="212" t="s">
        <v>535</v>
      </c>
    </row>
    <row r="263" spans="1:5" x14ac:dyDescent="0.35">
      <c r="A263" s="206" t="s">
        <v>588</v>
      </c>
      <c r="B263" s="207" t="s">
        <v>589</v>
      </c>
      <c r="C263" s="207" t="s">
        <v>590</v>
      </c>
      <c r="D263" s="213">
        <v>1</v>
      </c>
      <c r="E263" s="212" t="s">
        <v>535</v>
      </c>
    </row>
    <row r="264" spans="1:5" ht="31.5" customHeight="1" x14ac:dyDescent="0.35">
      <c r="A264" s="244" t="s">
        <v>591</v>
      </c>
      <c r="B264" s="244"/>
      <c r="C264" s="245"/>
      <c r="D264" s="246"/>
      <c r="E264" s="247"/>
    </row>
    <row r="265" spans="1:5" x14ac:dyDescent="0.35">
      <c r="A265" s="206" t="s">
        <v>592</v>
      </c>
      <c r="B265" s="207" t="s">
        <v>593</v>
      </c>
      <c r="C265" s="207" t="s">
        <v>594</v>
      </c>
      <c r="D265" s="213">
        <v>1</v>
      </c>
      <c r="E265" s="212" t="s">
        <v>595</v>
      </c>
    </row>
    <row r="266" spans="1:5" x14ac:dyDescent="0.35">
      <c r="A266" s="206" t="s">
        <v>596</v>
      </c>
      <c r="B266" s="207" t="s">
        <v>597</v>
      </c>
      <c r="C266" s="207" t="s">
        <v>598</v>
      </c>
      <c r="D266" s="213">
        <v>1</v>
      </c>
      <c r="E266" s="212" t="s">
        <v>595</v>
      </c>
    </row>
    <row r="267" spans="1:5" x14ac:dyDescent="0.35">
      <c r="A267" s="206" t="s">
        <v>599</v>
      </c>
      <c r="B267" s="207" t="s">
        <v>600</v>
      </c>
      <c r="C267" s="207" t="s">
        <v>601</v>
      </c>
      <c r="D267" s="213">
        <v>1</v>
      </c>
      <c r="E267" s="212" t="s">
        <v>595</v>
      </c>
    </row>
    <row r="268" spans="1:5" x14ac:dyDescent="0.35">
      <c r="A268" s="206" t="s">
        <v>602</v>
      </c>
      <c r="B268" s="207" t="s">
        <v>603</v>
      </c>
      <c r="C268" s="207" t="s">
        <v>604</v>
      </c>
      <c r="D268" s="213">
        <v>1</v>
      </c>
      <c r="E268" s="212" t="s">
        <v>595</v>
      </c>
    </row>
    <row r="269" spans="1:5" x14ac:dyDescent="0.35">
      <c r="A269" s="206" t="s">
        <v>605</v>
      </c>
      <c r="B269" s="207" t="s">
        <v>606</v>
      </c>
      <c r="C269" s="207" t="s">
        <v>607</v>
      </c>
      <c r="D269" s="213">
        <v>1</v>
      </c>
      <c r="E269" s="212" t="s">
        <v>595</v>
      </c>
    </row>
    <row r="270" spans="1:5" x14ac:dyDescent="0.35">
      <c r="A270" s="206" t="s">
        <v>608</v>
      </c>
      <c r="B270" s="207" t="s">
        <v>609</v>
      </c>
      <c r="C270" s="207" t="s">
        <v>610</v>
      </c>
      <c r="D270" s="213">
        <v>1</v>
      </c>
      <c r="E270" s="212" t="s">
        <v>595</v>
      </c>
    </row>
    <row r="271" spans="1:5" x14ac:dyDescent="0.35">
      <c r="A271" s="206" t="s">
        <v>611</v>
      </c>
      <c r="B271" s="207" t="s">
        <v>612</v>
      </c>
      <c r="C271" s="207" t="s">
        <v>613</v>
      </c>
      <c r="D271" s="213">
        <v>1</v>
      </c>
      <c r="E271" s="212" t="s">
        <v>595</v>
      </c>
    </row>
    <row r="272" spans="1:5" x14ac:dyDescent="0.35">
      <c r="A272" s="206" t="s">
        <v>614</v>
      </c>
      <c r="B272" s="207" t="s">
        <v>615</v>
      </c>
      <c r="C272" s="207" t="s">
        <v>616</v>
      </c>
      <c r="D272" s="213">
        <v>1</v>
      </c>
      <c r="E272" s="212" t="s">
        <v>535</v>
      </c>
    </row>
    <row r="273" spans="1:5" x14ac:dyDescent="0.35">
      <c r="A273" s="206" t="s">
        <v>617</v>
      </c>
      <c r="B273" s="207" t="s">
        <v>618</v>
      </c>
      <c r="C273" s="207" t="s">
        <v>619</v>
      </c>
      <c r="D273" s="213">
        <v>1</v>
      </c>
      <c r="E273" s="212" t="s">
        <v>535</v>
      </c>
    </row>
    <row r="274" spans="1:5" x14ac:dyDescent="0.35">
      <c r="A274" s="206" t="s">
        <v>620</v>
      </c>
      <c r="B274" s="207" t="s">
        <v>621</v>
      </c>
      <c r="C274" s="207" t="s">
        <v>622</v>
      </c>
      <c r="D274" s="213">
        <v>1</v>
      </c>
      <c r="E274" s="212" t="s">
        <v>535</v>
      </c>
    </row>
    <row r="275" spans="1:5" ht="31.5" customHeight="1" x14ac:dyDescent="0.35">
      <c r="A275" s="244" t="s">
        <v>623</v>
      </c>
      <c r="B275" s="244"/>
      <c r="C275" s="245"/>
      <c r="D275" s="246"/>
      <c r="E275" s="247"/>
    </row>
    <row r="276" spans="1:5" x14ac:dyDescent="0.35">
      <c r="A276" s="206" t="s">
        <v>624</v>
      </c>
      <c r="B276" s="207" t="s">
        <v>625</v>
      </c>
      <c r="C276" s="207" t="s">
        <v>626</v>
      </c>
      <c r="D276" s="213">
        <v>1</v>
      </c>
      <c r="E276" s="212" t="s">
        <v>595</v>
      </c>
    </row>
    <row r="277" spans="1:5" x14ac:dyDescent="0.35">
      <c r="A277" s="206" t="s">
        <v>627</v>
      </c>
      <c r="B277" s="207" t="s">
        <v>628</v>
      </c>
      <c r="C277" s="207" t="s">
        <v>629</v>
      </c>
      <c r="D277" s="213">
        <v>1</v>
      </c>
      <c r="E277" s="212" t="s">
        <v>595</v>
      </c>
    </row>
    <row r="278" spans="1:5" x14ac:dyDescent="0.35">
      <c r="A278" s="206" t="s">
        <v>630</v>
      </c>
      <c r="B278" s="207" t="s">
        <v>631</v>
      </c>
      <c r="C278" s="207" t="s">
        <v>632</v>
      </c>
      <c r="D278" s="213">
        <v>1</v>
      </c>
      <c r="E278" s="212" t="s">
        <v>595</v>
      </c>
    </row>
    <row r="279" spans="1:5" x14ac:dyDescent="0.35">
      <c r="A279" s="206" t="s">
        <v>633</v>
      </c>
      <c r="B279" s="207" t="s">
        <v>634</v>
      </c>
      <c r="C279" s="207" t="s">
        <v>635</v>
      </c>
      <c r="D279" s="213">
        <v>1</v>
      </c>
      <c r="E279" s="212" t="s">
        <v>595</v>
      </c>
    </row>
    <row r="280" spans="1:5" x14ac:dyDescent="0.35">
      <c r="A280" s="206" t="s">
        <v>636</v>
      </c>
      <c r="B280" s="207" t="s">
        <v>637</v>
      </c>
      <c r="C280" s="207" t="s">
        <v>638</v>
      </c>
      <c r="D280" s="213">
        <v>1</v>
      </c>
      <c r="E280" s="212" t="s">
        <v>595</v>
      </c>
    </row>
    <row r="281" spans="1:5" x14ac:dyDescent="0.35">
      <c r="A281" s="206" t="s">
        <v>639</v>
      </c>
      <c r="B281" s="207" t="s">
        <v>640</v>
      </c>
      <c r="C281" s="207" t="s">
        <v>641</v>
      </c>
      <c r="D281" s="213">
        <v>1</v>
      </c>
      <c r="E281" s="212" t="s">
        <v>595</v>
      </c>
    </row>
    <row r="282" spans="1:5" x14ac:dyDescent="0.35">
      <c r="A282" s="206" t="s">
        <v>642</v>
      </c>
      <c r="B282" s="207" t="s">
        <v>643</v>
      </c>
      <c r="C282" s="207" t="s">
        <v>644</v>
      </c>
      <c r="D282" s="213">
        <v>1</v>
      </c>
      <c r="E282" s="212" t="s">
        <v>595</v>
      </c>
    </row>
    <row r="283" spans="1:5" x14ac:dyDescent="0.35">
      <c r="A283" s="206" t="s">
        <v>645</v>
      </c>
      <c r="B283" s="207" t="s">
        <v>646</v>
      </c>
      <c r="C283" s="207" t="s">
        <v>647</v>
      </c>
      <c r="D283" s="213">
        <v>1</v>
      </c>
      <c r="E283" s="212" t="s">
        <v>595</v>
      </c>
    </row>
    <row r="284" spans="1:5" x14ac:dyDescent="0.35">
      <c r="A284" s="206" t="s">
        <v>648</v>
      </c>
      <c r="B284" s="207" t="s">
        <v>649</v>
      </c>
      <c r="C284" s="207" t="s">
        <v>650</v>
      </c>
      <c r="D284" s="213">
        <v>1</v>
      </c>
      <c r="E284" s="212" t="s">
        <v>595</v>
      </c>
    </row>
    <row r="285" spans="1:5" x14ac:dyDescent="0.35">
      <c r="A285" s="206" t="s">
        <v>651</v>
      </c>
      <c r="B285" s="207" t="s">
        <v>652</v>
      </c>
      <c r="C285" s="207" t="s">
        <v>653</v>
      </c>
      <c r="D285" s="213">
        <v>1</v>
      </c>
      <c r="E285" s="212" t="s">
        <v>595</v>
      </c>
    </row>
    <row r="286" spans="1:5" x14ac:dyDescent="0.35">
      <c r="A286" s="206" t="s">
        <v>654</v>
      </c>
      <c r="B286" s="207" t="s">
        <v>655</v>
      </c>
      <c r="C286" s="207" t="s">
        <v>656</v>
      </c>
      <c r="D286" s="213">
        <v>1</v>
      </c>
      <c r="E286" s="212" t="s">
        <v>595</v>
      </c>
    </row>
    <row r="287" spans="1:5" x14ac:dyDescent="0.35">
      <c r="A287" s="206" t="s">
        <v>657</v>
      </c>
      <c r="B287" s="207" t="s">
        <v>658</v>
      </c>
      <c r="C287" s="207" t="s">
        <v>659</v>
      </c>
      <c r="D287" s="213">
        <v>1</v>
      </c>
      <c r="E287" s="212" t="s">
        <v>595</v>
      </c>
    </row>
    <row r="288" spans="1:5" x14ac:dyDescent="0.35">
      <c r="A288" s="206" t="s">
        <v>660</v>
      </c>
      <c r="B288" s="207" t="s">
        <v>661</v>
      </c>
      <c r="C288" s="207" t="s">
        <v>662</v>
      </c>
      <c r="D288" s="213">
        <v>1</v>
      </c>
      <c r="E288" s="212" t="s">
        <v>663</v>
      </c>
    </row>
    <row r="289" spans="1:5" x14ac:dyDescent="0.35">
      <c r="A289" s="206" t="s">
        <v>664</v>
      </c>
      <c r="B289" s="207" t="s">
        <v>665</v>
      </c>
      <c r="C289" s="207" t="s">
        <v>666</v>
      </c>
      <c r="D289" s="213">
        <v>1</v>
      </c>
      <c r="E289" s="212" t="s">
        <v>663</v>
      </c>
    </row>
    <row r="290" spans="1:5" x14ac:dyDescent="0.35">
      <c r="A290" s="206" t="s">
        <v>667</v>
      </c>
      <c r="B290" s="207" t="s">
        <v>668</v>
      </c>
      <c r="C290" s="207" t="s">
        <v>669</v>
      </c>
      <c r="D290" s="213">
        <v>1</v>
      </c>
      <c r="E290" s="212" t="s">
        <v>663</v>
      </c>
    </row>
    <row r="291" spans="1:5" x14ac:dyDescent="0.35">
      <c r="A291" s="206" t="s">
        <v>670</v>
      </c>
      <c r="B291" s="207" t="s">
        <v>671</v>
      </c>
      <c r="C291" s="174" t="s">
        <v>672</v>
      </c>
      <c r="D291" s="213">
        <v>1</v>
      </c>
      <c r="E291" s="212" t="s">
        <v>535</v>
      </c>
    </row>
    <row r="292" spans="1:5" ht="27" x14ac:dyDescent="0.35">
      <c r="A292" s="206" t="s">
        <v>673</v>
      </c>
      <c r="B292" s="207" t="s">
        <v>674</v>
      </c>
      <c r="C292" s="174" t="s">
        <v>675</v>
      </c>
      <c r="D292" s="213">
        <v>1</v>
      </c>
      <c r="E292" s="212" t="s">
        <v>535</v>
      </c>
    </row>
    <row r="293" spans="1:5" ht="31.5" customHeight="1" x14ac:dyDescent="0.35">
      <c r="A293" s="244" t="s">
        <v>676</v>
      </c>
      <c r="B293" s="244"/>
      <c r="C293" s="245" t="s">
        <v>677</v>
      </c>
      <c r="D293" s="246"/>
      <c r="E293" s="247"/>
    </row>
    <row r="294" spans="1:5" x14ac:dyDescent="0.35">
      <c r="A294" s="206" t="s">
        <v>678</v>
      </c>
      <c r="B294" s="207" t="s">
        <v>679</v>
      </c>
      <c r="C294" s="207" t="s">
        <v>680</v>
      </c>
      <c r="E294" s="212" t="s">
        <v>595</v>
      </c>
    </row>
    <row r="295" spans="1:5" x14ac:dyDescent="0.35">
      <c r="A295" s="206" t="s">
        <v>681</v>
      </c>
      <c r="B295" s="207" t="s">
        <v>682</v>
      </c>
      <c r="C295" s="207" t="s">
        <v>683</v>
      </c>
      <c r="D295" s="213">
        <v>1</v>
      </c>
      <c r="E295" s="212" t="s">
        <v>595</v>
      </c>
    </row>
    <row r="296" spans="1:5" x14ac:dyDescent="0.35">
      <c r="A296" s="206" t="s">
        <v>684</v>
      </c>
      <c r="B296" s="207" t="s">
        <v>685</v>
      </c>
      <c r="C296" s="207" t="s">
        <v>686</v>
      </c>
      <c r="D296" s="213">
        <v>1</v>
      </c>
      <c r="E296" s="212" t="s">
        <v>595</v>
      </c>
    </row>
    <row r="297" spans="1:5" x14ac:dyDescent="0.35">
      <c r="A297" s="206" t="s">
        <v>687</v>
      </c>
      <c r="B297" s="207" t="s">
        <v>688</v>
      </c>
      <c r="C297" s="207" t="s">
        <v>689</v>
      </c>
      <c r="D297" s="213">
        <v>1</v>
      </c>
      <c r="E297" s="212" t="s">
        <v>595</v>
      </c>
    </row>
    <row r="298" spans="1:5" x14ac:dyDescent="0.35">
      <c r="A298" s="206" t="s">
        <v>690</v>
      </c>
      <c r="B298" s="207" t="s">
        <v>691</v>
      </c>
      <c r="C298" s="207" t="s">
        <v>692</v>
      </c>
      <c r="D298" s="213">
        <v>1</v>
      </c>
      <c r="E298" s="212" t="s">
        <v>595</v>
      </c>
    </row>
    <row r="299" spans="1:5" x14ac:dyDescent="0.35">
      <c r="A299" s="206" t="s">
        <v>693</v>
      </c>
      <c r="B299" s="207" t="s">
        <v>694</v>
      </c>
      <c r="C299" s="207" t="s">
        <v>695</v>
      </c>
      <c r="D299" s="213">
        <v>1</v>
      </c>
      <c r="E299" s="212" t="s">
        <v>595</v>
      </c>
    </row>
    <row r="300" spans="1:5" x14ac:dyDescent="0.35">
      <c r="A300" s="206" t="s">
        <v>696</v>
      </c>
      <c r="B300" s="207" t="s">
        <v>697</v>
      </c>
      <c r="C300" s="207" t="s">
        <v>698</v>
      </c>
      <c r="D300" s="206" t="s">
        <v>463</v>
      </c>
      <c r="E300" s="212" t="s">
        <v>595</v>
      </c>
    </row>
  </sheetData>
  <mergeCells count="4111">
    <mergeCell ref="A1:E1"/>
    <mergeCell ref="A5:A9"/>
    <mergeCell ref="B5:B9"/>
    <mergeCell ref="A20:A24"/>
    <mergeCell ref="B20:B24"/>
    <mergeCell ref="A25:A27"/>
    <mergeCell ref="B25:B27"/>
    <mergeCell ref="A45:A46"/>
    <mergeCell ref="B45:B46"/>
    <mergeCell ref="A28:A31"/>
    <mergeCell ref="B28:B31"/>
    <mergeCell ref="A33:A34"/>
    <mergeCell ref="B33:B34"/>
    <mergeCell ref="A35:A38"/>
    <mergeCell ref="B35:B38"/>
    <mergeCell ref="AO46:AR46"/>
    <mergeCell ref="AS46:AV46"/>
    <mergeCell ref="AW46:AZ46"/>
    <mergeCell ref="BA46:BD46"/>
    <mergeCell ref="BE46:BH46"/>
    <mergeCell ref="BI46:BL46"/>
    <mergeCell ref="Q46:T46"/>
    <mergeCell ref="U46:X46"/>
    <mergeCell ref="Y46:AB46"/>
    <mergeCell ref="AC46:AF46"/>
    <mergeCell ref="AG46:AJ46"/>
    <mergeCell ref="AK46:AN46"/>
    <mergeCell ref="G46:H46"/>
    <mergeCell ref="I46:L46"/>
    <mergeCell ref="M46:P46"/>
    <mergeCell ref="DI46:DL46"/>
    <mergeCell ref="DM46:DP46"/>
    <mergeCell ref="DQ46:DT46"/>
    <mergeCell ref="DU46:DX46"/>
    <mergeCell ref="DY46:EB46"/>
    <mergeCell ref="EC46:EF46"/>
    <mergeCell ref="CK46:CN46"/>
    <mergeCell ref="CO46:CR46"/>
    <mergeCell ref="CS46:CV46"/>
    <mergeCell ref="CW46:CZ46"/>
    <mergeCell ref="DA46:DD46"/>
    <mergeCell ref="DE46:DH46"/>
    <mergeCell ref="BM46:BP46"/>
    <mergeCell ref="BQ46:BT46"/>
    <mergeCell ref="BU46:BX46"/>
    <mergeCell ref="BY46:CB46"/>
    <mergeCell ref="CC46:CF46"/>
    <mergeCell ref="CG46:CJ46"/>
    <mergeCell ref="GC46:GF46"/>
    <mergeCell ref="GG46:GJ46"/>
    <mergeCell ref="GK46:GN46"/>
    <mergeCell ref="GO46:GR46"/>
    <mergeCell ref="GS46:GV46"/>
    <mergeCell ref="GW46:GZ46"/>
    <mergeCell ref="FE46:FH46"/>
    <mergeCell ref="FI46:FL46"/>
    <mergeCell ref="FM46:FP46"/>
    <mergeCell ref="FQ46:FT46"/>
    <mergeCell ref="FU46:FX46"/>
    <mergeCell ref="FY46:GB46"/>
    <mergeCell ref="EG46:EJ46"/>
    <mergeCell ref="EK46:EN46"/>
    <mergeCell ref="EO46:ER46"/>
    <mergeCell ref="ES46:EV46"/>
    <mergeCell ref="EW46:EZ46"/>
    <mergeCell ref="FA46:FD46"/>
    <mergeCell ref="IW46:IZ46"/>
    <mergeCell ref="JA46:JD46"/>
    <mergeCell ref="JE46:JH46"/>
    <mergeCell ref="JI46:JL46"/>
    <mergeCell ref="JM46:JP46"/>
    <mergeCell ref="JQ46:JT46"/>
    <mergeCell ref="HY46:IB46"/>
    <mergeCell ref="IC46:IF46"/>
    <mergeCell ref="IG46:IJ46"/>
    <mergeCell ref="IK46:IN46"/>
    <mergeCell ref="IO46:IR46"/>
    <mergeCell ref="IS46:IV46"/>
    <mergeCell ref="HA46:HD46"/>
    <mergeCell ref="HE46:HH46"/>
    <mergeCell ref="HI46:HL46"/>
    <mergeCell ref="HM46:HP46"/>
    <mergeCell ref="HQ46:HT46"/>
    <mergeCell ref="HU46:HX46"/>
    <mergeCell ref="LQ46:LT46"/>
    <mergeCell ref="LU46:LX46"/>
    <mergeCell ref="LY46:MB46"/>
    <mergeCell ref="MC46:MF46"/>
    <mergeCell ref="MG46:MJ46"/>
    <mergeCell ref="MK46:MN46"/>
    <mergeCell ref="KS46:KV46"/>
    <mergeCell ref="KW46:KZ46"/>
    <mergeCell ref="LA46:LD46"/>
    <mergeCell ref="LE46:LH46"/>
    <mergeCell ref="LI46:LL46"/>
    <mergeCell ref="LM46:LP46"/>
    <mergeCell ref="JU46:JX46"/>
    <mergeCell ref="JY46:KB46"/>
    <mergeCell ref="KC46:KF46"/>
    <mergeCell ref="KG46:KJ46"/>
    <mergeCell ref="KK46:KN46"/>
    <mergeCell ref="KO46:KR46"/>
    <mergeCell ref="OK46:ON46"/>
    <mergeCell ref="OO46:OR46"/>
    <mergeCell ref="OS46:OV46"/>
    <mergeCell ref="OW46:OZ46"/>
    <mergeCell ref="PA46:PD46"/>
    <mergeCell ref="PE46:PH46"/>
    <mergeCell ref="NM46:NP46"/>
    <mergeCell ref="NQ46:NT46"/>
    <mergeCell ref="NU46:NX46"/>
    <mergeCell ref="NY46:OB46"/>
    <mergeCell ref="OC46:OF46"/>
    <mergeCell ref="OG46:OJ46"/>
    <mergeCell ref="MO46:MR46"/>
    <mergeCell ref="MS46:MV46"/>
    <mergeCell ref="MW46:MZ46"/>
    <mergeCell ref="NA46:ND46"/>
    <mergeCell ref="NE46:NH46"/>
    <mergeCell ref="NI46:NL46"/>
    <mergeCell ref="RE46:RH46"/>
    <mergeCell ref="RI46:RL46"/>
    <mergeCell ref="RM46:RP46"/>
    <mergeCell ref="RQ46:RT46"/>
    <mergeCell ref="RU46:RX46"/>
    <mergeCell ref="RY46:SB46"/>
    <mergeCell ref="QG46:QJ46"/>
    <mergeCell ref="QK46:QN46"/>
    <mergeCell ref="QO46:QR46"/>
    <mergeCell ref="QS46:QV46"/>
    <mergeCell ref="QW46:QZ46"/>
    <mergeCell ref="RA46:RD46"/>
    <mergeCell ref="PI46:PL46"/>
    <mergeCell ref="PM46:PP46"/>
    <mergeCell ref="PQ46:PT46"/>
    <mergeCell ref="PU46:PX46"/>
    <mergeCell ref="PY46:QB46"/>
    <mergeCell ref="QC46:QF46"/>
    <mergeCell ref="TY46:UB46"/>
    <mergeCell ref="UC46:UF46"/>
    <mergeCell ref="UG46:UJ46"/>
    <mergeCell ref="UK46:UN46"/>
    <mergeCell ref="UO46:UR46"/>
    <mergeCell ref="US46:UV46"/>
    <mergeCell ref="TA46:TD46"/>
    <mergeCell ref="TE46:TH46"/>
    <mergeCell ref="TI46:TL46"/>
    <mergeCell ref="TM46:TP46"/>
    <mergeCell ref="TQ46:TT46"/>
    <mergeCell ref="TU46:TX46"/>
    <mergeCell ref="SC46:SF46"/>
    <mergeCell ref="SG46:SJ46"/>
    <mergeCell ref="SK46:SN46"/>
    <mergeCell ref="SO46:SR46"/>
    <mergeCell ref="SS46:SV46"/>
    <mergeCell ref="SW46:SZ46"/>
    <mergeCell ref="WS46:WV46"/>
    <mergeCell ref="WW46:WZ46"/>
    <mergeCell ref="XA46:XD46"/>
    <mergeCell ref="XE46:XH46"/>
    <mergeCell ref="XI46:XL46"/>
    <mergeCell ref="XM46:XP46"/>
    <mergeCell ref="VU46:VX46"/>
    <mergeCell ref="VY46:WB46"/>
    <mergeCell ref="WC46:WF46"/>
    <mergeCell ref="WG46:WJ46"/>
    <mergeCell ref="WK46:WN46"/>
    <mergeCell ref="WO46:WR46"/>
    <mergeCell ref="UW46:UZ46"/>
    <mergeCell ref="VA46:VD46"/>
    <mergeCell ref="VE46:VH46"/>
    <mergeCell ref="VI46:VL46"/>
    <mergeCell ref="VM46:VP46"/>
    <mergeCell ref="VQ46:VT46"/>
    <mergeCell ref="ZM46:ZP46"/>
    <mergeCell ref="ZQ46:ZT46"/>
    <mergeCell ref="ZU46:ZX46"/>
    <mergeCell ref="ZY46:AAB46"/>
    <mergeCell ref="AAC46:AAF46"/>
    <mergeCell ref="AAG46:AAJ46"/>
    <mergeCell ref="YO46:YR46"/>
    <mergeCell ref="YS46:YV46"/>
    <mergeCell ref="YW46:YZ46"/>
    <mergeCell ref="ZA46:ZD46"/>
    <mergeCell ref="ZE46:ZH46"/>
    <mergeCell ref="ZI46:ZL46"/>
    <mergeCell ref="XQ46:XT46"/>
    <mergeCell ref="XU46:XX46"/>
    <mergeCell ref="XY46:YB46"/>
    <mergeCell ref="YC46:YF46"/>
    <mergeCell ref="YG46:YJ46"/>
    <mergeCell ref="YK46:YN46"/>
    <mergeCell ref="ACG46:ACJ46"/>
    <mergeCell ref="ACK46:ACN46"/>
    <mergeCell ref="ACO46:ACR46"/>
    <mergeCell ref="ACS46:ACV46"/>
    <mergeCell ref="ACW46:ACZ46"/>
    <mergeCell ref="ADA46:ADD46"/>
    <mergeCell ref="ABI46:ABL46"/>
    <mergeCell ref="ABM46:ABP46"/>
    <mergeCell ref="ABQ46:ABT46"/>
    <mergeCell ref="ABU46:ABX46"/>
    <mergeCell ref="ABY46:ACB46"/>
    <mergeCell ref="ACC46:ACF46"/>
    <mergeCell ref="AAK46:AAN46"/>
    <mergeCell ref="AAO46:AAR46"/>
    <mergeCell ref="AAS46:AAV46"/>
    <mergeCell ref="AAW46:AAZ46"/>
    <mergeCell ref="ABA46:ABD46"/>
    <mergeCell ref="ABE46:ABH46"/>
    <mergeCell ref="AFA46:AFD46"/>
    <mergeCell ref="AFE46:AFH46"/>
    <mergeCell ref="AFI46:AFL46"/>
    <mergeCell ref="AFM46:AFP46"/>
    <mergeCell ref="AFQ46:AFT46"/>
    <mergeCell ref="AFU46:AFX46"/>
    <mergeCell ref="AEC46:AEF46"/>
    <mergeCell ref="AEG46:AEJ46"/>
    <mergeCell ref="AEK46:AEN46"/>
    <mergeCell ref="AEO46:AER46"/>
    <mergeCell ref="AES46:AEV46"/>
    <mergeCell ref="AEW46:AEZ46"/>
    <mergeCell ref="ADE46:ADH46"/>
    <mergeCell ref="ADI46:ADL46"/>
    <mergeCell ref="ADM46:ADP46"/>
    <mergeCell ref="ADQ46:ADT46"/>
    <mergeCell ref="ADU46:ADX46"/>
    <mergeCell ref="ADY46:AEB46"/>
    <mergeCell ref="AHU46:AHX46"/>
    <mergeCell ref="AHY46:AIB46"/>
    <mergeCell ref="AIC46:AIF46"/>
    <mergeCell ref="AIG46:AIJ46"/>
    <mergeCell ref="AIK46:AIN46"/>
    <mergeCell ref="AIO46:AIR46"/>
    <mergeCell ref="AGW46:AGZ46"/>
    <mergeCell ref="AHA46:AHD46"/>
    <mergeCell ref="AHE46:AHH46"/>
    <mergeCell ref="AHI46:AHL46"/>
    <mergeCell ref="AHM46:AHP46"/>
    <mergeCell ref="AHQ46:AHT46"/>
    <mergeCell ref="AFY46:AGB46"/>
    <mergeCell ref="AGC46:AGF46"/>
    <mergeCell ref="AGG46:AGJ46"/>
    <mergeCell ref="AGK46:AGN46"/>
    <mergeCell ref="AGO46:AGR46"/>
    <mergeCell ref="AGS46:AGV46"/>
    <mergeCell ref="AKO46:AKR46"/>
    <mergeCell ref="AKS46:AKV46"/>
    <mergeCell ref="AKW46:AKZ46"/>
    <mergeCell ref="ALA46:ALD46"/>
    <mergeCell ref="ALE46:ALH46"/>
    <mergeCell ref="ALI46:ALL46"/>
    <mergeCell ref="AJQ46:AJT46"/>
    <mergeCell ref="AJU46:AJX46"/>
    <mergeCell ref="AJY46:AKB46"/>
    <mergeCell ref="AKC46:AKF46"/>
    <mergeCell ref="AKG46:AKJ46"/>
    <mergeCell ref="AKK46:AKN46"/>
    <mergeCell ref="AIS46:AIV46"/>
    <mergeCell ref="AIW46:AIZ46"/>
    <mergeCell ref="AJA46:AJD46"/>
    <mergeCell ref="AJE46:AJH46"/>
    <mergeCell ref="AJI46:AJL46"/>
    <mergeCell ref="AJM46:AJP46"/>
    <mergeCell ref="ANI46:ANL46"/>
    <mergeCell ref="ANM46:ANP46"/>
    <mergeCell ref="ANQ46:ANT46"/>
    <mergeCell ref="ANU46:ANX46"/>
    <mergeCell ref="ANY46:AOB46"/>
    <mergeCell ref="AOC46:AOF46"/>
    <mergeCell ref="AMK46:AMN46"/>
    <mergeCell ref="AMO46:AMR46"/>
    <mergeCell ref="AMS46:AMV46"/>
    <mergeCell ref="AMW46:AMZ46"/>
    <mergeCell ref="ANA46:AND46"/>
    <mergeCell ref="ANE46:ANH46"/>
    <mergeCell ref="ALM46:ALP46"/>
    <mergeCell ref="ALQ46:ALT46"/>
    <mergeCell ref="ALU46:ALX46"/>
    <mergeCell ref="ALY46:AMB46"/>
    <mergeCell ref="AMC46:AMF46"/>
    <mergeCell ref="AMG46:AMJ46"/>
    <mergeCell ref="AQC46:AQF46"/>
    <mergeCell ref="AQG46:AQJ46"/>
    <mergeCell ref="AQK46:AQN46"/>
    <mergeCell ref="AQO46:AQR46"/>
    <mergeCell ref="AQS46:AQV46"/>
    <mergeCell ref="AQW46:AQZ46"/>
    <mergeCell ref="APE46:APH46"/>
    <mergeCell ref="API46:APL46"/>
    <mergeCell ref="APM46:APP46"/>
    <mergeCell ref="APQ46:APT46"/>
    <mergeCell ref="APU46:APX46"/>
    <mergeCell ref="APY46:AQB46"/>
    <mergeCell ref="AOG46:AOJ46"/>
    <mergeCell ref="AOK46:AON46"/>
    <mergeCell ref="AOO46:AOR46"/>
    <mergeCell ref="AOS46:AOV46"/>
    <mergeCell ref="AOW46:AOZ46"/>
    <mergeCell ref="APA46:APD46"/>
    <mergeCell ref="ASW46:ASZ46"/>
    <mergeCell ref="ATA46:ATD46"/>
    <mergeCell ref="ATE46:ATH46"/>
    <mergeCell ref="ATI46:ATL46"/>
    <mergeCell ref="ATM46:ATP46"/>
    <mergeCell ref="ATQ46:ATT46"/>
    <mergeCell ref="ARY46:ASB46"/>
    <mergeCell ref="ASC46:ASF46"/>
    <mergeCell ref="ASG46:ASJ46"/>
    <mergeCell ref="ASK46:ASN46"/>
    <mergeCell ref="ASO46:ASR46"/>
    <mergeCell ref="ASS46:ASV46"/>
    <mergeCell ref="ARA46:ARD46"/>
    <mergeCell ref="ARE46:ARH46"/>
    <mergeCell ref="ARI46:ARL46"/>
    <mergeCell ref="ARM46:ARP46"/>
    <mergeCell ref="ARQ46:ART46"/>
    <mergeCell ref="ARU46:ARX46"/>
    <mergeCell ref="AVQ46:AVT46"/>
    <mergeCell ref="AVU46:AVX46"/>
    <mergeCell ref="AVY46:AWB46"/>
    <mergeCell ref="AWC46:AWF46"/>
    <mergeCell ref="AWG46:AWJ46"/>
    <mergeCell ref="AWK46:AWN46"/>
    <mergeCell ref="AUS46:AUV46"/>
    <mergeCell ref="AUW46:AUZ46"/>
    <mergeCell ref="AVA46:AVD46"/>
    <mergeCell ref="AVE46:AVH46"/>
    <mergeCell ref="AVI46:AVL46"/>
    <mergeCell ref="AVM46:AVP46"/>
    <mergeCell ref="ATU46:ATX46"/>
    <mergeCell ref="ATY46:AUB46"/>
    <mergeCell ref="AUC46:AUF46"/>
    <mergeCell ref="AUG46:AUJ46"/>
    <mergeCell ref="AUK46:AUN46"/>
    <mergeCell ref="AUO46:AUR46"/>
    <mergeCell ref="AYK46:AYN46"/>
    <mergeCell ref="AYO46:AYR46"/>
    <mergeCell ref="AYS46:AYV46"/>
    <mergeCell ref="AYW46:AYZ46"/>
    <mergeCell ref="AZA46:AZD46"/>
    <mergeCell ref="AZE46:AZH46"/>
    <mergeCell ref="AXM46:AXP46"/>
    <mergeCell ref="AXQ46:AXT46"/>
    <mergeCell ref="AXU46:AXX46"/>
    <mergeCell ref="AXY46:AYB46"/>
    <mergeCell ref="AYC46:AYF46"/>
    <mergeCell ref="AYG46:AYJ46"/>
    <mergeCell ref="AWO46:AWR46"/>
    <mergeCell ref="AWS46:AWV46"/>
    <mergeCell ref="AWW46:AWZ46"/>
    <mergeCell ref="AXA46:AXD46"/>
    <mergeCell ref="AXE46:AXH46"/>
    <mergeCell ref="AXI46:AXL46"/>
    <mergeCell ref="BBE46:BBH46"/>
    <mergeCell ref="BBI46:BBL46"/>
    <mergeCell ref="BBM46:BBP46"/>
    <mergeCell ref="BBQ46:BBT46"/>
    <mergeCell ref="BBU46:BBX46"/>
    <mergeCell ref="BBY46:BCB46"/>
    <mergeCell ref="BAG46:BAJ46"/>
    <mergeCell ref="BAK46:BAN46"/>
    <mergeCell ref="BAO46:BAR46"/>
    <mergeCell ref="BAS46:BAV46"/>
    <mergeCell ref="BAW46:BAZ46"/>
    <mergeCell ref="BBA46:BBD46"/>
    <mergeCell ref="AZI46:AZL46"/>
    <mergeCell ref="AZM46:AZP46"/>
    <mergeCell ref="AZQ46:AZT46"/>
    <mergeCell ref="AZU46:AZX46"/>
    <mergeCell ref="AZY46:BAB46"/>
    <mergeCell ref="BAC46:BAF46"/>
    <mergeCell ref="BDY46:BEB46"/>
    <mergeCell ref="BEC46:BEF46"/>
    <mergeCell ref="BEG46:BEJ46"/>
    <mergeCell ref="BEK46:BEN46"/>
    <mergeCell ref="BEO46:BER46"/>
    <mergeCell ref="BES46:BEV46"/>
    <mergeCell ref="BDA46:BDD46"/>
    <mergeCell ref="BDE46:BDH46"/>
    <mergeCell ref="BDI46:BDL46"/>
    <mergeCell ref="BDM46:BDP46"/>
    <mergeCell ref="BDQ46:BDT46"/>
    <mergeCell ref="BDU46:BDX46"/>
    <mergeCell ref="BCC46:BCF46"/>
    <mergeCell ref="BCG46:BCJ46"/>
    <mergeCell ref="BCK46:BCN46"/>
    <mergeCell ref="BCO46:BCR46"/>
    <mergeCell ref="BCS46:BCV46"/>
    <mergeCell ref="BCW46:BCZ46"/>
    <mergeCell ref="BGS46:BGV46"/>
    <mergeCell ref="BGW46:BGZ46"/>
    <mergeCell ref="BHA46:BHD46"/>
    <mergeCell ref="BHE46:BHH46"/>
    <mergeCell ref="BHI46:BHL46"/>
    <mergeCell ref="BHM46:BHP46"/>
    <mergeCell ref="BFU46:BFX46"/>
    <mergeCell ref="BFY46:BGB46"/>
    <mergeCell ref="BGC46:BGF46"/>
    <mergeCell ref="BGG46:BGJ46"/>
    <mergeCell ref="BGK46:BGN46"/>
    <mergeCell ref="BGO46:BGR46"/>
    <mergeCell ref="BEW46:BEZ46"/>
    <mergeCell ref="BFA46:BFD46"/>
    <mergeCell ref="BFE46:BFH46"/>
    <mergeCell ref="BFI46:BFL46"/>
    <mergeCell ref="BFM46:BFP46"/>
    <mergeCell ref="BFQ46:BFT46"/>
    <mergeCell ref="BJM46:BJP46"/>
    <mergeCell ref="BJQ46:BJT46"/>
    <mergeCell ref="BJU46:BJX46"/>
    <mergeCell ref="BJY46:BKB46"/>
    <mergeCell ref="BKC46:BKF46"/>
    <mergeCell ref="BKG46:BKJ46"/>
    <mergeCell ref="BIO46:BIR46"/>
    <mergeCell ref="BIS46:BIV46"/>
    <mergeCell ref="BIW46:BIZ46"/>
    <mergeCell ref="BJA46:BJD46"/>
    <mergeCell ref="BJE46:BJH46"/>
    <mergeCell ref="BJI46:BJL46"/>
    <mergeCell ref="BHQ46:BHT46"/>
    <mergeCell ref="BHU46:BHX46"/>
    <mergeCell ref="BHY46:BIB46"/>
    <mergeCell ref="BIC46:BIF46"/>
    <mergeCell ref="BIG46:BIJ46"/>
    <mergeCell ref="BIK46:BIN46"/>
    <mergeCell ref="BMG46:BMJ46"/>
    <mergeCell ref="BMK46:BMN46"/>
    <mergeCell ref="BMO46:BMR46"/>
    <mergeCell ref="BMS46:BMV46"/>
    <mergeCell ref="BMW46:BMZ46"/>
    <mergeCell ref="BNA46:BND46"/>
    <mergeCell ref="BLI46:BLL46"/>
    <mergeCell ref="BLM46:BLP46"/>
    <mergeCell ref="BLQ46:BLT46"/>
    <mergeCell ref="BLU46:BLX46"/>
    <mergeCell ref="BLY46:BMB46"/>
    <mergeCell ref="BMC46:BMF46"/>
    <mergeCell ref="BKK46:BKN46"/>
    <mergeCell ref="BKO46:BKR46"/>
    <mergeCell ref="BKS46:BKV46"/>
    <mergeCell ref="BKW46:BKZ46"/>
    <mergeCell ref="BLA46:BLD46"/>
    <mergeCell ref="BLE46:BLH46"/>
    <mergeCell ref="BPA46:BPD46"/>
    <mergeCell ref="BPE46:BPH46"/>
    <mergeCell ref="BPI46:BPL46"/>
    <mergeCell ref="BPM46:BPP46"/>
    <mergeCell ref="BPQ46:BPT46"/>
    <mergeCell ref="BPU46:BPX46"/>
    <mergeCell ref="BOC46:BOF46"/>
    <mergeCell ref="BOG46:BOJ46"/>
    <mergeCell ref="BOK46:BON46"/>
    <mergeCell ref="BOO46:BOR46"/>
    <mergeCell ref="BOS46:BOV46"/>
    <mergeCell ref="BOW46:BOZ46"/>
    <mergeCell ref="BNE46:BNH46"/>
    <mergeCell ref="BNI46:BNL46"/>
    <mergeCell ref="BNM46:BNP46"/>
    <mergeCell ref="BNQ46:BNT46"/>
    <mergeCell ref="BNU46:BNX46"/>
    <mergeCell ref="BNY46:BOB46"/>
    <mergeCell ref="BRU46:BRX46"/>
    <mergeCell ref="BRY46:BSB46"/>
    <mergeCell ref="BSC46:BSF46"/>
    <mergeCell ref="BSG46:BSJ46"/>
    <mergeCell ref="BSK46:BSN46"/>
    <mergeCell ref="BSO46:BSR46"/>
    <mergeCell ref="BQW46:BQZ46"/>
    <mergeCell ref="BRA46:BRD46"/>
    <mergeCell ref="BRE46:BRH46"/>
    <mergeCell ref="BRI46:BRL46"/>
    <mergeCell ref="BRM46:BRP46"/>
    <mergeCell ref="BRQ46:BRT46"/>
    <mergeCell ref="BPY46:BQB46"/>
    <mergeCell ref="BQC46:BQF46"/>
    <mergeCell ref="BQG46:BQJ46"/>
    <mergeCell ref="BQK46:BQN46"/>
    <mergeCell ref="BQO46:BQR46"/>
    <mergeCell ref="BQS46:BQV46"/>
    <mergeCell ref="BUO46:BUR46"/>
    <mergeCell ref="BUS46:BUV46"/>
    <mergeCell ref="BUW46:BUZ46"/>
    <mergeCell ref="BVA46:BVD46"/>
    <mergeCell ref="BVE46:BVH46"/>
    <mergeCell ref="BVI46:BVL46"/>
    <mergeCell ref="BTQ46:BTT46"/>
    <mergeCell ref="BTU46:BTX46"/>
    <mergeCell ref="BTY46:BUB46"/>
    <mergeCell ref="BUC46:BUF46"/>
    <mergeCell ref="BUG46:BUJ46"/>
    <mergeCell ref="BUK46:BUN46"/>
    <mergeCell ref="BSS46:BSV46"/>
    <mergeCell ref="BSW46:BSZ46"/>
    <mergeCell ref="BTA46:BTD46"/>
    <mergeCell ref="BTE46:BTH46"/>
    <mergeCell ref="BTI46:BTL46"/>
    <mergeCell ref="BTM46:BTP46"/>
    <mergeCell ref="BXI46:BXL46"/>
    <mergeCell ref="BXM46:BXP46"/>
    <mergeCell ref="BXQ46:BXT46"/>
    <mergeCell ref="BXU46:BXX46"/>
    <mergeCell ref="BXY46:BYB46"/>
    <mergeCell ref="BYC46:BYF46"/>
    <mergeCell ref="BWK46:BWN46"/>
    <mergeCell ref="BWO46:BWR46"/>
    <mergeCell ref="BWS46:BWV46"/>
    <mergeCell ref="BWW46:BWZ46"/>
    <mergeCell ref="BXA46:BXD46"/>
    <mergeCell ref="BXE46:BXH46"/>
    <mergeCell ref="BVM46:BVP46"/>
    <mergeCell ref="BVQ46:BVT46"/>
    <mergeCell ref="BVU46:BVX46"/>
    <mergeCell ref="BVY46:BWB46"/>
    <mergeCell ref="BWC46:BWF46"/>
    <mergeCell ref="BWG46:BWJ46"/>
    <mergeCell ref="CAC46:CAF46"/>
    <mergeCell ref="CAG46:CAJ46"/>
    <mergeCell ref="CAK46:CAN46"/>
    <mergeCell ref="CAO46:CAR46"/>
    <mergeCell ref="CAS46:CAV46"/>
    <mergeCell ref="CAW46:CAZ46"/>
    <mergeCell ref="BZE46:BZH46"/>
    <mergeCell ref="BZI46:BZL46"/>
    <mergeCell ref="BZM46:BZP46"/>
    <mergeCell ref="BZQ46:BZT46"/>
    <mergeCell ref="BZU46:BZX46"/>
    <mergeCell ref="BZY46:CAB46"/>
    <mergeCell ref="BYG46:BYJ46"/>
    <mergeCell ref="BYK46:BYN46"/>
    <mergeCell ref="BYO46:BYR46"/>
    <mergeCell ref="BYS46:BYV46"/>
    <mergeCell ref="BYW46:BYZ46"/>
    <mergeCell ref="BZA46:BZD46"/>
    <mergeCell ref="CCW46:CCZ46"/>
    <mergeCell ref="CDA46:CDD46"/>
    <mergeCell ref="CDE46:CDH46"/>
    <mergeCell ref="CDI46:CDL46"/>
    <mergeCell ref="CDM46:CDP46"/>
    <mergeCell ref="CDQ46:CDT46"/>
    <mergeCell ref="CBY46:CCB46"/>
    <mergeCell ref="CCC46:CCF46"/>
    <mergeCell ref="CCG46:CCJ46"/>
    <mergeCell ref="CCK46:CCN46"/>
    <mergeCell ref="CCO46:CCR46"/>
    <mergeCell ref="CCS46:CCV46"/>
    <mergeCell ref="CBA46:CBD46"/>
    <mergeCell ref="CBE46:CBH46"/>
    <mergeCell ref="CBI46:CBL46"/>
    <mergeCell ref="CBM46:CBP46"/>
    <mergeCell ref="CBQ46:CBT46"/>
    <mergeCell ref="CBU46:CBX46"/>
    <mergeCell ref="CFQ46:CFT46"/>
    <mergeCell ref="CFU46:CFX46"/>
    <mergeCell ref="CFY46:CGB46"/>
    <mergeCell ref="CGC46:CGF46"/>
    <mergeCell ref="CGG46:CGJ46"/>
    <mergeCell ref="CGK46:CGN46"/>
    <mergeCell ref="CES46:CEV46"/>
    <mergeCell ref="CEW46:CEZ46"/>
    <mergeCell ref="CFA46:CFD46"/>
    <mergeCell ref="CFE46:CFH46"/>
    <mergeCell ref="CFI46:CFL46"/>
    <mergeCell ref="CFM46:CFP46"/>
    <mergeCell ref="CDU46:CDX46"/>
    <mergeCell ref="CDY46:CEB46"/>
    <mergeCell ref="CEC46:CEF46"/>
    <mergeCell ref="CEG46:CEJ46"/>
    <mergeCell ref="CEK46:CEN46"/>
    <mergeCell ref="CEO46:CER46"/>
    <mergeCell ref="CIK46:CIN46"/>
    <mergeCell ref="CIO46:CIR46"/>
    <mergeCell ref="CIS46:CIV46"/>
    <mergeCell ref="CIW46:CIZ46"/>
    <mergeCell ref="CJA46:CJD46"/>
    <mergeCell ref="CJE46:CJH46"/>
    <mergeCell ref="CHM46:CHP46"/>
    <mergeCell ref="CHQ46:CHT46"/>
    <mergeCell ref="CHU46:CHX46"/>
    <mergeCell ref="CHY46:CIB46"/>
    <mergeCell ref="CIC46:CIF46"/>
    <mergeCell ref="CIG46:CIJ46"/>
    <mergeCell ref="CGO46:CGR46"/>
    <mergeCell ref="CGS46:CGV46"/>
    <mergeCell ref="CGW46:CGZ46"/>
    <mergeCell ref="CHA46:CHD46"/>
    <mergeCell ref="CHE46:CHH46"/>
    <mergeCell ref="CHI46:CHL46"/>
    <mergeCell ref="CLE46:CLH46"/>
    <mergeCell ref="CLI46:CLL46"/>
    <mergeCell ref="CLM46:CLP46"/>
    <mergeCell ref="CLQ46:CLT46"/>
    <mergeCell ref="CLU46:CLX46"/>
    <mergeCell ref="CLY46:CMB46"/>
    <mergeCell ref="CKG46:CKJ46"/>
    <mergeCell ref="CKK46:CKN46"/>
    <mergeCell ref="CKO46:CKR46"/>
    <mergeCell ref="CKS46:CKV46"/>
    <mergeCell ref="CKW46:CKZ46"/>
    <mergeCell ref="CLA46:CLD46"/>
    <mergeCell ref="CJI46:CJL46"/>
    <mergeCell ref="CJM46:CJP46"/>
    <mergeCell ref="CJQ46:CJT46"/>
    <mergeCell ref="CJU46:CJX46"/>
    <mergeCell ref="CJY46:CKB46"/>
    <mergeCell ref="CKC46:CKF46"/>
    <mergeCell ref="CNY46:COB46"/>
    <mergeCell ref="COC46:COF46"/>
    <mergeCell ref="COG46:COJ46"/>
    <mergeCell ref="COK46:CON46"/>
    <mergeCell ref="COO46:COR46"/>
    <mergeCell ref="COS46:COV46"/>
    <mergeCell ref="CNA46:CND46"/>
    <mergeCell ref="CNE46:CNH46"/>
    <mergeCell ref="CNI46:CNL46"/>
    <mergeCell ref="CNM46:CNP46"/>
    <mergeCell ref="CNQ46:CNT46"/>
    <mergeCell ref="CNU46:CNX46"/>
    <mergeCell ref="CMC46:CMF46"/>
    <mergeCell ref="CMG46:CMJ46"/>
    <mergeCell ref="CMK46:CMN46"/>
    <mergeCell ref="CMO46:CMR46"/>
    <mergeCell ref="CMS46:CMV46"/>
    <mergeCell ref="CMW46:CMZ46"/>
    <mergeCell ref="CQS46:CQV46"/>
    <mergeCell ref="CQW46:CQZ46"/>
    <mergeCell ref="CRA46:CRD46"/>
    <mergeCell ref="CRE46:CRH46"/>
    <mergeCell ref="CRI46:CRL46"/>
    <mergeCell ref="CRM46:CRP46"/>
    <mergeCell ref="CPU46:CPX46"/>
    <mergeCell ref="CPY46:CQB46"/>
    <mergeCell ref="CQC46:CQF46"/>
    <mergeCell ref="CQG46:CQJ46"/>
    <mergeCell ref="CQK46:CQN46"/>
    <mergeCell ref="CQO46:CQR46"/>
    <mergeCell ref="COW46:COZ46"/>
    <mergeCell ref="CPA46:CPD46"/>
    <mergeCell ref="CPE46:CPH46"/>
    <mergeCell ref="CPI46:CPL46"/>
    <mergeCell ref="CPM46:CPP46"/>
    <mergeCell ref="CPQ46:CPT46"/>
    <mergeCell ref="CTM46:CTP46"/>
    <mergeCell ref="CTQ46:CTT46"/>
    <mergeCell ref="CTU46:CTX46"/>
    <mergeCell ref="CTY46:CUB46"/>
    <mergeCell ref="CUC46:CUF46"/>
    <mergeCell ref="CUG46:CUJ46"/>
    <mergeCell ref="CSO46:CSR46"/>
    <mergeCell ref="CSS46:CSV46"/>
    <mergeCell ref="CSW46:CSZ46"/>
    <mergeCell ref="CTA46:CTD46"/>
    <mergeCell ref="CTE46:CTH46"/>
    <mergeCell ref="CTI46:CTL46"/>
    <mergeCell ref="CRQ46:CRT46"/>
    <mergeCell ref="CRU46:CRX46"/>
    <mergeCell ref="CRY46:CSB46"/>
    <mergeCell ref="CSC46:CSF46"/>
    <mergeCell ref="CSG46:CSJ46"/>
    <mergeCell ref="CSK46:CSN46"/>
    <mergeCell ref="CWG46:CWJ46"/>
    <mergeCell ref="CWK46:CWN46"/>
    <mergeCell ref="CWO46:CWR46"/>
    <mergeCell ref="CWS46:CWV46"/>
    <mergeCell ref="CWW46:CWZ46"/>
    <mergeCell ref="CXA46:CXD46"/>
    <mergeCell ref="CVI46:CVL46"/>
    <mergeCell ref="CVM46:CVP46"/>
    <mergeCell ref="CVQ46:CVT46"/>
    <mergeCell ref="CVU46:CVX46"/>
    <mergeCell ref="CVY46:CWB46"/>
    <mergeCell ref="CWC46:CWF46"/>
    <mergeCell ref="CUK46:CUN46"/>
    <mergeCell ref="CUO46:CUR46"/>
    <mergeCell ref="CUS46:CUV46"/>
    <mergeCell ref="CUW46:CUZ46"/>
    <mergeCell ref="CVA46:CVD46"/>
    <mergeCell ref="CVE46:CVH46"/>
    <mergeCell ref="CZA46:CZD46"/>
    <mergeCell ref="CZE46:CZH46"/>
    <mergeCell ref="CZI46:CZL46"/>
    <mergeCell ref="CZM46:CZP46"/>
    <mergeCell ref="CZQ46:CZT46"/>
    <mergeCell ref="CZU46:CZX46"/>
    <mergeCell ref="CYC46:CYF46"/>
    <mergeCell ref="CYG46:CYJ46"/>
    <mergeCell ref="CYK46:CYN46"/>
    <mergeCell ref="CYO46:CYR46"/>
    <mergeCell ref="CYS46:CYV46"/>
    <mergeCell ref="CYW46:CYZ46"/>
    <mergeCell ref="CXE46:CXH46"/>
    <mergeCell ref="CXI46:CXL46"/>
    <mergeCell ref="CXM46:CXP46"/>
    <mergeCell ref="CXQ46:CXT46"/>
    <mergeCell ref="CXU46:CXX46"/>
    <mergeCell ref="CXY46:CYB46"/>
    <mergeCell ref="DBU46:DBX46"/>
    <mergeCell ref="DBY46:DCB46"/>
    <mergeCell ref="DCC46:DCF46"/>
    <mergeCell ref="DCG46:DCJ46"/>
    <mergeCell ref="DCK46:DCN46"/>
    <mergeCell ref="DCO46:DCR46"/>
    <mergeCell ref="DAW46:DAZ46"/>
    <mergeCell ref="DBA46:DBD46"/>
    <mergeCell ref="DBE46:DBH46"/>
    <mergeCell ref="DBI46:DBL46"/>
    <mergeCell ref="DBM46:DBP46"/>
    <mergeCell ref="DBQ46:DBT46"/>
    <mergeCell ref="CZY46:DAB46"/>
    <mergeCell ref="DAC46:DAF46"/>
    <mergeCell ref="DAG46:DAJ46"/>
    <mergeCell ref="DAK46:DAN46"/>
    <mergeCell ref="DAO46:DAR46"/>
    <mergeCell ref="DAS46:DAV46"/>
    <mergeCell ref="DEO46:DER46"/>
    <mergeCell ref="DES46:DEV46"/>
    <mergeCell ref="DEW46:DEZ46"/>
    <mergeCell ref="DFA46:DFD46"/>
    <mergeCell ref="DFE46:DFH46"/>
    <mergeCell ref="DFI46:DFL46"/>
    <mergeCell ref="DDQ46:DDT46"/>
    <mergeCell ref="DDU46:DDX46"/>
    <mergeCell ref="DDY46:DEB46"/>
    <mergeCell ref="DEC46:DEF46"/>
    <mergeCell ref="DEG46:DEJ46"/>
    <mergeCell ref="DEK46:DEN46"/>
    <mergeCell ref="DCS46:DCV46"/>
    <mergeCell ref="DCW46:DCZ46"/>
    <mergeCell ref="DDA46:DDD46"/>
    <mergeCell ref="DDE46:DDH46"/>
    <mergeCell ref="DDI46:DDL46"/>
    <mergeCell ref="DDM46:DDP46"/>
    <mergeCell ref="DHI46:DHL46"/>
    <mergeCell ref="DHM46:DHP46"/>
    <mergeCell ref="DHQ46:DHT46"/>
    <mergeCell ref="DHU46:DHX46"/>
    <mergeCell ref="DHY46:DIB46"/>
    <mergeCell ref="DIC46:DIF46"/>
    <mergeCell ref="DGK46:DGN46"/>
    <mergeCell ref="DGO46:DGR46"/>
    <mergeCell ref="DGS46:DGV46"/>
    <mergeCell ref="DGW46:DGZ46"/>
    <mergeCell ref="DHA46:DHD46"/>
    <mergeCell ref="DHE46:DHH46"/>
    <mergeCell ref="DFM46:DFP46"/>
    <mergeCell ref="DFQ46:DFT46"/>
    <mergeCell ref="DFU46:DFX46"/>
    <mergeCell ref="DFY46:DGB46"/>
    <mergeCell ref="DGC46:DGF46"/>
    <mergeCell ref="DGG46:DGJ46"/>
    <mergeCell ref="DKC46:DKF46"/>
    <mergeCell ref="DKG46:DKJ46"/>
    <mergeCell ref="DKK46:DKN46"/>
    <mergeCell ref="DKO46:DKR46"/>
    <mergeCell ref="DKS46:DKV46"/>
    <mergeCell ref="DKW46:DKZ46"/>
    <mergeCell ref="DJE46:DJH46"/>
    <mergeCell ref="DJI46:DJL46"/>
    <mergeCell ref="DJM46:DJP46"/>
    <mergeCell ref="DJQ46:DJT46"/>
    <mergeCell ref="DJU46:DJX46"/>
    <mergeCell ref="DJY46:DKB46"/>
    <mergeCell ref="DIG46:DIJ46"/>
    <mergeCell ref="DIK46:DIN46"/>
    <mergeCell ref="DIO46:DIR46"/>
    <mergeCell ref="DIS46:DIV46"/>
    <mergeCell ref="DIW46:DIZ46"/>
    <mergeCell ref="DJA46:DJD46"/>
    <mergeCell ref="DMW46:DMZ46"/>
    <mergeCell ref="DNA46:DND46"/>
    <mergeCell ref="DNE46:DNH46"/>
    <mergeCell ref="DNI46:DNL46"/>
    <mergeCell ref="DNM46:DNP46"/>
    <mergeCell ref="DNQ46:DNT46"/>
    <mergeCell ref="DLY46:DMB46"/>
    <mergeCell ref="DMC46:DMF46"/>
    <mergeCell ref="DMG46:DMJ46"/>
    <mergeCell ref="DMK46:DMN46"/>
    <mergeCell ref="DMO46:DMR46"/>
    <mergeCell ref="DMS46:DMV46"/>
    <mergeCell ref="DLA46:DLD46"/>
    <mergeCell ref="DLE46:DLH46"/>
    <mergeCell ref="DLI46:DLL46"/>
    <mergeCell ref="DLM46:DLP46"/>
    <mergeCell ref="DLQ46:DLT46"/>
    <mergeCell ref="DLU46:DLX46"/>
    <mergeCell ref="DPQ46:DPT46"/>
    <mergeCell ref="DPU46:DPX46"/>
    <mergeCell ref="DPY46:DQB46"/>
    <mergeCell ref="DQC46:DQF46"/>
    <mergeCell ref="DQG46:DQJ46"/>
    <mergeCell ref="DQK46:DQN46"/>
    <mergeCell ref="DOS46:DOV46"/>
    <mergeCell ref="DOW46:DOZ46"/>
    <mergeCell ref="DPA46:DPD46"/>
    <mergeCell ref="DPE46:DPH46"/>
    <mergeCell ref="DPI46:DPL46"/>
    <mergeCell ref="DPM46:DPP46"/>
    <mergeCell ref="DNU46:DNX46"/>
    <mergeCell ref="DNY46:DOB46"/>
    <mergeCell ref="DOC46:DOF46"/>
    <mergeCell ref="DOG46:DOJ46"/>
    <mergeCell ref="DOK46:DON46"/>
    <mergeCell ref="DOO46:DOR46"/>
    <mergeCell ref="DSK46:DSN46"/>
    <mergeCell ref="DSO46:DSR46"/>
    <mergeCell ref="DSS46:DSV46"/>
    <mergeCell ref="DSW46:DSZ46"/>
    <mergeCell ref="DTA46:DTD46"/>
    <mergeCell ref="DTE46:DTH46"/>
    <mergeCell ref="DRM46:DRP46"/>
    <mergeCell ref="DRQ46:DRT46"/>
    <mergeCell ref="DRU46:DRX46"/>
    <mergeCell ref="DRY46:DSB46"/>
    <mergeCell ref="DSC46:DSF46"/>
    <mergeCell ref="DSG46:DSJ46"/>
    <mergeCell ref="DQO46:DQR46"/>
    <mergeCell ref="DQS46:DQV46"/>
    <mergeCell ref="DQW46:DQZ46"/>
    <mergeCell ref="DRA46:DRD46"/>
    <mergeCell ref="DRE46:DRH46"/>
    <mergeCell ref="DRI46:DRL46"/>
    <mergeCell ref="DVE46:DVH46"/>
    <mergeCell ref="DVI46:DVL46"/>
    <mergeCell ref="DVM46:DVP46"/>
    <mergeCell ref="DVQ46:DVT46"/>
    <mergeCell ref="DVU46:DVX46"/>
    <mergeCell ref="DVY46:DWB46"/>
    <mergeCell ref="DUG46:DUJ46"/>
    <mergeCell ref="DUK46:DUN46"/>
    <mergeCell ref="DUO46:DUR46"/>
    <mergeCell ref="DUS46:DUV46"/>
    <mergeCell ref="DUW46:DUZ46"/>
    <mergeCell ref="DVA46:DVD46"/>
    <mergeCell ref="DTI46:DTL46"/>
    <mergeCell ref="DTM46:DTP46"/>
    <mergeCell ref="DTQ46:DTT46"/>
    <mergeCell ref="DTU46:DTX46"/>
    <mergeCell ref="DTY46:DUB46"/>
    <mergeCell ref="DUC46:DUF46"/>
    <mergeCell ref="DXY46:DYB46"/>
    <mergeCell ref="DYC46:DYF46"/>
    <mergeCell ref="DYG46:DYJ46"/>
    <mergeCell ref="DYK46:DYN46"/>
    <mergeCell ref="DYO46:DYR46"/>
    <mergeCell ref="DYS46:DYV46"/>
    <mergeCell ref="DXA46:DXD46"/>
    <mergeCell ref="DXE46:DXH46"/>
    <mergeCell ref="DXI46:DXL46"/>
    <mergeCell ref="DXM46:DXP46"/>
    <mergeCell ref="DXQ46:DXT46"/>
    <mergeCell ref="DXU46:DXX46"/>
    <mergeCell ref="DWC46:DWF46"/>
    <mergeCell ref="DWG46:DWJ46"/>
    <mergeCell ref="DWK46:DWN46"/>
    <mergeCell ref="DWO46:DWR46"/>
    <mergeCell ref="DWS46:DWV46"/>
    <mergeCell ref="DWW46:DWZ46"/>
    <mergeCell ref="EAS46:EAV46"/>
    <mergeCell ref="EAW46:EAZ46"/>
    <mergeCell ref="EBA46:EBD46"/>
    <mergeCell ref="EBE46:EBH46"/>
    <mergeCell ref="EBI46:EBL46"/>
    <mergeCell ref="EBM46:EBP46"/>
    <mergeCell ref="DZU46:DZX46"/>
    <mergeCell ref="DZY46:EAB46"/>
    <mergeCell ref="EAC46:EAF46"/>
    <mergeCell ref="EAG46:EAJ46"/>
    <mergeCell ref="EAK46:EAN46"/>
    <mergeCell ref="EAO46:EAR46"/>
    <mergeCell ref="DYW46:DYZ46"/>
    <mergeCell ref="DZA46:DZD46"/>
    <mergeCell ref="DZE46:DZH46"/>
    <mergeCell ref="DZI46:DZL46"/>
    <mergeCell ref="DZM46:DZP46"/>
    <mergeCell ref="DZQ46:DZT46"/>
    <mergeCell ref="EDM46:EDP46"/>
    <mergeCell ref="EDQ46:EDT46"/>
    <mergeCell ref="EDU46:EDX46"/>
    <mergeCell ref="EDY46:EEB46"/>
    <mergeCell ref="EEC46:EEF46"/>
    <mergeCell ref="EEG46:EEJ46"/>
    <mergeCell ref="ECO46:ECR46"/>
    <mergeCell ref="ECS46:ECV46"/>
    <mergeCell ref="ECW46:ECZ46"/>
    <mergeCell ref="EDA46:EDD46"/>
    <mergeCell ref="EDE46:EDH46"/>
    <mergeCell ref="EDI46:EDL46"/>
    <mergeCell ref="EBQ46:EBT46"/>
    <mergeCell ref="EBU46:EBX46"/>
    <mergeCell ref="EBY46:ECB46"/>
    <mergeCell ref="ECC46:ECF46"/>
    <mergeCell ref="ECG46:ECJ46"/>
    <mergeCell ref="ECK46:ECN46"/>
    <mergeCell ref="EGG46:EGJ46"/>
    <mergeCell ref="EGK46:EGN46"/>
    <mergeCell ref="EGO46:EGR46"/>
    <mergeCell ref="EGS46:EGV46"/>
    <mergeCell ref="EGW46:EGZ46"/>
    <mergeCell ref="EHA46:EHD46"/>
    <mergeCell ref="EFI46:EFL46"/>
    <mergeCell ref="EFM46:EFP46"/>
    <mergeCell ref="EFQ46:EFT46"/>
    <mergeCell ref="EFU46:EFX46"/>
    <mergeCell ref="EFY46:EGB46"/>
    <mergeCell ref="EGC46:EGF46"/>
    <mergeCell ref="EEK46:EEN46"/>
    <mergeCell ref="EEO46:EER46"/>
    <mergeCell ref="EES46:EEV46"/>
    <mergeCell ref="EEW46:EEZ46"/>
    <mergeCell ref="EFA46:EFD46"/>
    <mergeCell ref="EFE46:EFH46"/>
    <mergeCell ref="EJA46:EJD46"/>
    <mergeCell ref="EJE46:EJH46"/>
    <mergeCell ref="EJI46:EJL46"/>
    <mergeCell ref="EJM46:EJP46"/>
    <mergeCell ref="EJQ46:EJT46"/>
    <mergeCell ref="EJU46:EJX46"/>
    <mergeCell ref="EIC46:EIF46"/>
    <mergeCell ref="EIG46:EIJ46"/>
    <mergeCell ref="EIK46:EIN46"/>
    <mergeCell ref="EIO46:EIR46"/>
    <mergeCell ref="EIS46:EIV46"/>
    <mergeCell ref="EIW46:EIZ46"/>
    <mergeCell ref="EHE46:EHH46"/>
    <mergeCell ref="EHI46:EHL46"/>
    <mergeCell ref="EHM46:EHP46"/>
    <mergeCell ref="EHQ46:EHT46"/>
    <mergeCell ref="EHU46:EHX46"/>
    <mergeCell ref="EHY46:EIB46"/>
    <mergeCell ref="ELU46:ELX46"/>
    <mergeCell ref="ELY46:EMB46"/>
    <mergeCell ref="EMC46:EMF46"/>
    <mergeCell ref="EMG46:EMJ46"/>
    <mergeCell ref="EMK46:EMN46"/>
    <mergeCell ref="EMO46:EMR46"/>
    <mergeCell ref="EKW46:EKZ46"/>
    <mergeCell ref="ELA46:ELD46"/>
    <mergeCell ref="ELE46:ELH46"/>
    <mergeCell ref="ELI46:ELL46"/>
    <mergeCell ref="ELM46:ELP46"/>
    <mergeCell ref="ELQ46:ELT46"/>
    <mergeCell ref="EJY46:EKB46"/>
    <mergeCell ref="EKC46:EKF46"/>
    <mergeCell ref="EKG46:EKJ46"/>
    <mergeCell ref="EKK46:EKN46"/>
    <mergeCell ref="EKO46:EKR46"/>
    <mergeCell ref="EKS46:EKV46"/>
    <mergeCell ref="EOO46:EOR46"/>
    <mergeCell ref="EOS46:EOV46"/>
    <mergeCell ref="EOW46:EOZ46"/>
    <mergeCell ref="EPA46:EPD46"/>
    <mergeCell ref="EPE46:EPH46"/>
    <mergeCell ref="EPI46:EPL46"/>
    <mergeCell ref="ENQ46:ENT46"/>
    <mergeCell ref="ENU46:ENX46"/>
    <mergeCell ref="ENY46:EOB46"/>
    <mergeCell ref="EOC46:EOF46"/>
    <mergeCell ref="EOG46:EOJ46"/>
    <mergeCell ref="EOK46:EON46"/>
    <mergeCell ref="EMS46:EMV46"/>
    <mergeCell ref="EMW46:EMZ46"/>
    <mergeCell ref="ENA46:END46"/>
    <mergeCell ref="ENE46:ENH46"/>
    <mergeCell ref="ENI46:ENL46"/>
    <mergeCell ref="ENM46:ENP46"/>
    <mergeCell ref="ERI46:ERL46"/>
    <mergeCell ref="ERM46:ERP46"/>
    <mergeCell ref="ERQ46:ERT46"/>
    <mergeCell ref="ERU46:ERX46"/>
    <mergeCell ref="ERY46:ESB46"/>
    <mergeCell ref="ESC46:ESF46"/>
    <mergeCell ref="EQK46:EQN46"/>
    <mergeCell ref="EQO46:EQR46"/>
    <mergeCell ref="EQS46:EQV46"/>
    <mergeCell ref="EQW46:EQZ46"/>
    <mergeCell ref="ERA46:ERD46"/>
    <mergeCell ref="ERE46:ERH46"/>
    <mergeCell ref="EPM46:EPP46"/>
    <mergeCell ref="EPQ46:EPT46"/>
    <mergeCell ref="EPU46:EPX46"/>
    <mergeCell ref="EPY46:EQB46"/>
    <mergeCell ref="EQC46:EQF46"/>
    <mergeCell ref="EQG46:EQJ46"/>
    <mergeCell ref="EUC46:EUF46"/>
    <mergeCell ref="EUG46:EUJ46"/>
    <mergeCell ref="EUK46:EUN46"/>
    <mergeCell ref="EUO46:EUR46"/>
    <mergeCell ref="EUS46:EUV46"/>
    <mergeCell ref="EUW46:EUZ46"/>
    <mergeCell ref="ETE46:ETH46"/>
    <mergeCell ref="ETI46:ETL46"/>
    <mergeCell ref="ETM46:ETP46"/>
    <mergeCell ref="ETQ46:ETT46"/>
    <mergeCell ref="ETU46:ETX46"/>
    <mergeCell ref="ETY46:EUB46"/>
    <mergeCell ref="ESG46:ESJ46"/>
    <mergeCell ref="ESK46:ESN46"/>
    <mergeCell ref="ESO46:ESR46"/>
    <mergeCell ref="ESS46:ESV46"/>
    <mergeCell ref="ESW46:ESZ46"/>
    <mergeCell ref="ETA46:ETD46"/>
    <mergeCell ref="EWW46:EWZ46"/>
    <mergeCell ref="EXA46:EXD46"/>
    <mergeCell ref="EXE46:EXH46"/>
    <mergeCell ref="EXI46:EXL46"/>
    <mergeCell ref="EXM46:EXP46"/>
    <mergeCell ref="EXQ46:EXT46"/>
    <mergeCell ref="EVY46:EWB46"/>
    <mergeCell ref="EWC46:EWF46"/>
    <mergeCell ref="EWG46:EWJ46"/>
    <mergeCell ref="EWK46:EWN46"/>
    <mergeCell ref="EWO46:EWR46"/>
    <mergeCell ref="EWS46:EWV46"/>
    <mergeCell ref="EVA46:EVD46"/>
    <mergeCell ref="EVE46:EVH46"/>
    <mergeCell ref="EVI46:EVL46"/>
    <mergeCell ref="EVM46:EVP46"/>
    <mergeCell ref="EVQ46:EVT46"/>
    <mergeCell ref="EVU46:EVX46"/>
    <mergeCell ref="EZQ46:EZT46"/>
    <mergeCell ref="EZU46:EZX46"/>
    <mergeCell ref="EZY46:FAB46"/>
    <mergeCell ref="FAC46:FAF46"/>
    <mergeCell ref="FAG46:FAJ46"/>
    <mergeCell ref="FAK46:FAN46"/>
    <mergeCell ref="EYS46:EYV46"/>
    <mergeCell ref="EYW46:EYZ46"/>
    <mergeCell ref="EZA46:EZD46"/>
    <mergeCell ref="EZE46:EZH46"/>
    <mergeCell ref="EZI46:EZL46"/>
    <mergeCell ref="EZM46:EZP46"/>
    <mergeCell ref="EXU46:EXX46"/>
    <mergeCell ref="EXY46:EYB46"/>
    <mergeCell ref="EYC46:EYF46"/>
    <mergeCell ref="EYG46:EYJ46"/>
    <mergeCell ref="EYK46:EYN46"/>
    <mergeCell ref="EYO46:EYR46"/>
    <mergeCell ref="FCK46:FCN46"/>
    <mergeCell ref="FCO46:FCR46"/>
    <mergeCell ref="FCS46:FCV46"/>
    <mergeCell ref="FCW46:FCZ46"/>
    <mergeCell ref="FDA46:FDD46"/>
    <mergeCell ref="FDE46:FDH46"/>
    <mergeCell ref="FBM46:FBP46"/>
    <mergeCell ref="FBQ46:FBT46"/>
    <mergeCell ref="FBU46:FBX46"/>
    <mergeCell ref="FBY46:FCB46"/>
    <mergeCell ref="FCC46:FCF46"/>
    <mergeCell ref="FCG46:FCJ46"/>
    <mergeCell ref="FAO46:FAR46"/>
    <mergeCell ref="FAS46:FAV46"/>
    <mergeCell ref="FAW46:FAZ46"/>
    <mergeCell ref="FBA46:FBD46"/>
    <mergeCell ref="FBE46:FBH46"/>
    <mergeCell ref="FBI46:FBL46"/>
    <mergeCell ref="FFE46:FFH46"/>
    <mergeCell ref="FFI46:FFL46"/>
    <mergeCell ref="FFM46:FFP46"/>
    <mergeCell ref="FFQ46:FFT46"/>
    <mergeCell ref="FFU46:FFX46"/>
    <mergeCell ref="FFY46:FGB46"/>
    <mergeCell ref="FEG46:FEJ46"/>
    <mergeCell ref="FEK46:FEN46"/>
    <mergeCell ref="FEO46:FER46"/>
    <mergeCell ref="FES46:FEV46"/>
    <mergeCell ref="FEW46:FEZ46"/>
    <mergeCell ref="FFA46:FFD46"/>
    <mergeCell ref="FDI46:FDL46"/>
    <mergeCell ref="FDM46:FDP46"/>
    <mergeCell ref="FDQ46:FDT46"/>
    <mergeCell ref="FDU46:FDX46"/>
    <mergeCell ref="FDY46:FEB46"/>
    <mergeCell ref="FEC46:FEF46"/>
    <mergeCell ref="FHY46:FIB46"/>
    <mergeCell ref="FIC46:FIF46"/>
    <mergeCell ref="FIG46:FIJ46"/>
    <mergeCell ref="FIK46:FIN46"/>
    <mergeCell ref="FIO46:FIR46"/>
    <mergeCell ref="FIS46:FIV46"/>
    <mergeCell ref="FHA46:FHD46"/>
    <mergeCell ref="FHE46:FHH46"/>
    <mergeCell ref="FHI46:FHL46"/>
    <mergeCell ref="FHM46:FHP46"/>
    <mergeCell ref="FHQ46:FHT46"/>
    <mergeCell ref="FHU46:FHX46"/>
    <mergeCell ref="FGC46:FGF46"/>
    <mergeCell ref="FGG46:FGJ46"/>
    <mergeCell ref="FGK46:FGN46"/>
    <mergeCell ref="FGO46:FGR46"/>
    <mergeCell ref="FGS46:FGV46"/>
    <mergeCell ref="FGW46:FGZ46"/>
    <mergeCell ref="FKS46:FKV46"/>
    <mergeCell ref="FKW46:FKZ46"/>
    <mergeCell ref="FLA46:FLD46"/>
    <mergeCell ref="FLE46:FLH46"/>
    <mergeCell ref="FLI46:FLL46"/>
    <mergeCell ref="FLM46:FLP46"/>
    <mergeCell ref="FJU46:FJX46"/>
    <mergeCell ref="FJY46:FKB46"/>
    <mergeCell ref="FKC46:FKF46"/>
    <mergeCell ref="FKG46:FKJ46"/>
    <mergeCell ref="FKK46:FKN46"/>
    <mergeCell ref="FKO46:FKR46"/>
    <mergeCell ref="FIW46:FIZ46"/>
    <mergeCell ref="FJA46:FJD46"/>
    <mergeCell ref="FJE46:FJH46"/>
    <mergeCell ref="FJI46:FJL46"/>
    <mergeCell ref="FJM46:FJP46"/>
    <mergeCell ref="FJQ46:FJT46"/>
    <mergeCell ref="FNM46:FNP46"/>
    <mergeCell ref="FNQ46:FNT46"/>
    <mergeCell ref="FNU46:FNX46"/>
    <mergeCell ref="FNY46:FOB46"/>
    <mergeCell ref="FOC46:FOF46"/>
    <mergeCell ref="FOG46:FOJ46"/>
    <mergeCell ref="FMO46:FMR46"/>
    <mergeCell ref="FMS46:FMV46"/>
    <mergeCell ref="FMW46:FMZ46"/>
    <mergeCell ref="FNA46:FND46"/>
    <mergeCell ref="FNE46:FNH46"/>
    <mergeCell ref="FNI46:FNL46"/>
    <mergeCell ref="FLQ46:FLT46"/>
    <mergeCell ref="FLU46:FLX46"/>
    <mergeCell ref="FLY46:FMB46"/>
    <mergeCell ref="FMC46:FMF46"/>
    <mergeCell ref="FMG46:FMJ46"/>
    <mergeCell ref="FMK46:FMN46"/>
    <mergeCell ref="FQG46:FQJ46"/>
    <mergeCell ref="FQK46:FQN46"/>
    <mergeCell ref="FQO46:FQR46"/>
    <mergeCell ref="FQS46:FQV46"/>
    <mergeCell ref="FQW46:FQZ46"/>
    <mergeCell ref="FRA46:FRD46"/>
    <mergeCell ref="FPI46:FPL46"/>
    <mergeCell ref="FPM46:FPP46"/>
    <mergeCell ref="FPQ46:FPT46"/>
    <mergeCell ref="FPU46:FPX46"/>
    <mergeCell ref="FPY46:FQB46"/>
    <mergeCell ref="FQC46:FQF46"/>
    <mergeCell ref="FOK46:FON46"/>
    <mergeCell ref="FOO46:FOR46"/>
    <mergeCell ref="FOS46:FOV46"/>
    <mergeCell ref="FOW46:FOZ46"/>
    <mergeCell ref="FPA46:FPD46"/>
    <mergeCell ref="FPE46:FPH46"/>
    <mergeCell ref="FTA46:FTD46"/>
    <mergeCell ref="FTE46:FTH46"/>
    <mergeCell ref="FTI46:FTL46"/>
    <mergeCell ref="FTM46:FTP46"/>
    <mergeCell ref="FTQ46:FTT46"/>
    <mergeCell ref="FTU46:FTX46"/>
    <mergeCell ref="FSC46:FSF46"/>
    <mergeCell ref="FSG46:FSJ46"/>
    <mergeCell ref="FSK46:FSN46"/>
    <mergeCell ref="FSO46:FSR46"/>
    <mergeCell ref="FSS46:FSV46"/>
    <mergeCell ref="FSW46:FSZ46"/>
    <mergeCell ref="FRE46:FRH46"/>
    <mergeCell ref="FRI46:FRL46"/>
    <mergeCell ref="FRM46:FRP46"/>
    <mergeCell ref="FRQ46:FRT46"/>
    <mergeCell ref="FRU46:FRX46"/>
    <mergeCell ref="FRY46:FSB46"/>
    <mergeCell ref="FVU46:FVX46"/>
    <mergeCell ref="FVY46:FWB46"/>
    <mergeCell ref="FWC46:FWF46"/>
    <mergeCell ref="FWG46:FWJ46"/>
    <mergeCell ref="FWK46:FWN46"/>
    <mergeCell ref="FWO46:FWR46"/>
    <mergeCell ref="FUW46:FUZ46"/>
    <mergeCell ref="FVA46:FVD46"/>
    <mergeCell ref="FVE46:FVH46"/>
    <mergeCell ref="FVI46:FVL46"/>
    <mergeCell ref="FVM46:FVP46"/>
    <mergeCell ref="FVQ46:FVT46"/>
    <mergeCell ref="FTY46:FUB46"/>
    <mergeCell ref="FUC46:FUF46"/>
    <mergeCell ref="FUG46:FUJ46"/>
    <mergeCell ref="FUK46:FUN46"/>
    <mergeCell ref="FUO46:FUR46"/>
    <mergeCell ref="FUS46:FUV46"/>
    <mergeCell ref="FYO46:FYR46"/>
    <mergeCell ref="FYS46:FYV46"/>
    <mergeCell ref="FYW46:FYZ46"/>
    <mergeCell ref="FZA46:FZD46"/>
    <mergeCell ref="FZE46:FZH46"/>
    <mergeCell ref="FZI46:FZL46"/>
    <mergeCell ref="FXQ46:FXT46"/>
    <mergeCell ref="FXU46:FXX46"/>
    <mergeCell ref="FXY46:FYB46"/>
    <mergeCell ref="FYC46:FYF46"/>
    <mergeCell ref="FYG46:FYJ46"/>
    <mergeCell ref="FYK46:FYN46"/>
    <mergeCell ref="FWS46:FWV46"/>
    <mergeCell ref="FWW46:FWZ46"/>
    <mergeCell ref="FXA46:FXD46"/>
    <mergeCell ref="FXE46:FXH46"/>
    <mergeCell ref="FXI46:FXL46"/>
    <mergeCell ref="FXM46:FXP46"/>
    <mergeCell ref="GBI46:GBL46"/>
    <mergeCell ref="GBM46:GBP46"/>
    <mergeCell ref="GBQ46:GBT46"/>
    <mergeCell ref="GBU46:GBX46"/>
    <mergeCell ref="GBY46:GCB46"/>
    <mergeCell ref="GCC46:GCF46"/>
    <mergeCell ref="GAK46:GAN46"/>
    <mergeCell ref="GAO46:GAR46"/>
    <mergeCell ref="GAS46:GAV46"/>
    <mergeCell ref="GAW46:GAZ46"/>
    <mergeCell ref="GBA46:GBD46"/>
    <mergeCell ref="GBE46:GBH46"/>
    <mergeCell ref="FZM46:FZP46"/>
    <mergeCell ref="FZQ46:FZT46"/>
    <mergeCell ref="FZU46:FZX46"/>
    <mergeCell ref="FZY46:GAB46"/>
    <mergeCell ref="GAC46:GAF46"/>
    <mergeCell ref="GAG46:GAJ46"/>
    <mergeCell ref="GEC46:GEF46"/>
    <mergeCell ref="GEG46:GEJ46"/>
    <mergeCell ref="GEK46:GEN46"/>
    <mergeCell ref="GEO46:GER46"/>
    <mergeCell ref="GES46:GEV46"/>
    <mergeCell ref="GEW46:GEZ46"/>
    <mergeCell ref="GDE46:GDH46"/>
    <mergeCell ref="GDI46:GDL46"/>
    <mergeCell ref="GDM46:GDP46"/>
    <mergeCell ref="GDQ46:GDT46"/>
    <mergeCell ref="GDU46:GDX46"/>
    <mergeCell ref="GDY46:GEB46"/>
    <mergeCell ref="GCG46:GCJ46"/>
    <mergeCell ref="GCK46:GCN46"/>
    <mergeCell ref="GCO46:GCR46"/>
    <mergeCell ref="GCS46:GCV46"/>
    <mergeCell ref="GCW46:GCZ46"/>
    <mergeCell ref="GDA46:GDD46"/>
    <mergeCell ref="GGW46:GGZ46"/>
    <mergeCell ref="GHA46:GHD46"/>
    <mergeCell ref="GHE46:GHH46"/>
    <mergeCell ref="GHI46:GHL46"/>
    <mergeCell ref="GHM46:GHP46"/>
    <mergeCell ref="GHQ46:GHT46"/>
    <mergeCell ref="GFY46:GGB46"/>
    <mergeCell ref="GGC46:GGF46"/>
    <mergeCell ref="GGG46:GGJ46"/>
    <mergeCell ref="GGK46:GGN46"/>
    <mergeCell ref="GGO46:GGR46"/>
    <mergeCell ref="GGS46:GGV46"/>
    <mergeCell ref="GFA46:GFD46"/>
    <mergeCell ref="GFE46:GFH46"/>
    <mergeCell ref="GFI46:GFL46"/>
    <mergeCell ref="GFM46:GFP46"/>
    <mergeCell ref="GFQ46:GFT46"/>
    <mergeCell ref="GFU46:GFX46"/>
    <mergeCell ref="GJQ46:GJT46"/>
    <mergeCell ref="GJU46:GJX46"/>
    <mergeCell ref="GJY46:GKB46"/>
    <mergeCell ref="GKC46:GKF46"/>
    <mergeCell ref="GKG46:GKJ46"/>
    <mergeCell ref="GKK46:GKN46"/>
    <mergeCell ref="GIS46:GIV46"/>
    <mergeCell ref="GIW46:GIZ46"/>
    <mergeCell ref="GJA46:GJD46"/>
    <mergeCell ref="GJE46:GJH46"/>
    <mergeCell ref="GJI46:GJL46"/>
    <mergeCell ref="GJM46:GJP46"/>
    <mergeCell ref="GHU46:GHX46"/>
    <mergeCell ref="GHY46:GIB46"/>
    <mergeCell ref="GIC46:GIF46"/>
    <mergeCell ref="GIG46:GIJ46"/>
    <mergeCell ref="GIK46:GIN46"/>
    <mergeCell ref="GIO46:GIR46"/>
    <mergeCell ref="GMK46:GMN46"/>
    <mergeCell ref="GMO46:GMR46"/>
    <mergeCell ref="GMS46:GMV46"/>
    <mergeCell ref="GMW46:GMZ46"/>
    <mergeCell ref="GNA46:GND46"/>
    <mergeCell ref="GNE46:GNH46"/>
    <mergeCell ref="GLM46:GLP46"/>
    <mergeCell ref="GLQ46:GLT46"/>
    <mergeCell ref="GLU46:GLX46"/>
    <mergeCell ref="GLY46:GMB46"/>
    <mergeCell ref="GMC46:GMF46"/>
    <mergeCell ref="GMG46:GMJ46"/>
    <mergeCell ref="GKO46:GKR46"/>
    <mergeCell ref="GKS46:GKV46"/>
    <mergeCell ref="GKW46:GKZ46"/>
    <mergeCell ref="GLA46:GLD46"/>
    <mergeCell ref="GLE46:GLH46"/>
    <mergeCell ref="GLI46:GLL46"/>
    <mergeCell ref="GPE46:GPH46"/>
    <mergeCell ref="GPI46:GPL46"/>
    <mergeCell ref="GPM46:GPP46"/>
    <mergeCell ref="GPQ46:GPT46"/>
    <mergeCell ref="GPU46:GPX46"/>
    <mergeCell ref="GPY46:GQB46"/>
    <mergeCell ref="GOG46:GOJ46"/>
    <mergeCell ref="GOK46:GON46"/>
    <mergeCell ref="GOO46:GOR46"/>
    <mergeCell ref="GOS46:GOV46"/>
    <mergeCell ref="GOW46:GOZ46"/>
    <mergeCell ref="GPA46:GPD46"/>
    <mergeCell ref="GNI46:GNL46"/>
    <mergeCell ref="GNM46:GNP46"/>
    <mergeCell ref="GNQ46:GNT46"/>
    <mergeCell ref="GNU46:GNX46"/>
    <mergeCell ref="GNY46:GOB46"/>
    <mergeCell ref="GOC46:GOF46"/>
    <mergeCell ref="GRY46:GSB46"/>
    <mergeCell ref="GSC46:GSF46"/>
    <mergeCell ref="GSG46:GSJ46"/>
    <mergeCell ref="GSK46:GSN46"/>
    <mergeCell ref="GSO46:GSR46"/>
    <mergeCell ref="GSS46:GSV46"/>
    <mergeCell ref="GRA46:GRD46"/>
    <mergeCell ref="GRE46:GRH46"/>
    <mergeCell ref="GRI46:GRL46"/>
    <mergeCell ref="GRM46:GRP46"/>
    <mergeCell ref="GRQ46:GRT46"/>
    <mergeCell ref="GRU46:GRX46"/>
    <mergeCell ref="GQC46:GQF46"/>
    <mergeCell ref="GQG46:GQJ46"/>
    <mergeCell ref="GQK46:GQN46"/>
    <mergeCell ref="GQO46:GQR46"/>
    <mergeCell ref="GQS46:GQV46"/>
    <mergeCell ref="GQW46:GQZ46"/>
    <mergeCell ref="GUS46:GUV46"/>
    <mergeCell ref="GUW46:GUZ46"/>
    <mergeCell ref="GVA46:GVD46"/>
    <mergeCell ref="GVE46:GVH46"/>
    <mergeCell ref="GVI46:GVL46"/>
    <mergeCell ref="GVM46:GVP46"/>
    <mergeCell ref="GTU46:GTX46"/>
    <mergeCell ref="GTY46:GUB46"/>
    <mergeCell ref="GUC46:GUF46"/>
    <mergeCell ref="GUG46:GUJ46"/>
    <mergeCell ref="GUK46:GUN46"/>
    <mergeCell ref="GUO46:GUR46"/>
    <mergeCell ref="GSW46:GSZ46"/>
    <mergeCell ref="GTA46:GTD46"/>
    <mergeCell ref="GTE46:GTH46"/>
    <mergeCell ref="GTI46:GTL46"/>
    <mergeCell ref="GTM46:GTP46"/>
    <mergeCell ref="GTQ46:GTT46"/>
    <mergeCell ref="GXM46:GXP46"/>
    <mergeCell ref="GXQ46:GXT46"/>
    <mergeCell ref="GXU46:GXX46"/>
    <mergeCell ref="GXY46:GYB46"/>
    <mergeCell ref="GYC46:GYF46"/>
    <mergeCell ref="GYG46:GYJ46"/>
    <mergeCell ref="GWO46:GWR46"/>
    <mergeCell ref="GWS46:GWV46"/>
    <mergeCell ref="GWW46:GWZ46"/>
    <mergeCell ref="GXA46:GXD46"/>
    <mergeCell ref="GXE46:GXH46"/>
    <mergeCell ref="GXI46:GXL46"/>
    <mergeCell ref="GVQ46:GVT46"/>
    <mergeCell ref="GVU46:GVX46"/>
    <mergeCell ref="GVY46:GWB46"/>
    <mergeCell ref="GWC46:GWF46"/>
    <mergeCell ref="GWG46:GWJ46"/>
    <mergeCell ref="GWK46:GWN46"/>
    <mergeCell ref="HAG46:HAJ46"/>
    <mergeCell ref="HAK46:HAN46"/>
    <mergeCell ref="HAO46:HAR46"/>
    <mergeCell ref="HAS46:HAV46"/>
    <mergeCell ref="HAW46:HAZ46"/>
    <mergeCell ref="HBA46:HBD46"/>
    <mergeCell ref="GZI46:GZL46"/>
    <mergeCell ref="GZM46:GZP46"/>
    <mergeCell ref="GZQ46:GZT46"/>
    <mergeCell ref="GZU46:GZX46"/>
    <mergeCell ref="GZY46:HAB46"/>
    <mergeCell ref="HAC46:HAF46"/>
    <mergeCell ref="GYK46:GYN46"/>
    <mergeCell ref="GYO46:GYR46"/>
    <mergeCell ref="GYS46:GYV46"/>
    <mergeCell ref="GYW46:GYZ46"/>
    <mergeCell ref="GZA46:GZD46"/>
    <mergeCell ref="GZE46:GZH46"/>
    <mergeCell ref="HDA46:HDD46"/>
    <mergeCell ref="HDE46:HDH46"/>
    <mergeCell ref="HDI46:HDL46"/>
    <mergeCell ref="HDM46:HDP46"/>
    <mergeCell ref="HDQ46:HDT46"/>
    <mergeCell ref="HDU46:HDX46"/>
    <mergeCell ref="HCC46:HCF46"/>
    <mergeCell ref="HCG46:HCJ46"/>
    <mergeCell ref="HCK46:HCN46"/>
    <mergeCell ref="HCO46:HCR46"/>
    <mergeCell ref="HCS46:HCV46"/>
    <mergeCell ref="HCW46:HCZ46"/>
    <mergeCell ref="HBE46:HBH46"/>
    <mergeCell ref="HBI46:HBL46"/>
    <mergeCell ref="HBM46:HBP46"/>
    <mergeCell ref="HBQ46:HBT46"/>
    <mergeCell ref="HBU46:HBX46"/>
    <mergeCell ref="HBY46:HCB46"/>
    <mergeCell ref="HFU46:HFX46"/>
    <mergeCell ref="HFY46:HGB46"/>
    <mergeCell ref="HGC46:HGF46"/>
    <mergeCell ref="HGG46:HGJ46"/>
    <mergeCell ref="HGK46:HGN46"/>
    <mergeCell ref="HGO46:HGR46"/>
    <mergeCell ref="HEW46:HEZ46"/>
    <mergeCell ref="HFA46:HFD46"/>
    <mergeCell ref="HFE46:HFH46"/>
    <mergeCell ref="HFI46:HFL46"/>
    <mergeCell ref="HFM46:HFP46"/>
    <mergeCell ref="HFQ46:HFT46"/>
    <mergeCell ref="HDY46:HEB46"/>
    <mergeCell ref="HEC46:HEF46"/>
    <mergeCell ref="HEG46:HEJ46"/>
    <mergeCell ref="HEK46:HEN46"/>
    <mergeCell ref="HEO46:HER46"/>
    <mergeCell ref="HES46:HEV46"/>
    <mergeCell ref="HIO46:HIR46"/>
    <mergeCell ref="HIS46:HIV46"/>
    <mergeCell ref="HIW46:HIZ46"/>
    <mergeCell ref="HJA46:HJD46"/>
    <mergeCell ref="HJE46:HJH46"/>
    <mergeCell ref="HJI46:HJL46"/>
    <mergeCell ref="HHQ46:HHT46"/>
    <mergeCell ref="HHU46:HHX46"/>
    <mergeCell ref="HHY46:HIB46"/>
    <mergeCell ref="HIC46:HIF46"/>
    <mergeCell ref="HIG46:HIJ46"/>
    <mergeCell ref="HIK46:HIN46"/>
    <mergeCell ref="HGS46:HGV46"/>
    <mergeCell ref="HGW46:HGZ46"/>
    <mergeCell ref="HHA46:HHD46"/>
    <mergeCell ref="HHE46:HHH46"/>
    <mergeCell ref="HHI46:HHL46"/>
    <mergeCell ref="HHM46:HHP46"/>
    <mergeCell ref="HLI46:HLL46"/>
    <mergeCell ref="HLM46:HLP46"/>
    <mergeCell ref="HLQ46:HLT46"/>
    <mergeCell ref="HLU46:HLX46"/>
    <mergeCell ref="HLY46:HMB46"/>
    <mergeCell ref="HMC46:HMF46"/>
    <mergeCell ref="HKK46:HKN46"/>
    <mergeCell ref="HKO46:HKR46"/>
    <mergeCell ref="HKS46:HKV46"/>
    <mergeCell ref="HKW46:HKZ46"/>
    <mergeCell ref="HLA46:HLD46"/>
    <mergeCell ref="HLE46:HLH46"/>
    <mergeCell ref="HJM46:HJP46"/>
    <mergeCell ref="HJQ46:HJT46"/>
    <mergeCell ref="HJU46:HJX46"/>
    <mergeCell ref="HJY46:HKB46"/>
    <mergeCell ref="HKC46:HKF46"/>
    <mergeCell ref="HKG46:HKJ46"/>
    <mergeCell ref="HOC46:HOF46"/>
    <mergeCell ref="HOG46:HOJ46"/>
    <mergeCell ref="HOK46:HON46"/>
    <mergeCell ref="HOO46:HOR46"/>
    <mergeCell ref="HOS46:HOV46"/>
    <mergeCell ref="HOW46:HOZ46"/>
    <mergeCell ref="HNE46:HNH46"/>
    <mergeCell ref="HNI46:HNL46"/>
    <mergeCell ref="HNM46:HNP46"/>
    <mergeCell ref="HNQ46:HNT46"/>
    <mergeCell ref="HNU46:HNX46"/>
    <mergeCell ref="HNY46:HOB46"/>
    <mergeCell ref="HMG46:HMJ46"/>
    <mergeCell ref="HMK46:HMN46"/>
    <mergeCell ref="HMO46:HMR46"/>
    <mergeCell ref="HMS46:HMV46"/>
    <mergeCell ref="HMW46:HMZ46"/>
    <mergeCell ref="HNA46:HND46"/>
    <mergeCell ref="HQW46:HQZ46"/>
    <mergeCell ref="HRA46:HRD46"/>
    <mergeCell ref="HRE46:HRH46"/>
    <mergeCell ref="HRI46:HRL46"/>
    <mergeCell ref="HRM46:HRP46"/>
    <mergeCell ref="HRQ46:HRT46"/>
    <mergeCell ref="HPY46:HQB46"/>
    <mergeCell ref="HQC46:HQF46"/>
    <mergeCell ref="HQG46:HQJ46"/>
    <mergeCell ref="HQK46:HQN46"/>
    <mergeCell ref="HQO46:HQR46"/>
    <mergeCell ref="HQS46:HQV46"/>
    <mergeCell ref="HPA46:HPD46"/>
    <mergeCell ref="HPE46:HPH46"/>
    <mergeCell ref="HPI46:HPL46"/>
    <mergeCell ref="HPM46:HPP46"/>
    <mergeCell ref="HPQ46:HPT46"/>
    <mergeCell ref="HPU46:HPX46"/>
    <mergeCell ref="HTQ46:HTT46"/>
    <mergeCell ref="HTU46:HTX46"/>
    <mergeCell ref="HTY46:HUB46"/>
    <mergeCell ref="HUC46:HUF46"/>
    <mergeCell ref="HUG46:HUJ46"/>
    <mergeCell ref="HUK46:HUN46"/>
    <mergeCell ref="HSS46:HSV46"/>
    <mergeCell ref="HSW46:HSZ46"/>
    <mergeCell ref="HTA46:HTD46"/>
    <mergeCell ref="HTE46:HTH46"/>
    <mergeCell ref="HTI46:HTL46"/>
    <mergeCell ref="HTM46:HTP46"/>
    <mergeCell ref="HRU46:HRX46"/>
    <mergeCell ref="HRY46:HSB46"/>
    <mergeCell ref="HSC46:HSF46"/>
    <mergeCell ref="HSG46:HSJ46"/>
    <mergeCell ref="HSK46:HSN46"/>
    <mergeCell ref="HSO46:HSR46"/>
    <mergeCell ref="HWK46:HWN46"/>
    <mergeCell ref="HWO46:HWR46"/>
    <mergeCell ref="HWS46:HWV46"/>
    <mergeCell ref="HWW46:HWZ46"/>
    <mergeCell ref="HXA46:HXD46"/>
    <mergeCell ref="HXE46:HXH46"/>
    <mergeCell ref="HVM46:HVP46"/>
    <mergeCell ref="HVQ46:HVT46"/>
    <mergeCell ref="HVU46:HVX46"/>
    <mergeCell ref="HVY46:HWB46"/>
    <mergeCell ref="HWC46:HWF46"/>
    <mergeCell ref="HWG46:HWJ46"/>
    <mergeCell ref="HUO46:HUR46"/>
    <mergeCell ref="HUS46:HUV46"/>
    <mergeCell ref="HUW46:HUZ46"/>
    <mergeCell ref="HVA46:HVD46"/>
    <mergeCell ref="HVE46:HVH46"/>
    <mergeCell ref="HVI46:HVL46"/>
    <mergeCell ref="HZE46:HZH46"/>
    <mergeCell ref="HZI46:HZL46"/>
    <mergeCell ref="HZM46:HZP46"/>
    <mergeCell ref="HZQ46:HZT46"/>
    <mergeCell ref="HZU46:HZX46"/>
    <mergeCell ref="HZY46:IAB46"/>
    <mergeCell ref="HYG46:HYJ46"/>
    <mergeCell ref="HYK46:HYN46"/>
    <mergeCell ref="HYO46:HYR46"/>
    <mergeCell ref="HYS46:HYV46"/>
    <mergeCell ref="HYW46:HYZ46"/>
    <mergeCell ref="HZA46:HZD46"/>
    <mergeCell ref="HXI46:HXL46"/>
    <mergeCell ref="HXM46:HXP46"/>
    <mergeCell ref="HXQ46:HXT46"/>
    <mergeCell ref="HXU46:HXX46"/>
    <mergeCell ref="HXY46:HYB46"/>
    <mergeCell ref="HYC46:HYF46"/>
    <mergeCell ref="IBY46:ICB46"/>
    <mergeCell ref="ICC46:ICF46"/>
    <mergeCell ref="ICG46:ICJ46"/>
    <mergeCell ref="ICK46:ICN46"/>
    <mergeCell ref="ICO46:ICR46"/>
    <mergeCell ref="ICS46:ICV46"/>
    <mergeCell ref="IBA46:IBD46"/>
    <mergeCell ref="IBE46:IBH46"/>
    <mergeCell ref="IBI46:IBL46"/>
    <mergeCell ref="IBM46:IBP46"/>
    <mergeCell ref="IBQ46:IBT46"/>
    <mergeCell ref="IBU46:IBX46"/>
    <mergeCell ref="IAC46:IAF46"/>
    <mergeCell ref="IAG46:IAJ46"/>
    <mergeCell ref="IAK46:IAN46"/>
    <mergeCell ref="IAO46:IAR46"/>
    <mergeCell ref="IAS46:IAV46"/>
    <mergeCell ref="IAW46:IAZ46"/>
    <mergeCell ref="IES46:IEV46"/>
    <mergeCell ref="IEW46:IEZ46"/>
    <mergeCell ref="IFA46:IFD46"/>
    <mergeCell ref="IFE46:IFH46"/>
    <mergeCell ref="IFI46:IFL46"/>
    <mergeCell ref="IFM46:IFP46"/>
    <mergeCell ref="IDU46:IDX46"/>
    <mergeCell ref="IDY46:IEB46"/>
    <mergeCell ref="IEC46:IEF46"/>
    <mergeCell ref="IEG46:IEJ46"/>
    <mergeCell ref="IEK46:IEN46"/>
    <mergeCell ref="IEO46:IER46"/>
    <mergeCell ref="ICW46:ICZ46"/>
    <mergeCell ref="IDA46:IDD46"/>
    <mergeCell ref="IDE46:IDH46"/>
    <mergeCell ref="IDI46:IDL46"/>
    <mergeCell ref="IDM46:IDP46"/>
    <mergeCell ref="IDQ46:IDT46"/>
    <mergeCell ref="IHM46:IHP46"/>
    <mergeCell ref="IHQ46:IHT46"/>
    <mergeCell ref="IHU46:IHX46"/>
    <mergeCell ref="IHY46:IIB46"/>
    <mergeCell ref="IIC46:IIF46"/>
    <mergeCell ref="IIG46:IIJ46"/>
    <mergeCell ref="IGO46:IGR46"/>
    <mergeCell ref="IGS46:IGV46"/>
    <mergeCell ref="IGW46:IGZ46"/>
    <mergeCell ref="IHA46:IHD46"/>
    <mergeCell ref="IHE46:IHH46"/>
    <mergeCell ref="IHI46:IHL46"/>
    <mergeCell ref="IFQ46:IFT46"/>
    <mergeCell ref="IFU46:IFX46"/>
    <mergeCell ref="IFY46:IGB46"/>
    <mergeCell ref="IGC46:IGF46"/>
    <mergeCell ref="IGG46:IGJ46"/>
    <mergeCell ref="IGK46:IGN46"/>
    <mergeCell ref="IKG46:IKJ46"/>
    <mergeCell ref="IKK46:IKN46"/>
    <mergeCell ref="IKO46:IKR46"/>
    <mergeCell ref="IKS46:IKV46"/>
    <mergeCell ref="IKW46:IKZ46"/>
    <mergeCell ref="ILA46:ILD46"/>
    <mergeCell ref="IJI46:IJL46"/>
    <mergeCell ref="IJM46:IJP46"/>
    <mergeCell ref="IJQ46:IJT46"/>
    <mergeCell ref="IJU46:IJX46"/>
    <mergeCell ref="IJY46:IKB46"/>
    <mergeCell ref="IKC46:IKF46"/>
    <mergeCell ref="IIK46:IIN46"/>
    <mergeCell ref="IIO46:IIR46"/>
    <mergeCell ref="IIS46:IIV46"/>
    <mergeCell ref="IIW46:IIZ46"/>
    <mergeCell ref="IJA46:IJD46"/>
    <mergeCell ref="IJE46:IJH46"/>
    <mergeCell ref="INA46:IND46"/>
    <mergeCell ref="INE46:INH46"/>
    <mergeCell ref="INI46:INL46"/>
    <mergeCell ref="INM46:INP46"/>
    <mergeCell ref="INQ46:INT46"/>
    <mergeCell ref="INU46:INX46"/>
    <mergeCell ref="IMC46:IMF46"/>
    <mergeCell ref="IMG46:IMJ46"/>
    <mergeCell ref="IMK46:IMN46"/>
    <mergeCell ref="IMO46:IMR46"/>
    <mergeCell ref="IMS46:IMV46"/>
    <mergeCell ref="IMW46:IMZ46"/>
    <mergeCell ref="ILE46:ILH46"/>
    <mergeCell ref="ILI46:ILL46"/>
    <mergeCell ref="ILM46:ILP46"/>
    <mergeCell ref="ILQ46:ILT46"/>
    <mergeCell ref="ILU46:ILX46"/>
    <mergeCell ref="ILY46:IMB46"/>
    <mergeCell ref="IPU46:IPX46"/>
    <mergeCell ref="IPY46:IQB46"/>
    <mergeCell ref="IQC46:IQF46"/>
    <mergeCell ref="IQG46:IQJ46"/>
    <mergeCell ref="IQK46:IQN46"/>
    <mergeCell ref="IQO46:IQR46"/>
    <mergeCell ref="IOW46:IOZ46"/>
    <mergeCell ref="IPA46:IPD46"/>
    <mergeCell ref="IPE46:IPH46"/>
    <mergeCell ref="IPI46:IPL46"/>
    <mergeCell ref="IPM46:IPP46"/>
    <mergeCell ref="IPQ46:IPT46"/>
    <mergeCell ref="INY46:IOB46"/>
    <mergeCell ref="IOC46:IOF46"/>
    <mergeCell ref="IOG46:IOJ46"/>
    <mergeCell ref="IOK46:ION46"/>
    <mergeCell ref="IOO46:IOR46"/>
    <mergeCell ref="IOS46:IOV46"/>
    <mergeCell ref="ISO46:ISR46"/>
    <mergeCell ref="ISS46:ISV46"/>
    <mergeCell ref="ISW46:ISZ46"/>
    <mergeCell ref="ITA46:ITD46"/>
    <mergeCell ref="ITE46:ITH46"/>
    <mergeCell ref="ITI46:ITL46"/>
    <mergeCell ref="IRQ46:IRT46"/>
    <mergeCell ref="IRU46:IRX46"/>
    <mergeCell ref="IRY46:ISB46"/>
    <mergeCell ref="ISC46:ISF46"/>
    <mergeCell ref="ISG46:ISJ46"/>
    <mergeCell ref="ISK46:ISN46"/>
    <mergeCell ref="IQS46:IQV46"/>
    <mergeCell ref="IQW46:IQZ46"/>
    <mergeCell ref="IRA46:IRD46"/>
    <mergeCell ref="IRE46:IRH46"/>
    <mergeCell ref="IRI46:IRL46"/>
    <mergeCell ref="IRM46:IRP46"/>
    <mergeCell ref="IVI46:IVL46"/>
    <mergeCell ref="IVM46:IVP46"/>
    <mergeCell ref="IVQ46:IVT46"/>
    <mergeCell ref="IVU46:IVX46"/>
    <mergeCell ref="IVY46:IWB46"/>
    <mergeCell ref="IWC46:IWF46"/>
    <mergeCell ref="IUK46:IUN46"/>
    <mergeCell ref="IUO46:IUR46"/>
    <mergeCell ref="IUS46:IUV46"/>
    <mergeCell ref="IUW46:IUZ46"/>
    <mergeCell ref="IVA46:IVD46"/>
    <mergeCell ref="IVE46:IVH46"/>
    <mergeCell ref="ITM46:ITP46"/>
    <mergeCell ref="ITQ46:ITT46"/>
    <mergeCell ref="ITU46:ITX46"/>
    <mergeCell ref="ITY46:IUB46"/>
    <mergeCell ref="IUC46:IUF46"/>
    <mergeCell ref="IUG46:IUJ46"/>
    <mergeCell ref="IYC46:IYF46"/>
    <mergeCell ref="IYG46:IYJ46"/>
    <mergeCell ref="IYK46:IYN46"/>
    <mergeCell ref="IYO46:IYR46"/>
    <mergeCell ref="IYS46:IYV46"/>
    <mergeCell ref="IYW46:IYZ46"/>
    <mergeCell ref="IXE46:IXH46"/>
    <mergeCell ref="IXI46:IXL46"/>
    <mergeCell ref="IXM46:IXP46"/>
    <mergeCell ref="IXQ46:IXT46"/>
    <mergeCell ref="IXU46:IXX46"/>
    <mergeCell ref="IXY46:IYB46"/>
    <mergeCell ref="IWG46:IWJ46"/>
    <mergeCell ref="IWK46:IWN46"/>
    <mergeCell ref="IWO46:IWR46"/>
    <mergeCell ref="IWS46:IWV46"/>
    <mergeCell ref="IWW46:IWZ46"/>
    <mergeCell ref="IXA46:IXD46"/>
    <mergeCell ref="JAW46:JAZ46"/>
    <mergeCell ref="JBA46:JBD46"/>
    <mergeCell ref="JBE46:JBH46"/>
    <mergeCell ref="JBI46:JBL46"/>
    <mergeCell ref="JBM46:JBP46"/>
    <mergeCell ref="JBQ46:JBT46"/>
    <mergeCell ref="IZY46:JAB46"/>
    <mergeCell ref="JAC46:JAF46"/>
    <mergeCell ref="JAG46:JAJ46"/>
    <mergeCell ref="JAK46:JAN46"/>
    <mergeCell ref="JAO46:JAR46"/>
    <mergeCell ref="JAS46:JAV46"/>
    <mergeCell ref="IZA46:IZD46"/>
    <mergeCell ref="IZE46:IZH46"/>
    <mergeCell ref="IZI46:IZL46"/>
    <mergeCell ref="IZM46:IZP46"/>
    <mergeCell ref="IZQ46:IZT46"/>
    <mergeCell ref="IZU46:IZX46"/>
    <mergeCell ref="JDQ46:JDT46"/>
    <mergeCell ref="JDU46:JDX46"/>
    <mergeCell ref="JDY46:JEB46"/>
    <mergeCell ref="JEC46:JEF46"/>
    <mergeCell ref="JEG46:JEJ46"/>
    <mergeCell ref="JEK46:JEN46"/>
    <mergeCell ref="JCS46:JCV46"/>
    <mergeCell ref="JCW46:JCZ46"/>
    <mergeCell ref="JDA46:JDD46"/>
    <mergeCell ref="JDE46:JDH46"/>
    <mergeCell ref="JDI46:JDL46"/>
    <mergeCell ref="JDM46:JDP46"/>
    <mergeCell ref="JBU46:JBX46"/>
    <mergeCell ref="JBY46:JCB46"/>
    <mergeCell ref="JCC46:JCF46"/>
    <mergeCell ref="JCG46:JCJ46"/>
    <mergeCell ref="JCK46:JCN46"/>
    <mergeCell ref="JCO46:JCR46"/>
    <mergeCell ref="JGK46:JGN46"/>
    <mergeCell ref="JGO46:JGR46"/>
    <mergeCell ref="JGS46:JGV46"/>
    <mergeCell ref="JGW46:JGZ46"/>
    <mergeCell ref="JHA46:JHD46"/>
    <mergeCell ref="JHE46:JHH46"/>
    <mergeCell ref="JFM46:JFP46"/>
    <mergeCell ref="JFQ46:JFT46"/>
    <mergeCell ref="JFU46:JFX46"/>
    <mergeCell ref="JFY46:JGB46"/>
    <mergeCell ref="JGC46:JGF46"/>
    <mergeCell ref="JGG46:JGJ46"/>
    <mergeCell ref="JEO46:JER46"/>
    <mergeCell ref="JES46:JEV46"/>
    <mergeCell ref="JEW46:JEZ46"/>
    <mergeCell ref="JFA46:JFD46"/>
    <mergeCell ref="JFE46:JFH46"/>
    <mergeCell ref="JFI46:JFL46"/>
    <mergeCell ref="JJE46:JJH46"/>
    <mergeCell ref="JJI46:JJL46"/>
    <mergeCell ref="JJM46:JJP46"/>
    <mergeCell ref="JJQ46:JJT46"/>
    <mergeCell ref="JJU46:JJX46"/>
    <mergeCell ref="JJY46:JKB46"/>
    <mergeCell ref="JIG46:JIJ46"/>
    <mergeCell ref="JIK46:JIN46"/>
    <mergeCell ref="JIO46:JIR46"/>
    <mergeCell ref="JIS46:JIV46"/>
    <mergeCell ref="JIW46:JIZ46"/>
    <mergeCell ref="JJA46:JJD46"/>
    <mergeCell ref="JHI46:JHL46"/>
    <mergeCell ref="JHM46:JHP46"/>
    <mergeCell ref="JHQ46:JHT46"/>
    <mergeCell ref="JHU46:JHX46"/>
    <mergeCell ref="JHY46:JIB46"/>
    <mergeCell ref="JIC46:JIF46"/>
    <mergeCell ref="JLY46:JMB46"/>
    <mergeCell ref="JMC46:JMF46"/>
    <mergeCell ref="JMG46:JMJ46"/>
    <mergeCell ref="JMK46:JMN46"/>
    <mergeCell ref="JMO46:JMR46"/>
    <mergeCell ref="JMS46:JMV46"/>
    <mergeCell ref="JLA46:JLD46"/>
    <mergeCell ref="JLE46:JLH46"/>
    <mergeCell ref="JLI46:JLL46"/>
    <mergeCell ref="JLM46:JLP46"/>
    <mergeCell ref="JLQ46:JLT46"/>
    <mergeCell ref="JLU46:JLX46"/>
    <mergeCell ref="JKC46:JKF46"/>
    <mergeCell ref="JKG46:JKJ46"/>
    <mergeCell ref="JKK46:JKN46"/>
    <mergeCell ref="JKO46:JKR46"/>
    <mergeCell ref="JKS46:JKV46"/>
    <mergeCell ref="JKW46:JKZ46"/>
    <mergeCell ref="JOS46:JOV46"/>
    <mergeCell ref="JOW46:JOZ46"/>
    <mergeCell ref="JPA46:JPD46"/>
    <mergeCell ref="JPE46:JPH46"/>
    <mergeCell ref="JPI46:JPL46"/>
    <mergeCell ref="JPM46:JPP46"/>
    <mergeCell ref="JNU46:JNX46"/>
    <mergeCell ref="JNY46:JOB46"/>
    <mergeCell ref="JOC46:JOF46"/>
    <mergeCell ref="JOG46:JOJ46"/>
    <mergeCell ref="JOK46:JON46"/>
    <mergeCell ref="JOO46:JOR46"/>
    <mergeCell ref="JMW46:JMZ46"/>
    <mergeCell ref="JNA46:JND46"/>
    <mergeCell ref="JNE46:JNH46"/>
    <mergeCell ref="JNI46:JNL46"/>
    <mergeCell ref="JNM46:JNP46"/>
    <mergeCell ref="JNQ46:JNT46"/>
    <mergeCell ref="JRM46:JRP46"/>
    <mergeCell ref="JRQ46:JRT46"/>
    <mergeCell ref="JRU46:JRX46"/>
    <mergeCell ref="JRY46:JSB46"/>
    <mergeCell ref="JSC46:JSF46"/>
    <mergeCell ref="JSG46:JSJ46"/>
    <mergeCell ref="JQO46:JQR46"/>
    <mergeCell ref="JQS46:JQV46"/>
    <mergeCell ref="JQW46:JQZ46"/>
    <mergeCell ref="JRA46:JRD46"/>
    <mergeCell ref="JRE46:JRH46"/>
    <mergeCell ref="JRI46:JRL46"/>
    <mergeCell ref="JPQ46:JPT46"/>
    <mergeCell ref="JPU46:JPX46"/>
    <mergeCell ref="JPY46:JQB46"/>
    <mergeCell ref="JQC46:JQF46"/>
    <mergeCell ref="JQG46:JQJ46"/>
    <mergeCell ref="JQK46:JQN46"/>
    <mergeCell ref="JUG46:JUJ46"/>
    <mergeCell ref="JUK46:JUN46"/>
    <mergeCell ref="JUO46:JUR46"/>
    <mergeCell ref="JUS46:JUV46"/>
    <mergeCell ref="JUW46:JUZ46"/>
    <mergeCell ref="JVA46:JVD46"/>
    <mergeCell ref="JTI46:JTL46"/>
    <mergeCell ref="JTM46:JTP46"/>
    <mergeCell ref="JTQ46:JTT46"/>
    <mergeCell ref="JTU46:JTX46"/>
    <mergeCell ref="JTY46:JUB46"/>
    <mergeCell ref="JUC46:JUF46"/>
    <mergeCell ref="JSK46:JSN46"/>
    <mergeCell ref="JSO46:JSR46"/>
    <mergeCell ref="JSS46:JSV46"/>
    <mergeCell ref="JSW46:JSZ46"/>
    <mergeCell ref="JTA46:JTD46"/>
    <mergeCell ref="JTE46:JTH46"/>
    <mergeCell ref="JXA46:JXD46"/>
    <mergeCell ref="JXE46:JXH46"/>
    <mergeCell ref="JXI46:JXL46"/>
    <mergeCell ref="JXM46:JXP46"/>
    <mergeCell ref="JXQ46:JXT46"/>
    <mergeCell ref="JXU46:JXX46"/>
    <mergeCell ref="JWC46:JWF46"/>
    <mergeCell ref="JWG46:JWJ46"/>
    <mergeCell ref="JWK46:JWN46"/>
    <mergeCell ref="JWO46:JWR46"/>
    <mergeCell ref="JWS46:JWV46"/>
    <mergeCell ref="JWW46:JWZ46"/>
    <mergeCell ref="JVE46:JVH46"/>
    <mergeCell ref="JVI46:JVL46"/>
    <mergeCell ref="JVM46:JVP46"/>
    <mergeCell ref="JVQ46:JVT46"/>
    <mergeCell ref="JVU46:JVX46"/>
    <mergeCell ref="JVY46:JWB46"/>
    <mergeCell ref="JZU46:JZX46"/>
    <mergeCell ref="JZY46:KAB46"/>
    <mergeCell ref="KAC46:KAF46"/>
    <mergeCell ref="KAG46:KAJ46"/>
    <mergeCell ref="KAK46:KAN46"/>
    <mergeCell ref="KAO46:KAR46"/>
    <mergeCell ref="JYW46:JYZ46"/>
    <mergeCell ref="JZA46:JZD46"/>
    <mergeCell ref="JZE46:JZH46"/>
    <mergeCell ref="JZI46:JZL46"/>
    <mergeCell ref="JZM46:JZP46"/>
    <mergeCell ref="JZQ46:JZT46"/>
    <mergeCell ref="JXY46:JYB46"/>
    <mergeCell ref="JYC46:JYF46"/>
    <mergeCell ref="JYG46:JYJ46"/>
    <mergeCell ref="JYK46:JYN46"/>
    <mergeCell ref="JYO46:JYR46"/>
    <mergeCell ref="JYS46:JYV46"/>
    <mergeCell ref="KCO46:KCR46"/>
    <mergeCell ref="KCS46:KCV46"/>
    <mergeCell ref="KCW46:KCZ46"/>
    <mergeCell ref="KDA46:KDD46"/>
    <mergeCell ref="KDE46:KDH46"/>
    <mergeCell ref="KDI46:KDL46"/>
    <mergeCell ref="KBQ46:KBT46"/>
    <mergeCell ref="KBU46:KBX46"/>
    <mergeCell ref="KBY46:KCB46"/>
    <mergeCell ref="KCC46:KCF46"/>
    <mergeCell ref="KCG46:KCJ46"/>
    <mergeCell ref="KCK46:KCN46"/>
    <mergeCell ref="KAS46:KAV46"/>
    <mergeCell ref="KAW46:KAZ46"/>
    <mergeCell ref="KBA46:KBD46"/>
    <mergeCell ref="KBE46:KBH46"/>
    <mergeCell ref="KBI46:KBL46"/>
    <mergeCell ref="KBM46:KBP46"/>
    <mergeCell ref="KFI46:KFL46"/>
    <mergeCell ref="KFM46:KFP46"/>
    <mergeCell ref="KFQ46:KFT46"/>
    <mergeCell ref="KFU46:KFX46"/>
    <mergeCell ref="KFY46:KGB46"/>
    <mergeCell ref="KGC46:KGF46"/>
    <mergeCell ref="KEK46:KEN46"/>
    <mergeCell ref="KEO46:KER46"/>
    <mergeCell ref="KES46:KEV46"/>
    <mergeCell ref="KEW46:KEZ46"/>
    <mergeCell ref="KFA46:KFD46"/>
    <mergeCell ref="KFE46:KFH46"/>
    <mergeCell ref="KDM46:KDP46"/>
    <mergeCell ref="KDQ46:KDT46"/>
    <mergeCell ref="KDU46:KDX46"/>
    <mergeCell ref="KDY46:KEB46"/>
    <mergeCell ref="KEC46:KEF46"/>
    <mergeCell ref="KEG46:KEJ46"/>
    <mergeCell ref="KIC46:KIF46"/>
    <mergeCell ref="KIG46:KIJ46"/>
    <mergeCell ref="KIK46:KIN46"/>
    <mergeCell ref="KIO46:KIR46"/>
    <mergeCell ref="KIS46:KIV46"/>
    <mergeCell ref="KIW46:KIZ46"/>
    <mergeCell ref="KHE46:KHH46"/>
    <mergeCell ref="KHI46:KHL46"/>
    <mergeCell ref="KHM46:KHP46"/>
    <mergeCell ref="KHQ46:KHT46"/>
    <mergeCell ref="KHU46:KHX46"/>
    <mergeCell ref="KHY46:KIB46"/>
    <mergeCell ref="KGG46:KGJ46"/>
    <mergeCell ref="KGK46:KGN46"/>
    <mergeCell ref="KGO46:KGR46"/>
    <mergeCell ref="KGS46:KGV46"/>
    <mergeCell ref="KGW46:KGZ46"/>
    <mergeCell ref="KHA46:KHD46"/>
    <mergeCell ref="KKW46:KKZ46"/>
    <mergeCell ref="KLA46:KLD46"/>
    <mergeCell ref="KLE46:KLH46"/>
    <mergeCell ref="KLI46:KLL46"/>
    <mergeCell ref="KLM46:KLP46"/>
    <mergeCell ref="KLQ46:KLT46"/>
    <mergeCell ref="KJY46:KKB46"/>
    <mergeCell ref="KKC46:KKF46"/>
    <mergeCell ref="KKG46:KKJ46"/>
    <mergeCell ref="KKK46:KKN46"/>
    <mergeCell ref="KKO46:KKR46"/>
    <mergeCell ref="KKS46:KKV46"/>
    <mergeCell ref="KJA46:KJD46"/>
    <mergeCell ref="KJE46:KJH46"/>
    <mergeCell ref="KJI46:KJL46"/>
    <mergeCell ref="KJM46:KJP46"/>
    <mergeCell ref="KJQ46:KJT46"/>
    <mergeCell ref="KJU46:KJX46"/>
    <mergeCell ref="KNQ46:KNT46"/>
    <mergeCell ref="KNU46:KNX46"/>
    <mergeCell ref="KNY46:KOB46"/>
    <mergeCell ref="KOC46:KOF46"/>
    <mergeCell ref="KOG46:KOJ46"/>
    <mergeCell ref="KOK46:KON46"/>
    <mergeCell ref="KMS46:KMV46"/>
    <mergeCell ref="KMW46:KMZ46"/>
    <mergeCell ref="KNA46:KND46"/>
    <mergeCell ref="KNE46:KNH46"/>
    <mergeCell ref="KNI46:KNL46"/>
    <mergeCell ref="KNM46:KNP46"/>
    <mergeCell ref="KLU46:KLX46"/>
    <mergeCell ref="KLY46:KMB46"/>
    <mergeCell ref="KMC46:KMF46"/>
    <mergeCell ref="KMG46:KMJ46"/>
    <mergeCell ref="KMK46:KMN46"/>
    <mergeCell ref="KMO46:KMR46"/>
    <mergeCell ref="KQK46:KQN46"/>
    <mergeCell ref="KQO46:KQR46"/>
    <mergeCell ref="KQS46:KQV46"/>
    <mergeCell ref="KQW46:KQZ46"/>
    <mergeCell ref="KRA46:KRD46"/>
    <mergeCell ref="KRE46:KRH46"/>
    <mergeCell ref="KPM46:KPP46"/>
    <mergeCell ref="KPQ46:KPT46"/>
    <mergeCell ref="KPU46:KPX46"/>
    <mergeCell ref="KPY46:KQB46"/>
    <mergeCell ref="KQC46:KQF46"/>
    <mergeCell ref="KQG46:KQJ46"/>
    <mergeCell ref="KOO46:KOR46"/>
    <mergeCell ref="KOS46:KOV46"/>
    <mergeCell ref="KOW46:KOZ46"/>
    <mergeCell ref="KPA46:KPD46"/>
    <mergeCell ref="KPE46:KPH46"/>
    <mergeCell ref="KPI46:KPL46"/>
    <mergeCell ref="KTE46:KTH46"/>
    <mergeCell ref="KTI46:KTL46"/>
    <mergeCell ref="KTM46:KTP46"/>
    <mergeCell ref="KTQ46:KTT46"/>
    <mergeCell ref="KTU46:KTX46"/>
    <mergeCell ref="KTY46:KUB46"/>
    <mergeCell ref="KSG46:KSJ46"/>
    <mergeCell ref="KSK46:KSN46"/>
    <mergeCell ref="KSO46:KSR46"/>
    <mergeCell ref="KSS46:KSV46"/>
    <mergeCell ref="KSW46:KSZ46"/>
    <mergeCell ref="KTA46:KTD46"/>
    <mergeCell ref="KRI46:KRL46"/>
    <mergeCell ref="KRM46:KRP46"/>
    <mergeCell ref="KRQ46:KRT46"/>
    <mergeCell ref="KRU46:KRX46"/>
    <mergeCell ref="KRY46:KSB46"/>
    <mergeCell ref="KSC46:KSF46"/>
    <mergeCell ref="KVY46:KWB46"/>
    <mergeCell ref="KWC46:KWF46"/>
    <mergeCell ref="KWG46:KWJ46"/>
    <mergeCell ref="KWK46:KWN46"/>
    <mergeCell ref="KWO46:KWR46"/>
    <mergeCell ref="KWS46:KWV46"/>
    <mergeCell ref="KVA46:KVD46"/>
    <mergeCell ref="KVE46:KVH46"/>
    <mergeCell ref="KVI46:KVL46"/>
    <mergeCell ref="KVM46:KVP46"/>
    <mergeCell ref="KVQ46:KVT46"/>
    <mergeCell ref="KVU46:KVX46"/>
    <mergeCell ref="KUC46:KUF46"/>
    <mergeCell ref="KUG46:KUJ46"/>
    <mergeCell ref="KUK46:KUN46"/>
    <mergeCell ref="KUO46:KUR46"/>
    <mergeCell ref="KUS46:KUV46"/>
    <mergeCell ref="KUW46:KUZ46"/>
    <mergeCell ref="KYS46:KYV46"/>
    <mergeCell ref="KYW46:KYZ46"/>
    <mergeCell ref="KZA46:KZD46"/>
    <mergeCell ref="KZE46:KZH46"/>
    <mergeCell ref="KZI46:KZL46"/>
    <mergeCell ref="KZM46:KZP46"/>
    <mergeCell ref="KXU46:KXX46"/>
    <mergeCell ref="KXY46:KYB46"/>
    <mergeCell ref="KYC46:KYF46"/>
    <mergeCell ref="KYG46:KYJ46"/>
    <mergeCell ref="KYK46:KYN46"/>
    <mergeCell ref="KYO46:KYR46"/>
    <mergeCell ref="KWW46:KWZ46"/>
    <mergeCell ref="KXA46:KXD46"/>
    <mergeCell ref="KXE46:KXH46"/>
    <mergeCell ref="KXI46:KXL46"/>
    <mergeCell ref="KXM46:KXP46"/>
    <mergeCell ref="KXQ46:KXT46"/>
    <mergeCell ref="LBM46:LBP46"/>
    <mergeCell ref="LBQ46:LBT46"/>
    <mergeCell ref="LBU46:LBX46"/>
    <mergeCell ref="LBY46:LCB46"/>
    <mergeCell ref="LCC46:LCF46"/>
    <mergeCell ref="LCG46:LCJ46"/>
    <mergeCell ref="LAO46:LAR46"/>
    <mergeCell ref="LAS46:LAV46"/>
    <mergeCell ref="LAW46:LAZ46"/>
    <mergeCell ref="LBA46:LBD46"/>
    <mergeCell ref="LBE46:LBH46"/>
    <mergeCell ref="LBI46:LBL46"/>
    <mergeCell ref="KZQ46:KZT46"/>
    <mergeCell ref="KZU46:KZX46"/>
    <mergeCell ref="KZY46:LAB46"/>
    <mergeCell ref="LAC46:LAF46"/>
    <mergeCell ref="LAG46:LAJ46"/>
    <mergeCell ref="LAK46:LAN46"/>
    <mergeCell ref="LEG46:LEJ46"/>
    <mergeCell ref="LEK46:LEN46"/>
    <mergeCell ref="LEO46:LER46"/>
    <mergeCell ref="LES46:LEV46"/>
    <mergeCell ref="LEW46:LEZ46"/>
    <mergeCell ref="LFA46:LFD46"/>
    <mergeCell ref="LDI46:LDL46"/>
    <mergeCell ref="LDM46:LDP46"/>
    <mergeCell ref="LDQ46:LDT46"/>
    <mergeCell ref="LDU46:LDX46"/>
    <mergeCell ref="LDY46:LEB46"/>
    <mergeCell ref="LEC46:LEF46"/>
    <mergeCell ref="LCK46:LCN46"/>
    <mergeCell ref="LCO46:LCR46"/>
    <mergeCell ref="LCS46:LCV46"/>
    <mergeCell ref="LCW46:LCZ46"/>
    <mergeCell ref="LDA46:LDD46"/>
    <mergeCell ref="LDE46:LDH46"/>
    <mergeCell ref="LHA46:LHD46"/>
    <mergeCell ref="LHE46:LHH46"/>
    <mergeCell ref="LHI46:LHL46"/>
    <mergeCell ref="LHM46:LHP46"/>
    <mergeCell ref="LHQ46:LHT46"/>
    <mergeCell ref="LHU46:LHX46"/>
    <mergeCell ref="LGC46:LGF46"/>
    <mergeCell ref="LGG46:LGJ46"/>
    <mergeCell ref="LGK46:LGN46"/>
    <mergeCell ref="LGO46:LGR46"/>
    <mergeCell ref="LGS46:LGV46"/>
    <mergeCell ref="LGW46:LGZ46"/>
    <mergeCell ref="LFE46:LFH46"/>
    <mergeCell ref="LFI46:LFL46"/>
    <mergeCell ref="LFM46:LFP46"/>
    <mergeCell ref="LFQ46:LFT46"/>
    <mergeCell ref="LFU46:LFX46"/>
    <mergeCell ref="LFY46:LGB46"/>
    <mergeCell ref="LJU46:LJX46"/>
    <mergeCell ref="LJY46:LKB46"/>
    <mergeCell ref="LKC46:LKF46"/>
    <mergeCell ref="LKG46:LKJ46"/>
    <mergeCell ref="LKK46:LKN46"/>
    <mergeCell ref="LKO46:LKR46"/>
    <mergeCell ref="LIW46:LIZ46"/>
    <mergeCell ref="LJA46:LJD46"/>
    <mergeCell ref="LJE46:LJH46"/>
    <mergeCell ref="LJI46:LJL46"/>
    <mergeCell ref="LJM46:LJP46"/>
    <mergeCell ref="LJQ46:LJT46"/>
    <mergeCell ref="LHY46:LIB46"/>
    <mergeCell ref="LIC46:LIF46"/>
    <mergeCell ref="LIG46:LIJ46"/>
    <mergeCell ref="LIK46:LIN46"/>
    <mergeCell ref="LIO46:LIR46"/>
    <mergeCell ref="LIS46:LIV46"/>
    <mergeCell ref="LMO46:LMR46"/>
    <mergeCell ref="LMS46:LMV46"/>
    <mergeCell ref="LMW46:LMZ46"/>
    <mergeCell ref="LNA46:LND46"/>
    <mergeCell ref="LNE46:LNH46"/>
    <mergeCell ref="LNI46:LNL46"/>
    <mergeCell ref="LLQ46:LLT46"/>
    <mergeCell ref="LLU46:LLX46"/>
    <mergeCell ref="LLY46:LMB46"/>
    <mergeCell ref="LMC46:LMF46"/>
    <mergeCell ref="LMG46:LMJ46"/>
    <mergeCell ref="LMK46:LMN46"/>
    <mergeCell ref="LKS46:LKV46"/>
    <mergeCell ref="LKW46:LKZ46"/>
    <mergeCell ref="LLA46:LLD46"/>
    <mergeCell ref="LLE46:LLH46"/>
    <mergeCell ref="LLI46:LLL46"/>
    <mergeCell ref="LLM46:LLP46"/>
    <mergeCell ref="LPI46:LPL46"/>
    <mergeCell ref="LPM46:LPP46"/>
    <mergeCell ref="LPQ46:LPT46"/>
    <mergeCell ref="LPU46:LPX46"/>
    <mergeCell ref="LPY46:LQB46"/>
    <mergeCell ref="LQC46:LQF46"/>
    <mergeCell ref="LOK46:LON46"/>
    <mergeCell ref="LOO46:LOR46"/>
    <mergeCell ref="LOS46:LOV46"/>
    <mergeCell ref="LOW46:LOZ46"/>
    <mergeCell ref="LPA46:LPD46"/>
    <mergeCell ref="LPE46:LPH46"/>
    <mergeCell ref="LNM46:LNP46"/>
    <mergeCell ref="LNQ46:LNT46"/>
    <mergeCell ref="LNU46:LNX46"/>
    <mergeCell ref="LNY46:LOB46"/>
    <mergeCell ref="LOC46:LOF46"/>
    <mergeCell ref="LOG46:LOJ46"/>
    <mergeCell ref="LSC46:LSF46"/>
    <mergeCell ref="LSG46:LSJ46"/>
    <mergeCell ref="LSK46:LSN46"/>
    <mergeCell ref="LSO46:LSR46"/>
    <mergeCell ref="LSS46:LSV46"/>
    <mergeCell ref="LSW46:LSZ46"/>
    <mergeCell ref="LRE46:LRH46"/>
    <mergeCell ref="LRI46:LRL46"/>
    <mergeCell ref="LRM46:LRP46"/>
    <mergeCell ref="LRQ46:LRT46"/>
    <mergeCell ref="LRU46:LRX46"/>
    <mergeCell ref="LRY46:LSB46"/>
    <mergeCell ref="LQG46:LQJ46"/>
    <mergeCell ref="LQK46:LQN46"/>
    <mergeCell ref="LQO46:LQR46"/>
    <mergeCell ref="LQS46:LQV46"/>
    <mergeCell ref="LQW46:LQZ46"/>
    <mergeCell ref="LRA46:LRD46"/>
    <mergeCell ref="LUW46:LUZ46"/>
    <mergeCell ref="LVA46:LVD46"/>
    <mergeCell ref="LVE46:LVH46"/>
    <mergeCell ref="LVI46:LVL46"/>
    <mergeCell ref="LVM46:LVP46"/>
    <mergeCell ref="LVQ46:LVT46"/>
    <mergeCell ref="LTY46:LUB46"/>
    <mergeCell ref="LUC46:LUF46"/>
    <mergeCell ref="LUG46:LUJ46"/>
    <mergeCell ref="LUK46:LUN46"/>
    <mergeCell ref="LUO46:LUR46"/>
    <mergeCell ref="LUS46:LUV46"/>
    <mergeCell ref="LTA46:LTD46"/>
    <mergeCell ref="LTE46:LTH46"/>
    <mergeCell ref="LTI46:LTL46"/>
    <mergeCell ref="LTM46:LTP46"/>
    <mergeCell ref="LTQ46:LTT46"/>
    <mergeCell ref="LTU46:LTX46"/>
    <mergeCell ref="LXQ46:LXT46"/>
    <mergeCell ref="LXU46:LXX46"/>
    <mergeCell ref="LXY46:LYB46"/>
    <mergeCell ref="LYC46:LYF46"/>
    <mergeCell ref="LYG46:LYJ46"/>
    <mergeCell ref="LYK46:LYN46"/>
    <mergeCell ref="LWS46:LWV46"/>
    <mergeCell ref="LWW46:LWZ46"/>
    <mergeCell ref="LXA46:LXD46"/>
    <mergeCell ref="LXE46:LXH46"/>
    <mergeCell ref="LXI46:LXL46"/>
    <mergeCell ref="LXM46:LXP46"/>
    <mergeCell ref="LVU46:LVX46"/>
    <mergeCell ref="LVY46:LWB46"/>
    <mergeCell ref="LWC46:LWF46"/>
    <mergeCell ref="LWG46:LWJ46"/>
    <mergeCell ref="LWK46:LWN46"/>
    <mergeCell ref="LWO46:LWR46"/>
    <mergeCell ref="MAK46:MAN46"/>
    <mergeCell ref="MAO46:MAR46"/>
    <mergeCell ref="MAS46:MAV46"/>
    <mergeCell ref="MAW46:MAZ46"/>
    <mergeCell ref="MBA46:MBD46"/>
    <mergeCell ref="MBE46:MBH46"/>
    <mergeCell ref="LZM46:LZP46"/>
    <mergeCell ref="LZQ46:LZT46"/>
    <mergeCell ref="LZU46:LZX46"/>
    <mergeCell ref="LZY46:MAB46"/>
    <mergeCell ref="MAC46:MAF46"/>
    <mergeCell ref="MAG46:MAJ46"/>
    <mergeCell ref="LYO46:LYR46"/>
    <mergeCell ref="LYS46:LYV46"/>
    <mergeCell ref="LYW46:LYZ46"/>
    <mergeCell ref="LZA46:LZD46"/>
    <mergeCell ref="LZE46:LZH46"/>
    <mergeCell ref="LZI46:LZL46"/>
    <mergeCell ref="MDE46:MDH46"/>
    <mergeCell ref="MDI46:MDL46"/>
    <mergeCell ref="MDM46:MDP46"/>
    <mergeCell ref="MDQ46:MDT46"/>
    <mergeCell ref="MDU46:MDX46"/>
    <mergeCell ref="MDY46:MEB46"/>
    <mergeCell ref="MCG46:MCJ46"/>
    <mergeCell ref="MCK46:MCN46"/>
    <mergeCell ref="MCO46:MCR46"/>
    <mergeCell ref="MCS46:MCV46"/>
    <mergeCell ref="MCW46:MCZ46"/>
    <mergeCell ref="MDA46:MDD46"/>
    <mergeCell ref="MBI46:MBL46"/>
    <mergeCell ref="MBM46:MBP46"/>
    <mergeCell ref="MBQ46:MBT46"/>
    <mergeCell ref="MBU46:MBX46"/>
    <mergeCell ref="MBY46:MCB46"/>
    <mergeCell ref="MCC46:MCF46"/>
    <mergeCell ref="MFY46:MGB46"/>
    <mergeCell ref="MGC46:MGF46"/>
    <mergeCell ref="MGG46:MGJ46"/>
    <mergeCell ref="MGK46:MGN46"/>
    <mergeCell ref="MGO46:MGR46"/>
    <mergeCell ref="MGS46:MGV46"/>
    <mergeCell ref="MFA46:MFD46"/>
    <mergeCell ref="MFE46:MFH46"/>
    <mergeCell ref="MFI46:MFL46"/>
    <mergeCell ref="MFM46:MFP46"/>
    <mergeCell ref="MFQ46:MFT46"/>
    <mergeCell ref="MFU46:MFX46"/>
    <mergeCell ref="MEC46:MEF46"/>
    <mergeCell ref="MEG46:MEJ46"/>
    <mergeCell ref="MEK46:MEN46"/>
    <mergeCell ref="MEO46:MER46"/>
    <mergeCell ref="MES46:MEV46"/>
    <mergeCell ref="MEW46:MEZ46"/>
    <mergeCell ref="MIS46:MIV46"/>
    <mergeCell ref="MIW46:MIZ46"/>
    <mergeCell ref="MJA46:MJD46"/>
    <mergeCell ref="MJE46:MJH46"/>
    <mergeCell ref="MJI46:MJL46"/>
    <mergeCell ref="MJM46:MJP46"/>
    <mergeCell ref="MHU46:MHX46"/>
    <mergeCell ref="MHY46:MIB46"/>
    <mergeCell ref="MIC46:MIF46"/>
    <mergeCell ref="MIG46:MIJ46"/>
    <mergeCell ref="MIK46:MIN46"/>
    <mergeCell ref="MIO46:MIR46"/>
    <mergeCell ref="MGW46:MGZ46"/>
    <mergeCell ref="MHA46:MHD46"/>
    <mergeCell ref="MHE46:MHH46"/>
    <mergeCell ref="MHI46:MHL46"/>
    <mergeCell ref="MHM46:MHP46"/>
    <mergeCell ref="MHQ46:MHT46"/>
    <mergeCell ref="MLM46:MLP46"/>
    <mergeCell ref="MLQ46:MLT46"/>
    <mergeCell ref="MLU46:MLX46"/>
    <mergeCell ref="MLY46:MMB46"/>
    <mergeCell ref="MMC46:MMF46"/>
    <mergeCell ref="MMG46:MMJ46"/>
    <mergeCell ref="MKO46:MKR46"/>
    <mergeCell ref="MKS46:MKV46"/>
    <mergeCell ref="MKW46:MKZ46"/>
    <mergeCell ref="MLA46:MLD46"/>
    <mergeCell ref="MLE46:MLH46"/>
    <mergeCell ref="MLI46:MLL46"/>
    <mergeCell ref="MJQ46:MJT46"/>
    <mergeCell ref="MJU46:MJX46"/>
    <mergeCell ref="MJY46:MKB46"/>
    <mergeCell ref="MKC46:MKF46"/>
    <mergeCell ref="MKG46:MKJ46"/>
    <mergeCell ref="MKK46:MKN46"/>
    <mergeCell ref="MOG46:MOJ46"/>
    <mergeCell ref="MOK46:MON46"/>
    <mergeCell ref="MOO46:MOR46"/>
    <mergeCell ref="MOS46:MOV46"/>
    <mergeCell ref="MOW46:MOZ46"/>
    <mergeCell ref="MPA46:MPD46"/>
    <mergeCell ref="MNI46:MNL46"/>
    <mergeCell ref="MNM46:MNP46"/>
    <mergeCell ref="MNQ46:MNT46"/>
    <mergeCell ref="MNU46:MNX46"/>
    <mergeCell ref="MNY46:MOB46"/>
    <mergeCell ref="MOC46:MOF46"/>
    <mergeCell ref="MMK46:MMN46"/>
    <mergeCell ref="MMO46:MMR46"/>
    <mergeCell ref="MMS46:MMV46"/>
    <mergeCell ref="MMW46:MMZ46"/>
    <mergeCell ref="MNA46:MND46"/>
    <mergeCell ref="MNE46:MNH46"/>
    <mergeCell ref="MRA46:MRD46"/>
    <mergeCell ref="MRE46:MRH46"/>
    <mergeCell ref="MRI46:MRL46"/>
    <mergeCell ref="MRM46:MRP46"/>
    <mergeCell ref="MRQ46:MRT46"/>
    <mergeCell ref="MRU46:MRX46"/>
    <mergeCell ref="MQC46:MQF46"/>
    <mergeCell ref="MQG46:MQJ46"/>
    <mergeCell ref="MQK46:MQN46"/>
    <mergeCell ref="MQO46:MQR46"/>
    <mergeCell ref="MQS46:MQV46"/>
    <mergeCell ref="MQW46:MQZ46"/>
    <mergeCell ref="MPE46:MPH46"/>
    <mergeCell ref="MPI46:MPL46"/>
    <mergeCell ref="MPM46:MPP46"/>
    <mergeCell ref="MPQ46:MPT46"/>
    <mergeCell ref="MPU46:MPX46"/>
    <mergeCell ref="MPY46:MQB46"/>
    <mergeCell ref="MTU46:MTX46"/>
    <mergeCell ref="MTY46:MUB46"/>
    <mergeCell ref="MUC46:MUF46"/>
    <mergeCell ref="MUG46:MUJ46"/>
    <mergeCell ref="MUK46:MUN46"/>
    <mergeCell ref="MUO46:MUR46"/>
    <mergeCell ref="MSW46:MSZ46"/>
    <mergeCell ref="MTA46:MTD46"/>
    <mergeCell ref="MTE46:MTH46"/>
    <mergeCell ref="MTI46:MTL46"/>
    <mergeCell ref="MTM46:MTP46"/>
    <mergeCell ref="MTQ46:MTT46"/>
    <mergeCell ref="MRY46:MSB46"/>
    <mergeCell ref="MSC46:MSF46"/>
    <mergeCell ref="MSG46:MSJ46"/>
    <mergeCell ref="MSK46:MSN46"/>
    <mergeCell ref="MSO46:MSR46"/>
    <mergeCell ref="MSS46:MSV46"/>
    <mergeCell ref="MWO46:MWR46"/>
    <mergeCell ref="MWS46:MWV46"/>
    <mergeCell ref="MWW46:MWZ46"/>
    <mergeCell ref="MXA46:MXD46"/>
    <mergeCell ref="MXE46:MXH46"/>
    <mergeCell ref="MXI46:MXL46"/>
    <mergeCell ref="MVQ46:MVT46"/>
    <mergeCell ref="MVU46:MVX46"/>
    <mergeCell ref="MVY46:MWB46"/>
    <mergeCell ref="MWC46:MWF46"/>
    <mergeCell ref="MWG46:MWJ46"/>
    <mergeCell ref="MWK46:MWN46"/>
    <mergeCell ref="MUS46:MUV46"/>
    <mergeCell ref="MUW46:MUZ46"/>
    <mergeCell ref="MVA46:MVD46"/>
    <mergeCell ref="MVE46:MVH46"/>
    <mergeCell ref="MVI46:MVL46"/>
    <mergeCell ref="MVM46:MVP46"/>
    <mergeCell ref="MZI46:MZL46"/>
    <mergeCell ref="MZM46:MZP46"/>
    <mergeCell ref="MZQ46:MZT46"/>
    <mergeCell ref="MZU46:MZX46"/>
    <mergeCell ref="MZY46:NAB46"/>
    <mergeCell ref="NAC46:NAF46"/>
    <mergeCell ref="MYK46:MYN46"/>
    <mergeCell ref="MYO46:MYR46"/>
    <mergeCell ref="MYS46:MYV46"/>
    <mergeCell ref="MYW46:MYZ46"/>
    <mergeCell ref="MZA46:MZD46"/>
    <mergeCell ref="MZE46:MZH46"/>
    <mergeCell ref="MXM46:MXP46"/>
    <mergeCell ref="MXQ46:MXT46"/>
    <mergeCell ref="MXU46:MXX46"/>
    <mergeCell ref="MXY46:MYB46"/>
    <mergeCell ref="MYC46:MYF46"/>
    <mergeCell ref="MYG46:MYJ46"/>
    <mergeCell ref="NCC46:NCF46"/>
    <mergeCell ref="NCG46:NCJ46"/>
    <mergeCell ref="NCK46:NCN46"/>
    <mergeCell ref="NCO46:NCR46"/>
    <mergeCell ref="NCS46:NCV46"/>
    <mergeCell ref="NCW46:NCZ46"/>
    <mergeCell ref="NBE46:NBH46"/>
    <mergeCell ref="NBI46:NBL46"/>
    <mergeCell ref="NBM46:NBP46"/>
    <mergeCell ref="NBQ46:NBT46"/>
    <mergeCell ref="NBU46:NBX46"/>
    <mergeCell ref="NBY46:NCB46"/>
    <mergeCell ref="NAG46:NAJ46"/>
    <mergeCell ref="NAK46:NAN46"/>
    <mergeCell ref="NAO46:NAR46"/>
    <mergeCell ref="NAS46:NAV46"/>
    <mergeCell ref="NAW46:NAZ46"/>
    <mergeCell ref="NBA46:NBD46"/>
    <mergeCell ref="NEW46:NEZ46"/>
    <mergeCell ref="NFA46:NFD46"/>
    <mergeCell ref="NFE46:NFH46"/>
    <mergeCell ref="NFI46:NFL46"/>
    <mergeCell ref="NFM46:NFP46"/>
    <mergeCell ref="NFQ46:NFT46"/>
    <mergeCell ref="NDY46:NEB46"/>
    <mergeCell ref="NEC46:NEF46"/>
    <mergeCell ref="NEG46:NEJ46"/>
    <mergeCell ref="NEK46:NEN46"/>
    <mergeCell ref="NEO46:NER46"/>
    <mergeCell ref="NES46:NEV46"/>
    <mergeCell ref="NDA46:NDD46"/>
    <mergeCell ref="NDE46:NDH46"/>
    <mergeCell ref="NDI46:NDL46"/>
    <mergeCell ref="NDM46:NDP46"/>
    <mergeCell ref="NDQ46:NDT46"/>
    <mergeCell ref="NDU46:NDX46"/>
    <mergeCell ref="NHQ46:NHT46"/>
    <mergeCell ref="NHU46:NHX46"/>
    <mergeCell ref="NHY46:NIB46"/>
    <mergeCell ref="NIC46:NIF46"/>
    <mergeCell ref="NIG46:NIJ46"/>
    <mergeCell ref="NIK46:NIN46"/>
    <mergeCell ref="NGS46:NGV46"/>
    <mergeCell ref="NGW46:NGZ46"/>
    <mergeCell ref="NHA46:NHD46"/>
    <mergeCell ref="NHE46:NHH46"/>
    <mergeCell ref="NHI46:NHL46"/>
    <mergeCell ref="NHM46:NHP46"/>
    <mergeCell ref="NFU46:NFX46"/>
    <mergeCell ref="NFY46:NGB46"/>
    <mergeCell ref="NGC46:NGF46"/>
    <mergeCell ref="NGG46:NGJ46"/>
    <mergeCell ref="NGK46:NGN46"/>
    <mergeCell ref="NGO46:NGR46"/>
    <mergeCell ref="NKK46:NKN46"/>
    <mergeCell ref="NKO46:NKR46"/>
    <mergeCell ref="NKS46:NKV46"/>
    <mergeCell ref="NKW46:NKZ46"/>
    <mergeCell ref="NLA46:NLD46"/>
    <mergeCell ref="NLE46:NLH46"/>
    <mergeCell ref="NJM46:NJP46"/>
    <mergeCell ref="NJQ46:NJT46"/>
    <mergeCell ref="NJU46:NJX46"/>
    <mergeCell ref="NJY46:NKB46"/>
    <mergeCell ref="NKC46:NKF46"/>
    <mergeCell ref="NKG46:NKJ46"/>
    <mergeCell ref="NIO46:NIR46"/>
    <mergeCell ref="NIS46:NIV46"/>
    <mergeCell ref="NIW46:NIZ46"/>
    <mergeCell ref="NJA46:NJD46"/>
    <mergeCell ref="NJE46:NJH46"/>
    <mergeCell ref="NJI46:NJL46"/>
    <mergeCell ref="NNE46:NNH46"/>
    <mergeCell ref="NNI46:NNL46"/>
    <mergeCell ref="NNM46:NNP46"/>
    <mergeCell ref="NNQ46:NNT46"/>
    <mergeCell ref="NNU46:NNX46"/>
    <mergeCell ref="NNY46:NOB46"/>
    <mergeCell ref="NMG46:NMJ46"/>
    <mergeCell ref="NMK46:NMN46"/>
    <mergeCell ref="NMO46:NMR46"/>
    <mergeCell ref="NMS46:NMV46"/>
    <mergeCell ref="NMW46:NMZ46"/>
    <mergeCell ref="NNA46:NND46"/>
    <mergeCell ref="NLI46:NLL46"/>
    <mergeCell ref="NLM46:NLP46"/>
    <mergeCell ref="NLQ46:NLT46"/>
    <mergeCell ref="NLU46:NLX46"/>
    <mergeCell ref="NLY46:NMB46"/>
    <mergeCell ref="NMC46:NMF46"/>
    <mergeCell ref="NPY46:NQB46"/>
    <mergeCell ref="NQC46:NQF46"/>
    <mergeCell ref="NQG46:NQJ46"/>
    <mergeCell ref="NQK46:NQN46"/>
    <mergeCell ref="NQO46:NQR46"/>
    <mergeCell ref="NQS46:NQV46"/>
    <mergeCell ref="NPA46:NPD46"/>
    <mergeCell ref="NPE46:NPH46"/>
    <mergeCell ref="NPI46:NPL46"/>
    <mergeCell ref="NPM46:NPP46"/>
    <mergeCell ref="NPQ46:NPT46"/>
    <mergeCell ref="NPU46:NPX46"/>
    <mergeCell ref="NOC46:NOF46"/>
    <mergeCell ref="NOG46:NOJ46"/>
    <mergeCell ref="NOK46:NON46"/>
    <mergeCell ref="NOO46:NOR46"/>
    <mergeCell ref="NOS46:NOV46"/>
    <mergeCell ref="NOW46:NOZ46"/>
    <mergeCell ref="NSS46:NSV46"/>
    <mergeCell ref="NSW46:NSZ46"/>
    <mergeCell ref="NTA46:NTD46"/>
    <mergeCell ref="NTE46:NTH46"/>
    <mergeCell ref="NTI46:NTL46"/>
    <mergeCell ref="NTM46:NTP46"/>
    <mergeCell ref="NRU46:NRX46"/>
    <mergeCell ref="NRY46:NSB46"/>
    <mergeCell ref="NSC46:NSF46"/>
    <mergeCell ref="NSG46:NSJ46"/>
    <mergeCell ref="NSK46:NSN46"/>
    <mergeCell ref="NSO46:NSR46"/>
    <mergeCell ref="NQW46:NQZ46"/>
    <mergeCell ref="NRA46:NRD46"/>
    <mergeCell ref="NRE46:NRH46"/>
    <mergeCell ref="NRI46:NRL46"/>
    <mergeCell ref="NRM46:NRP46"/>
    <mergeCell ref="NRQ46:NRT46"/>
    <mergeCell ref="NVM46:NVP46"/>
    <mergeCell ref="NVQ46:NVT46"/>
    <mergeCell ref="NVU46:NVX46"/>
    <mergeCell ref="NVY46:NWB46"/>
    <mergeCell ref="NWC46:NWF46"/>
    <mergeCell ref="NWG46:NWJ46"/>
    <mergeCell ref="NUO46:NUR46"/>
    <mergeCell ref="NUS46:NUV46"/>
    <mergeCell ref="NUW46:NUZ46"/>
    <mergeCell ref="NVA46:NVD46"/>
    <mergeCell ref="NVE46:NVH46"/>
    <mergeCell ref="NVI46:NVL46"/>
    <mergeCell ref="NTQ46:NTT46"/>
    <mergeCell ref="NTU46:NTX46"/>
    <mergeCell ref="NTY46:NUB46"/>
    <mergeCell ref="NUC46:NUF46"/>
    <mergeCell ref="NUG46:NUJ46"/>
    <mergeCell ref="NUK46:NUN46"/>
    <mergeCell ref="NYG46:NYJ46"/>
    <mergeCell ref="NYK46:NYN46"/>
    <mergeCell ref="NYO46:NYR46"/>
    <mergeCell ref="NYS46:NYV46"/>
    <mergeCell ref="NYW46:NYZ46"/>
    <mergeCell ref="NZA46:NZD46"/>
    <mergeCell ref="NXI46:NXL46"/>
    <mergeCell ref="NXM46:NXP46"/>
    <mergeCell ref="NXQ46:NXT46"/>
    <mergeCell ref="NXU46:NXX46"/>
    <mergeCell ref="NXY46:NYB46"/>
    <mergeCell ref="NYC46:NYF46"/>
    <mergeCell ref="NWK46:NWN46"/>
    <mergeCell ref="NWO46:NWR46"/>
    <mergeCell ref="NWS46:NWV46"/>
    <mergeCell ref="NWW46:NWZ46"/>
    <mergeCell ref="NXA46:NXD46"/>
    <mergeCell ref="NXE46:NXH46"/>
    <mergeCell ref="OBA46:OBD46"/>
    <mergeCell ref="OBE46:OBH46"/>
    <mergeCell ref="OBI46:OBL46"/>
    <mergeCell ref="OBM46:OBP46"/>
    <mergeCell ref="OBQ46:OBT46"/>
    <mergeCell ref="OBU46:OBX46"/>
    <mergeCell ref="OAC46:OAF46"/>
    <mergeCell ref="OAG46:OAJ46"/>
    <mergeCell ref="OAK46:OAN46"/>
    <mergeCell ref="OAO46:OAR46"/>
    <mergeCell ref="OAS46:OAV46"/>
    <mergeCell ref="OAW46:OAZ46"/>
    <mergeCell ref="NZE46:NZH46"/>
    <mergeCell ref="NZI46:NZL46"/>
    <mergeCell ref="NZM46:NZP46"/>
    <mergeCell ref="NZQ46:NZT46"/>
    <mergeCell ref="NZU46:NZX46"/>
    <mergeCell ref="NZY46:OAB46"/>
    <mergeCell ref="ODU46:ODX46"/>
    <mergeCell ref="ODY46:OEB46"/>
    <mergeCell ref="OEC46:OEF46"/>
    <mergeCell ref="OEG46:OEJ46"/>
    <mergeCell ref="OEK46:OEN46"/>
    <mergeCell ref="OEO46:OER46"/>
    <mergeCell ref="OCW46:OCZ46"/>
    <mergeCell ref="ODA46:ODD46"/>
    <mergeCell ref="ODE46:ODH46"/>
    <mergeCell ref="ODI46:ODL46"/>
    <mergeCell ref="ODM46:ODP46"/>
    <mergeCell ref="ODQ46:ODT46"/>
    <mergeCell ref="OBY46:OCB46"/>
    <mergeCell ref="OCC46:OCF46"/>
    <mergeCell ref="OCG46:OCJ46"/>
    <mergeCell ref="OCK46:OCN46"/>
    <mergeCell ref="OCO46:OCR46"/>
    <mergeCell ref="OCS46:OCV46"/>
    <mergeCell ref="OGO46:OGR46"/>
    <mergeCell ref="OGS46:OGV46"/>
    <mergeCell ref="OGW46:OGZ46"/>
    <mergeCell ref="OHA46:OHD46"/>
    <mergeCell ref="OHE46:OHH46"/>
    <mergeCell ref="OHI46:OHL46"/>
    <mergeCell ref="OFQ46:OFT46"/>
    <mergeCell ref="OFU46:OFX46"/>
    <mergeCell ref="OFY46:OGB46"/>
    <mergeCell ref="OGC46:OGF46"/>
    <mergeCell ref="OGG46:OGJ46"/>
    <mergeCell ref="OGK46:OGN46"/>
    <mergeCell ref="OES46:OEV46"/>
    <mergeCell ref="OEW46:OEZ46"/>
    <mergeCell ref="OFA46:OFD46"/>
    <mergeCell ref="OFE46:OFH46"/>
    <mergeCell ref="OFI46:OFL46"/>
    <mergeCell ref="OFM46:OFP46"/>
    <mergeCell ref="OJI46:OJL46"/>
    <mergeCell ref="OJM46:OJP46"/>
    <mergeCell ref="OJQ46:OJT46"/>
    <mergeCell ref="OJU46:OJX46"/>
    <mergeCell ref="OJY46:OKB46"/>
    <mergeCell ref="OKC46:OKF46"/>
    <mergeCell ref="OIK46:OIN46"/>
    <mergeCell ref="OIO46:OIR46"/>
    <mergeCell ref="OIS46:OIV46"/>
    <mergeCell ref="OIW46:OIZ46"/>
    <mergeCell ref="OJA46:OJD46"/>
    <mergeCell ref="OJE46:OJH46"/>
    <mergeCell ref="OHM46:OHP46"/>
    <mergeCell ref="OHQ46:OHT46"/>
    <mergeCell ref="OHU46:OHX46"/>
    <mergeCell ref="OHY46:OIB46"/>
    <mergeCell ref="OIC46:OIF46"/>
    <mergeCell ref="OIG46:OIJ46"/>
    <mergeCell ref="OMC46:OMF46"/>
    <mergeCell ref="OMG46:OMJ46"/>
    <mergeCell ref="OMK46:OMN46"/>
    <mergeCell ref="OMO46:OMR46"/>
    <mergeCell ref="OMS46:OMV46"/>
    <mergeCell ref="OMW46:OMZ46"/>
    <mergeCell ref="OLE46:OLH46"/>
    <mergeCell ref="OLI46:OLL46"/>
    <mergeCell ref="OLM46:OLP46"/>
    <mergeCell ref="OLQ46:OLT46"/>
    <mergeCell ref="OLU46:OLX46"/>
    <mergeCell ref="OLY46:OMB46"/>
    <mergeCell ref="OKG46:OKJ46"/>
    <mergeCell ref="OKK46:OKN46"/>
    <mergeCell ref="OKO46:OKR46"/>
    <mergeCell ref="OKS46:OKV46"/>
    <mergeCell ref="OKW46:OKZ46"/>
    <mergeCell ref="OLA46:OLD46"/>
    <mergeCell ref="OOW46:OOZ46"/>
    <mergeCell ref="OPA46:OPD46"/>
    <mergeCell ref="OPE46:OPH46"/>
    <mergeCell ref="OPI46:OPL46"/>
    <mergeCell ref="OPM46:OPP46"/>
    <mergeCell ref="OPQ46:OPT46"/>
    <mergeCell ref="ONY46:OOB46"/>
    <mergeCell ref="OOC46:OOF46"/>
    <mergeCell ref="OOG46:OOJ46"/>
    <mergeCell ref="OOK46:OON46"/>
    <mergeCell ref="OOO46:OOR46"/>
    <mergeCell ref="OOS46:OOV46"/>
    <mergeCell ref="ONA46:OND46"/>
    <mergeCell ref="ONE46:ONH46"/>
    <mergeCell ref="ONI46:ONL46"/>
    <mergeCell ref="ONM46:ONP46"/>
    <mergeCell ref="ONQ46:ONT46"/>
    <mergeCell ref="ONU46:ONX46"/>
    <mergeCell ref="ORQ46:ORT46"/>
    <mergeCell ref="ORU46:ORX46"/>
    <mergeCell ref="ORY46:OSB46"/>
    <mergeCell ref="OSC46:OSF46"/>
    <mergeCell ref="OSG46:OSJ46"/>
    <mergeCell ref="OSK46:OSN46"/>
    <mergeCell ref="OQS46:OQV46"/>
    <mergeCell ref="OQW46:OQZ46"/>
    <mergeCell ref="ORA46:ORD46"/>
    <mergeCell ref="ORE46:ORH46"/>
    <mergeCell ref="ORI46:ORL46"/>
    <mergeCell ref="ORM46:ORP46"/>
    <mergeCell ref="OPU46:OPX46"/>
    <mergeCell ref="OPY46:OQB46"/>
    <mergeCell ref="OQC46:OQF46"/>
    <mergeCell ref="OQG46:OQJ46"/>
    <mergeCell ref="OQK46:OQN46"/>
    <mergeCell ref="OQO46:OQR46"/>
    <mergeCell ref="OUK46:OUN46"/>
    <mergeCell ref="OUO46:OUR46"/>
    <mergeCell ref="OUS46:OUV46"/>
    <mergeCell ref="OUW46:OUZ46"/>
    <mergeCell ref="OVA46:OVD46"/>
    <mergeCell ref="OVE46:OVH46"/>
    <mergeCell ref="OTM46:OTP46"/>
    <mergeCell ref="OTQ46:OTT46"/>
    <mergeCell ref="OTU46:OTX46"/>
    <mergeCell ref="OTY46:OUB46"/>
    <mergeCell ref="OUC46:OUF46"/>
    <mergeCell ref="OUG46:OUJ46"/>
    <mergeCell ref="OSO46:OSR46"/>
    <mergeCell ref="OSS46:OSV46"/>
    <mergeCell ref="OSW46:OSZ46"/>
    <mergeCell ref="OTA46:OTD46"/>
    <mergeCell ref="OTE46:OTH46"/>
    <mergeCell ref="OTI46:OTL46"/>
    <mergeCell ref="OXE46:OXH46"/>
    <mergeCell ref="OXI46:OXL46"/>
    <mergeCell ref="OXM46:OXP46"/>
    <mergeCell ref="OXQ46:OXT46"/>
    <mergeCell ref="OXU46:OXX46"/>
    <mergeCell ref="OXY46:OYB46"/>
    <mergeCell ref="OWG46:OWJ46"/>
    <mergeCell ref="OWK46:OWN46"/>
    <mergeCell ref="OWO46:OWR46"/>
    <mergeCell ref="OWS46:OWV46"/>
    <mergeCell ref="OWW46:OWZ46"/>
    <mergeCell ref="OXA46:OXD46"/>
    <mergeCell ref="OVI46:OVL46"/>
    <mergeCell ref="OVM46:OVP46"/>
    <mergeCell ref="OVQ46:OVT46"/>
    <mergeCell ref="OVU46:OVX46"/>
    <mergeCell ref="OVY46:OWB46"/>
    <mergeCell ref="OWC46:OWF46"/>
    <mergeCell ref="OZY46:PAB46"/>
    <mergeCell ref="PAC46:PAF46"/>
    <mergeCell ref="PAG46:PAJ46"/>
    <mergeCell ref="PAK46:PAN46"/>
    <mergeCell ref="PAO46:PAR46"/>
    <mergeCell ref="PAS46:PAV46"/>
    <mergeCell ref="OZA46:OZD46"/>
    <mergeCell ref="OZE46:OZH46"/>
    <mergeCell ref="OZI46:OZL46"/>
    <mergeCell ref="OZM46:OZP46"/>
    <mergeCell ref="OZQ46:OZT46"/>
    <mergeCell ref="OZU46:OZX46"/>
    <mergeCell ref="OYC46:OYF46"/>
    <mergeCell ref="OYG46:OYJ46"/>
    <mergeCell ref="OYK46:OYN46"/>
    <mergeCell ref="OYO46:OYR46"/>
    <mergeCell ref="OYS46:OYV46"/>
    <mergeCell ref="OYW46:OYZ46"/>
    <mergeCell ref="PCS46:PCV46"/>
    <mergeCell ref="PCW46:PCZ46"/>
    <mergeCell ref="PDA46:PDD46"/>
    <mergeCell ref="PDE46:PDH46"/>
    <mergeCell ref="PDI46:PDL46"/>
    <mergeCell ref="PDM46:PDP46"/>
    <mergeCell ref="PBU46:PBX46"/>
    <mergeCell ref="PBY46:PCB46"/>
    <mergeCell ref="PCC46:PCF46"/>
    <mergeCell ref="PCG46:PCJ46"/>
    <mergeCell ref="PCK46:PCN46"/>
    <mergeCell ref="PCO46:PCR46"/>
    <mergeCell ref="PAW46:PAZ46"/>
    <mergeCell ref="PBA46:PBD46"/>
    <mergeCell ref="PBE46:PBH46"/>
    <mergeCell ref="PBI46:PBL46"/>
    <mergeCell ref="PBM46:PBP46"/>
    <mergeCell ref="PBQ46:PBT46"/>
    <mergeCell ref="PFM46:PFP46"/>
    <mergeCell ref="PFQ46:PFT46"/>
    <mergeCell ref="PFU46:PFX46"/>
    <mergeCell ref="PFY46:PGB46"/>
    <mergeCell ref="PGC46:PGF46"/>
    <mergeCell ref="PGG46:PGJ46"/>
    <mergeCell ref="PEO46:PER46"/>
    <mergeCell ref="PES46:PEV46"/>
    <mergeCell ref="PEW46:PEZ46"/>
    <mergeCell ref="PFA46:PFD46"/>
    <mergeCell ref="PFE46:PFH46"/>
    <mergeCell ref="PFI46:PFL46"/>
    <mergeCell ref="PDQ46:PDT46"/>
    <mergeCell ref="PDU46:PDX46"/>
    <mergeCell ref="PDY46:PEB46"/>
    <mergeCell ref="PEC46:PEF46"/>
    <mergeCell ref="PEG46:PEJ46"/>
    <mergeCell ref="PEK46:PEN46"/>
    <mergeCell ref="PIG46:PIJ46"/>
    <mergeCell ref="PIK46:PIN46"/>
    <mergeCell ref="PIO46:PIR46"/>
    <mergeCell ref="PIS46:PIV46"/>
    <mergeCell ref="PIW46:PIZ46"/>
    <mergeCell ref="PJA46:PJD46"/>
    <mergeCell ref="PHI46:PHL46"/>
    <mergeCell ref="PHM46:PHP46"/>
    <mergeCell ref="PHQ46:PHT46"/>
    <mergeCell ref="PHU46:PHX46"/>
    <mergeCell ref="PHY46:PIB46"/>
    <mergeCell ref="PIC46:PIF46"/>
    <mergeCell ref="PGK46:PGN46"/>
    <mergeCell ref="PGO46:PGR46"/>
    <mergeCell ref="PGS46:PGV46"/>
    <mergeCell ref="PGW46:PGZ46"/>
    <mergeCell ref="PHA46:PHD46"/>
    <mergeCell ref="PHE46:PHH46"/>
    <mergeCell ref="PLA46:PLD46"/>
    <mergeCell ref="PLE46:PLH46"/>
    <mergeCell ref="PLI46:PLL46"/>
    <mergeCell ref="PLM46:PLP46"/>
    <mergeCell ref="PLQ46:PLT46"/>
    <mergeCell ref="PLU46:PLX46"/>
    <mergeCell ref="PKC46:PKF46"/>
    <mergeCell ref="PKG46:PKJ46"/>
    <mergeCell ref="PKK46:PKN46"/>
    <mergeCell ref="PKO46:PKR46"/>
    <mergeCell ref="PKS46:PKV46"/>
    <mergeCell ref="PKW46:PKZ46"/>
    <mergeCell ref="PJE46:PJH46"/>
    <mergeCell ref="PJI46:PJL46"/>
    <mergeCell ref="PJM46:PJP46"/>
    <mergeCell ref="PJQ46:PJT46"/>
    <mergeCell ref="PJU46:PJX46"/>
    <mergeCell ref="PJY46:PKB46"/>
    <mergeCell ref="PNU46:PNX46"/>
    <mergeCell ref="PNY46:POB46"/>
    <mergeCell ref="POC46:POF46"/>
    <mergeCell ref="POG46:POJ46"/>
    <mergeCell ref="POK46:PON46"/>
    <mergeCell ref="POO46:POR46"/>
    <mergeCell ref="PMW46:PMZ46"/>
    <mergeCell ref="PNA46:PND46"/>
    <mergeCell ref="PNE46:PNH46"/>
    <mergeCell ref="PNI46:PNL46"/>
    <mergeCell ref="PNM46:PNP46"/>
    <mergeCell ref="PNQ46:PNT46"/>
    <mergeCell ref="PLY46:PMB46"/>
    <mergeCell ref="PMC46:PMF46"/>
    <mergeCell ref="PMG46:PMJ46"/>
    <mergeCell ref="PMK46:PMN46"/>
    <mergeCell ref="PMO46:PMR46"/>
    <mergeCell ref="PMS46:PMV46"/>
    <mergeCell ref="PQO46:PQR46"/>
    <mergeCell ref="PQS46:PQV46"/>
    <mergeCell ref="PQW46:PQZ46"/>
    <mergeCell ref="PRA46:PRD46"/>
    <mergeCell ref="PRE46:PRH46"/>
    <mergeCell ref="PRI46:PRL46"/>
    <mergeCell ref="PPQ46:PPT46"/>
    <mergeCell ref="PPU46:PPX46"/>
    <mergeCell ref="PPY46:PQB46"/>
    <mergeCell ref="PQC46:PQF46"/>
    <mergeCell ref="PQG46:PQJ46"/>
    <mergeCell ref="PQK46:PQN46"/>
    <mergeCell ref="POS46:POV46"/>
    <mergeCell ref="POW46:POZ46"/>
    <mergeCell ref="PPA46:PPD46"/>
    <mergeCell ref="PPE46:PPH46"/>
    <mergeCell ref="PPI46:PPL46"/>
    <mergeCell ref="PPM46:PPP46"/>
    <mergeCell ref="PTI46:PTL46"/>
    <mergeCell ref="PTM46:PTP46"/>
    <mergeCell ref="PTQ46:PTT46"/>
    <mergeCell ref="PTU46:PTX46"/>
    <mergeCell ref="PTY46:PUB46"/>
    <mergeCell ref="PUC46:PUF46"/>
    <mergeCell ref="PSK46:PSN46"/>
    <mergeCell ref="PSO46:PSR46"/>
    <mergeCell ref="PSS46:PSV46"/>
    <mergeCell ref="PSW46:PSZ46"/>
    <mergeCell ref="PTA46:PTD46"/>
    <mergeCell ref="PTE46:PTH46"/>
    <mergeCell ref="PRM46:PRP46"/>
    <mergeCell ref="PRQ46:PRT46"/>
    <mergeCell ref="PRU46:PRX46"/>
    <mergeCell ref="PRY46:PSB46"/>
    <mergeCell ref="PSC46:PSF46"/>
    <mergeCell ref="PSG46:PSJ46"/>
    <mergeCell ref="PWC46:PWF46"/>
    <mergeCell ref="PWG46:PWJ46"/>
    <mergeCell ref="PWK46:PWN46"/>
    <mergeCell ref="PWO46:PWR46"/>
    <mergeCell ref="PWS46:PWV46"/>
    <mergeCell ref="PWW46:PWZ46"/>
    <mergeCell ref="PVE46:PVH46"/>
    <mergeCell ref="PVI46:PVL46"/>
    <mergeCell ref="PVM46:PVP46"/>
    <mergeCell ref="PVQ46:PVT46"/>
    <mergeCell ref="PVU46:PVX46"/>
    <mergeCell ref="PVY46:PWB46"/>
    <mergeCell ref="PUG46:PUJ46"/>
    <mergeCell ref="PUK46:PUN46"/>
    <mergeCell ref="PUO46:PUR46"/>
    <mergeCell ref="PUS46:PUV46"/>
    <mergeCell ref="PUW46:PUZ46"/>
    <mergeCell ref="PVA46:PVD46"/>
    <mergeCell ref="PYW46:PYZ46"/>
    <mergeCell ref="PZA46:PZD46"/>
    <mergeCell ref="PZE46:PZH46"/>
    <mergeCell ref="PZI46:PZL46"/>
    <mergeCell ref="PZM46:PZP46"/>
    <mergeCell ref="PZQ46:PZT46"/>
    <mergeCell ref="PXY46:PYB46"/>
    <mergeCell ref="PYC46:PYF46"/>
    <mergeCell ref="PYG46:PYJ46"/>
    <mergeCell ref="PYK46:PYN46"/>
    <mergeCell ref="PYO46:PYR46"/>
    <mergeCell ref="PYS46:PYV46"/>
    <mergeCell ref="PXA46:PXD46"/>
    <mergeCell ref="PXE46:PXH46"/>
    <mergeCell ref="PXI46:PXL46"/>
    <mergeCell ref="PXM46:PXP46"/>
    <mergeCell ref="PXQ46:PXT46"/>
    <mergeCell ref="PXU46:PXX46"/>
    <mergeCell ref="QBQ46:QBT46"/>
    <mergeCell ref="QBU46:QBX46"/>
    <mergeCell ref="QBY46:QCB46"/>
    <mergeCell ref="QCC46:QCF46"/>
    <mergeCell ref="QCG46:QCJ46"/>
    <mergeCell ref="QCK46:QCN46"/>
    <mergeCell ref="QAS46:QAV46"/>
    <mergeCell ref="QAW46:QAZ46"/>
    <mergeCell ref="QBA46:QBD46"/>
    <mergeCell ref="QBE46:QBH46"/>
    <mergeCell ref="QBI46:QBL46"/>
    <mergeCell ref="QBM46:QBP46"/>
    <mergeCell ref="PZU46:PZX46"/>
    <mergeCell ref="PZY46:QAB46"/>
    <mergeCell ref="QAC46:QAF46"/>
    <mergeCell ref="QAG46:QAJ46"/>
    <mergeCell ref="QAK46:QAN46"/>
    <mergeCell ref="QAO46:QAR46"/>
    <mergeCell ref="QEK46:QEN46"/>
    <mergeCell ref="QEO46:QER46"/>
    <mergeCell ref="QES46:QEV46"/>
    <mergeCell ref="QEW46:QEZ46"/>
    <mergeCell ref="QFA46:QFD46"/>
    <mergeCell ref="QFE46:QFH46"/>
    <mergeCell ref="QDM46:QDP46"/>
    <mergeCell ref="QDQ46:QDT46"/>
    <mergeCell ref="QDU46:QDX46"/>
    <mergeCell ref="QDY46:QEB46"/>
    <mergeCell ref="QEC46:QEF46"/>
    <mergeCell ref="QEG46:QEJ46"/>
    <mergeCell ref="QCO46:QCR46"/>
    <mergeCell ref="QCS46:QCV46"/>
    <mergeCell ref="QCW46:QCZ46"/>
    <mergeCell ref="QDA46:QDD46"/>
    <mergeCell ref="QDE46:QDH46"/>
    <mergeCell ref="QDI46:QDL46"/>
    <mergeCell ref="QHE46:QHH46"/>
    <mergeCell ref="QHI46:QHL46"/>
    <mergeCell ref="QHM46:QHP46"/>
    <mergeCell ref="QHQ46:QHT46"/>
    <mergeCell ref="QHU46:QHX46"/>
    <mergeCell ref="QHY46:QIB46"/>
    <mergeCell ref="QGG46:QGJ46"/>
    <mergeCell ref="QGK46:QGN46"/>
    <mergeCell ref="QGO46:QGR46"/>
    <mergeCell ref="QGS46:QGV46"/>
    <mergeCell ref="QGW46:QGZ46"/>
    <mergeCell ref="QHA46:QHD46"/>
    <mergeCell ref="QFI46:QFL46"/>
    <mergeCell ref="QFM46:QFP46"/>
    <mergeCell ref="QFQ46:QFT46"/>
    <mergeCell ref="QFU46:QFX46"/>
    <mergeCell ref="QFY46:QGB46"/>
    <mergeCell ref="QGC46:QGF46"/>
    <mergeCell ref="QJY46:QKB46"/>
    <mergeCell ref="QKC46:QKF46"/>
    <mergeCell ref="QKG46:QKJ46"/>
    <mergeCell ref="QKK46:QKN46"/>
    <mergeCell ref="QKO46:QKR46"/>
    <mergeCell ref="QKS46:QKV46"/>
    <mergeCell ref="QJA46:QJD46"/>
    <mergeCell ref="QJE46:QJH46"/>
    <mergeCell ref="QJI46:QJL46"/>
    <mergeCell ref="QJM46:QJP46"/>
    <mergeCell ref="QJQ46:QJT46"/>
    <mergeCell ref="QJU46:QJX46"/>
    <mergeCell ref="QIC46:QIF46"/>
    <mergeCell ref="QIG46:QIJ46"/>
    <mergeCell ref="QIK46:QIN46"/>
    <mergeCell ref="QIO46:QIR46"/>
    <mergeCell ref="QIS46:QIV46"/>
    <mergeCell ref="QIW46:QIZ46"/>
    <mergeCell ref="QMS46:QMV46"/>
    <mergeCell ref="QMW46:QMZ46"/>
    <mergeCell ref="QNA46:QND46"/>
    <mergeCell ref="QNE46:QNH46"/>
    <mergeCell ref="QNI46:QNL46"/>
    <mergeCell ref="QNM46:QNP46"/>
    <mergeCell ref="QLU46:QLX46"/>
    <mergeCell ref="QLY46:QMB46"/>
    <mergeCell ref="QMC46:QMF46"/>
    <mergeCell ref="QMG46:QMJ46"/>
    <mergeCell ref="QMK46:QMN46"/>
    <mergeCell ref="QMO46:QMR46"/>
    <mergeCell ref="QKW46:QKZ46"/>
    <mergeCell ref="QLA46:QLD46"/>
    <mergeCell ref="QLE46:QLH46"/>
    <mergeCell ref="QLI46:QLL46"/>
    <mergeCell ref="QLM46:QLP46"/>
    <mergeCell ref="QLQ46:QLT46"/>
    <mergeCell ref="QPM46:QPP46"/>
    <mergeCell ref="QPQ46:QPT46"/>
    <mergeCell ref="QPU46:QPX46"/>
    <mergeCell ref="QPY46:QQB46"/>
    <mergeCell ref="QQC46:QQF46"/>
    <mergeCell ref="QQG46:QQJ46"/>
    <mergeCell ref="QOO46:QOR46"/>
    <mergeCell ref="QOS46:QOV46"/>
    <mergeCell ref="QOW46:QOZ46"/>
    <mergeCell ref="QPA46:QPD46"/>
    <mergeCell ref="QPE46:QPH46"/>
    <mergeCell ref="QPI46:QPL46"/>
    <mergeCell ref="QNQ46:QNT46"/>
    <mergeCell ref="QNU46:QNX46"/>
    <mergeCell ref="QNY46:QOB46"/>
    <mergeCell ref="QOC46:QOF46"/>
    <mergeCell ref="QOG46:QOJ46"/>
    <mergeCell ref="QOK46:QON46"/>
    <mergeCell ref="QSG46:QSJ46"/>
    <mergeCell ref="QSK46:QSN46"/>
    <mergeCell ref="QSO46:QSR46"/>
    <mergeCell ref="QSS46:QSV46"/>
    <mergeCell ref="QSW46:QSZ46"/>
    <mergeCell ref="QTA46:QTD46"/>
    <mergeCell ref="QRI46:QRL46"/>
    <mergeCell ref="QRM46:QRP46"/>
    <mergeCell ref="QRQ46:QRT46"/>
    <mergeCell ref="QRU46:QRX46"/>
    <mergeCell ref="QRY46:QSB46"/>
    <mergeCell ref="QSC46:QSF46"/>
    <mergeCell ref="QQK46:QQN46"/>
    <mergeCell ref="QQO46:QQR46"/>
    <mergeCell ref="QQS46:QQV46"/>
    <mergeCell ref="QQW46:QQZ46"/>
    <mergeCell ref="QRA46:QRD46"/>
    <mergeCell ref="QRE46:QRH46"/>
    <mergeCell ref="QVA46:QVD46"/>
    <mergeCell ref="QVE46:QVH46"/>
    <mergeCell ref="QVI46:QVL46"/>
    <mergeCell ref="QVM46:QVP46"/>
    <mergeCell ref="QVQ46:QVT46"/>
    <mergeCell ref="QVU46:QVX46"/>
    <mergeCell ref="QUC46:QUF46"/>
    <mergeCell ref="QUG46:QUJ46"/>
    <mergeCell ref="QUK46:QUN46"/>
    <mergeCell ref="QUO46:QUR46"/>
    <mergeCell ref="QUS46:QUV46"/>
    <mergeCell ref="QUW46:QUZ46"/>
    <mergeCell ref="QTE46:QTH46"/>
    <mergeCell ref="QTI46:QTL46"/>
    <mergeCell ref="QTM46:QTP46"/>
    <mergeCell ref="QTQ46:QTT46"/>
    <mergeCell ref="QTU46:QTX46"/>
    <mergeCell ref="QTY46:QUB46"/>
    <mergeCell ref="QXU46:QXX46"/>
    <mergeCell ref="QXY46:QYB46"/>
    <mergeCell ref="QYC46:QYF46"/>
    <mergeCell ref="QYG46:QYJ46"/>
    <mergeCell ref="QYK46:QYN46"/>
    <mergeCell ref="QYO46:QYR46"/>
    <mergeCell ref="QWW46:QWZ46"/>
    <mergeCell ref="QXA46:QXD46"/>
    <mergeCell ref="QXE46:QXH46"/>
    <mergeCell ref="QXI46:QXL46"/>
    <mergeCell ref="QXM46:QXP46"/>
    <mergeCell ref="QXQ46:QXT46"/>
    <mergeCell ref="QVY46:QWB46"/>
    <mergeCell ref="QWC46:QWF46"/>
    <mergeCell ref="QWG46:QWJ46"/>
    <mergeCell ref="QWK46:QWN46"/>
    <mergeCell ref="QWO46:QWR46"/>
    <mergeCell ref="QWS46:QWV46"/>
    <mergeCell ref="RAO46:RAR46"/>
    <mergeCell ref="RAS46:RAV46"/>
    <mergeCell ref="RAW46:RAZ46"/>
    <mergeCell ref="RBA46:RBD46"/>
    <mergeCell ref="RBE46:RBH46"/>
    <mergeCell ref="RBI46:RBL46"/>
    <mergeCell ref="QZQ46:QZT46"/>
    <mergeCell ref="QZU46:QZX46"/>
    <mergeCell ref="QZY46:RAB46"/>
    <mergeCell ref="RAC46:RAF46"/>
    <mergeCell ref="RAG46:RAJ46"/>
    <mergeCell ref="RAK46:RAN46"/>
    <mergeCell ref="QYS46:QYV46"/>
    <mergeCell ref="QYW46:QYZ46"/>
    <mergeCell ref="QZA46:QZD46"/>
    <mergeCell ref="QZE46:QZH46"/>
    <mergeCell ref="QZI46:QZL46"/>
    <mergeCell ref="QZM46:QZP46"/>
    <mergeCell ref="RDI46:RDL46"/>
    <mergeCell ref="RDM46:RDP46"/>
    <mergeCell ref="RDQ46:RDT46"/>
    <mergeCell ref="RDU46:RDX46"/>
    <mergeCell ref="RDY46:REB46"/>
    <mergeCell ref="REC46:REF46"/>
    <mergeCell ref="RCK46:RCN46"/>
    <mergeCell ref="RCO46:RCR46"/>
    <mergeCell ref="RCS46:RCV46"/>
    <mergeCell ref="RCW46:RCZ46"/>
    <mergeCell ref="RDA46:RDD46"/>
    <mergeCell ref="RDE46:RDH46"/>
    <mergeCell ref="RBM46:RBP46"/>
    <mergeCell ref="RBQ46:RBT46"/>
    <mergeCell ref="RBU46:RBX46"/>
    <mergeCell ref="RBY46:RCB46"/>
    <mergeCell ref="RCC46:RCF46"/>
    <mergeCell ref="RCG46:RCJ46"/>
    <mergeCell ref="RGC46:RGF46"/>
    <mergeCell ref="RGG46:RGJ46"/>
    <mergeCell ref="RGK46:RGN46"/>
    <mergeCell ref="RGO46:RGR46"/>
    <mergeCell ref="RGS46:RGV46"/>
    <mergeCell ref="RGW46:RGZ46"/>
    <mergeCell ref="RFE46:RFH46"/>
    <mergeCell ref="RFI46:RFL46"/>
    <mergeCell ref="RFM46:RFP46"/>
    <mergeCell ref="RFQ46:RFT46"/>
    <mergeCell ref="RFU46:RFX46"/>
    <mergeCell ref="RFY46:RGB46"/>
    <mergeCell ref="REG46:REJ46"/>
    <mergeCell ref="REK46:REN46"/>
    <mergeCell ref="REO46:RER46"/>
    <mergeCell ref="RES46:REV46"/>
    <mergeCell ref="REW46:REZ46"/>
    <mergeCell ref="RFA46:RFD46"/>
    <mergeCell ref="RIW46:RIZ46"/>
    <mergeCell ref="RJA46:RJD46"/>
    <mergeCell ref="RJE46:RJH46"/>
    <mergeCell ref="RJI46:RJL46"/>
    <mergeCell ref="RJM46:RJP46"/>
    <mergeCell ref="RJQ46:RJT46"/>
    <mergeCell ref="RHY46:RIB46"/>
    <mergeCell ref="RIC46:RIF46"/>
    <mergeCell ref="RIG46:RIJ46"/>
    <mergeCell ref="RIK46:RIN46"/>
    <mergeCell ref="RIO46:RIR46"/>
    <mergeCell ref="RIS46:RIV46"/>
    <mergeCell ref="RHA46:RHD46"/>
    <mergeCell ref="RHE46:RHH46"/>
    <mergeCell ref="RHI46:RHL46"/>
    <mergeCell ref="RHM46:RHP46"/>
    <mergeCell ref="RHQ46:RHT46"/>
    <mergeCell ref="RHU46:RHX46"/>
    <mergeCell ref="RLQ46:RLT46"/>
    <mergeCell ref="RLU46:RLX46"/>
    <mergeCell ref="RLY46:RMB46"/>
    <mergeCell ref="RMC46:RMF46"/>
    <mergeCell ref="RMG46:RMJ46"/>
    <mergeCell ref="RMK46:RMN46"/>
    <mergeCell ref="RKS46:RKV46"/>
    <mergeCell ref="RKW46:RKZ46"/>
    <mergeCell ref="RLA46:RLD46"/>
    <mergeCell ref="RLE46:RLH46"/>
    <mergeCell ref="RLI46:RLL46"/>
    <mergeCell ref="RLM46:RLP46"/>
    <mergeCell ref="RJU46:RJX46"/>
    <mergeCell ref="RJY46:RKB46"/>
    <mergeCell ref="RKC46:RKF46"/>
    <mergeCell ref="RKG46:RKJ46"/>
    <mergeCell ref="RKK46:RKN46"/>
    <mergeCell ref="RKO46:RKR46"/>
    <mergeCell ref="ROK46:RON46"/>
    <mergeCell ref="ROO46:ROR46"/>
    <mergeCell ref="ROS46:ROV46"/>
    <mergeCell ref="ROW46:ROZ46"/>
    <mergeCell ref="RPA46:RPD46"/>
    <mergeCell ref="RPE46:RPH46"/>
    <mergeCell ref="RNM46:RNP46"/>
    <mergeCell ref="RNQ46:RNT46"/>
    <mergeCell ref="RNU46:RNX46"/>
    <mergeCell ref="RNY46:ROB46"/>
    <mergeCell ref="ROC46:ROF46"/>
    <mergeCell ref="ROG46:ROJ46"/>
    <mergeCell ref="RMO46:RMR46"/>
    <mergeCell ref="RMS46:RMV46"/>
    <mergeCell ref="RMW46:RMZ46"/>
    <mergeCell ref="RNA46:RND46"/>
    <mergeCell ref="RNE46:RNH46"/>
    <mergeCell ref="RNI46:RNL46"/>
    <mergeCell ref="RRE46:RRH46"/>
    <mergeCell ref="RRI46:RRL46"/>
    <mergeCell ref="RRM46:RRP46"/>
    <mergeCell ref="RRQ46:RRT46"/>
    <mergeCell ref="RRU46:RRX46"/>
    <mergeCell ref="RRY46:RSB46"/>
    <mergeCell ref="RQG46:RQJ46"/>
    <mergeCell ref="RQK46:RQN46"/>
    <mergeCell ref="RQO46:RQR46"/>
    <mergeCell ref="RQS46:RQV46"/>
    <mergeCell ref="RQW46:RQZ46"/>
    <mergeCell ref="RRA46:RRD46"/>
    <mergeCell ref="RPI46:RPL46"/>
    <mergeCell ref="RPM46:RPP46"/>
    <mergeCell ref="RPQ46:RPT46"/>
    <mergeCell ref="RPU46:RPX46"/>
    <mergeCell ref="RPY46:RQB46"/>
    <mergeCell ref="RQC46:RQF46"/>
    <mergeCell ref="RTY46:RUB46"/>
    <mergeCell ref="RUC46:RUF46"/>
    <mergeCell ref="RUG46:RUJ46"/>
    <mergeCell ref="RUK46:RUN46"/>
    <mergeCell ref="RUO46:RUR46"/>
    <mergeCell ref="RUS46:RUV46"/>
    <mergeCell ref="RTA46:RTD46"/>
    <mergeCell ref="RTE46:RTH46"/>
    <mergeCell ref="RTI46:RTL46"/>
    <mergeCell ref="RTM46:RTP46"/>
    <mergeCell ref="RTQ46:RTT46"/>
    <mergeCell ref="RTU46:RTX46"/>
    <mergeCell ref="RSC46:RSF46"/>
    <mergeCell ref="RSG46:RSJ46"/>
    <mergeCell ref="RSK46:RSN46"/>
    <mergeCell ref="RSO46:RSR46"/>
    <mergeCell ref="RSS46:RSV46"/>
    <mergeCell ref="RSW46:RSZ46"/>
    <mergeCell ref="RWS46:RWV46"/>
    <mergeCell ref="RWW46:RWZ46"/>
    <mergeCell ref="RXA46:RXD46"/>
    <mergeCell ref="RXE46:RXH46"/>
    <mergeCell ref="RXI46:RXL46"/>
    <mergeCell ref="RXM46:RXP46"/>
    <mergeCell ref="RVU46:RVX46"/>
    <mergeCell ref="RVY46:RWB46"/>
    <mergeCell ref="RWC46:RWF46"/>
    <mergeCell ref="RWG46:RWJ46"/>
    <mergeCell ref="RWK46:RWN46"/>
    <mergeCell ref="RWO46:RWR46"/>
    <mergeCell ref="RUW46:RUZ46"/>
    <mergeCell ref="RVA46:RVD46"/>
    <mergeCell ref="RVE46:RVH46"/>
    <mergeCell ref="RVI46:RVL46"/>
    <mergeCell ref="RVM46:RVP46"/>
    <mergeCell ref="RVQ46:RVT46"/>
    <mergeCell ref="RZM46:RZP46"/>
    <mergeCell ref="RZQ46:RZT46"/>
    <mergeCell ref="RZU46:RZX46"/>
    <mergeCell ref="RZY46:SAB46"/>
    <mergeCell ref="SAC46:SAF46"/>
    <mergeCell ref="SAG46:SAJ46"/>
    <mergeCell ref="RYO46:RYR46"/>
    <mergeCell ref="RYS46:RYV46"/>
    <mergeCell ref="RYW46:RYZ46"/>
    <mergeCell ref="RZA46:RZD46"/>
    <mergeCell ref="RZE46:RZH46"/>
    <mergeCell ref="RZI46:RZL46"/>
    <mergeCell ref="RXQ46:RXT46"/>
    <mergeCell ref="RXU46:RXX46"/>
    <mergeCell ref="RXY46:RYB46"/>
    <mergeCell ref="RYC46:RYF46"/>
    <mergeCell ref="RYG46:RYJ46"/>
    <mergeCell ref="RYK46:RYN46"/>
    <mergeCell ref="SCG46:SCJ46"/>
    <mergeCell ref="SCK46:SCN46"/>
    <mergeCell ref="SCO46:SCR46"/>
    <mergeCell ref="SCS46:SCV46"/>
    <mergeCell ref="SCW46:SCZ46"/>
    <mergeCell ref="SDA46:SDD46"/>
    <mergeCell ref="SBI46:SBL46"/>
    <mergeCell ref="SBM46:SBP46"/>
    <mergeCell ref="SBQ46:SBT46"/>
    <mergeCell ref="SBU46:SBX46"/>
    <mergeCell ref="SBY46:SCB46"/>
    <mergeCell ref="SCC46:SCF46"/>
    <mergeCell ref="SAK46:SAN46"/>
    <mergeCell ref="SAO46:SAR46"/>
    <mergeCell ref="SAS46:SAV46"/>
    <mergeCell ref="SAW46:SAZ46"/>
    <mergeCell ref="SBA46:SBD46"/>
    <mergeCell ref="SBE46:SBH46"/>
    <mergeCell ref="SFA46:SFD46"/>
    <mergeCell ref="SFE46:SFH46"/>
    <mergeCell ref="SFI46:SFL46"/>
    <mergeCell ref="SFM46:SFP46"/>
    <mergeCell ref="SFQ46:SFT46"/>
    <mergeCell ref="SFU46:SFX46"/>
    <mergeCell ref="SEC46:SEF46"/>
    <mergeCell ref="SEG46:SEJ46"/>
    <mergeCell ref="SEK46:SEN46"/>
    <mergeCell ref="SEO46:SER46"/>
    <mergeCell ref="SES46:SEV46"/>
    <mergeCell ref="SEW46:SEZ46"/>
    <mergeCell ref="SDE46:SDH46"/>
    <mergeCell ref="SDI46:SDL46"/>
    <mergeCell ref="SDM46:SDP46"/>
    <mergeCell ref="SDQ46:SDT46"/>
    <mergeCell ref="SDU46:SDX46"/>
    <mergeCell ref="SDY46:SEB46"/>
    <mergeCell ref="SHU46:SHX46"/>
    <mergeCell ref="SHY46:SIB46"/>
    <mergeCell ref="SIC46:SIF46"/>
    <mergeCell ref="SIG46:SIJ46"/>
    <mergeCell ref="SIK46:SIN46"/>
    <mergeCell ref="SIO46:SIR46"/>
    <mergeCell ref="SGW46:SGZ46"/>
    <mergeCell ref="SHA46:SHD46"/>
    <mergeCell ref="SHE46:SHH46"/>
    <mergeCell ref="SHI46:SHL46"/>
    <mergeCell ref="SHM46:SHP46"/>
    <mergeCell ref="SHQ46:SHT46"/>
    <mergeCell ref="SFY46:SGB46"/>
    <mergeCell ref="SGC46:SGF46"/>
    <mergeCell ref="SGG46:SGJ46"/>
    <mergeCell ref="SGK46:SGN46"/>
    <mergeCell ref="SGO46:SGR46"/>
    <mergeCell ref="SGS46:SGV46"/>
    <mergeCell ref="SKO46:SKR46"/>
    <mergeCell ref="SKS46:SKV46"/>
    <mergeCell ref="SKW46:SKZ46"/>
    <mergeCell ref="SLA46:SLD46"/>
    <mergeCell ref="SLE46:SLH46"/>
    <mergeCell ref="SLI46:SLL46"/>
    <mergeCell ref="SJQ46:SJT46"/>
    <mergeCell ref="SJU46:SJX46"/>
    <mergeCell ref="SJY46:SKB46"/>
    <mergeCell ref="SKC46:SKF46"/>
    <mergeCell ref="SKG46:SKJ46"/>
    <mergeCell ref="SKK46:SKN46"/>
    <mergeCell ref="SIS46:SIV46"/>
    <mergeCell ref="SIW46:SIZ46"/>
    <mergeCell ref="SJA46:SJD46"/>
    <mergeCell ref="SJE46:SJH46"/>
    <mergeCell ref="SJI46:SJL46"/>
    <mergeCell ref="SJM46:SJP46"/>
    <mergeCell ref="SNI46:SNL46"/>
    <mergeCell ref="SNM46:SNP46"/>
    <mergeCell ref="SNQ46:SNT46"/>
    <mergeCell ref="SNU46:SNX46"/>
    <mergeCell ref="SNY46:SOB46"/>
    <mergeCell ref="SOC46:SOF46"/>
    <mergeCell ref="SMK46:SMN46"/>
    <mergeCell ref="SMO46:SMR46"/>
    <mergeCell ref="SMS46:SMV46"/>
    <mergeCell ref="SMW46:SMZ46"/>
    <mergeCell ref="SNA46:SND46"/>
    <mergeCell ref="SNE46:SNH46"/>
    <mergeCell ref="SLM46:SLP46"/>
    <mergeCell ref="SLQ46:SLT46"/>
    <mergeCell ref="SLU46:SLX46"/>
    <mergeCell ref="SLY46:SMB46"/>
    <mergeCell ref="SMC46:SMF46"/>
    <mergeCell ref="SMG46:SMJ46"/>
    <mergeCell ref="SQC46:SQF46"/>
    <mergeCell ref="SQG46:SQJ46"/>
    <mergeCell ref="SQK46:SQN46"/>
    <mergeCell ref="SQO46:SQR46"/>
    <mergeCell ref="SQS46:SQV46"/>
    <mergeCell ref="SQW46:SQZ46"/>
    <mergeCell ref="SPE46:SPH46"/>
    <mergeCell ref="SPI46:SPL46"/>
    <mergeCell ref="SPM46:SPP46"/>
    <mergeCell ref="SPQ46:SPT46"/>
    <mergeCell ref="SPU46:SPX46"/>
    <mergeCell ref="SPY46:SQB46"/>
    <mergeCell ref="SOG46:SOJ46"/>
    <mergeCell ref="SOK46:SON46"/>
    <mergeCell ref="SOO46:SOR46"/>
    <mergeCell ref="SOS46:SOV46"/>
    <mergeCell ref="SOW46:SOZ46"/>
    <mergeCell ref="SPA46:SPD46"/>
    <mergeCell ref="SSW46:SSZ46"/>
    <mergeCell ref="STA46:STD46"/>
    <mergeCell ref="STE46:STH46"/>
    <mergeCell ref="STI46:STL46"/>
    <mergeCell ref="STM46:STP46"/>
    <mergeCell ref="STQ46:STT46"/>
    <mergeCell ref="SRY46:SSB46"/>
    <mergeCell ref="SSC46:SSF46"/>
    <mergeCell ref="SSG46:SSJ46"/>
    <mergeCell ref="SSK46:SSN46"/>
    <mergeCell ref="SSO46:SSR46"/>
    <mergeCell ref="SSS46:SSV46"/>
    <mergeCell ref="SRA46:SRD46"/>
    <mergeCell ref="SRE46:SRH46"/>
    <mergeCell ref="SRI46:SRL46"/>
    <mergeCell ref="SRM46:SRP46"/>
    <mergeCell ref="SRQ46:SRT46"/>
    <mergeCell ref="SRU46:SRX46"/>
    <mergeCell ref="SVQ46:SVT46"/>
    <mergeCell ref="SVU46:SVX46"/>
    <mergeCell ref="SVY46:SWB46"/>
    <mergeCell ref="SWC46:SWF46"/>
    <mergeCell ref="SWG46:SWJ46"/>
    <mergeCell ref="SWK46:SWN46"/>
    <mergeCell ref="SUS46:SUV46"/>
    <mergeCell ref="SUW46:SUZ46"/>
    <mergeCell ref="SVA46:SVD46"/>
    <mergeCell ref="SVE46:SVH46"/>
    <mergeCell ref="SVI46:SVL46"/>
    <mergeCell ref="SVM46:SVP46"/>
    <mergeCell ref="STU46:STX46"/>
    <mergeCell ref="STY46:SUB46"/>
    <mergeCell ref="SUC46:SUF46"/>
    <mergeCell ref="SUG46:SUJ46"/>
    <mergeCell ref="SUK46:SUN46"/>
    <mergeCell ref="SUO46:SUR46"/>
    <mergeCell ref="SYK46:SYN46"/>
    <mergeCell ref="SYO46:SYR46"/>
    <mergeCell ref="SYS46:SYV46"/>
    <mergeCell ref="SYW46:SYZ46"/>
    <mergeCell ref="SZA46:SZD46"/>
    <mergeCell ref="SZE46:SZH46"/>
    <mergeCell ref="SXM46:SXP46"/>
    <mergeCell ref="SXQ46:SXT46"/>
    <mergeCell ref="SXU46:SXX46"/>
    <mergeCell ref="SXY46:SYB46"/>
    <mergeCell ref="SYC46:SYF46"/>
    <mergeCell ref="SYG46:SYJ46"/>
    <mergeCell ref="SWO46:SWR46"/>
    <mergeCell ref="SWS46:SWV46"/>
    <mergeCell ref="SWW46:SWZ46"/>
    <mergeCell ref="SXA46:SXD46"/>
    <mergeCell ref="SXE46:SXH46"/>
    <mergeCell ref="SXI46:SXL46"/>
    <mergeCell ref="TBE46:TBH46"/>
    <mergeCell ref="TBI46:TBL46"/>
    <mergeCell ref="TBM46:TBP46"/>
    <mergeCell ref="TBQ46:TBT46"/>
    <mergeCell ref="TBU46:TBX46"/>
    <mergeCell ref="TBY46:TCB46"/>
    <mergeCell ref="TAG46:TAJ46"/>
    <mergeCell ref="TAK46:TAN46"/>
    <mergeCell ref="TAO46:TAR46"/>
    <mergeCell ref="TAS46:TAV46"/>
    <mergeCell ref="TAW46:TAZ46"/>
    <mergeCell ref="TBA46:TBD46"/>
    <mergeCell ref="SZI46:SZL46"/>
    <mergeCell ref="SZM46:SZP46"/>
    <mergeCell ref="SZQ46:SZT46"/>
    <mergeCell ref="SZU46:SZX46"/>
    <mergeCell ref="SZY46:TAB46"/>
    <mergeCell ref="TAC46:TAF46"/>
    <mergeCell ref="TDY46:TEB46"/>
    <mergeCell ref="TEC46:TEF46"/>
    <mergeCell ref="TEG46:TEJ46"/>
    <mergeCell ref="TEK46:TEN46"/>
    <mergeCell ref="TEO46:TER46"/>
    <mergeCell ref="TES46:TEV46"/>
    <mergeCell ref="TDA46:TDD46"/>
    <mergeCell ref="TDE46:TDH46"/>
    <mergeCell ref="TDI46:TDL46"/>
    <mergeCell ref="TDM46:TDP46"/>
    <mergeCell ref="TDQ46:TDT46"/>
    <mergeCell ref="TDU46:TDX46"/>
    <mergeCell ref="TCC46:TCF46"/>
    <mergeCell ref="TCG46:TCJ46"/>
    <mergeCell ref="TCK46:TCN46"/>
    <mergeCell ref="TCO46:TCR46"/>
    <mergeCell ref="TCS46:TCV46"/>
    <mergeCell ref="TCW46:TCZ46"/>
    <mergeCell ref="TGS46:TGV46"/>
    <mergeCell ref="TGW46:TGZ46"/>
    <mergeCell ref="THA46:THD46"/>
    <mergeCell ref="THE46:THH46"/>
    <mergeCell ref="THI46:THL46"/>
    <mergeCell ref="THM46:THP46"/>
    <mergeCell ref="TFU46:TFX46"/>
    <mergeCell ref="TFY46:TGB46"/>
    <mergeCell ref="TGC46:TGF46"/>
    <mergeCell ref="TGG46:TGJ46"/>
    <mergeCell ref="TGK46:TGN46"/>
    <mergeCell ref="TGO46:TGR46"/>
    <mergeCell ref="TEW46:TEZ46"/>
    <mergeCell ref="TFA46:TFD46"/>
    <mergeCell ref="TFE46:TFH46"/>
    <mergeCell ref="TFI46:TFL46"/>
    <mergeCell ref="TFM46:TFP46"/>
    <mergeCell ref="TFQ46:TFT46"/>
    <mergeCell ref="TJM46:TJP46"/>
    <mergeCell ref="TJQ46:TJT46"/>
    <mergeCell ref="TJU46:TJX46"/>
    <mergeCell ref="TJY46:TKB46"/>
    <mergeCell ref="TKC46:TKF46"/>
    <mergeCell ref="TKG46:TKJ46"/>
    <mergeCell ref="TIO46:TIR46"/>
    <mergeCell ref="TIS46:TIV46"/>
    <mergeCell ref="TIW46:TIZ46"/>
    <mergeCell ref="TJA46:TJD46"/>
    <mergeCell ref="TJE46:TJH46"/>
    <mergeCell ref="TJI46:TJL46"/>
    <mergeCell ref="THQ46:THT46"/>
    <mergeCell ref="THU46:THX46"/>
    <mergeCell ref="THY46:TIB46"/>
    <mergeCell ref="TIC46:TIF46"/>
    <mergeCell ref="TIG46:TIJ46"/>
    <mergeCell ref="TIK46:TIN46"/>
    <mergeCell ref="TMG46:TMJ46"/>
    <mergeCell ref="TMK46:TMN46"/>
    <mergeCell ref="TMO46:TMR46"/>
    <mergeCell ref="TMS46:TMV46"/>
    <mergeCell ref="TMW46:TMZ46"/>
    <mergeCell ref="TNA46:TND46"/>
    <mergeCell ref="TLI46:TLL46"/>
    <mergeCell ref="TLM46:TLP46"/>
    <mergeCell ref="TLQ46:TLT46"/>
    <mergeCell ref="TLU46:TLX46"/>
    <mergeCell ref="TLY46:TMB46"/>
    <mergeCell ref="TMC46:TMF46"/>
    <mergeCell ref="TKK46:TKN46"/>
    <mergeCell ref="TKO46:TKR46"/>
    <mergeCell ref="TKS46:TKV46"/>
    <mergeCell ref="TKW46:TKZ46"/>
    <mergeCell ref="TLA46:TLD46"/>
    <mergeCell ref="TLE46:TLH46"/>
    <mergeCell ref="TPA46:TPD46"/>
    <mergeCell ref="TPE46:TPH46"/>
    <mergeCell ref="TPI46:TPL46"/>
    <mergeCell ref="TPM46:TPP46"/>
    <mergeCell ref="TPQ46:TPT46"/>
    <mergeCell ref="TPU46:TPX46"/>
    <mergeCell ref="TOC46:TOF46"/>
    <mergeCell ref="TOG46:TOJ46"/>
    <mergeCell ref="TOK46:TON46"/>
    <mergeCell ref="TOO46:TOR46"/>
    <mergeCell ref="TOS46:TOV46"/>
    <mergeCell ref="TOW46:TOZ46"/>
    <mergeCell ref="TNE46:TNH46"/>
    <mergeCell ref="TNI46:TNL46"/>
    <mergeCell ref="TNM46:TNP46"/>
    <mergeCell ref="TNQ46:TNT46"/>
    <mergeCell ref="TNU46:TNX46"/>
    <mergeCell ref="TNY46:TOB46"/>
    <mergeCell ref="TRU46:TRX46"/>
    <mergeCell ref="TRY46:TSB46"/>
    <mergeCell ref="TSC46:TSF46"/>
    <mergeCell ref="TSG46:TSJ46"/>
    <mergeCell ref="TSK46:TSN46"/>
    <mergeCell ref="TSO46:TSR46"/>
    <mergeCell ref="TQW46:TQZ46"/>
    <mergeCell ref="TRA46:TRD46"/>
    <mergeCell ref="TRE46:TRH46"/>
    <mergeCell ref="TRI46:TRL46"/>
    <mergeCell ref="TRM46:TRP46"/>
    <mergeCell ref="TRQ46:TRT46"/>
    <mergeCell ref="TPY46:TQB46"/>
    <mergeCell ref="TQC46:TQF46"/>
    <mergeCell ref="TQG46:TQJ46"/>
    <mergeCell ref="TQK46:TQN46"/>
    <mergeCell ref="TQO46:TQR46"/>
    <mergeCell ref="TQS46:TQV46"/>
    <mergeCell ref="TUO46:TUR46"/>
    <mergeCell ref="TUS46:TUV46"/>
    <mergeCell ref="TUW46:TUZ46"/>
    <mergeCell ref="TVA46:TVD46"/>
    <mergeCell ref="TVE46:TVH46"/>
    <mergeCell ref="TVI46:TVL46"/>
    <mergeCell ref="TTQ46:TTT46"/>
    <mergeCell ref="TTU46:TTX46"/>
    <mergeCell ref="TTY46:TUB46"/>
    <mergeCell ref="TUC46:TUF46"/>
    <mergeCell ref="TUG46:TUJ46"/>
    <mergeCell ref="TUK46:TUN46"/>
    <mergeCell ref="TSS46:TSV46"/>
    <mergeCell ref="TSW46:TSZ46"/>
    <mergeCell ref="TTA46:TTD46"/>
    <mergeCell ref="TTE46:TTH46"/>
    <mergeCell ref="TTI46:TTL46"/>
    <mergeCell ref="TTM46:TTP46"/>
    <mergeCell ref="TXI46:TXL46"/>
    <mergeCell ref="TXM46:TXP46"/>
    <mergeCell ref="TXQ46:TXT46"/>
    <mergeCell ref="TXU46:TXX46"/>
    <mergeCell ref="TXY46:TYB46"/>
    <mergeCell ref="TYC46:TYF46"/>
    <mergeCell ref="TWK46:TWN46"/>
    <mergeCell ref="TWO46:TWR46"/>
    <mergeCell ref="TWS46:TWV46"/>
    <mergeCell ref="TWW46:TWZ46"/>
    <mergeCell ref="TXA46:TXD46"/>
    <mergeCell ref="TXE46:TXH46"/>
    <mergeCell ref="TVM46:TVP46"/>
    <mergeCell ref="TVQ46:TVT46"/>
    <mergeCell ref="TVU46:TVX46"/>
    <mergeCell ref="TVY46:TWB46"/>
    <mergeCell ref="TWC46:TWF46"/>
    <mergeCell ref="TWG46:TWJ46"/>
    <mergeCell ref="UAC46:UAF46"/>
    <mergeCell ref="UAG46:UAJ46"/>
    <mergeCell ref="UAK46:UAN46"/>
    <mergeCell ref="UAO46:UAR46"/>
    <mergeCell ref="UAS46:UAV46"/>
    <mergeCell ref="UAW46:UAZ46"/>
    <mergeCell ref="TZE46:TZH46"/>
    <mergeCell ref="TZI46:TZL46"/>
    <mergeCell ref="TZM46:TZP46"/>
    <mergeCell ref="TZQ46:TZT46"/>
    <mergeCell ref="TZU46:TZX46"/>
    <mergeCell ref="TZY46:UAB46"/>
    <mergeCell ref="TYG46:TYJ46"/>
    <mergeCell ref="TYK46:TYN46"/>
    <mergeCell ref="TYO46:TYR46"/>
    <mergeCell ref="TYS46:TYV46"/>
    <mergeCell ref="TYW46:TYZ46"/>
    <mergeCell ref="TZA46:TZD46"/>
    <mergeCell ref="UCW46:UCZ46"/>
    <mergeCell ref="UDA46:UDD46"/>
    <mergeCell ref="UDE46:UDH46"/>
    <mergeCell ref="UDI46:UDL46"/>
    <mergeCell ref="UDM46:UDP46"/>
    <mergeCell ref="UDQ46:UDT46"/>
    <mergeCell ref="UBY46:UCB46"/>
    <mergeCell ref="UCC46:UCF46"/>
    <mergeCell ref="UCG46:UCJ46"/>
    <mergeCell ref="UCK46:UCN46"/>
    <mergeCell ref="UCO46:UCR46"/>
    <mergeCell ref="UCS46:UCV46"/>
    <mergeCell ref="UBA46:UBD46"/>
    <mergeCell ref="UBE46:UBH46"/>
    <mergeCell ref="UBI46:UBL46"/>
    <mergeCell ref="UBM46:UBP46"/>
    <mergeCell ref="UBQ46:UBT46"/>
    <mergeCell ref="UBU46:UBX46"/>
    <mergeCell ref="UFQ46:UFT46"/>
    <mergeCell ref="UFU46:UFX46"/>
    <mergeCell ref="UFY46:UGB46"/>
    <mergeCell ref="UGC46:UGF46"/>
    <mergeCell ref="UGG46:UGJ46"/>
    <mergeCell ref="UGK46:UGN46"/>
    <mergeCell ref="UES46:UEV46"/>
    <mergeCell ref="UEW46:UEZ46"/>
    <mergeCell ref="UFA46:UFD46"/>
    <mergeCell ref="UFE46:UFH46"/>
    <mergeCell ref="UFI46:UFL46"/>
    <mergeCell ref="UFM46:UFP46"/>
    <mergeCell ref="UDU46:UDX46"/>
    <mergeCell ref="UDY46:UEB46"/>
    <mergeCell ref="UEC46:UEF46"/>
    <mergeCell ref="UEG46:UEJ46"/>
    <mergeCell ref="UEK46:UEN46"/>
    <mergeCell ref="UEO46:UER46"/>
    <mergeCell ref="UIK46:UIN46"/>
    <mergeCell ref="UIO46:UIR46"/>
    <mergeCell ref="UIS46:UIV46"/>
    <mergeCell ref="UIW46:UIZ46"/>
    <mergeCell ref="UJA46:UJD46"/>
    <mergeCell ref="UJE46:UJH46"/>
    <mergeCell ref="UHM46:UHP46"/>
    <mergeCell ref="UHQ46:UHT46"/>
    <mergeCell ref="UHU46:UHX46"/>
    <mergeCell ref="UHY46:UIB46"/>
    <mergeCell ref="UIC46:UIF46"/>
    <mergeCell ref="UIG46:UIJ46"/>
    <mergeCell ref="UGO46:UGR46"/>
    <mergeCell ref="UGS46:UGV46"/>
    <mergeCell ref="UGW46:UGZ46"/>
    <mergeCell ref="UHA46:UHD46"/>
    <mergeCell ref="UHE46:UHH46"/>
    <mergeCell ref="UHI46:UHL46"/>
    <mergeCell ref="ULE46:ULH46"/>
    <mergeCell ref="ULI46:ULL46"/>
    <mergeCell ref="ULM46:ULP46"/>
    <mergeCell ref="ULQ46:ULT46"/>
    <mergeCell ref="ULU46:ULX46"/>
    <mergeCell ref="ULY46:UMB46"/>
    <mergeCell ref="UKG46:UKJ46"/>
    <mergeCell ref="UKK46:UKN46"/>
    <mergeCell ref="UKO46:UKR46"/>
    <mergeCell ref="UKS46:UKV46"/>
    <mergeCell ref="UKW46:UKZ46"/>
    <mergeCell ref="ULA46:ULD46"/>
    <mergeCell ref="UJI46:UJL46"/>
    <mergeCell ref="UJM46:UJP46"/>
    <mergeCell ref="UJQ46:UJT46"/>
    <mergeCell ref="UJU46:UJX46"/>
    <mergeCell ref="UJY46:UKB46"/>
    <mergeCell ref="UKC46:UKF46"/>
    <mergeCell ref="UNY46:UOB46"/>
    <mergeCell ref="UOC46:UOF46"/>
    <mergeCell ref="UOG46:UOJ46"/>
    <mergeCell ref="UOK46:UON46"/>
    <mergeCell ref="UOO46:UOR46"/>
    <mergeCell ref="UOS46:UOV46"/>
    <mergeCell ref="UNA46:UND46"/>
    <mergeCell ref="UNE46:UNH46"/>
    <mergeCell ref="UNI46:UNL46"/>
    <mergeCell ref="UNM46:UNP46"/>
    <mergeCell ref="UNQ46:UNT46"/>
    <mergeCell ref="UNU46:UNX46"/>
    <mergeCell ref="UMC46:UMF46"/>
    <mergeCell ref="UMG46:UMJ46"/>
    <mergeCell ref="UMK46:UMN46"/>
    <mergeCell ref="UMO46:UMR46"/>
    <mergeCell ref="UMS46:UMV46"/>
    <mergeCell ref="UMW46:UMZ46"/>
    <mergeCell ref="UQS46:UQV46"/>
    <mergeCell ref="UQW46:UQZ46"/>
    <mergeCell ref="URA46:URD46"/>
    <mergeCell ref="URE46:URH46"/>
    <mergeCell ref="URI46:URL46"/>
    <mergeCell ref="URM46:URP46"/>
    <mergeCell ref="UPU46:UPX46"/>
    <mergeCell ref="UPY46:UQB46"/>
    <mergeCell ref="UQC46:UQF46"/>
    <mergeCell ref="UQG46:UQJ46"/>
    <mergeCell ref="UQK46:UQN46"/>
    <mergeCell ref="UQO46:UQR46"/>
    <mergeCell ref="UOW46:UOZ46"/>
    <mergeCell ref="UPA46:UPD46"/>
    <mergeCell ref="UPE46:UPH46"/>
    <mergeCell ref="UPI46:UPL46"/>
    <mergeCell ref="UPM46:UPP46"/>
    <mergeCell ref="UPQ46:UPT46"/>
    <mergeCell ref="UTM46:UTP46"/>
    <mergeCell ref="UTQ46:UTT46"/>
    <mergeCell ref="UTU46:UTX46"/>
    <mergeCell ref="UTY46:UUB46"/>
    <mergeCell ref="UUC46:UUF46"/>
    <mergeCell ref="UUG46:UUJ46"/>
    <mergeCell ref="USO46:USR46"/>
    <mergeCell ref="USS46:USV46"/>
    <mergeCell ref="USW46:USZ46"/>
    <mergeCell ref="UTA46:UTD46"/>
    <mergeCell ref="UTE46:UTH46"/>
    <mergeCell ref="UTI46:UTL46"/>
    <mergeCell ref="URQ46:URT46"/>
    <mergeCell ref="URU46:URX46"/>
    <mergeCell ref="URY46:USB46"/>
    <mergeCell ref="USC46:USF46"/>
    <mergeCell ref="USG46:USJ46"/>
    <mergeCell ref="USK46:USN46"/>
    <mergeCell ref="UWG46:UWJ46"/>
    <mergeCell ref="UWK46:UWN46"/>
    <mergeCell ref="UWO46:UWR46"/>
    <mergeCell ref="UWS46:UWV46"/>
    <mergeCell ref="UWW46:UWZ46"/>
    <mergeCell ref="UXA46:UXD46"/>
    <mergeCell ref="UVI46:UVL46"/>
    <mergeCell ref="UVM46:UVP46"/>
    <mergeCell ref="UVQ46:UVT46"/>
    <mergeCell ref="UVU46:UVX46"/>
    <mergeCell ref="UVY46:UWB46"/>
    <mergeCell ref="UWC46:UWF46"/>
    <mergeCell ref="UUK46:UUN46"/>
    <mergeCell ref="UUO46:UUR46"/>
    <mergeCell ref="UUS46:UUV46"/>
    <mergeCell ref="UUW46:UUZ46"/>
    <mergeCell ref="UVA46:UVD46"/>
    <mergeCell ref="UVE46:UVH46"/>
    <mergeCell ref="UZA46:UZD46"/>
    <mergeCell ref="UZE46:UZH46"/>
    <mergeCell ref="UZI46:UZL46"/>
    <mergeCell ref="UZM46:UZP46"/>
    <mergeCell ref="UZQ46:UZT46"/>
    <mergeCell ref="UZU46:UZX46"/>
    <mergeCell ref="UYC46:UYF46"/>
    <mergeCell ref="UYG46:UYJ46"/>
    <mergeCell ref="UYK46:UYN46"/>
    <mergeCell ref="UYO46:UYR46"/>
    <mergeCell ref="UYS46:UYV46"/>
    <mergeCell ref="UYW46:UYZ46"/>
    <mergeCell ref="UXE46:UXH46"/>
    <mergeCell ref="UXI46:UXL46"/>
    <mergeCell ref="UXM46:UXP46"/>
    <mergeCell ref="UXQ46:UXT46"/>
    <mergeCell ref="UXU46:UXX46"/>
    <mergeCell ref="UXY46:UYB46"/>
    <mergeCell ref="VBU46:VBX46"/>
    <mergeCell ref="VBY46:VCB46"/>
    <mergeCell ref="VCC46:VCF46"/>
    <mergeCell ref="VCG46:VCJ46"/>
    <mergeCell ref="VCK46:VCN46"/>
    <mergeCell ref="VCO46:VCR46"/>
    <mergeCell ref="VAW46:VAZ46"/>
    <mergeCell ref="VBA46:VBD46"/>
    <mergeCell ref="VBE46:VBH46"/>
    <mergeCell ref="VBI46:VBL46"/>
    <mergeCell ref="VBM46:VBP46"/>
    <mergeCell ref="VBQ46:VBT46"/>
    <mergeCell ref="UZY46:VAB46"/>
    <mergeCell ref="VAC46:VAF46"/>
    <mergeCell ref="VAG46:VAJ46"/>
    <mergeCell ref="VAK46:VAN46"/>
    <mergeCell ref="VAO46:VAR46"/>
    <mergeCell ref="VAS46:VAV46"/>
    <mergeCell ref="VEO46:VER46"/>
    <mergeCell ref="VES46:VEV46"/>
    <mergeCell ref="VEW46:VEZ46"/>
    <mergeCell ref="VFA46:VFD46"/>
    <mergeCell ref="VFE46:VFH46"/>
    <mergeCell ref="VFI46:VFL46"/>
    <mergeCell ref="VDQ46:VDT46"/>
    <mergeCell ref="VDU46:VDX46"/>
    <mergeCell ref="VDY46:VEB46"/>
    <mergeCell ref="VEC46:VEF46"/>
    <mergeCell ref="VEG46:VEJ46"/>
    <mergeCell ref="VEK46:VEN46"/>
    <mergeCell ref="VCS46:VCV46"/>
    <mergeCell ref="VCW46:VCZ46"/>
    <mergeCell ref="VDA46:VDD46"/>
    <mergeCell ref="VDE46:VDH46"/>
    <mergeCell ref="VDI46:VDL46"/>
    <mergeCell ref="VDM46:VDP46"/>
    <mergeCell ref="VHI46:VHL46"/>
    <mergeCell ref="VHM46:VHP46"/>
    <mergeCell ref="VHQ46:VHT46"/>
    <mergeCell ref="VHU46:VHX46"/>
    <mergeCell ref="VHY46:VIB46"/>
    <mergeCell ref="VIC46:VIF46"/>
    <mergeCell ref="VGK46:VGN46"/>
    <mergeCell ref="VGO46:VGR46"/>
    <mergeCell ref="VGS46:VGV46"/>
    <mergeCell ref="VGW46:VGZ46"/>
    <mergeCell ref="VHA46:VHD46"/>
    <mergeCell ref="VHE46:VHH46"/>
    <mergeCell ref="VFM46:VFP46"/>
    <mergeCell ref="VFQ46:VFT46"/>
    <mergeCell ref="VFU46:VFX46"/>
    <mergeCell ref="VFY46:VGB46"/>
    <mergeCell ref="VGC46:VGF46"/>
    <mergeCell ref="VGG46:VGJ46"/>
    <mergeCell ref="VKC46:VKF46"/>
    <mergeCell ref="VKG46:VKJ46"/>
    <mergeCell ref="VKK46:VKN46"/>
    <mergeCell ref="VKO46:VKR46"/>
    <mergeCell ref="VKS46:VKV46"/>
    <mergeCell ref="VKW46:VKZ46"/>
    <mergeCell ref="VJE46:VJH46"/>
    <mergeCell ref="VJI46:VJL46"/>
    <mergeCell ref="VJM46:VJP46"/>
    <mergeCell ref="VJQ46:VJT46"/>
    <mergeCell ref="VJU46:VJX46"/>
    <mergeCell ref="VJY46:VKB46"/>
    <mergeCell ref="VIG46:VIJ46"/>
    <mergeCell ref="VIK46:VIN46"/>
    <mergeCell ref="VIO46:VIR46"/>
    <mergeCell ref="VIS46:VIV46"/>
    <mergeCell ref="VIW46:VIZ46"/>
    <mergeCell ref="VJA46:VJD46"/>
    <mergeCell ref="VMW46:VMZ46"/>
    <mergeCell ref="VNA46:VND46"/>
    <mergeCell ref="VNE46:VNH46"/>
    <mergeCell ref="VNI46:VNL46"/>
    <mergeCell ref="VNM46:VNP46"/>
    <mergeCell ref="VNQ46:VNT46"/>
    <mergeCell ref="VLY46:VMB46"/>
    <mergeCell ref="VMC46:VMF46"/>
    <mergeCell ref="VMG46:VMJ46"/>
    <mergeCell ref="VMK46:VMN46"/>
    <mergeCell ref="VMO46:VMR46"/>
    <mergeCell ref="VMS46:VMV46"/>
    <mergeCell ref="VLA46:VLD46"/>
    <mergeCell ref="VLE46:VLH46"/>
    <mergeCell ref="VLI46:VLL46"/>
    <mergeCell ref="VLM46:VLP46"/>
    <mergeCell ref="VLQ46:VLT46"/>
    <mergeCell ref="VLU46:VLX46"/>
    <mergeCell ref="VPQ46:VPT46"/>
    <mergeCell ref="VPU46:VPX46"/>
    <mergeCell ref="VPY46:VQB46"/>
    <mergeCell ref="VQC46:VQF46"/>
    <mergeCell ref="VQG46:VQJ46"/>
    <mergeCell ref="VQK46:VQN46"/>
    <mergeCell ref="VOS46:VOV46"/>
    <mergeCell ref="VOW46:VOZ46"/>
    <mergeCell ref="VPA46:VPD46"/>
    <mergeCell ref="VPE46:VPH46"/>
    <mergeCell ref="VPI46:VPL46"/>
    <mergeCell ref="VPM46:VPP46"/>
    <mergeCell ref="VNU46:VNX46"/>
    <mergeCell ref="VNY46:VOB46"/>
    <mergeCell ref="VOC46:VOF46"/>
    <mergeCell ref="VOG46:VOJ46"/>
    <mergeCell ref="VOK46:VON46"/>
    <mergeCell ref="VOO46:VOR46"/>
    <mergeCell ref="VSK46:VSN46"/>
    <mergeCell ref="VSO46:VSR46"/>
    <mergeCell ref="VSS46:VSV46"/>
    <mergeCell ref="VSW46:VSZ46"/>
    <mergeCell ref="VTA46:VTD46"/>
    <mergeCell ref="VTE46:VTH46"/>
    <mergeCell ref="VRM46:VRP46"/>
    <mergeCell ref="VRQ46:VRT46"/>
    <mergeCell ref="VRU46:VRX46"/>
    <mergeCell ref="VRY46:VSB46"/>
    <mergeCell ref="VSC46:VSF46"/>
    <mergeCell ref="VSG46:VSJ46"/>
    <mergeCell ref="VQO46:VQR46"/>
    <mergeCell ref="VQS46:VQV46"/>
    <mergeCell ref="VQW46:VQZ46"/>
    <mergeCell ref="VRA46:VRD46"/>
    <mergeCell ref="VRE46:VRH46"/>
    <mergeCell ref="VRI46:VRL46"/>
    <mergeCell ref="VVE46:VVH46"/>
    <mergeCell ref="VVI46:VVL46"/>
    <mergeCell ref="VVM46:VVP46"/>
    <mergeCell ref="VVQ46:VVT46"/>
    <mergeCell ref="VVU46:VVX46"/>
    <mergeCell ref="VVY46:VWB46"/>
    <mergeCell ref="VUG46:VUJ46"/>
    <mergeCell ref="VUK46:VUN46"/>
    <mergeCell ref="VUO46:VUR46"/>
    <mergeCell ref="VUS46:VUV46"/>
    <mergeCell ref="VUW46:VUZ46"/>
    <mergeCell ref="VVA46:VVD46"/>
    <mergeCell ref="VTI46:VTL46"/>
    <mergeCell ref="VTM46:VTP46"/>
    <mergeCell ref="VTQ46:VTT46"/>
    <mergeCell ref="VTU46:VTX46"/>
    <mergeCell ref="VTY46:VUB46"/>
    <mergeCell ref="VUC46:VUF46"/>
    <mergeCell ref="VXY46:VYB46"/>
    <mergeCell ref="VYC46:VYF46"/>
    <mergeCell ref="VYG46:VYJ46"/>
    <mergeCell ref="VYK46:VYN46"/>
    <mergeCell ref="VYO46:VYR46"/>
    <mergeCell ref="VYS46:VYV46"/>
    <mergeCell ref="VXA46:VXD46"/>
    <mergeCell ref="VXE46:VXH46"/>
    <mergeCell ref="VXI46:VXL46"/>
    <mergeCell ref="VXM46:VXP46"/>
    <mergeCell ref="VXQ46:VXT46"/>
    <mergeCell ref="VXU46:VXX46"/>
    <mergeCell ref="VWC46:VWF46"/>
    <mergeCell ref="VWG46:VWJ46"/>
    <mergeCell ref="VWK46:VWN46"/>
    <mergeCell ref="VWO46:VWR46"/>
    <mergeCell ref="VWS46:VWV46"/>
    <mergeCell ref="VWW46:VWZ46"/>
    <mergeCell ref="WAS46:WAV46"/>
    <mergeCell ref="WAW46:WAZ46"/>
    <mergeCell ref="WBA46:WBD46"/>
    <mergeCell ref="WBE46:WBH46"/>
    <mergeCell ref="WBI46:WBL46"/>
    <mergeCell ref="WBM46:WBP46"/>
    <mergeCell ref="VZU46:VZX46"/>
    <mergeCell ref="VZY46:WAB46"/>
    <mergeCell ref="WAC46:WAF46"/>
    <mergeCell ref="WAG46:WAJ46"/>
    <mergeCell ref="WAK46:WAN46"/>
    <mergeCell ref="WAO46:WAR46"/>
    <mergeCell ref="VYW46:VYZ46"/>
    <mergeCell ref="VZA46:VZD46"/>
    <mergeCell ref="VZE46:VZH46"/>
    <mergeCell ref="VZI46:VZL46"/>
    <mergeCell ref="VZM46:VZP46"/>
    <mergeCell ref="VZQ46:VZT46"/>
    <mergeCell ref="WDM46:WDP46"/>
    <mergeCell ref="WDQ46:WDT46"/>
    <mergeCell ref="WDU46:WDX46"/>
    <mergeCell ref="WDY46:WEB46"/>
    <mergeCell ref="WEC46:WEF46"/>
    <mergeCell ref="WEG46:WEJ46"/>
    <mergeCell ref="WCO46:WCR46"/>
    <mergeCell ref="WCS46:WCV46"/>
    <mergeCell ref="WCW46:WCZ46"/>
    <mergeCell ref="WDA46:WDD46"/>
    <mergeCell ref="WDE46:WDH46"/>
    <mergeCell ref="WDI46:WDL46"/>
    <mergeCell ref="WBQ46:WBT46"/>
    <mergeCell ref="WBU46:WBX46"/>
    <mergeCell ref="WBY46:WCB46"/>
    <mergeCell ref="WCC46:WCF46"/>
    <mergeCell ref="WCG46:WCJ46"/>
    <mergeCell ref="WCK46:WCN46"/>
    <mergeCell ref="WGG46:WGJ46"/>
    <mergeCell ref="WGK46:WGN46"/>
    <mergeCell ref="WGO46:WGR46"/>
    <mergeCell ref="WGS46:WGV46"/>
    <mergeCell ref="WGW46:WGZ46"/>
    <mergeCell ref="WHA46:WHD46"/>
    <mergeCell ref="WFI46:WFL46"/>
    <mergeCell ref="WFM46:WFP46"/>
    <mergeCell ref="WFQ46:WFT46"/>
    <mergeCell ref="WFU46:WFX46"/>
    <mergeCell ref="WFY46:WGB46"/>
    <mergeCell ref="WGC46:WGF46"/>
    <mergeCell ref="WEK46:WEN46"/>
    <mergeCell ref="WEO46:WER46"/>
    <mergeCell ref="WES46:WEV46"/>
    <mergeCell ref="WEW46:WEZ46"/>
    <mergeCell ref="WFA46:WFD46"/>
    <mergeCell ref="WFE46:WFH46"/>
    <mergeCell ref="WJA46:WJD46"/>
    <mergeCell ref="WJE46:WJH46"/>
    <mergeCell ref="WJI46:WJL46"/>
    <mergeCell ref="WJM46:WJP46"/>
    <mergeCell ref="WJQ46:WJT46"/>
    <mergeCell ref="WJU46:WJX46"/>
    <mergeCell ref="WIC46:WIF46"/>
    <mergeCell ref="WIG46:WIJ46"/>
    <mergeCell ref="WIK46:WIN46"/>
    <mergeCell ref="WIO46:WIR46"/>
    <mergeCell ref="WIS46:WIV46"/>
    <mergeCell ref="WIW46:WIZ46"/>
    <mergeCell ref="WHE46:WHH46"/>
    <mergeCell ref="WHI46:WHL46"/>
    <mergeCell ref="WHM46:WHP46"/>
    <mergeCell ref="WHQ46:WHT46"/>
    <mergeCell ref="WHU46:WHX46"/>
    <mergeCell ref="WHY46:WIB46"/>
    <mergeCell ref="WLU46:WLX46"/>
    <mergeCell ref="WLY46:WMB46"/>
    <mergeCell ref="WMC46:WMF46"/>
    <mergeCell ref="WMG46:WMJ46"/>
    <mergeCell ref="WMK46:WMN46"/>
    <mergeCell ref="WMO46:WMR46"/>
    <mergeCell ref="WKW46:WKZ46"/>
    <mergeCell ref="WLA46:WLD46"/>
    <mergeCell ref="WLE46:WLH46"/>
    <mergeCell ref="WLI46:WLL46"/>
    <mergeCell ref="WLM46:WLP46"/>
    <mergeCell ref="WLQ46:WLT46"/>
    <mergeCell ref="WJY46:WKB46"/>
    <mergeCell ref="WKC46:WKF46"/>
    <mergeCell ref="WKG46:WKJ46"/>
    <mergeCell ref="WKK46:WKN46"/>
    <mergeCell ref="WKO46:WKR46"/>
    <mergeCell ref="WKS46:WKV46"/>
    <mergeCell ref="WOO46:WOR46"/>
    <mergeCell ref="WOS46:WOV46"/>
    <mergeCell ref="WOW46:WOZ46"/>
    <mergeCell ref="WPA46:WPD46"/>
    <mergeCell ref="WPE46:WPH46"/>
    <mergeCell ref="WPI46:WPL46"/>
    <mergeCell ref="WNQ46:WNT46"/>
    <mergeCell ref="WNU46:WNX46"/>
    <mergeCell ref="WNY46:WOB46"/>
    <mergeCell ref="WOC46:WOF46"/>
    <mergeCell ref="WOG46:WOJ46"/>
    <mergeCell ref="WOK46:WON46"/>
    <mergeCell ref="WMS46:WMV46"/>
    <mergeCell ref="WMW46:WMZ46"/>
    <mergeCell ref="WNA46:WND46"/>
    <mergeCell ref="WNE46:WNH46"/>
    <mergeCell ref="WNI46:WNL46"/>
    <mergeCell ref="WNM46:WNP46"/>
    <mergeCell ref="WRI46:WRL46"/>
    <mergeCell ref="WRM46:WRP46"/>
    <mergeCell ref="WRQ46:WRT46"/>
    <mergeCell ref="WRU46:WRX46"/>
    <mergeCell ref="WRY46:WSB46"/>
    <mergeCell ref="WSC46:WSF46"/>
    <mergeCell ref="WQK46:WQN46"/>
    <mergeCell ref="WQO46:WQR46"/>
    <mergeCell ref="WQS46:WQV46"/>
    <mergeCell ref="WQW46:WQZ46"/>
    <mergeCell ref="WRA46:WRD46"/>
    <mergeCell ref="WRE46:WRH46"/>
    <mergeCell ref="WPM46:WPP46"/>
    <mergeCell ref="WPQ46:WPT46"/>
    <mergeCell ref="WPU46:WPX46"/>
    <mergeCell ref="WPY46:WQB46"/>
    <mergeCell ref="WQC46:WQF46"/>
    <mergeCell ref="WQG46:WQJ46"/>
    <mergeCell ref="WUC46:WUF46"/>
    <mergeCell ref="WUG46:WUJ46"/>
    <mergeCell ref="WUK46:WUN46"/>
    <mergeCell ref="WUO46:WUR46"/>
    <mergeCell ref="WUS46:WUV46"/>
    <mergeCell ref="WUW46:WUZ46"/>
    <mergeCell ref="WTE46:WTH46"/>
    <mergeCell ref="WTI46:WTL46"/>
    <mergeCell ref="WTM46:WTP46"/>
    <mergeCell ref="WTQ46:WTT46"/>
    <mergeCell ref="WTU46:WTX46"/>
    <mergeCell ref="WTY46:WUB46"/>
    <mergeCell ref="WSG46:WSJ46"/>
    <mergeCell ref="WSK46:WSN46"/>
    <mergeCell ref="WSO46:WSR46"/>
    <mergeCell ref="WSS46:WSV46"/>
    <mergeCell ref="WSW46:WSZ46"/>
    <mergeCell ref="WTA46:WTD46"/>
    <mergeCell ref="WWW46:WWZ46"/>
    <mergeCell ref="WXA46:WXD46"/>
    <mergeCell ref="WXE46:WXH46"/>
    <mergeCell ref="WXI46:WXL46"/>
    <mergeCell ref="WXM46:WXP46"/>
    <mergeCell ref="WXQ46:WXT46"/>
    <mergeCell ref="WVY46:WWB46"/>
    <mergeCell ref="WWC46:WWF46"/>
    <mergeCell ref="WWG46:WWJ46"/>
    <mergeCell ref="WWK46:WWN46"/>
    <mergeCell ref="WWO46:WWR46"/>
    <mergeCell ref="WWS46:WWV46"/>
    <mergeCell ref="WVA46:WVD46"/>
    <mergeCell ref="WVE46:WVH46"/>
    <mergeCell ref="WVI46:WVL46"/>
    <mergeCell ref="WVM46:WVP46"/>
    <mergeCell ref="WVQ46:WVT46"/>
    <mergeCell ref="WVU46:WVX46"/>
    <mergeCell ref="WZU46:WZX46"/>
    <mergeCell ref="WZY46:XAB46"/>
    <mergeCell ref="XAC46:XAF46"/>
    <mergeCell ref="XAG46:XAJ46"/>
    <mergeCell ref="XAK46:XAN46"/>
    <mergeCell ref="WYS46:WYV46"/>
    <mergeCell ref="WYW46:WYZ46"/>
    <mergeCell ref="WZA46:WZD46"/>
    <mergeCell ref="WZE46:WZH46"/>
    <mergeCell ref="WZI46:WZL46"/>
    <mergeCell ref="WZM46:WZP46"/>
    <mergeCell ref="WXU46:WXX46"/>
    <mergeCell ref="WXY46:WYB46"/>
    <mergeCell ref="WYC46:WYF46"/>
    <mergeCell ref="WYG46:WYJ46"/>
    <mergeCell ref="WYK46:WYN46"/>
    <mergeCell ref="WYO46:WYR46"/>
    <mergeCell ref="A116:A117"/>
    <mergeCell ref="B116:B117"/>
    <mergeCell ref="A118:A124"/>
    <mergeCell ref="B118:B124"/>
    <mergeCell ref="D103:D104"/>
    <mergeCell ref="D236:D242"/>
    <mergeCell ref="A92:A97"/>
    <mergeCell ref="B92:B97"/>
    <mergeCell ref="A100:A101"/>
    <mergeCell ref="B100:B101"/>
    <mergeCell ref="A109:A114"/>
    <mergeCell ref="B109:B114"/>
    <mergeCell ref="XCK46:XCN46"/>
    <mergeCell ref="XCO46:XCR46"/>
    <mergeCell ref="XCS46:XCV46"/>
    <mergeCell ref="A49:A50"/>
    <mergeCell ref="B49:B50"/>
    <mergeCell ref="A67:A69"/>
    <mergeCell ref="B67:B69"/>
    <mergeCell ref="XBM46:XBP46"/>
    <mergeCell ref="XBQ46:XBT46"/>
    <mergeCell ref="XBU46:XBX46"/>
    <mergeCell ref="XBY46:XCB46"/>
    <mergeCell ref="XCC46:XCF46"/>
    <mergeCell ref="XCG46:XCJ46"/>
    <mergeCell ref="XAO46:XAR46"/>
    <mergeCell ref="XAS46:XAV46"/>
    <mergeCell ref="XAW46:XAZ46"/>
    <mergeCell ref="XBA46:XBD46"/>
    <mergeCell ref="XBE46:XBH46"/>
    <mergeCell ref="XBI46:XBL46"/>
    <mergeCell ref="WZQ46:WZT46"/>
  </mergeCells>
  <phoneticPr fontId="3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sheetPr>
  <dimension ref="A1:X43"/>
  <sheetViews>
    <sheetView zoomScale="90" zoomScaleNormal="60" workbookViewId="0">
      <pane xSplit="2" ySplit="1" topLeftCell="N2" activePane="bottomRight" state="frozen"/>
      <selection pane="topRight" activeCell="C1" sqref="C1"/>
      <selection pane="bottomLeft" activeCell="A2" sqref="A2"/>
      <selection pane="bottomRight" activeCell="V37" sqref="V37"/>
    </sheetView>
  </sheetViews>
  <sheetFormatPr defaultColWidth="18.83203125" defaultRowHeight="20.25" customHeight="1" x14ac:dyDescent="0.35"/>
  <cols>
    <col min="1" max="3" width="18.83203125" style="103"/>
    <col min="4" max="13" width="20" customWidth="1"/>
    <col min="14" max="14" width="19" customWidth="1"/>
    <col min="15" max="15" width="3" customWidth="1"/>
    <col min="16" max="18" width="20" style="129" customWidth="1"/>
    <col min="19" max="19" width="5.5" style="129" bestFit="1" customWidth="1"/>
    <col min="20" max="20" width="20" style="129" customWidth="1"/>
    <col min="21" max="21" width="5.5" bestFit="1" customWidth="1"/>
    <col min="22" max="22" width="20" style="173" customWidth="1"/>
  </cols>
  <sheetData>
    <row r="1" spans="1:24" s="118" customFormat="1" ht="31" customHeight="1" x14ac:dyDescent="0.3">
      <c r="A1" s="372" t="s">
        <v>699</v>
      </c>
      <c r="B1" s="376" t="s">
        <v>700</v>
      </c>
      <c r="C1" s="354"/>
      <c r="D1" s="374" t="s">
        <v>701</v>
      </c>
      <c r="E1" s="374"/>
      <c r="F1" s="374"/>
      <c r="G1" s="374"/>
      <c r="H1" s="374"/>
      <c r="I1" s="374"/>
      <c r="J1" s="374"/>
      <c r="K1" s="374"/>
      <c r="L1" s="374"/>
      <c r="M1" s="374"/>
      <c r="N1" s="374"/>
      <c r="O1" s="117"/>
      <c r="P1" s="375" t="s">
        <v>702</v>
      </c>
      <c r="Q1" s="375"/>
      <c r="R1" s="375"/>
      <c r="S1" s="127"/>
      <c r="T1" s="371" t="s">
        <v>703</v>
      </c>
      <c r="V1" s="369" t="s">
        <v>704</v>
      </c>
    </row>
    <row r="2" spans="1:24" s="101" customFormat="1" ht="56.15" customHeight="1" x14ac:dyDescent="0.35">
      <c r="A2" s="373"/>
      <c r="B2" s="377"/>
      <c r="C2" s="359" t="s">
        <v>3173</v>
      </c>
      <c r="D2" s="300" t="s">
        <v>705</v>
      </c>
      <c r="E2" s="300" t="s">
        <v>706</v>
      </c>
      <c r="F2" s="300" t="s">
        <v>707</v>
      </c>
      <c r="G2" s="300" t="s">
        <v>708</v>
      </c>
      <c r="H2" s="300" t="s">
        <v>709</v>
      </c>
      <c r="I2" s="300" t="s">
        <v>710</v>
      </c>
      <c r="J2" s="300" t="s">
        <v>711</v>
      </c>
      <c r="K2" s="300" t="s">
        <v>712</v>
      </c>
      <c r="L2" s="300" t="s">
        <v>713</v>
      </c>
      <c r="M2" s="300" t="s">
        <v>714</v>
      </c>
      <c r="N2" s="291" t="s">
        <v>715</v>
      </c>
      <c r="O2" s="104"/>
      <c r="P2" s="301" t="s">
        <v>716</v>
      </c>
      <c r="Q2" s="301" t="s">
        <v>717</v>
      </c>
      <c r="R2" s="302" t="s">
        <v>718</v>
      </c>
      <c r="S2" s="128"/>
      <c r="T2" s="371"/>
      <c r="V2" s="370"/>
    </row>
    <row r="3" spans="1:24" s="7" customFormat="1" ht="20.25" customHeight="1" x14ac:dyDescent="0.35">
      <c r="A3" s="343" t="s">
        <v>719</v>
      </c>
      <c r="B3" s="343" t="s">
        <v>720</v>
      </c>
      <c r="C3" s="343" t="s">
        <v>3172</v>
      </c>
      <c r="D3" s="345">
        <v>0.79761899999999997</v>
      </c>
      <c r="E3" s="345">
        <v>0.3406863</v>
      </c>
      <c r="F3" s="345">
        <v>0.51136360000000003</v>
      </c>
      <c r="G3" s="345">
        <v>0.73188410000000004</v>
      </c>
      <c r="H3" s="345">
        <v>0.83333330000000005</v>
      </c>
      <c r="I3" s="345">
        <v>0.55128200000000005</v>
      </c>
      <c r="J3" s="345">
        <v>1.08696E-2</v>
      </c>
      <c r="K3" s="345">
        <v>0.7183908</v>
      </c>
      <c r="L3" s="345">
        <v>0.79629629999999996</v>
      </c>
      <c r="M3" s="345">
        <v>0.5</v>
      </c>
      <c r="N3" s="355">
        <v>0.44058190000000003</v>
      </c>
      <c r="P3" s="351">
        <v>0.43812499999999999</v>
      </c>
      <c r="Q3" s="352">
        <v>0.72718749999999999</v>
      </c>
      <c r="R3" s="352">
        <v>0.58265630000000002</v>
      </c>
      <c r="S3" s="132"/>
      <c r="T3" s="353">
        <v>0.3346094</v>
      </c>
      <c r="V3" s="172">
        <f>(0.4*N3)+(0.2*R3)+(0.4*T3)</f>
        <v>0.42660777999999999</v>
      </c>
      <c r="W3" s="7" t="s">
        <v>3172</v>
      </c>
      <c r="X3" s="358">
        <v>0.48</v>
      </c>
    </row>
    <row r="4" spans="1:24" s="7" customFormat="1" ht="20.25" customHeight="1" x14ac:dyDescent="0.35">
      <c r="A4" s="100" t="s">
        <v>721</v>
      </c>
      <c r="B4" s="100" t="s">
        <v>722</v>
      </c>
      <c r="C4" s="100" t="s">
        <v>2647</v>
      </c>
      <c r="D4" s="121">
        <v>0.66071429999999998</v>
      </c>
      <c r="E4" s="121">
        <v>0.59191179999999999</v>
      </c>
      <c r="F4" s="121">
        <v>0.78125</v>
      </c>
      <c r="G4" s="121">
        <v>0.46739130000000001</v>
      </c>
      <c r="H4" s="121">
        <v>0.63333329999999999</v>
      </c>
      <c r="I4" s="121">
        <v>0.63461540000000005</v>
      </c>
      <c r="J4" s="121">
        <v>1.19565E-2</v>
      </c>
      <c r="K4" s="121">
        <v>0.74137929999999996</v>
      </c>
      <c r="L4" s="121">
        <v>0.82407410000000003</v>
      </c>
      <c r="M4" s="121">
        <v>0.84615390000000001</v>
      </c>
      <c r="N4" s="320">
        <v>0.50104320000000002</v>
      </c>
      <c r="P4" s="130">
        <v>0.41199999999999998</v>
      </c>
      <c r="Q4" s="131">
        <v>0.66149999999999998</v>
      </c>
      <c r="R4" s="131">
        <v>0.53674999999999995</v>
      </c>
      <c r="S4" s="132"/>
      <c r="T4" s="133">
        <v>0.39187499999999997</v>
      </c>
      <c r="V4" s="172">
        <f>(0.4*N4)+(0.2*R4)+(0.4*T4)</f>
        <v>0.46451728000000003</v>
      </c>
    </row>
    <row r="5" spans="1:24" s="7" customFormat="1" ht="20.25" customHeight="1" x14ac:dyDescent="0.35">
      <c r="A5" s="99" t="s">
        <v>723</v>
      </c>
      <c r="B5" s="99" t="s">
        <v>720</v>
      </c>
      <c r="C5" s="343" t="s">
        <v>3172</v>
      </c>
      <c r="D5" s="122">
        <v>0.77380959999999999</v>
      </c>
      <c r="E5" s="122">
        <v>0.30147059999999998</v>
      </c>
      <c r="F5" s="122">
        <v>0.75568179999999996</v>
      </c>
      <c r="G5" s="122">
        <v>0.68840579999999996</v>
      </c>
      <c r="H5" s="122">
        <v>0.82666669999999998</v>
      </c>
      <c r="I5" s="122">
        <v>0.5</v>
      </c>
      <c r="J5" s="122">
        <v>0</v>
      </c>
      <c r="K5" s="122">
        <v>0.78735630000000001</v>
      </c>
      <c r="L5" s="122">
        <v>0.8518519</v>
      </c>
      <c r="M5" s="122">
        <v>0.78846159999999998</v>
      </c>
      <c r="N5" s="319">
        <v>0.47748410000000002</v>
      </c>
      <c r="P5" s="134">
        <v>0.47799999999999998</v>
      </c>
      <c r="Q5" s="135">
        <v>0.77800000000000002</v>
      </c>
      <c r="R5" s="135">
        <v>0.628</v>
      </c>
      <c r="S5" s="132"/>
      <c r="T5" s="136">
        <v>0.53237500000000004</v>
      </c>
      <c r="V5" s="172">
        <f t="shared" ref="V5:V37" si="0">(0.4*N5)+(0.2*R5)+(0.4*T5)</f>
        <v>0.52954363999999998</v>
      </c>
    </row>
    <row r="6" spans="1:24" s="7" customFormat="1" ht="20.25" customHeight="1" x14ac:dyDescent="0.35">
      <c r="A6" s="100" t="s">
        <v>724</v>
      </c>
      <c r="B6" s="100" t="s">
        <v>725</v>
      </c>
      <c r="C6" s="343" t="s">
        <v>3172</v>
      </c>
      <c r="D6" s="121">
        <v>0.91071429999999998</v>
      </c>
      <c r="E6" s="121">
        <v>0.66911759999999998</v>
      </c>
      <c r="F6" s="121">
        <v>0.77840909999999996</v>
      </c>
      <c r="G6" s="121">
        <v>0.87826090000000001</v>
      </c>
      <c r="H6" s="121">
        <v>1</v>
      </c>
      <c r="I6" s="121">
        <v>0.69230769999999997</v>
      </c>
      <c r="J6" s="121">
        <v>0.15</v>
      </c>
      <c r="K6" s="121">
        <v>0.83793099999999998</v>
      </c>
      <c r="L6" s="121">
        <v>0.94814810000000005</v>
      </c>
      <c r="M6" s="121">
        <v>0.83076919999999999</v>
      </c>
      <c r="N6" s="121">
        <v>0.61811380000000005</v>
      </c>
      <c r="P6" s="130">
        <v>0.50368420000000003</v>
      </c>
      <c r="Q6" s="131">
        <v>0.66269230000000001</v>
      </c>
      <c r="R6" s="131">
        <v>0.56828120000000004</v>
      </c>
      <c r="S6" s="132"/>
      <c r="T6" s="133">
        <v>0.42499999999999999</v>
      </c>
      <c r="V6" s="171">
        <f t="shared" si="0"/>
        <v>0.53090176000000011</v>
      </c>
    </row>
    <row r="7" spans="1:24" s="7" customFormat="1" ht="20.25" customHeight="1" x14ac:dyDescent="0.35">
      <c r="A7" s="99" t="s">
        <v>726</v>
      </c>
      <c r="B7" s="99" t="s">
        <v>720</v>
      </c>
      <c r="C7" s="343" t="s">
        <v>3172</v>
      </c>
      <c r="D7" s="122">
        <v>0.92142860000000004</v>
      </c>
      <c r="E7" s="122">
        <v>0.83529410000000004</v>
      </c>
      <c r="F7" s="122">
        <v>0.61363639999999997</v>
      </c>
      <c r="G7" s="122">
        <v>0.64347829999999995</v>
      </c>
      <c r="H7" s="122">
        <v>0.96666660000000004</v>
      </c>
      <c r="I7" s="122">
        <v>0.43076920000000002</v>
      </c>
      <c r="J7" s="122">
        <v>2.8695700000000001E-2</v>
      </c>
      <c r="K7" s="122">
        <v>0.78620690000000004</v>
      </c>
      <c r="L7" s="122">
        <v>0.97037039999999997</v>
      </c>
      <c r="M7" s="122">
        <v>0.59230769999999999</v>
      </c>
      <c r="N7" s="122">
        <v>0.51089819999999997</v>
      </c>
      <c r="P7" s="134">
        <v>0.48363630000000002</v>
      </c>
      <c r="Q7" s="135">
        <v>0.77045450000000004</v>
      </c>
      <c r="R7" s="135">
        <v>0.62704550000000003</v>
      </c>
      <c r="S7" s="132"/>
      <c r="T7" s="136">
        <v>0.53079549999999998</v>
      </c>
      <c r="V7" s="172">
        <f t="shared" si="0"/>
        <v>0.5420865800000001</v>
      </c>
    </row>
    <row r="8" spans="1:24" s="7" customFormat="1" ht="20.25" customHeight="1" x14ac:dyDescent="0.35">
      <c r="A8" s="100" t="s">
        <v>727</v>
      </c>
      <c r="B8" s="100" t="s">
        <v>728</v>
      </c>
      <c r="C8" s="100" t="s">
        <v>2647</v>
      </c>
      <c r="D8" s="121">
        <v>0.54464290000000004</v>
      </c>
      <c r="E8" s="121">
        <v>0.54411759999999998</v>
      </c>
      <c r="F8" s="121">
        <v>0.43465910000000002</v>
      </c>
      <c r="G8" s="121">
        <v>0.51086960000000003</v>
      </c>
      <c r="H8" s="121">
        <v>0.66666669999999995</v>
      </c>
      <c r="I8" s="121">
        <v>0.50961540000000005</v>
      </c>
      <c r="J8" s="121">
        <v>0</v>
      </c>
      <c r="K8" s="121">
        <v>0.70689650000000004</v>
      </c>
      <c r="L8" s="121">
        <v>0.79629629999999996</v>
      </c>
      <c r="M8" s="121">
        <v>0.69230769999999997</v>
      </c>
      <c r="N8" s="318">
        <v>0.41296159999999998</v>
      </c>
      <c r="P8" s="130">
        <v>0.41454540000000001</v>
      </c>
      <c r="Q8" s="131">
        <v>0.6318182</v>
      </c>
      <c r="R8" s="131">
        <v>0.52318180000000003</v>
      </c>
      <c r="S8" s="132"/>
      <c r="T8" s="133">
        <v>0.56999999999999995</v>
      </c>
      <c r="V8" s="171">
        <f t="shared" si="0"/>
        <v>0.49782099999999996</v>
      </c>
    </row>
    <row r="9" spans="1:24" s="7" customFormat="1" ht="20.25" customHeight="1" x14ac:dyDescent="0.35">
      <c r="A9" s="99" t="s">
        <v>729</v>
      </c>
      <c r="B9" s="99" t="s">
        <v>730</v>
      </c>
      <c r="C9" s="100" t="s">
        <v>2647</v>
      </c>
      <c r="D9" s="122">
        <v>0.59285710000000003</v>
      </c>
      <c r="E9" s="122">
        <v>0.4</v>
      </c>
      <c r="F9" s="122">
        <v>0.55909089999999995</v>
      </c>
      <c r="G9" s="122">
        <v>0.59130439999999995</v>
      </c>
      <c r="H9" s="122">
        <v>0.85</v>
      </c>
      <c r="I9" s="122">
        <v>0.6769231</v>
      </c>
      <c r="J9" s="122">
        <v>3.13043E-2</v>
      </c>
      <c r="K9" s="122">
        <v>0.93793110000000002</v>
      </c>
      <c r="L9" s="122">
        <v>0.89629630000000005</v>
      </c>
      <c r="M9" s="122">
        <v>0.88461540000000005</v>
      </c>
      <c r="N9" s="122">
        <v>0.50376469999999995</v>
      </c>
      <c r="P9" s="134">
        <v>0.44454539999999998</v>
      </c>
      <c r="Q9" s="135">
        <v>0.82</v>
      </c>
      <c r="R9" s="135">
        <v>0.63227270000000002</v>
      </c>
      <c r="S9" s="132"/>
      <c r="T9" s="136">
        <v>0.44329540000000001</v>
      </c>
      <c r="V9" s="172">
        <f t="shared" si="0"/>
        <v>0.50527858000000003</v>
      </c>
    </row>
    <row r="10" spans="1:24" s="7" customFormat="1" ht="20.25" customHeight="1" x14ac:dyDescent="0.35">
      <c r="A10" s="100" t="s">
        <v>731</v>
      </c>
      <c r="B10" s="100" t="s">
        <v>722</v>
      </c>
      <c r="C10" s="343" t="s">
        <v>3172</v>
      </c>
      <c r="D10" s="121">
        <v>0.45982139999999999</v>
      </c>
      <c r="E10" s="121">
        <v>0.18566179999999999</v>
      </c>
      <c r="F10" s="121">
        <v>0.54261360000000003</v>
      </c>
      <c r="G10" s="121">
        <v>0.36956519999999998</v>
      </c>
      <c r="H10" s="121">
        <v>0.69333330000000004</v>
      </c>
      <c r="I10" s="121">
        <v>0.39903850000000002</v>
      </c>
      <c r="J10" s="121">
        <v>0</v>
      </c>
      <c r="K10" s="121">
        <v>0.66379310000000002</v>
      </c>
      <c r="L10" s="121">
        <v>0.71296300000000001</v>
      </c>
      <c r="M10" s="121">
        <v>0.74038459999999995</v>
      </c>
      <c r="N10" s="318">
        <v>0.35716930000000002</v>
      </c>
      <c r="P10" s="130">
        <v>0.37</v>
      </c>
      <c r="Q10" s="131">
        <v>0.76222219999999996</v>
      </c>
      <c r="R10" s="131">
        <v>0.52347829999999995</v>
      </c>
      <c r="S10" s="132"/>
      <c r="T10" s="133">
        <v>0.41804350000000001</v>
      </c>
      <c r="V10" s="171">
        <f t="shared" si="0"/>
        <v>0.41478078000000002</v>
      </c>
    </row>
    <row r="11" spans="1:24" s="7" customFormat="1" ht="20.25" customHeight="1" x14ac:dyDescent="0.35">
      <c r="A11" s="99" t="s">
        <v>732</v>
      </c>
      <c r="B11" s="99" t="s">
        <v>730</v>
      </c>
      <c r="C11" s="343" t="s">
        <v>3172</v>
      </c>
      <c r="D11" s="122">
        <v>0.48928569999999999</v>
      </c>
      <c r="E11" s="122">
        <v>0.28823530000000003</v>
      </c>
      <c r="F11" s="122">
        <v>0.75113640000000004</v>
      </c>
      <c r="G11" s="122">
        <v>0.4</v>
      </c>
      <c r="H11" s="122">
        <v>0.73333329999999997</v>
      </c>
      <c r="I11" s="122">
        <v>0.56923080000000004</v>
      </c>
      <c r="J11" s="122">
        <v>2.4782599999999998E-2</v>
      </c>
      <c r="K11" s="122">
        <v>0.65862069999999995</v>
      </c>
      <c r="L11" s="122">
        <v>0.72962959999999999</v>
      </c>
      <c r="M11" s="122">
        <v>0.61153849999999998</v>
      </c>
      <c r="N11" s="319">
        <v>0.4263189</v>
      </c>
      <c r="P11" s="134">
        <v>0.55437499999999995</v>
      </c>
      <c r="Q11" s="135">
        <v>0.73033329999999996</v>
      </c>
      <c r="R11" s="135">
        <v>0.63951610000000003</v>
      </c>
      <c r="S11" s="132"/>
      <c r="T11" s="136">
        <v>0.26741939999999997</v>
      </c>
      <c r="V11" s="172">
        <f t="shared" si="0"/>
        <v>0.40539853999999997</v>
      </c>
    </row>
    <row r="12" spans="1:24" s="7" customFormat="1" ht="20.25" customHeight="1" x14ac:dyDescent="0.35">
      <c r="A12" s="100" t="s">
        <v>733</v>
      </c>
      <c r="B12" s="100" t="s">
        <v>734</v>
      </c>
      <c r="C12" s="100" t="s">
        <v>2647</v>
      </c>
      <c r="D12" s="121">
        <v>0.64285709999999996</v>
      </c>
      <c r="E12" s="121">
        <v>0.52941179999999999</v>
      </c>
      <c r="F12" s="121">
        <v>0.53125</v>
      </c>
      <c r="G12" s="121">
        <v>0.6413044</v>
      </c>
      <c r="H12" s="121">
        <v>0.84444450000000004</v>
      </c>
      <c r="I12" s="121">
        <v>0.51923079999999999</v>
      </c>
      <c r="J12" s="121">
        <v>8.9130399999999999E-2</v>
      </c>
      <c r="K12" s="121">
        <v>0.75</v>
      </c>
      <c r="L12" s="121">
        <v>0.90740739999999998</v>
      </c>
      <c r="M12" s="121">
        <v>0.59615390000000001</v>
      </c>
      <c r="N12" s="121">
        <v>0.48290349999999999</v>
      </c>
      <c r="P12" s="130">
        <v>0.51363639999999999</v>
      </c>
      <c r="Q12" s="131">
        <v>0.83850000000000002</v>
      </c>
      <c r="R12" s="131">
        <v>0.66833339999999997</v>
      </c>
      <c r="S12" s="132"/>
      <c r="T12" s="133">
        <v>0.46562500000000001</v>
      </c>
      <c r="V12" s="171">
        <f t="shared" si="0"/>
        <v>0.5130780800000001</v>
      </c>
    </row>
    <row r="13" spans="1:24" s="7" customFormat="1" ht="20.25" customHeight="1" x14ac:dyDescent="0.35">
      <c r="A13" s="99" t="s">
        <v>735</v>
      </c>
      <c r="B13" s="99" t="s">
        <v>736</v>
      </c>
      <c r="C13" s="100" t="s">
        <v>2647</v>
      </c>
      <c r="D13" s="122">
        <v>0.40079360000000003</v>
      </c>
      <c r="E13" s="122">
        <v>0.22875819999999999</v>
      </c>
      <c r="F13" s="122">
        <v>0.4166667</v>
      </c>
      <c r="G13" s="122">
        <v>0.23671500000000001</v>
      </c>
      <c r="H13" s="122">
        <v>0.48888890000000002</v>
      </c>
      <c r="I13" s="122">
        <v>0.38034190000000001</v>
      </c>
      <c r="J13" s="122">
        <v>0</v>
      </c>
      <c r="K13" s="122">
        <v>0.56704980000000005</v>
      </c>
      <c r="L13" s="122">
        <v>0.70781890000000003</v>
      </c>
      <c r="M13" s="122">
        <v>0.32905980000000001</v>
      </c>
      <c r="N13" s="319">
        <v>0.29796460000000002</v>
      </c>
      <c r="P13" s="134">
        <v>0.33</v>
      </c>
      <c r="Q13" s="135">
        <v>0.57250000000000001</v>
      </c>
      <c r="R13" s="135">
        <v>0.44316670000000002</v>
      </c>
      <c r="S13" s="132"/>
      <c r="T13" s="136">
        <v>0.30810340000000003</v>
      </c>
      <c r="V13" s="172">
        <f t="shared" si="0"/>
        <v>0.33106054000000007</v>
      </c>
    </row>
    <row r="14" spans="1:24" s="7" customFormat="1" ht="20.25" customHeight="1" x14ac:dyDescent="0.35">
      <c r="A14" s="100" t="s">
        <v>737</v>
      </c>
      <c r="B14" s="100" t="s">
        <v>736</v>
      </c>
      <c r="C14" s="100" t="s">
        <v>2647</v>
      </c>
      <c r="D14" s="121">
        <v>0.57142859999999995</v>
      </c>
      <c r="E14" s="121">
        <v>0.42499999999999999</v>
      </c>
      <c r="F14" s="121">
        <v>0.6</v>
      </c>
      <c r="G14" s="121">
        <v>0.3391304</v>
      </c>
      <c r="H14" s="121">
        <v>0.77500000000000002</v>
      </c>
      <c r="I14" s="121">
        <v>0.51923079999999999</v>
      </c>
      <c r="J14" s="121">
        <v>1.8695699999999999E-2</v>
      </c>
      <c r="K14" s="121">
        <v>0.76896549999999997</v>
      </c>
      <c r="L14" s="121">
        <v>0.75555559999999999</v>
      </c>
      <c r="M14" s="121">
        <v>0.53076920000000005</v>
      </c>
      <c r="N14" s="318">
        <v>0.42432350000000002</v>
      </c>
      <c r="P14" s="130">
        <v>0.38124999999999998</v>
      </c>
      <c r="Q14" s="131">
        <v>0.73468750000000005</v>
      </c>
      <c r="R14" s="131">
        <v>0.55796869999999998</v>
      </c>
      <c r="S14" s="132"/>
      <c r="T14" s="133">
        <v>0.41765619999999998</v>
      </c>
      <c r="V14" s="171">
        <f t="shared" si="0"/>
        <v>0.44838562000000004</v>
      </c>
    </row>
    <row r="15" spans="1:24" s="7" customFormat="1" ht="20.25" customHeight="1" x14ac:dyDescent="0.35">
      <c r="A15" s="99" t="s">
        <v>738</v>
      </c>
      <c r="B15" s="99" t="s">
        <v>722</v>
      </c>
      <c r="C15" s="343" t="s">
        <v>3172</v>
      </c>
      <c r="D15" s="122">
        <v>0.75595239999999997</v>
      </c>
      <c r="E15" s="122">
        <v>0.1593137</v>
      </c>
      <c r="F15" s="122">
        <v>0.61174240000000002</v>
      </c>
      <c r="G15" s="122">
        <v>0.36956519999999998</v>
      </c>
      <c r="H15" s="122">
        <v>0.53333339999999996</v>
      </c>
      <c r="I15" s="122">
        <v>0.44230770000000003</v>
      </c>
      <c r="J15" s="122">
        <v>6.1594200000000002E-2</v>
      </c>
      <c r="K15" s="122">
        <v>0.81609200000000004</v>
      </c>
      <c r="L15" s="122">
        <v>0.82716049999999997</v>
      </c>
      <c r="M15" s="122">
        <v>0.66025639999999997</v>
      </c>
      <c r="N15" s="319">
        <v>0.4133134</v>
      </c>
      <c r="P15" s="134">
        <v>0.51200000000000001</v>
      </c>
      <c r="Q15" s="135">
        <v>0.729375</v>
      </c>
      <c r="R15" s="135">
        <v>0.57410720000000004</v>
      </c>
      <c r="S15" s="132"/>
      <c r="T15" s="136">
        <v>0.56952380000000002</v>
      </c>
      <c r="V15" s="172">
        <f t="shared" si="0"/>
        <v>0.50795632000000002</v>
      </c>
    </row>
    <row r="16" spans="1:24" s="7" customFormat="1" ht="20.25" customHeight="1" x14ac:dyDescent="0.35">
      <c r="A16" s="100" t="s">
        <v>739</v>
      </c>
      <c r="B16" s="100" t="s">
        <v>720</v>
      </c>
      <c r="C16" s="343" t="s">
        <v>3172</v>
      </c>
      <c r="D16" s="121">
        <v>0.82539680000000004</v>
      </c>
      <c r="E16" s="121">
        <v>0.48366009999999998</v>
      </c>
      <c r="F16" s="121">
        <v>0.72601009999999999</v>
      </c>
      <c r="G16" s="121">
        <v>0.60386470000000003</v>
      </c>
      <c r="H16" s="121">
        <v>0.78333339999999996</v>
      </c>
      <c r="I16" s="121">
        <v>0.63247869999999995</v>
      </c>
      <c r="J16" s="121">
        <v>3.4299499999999997E-2</v>
      </c>
      <c r="K16" s="121">
        <v>0.85440609999999995</v>
      </c>
      <c r="L16" s="121">
        <v>0.89300409999999997</v>
      </c>
      <c r="M16" s="121">
        <v>0.56837610000000005</v>
      </c>
      <c r="N16" s="121">
        <v>0.51208500000000001</v>
      </c>
      <c r="P16" s="130">
        <v>0.47363640000000001</v>
      </c>
      <c r="Q16" s="131">
        <v>0.63318180000000002</v>
      </c>
      <c r="R16" s="131">
        <v>0.55340909999999999</v>
      </c>
      <c r="S16" s="132"/>
      <c r="T16" s="133">
        <v>0.51624999999999999</v>
      </c>
      <c r="V16" s="171">
        <f t="shared" si="0"/>
        <v>0.52201582000000002</v>
      </c>
    </row>
    <row r="17" spans="1:22" s="7" customFormat="1" ht="20.25" customHeight="1" x14ac:dyDescent="0.35">
      <c r="A17" s="99" t="s">
        <v>740</v>
      </c>
      <c r="B17" s="99" t="s">
        <v>730</v>
      </c>
      <c r="C17" s="100" t="s">
        <v>2647</v>
      </c>
      <c r="D17" s="122">
        <v>0.5</v>
      </c>
      <c r="E17" s="122">
        <v>0.2113971</v>
      </c>
      <c r="F17" s="122">
        <v>0.49005680000000001</v>
      </c>
      <c r="G17" s="122">
        <v>0.375</v>
      </c>
      <c r="H17" s="122">
        <v>0.85</v>
      </c>
      <c r="I17" s="122">
        <v>0.40865390000000001</v>
      </c>
      <c r="J17" s="122">
        <v>0</v>
      </c>
      <c r="K17" s="122">
        <v>0.73706899999999997</v>
      </c>
      <c r="L17" s="122">
        <v>0.78703699999999999</v>
      </c>
      <c r="M17" s="122">
        <v>0.64903840000000002</v>
      </c>
      <c r="N17" s="319">
        <v>0.3668033</v>
      </c>
      <c r="P17" s="134">
        <v>0.45411770000000001</v>
      </c>
      <c r="Q17" s="135">
        <v>0.56366660000000002</v>
      </c>
      <c r="R17" s="135">
        <v>0.50546869999999999</v>
      </c>
      <c r="S17" s="132"/>
      <c r="T17" s="136">
        <v>0.27524189999999998</v>
      </c>
      <c r="V17" s="172">
        <f t="shared" si="0"/>
        <v>0.35791182000000005</v>
      </c>
    </row>
    <row r="18" spans="1:22" s="7" customFormat="1" ht="20.25" customHeight="1" x14ac:dyDescent="0.35">
      <c r="A18" s="100" t="s">
        <v>741</v>
      </c>
      <c r="B18" s="100" t="s">
        <v>736</v>
      </c>
      <c r="C18" s="343" t="s">
        <v>3172</v>
      </c>
      <c r="D18" s="121">
        <v>0.66071429999999998</v>
      </c>
      <c r="E18" s="121">
        <v>0.28921570000000002</v>
      </c>
      <c r="F18" s="121">
        <v>0.66287879999999999</v>
      </c>
      <c r="G18" s="121">
        <v>0.42028979999999999</v>
      </c>
      <c r="H18" s="121">
        <v>0.77777779999999996</v>
      </c>
      <c r="I18" s="121">
        <v>0.3846154</v>
      </c>
      <c r="J18" s="121">
        <v>0</v>
      </c>
      <c r="K18" s="121">
        <v>0.71264369999999999</v>
      </c>
      <c r="L18" s="121">
        <v>0.83333330000000005</v>
      </c>
      <c r="M18" s="121">
        <v>0.49358970000000002</v>
      </c>
      <c r="N18" s="318">
        <v>0.40573369999999997</v>
      </c>
      <c r="P18" s="130">
        <v>0.40636359999999999</v>
      </c>
      <c r="Q18" s="131">
        <v>0.56272730000000004</v>
      </c>
      <c r="R18" s="131">
        <v>0.48454550000000002</v>
      </c>
      <c r="S18" s="132"/>
      <c r="T18" s="133">
        <v>0.54125000000000001</v>
      </c>
      <c r="V18" s="171">
        <f t="shared" si="0"/>
        <v>0.47570258000000004</v>
      </c>
    </row>
    <row r="19" spans="1:22" s="7" customFormat="1" ht="20.25" customHeight="1" x14ac:dyDescent="0.35">
      <c r="A19" s="99" t="s">
        <v>742</v>
      </c>
      <c r="B19" s="99" t="s">
        <v>743</v>
      </c>
      <c r="C19" s="343" t="s">
        <v>3172</v>
      </c>
      <c r="D19" s="122">
        <v>0.87142850000000005</v>
      </c>
      <c r="E19" s="122">
        <v>0.73529409999999995</v>
      </c>
      <c r="F19" s="122">
        <v>0.79772730000000003</v>
      </c>
      <c r="G19" s="122">
        <v>0.62608699999999995</v>
      </c>
      <c r="H19" s="122">
        <v>0.97777780000000003</v>
      </c>
      <c r="I19" s="122">
        <v>0.8</v>
      </c>
      <c r="J19" s="122">
        <v>0.1217391</v>
      </c>
      <c r="K19" s="122">
        <v>0.77931030000000001</v>
      </c>
      <c r="L19" s="122">
        <v>0.82962959999999997</v>
      </c>
      <c r="M19" s="122">
        <v>0.65384609999999999</v>
      </c>
      <c r="N19" s="319">
        <v>0.59881309999999999</v>
      </c>
      <c r="P19" s="134">
        <v>0.45916669999999998</v>
      </c>
      <c r="Q19" s="135">
        <v>0.71050000000000002</v>
      </c>
      <c r="R19" s="135">
        <v>0.5734091</v>
      </c>
      <c r="S19" s="132"/>
      <c r="T19" s="136">
        <v>0.60818179999999999</v>
      </c>
      <c r="V19" s="172">
        <f t="shared" si="0"/>
        <v>0.59747978000000002</v>
      </c>
    </row>
    <row r="20" spans="1:22" s="7" customFormat="1" ht="20.25" customHeight="1" x14ac:dyDescent="0.35">
      <c r="A20" s="100" t="s">
        <v>744</v>
      </c>
      <c r="B20" s="100" t="s">
        <v>743</v>
      </c>
      <c r="C20" s="343" t="s">
        <v>3172</v>
      </c>
      <c r="D20" s="121">
        <v>0.96428570000000002</v>
      </c>
      <c r="E20" s="121">
        <v>0.73823530000000004</v>
      </c>
      <c r="F20" s="121">
        <v>0.84090909999999996</v>
      </c>
      <c r="G20" s="121">
        <v>0.93043480000000001</v>
      </c>
      <c r="H20" s="121">
        <v>0.82222220000000001</v>
      </c>
      <c r="I20" s="121">
        <v>0.73076920000000001</v>
      </c>
      <c r="J20" s="121">
        <v>8.2608699999999993E-2</v>
      </c>
      <c r="K20" s="121">
        <v>0.88965519999999998</v>
      </c>
      <c r="L20" s="121">
        <v>0.9037037</v>
      </c>
      <c r="M20" s="121">
        <v>1</v>
      </c>
      <c r="N20" s="318">
        <v>0.63264100000000001</v>
      </c>
      <c r="P20" s="130">
        <v>0.56727269999999996</v>
      </c>
      <c r="Q20" s="131">
        <v>0.75318180000000001</v>
      </c>
      <c r="R20" s="131">
        <v>0.66022729999999996</v>
      </c>
      <c r="S20" s="132"/>
      <c r="T20" s="133">
        <v>0.65681820000000002</v>
      </c>
      <c r="V20" s="171">
        <f t="shared" si="0"/>
        <v>0.64782914000000003</v>
      </c>
    </row>
    <row r="21" spans="1:22" s="7" customFormat="1" ht="20.25" customHeight="1" x14ac:dyDescent="0.35">
      <c r="A21" s="99" t="s">
        <v>745</v>
      </c>
      <c r="B21" s="99" t="s">
        <v>730</v>
      </c>
      <c r="C21" s="343" t="s">
        <v>3172</v>
      </c>
      <c r="D21" s="122">
        <v>0.65306120000000001</v>
      </c>
      <c r="E21" s="122">
        <v>0.37394959999999999</v>
      </c>
      <c r="F21" s="122">
        <v>0.54058439999999996</v>
      </c>
      <c r="G21" s="122">
        <v>0.61490679999999998</v>
      </c>
      <c r="H21" s="122">
        <v>0.75555559999999999</v>
      </c>
      <c r="I21" s="122">
        <v>0.76373619999999998</v>
      </c>
      <c r="J21" s="122">
        <v>4.4720500000000003E-2</v>
      </c>
      <c r="K21" s="122">
        <v>0.78325120000000004</v>
      </c>
      <c r="L21" s="122">
        <v>0.78306880000000001</v>
      </c>
      <c r="M21" s="122">
        <v>0.64285709999999996</v>
      </c>
      <c r="N21" s="319">
        <v>0.48047840000000003</v>
      </c>
      <c r="P21" s="134">
        <v>0.36636360000000001</v>
      </c>
      <c r="Q21" s="135">
        <v>0.62681819999999999</v>
      </c>
      <c r="R21" s="135">
        <v>0.4965909</v>
      </c>
      <c r="S21" s="132"/>
      <c r="T21" s="136">
        <v>0.32988640000000002</v>
      </c>
      <c r="V21" s="172">
        <f t="shared" si="0"/>
        <v>0.42346410000000012</v>
      </c>
    </row>
    <row r="22" spans="1:22" s="7" customFormat="1" ht="20.25" customHeight="1" x14ac:dyDescent="0.35">
      <c r="A22" s="100" t="s">
        <v>746</v>
      </c>
      <c r="B22" s="100" t="s">
        <v>743</v>
      </c>
      <c r="C22" s="343" t="s">
        <v>3172</v>
      </c>
      <c r="D22" s="121">
        <v>0.9928572</v>
      </c>
      <c r="E22" s="121">
        <v>0.87941179999999997</v>
      </c>
      <c r="F22" s="121">
        <v>0.84090909999999996</v>
      </c>
      <c r="G22" s="121">
        <v>0.86956520000000004</v>
      </c>
      <c r="H22" s="121">
        <v>0.91111109999999995</v>
      </c>
      <c r="I22" s="121">
        <v>0.86153849999999998</v>
      </c>
      <c r="J22" s="121">
        <v>0.14000000000000001</v>
      </c>
      <c r="K22" s="121">
        <v>0.92413789999999996</v>
      </c>
      <c r="L22" s="121">
        <v>0.8518519</v>
      </c>
      <c r="M22" s="121">
        <v>0.9</v>
      </c>
      <c r="N22" s="318">
        <v>0.67709200000000003</v>
      </c>
      <c r="P22" s="130">
        <v>0.4527273</v>
      </c>
      <c r="Q22" s="131">
        <v>0.74181819999999998</v>
      </c>
      <c r="R22" s="131">
        <v>0.59727280000000005</v>
      </c>
      <c r="S22" s="132"/>
      <c r="T22" s="133">
        <v>0.67068179999999999</v>
      </c>
      <c r="V22" s="171">
        <f t="shared" si="0"/>
        <v>0.65856408000000011</v>
      </c>
    </row>
    <row r="23" spans="1:22" s="7" customFormat="1" ht="20.25" customHeight="1" x14ac:dyDescent="0.35">
      <c r="A23" s="99" t="s">
        <v>747</v>
      </c>
      <c r="B23" s="99" t="s">
        <v>748</v>
      </c>
      <c r="C23" s="343" t="s">
        <v>3172</v>
      </c>
      <c r="D23" s="122">
        <v>0.92857140000000005</v>
      </c>
      <c r="E23" s="122">
        <v>0.53125</v>
      </c>
      <c r="F23" s="122">
        <v>0.77130679999999996</v>
      </c>
      <c r="G23" s="122">
        <v>0.72826089999999999</v>
      </c>
      <c r="H23" s="122">
        <v>0.85333340000000002</v>
      </c>
      <c r="I23" s="122">
        <v>0.75480769999999997</v>
      </c>
      <c r="J23" s="122">
        <v>0.1032609</v>
      </c>
      <c r="K23" s="122">
        <v>0.78879310000000002</v>
      </c>
      <c r="L23" s="122">
        <v>0.8518519</v>
      </c>
      <c r="M23" s="122">
        <v>0.75480769999999997</v>
      </c>
      <c r="N23" s="319">
        <v>0.57558359999999997</v>
      </c>
      <c r="P23" s="134">
        <v>0.42545460000000002</v>
      </c>
      <c r="Q23" s="135">
        <v>0.80454550000000002</v>
      </c>
      <c r="R23" s="135">
        <v>0.61499999999999999</v>
      </c>
      <c r="S23" s="132"/>
      <c r="T23" s="136">
        <v>0.63284090000000004</v>
      </c>
      <c r="V23" s="172">
        <f t="shared" si="0"/>
        <v>0.60636979999999996</v>
      </c>
    </row>
    <row r="24" spans="1:22" s="7" customFormat="1" ht="20.25" customHeight="1" x14ac:dyDescent="0.35">
      <c r="A24" s="100" t="s">
        <v>749</v>
      </c>
      <c r="B24" s="100" t="s">
        <v>730</v>
      </c>
      <c r="C24" s="343" t="s">
        <v>3172</v>
      </c>
      <c r="D24" s="121">
        <v>0.87797619999999998</v>
      </c>
      <c r="E24" s="121">
        <v>0.4240196</v>
      </c>
      <c r="F24" s="121">
        <v>0.73674240000000002</v>
      </c>
      <c r="G24" s="121">
        <v>0.5289855</v>
      </c>
      <c r="H24" s="121">
        <v>0.73333329999999997</v>
      </c>
      <c r="I24" s="121">
        <v>0.73076920000000001</v>
      </c>
      <c r="J24" s="121">
        <v>1.08696E-2</v>
      </c>
      <c r="K24" s="121">
        <v>0.81034479999999998</v>
      </c>
      <c r="L24" s="121">
        <v>0.6512346</v>
      </c>
      <c r="M24" s="121">
        <v>0.54487180000000002</v>
      </c>
      <c r="N24" s="318">
        <v>0.4905079</v>
      </c>
      <c r="P24" s="130">
        <v>0.44312499999999999</v>
      </c>
      <c r="Q24" s="131">
        <v>0.66562500000000002</v>
      </c>
      <c r="R24" s="131">
        <v>0.55437499999999995</v>
      </c>
      <c r="S24" s="132"/>
      <c r="T24" s="133">
        <v>0.29991669999999998</v>
      </c>
      <c r="V24" s="171">
        <f t="shared" si="0"/>
        <v>0.42704483999999998</v>
      </c>
    </row>
    <row r="25" spans="1:22" s="7" customFormat="1" ht="20.25" customHeight="1" x14ac:dyDescent="0.35">
      <c r="A25" s="99" t="s">
        <v>750</v>
      </c>
      <c r="B25" s="99" t="s">
        <v>751</v>
      </c>
      <c r="C25" s="100" t="s">
        <v>2647</v>
      </c>
      <c r="D25" s="122">
        <v>0.80357140000000005</v>
      </c>
      <c r="E25" s="122">
        <v>0.67647060000000003</v>
      </c>
      <c r="F25" s="122">
        <v>0.71590909999999996</v>
      </c>
      <c r="G25" s="122">
        <v>0.53623189999999998</v>
      </c>
      <c r="H25" s="122">
        <v>0.88888889999999998</v>
      </c>
      <c r="I25" s="122">
        <v>0.7179487</v>
      </c>
      <c r="J25" s="122">
        <v>0.223913</v>
      </c>
      <c r="K25" s="122">
        <v>0.84482760000000001</v>
      </c>
      <c r="L25" s="122">
        <v>0.96913579999999999</v>
      </c>
      <c r="M25" s="122">
        <v>0.84615390000000001</v>
      </c>
      <c r="N25" s="319">
        <v>0.60909089999999999</v>
      </c>
      <c r="P25" s="134">
        <v>0.52</v>
      </c>
      <c r="Q25" s="135">
        <v>0.69499999999999995</v>
      </c>
      <c r="R25" s="135">
        <v>0.60750000000000004</v>
      </c>
      <c r="S25" s="132"/>
      <c r="T25" s="136">
        <v>0.56602280000000005</v>
      </c>
      <c r="V25" s="172">
        <f t="shared" si="0"/>
        <v>0.59154547999999996</v>
      </c>
    </row>
    <row r="26" spans="1:22" s="7" customFormat="1" ht="20.25" customHeight="1" x14ac:dyDescent="0.35">
      <c r="A26" s="100" t="s">
        <v>752</v>
      </c>
      <c r="B26" s="100" t="s">
        <v>753</v>
      </c>
      <c r="C26" s="343" t="s">
        <v>3172</v>
      </c>
      <c r="D26" s="121">
        <v>0.20535709999999999</v>
      </c>
      <c r="E26" s="121">
        <v>0.1323529</v>
      </c>
      <c r="F26" s="121">
        <v>0.34943180000000001</v>
      </c>
      <c r="G26" s="121">
        <v>0.14130429999999999</v>
      </c>
      <c r="H26" s="121">
        <v>0.71666660000000004</v>
      </c>
      <c r="I26" s="121">
        <v>0.2403846</v>
      </c>
      <c r="J26" s="121">
        <v>0</v>
      </c>
      <c r="K26" s="121">
        <v>0.65517239999999999</v>
      </c>
      <c r="L26" s="121">
        <v>0.69444439999999996</v>
      </c>
      <c r="M26" s="121">
        <v>0.77884609999999999</v>
      </c>
      <c r="N26" s="318">
        <v>0.28316330000000001</v>
      </c>
      <c r="P26" s="130">
        <v>0.2405882</v>
      </c>
      <c r="Q26" s="131">
        <v>0.57499999999999996</v>
      </c>
      <c r="R26" s="131">
        <v>0.32782610000000001</v>
      </c>
      <c r="S26" s="132"/>
      <c r="T26" s="133">
        <v>0.23857139999999999</v>
      </c>
      <c r="V26" s="171">
        <f t="shared" si="0"/>
        <v>0.27425909999999998</v>
      </c>
    </row>
    <row r="27" spans="1:22" s="7" customFormat="1" ht="20.25" customHeight="1" x14ac:dyDescent="0.35">
      <c r="A27" s="99" t="s">
        <v>754</v>
      </c>
      <c r="B27" s="99" t="s">
        <v>736</v>
      </c>
      <c r="C27" s="343" t="s">
        <v>3172</v>
      </c>
      <c r="D27" s="122">
        <v>0.36904759999999998</v>
      </c>
      <c r="E27" s="122">
        <v>0.44362740000000001</v>
      </c>
      <c r="F27" s="122">
        <v>0.73863639999999997</v>
      </c>
      <c r="G27" s="122">
        <v>0.58695649999999999</v>
      </c>
      <c r="H27" s="122">
        <v>0.8</v>
      </c>
      <c r="I27" s="122">
        <v>0.57692310000000002</v>
      </c>
      <c r="J27" s="122">
        <v>0</v>
      </c>
      <c r="K27" s="122">
        <v>0.83908050000000001</v>
      </c>
      <c r="L27" s="122">
        <v>0.87037039999999999</v>
      </c>
      <c r="M27" s="122">
        <v>0.66666669999999995</v>
      </c>
      <c r="N27" s="319">
        <v>0.48032069999999999</v>
      </c>
      <c r="P27" s="134">
        <v>0.54363640000000002</v>
      </c>
      <c r="Q27" s="135">
        <v>0.68863640000000004</v>
      </c>
      <c r="R27" s="135">
        <v>0.61613640000000003</v>
      </c>
      <c r="S27" s="132"/>
      <c r="T27" s="136">
        <v>0.37068180000000001</v>
      </c>
      <c r="V27" s="172">
        <f t="shared" si="0"/>
        <v>0.46362828</v>
      </c>
    </row>
    <row r="28" spans="1:22" s="7" customFormat="1" ht="20.25" customHeight="1" x14ac:dyDescent="0.35">
      <c r="A28" s="100" t="s">
        <v>755</v>
      </c>
      <c r="B28" s="100" t="s">
        <v>753</v>
      </c>
      <c r="C28" s="343" t="s">
        <v>3172</v>
      </c>
      <c r="D28" s="121">
        <v>0.39880949999999998</v>
      </c>
      <c r="E28" s="121">
        <v>0.22794120000000001</v>
      </c>
      <c r="F28" s="121">
        <v>0.52840909999999996</v>
      </c>
      <c r="G28" s="121">
        <v>0.115942</v>
      </c>
      <c r="H28" s="121">
        <v>0.66666669999999995</v>
      </c>
      <c r="I28" s="121">
        <v>0.46153850000000002</v>
      </c>
      <c r="J28" s="121">
        <v>0</v>
      </c>
      <c r="K28" s="121">
        <v>0.76436780000000004</v>
      </c>
      <c r="L28" s="121">
        <v>0.79629629999999996</v>
      </c>
      <c r="M28" s="121">
        <v>0.37179489999999998</v>
      </c>
      <c r="N28" s="318">
        <v>0.35266769999999997</v>
      </c>
      <c r="P28" s="130">
        <v>0.5183333</v>
      </c>
      <c r="Q28" s="131">
        <v>0.57999999999999996</v>
      </c>
      <c r="R28" s="131">
        <v>0.52954540000000005</v>
      </c>
      <c r="S28" s="132"/>
      <c r="T28" s="133">
        <v>0.4028409</v>
      </c>
      <c r="V28" s="171">
        <f t="shared" si="0"/>
        <v>0.40811251999999998</v>
      </c>
    </row>
    <row r="29" spans="1:22" s="7" customFormat="1" ht="20.25" customHeight="1" x14ac:dyDescent="0.35">
      <c r="A29" s="99" t="s">
        <v>756</v>
      </c>
      <c r="B29" s="99" t="s">
        <v>728</v>
      </c>
      <c r="C29" s="343" t="s">
        <v>3172</v>
      </c>
      <c r="D29" s="122">
        <v>0.52678570000000002</v>
      </c>
      <c r="E29" s="122">
        <v>0.44117650000000003</v>
      </c>
      <c r="F29" s="122">
        <v>0.30397730000000001</v>
      </c>
      <c r="G29" s="122">
        <v>0.68478260000000002</v>
      </c>
      <c r="H29" s="122">
        <v>0.55555560000000004</v>
      </c>
      <c r="I29" s="122">
        <v>0.47115390000000001</v>
      </c>
      <c r="J29" s="122">
        <v>0</v>
      </c>
      <c r="K29" s="122">
        <v>0.79310349999999996</v>
      </c>
      <c r="L29" s="122">
        <v>0.69444439999999996</v>
      </c>
      <c r="M29" s="122">
        <v>0.58653840000000002</v>
      </c>
      <c r="N29" s="319">
        <v>0.38798820000000001</v>
      </c>
      <c r="P29" s="134">
        <v>0.49166670000000001</v>
      </c>
      <c r="Q29" s="135">
        <v>0.79722219999999999</v>
      </c>
      <c r="R29" s="135">
        <v>0.62261900000000003</v>
      </c>
      <c r="S29" s="132"/>
      <c r="T29" s="136">
        <v>0.38380950000000003</v>
      </c>
      <c r="V29" s="172">
        <f t="shared" si="0"/>
        <v>0.43324288</v>
      </c>
    </row>
    <row r="30" spans="1:22" s="7" customFormat="1" ht="20.25" customHeight="1" x14ac:dyDescent="0.35">
      <c r="A30" s="100" t="s">
        <v>757</v>
      </c>
      <c r="B30" s="100" t="s">
        <v>730</v>
      </c>
      <c r="C30" s="343" t="s">
        <v>3172</v>
      </c>
      <c r="D30" s="121">
        <v>0.42857139999999999</v>
      </c>
      <c r="E30" s="121">
        <v>6.7647100000000002E-2</v>
      </c>
      <c r="F30" s="121">
        <v>0.2431818</v>
      </c>
      <c r="G30" s="121">
        <v>0.3391304</v>
      </c>
      <c r="H30" s="121">
        <v>0.1</v>
      </c>
      <c r="I30" s="121">
        <v>0.43076920000000002</v>
      </c>
      <c r="J30" s="121">
        <v>0</v>
      </c>
      <c r="K30" s="121">
        <v>0.54482759999999997</v>
      </c>
      <c r="L30" s="121">
        <v>0.73333329999999997</v>
      </c>
      <c r="M30" s="121">
        <v>0.49230770000000001</v>
      </c>
      <c r="N30" s="318">
        <v>0.27485029999999999</v>
      </c>
      <c r="P30" s="130">
        <v>0.3818182</v>
      </c>
      <c r="Q30" s="131">
        <v>0.67454550000000002</v>
      </c>
      <c r="R30" s="131">
        <v>0.52818180000000003</v>
      </c>
      <c r="S30" s="132"/>
      <c r="T30" s="133">
        <v>0.2567045</v>
      </c>
      <c r="V30" s="171">
        <f t="shared" si="0"/>
        <v>0.31825828</v>
      </c>
    </row>
    <row r="31" spans="1:22" s="7" customFormat="1" ht="20.25" customHeight="1" x14ac:dyDescent="0.35">
      <c r="A31" s="99" t="s">
        <v>758</v>
      </c>
      <c r="B31" s="99" t="s">
        <v>759</v>
      </c>
      <c r="C31" s="343" t="s">
        <v>3172</v>
      </c>
      <c r="D31" s="122">
        <v>0.69047619999999998</v>
      </c>
      <c r="E31" s="122">
        <v>0.33578429999999998</v>
      </c>
      <c r="F31" s="122">
        <v>0.65719700000000003</v>
      </c>
      <c r="G31" s="122">
        <v>0.79710139999999996</v>
      </c>
      <c r="H31" s="122">
        <v>0.73333329999999997</v>
      </c>
      <c r="I31" s="122">
        <v>0.49358970000000002</v>
      </c>
      <c r="J31" s="122">
        <v>6.0869600000000003E-2</v>
      </c>
      <c r="K31" s="122">
        <v>0.87356319999999998</v>
      </c>
      <c r="L31" s="122">
        <v>0.82098760000000004</v>
      </c>
      <c r="M31" s="122">
        <v>0.7179487</v>
      </c>
      <c r="N31" s="319">
        <v>0.48078080000000001</v>
      </c>
      <c r="P31" s="134">
        <v>0.53</v>
      </c>
      <c r="Q31" s="135">
        <v>0.66777779999999998</v>
      </c>
      <c r="R31" s="135">
        <v>0.5890476</v>
      </c>
      <c r="S31" s="132"/>
      <c r="T31" s="136">
        <v>0.3707955</v>
      </c>
      <c r="V31" s="172">
        <f t="shared" si="0"/>
        <v>0.45844003999999999</v>
      </c>
    </row>
    <row r="32" spans="1:22" s="7" customFormat="1" ht="20.25" customHeight="1" x14ac:dyDescent="0.35">
      <c r="A32" s="100" t="s">
        <v>760</v>
      </c>
      <c r="B32" s="100" t="s">
        <v>759</v>
      </c>
      <c r="C32" s="343" t="s">
        <v>3172</v>
      </c>
      <c r="D32" s="121">
        <v>0.7571428</v>
      </c>
      <c r="E32" s="121">
        <v>0.4235294</v>
      </c>
      <c r="F32" s="121">
        <v>0.59318179999999998</v>
      </c>
      <c r="G32" s="121">
        <v>0.53043479999999998</v>
      </c>
      <c r="H32" s="121">
        <v>0.8</v>
      </c>
      <c r="I32" s="121">
        <v>0.33076919999999999</v>
      </c>
      <c r="J32" s="121">
        <v>0</v>
      </c>
      <c r="K32" s="121">
        <v>0.83448270000000002</v>
      </c>
      <c r="L32" s="121">
        <v>0.93333330000000003</v>
      </c>
      <c r="M32" s="121">
        <v>0.84615390000000001</v>
      </c>
      <c r="N32" s="318">
        <v>0.43622749999999999</v>
      </c>
      <c r="P32" s="130">
        <v>0.41499999999999998</v>
      </c>
      <c r="Q32" s="131">
        <v>0.64454540000000005</v>
      </c>
      <c r="R32" s="131">
        <v>0.53523810000000005</v>
      </c>
      <c r="S32" s="132"/>
      <c r="T32" s="133">
        <v>0.37</v>
      </c>
      <c r="V32" s="171">
        <f t="shared" si="0"/>
        <v>0.42953861999999998</v>
      </c>
    </row>
    <row r="33" spans="1:22" s="7" customFormat="1" ht="20.25" customHeight="1" x14ac:dyDescent="0.35">
      <c r="A33" s="99" t="s">
        <v>761</v>
      </c>
      <c r="B33" s="99" t="s">
        <v>720</v>
      </c>
      <c r="C33" s="343" t="s">
        <v>3172</v>
      </c>
      <c r="D33" s="122">
        <v>0.71428570000000002</v>
      </c>
      <c r="E33" s="122">
        <v>0.52100840000000004</v>
      </c>
      <c r="F33" s="122">
        <v>0.62337659999999995</v>
      </c>
      <c r="G33" s="122">
        <v>0.73291930000000005</v>
      </c>
      <c r="H33" s="122">
        <v>0.85</v>
      </c>
      <c r="I33" s="122">
        <v>0.60439560000000003</v>
      </c>
      <c r="J33" s="122">
        <v>0.10931680000000001</v>
      </c>
      <c r="K33" s="122">
        <v>0.76847290000000001</v>
      </c>
      <c r="L33" s="122">
        <v>0.91005290000000005</v>
      </c>
      <c r="M33" s="122">
        <v>0.78571429999999998</v>
      </c>
      <c r="N33" s="319">
        <v>0.52839559999999997</v>
      </c>
      <c r="P33" s="134">
        <v>0.41818179999999999</v>
      </c>
      <c r="Q33" s="135">
        <v>0.68181820000000004</v>
      </c>
      <c r="R33" s="135">
        <v>0.55000000000000004</v>
      </c>
      <c r="S33" s="132"/>
      <c r="T33" s="136">
        <v>0.56647729999999996</v>
      </c>
      <c r="V33" s="172">
        <f t="shared" si="0"/>
        <v>0.54794916000000005</v>
      </c>
    </row>
    <row r="34" spans="1:22" s="7" customFormat="1" ht="20.25" customHeight="1" x14ac:dyDescent="0.35">
      <c r="A34" s="100" t="s">
        <v>762</v>
      </c>
      <c r="B34" s="100" t="s">
        <v>763</v>
      </c>
      <c r="C34" s="100" t="s">
        <v>2647</v>
      </c>
      <c r="D34" s="121">
        <v>0.42857139999999999</v>
      </c>
      <c r="E34" s="121">
        <v>0.30294120000000002</v>
      </c>
      <c r="F34" s="121">
        <v>0.4045455</v>
      </c>
      <c r="G34" s="121">
        <v>0.69565220000000005</v>
      </c>
      <c r="H34" s="121">
        <v>0.53333339999999996</v>
      </c>
      <c r="I34" s="121">
        <v>0.53846159999999998</v>
      </c>
      <c r="J34" s="121">
        <v>0</v>
      </c>
      <c r="K34" s="121">
        <v>0.79310349999999996</v>
      </c>
      <c r="L34" s="121">
        <v>0.69629629999999998</v>
      </c>
      <c r="M34" s="121">
        <v>0.58461540000000001</v>
      </c>
      <c r="N34" s="318">
        <v>0.39131739999999998</v>
      </c>
      <c r="P34" s="130">
        <v>0.41090910000000003</v>
      </c>
      <c r="Q34" s="131">
        <v>0.60590909999999998</v>
      </c>
      <c r="R34" s="131">
        <v>0.50840909999999995</v>
      </c>
      <c r="S34" s="132"/>
      <c r="T34" s="133">
        <v>0.45795459999999999</v>
      </c>
      <c r="V34" s="171">
        <f t="shared" si="0"/>
        <v>0.44139061999999996</v>
      </c>
    </row>
    <row r="35" spans="1:22" s="7" customFormat="1" ht="20.25" customHeight="1" x14ac:dyDescent="0.35">
      <c r="A35" s="99" t="s">
        <v>764</v>
      </c>
      <c r="B35" s="99" t="s">
        <v>765</v>
      </c>
      <c r="C35" s="343" t="s">
        <v>3172</v>
      </c>
      <c r="D35" s="122">
        <v>0.63571429999999995</v>
      </c>
      <c r="E35" s="122">
        <v>0.40882350000000001</v>
      </c>
      <c r="F35" s="122">
        <v>0.62045450000000002</v>
      </c>
      <c r="G35" s="122">
        <v>0.38260870000000002</v>
      </c>
      <c r="H35" s="122">
        <v>0.73333329999999997</v>
      </c>
      <c r="I35" s="122">
        <v>0.50769229999999999</v>
      </c>
      <c r="J35" s="122">
        <v>0</v>
      </c>
      <c r="K35" s="122">
        <v>0.8</v>
      </c>
      <c r="L35" s="122">
        <v>0.82222220000000001</v>
      </c>
      <c r="M35" s="122">
        <v>0.47692309999999999</v>
      </c>
      <c r="N35" s="319">
        <v>0.42305389999999998</v>
      </c>
      <c r="P35" s="134">
        <v>0.35615380000000002</v>
      </c>
      <c r="Q35" s="135">
        <v>0.69357139999999995</v>
      </c>
      <c r="R35" s="135">
        <v>0.47425</v>
      </c>
      <c r="S35" s="132"/>
      <c r="T35" s="136">
        <v>0.52434210000000003</v>
      </c>
      <c r="V35" s="172">
        <f t="shared" si="0"/>
        <v>0.47380840000000002</v>
      </c>
    </row>
    <row r="36" spans="1:22" s="7" customFormat="1" ht="20.25" customHeight="1" x14ac:dyDescent="0.35">
      <c r="A36" s="100" t="s">
        <v>766</v>
      </c>
      <c r="B36" s="100" t="s">
        <v>728</v>
      </c>
      <c r="C36" s="100" t="s">
        <v>2647</v>
      </c>
      <c r="D36" s="121">
        <v>0.71428570000000002</v>
      </c>
      <c r="E36" s="121">
        <v>0.31372549999999999</v>
      </c>
      <c r="F36" s="121">
        <v>0.72916669999999995</v>
      </c>
      <c r="G36" s="121">
        <v>0.85507239999999995</v>
      </c>
      <c r="H36" s="121">
        <v>0.73333329999999997</v>
      </c>
      <c r="I36" s="121">
        <v>0.55128200000000005</v>
      </c>
      <c r="J36" s="121">
        <v>0</v>
      </c>
      <c r="K36" s="121">
        <v>0.78735630000000001</v>
      </c>
      <c r="L36" s="121">
        <v>0.77777779999999996</v>
      </c>
      <c r="M36" s="121">
        <v>0.85897429999999997</v>
      </c>
      <c r="N36" s="318">
        <v>0.48531570000000002</v>
      </c>
      <c r="P36" s="130">
        <v>0.46250000000000002</v>
      </c>
      <c r="Q36" s="131">
        <v>0.69799999999999995</v>
      </c>
      <c r="R36" s="131">
        <v>0.59333329999999995</v>
      </c>
      <c r="S36" s="132"/>
      <c r="T36" s="133">
        <v>0.50362499999999999</v>
      </c>
      <c r="V36" s="172">
        <f>(0.4*N36)+(0.2*R36)+(0.4*T36)</f>
        <v>0.51424294000000004</v>
      </c>
    </row>
    <row r="37" spans="1:22" s="124" customFormat="1" ht="32.25" customHeight="1" x14ac:dyDescent="0.35">
      <c r="A37" s="124" t="s">
        <v>767</v>
      </c>
      <c r="D37" s="125">
        <f>AVERAGE(D3:D36)</f>
        <v>0.66084807941176471</v>
      </c>
      <c r="E37" s="125">
        <f t="shared" ref="E37:M37" si="1">AVERAGE(E3:E36)</f>
        <v>0.4253070617647059</v>
      </c>
      <c r="F37" s="125">
        <f t="shared" si="1"/>
        <v>0.61182624705882349</v>
      </c>
      <c r="G37" s="125">
        <f t="shared" si="1"/>
        <v>0.5577472294117648</v>
      </c>
      <c r="H37" s="125">
        <f t="shared" si="1"/>
        <v>0.7476634029411765</v>
      </c>
      <c r="I37" s="125">
        <f t="shared" si="1"/>
        <v>0.55344619117647054</v>
      </c>
      <c r="J37" s="125">
        <f t="shared" si="1"/>
        <v>3.9959608823529405E-2</v>
      </c>
      <c r="K37" s="125">
        <f t="shared" si="1"/>
        <v>0.77407594999999996</v>
      </c>
      <c r="L37" s="125">
        <f t="shared" si="1"/>
        <v>0.81844935294117638</v>
      </c>
      <c r="M37" s="125">
        <f t="shared" si="1"/>
        <v>0.67125888823529412</v>
      </c>
      <c r="N37" s="125">
        <f>AVERAGE(N3:N36)</f>
        <v>0.46293384411764704</v>
      </c>
      <c r="O37" s="125"/>
      <c r="P37" s="125">
        <f t="shared" ref="P37:T37" si="2">AVERAGE(P3:P36)</f>
        <v>0.44625919999999986</v>
      </c>
      <c r="Q37" s="125">
        <f t="shared" si="2"/>
        <v>0.69068708529411749</v>
      </c>
      <c r="R37" s="125">
        <f t="shared" si="2"/>
        <v>0.55962185588235303</v>
      </c>
      <c r="S37" s="125"/>
      <c r="T37" s="125">
        <f t="shared" si="2"/>
        <v>0.44756513823529409</v>
      </c>
      <c r="V37" s="125">
        <f t="shared" si="0"/>
        <v>0.47612396411764707</v>
      </c>
    </row>
    <row r="38" spans="1:22" ht="20.25" customHeight="1" x14ac:dyDescent="0.35">
      <c r="M38" s="126" t="s">
        <v>768</v>
      </c>
      <c r="N38" s="170">
        <f>_xlfn.PERCENTILE.INC(N3:N36,0.25)</f>
        <v>0.40754067499999996</v>
      </c>
      <c r="Q38" s="126" t="s">
        <v>768</v>
      </c>
      <c r="R38" s="170">
        <f>_xlfn.PERCENTILE.INC(R3:R36,0.25)</f>
        <v>0.524654175</v>
      </c>
      <c r="S38" s="126" t="s">
        <v>768</v>
      </c>
      <c r="T38" s="170">
        <f>_xlfn.PERCENTILE.INC(T3:T36,0.25)</f>
        <v>0.37017044999999998</v>
      </c>
      <c r="U38" s="126" t="s">
        <v>769</v>
      </c>
      <c r="V38" s="170">
        <f>_xlfn.PERCENTILE.INC(V3:V36,0.25)</f>
        <v>0.42671704499999996</v>
      </c>
    </row>
    <row r="39" spans="1:22" ht="20.25" customHeight="1" x14ac:dyDescent="0.35">
      <c r="D39" s="248"/>
      <c r="M39" s="126" t="s">
        <v>770</v>
      </c>
      <c r="N39" s="170">
        <f>_xlfn.PERCENTILE.INC(N3:N36,0.5)</f>
        <v>0.47890240000000001</v>
      </c>
      <c r="Q39" s="126" t="s">
        <v>770</v>
      </c>
      <c r="R39" s="170">
        <f>_xlfn.PERCENTILE.INC(R3:R36,0.5)</f>
        <v>0.56312494999999996</v>
      </c>
      <c r="S39" s="126" t="s">
        <v>770</v>
      </c>
      <c r="T39" s="170">
        <f>_xlfn.PERCENTILE.INC(T3:T36,0.5)</f>
        <v>0.43414770000000003</v>
      </c>
      <c r="U39" s="126" t="s">
        <v>771</v>
      </c>
      <c r="V39" s="170">
        <f>_xlfn.PERCENTILE.INC(V3:V36,0.5)</f>
        <v>0.46916284000000003</v>
      </c>
    </row>
    <row r="41" spans="1:22" ht="20.25" customHeight="1" x14ac:dyDescent="0.35">
      <c r="M41" s="248"/>
    </row>
    <row r="42" spans="1:22" ht="20.25" customHeight="1" x14ac:dyDescent="0.35">
      <c r="D42" s="248"/>
      <c r="E42" s="268"/>
      <c r="F42" s="248"/>
      <c r="G42" s="248"/>
      <c r="H42" s="248"/>
      <c r="I42" s="248"/>
      <c r="J42" s="248"/>
      <c r="K42" s="248"/>
      <c r="L42" s="248"/>
      <c r="M42" s="248"/>
      <c r="N42" s="248"/>
      <c r="O42" s="248"/>
      <c r="P42" s="248"/>
      <c r="Q42" s="248"/>
      <c r="R42" s="248"/>
      <c r="S42" s="248"/>
      <c r="T42" s="248"/>
      <c r="U42" s="248"/>
      <c r="V42" s="248"/>
    </row>
    <row r="43" spans="1:22" ht="20.25" customHeight="1" x14ac:dyDescent="0.35">
      <c r="D43" s="248"/>
      <c r="E43" s="248"/>
      <c r="F43" s="248"/>
      <c r="G43" s="248"/>
      <c r="H43" s="248"/>
      <c r="I43" s="248"/>
      <c r="J43" s="248"/>
      <c r="K43" s="248"/>
      <c r="L43" s="248"/>
      <c r="M43" s="248"/>
      <c r="N43" s="248"/>
      <c r="O43" s="248"/>
      <c r="P43" s="248"/>
      <c r="Q43" s="248"/>
      <c r="R43" s="248"/>
      <c r="S43" s="248"/>
      <c r="T43" s="248"/>
      <c r="U43" s="248"/>
      <c r="V43" s="248"/>
    </row>
  </sheetData>
  <autoFilter ref="A2:T39" xr:uid="{00000000-0009-0000-0000-000004000000}"/>
  <mergeCells count="6">
    <mergeCell ref="V1:V2"/>
    <mergeCell ref="T1:T2"/>
    <mergeCell ref="A1:A2"/>
    <mergeCell ref="D1:N1"/>
    <mergeCell ref="P1:R1"/>
    <mergeCell ref="B1:B2"/>
  </mergeCells>
  <conditionalFormatting sqref="N3:N36">
    <cfRule type="cellIs" dxfId="15" priority="12" operator="between">
      <formula>$N$38</formula>
      <formula>$N$39</formula>
    </cfRule>
    <cfRule type="cellIs" dxfId="14" priority="13" operator="lessThan">
      <formula>$N$38</formula>
    </cfRule>
    <cfRule type="cellIs" dxfId="13" priority="14" operator="greaterThan">
      <formula>$N$39</formula>
    </cfRule>
  </conditionalFormatting>
  <conditionalFormatting sqref="R3:R36">
    <cfRule type="cellIs" dxfId="12" priority="9" operator="between">
      <formula>$R$38</formula>
      <formula>$R$39</formula>
    </cfRule>
    <cfRule type="cellIs" dxfId="11" priority="10" operator="lessThan">
      <formula>$R$38</formula>
    </cfRule>
    <cfRule type="cellIs" dxfId="10" priority="11" operator="greaterThan">
      <formula>$R$39</formula>
    </cfRule>
  </conditionalFormatting>
  <conditionalFormatting sqref="T3:T36">
    <cfRule type="cellIs" dxfId="9" priority="6" operator="between">
      <formula>$T$38</formula>
      <formula>$T$39</formula>
    </cfRule>
    <cfRule type="cellIs" dxfId="8" priority="7" operator="greaterThan">
      <formula>$T$39</formula>
    </cfRule>
    <cfRule type="cellIs" dxfId="7" priority="8" operator="lessThan">
      <formula>$T$38</formula>
    </cfRule>
  </conditionalFormatting>
  <conditionalFormatting sqref="V3:V36">
    <cfRule type="cellIs" dxfId="6" priority="2" operator="between">
      <formula>$V$38</formula>
      <formula>$V$39</formula>
    </cfRule>
    <cfRule type="cellIs" dxfId="5" priority="3" operator="greaterThan">
      <formula>$V$39</formula>
    </cfRule>
    <cfRule type="cellIs" dxfId="4" priority="4" operator="lessThan">
      <formula>$V$38</formula>
    </cfRule>
  </conditionalFormatting>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sheetPr>
  <dimension ref="A1:AK40"/>
  <sheetViews>
    <sheetView zoomScale="90" zoomScaleNormal="90" workbookViewId="0">
      <pane xSplit="2" ySplit="2" topLeftCell="C3" activePane="bottomRight" state="frozen"/>
      <selection pane="topRight" activeCell="C1" sqref="C1"/>
      <selection pane="bottomLeft" activeCell="A3" sqref="A3"/>
      <selection pane="bottomRight" activeCell="AC15" sqref="AC15"/>
    </sheetView>
  </sheetViews>
  <sheetFormatPr defaultColWidth="18.83203125" defaultRowHeight="20.25" customHeight="1" x14ac:dyDescent="0.35"/>
  <cols>
    <col min="1" max="1" width="22" style="103" bestFit="1" customWidth="1"/>
    <col min="2" max="4" width="18.83203125" style="103"/>
    <col min="5" max="13" width="19" customWidth="1"/>
    <col min="14" max="14" width="4.58203125" style="115" customWidth="1"/>
    <col min="15" max="16" width="18.83203125" style="103"/>
    <col min="17" max="25" width="19" customWidth="1"/>
    <col min="26" max="26" width="4.58203125" style="115" customWidth="1"/>
    <col min="27" max="37" width="19" customWidth="1"/>
    <col min="38" max="38" width="4.83203125" customWidth="1"/>
  </cols>
  <sheetData>
    <row r="1" spans="1:37" s="118" customFormat="1" ht="15" customHeight="1" x14ac:dyDescent="0.3">
      <c r="A1" s="378" t="s">
        <v>699</v>
      </c>
      <c r="B1" s="378" t="s">
        <v>700</v>
      </c>
      <c r="C1" s="378" t="s">
        <v>772</v>
      </c>
      <c r="D1" s="378"/>
      <c r="E1" s="378"/>
      <c r="F1" s="378"/>
      <c r="G1" s="378"/>
      <c r="H1" s="378"/>
      <c r="I1" s="378"/>
      <c r="J1" s="378"/>
      <c r="K1" s="378"/>
      <c r="L1" s="378"/>
      <c r="M1" s="378"/>
      <c r="N1" s="201"/>
      <c r="O1" s="378" t="s">
        <v>773</v>
      </c>
      <c r="P1" s="378"/>
      <c r="Q1" s="378"/>
      <c r="R1" s="378"/>
      <c r="S1" s="378"/>
      <c r="T1" s="378"/>
      <c r="U1" s="378"/>
      <c r="V1" s="378"/>
      <c r="W1" s="378"/>
      <c r="X1" s="378"/>
      <c r="Y1" s="378"/>
      <c r="Z1" s="201"/>
      <c r="AA1" s="378" t="s">
        <v>774</v>
      </c>
      <c r="AB1" s="378"/>
      <c r="AC1" s="378"/>
      <c r="AD1" s="378"/>
      <c r="AE1" s="378"/>
      <c r="AF1" s="378"/>
      <c r="AG1" s="378"/>
      <c r="AH1" s="378"/>
      <c r="AI1" s="378"/>
      <c r="AJ1" s="378"/>
      <c r="AK1" s="378"/>
    </row>
    <row r="2" spans="1:37" s="101" customFormat="1" ht="53.5" customHeight="1" x14ac:dyDescent="0.35">
      <c r="A2" s="378"/>
      <c r="B2" s="378"/>
      <c r="C2" s="378" t="s">
        <v>775</v>
      </c>
      <c r="D2" s="378"/>
      <c r="E2" s="378" t="s">
        <v>776</v>
      </c>
      <c r="F2" s="378"/>
      <c r="G2" s="378" t="s">
        <v>777</v>
      </c>
      <c r="H2" s="378"/>
      <c r="I2" s="378" t="s">
        <v>778</v>
      </c>
      <c r="J2" s="378"/>
      <c r="K2" s="291" t="s">
        <v>779</v>
      </c>
      <c r="L2" s="291" t="s">
        <v>780</v>
      </c>
      <c r="M2" s="291" t="s">
        <v>781</v>
      </c>
      <c r="N2" s="201"/>
      <c r="O2" s="378" t="s">
        <v>775</v>
      </c>
      <c r="P2" s="378"/>
      <c r="Q2" s="378" t="s">
        <v>776</v>
      </c>
      <c r="R2" s="378"/>
      <c r="S2" s="378" t="s">
        <v>777</v>
      </c>
      <c r="T2" s="378"/>
      <c r="U2" s="378" t="s">
        <v>778</v>
      </c>
      <c r="V2" s="378"/>
      <c r="W2" s="291" t="s">
        <v>779</v>
      </c>
      <c r="X2" s="291" t="s">
        <v>780</v>
      </c>
      <c r="Y2" s="291" t="s">
        <v>781</v>
      </c>
      <c r="Z2" s="201"/>
      <c r="AA2" s="378" t="s">
        <v>775</v>
      </c>
      <c r="AB2" s="378"/>
      <c r="AC2" s="378" t="s">
        <v>776</v>
      </c>
      <c r="AD2" s="378"/>
      <c r="AE2" s="378" t="s">
        <v>777</v>
      </c>
      <c r="AF2" s="378"/>
      <c r="AG2" s="378" t="s">
        <v>778</v>
      </c>
      <c r="AH2" s="378"/>
      <c r="AI2" s="291" t="s">
        <v>779</v>
      </c>
      <c r="AJ2" s="291" t="s">
        <v>780</v>
      </c>
      <c r="AK2" s="291" t="s">
        <v>781</v>
      </c>
    </row>
    <row r="3" spans="1:37" s="7" customFormat="1" ht="20.25" customHeight="1" x14ac:dyDescent="0.35">
      <c r="A3" s="343" t="s">
        <v>719</v>
      </c>
      <c r="B3" s="343" t="s">
        <v>720</v>
      </c>
      <c r="C3" s="344">
        <v>0.46300000000000002</v>
      </c>
      <c r="D3" s="345" t="s">
        <v>2926</v>
      </c>
      <c r="E3" s="344">
        <v>0.441</v>
      </c>
      <c r="F3" s="345" t="s">
        <v>2927</v>
      </c>
      <c r="G3" s="345"/>
      <c r="H3" s="345"/>
      <c r="I3" s="345"/>
      <c r="J3" s="345"/>
      <c r="K3" s="344">
        <v>-2.1999999999999999E-2</v>
      </c>
      <c r="L3" s="346"/>
      <c r="M3" s="346"/>
      <c r="N3" s="202"/>
      <c r="O3" s="347">
        <v>0.66800000000000004</v>
      </c>
      <c r="P3" s="348" t="s">
        <v>2928</v>
      </c>
      <c r="Q3" s="344">
        <v>0.58299999999999996</v>
      </c>
      <c r="R3" s="345" t="s">
        <v>2929</v>
      </c>
      <c r="S3" s="345"/>
      <c r="T3" s="345"/>
      <c r="U3" s="345"/>
      <c r="V3" s="345"/>
      <c r="W3" s="344">
        <v>-8.5000000000000006E-2</v>
      </c>
      <c r="X3" s="346"/>
      <c r="Y3" s="346"/>
      <c r="Z3" s="202"/>
      <c r="AA3" s="349">
        <v>0.34599999999999997</v>
      </c>
      <c r="AB3" s="350" t="s">
        <v>2930</v>
      </c>
      <c r="AC3" s="347">
        <v>0.33500000000000002</v>
      </c>
      <c r="AD3" s="348" t="s">
        <v>2931</v>
      </c>
      <c r="AE3" s="345"/>
      <c r="AF3" s="345"/>
      <c r="AG3" s="345"/>
      <c r="AH3" s="345"/>
      <c r="AI3" s="344" t="s">
        <v>2932</v>
      </c>
      <c r="AJ3" s="345"/>
      <c r="AK3" s="345"/>
    </row>
    <row r="4" spans="1:37" s="7" customFormat="1" ht="20.25" customHeight="1" x14ac:dyDescent="0.35">
      <c r="A4" s="100" t="s">
        <v>721</v>
      </c>
      <c r="B4" s="100" t="s">
        <v>722</v>
      </c>
      <c r="C4" s="260">
        <v>0.31900000000000001</v>
      </c>
      <c r="D4" s="121" t="s">
        <v>2933</v>
      </c>
      <c r="E4" s="260">
        <v>0.499</v>
      </c>
      <c r="F4" s="121" t="s">
        <v>2934</v>
      </c>
      <c r="G4" s="121"/>
      <c r="H4" s="121"/>
      <c r="I4" s="121"/>
      <c r="J4" s="121"/>
      <c r="K4" s="260">
        <v>0.18</v>
      </c>
      <c r="L4" s="196"/>
      <c r="M4" s="196"/>
      <c r="N4" s="202"/>
      <c r="O4" s="263">
        <v>0.57899999999999996</v>
      </c>
      <c r="P4" s="199" t="s">
        <v>2935</v>
      </c>
      <c r="Q4" s="260">
        <v>0.53700000000000003</v>
      </c>
      <c r="R4" s="121" t="s">
        <v>2936</v>
      </c>
      <c r="S4" s="121"/>
      <c r="T4" s="121"/>
      <c r="U4" s="121"/>
      <c r="V4" s="121"/>
      <c r="W4" s="260">
        <v>-4.2000000000000003E-2</v>
      </c>
      <c r="X4" s="196"/>
      <c r="Y4" s="196"/>
      <c r="Z4" s="202"/>
      <c r="AA4" s="266">
        <v>0.26200000000000001</v>
      </c>
      <c r="AB4" s="199" t="s">
        <v>2937</v>
      </c>
      <c r="AC4" s="263">
        <v>0.39200000000000002</v>
      </c>
      <c r="AD4" s="199" t="s">
        <v>2938</v>
      </c>
      <c r="AE4" s="121"/>
      <c r="AF4" s="121"/>
      <c r="AG4" s="121"/>
      <c r="AH4" s="121"/>
      <c r="AI4" s="260">
        <v>0.13</v>
      </c>
      <c r="AJ4" s="121"/>
      <c r="AK4" s="121"/>
    </row>
    <row r="5" spans="1:37" s="7" customFormat="1" ht="20.25" customHeight="1" x14ac:dyDescent="0.35">
      <c r="A5" s="99" t="s">
        <v>723</v>
      </c>
      <c r="B5" s="99" t="s">
        <v>720</v>
      </c>
      <c r="C5" s="259">
        <v>0.35499999999999998</v>
      </c>
      <c r="D5" s="122" t="s">
        <v>2939</v>
      </c>
      <c r="E5" s="259">
        <v>0.47699999999999998</v>
      </c>
      <c r="F5" s="122" t="s">
        <v>2940</v>
      </c>
      <c r="G5" s="122"/>
      <c r="H5" s="122"/>
      <c r="I5" s="122"/>
      <c r="J5" s="122"/>
      <c r="K5" s="259" t="s">
        <v>2941</v>
      </c>
      <c r="L5" s="195"/>
      <c r="M5" s="195"/>
      <c r="N5" s="202"/>
      <c r="O5" s="262">
        <v>0.63500000000000001</v>
      </c>
      <c r="P5" s="198" t="s">
        <v>2942</v>
      </c>
      <c r="Q5" s="259">
        <v>0.628</v>
      </c>
      <c r="R5" s="122" t="s">
        <v>2943</v>
      </c>
      <c r="S5" s="122"/>
      <c r="T5" s="122"/>
      <c r="U5" s="122"/>
      <c r="V5" s="122"/>
      <c r="W5" s="259" t="s">
        <v>2944</v>
      </c>
      <c r="X5" s="195"/>
      <c r="Y5" s="195"/>
      <c r="Z5" s="202"/>
      <c r="AA5" s="265">
        <v>0.245</v>
      </c>
      <c r="AB5" s="198" t="s">
        <v>2945</v>
      </c>
      <c r="AC5" s="262">
        <v>0.53200000000000003</v>
      </c>
      <c r="AD5" s="198" t="s">
        <v>2946</v>
      </c>
      <c r="AE5" s="122"/>
      <c r="AF5" s="122"/>
      <c r="AG5" s="122"/>
      <c r="AH5" s="122"/>
      <c r="AI5" s="259">
        <v>0.28699999999999998</v>
      </c>
      <c r="AJ5" s="122"/>
      <c r="AK5" s="122"/>
    </row>
    <row r="6" spans="1:37" s="7" customFormat="1" ht="20.25" customHeight="1" x14ac:dyDescent="0.35">
      <c r="A6" s="100" t="s">
        <v>724</v>
      </c>
      <c r="B6" s="100" t="s">
        <v>725</v>
      </c>
      <c r="C6" s="121">
        <v>0.46300000000000002</v>
      </c>
      <c r="D6" s="121" t="s">
        <v>2947</v>
      </c>
      <c r="E6" s="260">
        <v>0.61599999999999999</v>
      </c>
      <c r="F6" s="121" t="s">
        <v>2948</v>
      </c>
      <c r="G6" s="121"/>
      <c r="H6" s="121"/>
      <c r="I6" s="121"/>
      <c r="J6" s="121"/>
      <c r="K6" s="260" t="s">
        <v>2949</v>
      </c>
      <c r="L6" s="196"/>
      <c r="M6" s="196"/>
      <c r="N6" s="202"/>
      <c r="O6" s="263">
        <v>0.59799999999999998</v>
      </c>
      <c r="P6" s="199" t="s">
        <v>2950</v>
      </c>
      <c r="Q6" s="260">
        <v>0.56799999999999995</v>
      </c>
      <c r="R6" s="121" t="s">
        <v>2951</v>
      </c>
      <c r="S6" s="121"/>
      <c r="T6" s="121"/>
      <c r="U6" s="121"/>
      <c r="V6" s="121"/>
      <c r="W6" s="260">
        <v>-0.03</v>
      </c>
      <c r="X6" s="196"/>
      <c r="Y6" s="196"/>
      <c r="Z6" s="202"/>
      <c r="AA6" s="266">
        <v>0.47099999999999997</v>
      </c>
      <c r="AB6" s="199" t="s">
        <v>2952</v>
      </c>
      <c r="AC6" s="263">
        <v>0.42499999999999999</v>
      </c>
      <c r="AD6" s="199" t="s">
        <v>2953</v>
      </c>
      <c r="AE6" s="121"/>
      <c r="AF6" s="121"/>
      <c r="AG6" s="121"/>
      <c r="AH6" s="121"/>
      <c r="AI6" s="260" t="s">
        <v>2954</v>
      </c>
      <c r="AJ6" s="121"/>
      <c r="AK6" s="121"/>
    </row>
    <row r="7" spans="1:37" s="7" customFormat="1" ht="20.25" customHeight="1" x14ac:dyDescent="0.35">
      <c r="A7" s="99" t="s">
        <v>726</v>
      </c>
      <c r="B7" s="99" t="s">
        <v>720</v>
      </c>
      <c r="C7" s="259">
        <v>0.45600000000000002</v>
      </c>
      <c r="D7" s="122" t="s">
        <v>2955</v>
      </c>
      <c r="E7" s="259">
        <v>0.50900000000000001</v>
      </c>
      <c r="F7" s="122" t="s">
        <v>2956</v>
      </c>
      <c r="G7" s="122"/>
      <c r="H7" s="122"/>
      <c r="I7" s="122"/>
      <c r="J7" s="122"/>
      <c r="K7" s="259">
        <v>5.2999999999999999E-2</v>
      </c>
      <c r="L7" s="195"/>
      <c r="M7" s="195"/>
      <c r="N7" s="202"/>
      <c r="O7" s="262">
        <v>0.67</v>
      </c>
      <c r="P7" s="198" t="s">
        <v>2957</v>
      </c>
      <c r="Q7" s="259">
        <v>0.627</v>
      </c>
      <c r="R7" s="122" t="s">
        <v>2958</v>
      </c>
      <c r="S7" s="122"/>
      <c r="T7" s="122"/>
      <c r="U7" s="122"/>
      <c r="V7" s="122"/>
      <c r="W7" s="259" t="s">
        <v>2959</v>
      </c>
      <c r="X7" s="195"/>
      <c r="Y7" s="195"/>
      <c r="Z7" s="202"/>
      <c r="AA7" s="265">
        <v>0.32</v>
      </c>
      <c r="AB7" s="198" t="s">
        <v>2960</v>
      </c>
      <c r="AC7" s="262">
        <v>0.53100000000000003</v>
      </c>
      <c r="AD7" s="198" t="s">
        <v>2961</v>
      </c>
      <c r="AE7" s="122"/>
      <c r="AF7" s="122"/>
      <c r="AG7" s="122"/>
      <c r="AH7" s="122"/>
      <c r="AI7" s="259">
        <v>0.21</v>
      </c>
      <c r="AJ7" s="122"/>
      <c r="AK7" s="122"/>
    </row>
    <row r="8" spans="1:37" s="7" customFormat="1" ht="20.25" customHeight="1" x14ac:dyDescent="0.35">
      <c r="A8" s="100" t="s">
        <v>727</v>
      </c>
      <c r="B8" s="100" t="s">
        <v>728</v>
      </c>
      <c r="C8" s="260">
        <v>0.42799999999999999</v>
      </c>
      <c r="D8" s="121" t="s">
        <v>2962</v>
      </c>
      <c r="E8" s="260">
        <v>0.41199999999999998</v>
      </c>
      <c r="F8" s="121" t="s">
        <v>2963</v>
      </c>
      <c r="G8" s="121"/>
      <c r="H8" s="121"/>
      <c r="I8" s="121"/>
      <c r="J8" s="121"/>
      <c r="K8" s="260">
        <v>-1.7000000000000001E-2</v>
      </c>
      <c r="L8" s="196"/>
      <c r="M8" s="196"/>
      <c r="N8" s="202"/>
      <c r="O8" s="263">
        <v>0.61699999999999999</v>
      </c>
      <c r="P8" s="199" t="s">
        <v>2964</v>
      </c>
      <c r="Q8" s="260">
        <v>0.52300000000000002</v>
      </c>
      <c r="R8" s="121" t="s">
        <v>2965</v>
      </c>
      <c r="S8" s="121"/>
      <c r="T8" s="121"/>
      <c r="U8" s="121"/>
      <c r="V8" s="121"/>
      <c r="W8" s="260">
        <v>-9.2999999999999999E-2</v>
      </c>
      <c r="X8" s="196"/>
      <c r="Y8" s="196"/>
      <c r="Z8" s="202"/>
      <c r="AA8" s="266">
        <v>0.35399999999999998</v>
      </c>
      <c r="AB8" s="199" t="s">
        <v>2966</v>
      </c>
      <c r="AC8" s="263">
        <v>0.56999999999999995</v>
      </c>
      <c r="AD8" s="199" t="s">
        <v>2967</v>
      </c>
      <c r="AE8" s="121"/>
      <c r="AF8" s="121"/>
      <c r="AG8" s="121"/>
      <c r="AH8" s="121"/>
      <c r="AI8" s="260">
        <v>0.216</v>
      </c>
      <c r="AJ8" s="121"/>
      <c r="AK8" s="121"/>
    </row>
    <row r="9" spans="1:37" s="7" customFormat="1" ht="20.25" customHeight="1" x14ac:dyDescent="0.35">
      <c r="A9" s="99" t="s">
        <v>729</v>
      </c>
      <c r="B9" s="99" t="s">
        <v>730</v>
      </c>
      <c r="C9" s="259">
        <v>0.36499999999999999</v>
      </c>
      <c r="D9" s="122" t="s">
        <v>2968</v>
      </c>
      <c r="E9" s="259">
        <v>0.504</v>
      </c>
      <c r="F9" s="122" t="s">
        <v>2969</v>
      </c>
      <c r="G9" s="122"/>
      <c r="H9" s="122"/>
      <c r="I9" s="122"/>
      <c r="J9" s="122"/>
      <c r="K9" s="259">
        <v>0.13900000000000001</v>
      </c>
      <c r="L9" s="195"/>
      <c r="M9" s="195"/>
      <c r="N9" s="202"/>
      <c r="O9" s="262">
        <v>0.70399999999999996</v>
      </c>
      <c r="P9" s="198" t="s">
        <v>2970</v>
      </c>
      <c r="Q9" s="259">
        <v>0.63200000000000001</v>
      </c>
      <c r="R9" s="122" t="s">
        <v>2971</v>
      </c>
      <c r="S9" s="122"/>
      <c r="T9" s="122"/>
      <c r="U9" s="122"/>
      <c r="V9" s="122"/>
      <c r="W9" s="259" t="s">
        <v>2972</v>
      </c>
      <c r="X9" s="195"/>
      <c r="Y9" s="195"/>
      <c r="Z9" s="202"/>
      <c r="AA9" s="265">
        <v>0.193</v>
      </c>
      <c r="AB9" s="198" t="s">
        <v>2973</v>
      </c>
      <c r="AC9" s="262">
        <v>0.443</v>
      </c>
      <c r="AD9" s="198" t="s">
        <v>2974</v>
      </c>
      <c r="AE9" s="122"/>
      <c r="AF9" s="122"/>
      <c r="AG9" s="122"/>
      <c r="AH9" s="122"/>
      <c r="AI9" s="259" t="s">
        <v>2975</v>
      </c>
      <c r="AJ9" s="122"/>
      <c r="AK9" s="122"/>
    </row>
    <row r="10" spans="1:37" s="7" customFormat="1" ht="20.25" customHeight="1" x14ac:dyDescent="0.35">
      <c r="A10" s="100" t="s">
        <v>731</v>
      </c>
      <c r="B10" s="100" t="s">
        <v>722</v>
      </c>
      <c r="C10" s="260">
        <v>0.373</v>
      </c>
      <c r="D10" s="121" t="s">
        <v>2976</v>
      </c>
      <c r="E10" s="260">
        <v>0.35599999999999998</v>
      </c>
      <c r="F10" s="121" t="s">
        <v>2977</v>
      </c>
      <c r="G10" s="121"/>
      <c r="H10" s="121"/>
      <c r="I10" s="121"/>
      <c r="J10" s="121"/>
      <c r="K10" s="260">
        <v>-1.7999999999999999E-2</v>
      </c>
      <c r="L10" s="196"/>
      <c r="M10" s="196"/>
      <c r="N10" s="202"/>
      <c r="O10" s="263">
        <v>0.65600000000000003</v>
      </c>
      <c r="P10" s="199" t="s">
        <v>2978</v>
      </c>
      <c r="Q10" s="260">
        <v>0.52300000000000002</v>
      </c>
      <c r="R10" s="121" t="s">
        <v>2979</v>
      </c>
      <c r="S10" s="121"/>
      <c r="T10" s="121"/>
      <c r="U10" s="121"/>
      <c r="V10" s="121"/>
      <c r="W10" s="260">
        <v>-0.13200000000000001</v>
      </c>
      <c r="X10" s="196"/>
      <c r="Y10" s="196"/>
      <c r="Z10" s="202"/>
      <c r="AA10" s="266">
        <v>0.308</v>
      </c>
      <c r="AB10" s="199" t="s">
        <v>2980</v>
      </c>
      <c r="AC10" s="263">
        <v>0.41799999999999998</v>
      </c>
      <c r="AD10" s="199" t="s">
        <v>2981</v>
      </c>
      <c r="AE10" s="121"/>
      <c r="AF10" s="121"/>
      <c r="AG10" s="121"/>
      <c r="AH10" s="121"/>
      <c r="AI10" s="260">
        <v>0.11</v>
      </c>
      <c r="AJ10" s="121"/>
      <c r="AK10" s="121"/>
    </row>
    <row r="11" spans="1:37" s="7" customFormat="1" ht="20.25" customHeight="1" x14ac:dyDescent="0.35">
      <c r="A11" s="99" t="s">
        <v>732</v>
      </c>
      <c r="B11" s="99" t="s">
        <v>730</v>
      </c>
      <c r="C11" s="259">
        <v>0.38</v>
      </c>
      <c r="D11" s="122" t="s">
        <v>2982</v>
      </c>
      <c r="E11" s="259">
        <v>0.42499999999999999</v>
      </c>
      <c r="F11" s="122" t="s">
        <v>2983</v>
      </c>
      <c r="G11" s="122"/>
      <c r="H11" s="122"/>
      <c r="I11" s="122"/>
      <c r="J11" s="122"/>
      <c r="K11" s="259">
        <v>4.4999999999999998E-2</v>
      </c>
      <c r="L11" s="195"/>
      <c r="M11" s="195"/>
      <c r="N11" s="202"/>
      <c r="O11" s="262">
        <v>0.64600000000000002</v>
      </c>
      <c r="P11" s="198" t="s">
        <v>782</v>
      </c>
      <c r="Q11" s="259">
        <v>0.64</v>
      </c>
      <c r="R11" s="122" t="s">
        <v>2984</v>
      </c>
      <c r="S11" s="122"/>
      <c r="T11" s="122"/>
      <c r="U11" s="122"/>
      <c r="V11" s="122"/>
      <c r="W11" s="259">
        <v>-6.0000000000000001E-3</v>
      </c>
      <c r="X11" s="195"/>
      <c r="Y11" s="195"/>
      <c r="Z11" s="202"/>
      <c r="AA11" s="265">
        <v>0.28000000000000003</v>
      </c>
      <c r="AB11" s="198" t="s">
        <v>2985</v>
      </c>
      <c r="AC11" s="262">
        <v>0.26700000000000002</v>
      </c>
      <c r="AD11" s="198" t="s">
        <v>2986</v>
      </c>
      <c r="AE11" s="122"/>
      <c r="AF11" s="122"/>
      <c r="AG11" s="122"/>
      <c r="AH11" s="122"/>
      <c r="AI11" s="259">
        <v>-1.2999999999999999E-2</v>
      </c>
      <c r="AJ11" s="122"/>
      <c r="AK11" s="122"/>
    </row>
    <row r="12" spans="1:37" s="7" customFormat="1" ht="20.25" customHeight="1" x14ac:dyDescent="0.35">
      <c r="A12" s="100" t="s">
        <v>733</v>
      </c>
      <c r="B12" s="100" t="s">
        <v>734</v>
      </c>
      <c r="C12" s="260">
        <v>0.39900000000000002</v>
      </c>
      <c r="D12" s="121" t="s">
        <v>2987</v>
      </c>
      <c r="E12" s="260">
        <v>0.48299999999999998</v>
      </c>
      <c r="F12" s="121" t="s">
        <v>2988</v>
      </c>
      <c r="G12" s="121"/>
      <c r="H12" s="121"/>
      <c r="I12" s="121"/>
      <c r="J12" s="121"/>
      <c r="K12" s="260" t="s">
        <v>2989</v>
      </c>
      <c r="L12" s="196"/>
      <c r="M12" s="196"/>
      <c r="N12" s="202"/>
      <c r="O12" s="263">
        <v>0.58499999999999996</v>
      </c>
      <c r="P12" s="199" t="s">
        <v>2990</v>
      </c>
      <c r="Q12" s="260">
        <v>0.66800000000000004</v>
      </c>
      <c r="R12" s="121" t="s">
        <v>2991</v>
      </c>
      <c r="S12" s="121"/>
      <c r="T12" s="121"/>
      <c r="U12" s="121"/>
      <c r="V12" s="121"/>
      <c r="W12" s="260">
        <v>8.3000000000000004E-2</v>
      </c>
      <c r="X12" s="196"/>
      <c r="Y12" s="196"/>
      <c r="Z12" s="202"/>
      <c r="AA12" s="266">
        <v>0.44600000000000001</v>
      </c>
      <c r="AB12" s="199" t="s">
        <v>2992</v>
      </c>
      <c r="AC12" s="263">
        <v>0.46600000000000003</v>
      </c>
      <c r="AD12" s="199" t="s">
        <v>2993</v>
      </c>
      <c r="AE12" s="121"/>
      <c r="AF12" s="121"/>
      <c r="AG12" s="121"/>
      <c r="AH12" s="121"/>
      <c r="AI12" s="260">
        <v>0.02</v>
      </c>
      <c r="AJ12" s="121"/>
      <c r="AK12" s="121"/>
    </row>
    <row r="13" spans="1:37" ht="20.25" customHeight="1" x14ac:dyDescent="0.35">
      <c r="A13" s="99" t="s">
        <v>735</v>
      </c>
      <c r="B13" s="99" t="s">
        <v>736</v>
      </c>
      <c r="C13" s="259">
        <v>0.27200000000000002</v>
      </c>
      <c r="D13" s="122" t="s">
        <v>2994</v>
      </c>
      <c r="E13" s="259">
        <v>0.29599999999999999</v>
      </c>
      <c r="F13" s="122" t="s">
        <v>2995</v>
      </c>
      <c r="G13" s="122"/>
      <c r="H13" s="122"/>
      <c r="I13" s="122"/>
      <c r="J13" s="122"/>
      <c r="K13" s="259" t="s">
        <v>2996</v>
      </c>
      <c r="L13" s="195"/>
      <c r="M13" s="195"/>
      <c r="N13" s="202"/>
      <c r="O13" s="262">
        <v>0.53200000000000003</v>
      </c>
      <c r="P13" s="198" t="s">
        <v>2997</v>
      </c>
      <c r="Q13" s="259">
        <v>0.443</v>
      </c>
      <c r="R13" s="122" t="s">
        <v>2998</v>
      </c>
      <c r="S13" s="122"/>
      <c r="T13" s="122"/>
      <c r="U13" s="122"/>
      <c r="V13" s="122"/>
      <c r="W13" s="259">
        <v>-8.8999999999999996E-2</v>
      </c>
      <c r="X13" s="195"/>
      <c r="Y13" s="195"/>
      <c r="Z13" s="202"/>
      <c r="AA13" s="265">
        <v>0.26300000000000001</v>
      </c>
      <c r="AB13" s="198" t="s">
        <v>2999</v>
      </c>
      <c r="AC13" s="262">
        <v>0.308</v>
      </c>
      <c r="AD13" s="198" t="s">
        <v>3000</v>
      </c>
      <c r="AE13" s="122"/>
      <c r="AF13" s="122"/>
      <c r="AG13" s="122"/>
      <c r="AH13" s="122"/>
      <c r="AI13" s="259" t="s">
        <v>3001</v>
      </c>
      <c r="AJ13" s="122"/>
      <c r="AK13" s="122"/>
    </row>
    <row r="14" spans="1:37" ht="20.25" customHeight="1" x14ac:dyDescent="0.35">
      <c r="A14" s="100" t="s">
        <v>737</v>
      </c>
      <c r="B14" s="100" t="s">
        <v>736</v>
      </c>
      <c r="C14" s="260">
        <v>0.41699999999999998</v>
      </c>
      <c r="D14" s="121" t="s">
        <v>3002</v>
      </c>
      <c r="E14" s="260">
        <v>0.42299999999999999</v>
      </c>
      <c r="F14" s="121" t="s">
        <v>3003</v>
      </c>
      <c r="G14" s="121"/>
      <c r="H14" s="121"/>
      <c r="I14" s="121"/>
      <c r="J14" s="121"/>
      <c r="K14" s="260">
        <v>7.0000000000000001E-3</v>
      </c>
      <c r="L14" s="196"/>
      <c r="M14" s="196"/>
      <c r="N14" s="202"/>
      <c r="O14" s="263">
        <v>0.59499999999999997</v>
      </c>
      <c r="P14" s="199" t="s">
        <v>3004</v>
      </c>
      <c r="Q14" s="260">
        <v>0.55800000000000005</v>
      </c>
      <c r="R14" s="121" t="s">
        <v>3005</v>
      </c>
      <c r="S14" s="121"/>
      <c r="T14" s="121"/>
      <c r="U14" s="121"/>
      <c r="V14" s="121"/>
      <c r="W14" s="260">
        <v>-3.6999999999999998E-2</v>
      </c>
      <c r="X14" s="196"/>
      <c r="Y14" s="196"/>
      <c r="Z14" s="202"/>
      <c r="AA14" s="266">
        <v>0.373</v>
      </c>
      <c r="AB14" s="199" t="s">
        <v>3006</v>
      </c>
      <c r="AC14" s="263">
        <v>0.41799999999999998</v>
      </c>
      <c r="AD14" s="199" t="s">
        <v>3007</v>
      </c>
      <c r="AE14" s="121"/>
      <c r="AF14" s="121"/>
      <c r="AG14" s="121"/>
      <c r="AH14" s="121"/>
      <c r="AI14" s="260" t="s">
        <v>3001</v>
      </c>
      <c r="AJ14" s="121"/>
      <c r="AK14" s="121"/>
    </row>
    <row r="15" spans="1:37" ht="20.25" customHeight="1" x14ac:dyDescent="0.35">
      <c r="A15" s="99" t="s">
        <v>738</v>
      </c>
      <c r="B15" s="99" t="s">
        <v>722</v>
      </c>
      <c r="C15" s="259">
        <v>0.58199999999999996</v>
      </c>
      <c r="D15" s="122" t="s">
        <v>3008</v>
      </c>
      <c r="E15" s="259">
        <v>0.41299999999999998</v>
      </c>
      <c r="F15" s="122" t="s">
        <v>3009</v>
      </c>
      <c r="G15" s="122"/>
      <c r="H15" s="122"/>
      <c r="I15" s="122"/>
      <c r="J15" s="122"/>
      <c r="K15" s="259" t="s">
        <v>3010</v>
      </c>
      <c r="L15" s="195"/>
      <c r="M15" s="195"/>
      <c r="N15" s="202"/>
      <c r="O15" s="262">
        <v>0.66900000000000004</v>
      </c>
      <c r="P15" s="198" t="s">
        <v>3011</v>
      </c>
      <c r="Q15" s="259">
        <v>0.57399999999999995</v>
      </c>
      <c r="R15" s="122" t="s">
        <v>3012</v>
      </c>
      <c r="S15" s="122"/>
      <c r="T15" s="122"/>
      <c r="U15" s="122"/>
      <c r="V15" s="122"/>
      <c r="W15" s="259">
        <v>-9.4E-2</v>
      </c>
      <c r="X15" s="195"/>
      <c r="Y15" s="195"/>
      <c r="Z15" s="202"/>
      <c r="AA15" s="265">
        <v>0.48899999999999999</v>
      </c>
      <c r="AB15" s="198" t="s">
        <v>3013</v>
      </c>
      <c r="AC15" s="262">
        <v>0.56999999999999995</v>
      </c>
      <c r="AD15" s="198" t="s">
        <v>3014</v>
      </c>
      <c r="AE15" s="122"/>
      <c r="AF15" s="122"/>
      <c r="AG15" s="122"/>
      <c r="AH15" s="122"/>
      <c r="AI15" s="259" t="s">
        <v>2707</v>
      </c>
      <c r="AJ15" s="122"/>
      <c r="AK15" s="122"/>
    </row>
    <row r="16" spans="1:37" ht="20.25" customHeight="1" x14ac:dyDescent="0.35">
      <c r="A16" s="100" t="s">
        <v>739</v>
      </c>
      <c r="B16" s="100" t="s">
        <v>720</v>
      </c>
      <c r="C16" s="260">
        <v>0.504</v>
      </c>
      <c r="D16" s="121" t="s">
        <v>3015</v>
      </c>
      <c r="E16" s="260">
        <v>0.51200000000000001</v>
      </c>
      <c r="F16" s="121" t="s">
        <v>3016</v>
      </c>
      <c r="G16" s="121"/>
      <c r="H16" s="121"/>
      <c r="I16" s="121"/>
      <c r="J16" s="121"/>
      <c r="K16" s="260">
        <v>8.0000000000000002E-3</v>
      </c>
      <c r="L16" s="196"/>
      <c r="M16" s="196"/>
      <c r="N16" s="202"/>
      <c r="O16" s="263">
        <v>0.64</v>
      </c>
      <c r="P16" s="199" t="s">
        <v>3017</v>
      </c>
      <c r="Q16" s="260">
        <v>0.55300000000000005</v>
      </c>
      <c r="R16" s="121" t="s">
        <v>3018</v>
      </c>
      <c r="S16" s="121"/>
      <c r="T16" s="121"/>
      <c r="U16" s="121"/>
      <c r="V16" s="121"/>
      <c r="W16" s="260">
        <v>-8.5999999999999993E-2</v>
      </c>
      <c r="X16" s="196"/>
      <c r="Y16" s="196"/>
      <c r="Z16" s="202"/>
      <c r="AA16" s="266">
        <v>0.35699999999999998</v>
      </c>
      <c r="AB16" s="199" t="s">
        <v>3019</v>
      </c>
      <c r="AC16" s="263">
        <v>0.51600000000000001</v>
      </c>
      <c r="AD16" s="199" t="s">
        <v>3020</v>
      </c>
      <c r="AE16" s="121"/>
      <c r="AF16" s="121"/>
      <c r="AG16" s="121"/>
      <c r="AH16" s="121"/>
      <c r="AI16" s="260">
        <v>0.159</v>
      </c>
      <c r="AJ16" s="121"/>
      <c r="AK16" s="121"/>
    </row>
    <row r="17" spans="1:37" ht="20.25" customHeight="1" x14ac:dyDescent="0.35">
      <c r="A17" s="99" t="s">
        <v>740</v>
      </c>
      <c r="B17" s="99" t="s">
        <v>730</v>
      </c>
      <c r="C17" s="259">
        <v>0.29799999999999999</v>
      </c>
      <c r="D17" s="122" t="s">
        <v>3021</v>
      </c>
      <c r="E17" s="259">
        <v>0.36599999999999999</v>
      </c>
      <c r="F17" s="122" t="s">
        <v>3022</v>
      </c>
      <c r="G17" s="122"/>
      <c r="H17" s="122"/>
      <c r="I17" s="122"/>
      <c r="J17" s="122"/>
      <c r="K17" s="259">
        <v>6.9000000000000006E-2</v>
      </c>
      <c r="L17" s="195"/>
      <c r="M17" s="195"/>
      <c r="N17" s="202"/>
      <c r="O17" s="262">
        <v>0.54500000000000004</v>
      </c>
      <c r="P17" s="198" t="s">
        <v>3023</v>
      </c>
      <c r="Q17" s="259">
        <v>0.505</v>
      </c>
      <c r="R17" s="122" t="s">
        <v>2925</v>
      </c>
      <c r="S17" s="122"/>
      <c r="T17" s="122"/>
      <c r="U17" s="122"/>
      <c r="V17" s="122"/>
      <c r="W17" s="259">
        <v>-0.04</v>
      </c>
      <c r="X17" s="195"/>
      <c r="Y17" s="195"/>
      <c r="Z17" s="202"/>
      <c r="AA17" s="265">
        <v>0.26300000000000001</v>
      </c>
      <c r="AB17" s="198" t="s">
        <v>3024</v>
      </c>
      <c r="AC17" s="262">
        <v>0.27500000000000002</v>
      </c>
      <c r="AD17" s="198" t="s">
        <v>3025</v>
      </c>
      <c r="AE17" s="122"/>
      <c r="AF17" s="122"/>
      <c r="AG17" s="122"/>
      <c r="AH17" s="122"/>
      <c r="AI17" s="259" t="s">
        <v>3026</v>
      </c>
      <c r="AJ17" s="122"/>
      <c r="AK17" s="122"/>
    </row>
    <row r="18" spans="1:37" ht="20.25" customHeight="1" x14ac:dyDescent="0.35">
      <c r="A18" s="100" t="s">
        <v>741</v>
      </c>
      <c r="B18" s="100" t="s">
        <v>736</v>
      </c>
      <c r="C18" s="260">
        <v>0.39400000000000002</v>
      </c>
      <c r="D18" s="121" t="s">
        <v>3027</v>
      </c>
      <c r="E18" s="260">
        <v>0.40600000000000003</v>
      </c>
      <c r="F18" s="121" t="s">
        <v>3028</v>
      </c>
      <c r="G18" s="121"/>
      <c r="H18" s="121"/>
      <c r="I18" s="121"/>
      <c r="J18" s="121"/>
      <c r="K18" s="260" t="s">
        <v>3029</v>
      </c>
      <c r="L18" s="196"/>
      <c r="M18" s="196"/>
      <c r="N18" s="202"/>
      <c r="O18" s="263">
        <v>0.67800000000000005</v>
      </c>
      <c r="P18" s="199" t="s">
        <v>3030</v>
      </c>
      <c r="Q18" s="260">
        <v>0.48499999999999999</v>
      </c>
      <c r="R18" s="121" t="s">
        <v>3031</v>
      </c>
      <c r="S18" s="121"/>
      <c r="T18" s="121"/>
      <c r="U18" s="121"/>
      <c r="V18" s="121"/>
      <c r="W18" s="260">
        <v>-0.19400000000000001</v>
      </c>
      <c r="X18" s="196"/>
      <c r="Y18" s="196"/>
      <c r="Z18" s="202"/>
      <c r="AA18" s="266">
        <v>0.43099999999999999</v>
      </c>
      <c r="AB18" s="199" t="s">
        <v>3032</v>
      </c>
      <c r="AC18" s="263">
        <v>0.54100000000000004</v>
      </c>
      <c r="AD18" s="199" t="s">
        <v>3033</v>
      </c>
      <c r="AE18" s="121"/>
      <c r="AF18" s="121"/>
      <c r="AG18" s="121"/>
      <c r="AH18" s="121"/>
      <c r="AI18" s="260">
        <v>0.111</v>
      </c>
      <c r="AJ18" s="121"/>
      <c r="AK18" s="121"/>
    </row>
    <row r="19" spans="1:37" ht="20.25" customHeight="1" x14ac:dyDescent="0.35">
      <c r="A19" s="99" t="s">
        <v>742</v>
      </c>
      <c r="B19" s="99" t="s">
        <v>743</v>
      </c>
      <c r="C19" s="259">
        <v>0.36799999999999999</v>
      </c>
      <c r="D19" s="122" t="s">
        <v>3034</v>
      </c>
      <c r="E19" s="259">
        <v>0.59899999999999998</v>
      </c>
      <c r="F19" s="122" t="s">
        <v>3035</v>
      </c>
      <c r="G19" s="122"/>
      <c r="H19" s="122"/>
      <c r="I19" s="122"/>
      <c r="J19" s="122"/>
      <c r="K19" s="259">
        <v>0.23100000000000001</v>
      </c>
      <c r="L19" s="195"/>
      <c r="M19" s="195"/>
      <c r="N19" s="202"/>
      <c r="O19" s="262">
        <v>0.58599999999999997</v>
      </c>
      <c r="P19" s="198" t="s">
        <v>3036</v>
      </c>
      <c r="Q19" s="259">
        <v>0.57299999999999995</v>
      </c>
      <c r="R19" s="122" t="s">
        <v>2967</v>
      </c>
      <c r="S19" s="122"/>
      <c r="T19" s="122"/>
      <c r="U19" s="122"/>
      <c r="V19" s="122"/>
      <c r="W19" s="259" t="s">
        <v>3037</v>
      </c>
      <c r="X19" s="195"/>
      <c r="Y19" s="195"/>
      <c r="Z19" s="202"/>
      <c r="AA19" s="265">
        <v>0.219</v>
      </c>
      <c r="AB19" s="198" t="s">
        <v>3038</v>
      </c>
      <c r="AC19" s="262">
        <v>0.60799999999999998</v>
      </c>
      <c r="AD19" s="198" t="s">
        <v>3039</v>
      </c>
      <c r="AE19" s="122"/>
      <c r="AF19" s="122"/>
      <c r="AG19" s="122"/>
      <c r="AH19" s="122"/>
      <c r="AI19" s="259" t="s">
        <v>3040</v>
      </c>
      <c r="AJ19" s="122"/>
      <c r="AK19" s="122"/>
    </row>
    <row r="20" spans="1:37" ht="20.25" customHeight="1" x14ac:dyDescent="0.35">
      <c r="A20" s="100" t="s">
        <v>744</v>
      </c>
      <c r="B20" s="100" t="s">
        <v>743</v>
      </c>
      <c r="C20" s="260">
        <v>0.51200000000000001</v>
      </c>
      <c r="D20" s="121" t="s">
        <v>3041</v>
      </c>
      <c r="E20" s="260">
        <v>0.63300000000000001</v>
      </c>
      <c r="F20" s="121" t="s">
        <v>3042</v>
      </c>
      <c r="G20" s="121"/>
      <c r="H20" s="121"/>
      <c r="I20" s="121"/>
      <c r="J20" s="121"/>
      <c r="K20" s="260">
        <v>0.121</v>
      </c>
      <c r="L20" s="196"/>
      <c r="M20" s="196"/>
      <c r="N20" s="202"/>
      <c r="O20" s="263">
        <v>0.52500000000000002</v>
      </c>
      <c r="P20" s="199" t="s">
        <v>3043</v>
      </c>
      <c r="Q20" s="260">
        <v>0.66</v>
      </c>
      <c r="R20" s="121" t="s">
        <v>3044</v>
      </c>
      <c r="S20" s="121"/>
      <c r="T20" s="121"/>
      <c r="U20" s="121"/>
      <c r="V20" s="121"/>
      <c r="W20" s="260" t="s">
        <v>3045</v>
      </c>
      <c r="X20" s="196"/>
      <c r="Y20" s="196"/>
      <c r="Z20" s="202"/>
      <c r="AA20" s="266">
        <v>0.38200000000000001</v>
      </c>
      <c r="AB20" s="199" t="s">
        <v>3046</v>
      </c>
      <c r="AC20" s="263">
        <v>0.65700000000000003</v>
      </c>
      <c r="AD20" s="199" t="s">
        <v>3047</v>
      </c>
      <c r="AE20" s="121"/>
      <c r="AF20" s="121"/>
      <c r="AG20" s="121"/>
      <c r="AH20" s="121"/>
      <c r="AI20" s="260" t="s">
        <v>3048</v>
      </c>
      <c r="AJ20" s="121"/>
      <c r="AK20" s="121"/>
    </row>
    <row r="21" spans="1:37" ht="20.25" customHeight="1" x14ac:dyDescent="0.35">
      <c r="A21" s="99" t="s">
        <v>745</v>
      </c>
      <c r="B21" s="99" t="s">
        <v>730</v>
      </c>
      <c r="C21" s="259">
        <v>0.33200000000000002</v>
      </c>
      <c r="D21" s="122" t="s">
        <v>3049</v>
      </c>
      <c r="E21" s="259">
        <v>0.48</v>
      </c>
      <c r="F21" s="122" t="s">
        <v>3050</v>
      </c>
      <c r="G21" s="122"/>
      <c r="H21" s="122"/>
      <c r="I21" s="122"/>
      <c r="J21" s="122"/>
      <c r="K21" s="259">
        <v>0.14799999999999999</v>
      </c>
      <c r="L21" s="195"/>
      <c r="M21" s="195"/>
      <c r="N21" s="202"/>
      <c r="O21" s="262">
        <v>0.502</v>
      </c>
      <c r="P21" s="198" t="s">
        <v>3051</v>
      </c>
      <c r="Q21" s="259">
        <v>0.497</v>
      </c>
      <c r="R21" s="122" t="s">
        <v>3052</v>
      </c>
      <c r="S21" s="122"/>
      <c r="T21" s="122"/>
      <c r="U21" s="122"/>
      <c r="V21" s="122"/>
      <c r="W21" s="259">
        <v>-6.0000000000000001E-3</v>
      </c>
      <c r="X21" s="195"/>
      <c r="Y21" s="195"/>
      <c r="Z21" s="202"/>
      <c r="AA21" s="265">
        <v>0.23699999999999999</v>
      </c>
      <c r="AB21" s="198" t="s">
        <v>3053</v>
      </c>
      <c r="AC21" s="262">
        <v>0.33</v>
      </c>
      <c r="AD21" s="198" t="s">
        <v>3054</v>
      </c>
      <c r="AE21" s="122"/>
      <c r="AF21" s="122"/>
      <c r="AG21" s="122"/>
      <c r="AH21" s="122"/>
      <c r="AI21" s="259">
        <v>9.2999999999999999E-2</v>
      </c>
      <c r="AJ21" s="122"/>
      <c r="AK21" s="122"/>
    </row>
    <row r="22" spans="1:37" ht="20.25" customHeight="1" x14ac:dyDescent="0.35">
      <c r="A22" s="100" t="s">
        <v>746</v>
      </c>
      <c r="B22" s="100" t="s">
        <v>743</v>
      </c>
      <c r="C22" s="260">
        <v>0.64700000000000002</v>
      </c>
      <c r="D22" s="121" t="s">
        <v>3055</v>
      </c>
      <c r="E22" s="260">
        <v>0.67600000000000005</v>
      </c>
      <c r="F22" s="121" t="s">
        <v>3056</v>
      </c>
      <c r="G22" s="121"/>
      <c r="H22" s="121"/>
      <c r="I22" s="121"/>
      <c r="J22" s="121"/>
      <c r="K22" s="260" t="s">
        <v>3057</v>
      </c>
      <c r="L22" s="196"/>
      <c r="M22" s="196"/>
      <c r="N22" s="202"/>
      <c r="O22" s="263">
        <v>0.54200000000000004</v>
      </c>
      <c r="P22" s="199" t="s">
        <v>3058</v>
      </c>
      <c r="Q22" s="260">
        <v>0.59699999999999998</v>
      </c>
      <c r="R22" s="121" t="s">
        <v>3059</v>
      </c>
      <c r="S22" s="121"/>
      <c r="T22" s="121"/>
      <c r="U22" s="121"/>
      <c r="V22" s="121"/>
      <c r="W22" s="260" t="s">
        <v>3060</v>
      </c>
      <c r="X22" s="196"/>
      <c r="Y22" s="196"/>
      <c r="Z22" s="202"/>
      <c r="AA22" s="266">
        <v>0.48399999999999999</v>
      </c>
      <c r="AB22" s="199" t="s">
        <v>3061</v>
      </c>
      <c r="AC22" s="263">
        <v>0.67100000000000004</v>
      </c>
      <c r="AD22" s="199" t="s">
        <v>3062</v>
      </c>
      <c r="AE22" s="121"/>
      <c r="AF22" s="121"/>
      <c r="AG22" s="121"/>
      <c r="AH22" s="121"/>
      <c r="AI22" s="260" t="s">
        <v>3063</v>
      </c>
      <c r="AJ22" s="121"/>
      <c r="AK22" s="121"/>
    </row>
    <row r="23" spans="1:37" ht="20.25" customHeight="1" x14ac:dyDescent="0.35">
      <c r="A23" s="99" t="s">
        <v>747</v>
      </c>
      <c r="B23" s="99" t="s">
        <v>748</v>
      </c>
      <c r="C23" s="259">
        <v>0.374</v>
      </c>
      <c r="D23" s="122" t="s">
        <v>3064</v>
      </c>
      <c r="E23" s="259">
        <v>0.57399999999999995</v>
      </c>
      <c r="F23" s="122" t="s">
        <v>3065</v>
      </c>
      <c r="G23" s="122"/>
      <c r="H23" s="122"/>
      <c r="I23" s="122"/>
      <c r="J23" s="122"/>
      <c r="K23" s="259" t="s">
        <v>3066</v>
      </c>
      <c r="L23" s="195"/>
      <c r="M23" s="195"/>
      <c r="N23" s="202"/>
      <c r="O23" s="262">
        <v>0.63800000000000001</v>
      </c>
      <c r="P23" s="198" t="s">
        <v>3067</v>
      </c>
      <c r="Q23" s="259">
        <v>0.61499999999999999</v>
      </c>
      <c r="R23" s="122" t="s">
        <v>3068</v>
      </c>
      <c r="S23" s="122"/>
      <c r="T23" s="122"/>
      <c r="U23" s="122"/>
      <c r="V23" s="122"/>
      <c r="W23" s="259">
        <v>-2.3E-2</v>
      </c>
      <c r="X23" s="195"/>
      <c r="Y23" s="195"/>
      <c r="Z23" s="202"/>
      <c r="AA23" s="265">
        <v>0.47299999999999998</v>
      </c>
      <c r="AB23" s="198" t="s">
        <v>3069</v>
      </c>
      <c r="AC23" s="262">
        <v>0.63300000000000001</v>
      </c>
      <c r="AD23" s="198" t="s">
        <v>3070</v>
      </c>
      <c r="AE23" s="122"/>
      <c r="AF23" s="122"/>
      <c r="AG23" s="122"/>
      <c r="AH23" s="122"/>
      <c r="AI23" s="259" t="s">
        <v>783</v>
      </c>
      <c r="AJ23" s="122"/>
      <c r="AK23" s="122"/>
    </row>
    <row r="24" spans="1:37" ht="20.25" customHeight="1" x14ac:dyDescent="0.35">
      <c r="A24" s="100" t="s">
        <v>749</v>
      </c>
      <c r="B24" s="100" t="s">
        <v>730</v>
      </c>
      <c r="C24" s="260">
        <v>0.42099999999999999</v>
      </c>
      <c r="D24" s="121" t="s">
        <v>3071</v>
      </c>
      <c r="E24" s="260">
        <v>0.49</v>
      </c>
      <c r="F24" s="121" t="s">
        <v>3072</v>
      </c>
      <c r="G24" s="121"/>
      <c r="H24" s="121"/>
      <c r="I24" s="121"/>
      <c r="J24" s="121"/>
      <c r="K24" s="260">
        <v>6.9000000000000006E-2</v>
      </c>
      <c r="L24" s="196"/>
      <c r="M24" s="196"/>
      <c r="N24" s="202"/>
      <c r="O24" s="263">
        <v>0.53</v>
      </c>
      <c r="P24" s="199" t="s">
        <v>3073</v>
      </c>
      <c r="Q24" s="260">
        <v>0.55400000000000005</v>
      </c>
      <c r="R24" s="121" t="s">
        <v>3074</v>
      </c>
      <c r="S24" s="121"/>
      <c r="T24" s="121"/>
      <c r="U24" s="121"/>
      <c r="V24" s="121"/>
      <c r="W24" s="260">
        <v>2.4E-2</v>
      </c>
      <c r="X24" s="196"/>
      <c r="Y24" s="196"/>
      <c r="Z24" s="202"/>
      <c r="AA24" s="266">
        <v>0.27500000000000002</v>
      </c>
      <c r="AB24" s="199" t="s">
        <v>3075</v>
      </c>
      <c r="AC24" s="263">
        <v>0.3</v>
      </c>
      <c r="AD24" s="199" t="s">
        <v>3076</v>
      </c>
      <c r="AE24" s="121"/>
      <c r="AF24" s="121"/>
      <c r="AG24" s="121"/>
      <c r="AH24" s="121"/>
      <c r="AI24" s="260">
        <v>2.5000000000000001E-2</v>
      </c>
      <c r="AJ24" s="121"/>
      <c r="AK24" s="121"/>
    </row>
    <row r="25" spans="1:37" ht="20.25" customHeight="1" x14ac:dyDescent="0.35">
      <c r="A25" s="99" t="s">
        <v>750</v>
      </c>
      <c r="B25" s="99" t="s">
        <v>751</v>
      </c>
      <c r="C25" s="259">
        <v>0.378</v>
      </c>
      <c r="D25" s="122" t="s">
        <v>3077</v>
      </c>
      <c r="E25" s="259">
        <v>0.60699999999999998</v>
      </c>
      <c r="F25" s="122" t="s">
        <v>3078</v>
      </c>
      <c r="G25" s="122"/>
      <c r="H25" s="122"/>
      <c r="I25" s="122"/>
      <c r="J25" s="122"/>
      <c r="K25" s="259">
        <v>0.22900000000000001</v>
      </c>
      <c r="L25" s="195"/>
      <c r="M25" s="195"/>
      <c r="N25" s="202"/>
      <c r="O25" s="262">
        <v>0.57799999999999996</v>
      </c>
      <c r="P25" s="198" t="s">
        <v>3079</v>
      </c>
      <c r="Q25" s="259">
        <v>0.60799999999999998</v>
      </c>
      <c r="R25" s="122" t="s">
        <v>3080</v>
      </c>
      <c r="S25" s="122"/>
      <c r="T25" s="122"/>
      <c r="U25" s="122"/>
      <c r="V25" s="122"/>
      <c r="W25" s="259">
        <v>2.9000000000000001E-2</v>
      </c>
      <c r="X25" s="195"/>
      <c r="Y25" s="195"/>
      <c r="Z25" s="202"/>
      <c r="AA25" s="265">
        <v>0.22600000000000001</v>
      </c>
      <c r="AB25" s="198" t="s">
        <v>3081</v>
      </c>
      <c r="AC25" s="262">
        <v>0.56599999999999995</v>
      </c>
      <c r="AD25" s="198" t="s">
        <v>3082</v>
      </c>
      <c r="AE25" s="122"/>
      <c r="AF25" s="122"/>
      <c r="AG25" s="122"/>
      <c r="AH25" s="122"/>
      <c r="AI25" s="259">
        <v>0.34</v>
      </c>
      <c r="AJ25" s="122"/>
      <c r="AK25" s="122"/>
    </row>
    <row r="26" spans="1:37" ht="20.25" customHeight="1" x14ac:dyDescent="0.35">
      <c r="A26" s="100" t="s">
        <v>752</v>
      </c>
      <c r="B26" s="100" t="s">
        <v>753</v>
      </c>
      <c r="C26" s="260">
        <v>0.54300000000000004</v>
      </c>
      <c r="D26" s="121" t="s">
        <v>3083</v>
      </c>
      <c r="E26" s="260">
        <v>0.28299999999999997</v>
      </c>
      <c r="F26" s="121" t="s">
        <v>3084</v>
      </c>
      <c r="G26" s="121"/>
      <c r="H26" s="121"/>
      <c r="I26" s="121"/>
      <c r="J26" s="121"/>
      <c r="K26" s="260" t="s">
        <v>2708</v>
      </c>
      <c r="L26" s="196"/>
      <c r="M26" s="196"/>
      <c r="N26" s="202"/>
      <c r="O26" s="263">
        <v>0.65900000000000003</v>
      </c>
      <c r="P26" s="199" t="s">
        <v>3085</v>
      </c>
      <c r="Q26" s="260">
        <v>0.32800000000000001</v>
      </c>
      <c r="R26" s="121" t="s">
        <v>3086</v>
      </c>
      <c r="S26" s="121"/>
      <c r="T26" s="121"/>
      <c r="U26" s="121"/>
      <c r="V26" s="121"/>
      <c r="W26" s="260">
        <v>-0.33100000000000002</v>
      </c>
      <c r="X26" s="196"/>
      <c r="Y26" s="196"/>
      <c r="Z26" s="202"/>
      <c r="AA26" s="266">
        <v>0.30599999999999999</v>
      </c>
      <c r="AB26" s="199" t="s">
        <v>3087</v>
      </c>
      <c r="AC26" s="263">
        <v>0.23899999999999999</v>
      </c>
      <c r="AD26" s="199" t="s">
        <v>3088</v>
      </c>
      <c r="AE26" s="121"/>
      <c r="AF26" s="121"/>
      <c r="AG26" s="121"/>
      <c r="AH26" s="121"/>
      <c r="AI26" s="260" t="s">
        <v>3089</v>
      </c>
      <c r="AJ26" s="121"/>
      <c r="AK26" s="121"/>
    </row>
    <row r="27" spans="1:37" ht="20.25" customHeight="1" x14ac:dyDescent="0.35">
      <c r="A27" s="99" t="s">
        <v>754</v>
      </c>
      <c r="B27" s="99" t="s">
        <v>736</v>
      </c>
      <c r="C27" s="259">
        <v>0.38100000000000001</v>
      </c>
      <c r="D27" s="122" t="s">
        <v>3090</v>
      </c>
      <c r="E27" s="259">
        <v>0.48</v>
      </c>
      <c r="F27" s="122" t="s">
        <v>3091</v>
      </c>
      <c r="G27" s="122"/>
      <c r="H27" s="122"/>
      <c r="I27" s="122"/>
      <c r="J27" s="122"/>
      <c r="K27" s="259">
        <v>9.9000000000000005E-2</v>
      </c>
      <c r="L27" s="195"/>
      <c r="M27" s="195"/>
      <c r="N27" s="202"/>
      <c r="O27" s="262">
        <v>0.72299999999999998</v>
      </c>
      <c r="P27" s="198" t="s">
        <v>3092</v>
      </c>
      <c r="Q27" s="259">
        <v>0.61599999999999999</v>
      </c>
      <c r="R27" s="122" t="s">
        <v>3093</v>
      </c>
      <c r="S27" s="122"/>
      <c r="T27" s="122"/>
      <c r="U27" s="122"/>
      <c r="V27" s="122"/>
      <c r="W27" s="259" t="s">
        <v>3094</v>
      </c>
      <c r="X27" s="195"/>
      <c r="Y27" s="195"/>
      <c r="Z27" s="202"/>
      <c r="AA27" s="265">
        <v>0.251</v>
      </c>
      <c r="AB27" s="198" t="s">
        <v>3095</v>
      </c>
      <c r="AC27" s="262">
        <v>0.371</v>
      </c>
      <c r="AD27" s="198" t="s">
        <v>3096</v>
      </c>
      <c r="AE27" s="122"/>
      <c r="AF27" s="122"/>
      <c r="AG27" s="122"/>
      <c r="AH27" s="122"/>
      <c r="AI27" s="259">
        <v>0.11899999999999999</v>
      </c>
      <c r="AJ27" s="122"/>
      <c r="AK27" s="122"/>
    </row>
    <row r="28" spans="1:37" ht="20.25" customHeight="1" x14ac:dyDescent="0.35">
      <c r="A28" s="100" t="s">
        <v>755</v>
      </c>
      <c r="B28" s="100" t="s">
        <v>753</v>
      </c>
      <c r="C28" s="260">
        <v>0.35699999999999998</v>
      </c>
      <c r="D28" s="121" t="s">
        <v>3097</v>
      </c>
      <c r="E28" s="260">
        <v>0.35299999999999998</v>
      </c>
      <c r="F28" s="121" t="s">
        <v>3098</v>
      </c>
      <c r="G28" s="121"/>
      <c r="H28" s="121"/>
      <c r="I28" s="121"/>
      <c r="J28" s="121"/>
      <c r="K28" s="260">
        <v>-4.0000000000000001E-3</v>
      </c>
      <c r="L28" s="196"/>
      <c r="M28" s="196"/>
      <c r="N28" s="202"/>
      <c r="O28" s="263">
        <v>0.69</v>
      </c>
      <c r="P28" s="199" t="s">
        <v>3099</v>
      </c>
      <c r="Q28" s="260">
        <v>0.53</v>
      </c>
      <c r="R28" s="121" t="s">
        <v>3100</v>
      </c>
      <c r="S28" s="121"/>
      <c r="T28" s="121"/>
      <c r="U28" s="121"/>
      <c r="V28" s="121"/>
      <c r="W28" s="260" t="s">
        <v>3101</v>
      </c>
      <c r="X28" s="196"/>
      <c r="Y28" s="196"/>
      <c r="Z28" s="202"/>
      <c r="AA28" s="266">
        <v>0.25600000000000001</v>
      </c>
      <c r="AB28" s="199" t="s">
        <v>3102</v>
      </c>
      <c r="AC28" s="263">
        <v>0.40300000000000002</v>
      </c>
      <c r="AD28" s="199" t="s">
        <v>3103</v>
      </c>
      <c r="AE28" s="121"/>
      <c r="AF28" s="121"/>
      <c r="AG28" s="121"/>
      <c r="AH28" s="121"/>
      <c r="AI28" s="260">
        <v>0.14699999999999999</v>
      </c>
      <c r="AJ28" s="121"/>
      <c r="AK28" s="121"/>
    </row>
    <row r="29" spans="1:37" ht="20.25" customHeight="1" x14ac:dyDescent="0.35">
      <c r="A29" s="99" t="s">
        <v>756</v>
      </c>
      <c r="B29" s="99" t="s">
        <v>728</v>
      </c>
      <c r="C29" s="259">
        <v>0.36599999999999999</v>
      </c>
      <c r="D29" s="122" t="s">
        <v>3104</v>
      </c>
      <c r="E29" s="259">
        <v>0.38800000000000001</v>
      </c>
      <c r="F29" s="122" t="s">
        <v>3105</v>
      </c>
      <c r="G29" s="122"/>
      <c r="H29" s="122"/>
      <c r="I29" s="122"/>
      <c r="J29" s="122"/>
      <c r="K29" s="259">
        <v>2.1999999999999999E-2</v>
      </c>
      <c r="L29" s="195"/>
      <c r="M29" s="195"/>
      <c r="N29" s="202"/>
      <c r="O29" s="262">
        <v>0.68600000000000005</v>
      </c>
      <c r="P29" s="198" t="s">
        <v>3106</v>
      </c>
      <c r="Q29" s="259">
        <v>0.623</v>
      </c>
      <c r="R29" s="122" t="s">
        <v>3107</v>
      </c>
      <c r="S29" s="122"/>
      <c r="T29" s="122"/>
      <c r="U29" s="122"/>
      <c r="V29" s="122"/>
      <c r="W29" s="259">
        <v>-6.3E-2</v>
      </c>
      <c r="X29" s="195"/>
      <c r="Y29" s="195"/>
      <c r="Z29" s="202"/>
      <c r="AA29" s="265">
        <v>0.28599999999999998</v>
      </c>
      <c r="AB29" s="198" t="s">
        <v>3108</v>
      </c>
      <c r="AC29" s="262">
        <v>0.38400000000000001</v>
      </c>
      <c r="AD29" s="198" t="s">
        <v>3109</v>
      </c>
      <c r="AE29" s="122"/>
      <c r="AF29" s="122"/>
      <c r="AG29" s="122"/>
      <c r="AH29" s="122"/>
      <c r="AI29" s="259" t="s">
        <v>3110</v>
      </c>
      <c r="AJ29" s="122"/>
      <c r="AK29" s="122"/>
    </row>
    <row r="30" spans="1:37" ht="20.25" customHeight="1" x14ac:dyDescent="0.35">
      <c r="A30" s="100" t="s">
        <v>757</v>
      </c>
      <c r="B30" s="100" t="s">
        <v>730</v>
      </c>
      <c r="C30" s="260">
        <v>0.315</v>
      </c>
      <c r="D30" s="121" t="s">
        <v>3111</v>
      </c>
      <c r="E30" s="260">
        <v>0.27500000000000002</v>
      </c>
      <c r="F30" s="121" t="s">
        <v>3112</v>
      </c>
      <c r="G30" s="121"/>
      <c r="H30" s="121"/>
      <c r="I30" s="121"/>
      <c r="J30" s="121"/>
      <c r="K30" s="260" t="s">
        <v>2709</v>
      </c>
      <c r="L30" s="196"/>
      <c r="M30" s="196"/>
      <c r="N30" s="202"/>
      <c r="O30" s="263">
        <v>0.58199999999999996</v>
      </c>
      <c r="P30" s="199" t="s">
        <v>3113</v>
      </c>
      <c r="Q30" s="260">
        <v>0.52800000000000002</v>
      </c>
      <c r="R30" s="121" t="s">
        <v>3114</v>
      </c>
      <c r="S30" s="121"/>
      <c r="T30" s="121"/>
      <c r="U30" s="121"/>
      <c r="V30" s="121"/>
      <c r="W30" s="260">
        <v>-5.3999999999999999E-2</v>
      </c>
      <c r="X30" s="196"/>
      <c r="Y30" s="196"/>
      <c r="Z30" s="202"/>
      <c r="AA30" s="266">
        <v>0.217</v>
      </c>
      <c r="AB30" s="199" t="s">
        <v>3115</v>
      </c>
      <c r="AC30" s="263">
        <v>0.25700000000000001</v>
      </c>
      <c r="AD30" s="199" t="s">
        <v>3116</v>
      </c>
      <c r="AE30" s="121"/>
      <c r="AF30" s="121"/>
      <c r="AG30" s="121"/>
      <c r="AH30" s="121"/>
      <c r="AI30" s="260">
        <v>0.04</v>
      </c>
      <c r="AJ30" s="121"/>
      <c r="AK30" s="121"/>
    </row>
    <row r="31" spans="1:37" ht="20.25" customHeight="1" x14ac:dyDescent="0.35">
      <c r="A31" s="99" t="s">
        <v>758</v>
      </c>
      <c r="B31" s="99" t="s">
        <v>759</v>
      </c>
      <c r="C31" s="259">
        <v>0.55700000000000005</v>
      </c>
      <c r="D31" s="122" t="s">
        <v>3117</v>
      </c>
      <c r="E31" s="259">
        <v>0.48</v>
      </c>
      <c r="F31" s="122" t="s">
        <v>3118</v>
      </c>
      <c r="G31" s="122"/>
      <c r="H31" s="122"/>
      <c r="I31" s="122"/>
      <c r="J31" s="122"/>
      <c r="K31" s="259" t="s">
        <v>3119</v>
      </c>
      <c r="L31" s="195"/>
      <c r="M31" s="195"/>
      <c r="N31" s="202"/>
      <c r="O31" s="262">
        <v>0.64</v>
      </c>
      <c r="P31" s="198" t="s">
        <v>3120</v>
      </c>
      <c r="Q31" s="259">
        <v>0.58899999999999997</v>
      </c>
      <c r="R31" s="122" t="s">
        <v>3121</v>
      </c>
      <c r="S31" s="122"/>
      <c r="T31" s="122"/>
      <c r="U31" s="122"/>
      <c r="V31" s="122"/>
      <c r="W31" s="259">
        <v>-5.0999999999999997E-2</v>
      </c>
      <c r="X31" s="195"/>
      <c r="Y31" s="195"/>
      <c r="Z31" s="202"/>
      <c r="AA31" s="265">
        <v>0.32900000000000001</v>
      </c>
      <c r="AB31" s="198" t="s">
        <v>3122</v>
      </c>
      <c r="AC31" s="262">
        <v>0.371</v>
      </c>
      <c r="AD31" s="198" t="s">
        <v>3123</v>
      </c>
      <c r="AE31" s="122"/>
      <c r="AF31" s="122"/>
      <c r="AG31" s="122"/>
      <c r="AH31" s="122"/>
      <c r="AI31" s="259">
        <v>4.2000000000000003E-2</v>
      </c>
      <c r="AJ31" s="122"/>
      <c r="AK31" s="122"/>
    </row>
    <row r="32" spans="1:37" ht="19.5" customHeight="1" x14ac:dyDescent="0.35">
      <c r="A32" s="100" t="s">
        <v>760</v>
      </c>
      <c r="B32" s="100" t="s">
        <v>759</v>
      </c>
      <c r="C32" s="260">
        <v>0.34799999999999998</v>
      </c>
      <c r="D32" s="121" t="s">
        <v>3124</v>
      </c>
      <c r="E32" s="260">
        <v>0.434</v>
      </c>
      <c r="F32" s="121" t="s">
        <v>3125</v>
      </c>
      <c r="G32" s="121"/>
      <c r="H32" s="121"/>
      <c r="I32" s="121"/>
      <c r="J32" s="121"/>
      <c r="K32" s="260">
        <v>8.6999999999999994E-2</v>
      </c>
      <c r="L32" s="196"/>
      <c r="M32" s="196"/>
      <c r="N32" s="202"/>
      <c r="O32" s="263">
        <v>0.57899999999999996</v>
      </c>
      <c r="P32" s="199" t="s">
        <v>3126</v>
      </c>
      <c r="Q32" s="260">
        <v>0.53500000000000003</v>
      </c>
      <c r="R32" s="121" t="s">
        <v>3127</v>
      </c>
      <c r="S32" s="121"/>
      <c r="T32" s="121"/>
      <c r="U32" s="121"/>
      <c r="V32" s="121"/>
      <c r="W32" s="260">
        <v>-4.3999999999999997E-2</v>
      </c>
      <c r="X32" s="196"/>
      <c r="Y32" s="196"/>
      <c r="Z32" s="202"/>
      <c r="AA32" s="266">
        <v>0.17399999999999999</v>
      </c>
      <c r="AB32" s="199" t="s">
        <v>3128</v>
      </c>
      <c r="AC32" s="263">
        <v>0.37</v>
      </c>
      <c r="AD32" s="199" t="s">
        <v>3129</v>
      </c>
      <c r="AE32" s="121"/>
      <c r="AF32" s="121"/>
      <c r="AG32" s="121"/>
      <c r="AH32" s="121"/>
      <c r="AI32" s="260">
        <v>0.19600000000000001</v>
      </c>
      <c r="AJ32" s="121"/>
      <c r="AK32" s="121"/>
    </row>
    <row r="33" spans="1:37" ht="20.25" customHeight="1" x14ac:dyDescent="0.35">
      <c r="A33" s="102" t="s">
        <v>761</v>
      </c>
      <c r="B33" s="102" t="s">
        <v>720</v>
      </c>
      <c r="C33" s="261">
        <v>0.375</v>
      </c>
      <c r="D33" s="123" t="s">
        <v>3130</v>
      </c>
      <c r="E33" s="261">
        <v>0.52800000000000002</v>
      </c>
      <c r="F33" s="123" t="s">
        <v>3131</v>
      </c>
      <c r="G33" s="123"/>
      <c r="H33" s="123"/>
      <c r="I33" s="123"/>
      <c r="J33" s="123"/>
      <c r="K33" s="261" t="s">
        <v>3132</v>
      </c>
      <c r="L33" s="197"/>
      <c r="M33" s="197"/>
      <c r="N33" s="202"/>
      <c r="O33" s="264">
        <v>0.47899999999999998</v>
      </c>
      <c r="P33" s="200" t="s">
        <v>3133</v>
      </c>
      <c r="Q33" s="261">
        <v>0.55000000000000004</v>
      </c>
      <c r="R33" s="123" t="s">
        <v>3134</v>
      </c>
      <c r="S33" s="123"/>
      <c r="T33" s="123"/>
      <c r="U33" s="123"/>
      <c r="V33" s="123"/>
      <c r="W33" s="261">
        <v>7.0999999999999994E-2</v>
      </c>
      <c r="X33" s="197"/>
      <c r="Y33" s="197"/>
      <c r="Z33" s="202"/>
      <c r="AA33" s="267">
        <v>0.317</v>
      </c>
      <c r="AB33" s="200" t="s">
        <v>3135</v>
      </c>
      <c r="AC33" s="264">
        <v>0.56599999999999995</v>
      </c>
      <c r="AD33" s="200" t="s">
        <v>3136</v>
      </c>
      <c r="AE33" s="123"/>
      <c r="AF33" s="123"/>
      <c r="AG33" s="123"/>
      <c r="AH33" s="123"/>
      <c r="AI33" s="261" t="s">
        <v>2710</v>
      </c>
      <c r="AJ33" s="123"/>
      <c r="AK33" s="123"/>
    </row>
    <row r="34" spans="1:37" ht="19.5" customHeight="1" x14ac:dyDescent="0.35">
      <c r="A34" s="100" t="s">
        <v>762</v>
      </c>
      <c r="B34" s="100" t="s">
        <v>763</v>
      </c>
      <c r="C34" s="260">
        <v>0.30299999999999999</v>
      </c>
      <c r="D34" s="121" t="s">
        <v>3137</v>
      </c>
      <c r="E34" s="260">
        <v>0.39200000000000002</v>
      </c>
      <c r="F34" s="121" t="s">
        <v>3138</v>
      </c>
      <c r="G34" s="121"/>
      <c r="H34" s="121"/>
      <c r="I34" s="121"/>
      <c r="J34" s="121"/>
      <c r="K34" s="260" t="s">
        <v>3139</v>
      </c>
      <c r="L34" s="196"/>
      <c r="M34" s="196"/>
      <c r="N34" s="202"/>
      <c r="O34" s="263">
        <v>0.55200000000000005</v>
      </c>
      <c r="P34" s="199" t="s">
        <v>3140</v>
      </c>
      <c r="Q34" s="260">
        <v>0.50800000000000001</v>
      </c>
      <c r="R34" s="121" t="s">
        <v>3141</v>
      </c>
      <c r="S34" s="121"/>
      <c r="T34" s="121"/>
      <c r="U34" s="121"/>
      <c r="V34" s="121"/>
      <c r="W34" s="260">
        <v>-4.2999999999999997E-2</v>
      </c>
      <c r="X34" s="196"/>
      <c r="Y34" s="196"/>
      <c r="Z34" s="202"/>
      <c r="AA34" s="266">
        <v>0.33500000000000002</v>
      </c>
      <c r="AB34" s="199" t="s">
        <v>3142</v>
      </c>
      <c r="AC34" s="263">
        <v>0.45800000000000002</v>
      </c>
      <c r="AD34" s="199" t="s">
        <v>3143</v>
      </c>
      <c r="AE34" s="121"/>
      <c r="AF34" s="121"/>
      <c r="AG34" s="121"/>
      <c r="AH34" s="121"/>
      <c r="AI34" s="260">
        <v>0.123</v>
      </c>
      <c r="AJ34" s="121"/>
      <c r="AK34" s="121"/>
    </row>
    <row r="35" spans="1:37" ht="20.25" customHeight="1" x14ac:dyDescent="0.35">
      <c r="A35" s="102" t="s">
        <v>764</v>
      </c>
      <c r="B35" s="102" t="s">
        <v>765</v>
      </c>
      <c r="C35" s="261">
        <v>0.435</v>
      </c>
      <c r="D35" s="123" t="s">
        <v>3144</v>
      </c>
      <c r="E35" s="261">
        <v>0.42299999999999999</v>
      </c>
      <c r="F35" s="123" t="s">
        <v>3145</v>
      </c>
      <c r="G35" s="123"/>
      <c r="H35" s="123"/>
      <c r="I35" s="123"/>
      <c r="J35" s="123"/>
      <c r="K35" s="261">
        <v>-1.2E-2</v>
      </c>
      <c r="L35" s="197"/>
      <c r="M35" s="197"/>
      <c r="N35" s="202"/>
      <c r="O35" s="264">
        <v>0.67</v>
      </c>
      <c r="P35" s="200" t="s">
        <v>3146</v>
      </c>
      <c r="Q35" s="261">
        <v>0.47399999999999998</v>
      </c>
      <c r="R35" s="123" t="s">
        <v>3147</v>
      </c>
      <c r="S35" s="123"/>
      <c r="T35" s="123"/>
      <c r="U35" s="123"/>
      <c r="V35" s="123"/>
      <c r="W35" s="261">
        <v>-0.19600000000000001</v>
      </c>
      <c r="X35" s="197"/>
      <c r="Y35" s="197"/>
      <c r="Z35" s="202"/>
      <c r="AA35" s="267">
        <v>0.39</v>
      </c>
      <c r="AB35" s="200" t="s">
        <v>3148</v>
      </c>
      <c r="AC35" s="264">
        <v>0.52400000000000002</v>
      </c>
      <c r="AD35" s="200" t="s">
        <v>3149</v>
      </c>
      <c r="AE35" s="123"/>
      <c r="AF35" s="123"/>
      <c r="AG35" s="123"/>
      <c r="AH35" s="123"/>
      <c r="AI35" s="261">
        <v>0.13500000000000001</v>
      </c>
      <c r="AJ35" s="123"/>
      <c r="AK35" s="123"/>
    </row>
    <row r="36" spans="1:37" ht="19.5" customHeight="1" x14ac:dyDescent="0.35">
      <c r="A36" s="100" t="s">
        <v>766</v>
      </c>
      <c r="B36" s="100" t="s">
        <v>728</v>
      </c>
      <c r="C36" s="260">
        <v>0.182</v>
      </c>
      <c r="D36" s="121" t="s">
        <v>3150</v>
      </c>
      <c r="E36" s="260">
        <v>0.48499999999999999</v>
      </c>
      <c r="F36" s="121" t="s">
        <v>3151</v>
      </c>
      <c r="G36" s="121"/>
      <c r="H36" s="121"/>
      <c r="I36" s="121"/>
      <c r="J36" s="121"/>
      <c r="K36" s="260" t="s">
        <v>3152</v>
      </c>
      <c r="L36" s="196"/>
      <c r="M36" s="196"/>
      <c r="N36" s="202"/>
      <c r="O36" s="263">
        <v>0.41399999999999998</v>
      </c>
      <c r="P36" s="199" t="s">
        <v>3153</v>
      </c>
      <c r="Q36" s="260">
        <v>0.59299999999999997</v>
      </c>
      <c r="R36" s="121" t="s">
        <v>3154</v>
      </c>
      <c r="S36" s="121"/>
      <c r="T36" s="121"/>
      <c r="U36" s="121"/>
      <c r="V36" s="121"/>
      <c r="W36" s="260">
        <v>0.18</v>
      </c>
      <c r="X36" s="196"/>
      <c r="Y36" s="196"/>
      <c r="Z36" s="202"/>
      <c r="AA36" s="266">
        <v>0.107</v>
      </c>
      <c r="AB36" s="199" t="s">
        <v>3155</v>
      </c>
      <c r="AC36" s="263">
        <v>0.504</v>
      </c>
      <c r="AD36" s="199" t="s">
        <v>3156</v>
      </c>
      <c r="AE36" s="121"/>
      <c r="AF36" s="121"/>
      <c r="AG36" s="121"/>
      <c r="AH36" s="121"/>
      <c r="AI36" s="260" t="s">
        <v>3157</v>
      </c>
      <c r="AJ36" s="121"/>
      <c r="AK36" s="121"/>
    </row>
    <row r="37" spans="1:37" ht="20.25" customHeight="1" x14ac:dyDescent="0.35">
      <c r="A37" s="103" t="s">
        <v>784</v>
      </c>
      <c r="E37" s="170"/>
      <c r="F37" s="170"/>
      <c r="G37" s="170"/>
      <c r="H37" s="170"/>
      <c r="I37" s="170"/>
      <c r="J37" s="170"/>
      <c r="K37" s="170"/>
      <c r="L37" s="170"/>
      <c r="M37" s="170"/>
      <c r="N37" s="194"/>
      <c r="Q37" s="170"/>
      <c r="R37" s="170"/>
      <c r="S37" s="170"/>
      <c r="T37" s="170"/>
      <c r="U37" s="170"/>
      <c r="V37" s="170"/>
      <c r="W37" s="170"/>
      <c r="X37" s="170"/>
      <c r="Y37" s="170"/>
      <c r="Z37" s="194"/>
      <c r="AA37" s="170"/>
      <c r="AB37" s="170"/>
      <c r="AC37" s="170"/>
      <c r="AD37" s="170"/>
      <c r="AE37" s="170"/>
      <c r="AF37" s="170"/>
      <c r="AG37" s="170"/>
      <c r="AH37" s="170"/>
      <c r="AI37" s="170"/>
      <c r="AJ37" s="170"/>
      <c r="AK37" s="170"/>
    </row>
    <row r="38" spans="1:37" ht="20.25" customHeight="1" x14ac:dyDescent="0.35">
      <c r="A38" s="103" t="s">
        <v>785</v>
      </c>
      <c r="E38" s="170"/>
      <c r="F38" s="170"/>
      <c r="G38" s="170"/>
      <c r="H38" s="170"/>
      <c r="I38" s="170"/>
      <c r="J38" s="170"/>
      <c r="K38" s="170"/>
      <c r="L38" s="170"/>
      <c r="M38" s="170"/>
      <c r="N38" s="194"/>
      <c r="Q38" s="170"/>
      <c r="R38" s="170"/>
      <c r="S38" s="170"/>
      <c r="T38" s="170"/>
      <c r="U38" s="170"/>
      <c r="V38" s="170"/>
      <c r="W38" s="170"/>
      <c r="X38" s="170"/>
      <c r="Y38" s="170"/>
      <c r="Z38" s="194"/>
      <c r="AA38" s="170"/>
      <c r="AB38" s="170"/>
      <c r="AC38" s="170"/>
      <c r="AD38" s="170"/>
      <c r="AE38" s="170"/>
      <c r="AF38" s="170"/>
      <c r="AG38" s="170"/>
      <c r="AH38" s="170"/>
      <c r="AI38" s="170"/>
      <c r="AJ38" s="170"/>
      <c r="AK38" s="170"/>
    </row>
    <row r="39" spans="1:37" ht="20.25" customHeight="1" x14ac:dyDescent="0.35">
      <c r="A39" s="103" t="s">
        <v>786</v>
      </c>
    </row>
    <row r="40" spans="1:37" ht="20.25" customHeight="1" x14ac:dyDescent="0.35">
      <c r="A40" s="103" t="s">
        <v>787</v>
      </c>
    </row>
  </sheetData>
  <autoFilter ref="A2:AK40" xr:uid="{00000000-0001-0000-0500-000000000000}">
    <filterColumn colId="2" showButton="0"/>
    <filterColumn colId="4" showButton="0"/>
    <filterColumn colId="6" showButton="0"/>
    <filterColumn colId="8" showButton="0"/>
    <filterColumn colId="14" showButton="0"/>
    <filterColumn colId="16" showButton="0"/>
    <filterColumn colId="18" showButton="0"/>
    <filterColumn colId="20" showButton="0"/>
    <filterColumn colId="26" showButton="0"/>
    <filterColumn colId="28" showButton="0"/>
    <filterColumn colId="30" showButton="0"/>
    <filterColumn colId="32" showButton="0"/>
  </autoFilter>
  <mergeCells count="17">
    <mergeCell ref="AG2:AH2"/>
    <mergeCell ref="AC2:AD2"/>
    <mergeCell ref="A1:A2"/>
    <mergeCell ref="B1:B2"/>
    <mergeCell ref="O1:Y1"/>
    <mergeCell ref="C1:M1"/>
    <mergeCell ref="AA1:AK1"/>
    <mergeCell ref="C2:D2"/>
    <mergeCell ref="E2:F2"/>
    <mergeCell ref="G2:H2"/>
    <mergeCell ref="I2:J2"/>
    <mergeCell ref="O2:P2"/>
    <mergeCell ref="Q2:R2"/>
    <mergeCell ref="S2:T2"/>
    <mergeCell ref="U2:V2"/>
    <mergeCell ref="AA2:AB2"/>
    <mergeCell ref="AE2:AF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A1:AO119"/>
  <sheetViews>
    <sheetView topLeftCell="A113" zoomScale="57" zoomScaleNormal="57" workbookViewId="0">
      <pane xSplit="6" topLeftCell="AI1" activePane="topRight" state="frozen"/>
      <selection pane="topRight" activeCell="C79" sqref="C79"/>
    </sheetView>
  </sheetViews>
  <sheetFormatPr defaultColWidth="11" defaultRowHeight="20.25" customHeight="1" x14ac:dyDescent="0.35"/>
  <cols>
    <col min="1" max="1" width="7.33203125" customWidth="1"/>
    <col min="2" max="2" width="61.83203125" style="21" customWidth="1"/>
    <col min="3" max="6" width="20.33203125" style="179" customWidth="1"/>
    <col min="7" max="7" width="20.33203125" style="70" customWidth="1"/>
    <col min="8" max="40" width="20.83203125" style="70" customWidth="1"/>
  </cols>
  <sheetData>
    <row r="1" spans="1:41" s="326" customFormat="1" ht="34.5" customHeight="1" x14ac:dyDescent="0.35">
      <c r="A1" s="378" t="s">
        <v>788</v>
      </c>
      <c r="B1" s="379"/>
      <c r="C1" s="380" t="s">
        <v>767</v>
      </c>
      <c r="D1" s="380"/>
      <c r="E1" s="380"/>
      <c r="F1" s="380"/>
      <c r="G1" s="290" t="s">
        <v>719</v>
      </c>
      <c r="H1" s="290" t="s">
        <v>721</v>
      </c>
      <c r="I1" s="290" t="s">
        <v>723</v>
      </c>
      <c r="J1" s="290" t="s">
        <v>724</v>
      </c>
      <c r="K1" s="290" t="s">
        <v>726</v>
      </c>
      <c r="L1" s="290" t="s">
        <v>727</v>
      </c>
      <c r="M1" s="290" t="s">
        <v>729</v>
      </c>
      <c r="N1" s="290" t="s">
        <v>731</v>
      </c>
      <c r="O1" s="290" t="s">
        <v>732</v>
      </c>
      <c r="P1" s="290" t="s">
        <v>733</v>
      </c>
      <c r="Q1" s="290" t="s">
        <v>735</v>
      </c>
      <c r="R1" s="290" t="s">
        <v>737</v>
      </c>
      <c r="S1" s="290" t="s">
        <v>738</v>
      </c>
      <c r="T1" s="290" t="s">
        <v>739</v>
      </c>
      <c r="U1" s="290" t="s">
        <v>740</v>
      </c>
      <c r="V1" s="290" t="s">
        <v>741</v>
      </c>
      <c r="W1" s="290" t="s">
        <v>742</v>
      </c>
      <c r="X1" s="290" t="s">
        <v>744</v>
      </c>
      <c r="Y1" s="290" t="s">
        <v>745</v>
      </c>
      <c r="Z1" s="290" t="s">
        <v>746</v>
      </c>
      <c r="AA1" s="290" t="s">
        <v>747</v>
      </c>
      <c r="AB1" s="290" t="s">
        <v>749</v>
      </c>
      <c r="AC1" s="290" t="s">
        <v>750</v>
      </c>
      <c r="AD1" s="290" t="s">
        <v>752</v>
      </c>
      <c r="AE1" s="290" t="s">
        <v>754</v>
      </c>
      <c r="AF1" s="290" t="s">
        <v>755</v>
      </c>
      <c r="AG1" s="290" t="s">
        <v>756</v>
      </c>
      <c r="AH1" s="290" t="s">
        <v>757</v>
      </c>
      <c r="AI1" s="290" t="s">
        <v>758</v>
      </c>
      <c r="AJ1" s="290" t="s">
        <v>789</v>
      </c>
      <c r="AK1" s="290" t="s">
        <v>761</v>
      </c>
      <c r="AL1" s="290" t="s">
        <v>762</v>
      </c>
      <c r="AM1" s="290" t="s">
        <v>764</v>
      </c>
      <c r="AN1" s="290" t="s">
        <v>766</v>
      </c>
    </row>
    <row r="2" spans="1:41" s="328" customFormat="1" ht="20.25" customHeight="1" x14ac:dyDescent="0.35">
      <c r="A2" s="382" t="s">
        <v>700</v>
      </c>
      <c r="B2" s="382"/>
      <c r="C2" s="380" t="s">
        <v>790</v>
      </c>
      <c r="D2" s="380" t="s">
        <v>791</v>
      </c>
      <c r="E2" s="380" t="s">
        <v>792</v>
      </c>
      <c r="F2" s="380" t="s">
        <v>793</v>
      </c>
      <c r="G2" s="327" t="s">
        <v>720</v>
      </c>
      <c r="H2" s="327" t="s">
        <v>722</v>
      </c>
      <c r="I2" s="327" t="s">
        <v>720</v>
      </c>
      <c r="J2" s="327" t="s">
        <v>725</v>
      </c>
      <c r="K2" s="327" t="s">
        <v>720</v>
      </c>
      <c r="L2" s="327" t="s">
        <v>728</v>
      </c>
      <c r="M2" s="327" t="s">
        <v>730</v>
      </c>
      <c r="N2" s="327" t="s">
        <v>722</v>
      </c>
      <c r="O2" s="327" t="s">
        <v>730</v>
      </c>
      <c r="P2" s="327" t="s">
        <v>734</v>
      </c>
      <c r="Q2" s="327" t="s">
        <v>736</v>
      </c>
      <c r="R2" s="327" t="s">
        <v>736</v>
      </c>
      <c r="S2" s="327" t="s">
        <v>722</v>
      </c>
      <c r="T2" s="327" t="s">
        <v>720</v>
      </c>
      <c r="U2" s="327" t="s">
        <v>730</v>
      </c>
      <c r="V2" s="327" t="s">
        <v>736</v>
      </c>
      <c r="W2" s="327" t="s">
        <v>743</v>
      </c>
      <c r="X2" s="327" t="s">
        <v>743</v>
      </c>
      <c r="Y2" s="327" t="s">
        <v>730</v>
      </c>
      <c r="Z2" s="327" t="s">
        <v>743</v>
      </c>
      <c r="AA2" s="327" t="s">
        <v>748</v>
      </c>
      <c r="AB2" s="327" t="s">
        <v>730</v>
      </c>
      <c r="AC2" s="327" t="s">
        <v>751</v>
      </c>
      <c r="AD2" s="327" t="s">
        <v>753</v>
      </c>
      <c r="AE2" s="327" t="s">
        <v>736</v>
      </c>
      <c r="AF2" s="327" t="s">
        <v>753</v>
      </c>
      <c r="AG2" s="327" t="s">
        <v>728</v>
      </c>
      <c r="AH2" s="327" t="s">
        <v>730</v>
      </c>
      <c r="AI2" s="327" t="s">
        <v>759</v>
      </c>
      <c r="AJ2" s="327" t="s">
        <v>759</v>
      </c>
      <c r="AK2" s="327" t="s">
        <v>720</v>
      </c>
      <c r="AL2" s="327" t="s">
        <v>763</v>
      </c>
      <c r="AM2" s="327" t="s">
        <v>765</v>
      </c>
      <c r="AN2" s="327" t="s">
        <v>728</v>
      </c>
    </row>
    <row r="3" spans="1:41" s="328" customFormat="1" ht="19.5" customHeight="1" x14ac:dyDescent="0.35">
      <c r="A3" s="382" t="s">
        <v>794</v>
      </c>
      <c r="B3" s="382"/>
      <c r="C3" s="380"/>
      <c r="D3" s="380"/>
      <c r="E3" s="380"/>
      <c r="F3" s="380"/>
      <c r="G3" s="327"/>
      <c r="H3" s="327"/>
      <c r="I3" s="327"/>
      <c r="J3" s="327"/>
      <c r="K3" s="327"/>
      <c r="L3" s="327"/>
      <c r="M3" s="327"/>
      <c r="N3" s="327"/>
      <c r="O3" s="327"/>
      <c r="P3" s="327"/>
      <c r="Q3" s="327"/>
      <c r="R3" s="327"/>
      <c r="S3" s="327"/>
      <c r="T3" s="327"/>
      <c r="U3" s="327"/>
      <c r="V3" s="327"/>
      <c r="W3" s="327"/>
      <c r="X3" s="327"/>
      <c r="Y3" s="327"/>
      <c r="Z3" s="327"/>
      <c r="AA3" s="327"/>
      <c r="AB3" s="327"/>
      <c r="AC3" s="327"/>
      <c r="AD3" s="327"/>
      <c r="AE3" s="327"/>
      <c r="AF3" s="327"/>
      <c r="AG3" s="327"/>
      <c r="AH3" s="327"/>
      <c r="AI3" s="327"/>
      <c r="AJ3" s="327"/>
      <c r="AK3" s="327"/>
      <c r="AL3" s="327"/>
      <c r="AM3" s="327"/>
      <c r="AN3" s="327"/>
    </row>
    <row r="4" spans="1:41" s="62" customFormat="1" ht="20.25" customHeight="1" x14ac:dyDescent="0.35">
      <c r="A4" s="383" t="s">
        <v>795</v>
      </c>
      <c r="B4" s="383"/>
      <c r="C4" s="324"/>
      <c r="D4" s="324"/>
      <c r="E4" s="324"/>
      <c r="F4" s="324"/>
      <c r="G4" s="325">
        <v>4</v>
      </c>
      <c r="H4" s="325">
        <v>3</v>
      </c>
      <c r="I4" s="325">
        <v>3</v>
      </c>
      <c r="J4" s="325">
        <v>6</v>
      </c>
      <c r="K4" s="325">
        <v>3</v>
      </c>
      <c r="L4" s="325">
        <v>3</v>
      </c>
      <c r="M4" s="325">
        <v>2</v>
      </c>
      <c r="N4" s="325">
        <v>4</v>
      </c>
      <c r="O4" s="325">
        <v>5</v>
      </c>
      <c r="P4" s="325">
        <v>3</v>
      </c>
      <c r="Q4" s="325">
        <v>6</v>
      </c>
      <c r="R4" s="325">
        <v>5</v>
      </c>
      <c r="S4" s="325">
        <v>4</v>
      </c>
      <c r="T4" s="325">
        <v>6</v>
      </c>
      <c r="U4" s="325">
        <v>4</v>
      </c>
      <c r="V4" s="325">
        <v>4</v>
      </c>
      <c r="W4" s="325">
        <v>2</v>
      </c>
      <c r="X4" s="325">
        <v>3</v>
      </c>
      <c r="Y4" s="325">
        <v>4</v>
      </c>
      <c r="Z4" s="325">
        <v>3</v>
      </c>
      <c r="AA4" s="325">
        <v>5</v>
      </c>
      <c r="AB4" s="325">
        <v>9</v>
      </c>
      <c r="AC4" s="325">
        <v>4</v>
      </c>
      <c r="AD4" s="325">
        <v>2</v>
      </c>
      <c r="AE4" s="325">
        <v>3</v>
      </c>
      <c r="AF4" s="325">
        <v>4</v>
      </c>
      <c r="AG4" s="325">
        <v>2</v>
      </c>
      <c r="AH4" s="325">
        <v>5</v>
      </c>
      <c r="AI4" s="325">
        <v>4</v>
      </c>
      <c r="AJ4" s="325">
        <v>3</v>
      </c>
      <c r="AK4" s="325">
        <v>4</v>
      </c>
      <c r="AL4" s="325">
        <v>3</v>
      </c>
      <c r="AM4" s="325">
        <v>4</v>
      </c>
      <c r="AN4" s="325">
        <v>3</v>
      </c>
      <c r="AO4" s="269"/>
    </row>
    <row r="5" spans="1:41" s="62" customFormat="1" ht="20.25" customHeight="1" x14ac:dyDescent="0.35">
      <c r="A5" s="384" t="s">
        <v>796</v>
      </c>
      <c r="B5" s="384"/>
      <c r="C5" s="94"/>
      <c r="D5" s="94"/>
      <c r="E5" s="94"/>
      <c r="F5" s="94"/>
      <c r="G5" s="94">
        <v>2</v>
      </c>
      <c r="H5" s="94">
        <v>1</v>
      </c>
      <c r="I5" s="94">
        <v>2</v>
      </c>
      <c r="J5" s="94">
        <v>3</v>
      </c>
      <c r="K5" s="94">
        <v>1</v>
      </c>
      <c r="L5" s="94">
        <v>1</v>
      </c>
      <c r="M5" s="94">
        <v>2</v>
      </c>
      <c r="N5" s="94">
        <v>3</v>
      </c>
      <c r="O5" s="94">
        <v>4</v>
      </c>
      <c r="P5" s="94">
        <v>0</v>
      </c>
      <c r="Q5" s="94">
        <v>2</v>
      </c>
      <c r="R5" s="94">
        <v>4</v>
      </c>
      <c r="S5" s="94">
        <v>1</v>
      </c>
      <c r="T5" s="94">
        <v>2</v>
      </c>
      <c r="U5" s="94">
        <v>3</v>
      </c>
      <c r="V5" s="94">
        <v>2</v>
      </c>
      <c r="W5" s="94">
        <v>3</v>
      </c>
      <c r="X5" s="94">
        <v>1</v>
      </c>
      <c r="Y5" s="94">
        <v>2</v>
      </c>
      <c r="Z5" s="94">
        <v>2</v>
      </c>
      <c r="AA5" s="94">
        <v>2</v>
      </c>
      <c r="AB5" s="94">
        <v>2</v>
      </c>
      <c r="AC5" s="94">
        <v>2</v>
      </c>
      <c r="AD5" s="94">
        <v>1</v>
      </c>
      <c r="AE5" s="94">
        <v>2</v>
      </c>
      <c r="AF5" s="94">
        <v>1</v>
      </c>
      <c r="AG5" s="94">
        <v>1</v>
      </c>
      <c r="AH5" s="94">
        <v>0</v>
      </c>
      <c r="AI5" s="94">
        <v>1</v>
      </c>
      <c r="AJ5" s="94">
        <v>1</v>
      </c>
      <c r="AK5" s="94">
        <v>2</v>
      </c>
      <c r="AL5" s="94">
        <v>1</v>
      </c>
      <c r="AM5" s="94">
        <v>1</v>
      </c>
      <c r="AN5" s="94">
        <v>2</v>
      </c>
      <c r="AO5" s="269"/>
    </row>
    <row r="6" spans="1:41" s="62" customFormat="1" ht="20.25" customHeight="1" x14ac:dyDescent="0.35">
      <c r="A6" s="385" t="s">
        <v>797</v>
      </c>
      <c r="B6" s="386"/>
      <c r="C6" s="178"/>
      <c r="D6" s="226"/>
      <c r="E6" s="226"/>
      <c r="F6" s="226"/>
      <c r="G6" s="157">
        <v>0</v>
      </c>
      <c r="H6" s="157">
        <v>0</v>
      </c>
      <c r="I6" s="157">
        <v>1</v>
      </c>
      <c r="J6" s="157">
        <v>1</v>
      </c>
      <c r="K6" s="157">
        <v>1</v>
      </c>
      <c r="L6" s="157">
        <v>0</v>
      </c>
      <c r="M6" s="157">
        <v>1</v>
      </c>
      <c r="N6" s="157">
        <v>1</v>
      </c>
      <c r="O6" s="157">
        <v>1</v>
      </c>
      <c r="P6" s="157">
        <v>1</v>
      </c>
      <c r="Q6" s="157">
        <v>1</v>
      </c>
      <c r="R6" s="157">
        <v>1</v>
      </c>
      <c r="S6" s="157">
        <v>1</v>
      </c>
      <c r="T6" s="157">
        <v>1</v>
      </c>
      <c r="U6" s="157">
        <v>1</v>
      </c>
      <c r="V6" s="157">
        <v>0</v>
      </c>
      <c r="W6" s="157">
        <v>0</v>
      </c>
      <c r="X6" s="157">
        <v>1</v>
      </c>
      <c r="Y6" s="157">
        <v>1</v>
      </c>
      <c r="Z6" s="157">
        <v>0</v>
      </c>
      <c r="AA6" s="157">
        <v>1</v>
      </c>
      <c r="AB6" s="157">
        <v>1</v>
      </c>
      <c r="AC6" s="157">
        <v>0</v>
      </c>
      <c r="AD6" s="157">
        <v>1</v>
      </c>
      <c r="AE6" s="157">
        <v>1</v>
      </c>
      <c r="AF6" s="157">
        <v>1</v>
      </c>
      <c r="AG6" s="157">
        <v>1</v>
      </c>
      <c r="AH6" s="157">
        <v>0</v>
      </c>
      <c r="AI6" s="157">
        <v>1</v>
      </c>
      <c r="AJ6" s="157">
        <v>1</v>
      </c>
      <c r="AK6" s="157">
        <v>1</v>
      </c>
      <c r="AL6" s="157">
        <v>1</v>
      </c>
      <c r="AM6" s="157">
        <v>0</v>
      </c>
      <c r="AN6" s="157">
        <v>1</v>
      </c>
      <c r="AO6" s="269"/>
    </row>
    <row r="7" spans="1:41" s="119" customFormat="1" ht="20.25" customHeight="1" x14ac:dyDescent="0.35">
      <c r="A7" s="381" t="s">
        <v>705</v>
      </c>
      <c r="B7" s="381"/>
      <c r="C7" s="175">
        <v>0.66084810000000005</v>
      </c>
      <c r="D7" s="175">
        <v>0.66071429999999998</v>
      </c>
      <c r="E7" s="175">
        <v>0.20535709999999999</v>
      </c>
      <c r="F7" s="175">
        <v>0.9928572</v>
      </c>
      <c r="G7" s="89">
        <v>0.79761903999999995</v>
      </c>
      <c r="H7" s="89">
        <v>0.66071427000000005</v>
      </c>
      <c r="I7" s="89">
        <v>0.77380954999999996</v>
      </c>
      <c r="J7" s="89">
        <v>0.91071427000000005</v>
      </c>
      <c r="K7" s="89">
        <v>0.92142855999999995</v>
      </c>
      <c r="L7" s="89">
        <v>0.54464287</v>
      </c>
      <c r="M7" s="89">
        <v>0.59285712000000002</v>
      </c>
      <c r="N7" s="89">
        <v>0.45982142999999998</v>
      </c>
      <c r="O7" s="89">
        <v>0.48928570999999998</v>
      </c>
      <c r="P7" s="89">
        <v>0.64285713</v>
      </c>
      <c r="Q7" s="89">
        <v>0.40079364000000001</v>
      </c>
      <c r="R7" s="89">
        <v>0.57142859999999995</v>
      </c>
      <c r="S7" s="89">
        <v>0.75595235999999999</v>
      </c>
      <c r="T7" s="89">
        <v>0.82539684000000002</v>
      </c>
      <c r="U7" s="89">
        <v>0.5</v>
      </c>
      <c r="V7" s="89">
        <v>0.66071427000000005</v>
      </c>
      <c r="W7" s="89">
        <v>0.87142854999999997</v>
      </c>
      <c r="X7" s="89">
        <v>0.96428572999999995</v>
      </c>
      <c r="Y7" s="89">
        <v>0.65306120999999995</v>
      </c>
      <c r="Z7" s="89">
        <v>0.99285716000000002</v>
      </c>
      <c r="AA7" s="89">
        <v>0.92857140000000005</v>
      </c>
      <c r="AB7" s="89">
        <v>0.87797617999999999</v>
      </c>
      <c r="AC7" s="89">
        <v>0.80357140000000005</v>
      </c>
      <c r="AD7" s="89">
        <v>0.20535714999999999</v>
      </c>
      <c r="AE7" s="89">
        <v>0.36904761000000003</v>
      </c>
      <c r="AF7" s="89">
        <v>0.39880951999999997</v>
      </c>
      <c r="AG7" s="89">
        <v>0.52678572999999995</v>
      </c>
      <c r="AH7" s="89">
        <v>0.42857142999999998</v>
      </c>
      <c r="AI7" s="89">
        <v>0.69047617999999999</v>
      </c>
      <c r="AJ7" s="89">
        <v>0.75714283999999998</v>
      </c>
      <c r="AK7" s="89">
        <v>0.71428572999999995</v>
      </c>
      <c r="AL7" s="89">
        <v>0.42857142999999998</v>
      </c>
      <c r="AM7" s="89">
        <v>0.63571429000000002</v>
      </c>
      <c r="AN7" s="89">
        <v>0.71428572999999995</v>
      </c>
    </row>
    <row r="8" spans="1:41" s="153" customFormat="1" ht="20.25" customHeight="1" x14ac:dyDescent="0.35">
      <c r="A8" s="95">
        <v>1</v>
      </c>
      <c r="B8" s="151" t="s">
        <v>21</v>
      </c>
      <c r="C8" s="176">
        <v>0.36315360000000002</v>
      </c>
      <c r="D8" s="176">
        <v>0.2916667</v>
      </c>
      <c r="E8" s="176">
        <v>0</v>
      </c>
      <c r="F8" s="176">
        <v>1</v>
      </c>
      <c r="G8" s="91">
        <v>0.16666666999999999</v>
      </c>
      <c r="H8" s="91">
        <v>0.25</v>
      </c>
      <c r="I8" s="91">
        <v>0.5</v>
      </c>
      <c r="J8" s="91">
        <v>0.60000001999999997</v>
      </c>
      <c r="K8" s="91">
        <v>0.80000000999999998</v>
      </c>
      <c r="L8" s="91">
        <v>0</v>
      </c>
      <c r="M8" s="91">
        <v>0</v>
      </c>
      <c r="N8" s="91">
        <v>0</v>
      </c>
      <c r="O8" s="91">
        <v>0.2</v>
      </c>
      <c r="P8" s="91">
        <v>0.5</v>
      </c>
      <c r="Q8" s="91">
        <v>0.11111111</v>
      </c>
      <c r="R8" s="91">
        <v>0</v>
      </c>
      <c r="S8" s="91">
        <v>0.16666666999999999</v>
      </c>
      <c r="T8" s="91">
        <v>0.77777779000000002</v>
      </c>
      <c r="U8" s="91">
        <v>0.125</v>
      </c>
      <c r="V8" s="91">
        <v>0.33333333999999998</v>
      </c>
      <c r="W8" s="91">
        <v>0.80000000999999998</v>
      </c>
      <c r="X8" s="91">
        <v>0.80000000999999998</v>
      </c>
      <c r="Y8" s="91">
        <v>1</v>
      </c>
      <c r="Z8" s="91">
        <v>0.80000000999999998</v>
      </c>
      <c r="AA8" s="91">
        <v>0.75</v>
      </c>
      <c r="AB8" s="91">
        <v>0.33333333999999998</v>
      </c>
      <c r="AC8" s="91">
        <v>0.83333330999999999</v>
      </c>
      <c r="AD8" s="91">
        <v>0</v>
      </c>
      <c r="AE8" s="91">
        <v>0</v>
      </c>
      <c r="AF8" s="91">
        <v>0.16666666999999999</v>
      </c>
      <c r="AG8" s="91">
        <v>0</v>
      </c>
      <c r="AH8" s="91">
        <v>0.40000001000000002</v>
      </c>
      <c r="AI8" s="91">
        <v>0</v>
      </c>
      <c r="AJ8" s="91">
        <v>0.60000001999999997</v>
      </c>
      <c r="AK8" s="91">
        <v>1</v>
      </c>
      <c r="AL8" s="91">
        <v>0</v>
      </c>
      <c r="AM8" s="91">
        <v>0</v>
      </c>
      <c r="AN8" s="91">
        <v>0.33333333999999998</v>
      </c>
    </row>
    <row r="9" spans="1:41" s="153" customFormat="1" ht="20.25" customHeight="1" x14ac:dyDescent="0.35">
      <c r="A9" s="96">
        <v>2</v>
      </c>
      <c r="B9" s="152" t="s">
        <v>25</v>
      </c>
      <c r="C9" s="177">
        <v>0.82993930000000005</v>
      </c>
      <c r="D9" s="177">
        <v>0.84499999999999997</v>
      </c>
      <c r="E9" s="177">
        <v>0.45</v>
      </c>
      <c r="F9" s="177">
        <v>1</v>
      </c>
      <c r="G9" s="97">
        <v>0.96666664000000002</v>
      </c>
      <c r="H9" s="97">
        <v>0.85000001999999997</v>
      </c>
      <c r="I9" s="97">
        <v>0.69999999000000002</v>
      </c>
      <c r="J9" s="97">
        <v>0.89999998000000003</v>
      </c>
      <c r="K9" s="97">
        <v>0.83999997000000004</v>
      </c>
      <c r="L9" s="97">
        <v>0.75</v>
      </c>
      <c r="M9" s="97">
        <v>0.92000002000000003</v>
      </c>
      <c r="N9" s="97">
        <v>0.57499999000000002</v>
      </c>
      <c r="O9" s="97">
        <v>0.86000001000000004</v>
      </c>
      <c r="P9" s="97">
        <v>0.89999998000000003</v>
      </c>
      <c r="Q9" s="97">
        <v>0.62222224000000004</v>
      </c>
      <c r="R9" s="97">
        <v>0.95999997999999997</v>
      </c>
      <c r="S9" s="97">
        <v>0.80000000999999998</v>
      </c>
      <c r="T9" s="97">
        <v>1</v>
      </c>
      <c r="U9" s="97">
        <v>0.72500001999999997</v>
      </c>
      <c r="V9" s="97">
        <v>0.69999999000000002</v>
      </c>
      <c r="W9" s="97">
        <v>0.95999997999999997</v>
      </c>
      <c r="X9" s="97">
        <v>1</v>
      </c>
      <c r="Y9" s="97">
        <v>0.88571429000000002</v>
      </c>
      <c r="Z9" s="97">
        <v>1</v>
      </c>
      <c r="AA9" s="97">
        <v>1</v>
      </c>
      <c r="AB9" s="97">
        <v>0.98333334999999999</v>
      </c>
      <c r="AC9" s="97">
        <v>0.93333334000000001</v>
      </c>
      <c r="AD9" s="97">
        <v>0.44999999000000002</v>
      </c>
      <c r="AE9" s="97">
        <v>0.73333334999999999</v>
      </c>
      <c r="AF9" s="97">
        <v>0.66666669000000001</v>
      </c>
      <c r="AG9" s="97">
        <v>0.75</v>
      </c>
      <c r="AH9" s="97">
        <v>0.72000003000000001</v>
      </c>
      <c r="AI9" s="97">
        <v>0.93333334000000001</v>
      </c>
      <c r="AJ9" s="97">
        <v>0.83999997000000004</v>
      </c>
      <c r="AK9" s="97">
        <v>1</v>
      </c>
      <c r="AL9" s="97">
        <v>0.72000003000000001</v>
      </c>
      <c r="AM9" s="97">
        <v>0.83999997000000004</v>
      </c>
      <c r="AN9" s="97">
        <v>0.73333334999999999</v>
      </c>
    </row>
    <row r="10" spans="1:41" s="153" customFormat="1" ht="20.25" customHeight="1" x14ac:dyDescent="0.35">
      <c r="A10" s="95">
        <v>3</v>
      </c>
      <c r="B10" s="151" t="s">
        <v>32</v>
      </c>
      <c r="C10" s="176">
        <v>0.75037350000000003</v>
      </c>
      <c r="D10" s="176">
        <v>0.8</v>
      </c>
      <c r="E10" s="176">
        <v>0</v>
      </c>
      <c r="F10" s="176">
        <v>1</v>
      </c>
      <c r="G10" s="91">
        <v>1</v>
      </c>
      <c r="H10" s="91">
        <v>1</v>
      </c>
      <c r="I10" s="91">
        <v>1</v>
      </c>
      <c r="J10" s="91">
        <v>0.89999998000000003</v>
      </c>
      <c r="K10" s="91">
        <v>1</v>
      </c>
      <c r="L10" s="91">
        <v>1</v>
      </c>
      <c r="M10" s="91">
        <v>0.80000000999999998</v>
      </c>
      <c r="N10" s="91">
        <v>0.25</v>
      </c>
      <c r="O10" s="91">
        <v>0.69999999000000002</v>
      </c>
      <c r="P10" s="91">
        <v>1</v>
      </c>
      <c r="Q10" s="91">
        <v>0.55555558000000005</v>
      </c>
      <c r="R10" s="91">
        <v>0.80000000999999998</v>
      </c>
      <c r="S10" s="91">
        <v>0.5</v>
      </c>
      <c r="T10" s="91">
        <v>1</v>
      </c>
      <c r="U10" s="91">
        <v>0.5</v>
      </c>
      <c r="V10" s="91">
        <v>0.5</v>
      </c>
      <c r="W10" s="91">
        <v>0.80000000999999998</v>
      </c>
      <c r="X10" s="91">
        <v>1</v>
      </c>
      <c r="Y10" s="91">
        <v>0.85714287</v>
      </c>
      <c r="Z10" s="91">
        <v>1</v>
      </c>
      <c r="AA10" s="91">
        <v>1</v>
      </c>
      <c r="AB10" s="91">
        <v>0.83333330999999999</v>
      </c>
      <c r="AC10" s="91">
        <v>1</v>
      </c>
      <c r="AD10" s="91">
        <v>0</v>
      </c>
      <c r="AE10" s="91">
        <v>0.5</v>
      </c>
      <c r="AF10" s="91">
        <v>0.5</v>
      </c>
      <c r="AG10" s="91">
        <v>0.75</v>
      </c>
      <c r="AH10" s="91">
        <v>0.80000000999999998</v>
      </c>
      <c r="AI10" s="91">
        <v>0.66666669000000001</v>
      </c>
      <c r="AJ10" s="91">
        <v>0.80000000999999998</v>
      </c>
      <c r="AK10" s="91">
        <v>1</v>
      </c>
      <c r="AL10" s="91">
        <v>0</v>
      </c>
      <c r="AM10" s="91">
        <v>1</v>
      </c>
      <c r="AN10" s="91">
        <v>0.5</v>
      </c>
    </row>
    <row r="11" spans="1:41" s="153" customFormat="1" ht="20.25" customHeight="1" x14ac:dyDescent="0.35">
      <c r="A11" s="96">
        <v>4</v>
      </c>
      <c r="B11" s="152" t="s">
        <v>35</v>
      </c>
      <c r="C11" s="177">
        <v>0.55788400000000005</v>
      </c>
      <c r="D11" s="177">
        <v>0.51785709999999996</v>
      </c>
      <c r="E11" s="177">
        <v>0</v>
      </c>
      <c r="F11" s="177">
        <v>1</v>
      </c>
      <c r="G11" s="97">
        <v>0.79166669000000001</v>
      </c>
      <c r="H11" s="97">
        <v>0.5</v>
      </c>
      <c r="I11" s="97">
        <v>0.75</v>
      </c>
      <c r="J11" s="97">
        <v>0.94999999000000002</v>
      </c>
      <c r="K11" s="97">
        <v>1</v>
      </c>
      <c r="L11" s="97">
        <v>0.875</v>
      </c>
      <c r="M11" s="97">
        <v>0.40000001000000002</v>
      </c>
      <c r="N11" s="97">
        <v>0.46875</v>
      </c>
      <c r="O11" s="97">
        <v>0.22499999000000001</v>
      </c>
      <c r="P11" s="97">
        <v>0.375</v>
      </c>
      <c r="Q11" s="97">
        <v>0.13888890000000001</v>
      </c>
      <c r="R11" s="97">
        <v>0.27500001000000002</v>
      </c>
      <c r="S11" s="97">
        <v>0.875</v>
      </c>
      <c r="T11" s="97">
        <v>0.41666666000000002</v>
      </c>
      <c r="U11" s="97">
        <v>0.4375</v>
      </c>
      <c r="V11" s="97">
        <v>0.75</v>
      </c>
      <c r="W11" s="97">
        <v>0.75</v>
      </c>
      <c r="X11" s="97">
        <v>1</v>
      </c>
      <c r="Y11" s="97">
        <v>0.53571427000000005</v>
      </c>
      <c r="Z11" s="97">
        <v>1</v>
      </c>
      <c r="AA11" s="97">
        <v>0.96875</v>
      </c>
      <c r="AB11" s="97">
        <v>0.91666669000000001</v>
      </c>
      <c r="AC11" s="97">
        <v>0.5</v>
      </c>
      <c r="AD11" s="97">
        <v>0</v>
      </c>
      <c r="AE11" s="97">
        <v>0.20833333000000001</v>
      </c>
      <c r="AF11" s="97">
        <v>0</v>
      </c>
      <c r="AG11" s="97">
        <v>0.3125</v>
      </c>
      <c r="AH11" s="97">
        <v>0.30000000999999998</v>
      </c>
      <c r="AI11" s="97">
        <v>0.625</v>
      </c>
      <c r="AJ11" s="97">
        <v>0.69999999000000002</v>
      </c>
      <c r="AK11" s="97">
        <v>0.21428572000000001</v>
      </c>
      <c r="AL11" s="97">
        <v>0.40000001000000002</v>
      </c>
      <c r="AM11" s="97">
        <v>0.60000001999999997</v>
      </c>
      <c r="AN11" s="97">
        <v>0.70833330999999999</v>
      </c>
    </row>
    <row r="12" spans="1:41" s="153" customFormat="1" ht="20.25" customHeight="1" x14ac:dyDescent="0.35">
      <c r="A12" s="95">
        <v>5</v>
      </c>
      <c r="B12" s="151" t="s">
        <v>38</v>
      </c>
      <c r="C12" s="176">
        <v>0.96176470000000003</v>
      </c>
      <c r="D12" s="176">
        <v>1</v>
      </c>
      <c r="E12" s="176">
        <v>0.75</v>
      </c>
      <c r="F12" s="176">
        <v>1</v>
      </c>
      <c r="G12" s="91">
        <v>1</v>
      </c>
      <c r="H12" s="91">
        <v>1</v>
      </c>
      <c r="I12" s="91">
        <v>1</v>
      </c>
      <c r="J12" s="91">
        <v>1</v>
      </c>
      <c r="K12" s="91">
        <v>1</v>
      </c>
      <c r="L12" s="91">
        <v>0.75</v>
      </c>
      <c r="M12" s="91">
        <v>1</v>
      </c>
      <c r="N12" s="91">
        <v>0.75</v>
      </c>
      <c r="O12" s="91">
        <v>1</v>
      </c>
      <c r="P12" s="91">
        <v>0.75</v>
      </c>
      <c r="Q12" s="91">
        <v>1</v>
      </c>
      <c r="R12" s="91">
        <v>0.89999998000000003</v>
      </c>
      <c r="S12" s="91">
        <v>1</v>
      </c>
      <c r="T12" s="91">
        <v>1</v>
      </c>
      <c r="U12" s="91">
        <v>1</v>
      </c>
      <c r="V12" s="91">
        <v>0.83333330999999999</v>
      </c>
      <c r="W12" s="91">
        <v>1</v>
      </c>
      <c r="X12" s="91">
        <v>1</v>
      </c>
      <c r="Y12" s="91">
        <v>1</v>
      </c>
      <c r="Z12" s="91">
        <v>1</v>
      </c>
      <c r="AA12" s="91">
        <v>1</v>
      </c>
      <c r="AB12" s="91">
        <v>0.91666669000000001</v>
      </c>
      <c r="AC12" s="91">
        <v>1</v>
      </c>
      <c r="AD12" s="91">
        <v>1</v>
      </c>
      <c r="AE12" s="91">
        <v>1</v>
      </c>
      <c r="AF12" s="91">
        <v>1</v>
      </c>
      <c r="AG12" s="91">
        <v>1</v>
      </c>
      <c r="AH12" s="91">
        <v>1</v>
      </c>
      <c r="AI12" s="91">
        <v>1</v>
      </c>
      <c r="AJ12" s="91">
        <v>1</v>
      </c>
      <c r="AK12" s="91">
        <v>1</v>
      </c>
      <c r="AL12" s="91">
        <v>0.80000000999999998</v>
      </c>
      <c r="AM12" s="91">
        <v>1</v>
      </c>
      <c r="AN12" s="91">
        <v>1</v>
      </c>
    </row>
    <row r="13" spans="1:41" s="153" customFormat="1" ht="45" customHeight="1" x14ac:dyDescent="0.35">
      <c r="A13" s="96">
        <v>6</v>
      </c>
      <c r="B13" s="152" t="s">
        <v>41</v>
      </c>
      <c r="C13" s="177">
        <v>0.26561620000000002</v>
      </c>
      <c r="D13" s="177">
        <v>0.1</v>
      </c>
      <c r="E13" s="177">
        <v>0</v>
      </c>
      <c r="F13" s="177">
        <v>1</v>
      </c>
      <c r="G13" s="97">
        <v>0.33333333999999998</v>
      </c>
      <c r="H13" s="97">
        <v>0.25</v>
      </c>
      <c r="I13" s="97">
        <v>0.5</v>
      </c>
      <c r="J13" s="97">
        <v>0.69999999000000002</v>
      </c>
      <c r="K13" s="97">
        <v>0.60000001999999997</v>
      </c>
      <c r="L13" s="97">
        <v>0</v>
      </c>
      <c r="M13" s="97">
        <v>0</v>
      </c>
      <c r="N13" s="97">
        <v>0</v>
      </c>
      <c r="O13" s="97">
        <v>0</v>
      </c>
      <c r="P13" s="97">
        <v>0.5</v>
      </c>
      <c r="Q13" s="97">
        <v>0</v>
      </c>
      <c r="R13" s="97">
        <v>0</v>
      </c>
      <c r="S13" s="97">
        <v>0.33333333999999998</v>
      </c>
      <c r="T13" s="97">
        <v>1</v>
      </c>
      <c r="U13" s="97">
        <v>0</v>
      </c>
      <c r="V13" s="97">
        <v>0</v>
      </c>
      <c r="W13" s="97">
        <v>0.60000001999999997</v>
      </c>
      <c r="X13" s="97">
        <v>0.60000001999999997</v>
      </c>
      <c r="Y13" s="97">
        <v>0</v>
      </c>
      <c r="Z13" s="97">
        <v>1</v>
      </c>
      <c r="AA13" s="97">
        <v>0.25</v>
      </c>
      <c r="AB13" s="97">
        <v>0.25</v>
      </c>
      <c r="AC13" s="97">
        <v>1</v>
      </c>
      <c r="AD13" s="97">
        <v>0</v>
      </c>
      <c r="AE13" s="97">
        <v>0</v>
      </c>
      <c r="AF13" s="97">
        <v>0</v>
      </c>
      <c r="AG13" s="97">
        <v>0</v>
      </c>
      <c r="AH13" s="97">
        <v>0</v>
      </c>
      <c r="AI13" s="97">
        <v>0</v>
      </c>
      <c r="AJ13" s="97">
        <v>0.2</v>
      </c>
      <c r="AK13" s="97">
        <v>0.71428572999999995</v>
      </c>
      <c r="AL13" s="97">
        <v>0</v>
      </c>
      <c r="AM13" s="97">
        <v>0.2</v>
      </c>
      <c r="AN13" s="97">
        <v>0</v>
      </c>
    </row>
    <row r="14" spans="1:41" s="153" customFormat="1" ht="20.25" customHeight="1" x14ac:dyDescent="0.35">
      <c r="A14" s="95">
        <v>7</v>
      </c>
      <c r="B14" s="151" t="s">
        <v>44</v>
      </c>
      <c r="C14" s="176">
        <v>0.77205880000000005</v>
      </c>
      <c r="D14" s="176">
        <v>0.83333330000000005</v>
      </c>
      <c r="E14" s="176">
        <v>0</v>
      </c>
      <c r="F14" s="176">
        <v>1</v>
      </c>
      <c r="G14" s="91">
        <v>0.83333330999999999</v>
      </c>
      <c r="H14" s="91">
        <v>0.75</v>
      </c>
      <c r="I14" s="91">
        <v>0.5</v>
      </c>
      <c r="J14" s="91">
        <v>1</v>
      </c>
      <c r="K14" s="91">
        <v>1</v>
      </c>
      <c r="L14" s="91">
        <v>0</v>
      </c>
      <c r="M14" s="91">
        <v>1</v>
      </c>
      <c r="N14" s="91">
        <v>0.75</v>
      </c>
      <c r="O14" s="91">
        <v>0.5</v>
      </c>
      <c r="P14" s="91">
        <v>0.75</v>
      </c>
      <c r="Q14" s="91">
        <v>0.66666669000000001</v>
      </c>
      <c r="R14" s="91">
        <v>0.89999998000000003</v>
      </c>
      <c r="S14" s="91">
        <v>0.66666669000000001</v>
      </c>
      <c r="T14" s="91">
        <v>1</v>
      </c>
      <c r="U14" s="91">
        <v>0.5</v>
      </c>
      <c r="V14" s="91">
        <v>0.83333330999999999</v>
      </c>
      <c r="W14" s="91">
        <v>1</v>
      </c>
      <c r="X14" s="91">
        <v>1</v>
      </c>
      <c r="Y14" s="91">
        <v>1</v>
      </c>
      <c r="Z14" s="91">
        <v>1</v>
      </c>
      <c r="AA14" s="91">
        <v>1</v>
      </c>
      <c r="AB14" s="91">
        <v>1</v>
      </c>
      <c r="AC14" s="91">
        <v>1</v>
      </c>
      <c r="AD14" s="91">
        <v>0.75</v>
      </c>
      <c r="AE14" s="91">
        <v>0</v>
      </c>
      <c r="AF14" s="91">
        <v>0.66666669000000001</v>
      </c>
      <c r="AG14" s="91">
        <v>0.75</v>
      </c>
      <c r="AH14" s="91">
        <v>1</v>
      </c>
      <c r="AI14" s="91">
        <v>0.83333330999999999</v>
      </c>
      <c r="AJ14" s="91">
        <v>1</v>
      </c>
      <c r="AK14" s="91">
        <v>1</v>
      </c>
      <c r="AL14" s="91">
        <v>0.40000001000000002</v>
      </c>
      <c r="AM14" s="91">
        <v>0.2</v>
      </c>
      <c r="AN14" s="91">
        <v>1</v>
      </c>
    </row>
    <row r="15" spans="1:41" s="153" customFormat="1" ht="20.25" customHeight="1" x14ac:dyDescent="0.35">
      <c r="A15" s="96">
        <v>8</v>
      </c>
      <c r="B15" s="152" t="s">
        <v>47</v>
      </c>
      <c r="C15" s="177">
        <v>0.52329599999999998</v>
      </c>
      <c r="D15" s="177">
        <v>0.58333330000000005</v>
      </c>
      <c r="E15" s="177">
        <v>0</v>
      </c>
      <c r="F15" s="177">
        <v>1</v>
      </c>
      <c r="G15" s="97">
        <v>0.66666669000000001</v>
      </c>
      <c r="H15" s="97">
        <v>0</v>
      </c>
      <c r="I15" s="97">
        <v>0.83333330999999999</v>
      </c>
      <c r="J15" s="97">
        <v>1</v>
      </c>
      <c r="K15" s="97">
        <v>0.80000000999999998</v>
      </c>
      <c r="L15" s="97">
        <v>0</v>
      </c>
      <c r="M15" s="97">
        <v>0</v>
      </c>
      <c r="N15" s="97">
        <v>0.125</v>
      </c>
      <c r="O15" s="97">
        <v>0.30000000999999998</v>
      </c>
      <c r="P15" s="97">
        <v>0.5</v>
      </c>
      <c r="Q15" s="97">
        <v>0.11111111</v>
      </c>
      <c r="R15" s="97">
        <v>0.30000000999999998</v>
      </c>
      <c r="S15" s="97">
        <v>0.5</v>
      </c>
      <c r="T15" s="97">
        <v>1</v>
      </c>
      <c r="U15" s="97">
        <v>0.125</v>
      </c>
      <c r="V15" s="97">
        <v>0.83333330999999999</v>
      </c>
      <c r="W15" s="97">
        <v>1</v>
      </c>
      <c r="X15" s="97">
        <v>1</v>
      </c>
      <c r="Y15" s="97">
        <v>0</v>
      </c>
      <c r="Z15" s="97">
        <v>1</v>
      </c>
      <c r="AA15" s="97">
        <v>1</v>
      </c>
      <c r="AB15" s="97">
        <v>1</v>
      </c>
      <c r="AC15" s="97">
        <v>0.83333330999999999</v>
      </c>
      <c r="AD15" s="97">
        <v>0</v>
      </c>
      <c r="AE15" s="97">
        <v>0</v>
      </c>
      <c r="AF15" s="97">
        <v>0.33333333999999998</v>
      </c>
      <c r="AG15" s="97">
        <v>0.75</v>
      </c>
      <c r="AH15" s="97">
        <v>0</v>
      </c>
      <c r="AI15" s="97">
        <v>0.66666669000000001</v>
      </c>
      <c r="AJ15" s="97">
        <v>0.40000001000000002</v>
      </c>
      <c r="AK15" s="97">
        <v>0.71428572999999995</v>
      </c>
      <c r="AL15" s="97">
        <v>0.2</v>
      </c>
      <c r="AM15" s="97">
        <v>0.80000000999999998</v>
      </c>
      <c r="AN15" s="97">
        <v>1</v>
      </c>
    </row>
    <row r="16" spans="1:41" s="153" customFormat="1" ht="20.25" customHeight="1" x14ac:dyDescent="0.35">
      <c r="A16" s="95">
        <v>9</v>
      </c>
      <c r="B16" s="151" t="s">
        <v>50</v>
      </c>
      <c r="C16" s="176">
        <v>0.74540150000000005</v>
      </c>
      <c r="D16" s="176">
        <v>0.81666669999999997</v>
      </c>
      <c r="E16" s="176">
        <v>0</v>
      </c>
      <c r="F16" s="176">
        <v>1</v>
      </c>
      <c r="G16" s="91">
        <v>0.83333330999999999</v>
      </c>
      <c r="H16" s="91">
        <v>1</v>
      </c>
      <c r="I16" s="91">
        <v>1</v>
      </c>
      <c r="J16" s="91">
        <v>0.89999998000000003</v>
      </c>
      <c r="K16" s="91">
        <v>1</v>
      </c>
      <c r="L16" s="91">
        <v>0.25</v>
      </c>
      <c r="M16" s="91">
        <v>0.80000000999999998</v>
      </c>
      <c r="N16" s="91">
        <v>0.625</v>
      </c>
      <c r="O16" s="91">
        <v>0.60000001999999997</v>
      </c>
      <c r="P16" s="91">
        <v>0.75</v>
      </c>
      <c r="Q16" s="91">
        <v>0.55555558000000005</v>
      </c>
      <c r="R16" s="91">
        <v>0.80000000999999998</v>
      </c>
      <c r="S16" s="91">
        <v>1</v>
      </c>
      <c r="T16" s="91">
        <v>1</v>
      </c>
      <c r="U16" s="91">
        <v>0.625</v>
      </c>
      <c r="V16" s="91">
        <v>0.66666669000000001</v>
      </c>
      <c r="W16" s="91">
        <v>1</v>
      </c>
      <c r="X16" s="91">
        <v>1</v>
      </c>
      <c r="Y16" s="91">
        <v>0.71428572999999995</v>
      </c>
      <c r="Z16" s="91">
        <v>1</v>
      </c>
      <c r="AA16" s="91">
        <v>1</v>
      </c>
      <c r="AB16" s="91">
        <v>1</v>
      </c>
      <c r="AC16" s="91">
        <v>0.83333330999999999</v>
      </c>
      <c r="AD16" s="91">
        <v>0</v>
      </c>
      <c r="AE16" s="91">
        <v>0.5</v>
      </c>
      <c r="AF16" s="91">
        <v>0.66666669000000001</v>
      </c>
      <c r="AG16" s="91">
        <v>0.5</v>
      </c>
      <c r="AH16" s="91">
        <v>0</v>
      </c>
      <c r="AI16" s="91">
        <v>0.83333330999999999</v>
      </c>
      <c r="AJ16" s="91">
        <v>1</v>
      </c>
      <c r="AK16" s="91">
        <v>0.85714287</v>
      </c>
      <c r="AL16" s="91">
        <v>0.60000001999999997</v>
      </c>
      <c r="AM16" s="91">
        <v>0.60000001999999997</v>
      </c>
      <c r="AN16" s="91">
        <v>0.83333330999999999</v>
      </c>
    </row>
    <row r="17" spans="1:40" s="119" customFormat="1" ht="20.25" customHeight="1" x14ac:dyDescent="0.35">
      <c r="A17" s="381" t="s">
        <v>706</v>
      </c>
      <c r="B17" s="381"/>
      <c r="C17" s="175">
        <v>0.42530709999999999</v>
      </c>
      <c r="D17" s="175">
        <v>0.4161765</v>
      </c>
      <c r="E17" s="175">
        <v>6.7647100000000002E-2</v>
      </c>
      <c r="F17" s="175">
        <v>0.87941179999999997</v>
      </c>
      <c r="G17" s="89">
        <v>0.34068626000000002</v>
      </c>
      <c r="H17" s="89">
        <v>0.59191179000000005</v>
      </c>
      <c r="I17" s="89">
        <v>0.30147057999999999</v>
      </c>
      <c r="J17" s="89">
        <v>0.66911763000000002</v>
      </c>
      <c r="K17" s="89">
        <v>0.83529412999999997</v>
      </c>
      <c r="L17" s="89">
        <v>0.54411763000000002</v>
      </c>
      <c r="M17" s="89">
        <v>0.40000001000000002</v>
      </c>
      <c r="N17" s="89">
        <v>0.18566176000000001</v>
      </c>
      <c r="O17" s="89">
        <v>0.28823531000000002</v>
      </c>
      <c r="P17" s="89">
        <v>0.52941179000000005</v>
      </c>
      <c r="Q17" s="89">
        <v>0.22875817000000001</v>
      </c>
      <c r="R17" s="89">
        <v>0.42500000999999998</v>
      </c>
      <c r="S17" s="89">
        <v>0.15931371999999999</v>
      </c>
      <c r="T17" s="89">
        <v>0.48366013000000002</v>
      </c>
      <c r="U17" s="89">
        <v>0.21139705</v>
      </c>
      <c r="V17" s="89">
        <v>0.28921567999999998</v>
      </c>
      <c r="W17" s="89">
        <v>0.73529409999999995</v>
      </c>
      <c r="X17" s="89">
        <v>0.73823528999999999</v>
      </c>
      <c r="Y17" s="89">
        <v>0.37394959</v>
      </c>
      <c r="Z17" s="89">
        <v>0.87941175999999999</v>
      </c>
      <c r="AA17" s="89">
        <v>0.53125</v>
      </c>
      <c r="AB17" s="89">
        <v>0.4240196</v>
      </c>
      <c r="AC17" s="89">
        <v>0.67647058000000004</v>
      </c>
      <c r="AD17" s="89">
        <v>0.13235295</v>
      </c>
      <c r="AE17" s="89">
        <v>0.44362744999999998</v>
      </c>
      <c r="AF17" s="89">
        <v>0.22794117</v>
      </c>
      <c r="AG17" s="89">
        <v>0.44117646999999999</v>
      </c>
      <c r="AH17" s="89">
        <v>6.7647059999999995E-2</v>
      </c>
      <c r="AI17" s="89">
        <v>0.33578432000000002</v>
      </c>
      <c r="AJ17" s="89">
        <v>0.42352941999999999</v>
      </c>
      <c r="AK17" s="89">
        <v>0.52100842999999997</v>
      </c>
      <c r="AL17" s="89">
        <v>0.30294116999999998</v>
      </c>
      <c r="AM17" s="89">
        <v>0.40882352</v>
      </c>
      <c r="AN17" s="89">
        <v>0.31372549999999999</v>
      </c>
    </row>
    <row r="18" spans="1:40" s="150" customFormat="1" ht="20.25" customHeight="1" x14ac:dyDescent="0.35">
      <c r="A18" s="95">
        <v>1</v>
      </c>
      <c r="B18" s="151" t="s">
        <v>54</v>
      </c>
      <c r="C18" s="176">
        <v>0.8498483</v>
      </c>
      <c r="D18" s="176">
        <v>0.84523809999999999</v>
      </c>
      <c r="E18" s="176">
        <v>0.5</v>
      </c>
      <c r="F18" s="176">
        <v>1</v>
      </c>
      <c r="G18" s="91">
        <v>0.66666669000000001</v>
      </c>
      <c r="H18" s="91">
        <v>1</v>
      </c>
      <c r="I18" s="91">
        <v>0.83333330999999999</v>
      </c>
      <c r="J18" s="91">
        <v>0.60000001999999997</v>
      </c>
      <c r="K18" s="91">
        <v>0.80000000999999998</v>
      </c>
      <c r="L18" s="91">
        <v>1</v>
      </c>
      <c r="M18" s="91">
        <v>1</v>
      </c>
      <c r="N18" s="91">
        <v>0.875</v>
      </c>
      <c r="O18" s="91">
        <v>0.80000000999999998</v>
      </c>
      <c r="P18" s="91">
        <v>1</v>
      </c>
      <c r="Q18" s="91">
        <v>0.88888889999999998</v>
      </c>
      <c r="R18" s="91">
        <v>1</v>
      </c>
      <c r="S18" s="91">
        <v>0.66666669000000001</v>
      </c>
      <c r="T18" s="91">
        <v>0.66666669000000001</v>
      </c>
      <c r="U18" s="91">
        <v>1</v>
      </c>
      <c r="V18" s="91">
        <v>1</v>
      </c>
      <c r="W18" s="91">
        <v>0.80000000999999998</v>
      </c>
      <c r="X18" s="91">
        <v>1</v>
      </c>
      <c r="Y18" s="91">
        <v>0.85714287</v>
      </c>
      <c r="Z18" s="91">
        <v>1</v>
      </c>
      <c r="AA18" s="91">
        <v>1</v>
      </c>
      <c r="AB18" s="91">
        <v>0.83333330999999999</v>
      </c>
      <c r="AC18" s="91">
        <v>1</v>
      </c>
      <c r="AD18" s="91">
        <v>0.5</v>
      </c>
      <c r="AE18" s="91">
        <v>1</v>
      </c>
      <c r="AF18" s="91">
        <v>0.83333330999999999</v>
      </c>
      <c r="AG18" s="91">
        <v>0.75</v>
      </c>
      <c r="AH18" s="91">
        <v>0.80000000999999998</v>
      </c>
      <c r="AI18" s="91">
        <v>0.83333330999999999</v>
      </c>
      <c r="AJ18" s="91">
        <v>0.60000001999999997</v>
      </c>
      <c r="AK18" s="91">
        <v>0.85714287</v>
      </c>
      <c r="AL18" s="91">
        <v>1</v>
      </c>
      <c r="AM18" s="91">
        <v>0.60000001999999997</v>
      </c>
      <c r="AN18" s="91">
        <v>0.83333330999999999</v>
      </c>
    </row>
    <row r="19" spans="1:40" s="150" customFormat="1" ht="20.25" customHeight="1" x14ac:dyDescent="0.35">
      <c r="A19" s="96">
        <v>2</v>
      </c>
      <c r="B19" s="152" t="s">
        <v>57</v>
      </c>
      <c r="C19" s="177">
        <v>0.70905700000000005</v>
      </c>
      <c r="D19" s="177">
        <v>0.75</v>
      </c>
      <c r="E19" s="177">
        <v>0</v>
      </c>
      <c r="F19" s="177">
        <v>1</v>
      </c>
      <c r="G19" s="97">
        <v>0.83333330999999999</v>
      </c>
      <c r="H19" s="97">
        <v>0.75</v>
      </c>
      <c r="I19" s="97">
        <v>0.33333333999999998</v>
      </c>
      <c r="J19" s="97">
        <v>0.60000001999999997</v>
      </c>
      <c r="K19" s="97">
        <v>0.60000001999999997</v>
      </c>
      <c r="L19" s="97">
        <v>0.5</v>
      </c>
      <c r="M19" s="97">
        <v>0.80000000999999998</v>
      </c>
      <c r="N19" s="97">
        <v>0.25</v>
      </c>
      <c r="O19" s="97">
        <v>0.60000001999999997</v>
      </c>
      <c r="P19" s="97">
        <v>0.75</v>
      </c>
      <c r="Q19" s="97">
        <v>0.88888889999999998</v>
      </c>
      <c r="R19" s="97">
        <v>0.80000000999999998</v>
      </c>
      <c r="S19" s="97">
        <v>0</v>
      </c>
      <c r="T19" s="97">
        <v>1</v>
      </c>
      <c r="U19" s="97">
        <v>1</v>
      </c>
      <c r="V19" s="97">
        <v>0.83333330999999999</v>
      </c>
      <c r="W19" s="97">
        <v>0.80000000999999998</v>
      </c>
      <c r="X19" s="97">
        <v>1</v>
      </c>
      <c r="Y19" s="97">
        <v>0.42857142999999998</v>
      </c>
      <c r="Z19" s="97">
        <v>1</v>
      </c>
      <c r="AA19" s="97">
        <v>1</v>
      </c>
      <c r="AB19" s="97">
        <v>0.75</v>
      </c>
      <c r="AC19" s="97">
        <v>1</v>
      </c>
      <c r="AD19" s="97">
        <v>0.75</v>
      </c>
      <c r="AE19" s="97">
        <v>0.66666669000000001</v>
      </c>
      <c r="AF19" s="97">
        <v>0.66666669000000001</v>
      </c>
      <c r="AG19" s="97">
        <v>0.75</v>
      </c>
      <c r="AH19" s="97">
        <v>0.80000000999999998</v>
      </c>
      <c r="AI19" s="97">
        <v>1</v>
      </c>
      <c r="AJ19" s="97">
        <v>0.40000001000000002</v>
      </c>
      <c r="AK19" s="97">
        <v>0.85714287</v>
      </c>
      <c r="AL19" s="97">
        <v>0.2</v>
      </c>
      <c r="AM19" s="97">
        <v>1</v>
      </c>
      <c r="AN19" s="97">
        <v>0.5</v>
      </c>
    </row>
    <row r="20" spans="1:40" s="150" customFormat="1" ht="20.25" customHeight="1" x14ac:dyDescent="0.35">
      <c r="A20" s="95">
        <v>3</v>
      </c>
      <c r="B20" s="151" t="s">
        <v>60</v>
      </c>
      <c r="C20" s="176">
        <v>0.42365390000000003</v>
      </c>
      <c r="D20" s="176">
        <v>0.4166667</v>
      </c>
      <c r="E20" s="176">
        <v>4.7619000000000002E-2</v>
      </c>
      <c r="F20" s="176">
        <v>0.875</v>
      </c>
      <c r="G20" s="91">
        <v>0.52777779000000002</v>
      </c>
      <c r="H20" s="91">
        <v>0.875</v>
      </c>
      <c r="I20" s="91">
        <v>0.11111111</v>
      </c>
      <c r="J20" s="91">
        <v>0.41666666000000002</v>
      </c>
      <c r="K20" s="91">
        <v>0.26666667999999999</v>
      </c>
      <c r="L20" s="91">
        <v>0.5</v>
      </c>
      <c r="M20" s="91">
        <v>0.86666666999999997</v>
      </c>
      <c r="N20" s="91">
        <v>0.1875</v>
      </c>
      <c r="O20" s="91">
        <v>0.41666666000000002</v>
      </c>
      <c r="P20" s="91">
        <v>0.25</v>
      </c>
      <c r="Q20" s="91">
        <v>0.42592594</v>
      </c>
      <c r="R20" s="91">
        <v>0.43333334000000001</v>
      </c>
      <c r="S20" s="91">
        <v>0.25</v>
      </c>
      <c r="T20" s="91">
        <v>0.53703701999999998</v>
      </c>
      <c r="U20" s="91">
        <v>0.45833333999999998</v>
      </c>
      <c r="V20" s="91">
        <v>0.27777779000000002</v>
      </c>
      <c r="W20" s="91">
        <v>0.36666666999999997</v>
      </c>
      <c r="X20" s="91">
        <v>0.56666665999999999</v>
      </c>
      <c r="Y20" s="91">
        <v>4.7619050000000003E-2</v>
      </c>
      <c r="Z20" s="91">
        <v>0.63333333000000003</v>
      </c>
      <c r="AA20" s="91">
        <v>0.27083333999999998</v>
      </c>
      <c r="AB20" s="91">
        <v>0.66666669000000001</v>
      </c>
      <c r="AC20" s="91">
        <v>0.77777779000000002</v>
      </c>
      <c r="AD20" s="91">
        <v>0.33333333999999998</v>
      </c>
      <c r="AE20" s="91">
        <v>0.61111110000000002</v>
      </c>
      <c r="AF20" s="91">
        <v>0.36111110000000002</v>
      </c>
      <c r="AG20" s="91">
        <v>0.29166666000000002</v>
      </c>
      <c r="AH20" s="91">
        <v>0.13333333999999999</v>
      </c>
      <c r="AI20" s="91">
        <v>0.30555555000000001</v>
      </c>
      <c r="AJ20" s="91">
        <v>0.36666666999999997</v>
      </c>
      <c r="AK20" s="91">
        <v>0.57142859999999995</v>
      </c>
      <c r="AL20" s="91">
        <v>0.33333333999999998</v>
      </c>
      <c r="AM20" s="91">
        <v>0.46666667000000001</v>
      </c>
      <c r="AN20" s="91">
        <v>0.5</v>
      </c>
    </row>
    <row r="21" spans="1:40" s="150" customFormat="1" ht="20.25" customHeight="1" x14ac:dyDescent="0.35">
      <c r="A21" s="96">
        <v>4</v>
      </c>
      <c r="B21" s="152" t="s">
        <v>67</v>
      </c>
      <c r="C21" s="177">
        <v>0.53641749999999999</v>
      </c>
      <c r="D21" s="177">
        <v>0.5388889</v>
      </c>
      <c r="E21" s="177">
        <v>0.05</v>
      </c>
      <c r="F21" s="177">
        <v>1</v>
      </c>
      <c r="G21" s="97">
        <v>0.5</v>
      </c>
      <c r="H21" s="97">
        <v>0.75</v>
      </c>
      <c r="I21" s="97">
        <v>0.375</v>
      </c>
      <c r="J21" s="97">
        <v>0.40000001000000002</v>
      </c>
      <c r="K21" s="97">
        <v>0.80000000999999998</v>
      </c>
      <c r="L21" s="97">
        <v>0.125</v>
      </c>
      <c r="M21" s="97">
        <v>0.80000000999999998</v>
      </c>
      <c r="N21" s="97">
        <v>0.25</v>
      </c>
      <c r="O21" s="97">
        <v>0.22499999000000001</v>
      </c>
      <c r="P21" s="97">
        <v>0.5</v>
      </c>
      <c r="Q21" s="97">
        <v>0.52777779000000002</v>
      </c>
      <c r="R21" s="97">
        <v>0.67500000999999998</v>
      </c>
      <c r="S21" s="97">
        <v>0.16666666999999999</v>
      </c>
      <c r="T21" s="97">
        <v>0.58333330999999999</v>
      </c>
      <c r="U21" s="97">
        <v>0.34375</v>
      </c>
      <c r="V21" s="97">
        <v>0.41666666000000002</v>
      </c>
      <c r="W21" s="97">
        <v>0.55000000999999998</v>
      </c>
      <c r="X21" s="97">
        <v>0.40000001000000002</v>
      </c>
      <c r="Y21" s="97">
        <v>0.78571427000000005</v>
      </c>
      <c r="Z21" s="97">
        <v>1</v>
      </c>
      <c r="AA21" s="97">
        <v>0.5625</v>
      </c>
      <c r="AB21" s="97">
        <v>0.66666669000000001</v>
      </c>
      <c r="AC21" s="97">
        <v>0.91666669000000001</v>
      </c>
      <c r="AD21" s="97">
        <v>0.375</v>
      </c>
      <c r="AE21" s="97">
        <v>0.875</v>
      </c>
      <c r="AF21" s="97">
        <v>0.41666666000000002</v>
      </c>
      <c r="AG21" s="97">
        <v>0.6875</v>
      </c>
      <c r="AH21" s="97">
        <v>0.05</v>
      </c>
      <c r="AI21" s="97">
        <v>0.75</v>
      </c>
      <c r="AJ21" s="97">
        <v>0.64999998000000003</v>
      </c>
      <c r="AK21" s="97">
        <v>0.71428572999999995</v>
      </c>
      <c r="AL21" s="97">
        <v>0.64999998000000003</v>
      </c>
      <c r="AM21" s="97">
        <v>0.25</v>
      </c>
      <c r="AN21" s="97">
        <v>0.5</v>
      </c>
    </row>
    <row r="22" spans="1:40" s="150" customFormat="1" ht="20.25" customHeight="1" x14ac:dyDescent="0.35">
      <c r="A22" s="95">
        <v>5</v>
      </c>
      <c r="B22" s="151" t="s">
        <v>72</v>
      </c>
      <c r="C22" s="176">
        <v>0.22647059999999999</v>
      </c>
      <c r="D22" s="176">
        <v>0</v>
      </c>
      <c r="E22" s="176">
        <v>0</v>
      </c>
      <c r="F22" s="176">
        <v>1</v>
      </c>
      <c r="G22" s="91">
        <v>0</v>
      </c>
      <c r="H22" s="91">
        <v>0.25</v>
      </c>
      <c r="I22" s="91">
        <v>0.33333333999999998</v>
      </c>
      <c r="J22" s="91">
        <v>0.89999998000000003</v>
      </c>
      <c r="K22" s="91">
        <v>1</v>
      </c>
      <c r="L22" s="91">
        <v>0.75</v>
      </c>
      <c r="M22" s="91">
        <v>0</v>
      </c>
      <c r="N22" s="91">
        <v>0</v>
      </c>
      <c r="O22" s="91">
        <v>0.1</v>
      </c>
      <c r="P22" s="91">
        <v>0.25</v>
      </c>
      <c r="Q22" s="91">
        <v>0</v>
      </c>
      <c r="R22" s="91">
        <v>0</v>
      </c>
      <c r="S22" s="91">
        <v>0</v>
      </c>
      <c r="T22" s="91">
        <v>0</v>
      </c>
      <c r="U22" s="91">
        <v>0</v>
      </c>
      <c r="V22" s="91">
        <v>0.16666666999999999</v>
      </c>
      <c r="W22" s="91">
        <v>0.80000000999999998</v>
      </c>
      <c r="X22" s="91">
        <v>0.60000001999999997</v>
      </c>
      <c r="Y22" s="91">
        <v>0</v>
      </c>
      <c r="Z22" s="91">
        <v>1</v>
      </c>
      <c r="AA22" s="91">
        <v>0</v>
      </c>
      <c r="AB22" s="91">
        <v>0.25</v>
      </c>
      <c r="AC22" s="91">
        <v>0.5</v>
      </c>
      <c r="AD22" s="91">
        <v>0</v>
      </c>
      <c r="AE22" s="91">
        <v>0</v>
      </c>
      <c r="AF22" s="91">
        <v>0</v>
      </c>
      <c r="AG22" s="91">
        <v>0</v>
      </c>
      <c r="AH22" s="91">
        <v>0</v>
      </c>
      <c r="AI22" s="91">
        <v>0</v>
      </c>
      <c r="AJ22" s="91">
        <v>0.40000001000000002</v>
      </c>
      <c r="AK22" s="91">
        <v>0</v>
      </c>
      <c r="AL22" s="91">
        <v>0.2</v>
      </c>
      <c r="AM22" s="91">
        <v>0.2</v>
      </c>
      <c r="AN22" s="91">
        <v>0</v>
      </c>
    </row>
    <row r="23" spans="1:40" s="150" customFormat="1" ht="20.25" customHeight="1" x14ac:dyDescent="0.35">
      <c r="A23" s="96">
        <v>6</v>
      </c>
      <c r="B23" s="152" t="s">
        <v>78</v>
      </c>
      <c r="C23" s="177">
        <v>0.92218719999999998</v>
      </c>
      <c r="D23" s="177">
        <v>1</v>
      </c>
      <c r="E23" s="177">
        <v>0.2</v>
      </c>
      <c r="F23" s="177">
        <v>1</v>
      </c>
      <c r="G23" s="97">
        <v>1</v>
      </c>
      <c r="H23" s="97">
        <v>1</v>
      </c>
      <c r="I23" s="97">
        <v>1</v>
      </c>
      <c r="J23" s="97">
        <v>0.89999998000000003</v>
      </c>
      <c r="K23" s="97">
        <v>1</v>
      </c>
      <c r="L23" s="97">
        <v>1</v>
      </c>
      <c r="M23" s="97">
        <v>1</v>
      </c>
      <c r="N23" s="97">
        <v>0.625</v>
      </c>
      <c r="O23" s="97">
        <v>1</v>
      </c>
      <c r="P23" s="97">
        <v>1</v>
      </c>
      <c r="Q23" s="97">
        <v>0.88888889999999998</v>
      </c>
      <c r="R23" s="97">
        <v>1</v>
      </c>
      <c r="S23" s="97">
        <v>0.66666669000000001</v>
      </c>
      <c r="T23" s="97">
        <v>1</v>
      </c>
      <c r="U23" s="97">
        <v>1</v>
      </c>
      <c r="V23" s="97">
        <v>0.83333330999999999</v>
      </c>
      <c r="W23" s="97">
        <v>1</v>
      </c>
      <c r="X23" s="97">
        <v>1</v>
      </c>
      <c r="Y23" s="97">
        <v>1</v>
      </c>
      <c r="Z23" s="97">
        <v>1</v>
      </c>
      <c r="AA23" s="97">
        <v>1</v>
      </c>
      <c r="AB23" s="97">
        <v>1</v>
      </c>
      <c r="AC23" s="97">
        <v>1</v>
      </c>
      <c r="AD23" s="97">
        <v>0.75</v>
      </c>
      <c r="AE23" s="97">
        <v>1</v>
      </c>
      <c r="AF23" s="97">
        <v>1</v>
      </c>
      <c r="AG23" s="97">
        <v>1</v>
      </c>
      <c r="AH23" s="97">
        <v>0.2</v>
      </c>
      <c r="AI23" s="97">
        <v>1</v>
      </c>
      <c r="AJ23" s="97">
        <v>1</v>
      </c>
      <c r="AK23" s="97">
        <v>0.85714287</v>
      </c>
      <c r="AL23" s="97">
        <v>0.80000000999999998</v>
      </c>
      <c r="AM23" s="97">
        <v>1</v>
      </c>
      <c r="AN23" s="97">
        <v>0.83333330999999999</v>
      </c>
    </row>
    <row r="24" spans="1:40" s="150" customFormat="1" ht="20.25" customHeight="1" x14ac:dyDescent="0.35">
      <c r="A24" s="95">
        <v>7</v>
      </c>
      <c r="B24" s="151" t="s">
        <v>80</v>
      </c>
      <c r="C24" s="176">
        <v>0.57051819999999998</v>
      </c>
      <c r="D24" s="176">
        <v>0.55000000000000004</v>
      </c>
      <c r="E24" s="176">
        <v>0</v>
      </c>
      <c r="F24" s="176">
        <v>1</v>
      </c>
      <c r="G24" s="91">
        <v>0.83333330999999999</v>
      </c>
      <c r="H24" s="91">
        <v>0.5</v>
      </c>
      <c r="I24" s="91">
        <v>0.5</v>
      </c>
      <c r="J24" s="91">
        <v>0.80000000999999998</v>
      </c>
      <c r="K24" s="91">
        <v>1</v>
      </c>
      <c r="L24" s="91">
        <v>0.25</v>
      </c>
      <c r="M24" s="91">
        <v>0.80000000999999998</v>
      </c>
      <c r="N24" s="91">
        <v>0.5</v>
      </c>
      <c r="O24" s="91">
        <v>0.2</v>
      </c>
      <c r="P24" s="91">
        <v>1</v>
      </c>
      <c r="Q24" s="91">
        <v>0.22222222</v>
      </c>
      <c r="R24" s="91">
        <v>0.60000001999999997</v>
      </c>
      <c r="S24" s="91">
        <v>0.33333333999999998</v>
      </c>
      <c r="T24" s="91">
        <v>0.77777779000000002</v>
      </c>
      <c r="U24" s="91">
        <v>0</v>
      </c>
      <c r="V24" s="91">
        <v>0.5</v>
      </c>
      <c r="W24" s="91">
        <v>1</v>
      </c>
      <c r="X24" s="91">
        <v>1</v>
      </c>
      <c r="Y24" s="91">
        <v>0.71428572999999995</v>
      </c>
      <c r="Z24" s="91">
        <v>0.80000000999999998</v>
      </c>
      <c r="AA24" s="91">
        <v>1</v>
      </c>
      <c r="AB24" s="91">
        <v>0.83333330999999999</v>
      </c>
      <c r="AC24" s="91">
        <v>1</v>
      </c>
      <c r="AD24" s="91">
        <v>0</v>
      </c>
      <c r="AE24" s="91">
        <v>0.16666666999999999</v>
      </c>
      <c r="AF24" s="91">
        <v>0.66666669000000001</v>
      </c>
      <c r="AG24" s="91">
        <v>0.5</v>
      </c>
      <c r="AH24" s="91">
        <v>0</v>
      </c>
      <c r="AI24" s="91">
        <v>0</v>
      </c>
      <c r="AJ24" s="91">
        <v>0.2</v>
      </c>
      <c r="AK24" s="91">
        <v>1</v>
      </c>
      <c r="AL24" s="91">
        <v>0.40000001000000002</v>
      </c>
      <c r="AM24" s="91">
        <v>0.80000000999999998</v>
      </c>
      <c r="AN24" s="91">
        <v>0.5</v>
      </c>
    </row>
    <row r="25" spans="1:40" s="150" customFormat="1" ht="30" x14ac:dyDescent="0.35">
      <c r="A25" s="96">
        <v>8</v>
      </c>
      <c r="B25" s="152" t="s">
        <v>798</v>
      </c>
      <c r="C25" s="177">
        <v>0.40180909999999997</v>
      </c>
      <c r="D25" s="177">
        <v>0.29285709999999998</v>
      </c>
      <c r="E25" s="177">
        <v>0</v>
      </c>
      <c r="F25" s="177">
        <v>1</v>
      </c>
      <c r="G25" s="97">
        <v>0</v>
      </c>
      <c r="H25" s="97">
        <v>1</v>
      </c>
      <c r="I25" s="97">
        <v>0</v>
      </c>
      <c r="J25" s="97">
        <v>0.30000000999999998</v>
      </c>
      <c r="K25" s="97">
        <v>1</v>
      </c>
      <c r="L25" s="97">
        <v>0</v>
      </c>
      <c r="M25" s="97">
        <v>0.60000001999999997</v>
      </c>
      <c r="N25" s="97">
        <v>0.25</v>
      </c>
      <c r="O25" s="97">
        <v>0</v>
      </c>
      <c r="P25" s="97">
        <v>0</v>
      </c>
      <c r="Q25" s="97">
        <v>0.22222222</v>
      </c>
      <c r="R25" s="97">
        <v>0.60000001999999997</v>
      </c>
      <c r="S25" s="97">
        <v>0</v>
      </c>
      <c r="T25" s="97">
        <v>0.66666669000000001</v>
      </c>
      <c r="U25" s="97">
        <v>0.125</v>
      </c>
      <c r="V25" s="97">
        <v>0</v>
      </c>
      <c r="W25" s="97">
        <v>0.80000000999999998</v>
      </c>
      <c r="X25" s="97">
        <v>0.80000000999999998</v>
      </c>
      <c r="Y25" s="97">
        <v>0.28571429999999998</v>
      </c>
      <c r="Z25" s="97">
        <v>1</v>
      </c>
      <c r="AA25" s="97">
        <v>0.75</v>
      </c>
      <c r="AB25" s="97">
        <v>0</v>
      </c>
      <c r="AC25" s="97">
        <v>0.66666669000000001</v>
      </c>
      <c r="AD25" s="97">
        <v>0</v>
      </c>
      <c r="AE25" s="97">
        <v>0.66666669000000001</v>
      </c>
      <c r="AF25" s="97">
        <v>0.16666666999999999</v>
      </c>
      <c r="AG25" s="97">
        <v>1</v>
      </c>
      <c r="AH25" s="97">
        <v>0</v>
      </c>
      <c r="AI25" s="97">
        <v>0.83333330999999999</v>
      </c>
      <c r="AJ25" s="97">
        <v>0.80000000999999998</v>
      </c>
      <c r="AK25" s="97">
        <v>0.42857142999999998</v>
      </c>
      <c r="AL25" s="97">
        <v>0</v>
      </c>
      <c r="AM25" s="97">
        <v>0.2</v>
      </c>
      <c r="AN25" s="97">
        <v>0.5</v>
      </c>
    </row>
    <row r="26" spans="1:40" s="150" customFormat="1" ht="20.25" customHeight="1" x14ac:dyDescent="0.35">
      <c r="A26" s="95">
        <v>9</v>
      </c>
      <c r="B26" s="151" t="s">
        <v>90</v>
      </c>
      <c r="C26" s="176">
        <v>0.51079600000000003</v>
      </c>
      <c r="D26" s="176">
        <v>0.55000000000000004</v>
      </c>
      <c r="E26" s="176">
        <v>0</v>
      </c>
      <c r="F26" s="176">
        <v>1</v>
      </c>
      <c r="G26" s="91">
        <v>0.5</v>
      </c>
      <c r="H26" s="91">
        <v>0.75</v>
      </c>
      <c r="I26" s="91">
        <v>0.16666666999999999</v>
      </c>
      <c r="J26" s="91">
        <v>0.40000001000000002</v>
      </c>
      <c r="K26" s="91">
        <v>0.80000000999999998</v>
      </c>
      <c r="L26" s="91">
        <v>0.75</v>
      </c>
      <c r="M26" s="91">
        <v>0.40000001000000002</v>
      </c>
      <c r="N26" s="91">
        <v>0.125</v>
      </c>
      <c r="O26" s="91">
        <v>0.2</v>
      </c>
      <c r="P26" s="91">
        <v>1</v>
      </c>
      <c r="Q26" s="91">
        <v>0.22222222</v>
      </c>
      <c r="R26" s="91">
        <v>0.60000001999999997</v>
      </c>
      <c r="S26" s="91">
        <v>0.16666666999999999</v>
      </c>
      <c r="T26" s="91">
        <v>0.88888889999999998</v>
      </c>
      <c r="U26" s="91">
        <v>0.25</v>
      </c>
      <c r="V26" s="91">
        <v>0.16666666999999999</v>
      </c>
      <c r="W26" s="91">
        <v>0.80000000999999998</v>
      </c>
      <c r="X26" s="91">
        <v>0.80000000999999998</v>
      </c>
      <c r="Y26" s="91">
        <v>0.85714287</v>
      </c>
      <c r="Z26" s="91">
        <v>0.80000000999999998</v>
      </c>
      <c r="AA26" s="91">
        <v>1</v>
      </c>
      <c r="AB26" s="91">
        <v>0.33333333999999998</v>
      </c>
      <c r="AC26" s="91">
        <v>0.66666669000000001</v>
      </c>
      <c r="AD26" s="91">
        <v>0</v>
      </c>
      <c r="AE26" s="91">
        <v>0.66666669000000001</v>
      </c>
      <c r="AF26" s="91">
        <v>0</v>
      </c>
      <c r="AG26" s="91">
        <v>1</v>
      </c>
      <c r="AH26" s="91">
        <v>0</v>
      </c>
      <c r="AI26" s="91">
        <v>0.66666669000000001</v>
      </c>
      <c r="AJ26" s="91">
        <v>0.40000001000000002</v>
      </c>
      <c r="AK26" s="91">
        <v>0.85714287</v>
      </c>
      <c r="AL26" s="91">
        <v>0.2</v>
      </c>
      <c r="AM26" s="91">
        <v>0.60000001999999997</v>
      </c>
      <c r="AN26" s="91">
        <v>0.33333333999999998</v>
      </c>
    </row>
    <row r="27" spans="1:40" s="150" customFormat="1" ht="20.25" customHeight="1" x14ac:dyDescent="0.35">
      <c r="A27" s="96">
        <v>10</v>
      </c>
      <c r="B27" s="152" t="s">
        <v>92</v>
      </c>
      <c r="C27" s="177">
        <v>0.44598510000000002</v>
      </c>
      <c r="D27" s="177">
        <v>0.3333333</v>
      </c>
      <c r="E27" s="177">
        <v>0</v>
      </c>
      <c r="F27" s="177">
        <v>1</v>
      </c>
      <c r="G27" s="97">
        <v>0.33333333999999998</v>
      </c>
      <c r="H27" s="97">
        <v>0.75</v>
      </c>
      <c r="I27" s="97">
        <v>0.16666666999999999</v>
      </c>
      <c r="J27" s="97">
        <v>0.80000000999999998</v>
      </c>
      <c r="K27" s="97">
        <v>0.60000001999999997</v>
      </c>
      <c r="L27" s="97">
        <v>0</v>
      </c>
      <c r="M27" s="97">
        <v>0.2</v>
      </c>
      <c r="N27" s="97">
        <v>0.25</v>
      </c>
      <c r="O27" s="97">
        <v>0.89999998000000003</v>
      </c>
      <c r="P27" s="97">
        <v>0.5</v>
      </c>
      <c r="Q27" s="97">
        <v>0.11111111</v>
      </c>
      <c r="R27" s="97">
        <v>0.80000000999999998</v>
      </c>
      <c r="S27" s="97">
        <v>0.33333333999999998</v>
      </c>
      <c r="T27" s="97">
        <v>0.66666669000000001</v>
      </c>
      <c r="U27" s="97">
        <v>0.125</v>
      </c>
      <c r="V27" s="97">
        <v>0.33333333999999998</v>
      </c>
      <c r="W27" s="97">
        <v>0.40000001000000002</v>
      </c>
      <c r="X27" s="97">
        <v>1</v>
      </c>
      <c r="Y27" s="97">
        <v>0.28571429999999998</v>
      </c>
      <c r="Z27" s="97">
        <v>0.60000001999999997</v>
      </c>
      <c r="AA27" s="97">
        <v>0.875</v>
      </c>
      <c r="AB27" s="97">
        <v>0.33333333999999998</v>
      </c>
      <c r="AC27" s="97">
        <v>0.5</v>
      </c>
      <c r="AD27" s="97">
        <v>0.25</v>
      </c>
      <c r="AE27" s="97">
        <v>1</v>
      </c>
      <c r="AF27" s="97">
        <v>0.33333333999999998</v>
      </c>
      <c r="AG27" s="97">
        <v>0.25</v>
      </c>
      <c r="AH27" s="97">
        <v>0</v>
      </c>
      <c r="AI27" s="97">
        <v>0.16666666999999999</v>
      </c>
      <c r="AJ27" s="97">
        <v>0.2</v>
      </c>
      <c r="AK27" s="97">
        <v>1</v>
      </c>
      <c r="AL27" s="97">
        <v>0.40000001000000002</v>
      </c>
      <c r="AM27" s="97">
        <v>0.2</v>
      </c>
      <c r="AN27" s="97">
        <v>0.5</v>
      </c>
    </row>
    <row r="28" spans="1:40" s="119" customFormat="1" ht="20.25" customHeight="1" x14ac:dyDescent="0.35">
      <c r="A28" s="381" t="s">
        <v>707</v>
      </c>
      <c r="B28" s="381"/>
      <c r="C28" s="175">
        <v>0.61182619999999999</v>
      </c>
      <c r="D28" s="175">
        <v>0.61704550000000002</v>
      </c>
      <c r="E28" s="175">
        <v>0.2431818</v>
      </c>
      <c r="F28" s="175">
        <v>0.84090909999999996</v>
      </c>
      <c r="G28" s="89">
        <v>0.51136362999999996</v>
      </c>
      <c r="H28" s="89">
        <v>0.78125</v>
      </c>
      <c r="I28" s="89">
        <v>0.75568181000000001</v>
      </c>
      <c r="J28" s="89">
        <v>0.77840905999999999</v>
      </c>
      <c r="K28" s="89">
        <v>0.61363637000000004</v>
      </c>
      <c r="L28" s="89">
        <v>0.43465909000000003</v>
      </c>
      <c r="M28" s="89">
        <v>0.55909091</v>
      </c>
      <c r="N28" s="89">
        <v>0.54261362999999996</v>
      </c>
      <c r="O28" s="89">
        <v>0.75113635999999995</v>
      </c>
      <c r="P28" s="89">
        <v>0.53125</v>
      </c>
      <c r="Q28" s="89">
        <v>0.41666666000000002</v>
      </c>
      <c r="R28" s="89">
        <v>0.60000001999999997</v>
      </c>
      <c r="S28" s="89">
        <v>0.61174244</v>
      </c>
      <c r="T28" s="89">
        <v>0.72601008</v>
      </c>
      <c r="U28" s="89">
        <v>0.49005681000000001</v>
      </c>
      <c r="V28" s="89">
        <v>0.66287881000000004</v>
      </c>
      <c r="W28" s="89">
        <v>0.79772728999999998</v>
      </c>
      <c r="X28" s="89">
        <v>0.84090905999999999</v>
      </c>
      <c r="Y28" s="89">
        <v>0.54058444999999999</v>
      </c>
      <c r="Z28" s="89">
        <v>0.84090905999999999</v>
      </c>
      <c r="AA28" s="89">
        <v>0.77130681000000001</v>
      </c>
      <c r="AB28" s="89">
        <v>0.73674244</v>
      </c>
      <c r="AC28" s="89">
        <v>0.71590905999999999</v>
      </c>
      <c r="AD28" s="89">
        <v>0.34943181000000001</v>
      </c>
      <c r="AE28" s="89">
        <v>0.73863637000000004</v>
      </c>
      <c r="AF28" s="89">
        <v>0.52840905999999999</v>
      </c>
      <c r="AG28" s="89">
        <v>0.30397728000000002</v>
      </c>
      <c r="AH28" s="89">
        <v>0.24318181999999999</v>
      </c>
      <c r="AI28" s="89">
        <v>0.65719700000000003</v>
      </c>
      <c r="AJ28" s="89">
        <v>0.59318179000000004</v>
      </c>
      <c r="AK28" s="89">
        <v>0.62337661</v>
      </c>
      <c r="AL28" s="89">
        <v>0.40454546000000002</v>
      </c>
      <c r="AM28" s="89">
        <v>0.62045455000000005</v>
      </c>
      <c r="AN28" s="89">
        <v>0.72916669000000001</v>
      </c>
    </row>
    <row r="29" spans="1:40" s="150" customFormat="1" ht="20.25" customHeight="1" x14ac:dyDescent="0.35">
      <c r="A29" s="95">
        <v>1</v>
      </c>
      <c r="B29" s="151" t="s">
        <v>96</v>
      </c>
      <c r="C29" s="176">
        <v>0.65606909999999996</v>
      </c>
      <c r="D29" s="176">
        <v>0.75</v>
      </c>
      <c r="E29" s="176">
        <v>0</v>
      </c>
      <c r="F29" s="176">
        <v>1</v>
      </c>
      <c r="G29" s="91">
        <v>1</v>
      </c>
      <c r="H29" s="91">
        <v>0.75</v>
      </c>
      <c r="I29" s="91">
        <v>1</v>
      </c>
      <c r="J29" s="91">
        <v>0.69999999000000002</v>
      </c>
      <c r="K29" s="91">
        <v>0</v>
      </c>
      <c r="L29" s="91">
        <v>0.5</v>
      </c>
      <c r="M29" s="91">
        <v>1</v>
      </c>
      <c r="N29" s="91">
        <v>0</v>
      </c>
      <c r="O29" s="91">
        <v>0.60000001999999997</v>
      </c>
      <c r="P29" s="91">
        <v>0.5</v>
      </c>
      <c r="Q29" s="91">
        <v>0.66666669000000001</v>
      </c>
      <c r="R29" s="91">
        <v>0.69999999000000002</v>
      </c>
      <c r="S29" s="91">
        <v>0.83333330999999999</v>
      </c>
      <c r="T29" s="91">
        <v>0.77777779000000002</v>
      </c>
      <c r="U29" s="91">
        <v>0.5</v>
      </c>
      <c r="V29" s="91">
        <v>0.83333330999999999</v>
      </c>
      <c r="W29" s="91">
        <v>0.60000001999999997</v>
      </c>
      <c r="X29" s="91">
        <v>1</v>
      </c>
      <c r="Y29" s="91">
        <v>0.85714287</v>
      </c>
      <c r="Z29" s="91">
        <v>0.80000000999999998</v>
      </c>
      <c r="AA29" s="91">
        <v>1</v>
      </c>
      <c r="AB29" s="91">
        <v>0.58333330999999999</v>
      </c>
      <c r="AC29" s="91">
        <v>0.83333330999999999</v>
      </c>
      <c r="AD29" s="91">
        <v>0.25</v>
      </c>
      <c r="AE29" s="91">
        <v>0.83333330999999999</v>
      </c>
      <c r="AF29" s="91">
        <v>0</v>
      </c>
      <c r="AG29" s="91">
        <v>0.75</v>
      </c>
      <c r="AH29" s="91">
        <v>0</v>
      </c>
      <c r="AI29" s="91">
        <v>0.83333330999999999</v>
      </c>
      <c r="AJ29" s="91">
        <v>0.40000001000000002</v>
      </c>
      <c r="AK29" s="91">
        <v>0.57142859999999995</v>
      </c>
      <c r="AL29" s="91">
        <v>1</v>
      </c>
      <c r="AM29" s="91">
        <v>0.80000000999999998</v>
      </c>
      <c r="AN29" s="91">
        <v>0.83333330999999999</v>
      </c>
    </row>
    <row r="30" spans="1:40" s="150" customFormat="1" ht="30" x14ac:dyDescent="0.35">
      <c r="A30" s="96">
        <v>2</v>
      </c>
      <c r="B30" s="152" t="s">
        <v>99</v>
      </c>
      <c r="C30" s="177">
        <v>0.54861110000000002</v>
      </c>
      <c r="D30" s="177">
        <v>0.57777780000000001</v>
      </c>
      <c r="E30" s="177">
        <v>0</v>
      </c>
      <c r="F30" s="177">
        <v>1</v>
      </c>
      <c r="G30" s="97">
        <v>0.66666669000000001</v>
      </c>
      <c r="H30" s="97">
        <v>0.75</v>
      </c>
      <c r="I30" s="97">
        <v>1</v>
      </c>
      <c r="J30" s="97">
        <v>0.89999998000000003</v>
      </c>
      <c r="K30" s="97">
        <v>0.60000001999999997</v>
      </c>
      <c r="L30" s="97">
        <v>0.75</v>
      </c>
      <c r="M30" s="97">
        <v>0.40000001000000002</v>
      </c>
      <c r="N30" s="97">
        <v>0.125</v>
      </c>
      <c r="O30" s="97">
        <v>0.60000001999999997</v>
      </c>
      <c r="P30" s="97">
        <v>1</v>
      </c>
      <c r="Q30" s="97">
        <v>0.22222222</v>
      </c>
      <c r="R30" s="97">
        <v>0.1</v>
      </c>
      <c r="S30" s="97">
        <v>0.66666669000000001</v>
      </c>
      <c r="T30" s="97">
        <v>0.55555558000000005</v>
      </c>
      <c r="U30" s="97">
        <v>0.5</v>
      </c>
      <c r="V30" s="97">
        <v>0.5</v>
      </c>
      <c r="W30" s="97">
        <v>0.60000001999999997</v>
      </c>
      <c r="X30" s="97">
        <v>0</v>
      </c>
      <c r="Y30" s="97">
        <v>1</v>
      </c>
      <c r="Z30" s="97">
        <v>1</v>
      </c>
      <c r="AA30" s="97">
        <v>0.75</v>
      </c>
      <c r="AB30" s="97">
        <v>1</v>
      </c>
      <c r="AC30" s="97">
        <v>1</v>
      </c>
      <c r="AD30" s="97">
        <v>0.5</v>
      </c>
      <c r="AE30" s="97">
        <v>0</v>
      </c>
      <c r="AF30" s="97">
        <v>0.5</v>
      </c>
      <c r="AG30" s="97">
        <v>0</v>
      </c>
      <c r="AH30" s="97">
        <v>0</v>
      </c>
      <c r="AI30" s="97">
        <v>0.83333330999999999</v>
      </c>
      <c r="AJ30" s="97">
        <v>0.40000001000000002</v>
      </c>
      <c r="AK30" s="97">
        <v>1</v>
      </c>
      <c r="AL30" s="97">
        <v>0</v>
      </c>
      <c r="AM30" s="97">
        <v>0.40000001000000002</v>
      </c>
      <c r="AN30" s="97">
        <v>0.33333333999999998</v>
      </c>
    </row>
    <row r="31" spans="1:40" s="150" customFormat="1" ht="20.25" customHeight="1" x14ac:dyDescent="0.35">
      <c r="A31" s="95">
        <v>3</v>
      </c>
      <c r="B31" s="151" t="s">
        <v>102</v>
      </c>
      <c r="C31" s="176">
        <v>0.7477241</v>
      </c>
      <c r="D31" s="176">
        <v>0.8</v>
      </c>
      <c r="E31" s="176">
        <v>0.2</v>
      </c>
      <c r="F31" s="176">
        <v>1</v>
      </c>
      <c r="G31" s="91">
        <v>1</v>
      </c>
      <c r="H31" s="91">
        <v>1</v>
      </c>
      <c r="I31" s="91">
        <v>1</v>
      </c>
      <c r="J31" s="91">
        <v>0.89999998000000003</v>
      </c>
      <c r="K31" s="91">
        <v>1</v>
      </c>
      <c r="L31" s="91">
        <v>0.75</v>
      </c>
      <c r="M31" s="91">
        <v>0.80000000999999998</v>
      </c>
      <c r="N31" s="91">
        <v>0.5</v>
      </c>
      <c r="O31" s="91">
        <v>0.89999998000000003</v>
      </c>
      <c r="P31" s="91">
        <v>0.75</v>
      </c>
      <c r="Q31" s="91">
        <v>0.66666669000000001</v>
      </c>
      <c r="R31" s="91">
        <v>0.89999998000000003</v>
      </c>
      <c r="S31" s="91">
        <v>0.66666669000000001</v>
      </c>
      <c r="T31" s="91">
        <v>1</v>
      </c>
      <c r="U31" s="91">
        <v>0.5</v>
      </c>
      <c r="V31" s="91">
        <v>0.5</v>
      </c>
      <c r="W31" s="91">
        <v>1</v>
      </c>
      <c r="X31" s="91">
        <v>1</v>
      </c>
      <c r="Y31" s="91">
        <v>0.71428572999999995</v>
      </c>
      <c r="Z31" s="91">
        <v>1</v>
      </c>
      <c r="AA31" s="91">
        <v>0.375</v>
      </c>
      <c r="AB31" s="91">
        <v>0.75</v>
      </c>
      <c r="AC31" s="91">
        <v>1</v>
      </c>
      <c r="AD31" s="91">
        <v>0.5</v>
      </c>
      <c r="AE31" s="91">
        <v>0.83333330999999999</v>
      </c>
      <c r="AF31" s="91">
        <v>0.66666669000000001</v>
      </c>
      <c r="AG31" s="91">
        <v>0.25</v>
      </c>
      <c r="AH31" s="91">
        <v>0.80000000999999998</v>
      </c>
      <c r="AI31" s="91">
        <v>0.83333330999999999</v>
      </c>
      <c r="AJ31" s="91">
        <v>0.80000000999999998</v>
      </c>
      <c r="AK31" s="91">
        <v>1</v>
      </c>
      <c r="AL31" s="91">
        <v>0.2</v>
      </c>
      <c r="AM31" s="91">
        <v>0.2</v>
      </c>
      <c r="AN31" s="91">
        <v>0.66666669000000001</v>
      </c>
    </row>
    <row r="32" spans="1:40" s="150" customFormat="1" ht="20.25" customHeight="1" x14ac:dyDescent="0.35">
      <c r="A32" s="96">
        <v>4</v>
      </c>
      <c r="B32" s="152" t="s">
        <v>105</v>
      </c>
      <c r="C32" s="177">
        <v>0.44121729999999998</v>
      </c>
      <c r="D32" s="177">
        <v>0.5</v>
      </c>
      <c r="E32" s="177">
        <v>0</v>
      </c>
      <c r="F32" s="177">
        <v>0.91666669999999995</v>
      </c>
      <c r="G32" s="97">
        <v>0.16666666999999999</v>
      </c>
      <c r="H32" s="97">
        <v>0.91666669000000001</v>
      </c>
      <c r="I32" s="97">
        <v>0.47222220999999998</v>
      </c>
      <c r="J32" s="97">
        <v>0.73333334999999999</v>
      </c>
      <c r="K32" s="97">
        <v>0.53333335999999998</v>
      </c>
      <c r="L32" s="97">
        <v>0</v>
      </c>
      <c r="M32" s="97">
        <v>0.76666665000000001</v>
      </c>
      <c r="N32" s="97">
        <v>0.5</v>
      </c>
      <c r="O32" s="97">
        <v>0.64999998000000003</v>
      </c>
      <c r="P32" s="97">
        <v>0.25</v>
      </c>
      <c r="Q32" s="97">
        <v>0.14814815000000001</v>
      </c>
      <c r="R32" s="97">
        <v>0.53333335999999998</v>
      </c>
      <c r="S32" s="97">
        <v>0.5</v>
      </c>
      <c r="T32" s="97">
        <v>0.40740739999999998</v>
      </c>
      <c r="U32" s="97">
        <v>0.14583333000000001</v>
      </c>
      <c r="V32" s="97">
        <v>0.61111110000000002</v>
      </c>
      <c r="W32" s="97">
        <v>0.56666665999999999</v>
      </c>
      <c r="X32" s="97">
        <v>0.56666665999999999</v>
      </c>
      <c r="Y32" s="97">
        <v>0.54761903999999995</v>
      </c>
      <c r="Z32" s="97">
        <v>0.80000000999999998</v>
      </c>
      <c r="AA32" s="97">
        <v>0.41666666000000002</v>
      </c>
      <c r="AB32" s="97">
        <v>0.66666669000000001</v>
      </c>
      <c r="AC32" s="97">
        <v>0.91666669000000001</v>
      </c>
      <c r="AD32" s="97">
        <v>0</v>
      </c>
      <c r="AE32" s="97">
        <v>0.47222220999999998</v>
      </c>
      <c r="AF32" s="97">
        <v>0.13888890000000001</v>
      </c>
      <c r="AG32" s="97">
        <v>8.3333340000000006E-2</v>
      </c>
      <c r="AH32" s="97">
        <v>0</v>
      </c>
      <c r="AI32" s="97">
        <v>0.61111110000000002</v>
      </c>
      <c r="AJ32" s="97">
        <v>0.53333335999999998</v>
      </c>
      <c r="AK32" s="97">
        <v>0.28571429999999998</v>
      </c>
      <c r="AL32" s="97">
        <v>0.1</v>
      </c>
      <c r="AM32" s="97">
        <v>0.43333334000000001</v>
      </c>
      <c r="AN32" s="97">
        <v>0.52777779000000002</v>
      </c>
    </row>
    <row r="33" spans="1:40" s="150" customFormat="1" ht="20.25" customHeight="1" x14ac:dyDescent="0.35">
      <c r="A33" s="95">
        <v>5</v>
      </c>
      <c r="B33" s="151" t="s">
        <v>110</v>
      </c>
      <c r="C33" s="176">
        <v>0.81398219999999999</v>
      </c>
      <c r="D33" s="176">
        <v>0.83333330000000005</v>
      </c>
      <c r="E33" s="176">
        <v>0.4</v>
      </c>
      <c r="F33" s="176">
        <v>1</v>
      </c>
      <c r="G33" s="91">
        <v>0.66666669000000001</v>
      </c>
      <c r="H33" s="91">
        <v>1</v>
      </c>
      <c r="I33" s="91">
        <v>0.83333330999999999</v>
      </c>
      <c r="J33" s="91">
        <v>0.60000001999999997</v>
      </c>
      <c r="K33" s="91">
        <v>0.80000000999999998</v>
      </c>
      <c r="L33" s="91">
        <v>0.75</v>
      </c>
      <c r="M33" s="91">
        <v>1</v>
      </c>
      <c r="N33" s="91">
        <v>0.5</v>
      </c>
      <c r="O33" s="91">
        <v>0.89999998000000003</v>
      </c>
      <c r="P33" s="91">
        <v>0.75</v>
      </c>
      <c r="Q33" s="91">
        <v>0.77777779000000002</v>
      </c>
      <c r="R33" s="91">
        <v>0.89999998000000003</v>
      </c>
      <c r="S33" s="91">
        <v>0.5</v>
      </c>
      <c r="T33" s="91">
        <v>1</v>
      </c>
      <c r="U33" s="91">
        <v>0.75</v>
      </c>
      <c r="V33" s="91">
        <v>1</v>
      </c>
      <c r="W33" s="91">
        <v>0.60000001999999997</v>
      </c>
      <c r="X33" s="91">
        <v>1</v>
      </c>
      <c r="Y33" s="91">
        <v>0.85714287</v>
      </c>
      <c r="Z33" s="91">
        <v>1</v>
      </c>
      <c r="AA33" s="91">
        <v>0.75</v>
      </c>
      <c r="AB33" s="91">
        <v>0.91666669000000001</v>
      </c>
      <c r="AC33" s="91">
        <v>1</v>
      </c>
      <c r="AD33" s="91">
        <v>0.75</v>
      </c>
      <c r="AE33" s="91">
        <v>0.83333330999999999</v>
      </c>
      <c r="AF33" s="91">
        <v>1</v>
      </c>
      <c r="AG33" s="91">
        <v>0.75</v>
      </c>
      <c r="AH33" s="91">
        <v>0.40000001000000002</v>
      </c>
      <c r="AI33" s="91">
        <v>1</v>
      </c>
      <c r="AJ33" s="91">
        <v>0.80000000999999998</v>
      </c>
      <c r="AK33" s="91">
        <v>0.85714287</v>
      </c>
      <c r="AL33" s="91">
        <v>0.60000001999999997</v>
      </c>
      <c r="AM33" s="91">
        <v>1</v>
      </c>
      <c r="AN33" s="91">
        <v>0.83333330999999999</v>
      </c>
    </row>
    <row r="34" spans="1:40" s="150" customFormat="1" ht="20.25" customHeight="1" x14ac:dyDescent="0.35">
      <c r="A34" s="96">
        <v>6</v>
      </c>
      <c r="B34" s="152" t="s">
        <v>113</v>
      </c>
      <c r="C34" s="177">
        <v>0.56238330000000003</v>
      </c>
      <c r="D34" s="177">
        <v>0.5</v>
      </c>
      <c r="E34" s="177">
        <v>0</v>
      </c>
      <c r="F34" s="177">
        <v>1</v>
      </c>
      <c r="G34" s="97">
        <v>0.33333333999999998</v>
      </c>
      <c r="H34" s="97">
        <v>0.5</v>
      </c>
      <c r="I34" s="97">
        <v>0.33333333999999998</v>
      </c>
      <c r="J34" s="97">
        <v>0.60000001999999997</v>
      </c>
      <c r="K34" s="97">
        <v>1</v>
      </c>
      <c r="L34" s="97">
        <v>0.5</v>
      </c>
      <c r="M34" s="97">
        <v>0.40000001000000002</v>
      </c>
      <c r="N34" s="97">
        <v>0.375</v>
      </c>
      <c r="O34" s="97">
        <v>1</v>
      </c>
      <c r="P34" s="97">
        <v>0.25</v>
      </c>
      <c r="Q34" s="97">
        <v>0.22222222</v>
      </c>
      <c r="R34" s="97">
        <v>0.5</v>
      </c>
      <c r="S34" s="97">
        <v>0.5</v>
      </c>
      <c r="T34" s="97">
        <v>1</v>
      </c>
      <c r="U34" s="97">
        <v>0.375</v>
      </c>
      <c r="V34" s="97">
        <v>0.83333330999999999</v>
      </c>
      <c r="W34" s="97">
        <v>0.80000000999999998</v>
      </c>
      <c r="X34" s="97">
        <v>1</v>
      </c>
      <c r="Y34" s="97">
        <v>0.42857142999999998</v>
      </c>
      <c r="Z34" s="97">
        <v>1</v>
      </c>
      <c r="AA34" s="97">
        <v>0.875</v>
      </c>
      <c r="AB34" s="97">
        <v>0.41666666000000002</v>
      </c>
      <c r="AC34" s="97">
        <v>1</v>
      </c>
      <c r="AD34" s="97">
        <v>0.5</v>
      </c>
      <c r="AE34" s="97">
        <v>0.83333330999999999</v>
      </c>
      <c r="AF34" s="97">
        <v>0.5</v>
      </c>
      <c r="AG34" s="97">
        <v>0.25</v>
      </c>
      <c r="AH34" s="97">
        <v>0</v>
      </c>
      <c r="AI34" s="97">
        <v>1</v>
      </c>
      <c r="AJ34" s="97">
        <v>0</v>
      </c>
      <c r="AK34" s="97">
        <v>0.42857142999999998</v>
      </c>
      <c r="AL34" s="97">
        <v>0.60000001999999997</v>
      </c>
      <c r="AM34" s="97">
        <v>0.60000001999999997</v>
      </c>
      <c r="AN34" s="97">
        <v>0.16666666999999999</v>
      </c>
    </row>
    <row r="35" spans="1:40" s="150" customFormat="1" ht="20.25" customHeight="1" x14ac:dyDescent="0.35">
      <c r="A35" s="95">
        <v>7</v>
      </c>
      <c r="B35" s="151" t="s">
        <v>116</v>
      </c>
      <c r="C35" s="176">
        <v>0.88123830000000003</v>
      </c>
      <c r="D35" s="176">
        <v>0.91666669999999995</v>
      </c>
      <c r="E35" s="176">
        <v>0.5</v>
      </c>
      <c r="F35" s="176">
        <v>1</v>
      </c>
      <c r="G35" s="91">
        <v>1</v>
      </c>
      <c r="H35" s="91">
        <v>1</v>
      </c>
      <c r="I35" s="91">
        <v>0.91666669000000001</v>
      </c>
      <c r="J35" s="91">
        <v>1</v>
      </c>
      <c r="K35" s="91">
        <v>1</v>
      </c>
      <c r="L35" s="91">
        <v>1</v>
      </c>
      <c r="M35" s="91">
        <v>1</v>
      </c>
      <c r="N35" s="91">
        <v>0.75</v>
      </c>
      <c r="O35" s="91">
        <v>1</v>
      </c>
      <c r="P35" s="91">
        <v>1</v>
      </c>
      <c r="Q35" s="91">
        <v>0.77777779000000002</v>
      </c>
      <c r="R35" s="91">
        <v>1</v>
      </c>
      <c r="S35" s="91">
        <v>0.66666669000000001</v>
      </c>
      <c r="T35" s="91">
        <v>0.94444441999999995</v>
      </c>
      <c r="U35" s="91">
        <v>0.9375</v>
      </c>
      <c r="V35" s="91">
        <v>0.83333330999999999</v>
      </c>
      <c r="W35" s="91">
        <v>0.89999998000000003</v>
      </c>
      <c r="X35" s="91">
        <v>1</v>
      </c>
      <c r="Y35" s="91">
        <v>0.78571427000000005</v>
      </c>
      <c r="Z35" s="91">
        <v>0.89999998000000003</v>
      </c>
      <c r="AA35" s="91">
        <v>1</v>
      </c>
      <c r="AB35" s="91">
        <v>0.70833330999999999</v>
      </c>
      <c r="AC35" s="91">
        <v>1</v>
      </c>
      <c r="AD35" s="91">
        <v>0.875</v>
      </c>
      <c r="AE35" s="91">
        <v>1</v>
      </c>
      <c r="AF35" s="91">
        <v>0.91666669000000001</v>
      </c>
      <c r="AG35" s="91">
        <v>0.5</v>
      </c>
      <c r="AH35" s="91">
        <v>0.69999999000000002</v>
      </c>
      <c r="AI35" s="91">
        <v>0.91666669000000001</v>
      </c>
      <c r="AJ35" s="91">
        <v>0.69999999000000002</v>
      </c>
      <c r="AK35" s="91">
        <v>1</v>
      </c>
      <c r="AL35" s="91">
        <v>0.80000000999999998</v>
      </c>
      <c r="AM35" s="91">
        <v>0.60000001999999997</v>
      </c>
      <c r="AN35" s="91">
        <v>0.83333330999999999</v>
      </c>
    </row>
    <row r="36" spans="1:40" s="150" customFormat="1" ht="20.25" customHeight="1" x14ac:dyDescent="0.35">
      <c r="A36" s="96">
        <v>8</v>
      </c>
      <c r="B36" s="152" t="s">
        <v>120</v>
      </c>
      <c r="C36" s="177">
        <v>0.84326570000000001</v>
      </c>
      <c r="D36" s="177">
        <v>1</v>
      </c>
      <c r="E36" s="177">
        <v>0.2</v>
      </c>
      <c r="F36" s="177">
        <v>1</v>
      </c>
      <c r="G36" s="97">
        <v>0.5</v>
      </c>
      <c r="H36" s="97">
        <v>0.75</v>
      </c>
      <c r="I36" s="97">
        <v>1</v>
      </c>
      <c r="J36" s="97">
        <v>1</v>
      </c>
      <c r="K36" s="97">
        <v>0.60000001999999997</v>
      </c>
      <c r="L36" s="97">
        <v>0.5</v>
      </c>
      <c r="M36" s="97">
        <v>1</v>
      </c>
      <c r="N36" s="97">
        <v>0.5</v>
      </c>
      <c r="O36" s="97">
        <v>1</v>
      </c>
      <c r="P36" s="97">
        <v>0.5</v>
      </c>
      <c r="Q36" s="97">
        <v>0.88888889999999998</v>
      </c>
      <c r="R36" s="97">
        <v>0.89999998000000003</v>
      </c>
      <c r="S36" s="97">
        <v>1</v>
      </c>
      <c r="T36" s="97">
        <v>1</v>
      </c>
      <c r="U36" s="97">
        <v>1</v>
      </c>
      <c r="V36" s="97">
        <v>1</v>
      </c>
      <c r="W36" s="97">
        <v>1</v>
      </c>
      <c r="X36" s="97">
        <v>1</v>
      </c>
      <c r="Y36" s="97">
        <v>0.85714287</v>
      </c>
      <c r="Z36" s="97">
        <v>1</v>
      </c>
      <c r="AA36" s="97">
        <v>0.875</v>
      </c>
      <c r="AB36" s="97">
        <v>0.75</v>
      </c>
      <c r="AC36" s="97">
        <v>1</v>
      </c>
      <c r="AD36" s="97">
        <v>1</v>
      </c>
      <c r="AE36" s="97">
        <v>1</v>
      </c>
      <c r="AF36" s="97">
        <v>1</v>
      </c>
      <c r="AG36" s="97">
        <v>0.25</v>
      </c>
      <c r="AH36" s="97">
        <v>0.2</v>
      </c>
      <c r="AI36" s="97">
        <v>1</v>
      </c>
      <c r="AJ36" s="97">
        <v>1</v>
      </c>
      <c r="AK36" s="97">
        <v>1</v>
      </c>
      <c r="AL36" s="97">
        <v>0.80000000999999998</v>
      </c>
      <c r="AM36" s="97">
        <v>0.80000000999999998</v>
      </c>
      <c r="AN36" s="97">
        <v>1</v>
      </c>
    </row>
    <row r="37" spans="1:40" s="150" customFormat="1" ht="20.25" customHeight="1" x14ac:dyDescent="0.35">
      <c r="A37" s="95">
        <v>9</v>
      </c>
      <c r="B37" s="151" t="s">
        <v>123</v>
      </c>
      <c r="C37" s="176">
        <v>0.53339170000000002</v>
      </c>
      <c r="D37" s="176">
        <v>0.5</v>
      </c>
      <c r="E37" s="176">
        <v>0.1666667</v>
      </c>
      <c r="F37" s="176">
        <v>1</v>
      </c>
      <c r="G37" s="91">
        <v>0.66666669000000001</v>
      </c>
      <c r="H37" s="91">
        <v>0.75</v>
      </c>
      <c r="I37" s="91">
        <v>0.66666669000000001</v>
      </c>
      <c r="J37" s="91">
        <v>0.89999998000000003</v>
      </c>
      <c r="K37" s="91">
        <v>1</v>
      </c>
      <c r="L37" s="91">
        <v>0.75</v>
      </c>
      <c r="M37" s="91">
        <v>0.60000001999999997</v>
      </c>
      <c r="N37" s="91">
        <v>0.25</v>
      </c>
      <c r="O37" s="91">
        <v>0.5</v>
      </c>
      <c r="P37" s="91">
        <v>0.25</v>
      </c>
      <c r="Q37" s="91">
        <v>0.22222222</v>
      </c>
      <c r="R37" s="91">
        <v>0.5</v>
      </c>
      <c r="S37" s="91">
        <v>0.16666666999999999</v>
      </c>
      <c r="T37" s="91">
        <v>1</v>
      </c>
      <c r="U37" s="91">
        <v>0.625</v>
      </c>
      <c r="V37" s="91">
        <v>0.5</v>
      </c>
      <c r="W37" s="91">
        <v>0.80000000999999998</v>
      </c>
      <c r="X37" s="91">
        <v>0.60000001999999997</v>
      </c>
      <c r="Y37" s="91">
        <v>0.57142859999999995</v>
      </c>
      <c r="Z37" s="91">
        <v>0.80000000999999998</v>
      </c>
      <c r="AA37" s="91">
        <v>0.25</v>
      </c>
      <c r="AB37" s="91">
        <v>0.25</v>
      </c>
      <c r="AC37" s="91">
        <v>0.66666669000000001</v>
      </c>
      <c r="AD37" s="91">
        <v>0.25</v>
      </c>
      <c r="AE37" s="91">
        <v>0.5</v>
      </c>
      <c r="AF37" s="91">
        <v>0.16666666999999999</v>
      </c>
      <c r="AG37" s="91">
        <v>0.5</v>
      </c>
      <c r="AH37" s="91">
        <v>0.60000001999999997</v>
      </c>
      <c r="AI37" s="91">
        <v>0.33333333999999998</v>
      </c>
      <c r="AJ37" s="91">
        <v>0.2</v>
      </c>
      <c r="AK37" s="91">
        <v>1</v>
      </c>
      <c r="AL37" s="91">
        <v>0.40000001000000002</v>
      </c>
      <c r="AM37" s="91">
        <v>0.40000001000000002</v>
      </c>
      <c r="AN37" s="91">
        <v>0.5</v>
      </c>
    </row>
    <row r="38" spans="1:40" s="150" customFormat="1" ht="20.25" customHeight="1" x14ac:dyDescent="0.35">
      <c r="A38" s="96">
        <v>10</v>
      </c>
      <c r="B38" s="152" t="s">
        <v>125</v>
      </c>
      <c r="C38" s="177">
        <v>0.59975489999999998</v>
      </c>
      <c r="D38" s="177">
        <v>0.72499999999999998</v>
      </c>
      <c r="E38" s="177">
        <v>0</v>
      </c>
      <c r="F38" s="177">
        <v>1</v>
      </c>
      <c r="G38" s="97">
        <v>0.5</v>
      </c>
      <c r="H38" s="97">
        <v>0.75</v>
      </c>
      <c r="I38" s="97">
        <v>0.83333330999999999</v>
      </c>
      <c r="J38" s="97">
        <v>0.69999999000000002</v>
      </c>
      <c r="K38" s="97">
        <v>0.2</v>
      </c>
      <c r="L38" s="97">
        <v>1</v>
      </c>
      <c r="M38" s="97">
        <v>0.2</v>
      </c>
      <c r="N38" s="97">
        <v>0.125</v>
      </c>
      <c r="O38" s="97">
        <v>0.40000001000000002</v>
      </c>
      <c r="P38" s="97">
        <v>1</v>
      </c>
      <c r="Q38" s="97">
        <v>0.33333333999999998</v>
      </c>
      <c r="R38" s="97">
        <v>0.89999998000000003</v>
      </c>
      <c r="S38" s="97">
        <v>0.66666669000000001</v>
      </c>
      <c r="T38" s="97">
        <v>1</v>
      </c>
      <c r="U38" s="97">
        <v>0.125</v>
      </c>
      <c r="V38" s="97">
        <v>1</v>
      </c>
      <c r="W38" s="97">
        <v>1</v>
      </c>
      <c r="X38" s="97">
        <v>1</v>
      </c>
      <c r="Y38" s="97">
        <v>0.42857142999999998</v>
      </c>
      <c r="Z38" s="97">
        <v>0.80000000999999998</v>
      </c>
      <c r="AA38" s="97">
        <v>0.875</v>
      </c>
      <c r="AB38" s="97">
        <v>0.83333330999999999</v>
      </c>
      <c r="AC38" s="97">
        <v>0.83333330999999999</v>
      </c>
      <c r="AD38" s="97">
        <v>0.25</v>
      </c>
      <c r="AE38" s="97">
        <v>1</v>
      </c>
      <c r="AF38" s="97">
        <v>0.83333330999999999</v>
      </c>
      <c r="AG38" s="97">
        <v>0</v>
      </c>
      <c r="AH38" s="97">
        <v>0</v>
      </c>
      <c r="AI38" s="97">
        <v>0</v>
      </c>
      <c r="AJ38" s="97">
        <v>0.40000001000000002</v>
      </c>
      <c r="AK38" s="97">
        <v>0.57142859999999995</v>
      </c>
      <c r="AL38" s="97">
        <v>0.2</v>
      </c>
      <c r="AM38" s="97">
        <v>0.80000000999999998</v>
      </c>
      <c r="AN38" s="97">
        <v>0.83333330999999999</v>
      </c>
    </row>
    <row r="39" spans="1:40" s="150" customFormat="1" ht="20.25" customHeight="1" x14ac:dyDescent="0.35">
      <c r="A39" s="95">
        <v>11</v>
      </c>
      <c r="B39" s="151" t="s">
        <v>128</v>
      </c>
      <c r="C39" s="176">
        <v>0.50045519999999999</v>
      </c>
      <c r="D39" s="176">
        <v>0.5</v>
      </c>
      <c r="E39" s="176">
        <v>0</v>
      </c>
      <c r="F39" s="176">
        <v>1</v>
      </c>
      <c r="G39" s="91">
        <v>0.33333333999999998</v>
      </c>
      <c r="H39" s="91">
        <v>1</v>
      </c>
      <c r="I39" s="91">
        <v>0.33333333999999998</v>
      </c>
      <c r="J39" s="91">
        <v>0.5</v>
      </c>
      <c r="K39" s="91">
        <v>0.2</v>
      </c>
      <c r="L39" s="91">
        <v>0.25</v>
      </c>
      <c r="M39" s="91">
        <v>0.2</v>
      </c>
      <c r="N39" s="91">
        <v>0.25</v>
      </c>
      <c r="O39" s="91">
        <v>0.1</v>
      </c>
      <c r="P39" s="91">
        <v>0.5</v>
      </c>
      <c r="Q39" s="91">
        <v>0.33333333999999998</v>
      </c>
      <c r="R39" s="91">
        <v>1</v>
      </c>
      <c r="S39" s="91">
        <v>0.33333333999999998</v>
      </c>
      <c r="T39" s="91">
        <v>1</v>
      </c>
      <c r="U39" s="91">
        <v>0.125</v>
      </c>
      <c r="V39" s="91">
        <v>0.83333330999999999</v>
      </c>
      <c r="W39" s="91">
        <v>1</v>
      </c>
      <c r="X39" s="91">
        <v>1</v>
      </c>
      <c r="Y39" s="91">
        <v>0.14285714999999999</v>
      </c>
      <c r="Z39" s="91">
        <v>0.80000000999999998</v>
      </c>
      <c r="AA39" s="91">
        <v>0.5</v>
      </c>
      <c r="AB39" s="91">
        <v>0.83333330999999999</v>
      </c>
      <c r="AC39" s="91">
        <v>0.83333330999999999</v>
      </c>
      <c r="AD39" s="91">
        <v>0</v>
      </c>
      <c r="AE39" s="91">
        <v>0.66666669000000001</v>
      </c>
      <c r="AF39" s="91">
        <v>1</v>
      </c>
      <c r="AG39" s="91">
        <v>0</v>
      </c>
      <c r="AH39" s="91">
        <v>0</v>
      </c>
      <c r="AI39" s="91">
        <v>0</v>
      </c>
      <c r="AJ39" s="91">
        <v>0.60000001999999997</v>
      </c>
      <c r="AK39" s="91">
        <v>0.71428572999999995</v>
      </c>
      <c r="AL39" s="91">
        <v>0</v>
      </c>
      <c r="AM39" s="91">
        <v>0.80000000999999998</v>
      </c>
      <c r="AN39" s="91">
        <v>0.83333330999999999</v>
      </c>
    </row>
    <row r="40" spans="1:40" s="150" customFormat="1" ht="20.25" customHeight="1" x14ac:dyDescent="0.35">
      <c r="A40" s="96">
        <v>12</v>
      </c>
      <c r="B40" s="152" t="s">
        <v>131</v>
      </c>
      <c r="C40" s="177">
        <v>0.43768669999999998</v>
      </c>
      <c r="D40" s="177">
        <v>0.4365079</v>
      </c>
      <c r="E40" s="177">
        <v>0</v>
      </c>
      <c r="F40" s="177">
        <v>1</v>
      </c>
      <c r="G40" s="97">
        <v>0.5</v>
      </c>
      <c r="H40" s="97">
        <v>0.75</v>
      </c>
      <c r="I40" s="97">
        <v>0.66666669000000001</v>
      </c>
      <c r="J40" s="97">
        <v>0.69999999000000002</v>
      </c>
      <c r="K40" s="97">
        <v>0</v>
      </c>
      <c r="L40" s="97">
        <v>0.25</v>
      </c>
      <c r="M40" s="97">
        <v>0</v>
      </c>
      <c r="N40" s="97">
        <v>0.5</v>
      </c>
      <c r="O40" s="97">
        <v>0.69999999000000002</v>
      </c>
      <c r="P40" s="97">
        <v>0</v>
      </c>
      <c r="Q40" s="97">
        <v>0.33333333999999998</v>
      </c>
      <c r="R40" s="97">
        <v>0.1</v>
      </c>
      <c r="S40" s="97">
        <v>0.5</v>
      </c>
      <c r="T40" s="97">
        <v>0.44444444999999999</v>
      </c>
      <c r="U40" s="97">
        <v>0.375</v>
      </c>
      <c r="V40" s="97">
        <v>0.33333333999999998</v>
      </c>
      <c r="W40" s="97">
        <v>1</v>
      </c>
      <c r="X40" s="97">
        <v>1</v>
      </c>
      <c r="Y40" s="97">
        <v>0.42857142999999998</v>
      </c>
      <c r="Z40" s="97">
        <v>1</v>
      </c>
      <c r="AA40" s="97">
        <v>0.75</v>
      </c>
      <c r="AB40" s="97">
        <v>0.66666669000000001</v>
      </c>
      <c r="AC40" s="97">
        <v>0.5</v>
      </c>
      <c r="AD40" s="97">
        <v>0.25</v>
      </c>
      <c r="AE40" s="97">
        <v>0.16666666999999999</v>
      </c>
      <c r="AF40" s="97">
        <v>1</v>
      </c>
      <c r="AG40" s="97">
        <v>0</v>
      </c>
      <c r="AH40" s="97">
        <v>0</v>
      </c>
      <c r="AI40" s="97">
        <v>0.33333333999999998</v>
      </c>
      <c r="AJ40" s="97">
        <v>0.2</v>
      </c>
      <c r="AK40" s="97">
        <v>0</v>
      </c>
      <c r="AL40" s="97">
        <v>0</v>
      </c>
      <c r="AM40" s="97">
        <v>0.60000001999999997</v>
      </c>
      <c r="AN40" s="97">
        <v>0.83333330999999999</v>
      </c>
    </row>
    <row r="41" spans="1:40" s="150" customFormat="1" ht="20.25" customHeight="1" x14ac:dyDescent="0.35">
      <c r="A41" s="95">
        <v>13</v>
      </c>
      <c r="B41" s="151" t="s">
        <v>134</v>
      </c>
      <c r="C41" s="176">
        <v>0.75623249999999997</v>
      </c>
      <c r="D41" s="176">
        <v>0.83333330000000005</v>
      </c>
      <c r="E41" s="176">
        <v>0.2</v>
      </c>
      <c r="F41" s="176">
        <v>1</v>
      </c>
      <c r="G41" s="91">
        <v>0.83333330999999999</v>
      </c>
      <c r="H41" s="91">
        <v>1</v>
      </c>
      <c r="I41" s="91">
        <v>1</v>
      </c>
      <c r="J41" s="91">
        <v>0.80000000999999998</v>
      </c>
      <c r="K41" s="91">
        <v>0.40000001000000002</v>
      </c>
      <c r="L41" s="91">
        <v>0.25</v>
      </c>
      <c r="M41" s="91">
        <v>0.60000001999999997</v>
      </c>
      <c r="N41" s="91">
        <v>0.75</v>
      </c>
      <c r="O41" s="91">
        <v>0.69999999000000002</v>
      </c>
      <c r="P41" s="91">
        <v>1</v>
      </c>
      <c r="Q41" s="91">
        <v>0.44444444999999999</v>
      </c>
      <c r="R41" s="91">
        <v>1</v>
      </c>
      <c r="S41" s="91">
        <v>0.83333330999999999</v>
      </c>
      <c r="T41" s="91">
        <v>0.88888889999999998</v>
      </c>
      <c r="U41" s="91">
        <v>0.5</v>
      </c>
      <c r="V41" s="91">
        <v>1</v>
      </c>
      <c r="W41" s="91">
        <v>1</v>
      </c>
      <c r="X41" s="91">
        <v>1</v>
      </c>
      <c r="Y41" s="91">
        <v>0.57142859999999995</v>
      </c>
      <c r="Z41" s="91">
        <v>1</v>
      </c>
      <c r="AA41" s="91">
        <v>1</v>
      </c>
      <c r="AB41" s="91">
        <v>0.91666669000000001</v>
      </c>
      <c r="AC41" s="91">
        <v>0.83333330999999999</v>
      </c>
      <c r="AD41" s="91">
        <v>0.25</v>
      </c>
      <c r="AE41" s="91">
        <v>1</v>
      </c>
      <c r="AF41" s="91">
        <v>0.83333330999999999</v>
      </c>
      <c r="AG41" s="91">
        <v>0.25</v>
      </c>
      <c r="AH41" s="91">
        <v>0.40000001000000002</v>
      </c>
      <c r="AI41" s="91">
        <v>1</v>
      </c>
      <c r="AJ41" s="91">
        <v>1</v>
      </c>
      <c r="AK41" s="91">
        <v>0.85714287</v>
      </c>
      <c r="AL41" s="91">
        <v>0.2</v>
      </c>
      <c r="AM41" s="91">
        <v>0.60000001999999997</v>
      </c>
      <c r="AN41" s="91">
        <v>1</v>
      </c>
    </row>
    <row r="42" spans="1:40" s="150" customFormat="1" ht="20.25" customHeight="1" x14ac:dyDescent="0.35">
      <c r="A42" s="96">
        <v>14</v>
      </c>
      <c r="B42" s="152" t="s">
        <v>137</v>
      </c>
      <c r="C42" s="177">
        <v>0.52652900000000002</v>
      </c>
      <c r="D42" s="177">
        <v>0.52222219999999997</v>
      </c>
      <c r="E42" s="177">
        <v>0</v>
      </c>
      <c r="F42" s="177">
        <v>1</v>
      </c>
      <c r="G42" s="97">
        <v>0.66666669000000001</v>
      </c>
      <c r="H42" s="97">
        <v>0.75</v>
      </c>
      <c r="I42" s="97">
        <v>1</v>
      </c>
      <c r="J42" s="97">
        <v>0.89999998000000003</v>
      </c>
      <c r="K42" s="97">
        <v>0</v>
      </c>
      <c r="L42" s="97">
        <v>0.25</v>
      </c>
      <c r="M42" s="97">
        <v>0.2</v>
      </c>
      <c r="N42" s="97">
        <v>0.625</v>
      </c>
      <c r="O42" s="97">
        <v>0.69999999000000002</v>
      </c>
      <c r="P42" s="97">
        <v>0</v>
      </c>
      <c r="Q42" s="97">
        <v>0.44444444999999999</v>
      </c>
      <c r="R42" s="97">
        <v>0.1</v>
      </c>
      <c r="S42" s="97">
        <v>1</v>
      </c>
      <c r="T42" s="97">
        <v>0.44444444999999999</v>
      </c>
      <c r="U42" s="97">
        <v>0.25</v>
      </c>
      <c r="V42" s="97">
        <v>0.83333330999999999</v>
      </c>
      <c r="W42" s="97">
        <v>1</v>
      </c>
      <c r="X42" s="97">
        <v>1</v>
      </c>
      <c r="Y42" s="97">
        <v>0.42857142999999998</v>
      </c>
      <c r="Z42" s="97">
        <v>0.80000000999999998</v>
      </c>
      <c r="AA42" s="97">
        <v>1</v>
      </c>
      <c r="AB42" s="97">
        <v>0.75</v>
      </c>
      <c r="AC42" s="97">
        <v>0.33333333999999998</v>
      </c>
      <c r="AD42" s="97">
        <v>0.25</v>
      </c>
      <c r="AE42" s="97">
        <v>0.16666666999999999</v>
      </c>
      <c r="AF42" s="97">
        <v>0.83333330999999999</v>
      </c>
      <c r="AG42" s="97">
        <v>0</v>
      </c>
      <c r="AH42" s="97">
        <v>0.2</v>
      </c>
      <c r="AI42" s="97">
        <v>1</v>
      </c>
      <c r="AJ42" s="97">
        <v>0.2</v>
      </c>
      <c r="AK42" s="97">
        <v>0.14285714999999999</v>
      </c>
      <c r="AL42" s="97">
        <v>0.2</v>
      </c>
      <c r="AM42" s="97">
        <v>0.60000001999999997</v>
      </c>
      <c r="AN42" s="97">
        <v>0.83333330999999999</v>
      </c>
    </row>
    <row r="43" spans="1:40" s="150" customFormat="1" ht="20.25" customHeight="1" x14ac:dyDescent="0.35">
      <c r="A43" s="95">
        <v>15</v>
      </c>
      <c r="B43" s="151" t="s">
        <v>799</v>
      </c>
      <c r="C43" s="176">
        <v>0.35093370000000002</v>
      </c>
      <c r="D43" s="176">
        <v>0.3333333</v>
      </c>
      <c r="E43" s="176">
        <v>0</v>
      </c>
      <c r="F43" s="176">
        <v>1</v>
      </c>
      <c r="G43" s="91">
        <v>0</v>
      </c>
      <c r="H43" s="91">
        <v>0.5</v>
      </c>
      <c r="I43" s="91">
        <v>0.5</v>
      </c>
      <c r="J43" s="91">
        <v>0.30000000999999998</v>
      </c>
      <c r="K43" s="91">
        <v>0</v>
      </c>
      <c r="L43" s="91">
        <v>0</v>
      </c>
      <c r="M43" s="91">
        <v>0</v>
      </c>
      <c r="N43" s="91">
        <v>0.625</v>
      </c>
      <c r="O43" s="91">
        <v>1</v>
      </c>
      <c r="P43" s="91">
        <v>0</v>
      </c>
      <c r="Q43" s="91">
        <v>0.33333333999999998</v>
      </c>
      <c r="R43" s="91">
        <v>0.40000001000000002</v>
      </c>
      <c r="S43" s="91">
        <v>0.33333333999999998</v>
      </c>
      <c r="T43" s="91">
        <v>0.22222222</v>
      </c>
      <c r="U43" s="91">
        <v>0.5</v>
      </c>
      <c r="V43" s="91">
        <v>0.16666666999999999</v>
      </c>
      <c r="W43" s="91">
        <v>0.40000001000000002</v>
      </c>
      <c r="X43" s="91">
        <v>0.60000001999999997</v>
      </c>
      <c r="Y43" s="91">
        <v>0.14285714999999999</v>
      </c>
      <c r="Z43" s="91">
        <v>0.60000001999999997</v>
      </c>
      <c r="AA43" s="91">
        <v>0.875</v>
      </c>
      <c r="AB43" s="91">
        <v>0.5</v>
      </c>
      <c r="AC43" s="91">
        <v>0.33333333999999998</v>
      </c>
      <c r="AD43" s="91">
        <v>0.5</v>
      </c>
      <c r="AE43" s="91">
        <v>0.33333333999999998</v>
      </c>
      <c r="AF43" s="91">
        <v>0.16666666999999999</v>
      </c>
      <c r="AG43" s="91">
        <v>0.5</v>
      </c>
      <c r="AH43" s="91">
        <v>0</v>
      </c>
      <c r="AI43" s="91">
        <v>0.16666666999999999</v>
      </c>
      <c r="AJ43" s="91">
        <v>0.60000001999999997</v>
      </c>
      <c r="AK43" s="91">
        <v>0</v>
      </c>
      <c r="AL43" s="91">
        <v>0.60000001999999997</v>
      </c>
      <c r="AM43" s="91">
        <v>0.40000001000000002</v>
      </c>
      <c r="AN43" s="91">
        <v>0.33333333999999998</v>
      </c>
    </row>
    <row r="44" spans="1:40" s="150" customFormat="1" ht="30" x14ac:dyDescent="0.35">
      <c r="A44" s="96">
        <v>16</v>
      </c>
      <c r="B44" s="152" t="s">
        <v>143</v>
      </c>
      <c r="C44" s="177">
        <v>0.76821890000000004</v>
      </c>
      <c r="D44" s="177">
        <v>0.83333330000000005</v>
      </c>
      <c r="E44" s="177">
        <v>0</v>
      </c>
      <c r="F44" s="177">
        <v>1</v>
      </c>
      <c r="G44" s="97">
        <v>1</v>
      </c>
      <c r="H44" s="97">
        <v>1</v>
      </c>
      <c r="I44" s="97">
        <v>0.83333330999999999</v>
      </c>
      <c r="J44" s="97">
        <v>1</v>
      </c>
      <c r="K44" s="97">
        <v>1</v>
      </c>
      <c r="L44" s="97">
        <v>1</v>
      </c>
      <c r="M44" s="97">
        <v>0.80000000999999998</v>
      </c>
      <c r="N44" s="97">
        <v>0.625</v>
      </c>
      <c r="O44" s="97">
        <v>0.5</v>
      </c>
      <c r="P44" s="97">
        <v>0.75</v>
      </c>
      <c r="Q44" s="97">
        <v>0.44444444999999999</v>
      </c>
      <c r="R44" s="97">
        <v>0.89999998000000003</v>
      </c>
      <c r="S44" s="97">
        <v>0.83333330999999999</v>
      </c>
      <c r="T44" s="97">
        <v>1</v>
      </c>
      <c r="U44" s="97">
        <v>0.75</v>
      </c>
      <c r="V44" s="97">
        <v>1</v>
      </c>
      <c r="W44" s="97">
        <v>1</v>
      </c>
      <c r="X44" s="97">
        <v>1</v>
      </c>
      <c r="Y44" s="97">
        <v>0</v>
      </c>
      <c r="Z44" s="97">
        <v>1</v>
      </c>
      <c r="AA44" s="97">
        <v>1</v>
      </c>
      <c r="AB44" s="97">
        <v>0.83333330999999999</v>
      </c>
      <c r="AC44" s="97">
        <v>0.66666669000000001</v>
      </c>
      <c r="AD44" s="97">
        <v>0.5</v>
      </c>
      <c r="AE44" s="97">
        <v>0.83333330999999999</v>
      </c>
      <c r="AF44" s="97">
        <v>0.5</v>
      </c>
      <c r="AG44" s="97">
        <v>0.75</v>
      </c>
      <c r="AH44" s="97">
        <v>0.2</v>
      </c>
      <c r="AI44" s="97">
        <v>1</v>
      </c>
      <c r="AJ44" s="97">
        <v>0.60000001999999997</v>
      </c>
      <c r="AK44" s="97">
        <v>1</v>
      </c>
      <c r="AL44" s="97">
        <v>0</v>
      </c>
      <c r="AM44" s="97">
        <v>0.80000000999999998</v>
      </c>
      <c r="AN44" s="97">
        <v>1</v>
      </c>
    </row>
    <row r="45" spans="1:40" s="150" customFormat="1" ht="20.25" customHeight="1" x14ac:dyDescent="0.35">
      <c r="A45" s="95">
        <v>17</v>
      </c>
      <c r="B45" s="151" t="s">
        <v>146</v>
      </c>
      <c r="C45" s="176">
        <v>0.79253039999999997</v>
      </c>
      <c r="D45" s="176">
        <v>0.83333330000000005</v>
      </c>
      <c r="E45" s="176">
        <v>0.2</v>
      </c>
      <c r="F45" s="176">
        <v>1</v>
      </c>
      <c r="G45" s="91">
        <v>0.66666669000000001</v>
      </c>
      <c r="H45" s="91">
        <v>1</v>
      </c>
      <c r="I45" s="91">
        <v>0.83333330999999999</v>
      </c>
      <c r="J45" s="91">
        <v>0.89999998000000003</v>
      </c>
      <c r="K45" s="91">
        <v>1</v>
      </c>
      <c r="L45" s="91">
        <v>1</v>
      </c>
      <c r="M45" s="91">
        <v>0.80000000999999998</v>
      </c>
      <c r="N45" s="91">
        <v>0.5</v>
      </c>
      <c r="O45" s="91">
        <v>0.2</v>
      </c>
      <c r="P45" s="91">
        <v>1</v>
      </c>
      <c r="Q45" s="91">
        <v>0.44444444999999999</v>
      </c>
      <c r="R45" s="91">
        <v>1</v>
      </c>
      <c r="S45" s="91">
        <v>0.83333330999999999</v>
      </c>
      <c r="T45" s="91">
        <v>0.77777779000000002</v>
      </c>
      <c r="U45" s="91">
        <v>0.75</v>
      </c>
      <c r="V45" s="91">
        <v>1</v>
      </c>
      <c r="W45" s="91">
        <v>1</v>
      </c>
      <c r="X45" s="91">
        <v>1</v>
      </c>
      <c r="Y45" s="91">
        <v>0.85714287</v>
      </c>
      <c r="Z45" s="91">
        <v>0.60000001999999997</v>
      </c>
      <c r="AA45" s="91">
        <v>0.75</v>
      </c>
      <c r="AB45" s="91">
        <v>0.66666669000000001</v>
      </c>
      <c r="AC45" s="91">
        <v>1</v>
      </c>
      <c r="AD45" s="91">
        <v>0.25</v>
      </c>
      <c r="AE45" s="91">
        <v>1</v>
      </c>
      <c r="AF45" s="91">
        <v>1</v>
      </c>
      <c r="AG45" s="91">
        <v>0.25</v>
      </c>
      <c r="AH45" s="91">
        <v>0.40000001000000002</v>
      </c>
      <c r="AI45" s="91">
        <v>0.83333330999999999</v>
      </c>
      <c r="AJ45" s="91">
        <v>1</v>
      </c>
      <c r="AK45" s="91">
        <v>1</v>
      </c>
      <c r="AL45" s="91">
        <v>0.80000000999999998</v>
      </c>
      <c r="AM45" s="91">
        <v>1</v>
      </c>
      <c r="AN45" s="91">
        <v>0.83333330999999999</v>
      </c>
    </row>
    <row r="46" spans="1:40" s="150" customFormat="1" ht="20.25" customHeight="1" x14ac:dyDescent="0.35">
      <c r="A46" s="96">
        <v>18</v>
      </c>
      <c r="B46" s="152" t="s">
        <v>149</v>
      </c>
      <c r="C46" s="177">
        <v>0.98104570000000002</v>
      </c>
      <c r="D46" s="177">
        <v>1</v>
      </c>
      <c r="E46" s="177">
        <v>0.8</v>
      </c>
      <c r="F46" s="177">
        <v>1</v>
      </c>
      <c r="G46" s="97">
        <v>1</v>
      </c>
      <c r="H46" s="97">
        <v>1</v>
      </c>
      <c r="I46" s="97">
        <v>1</v>
      </c>
      <c r="J46" s="97">
        <v>1</v>
      </c>
      <c r="K46" s="97">
        <v>1</v>
      </c>
      <c r="L46" s="97">
        <v>1</v>
      </c>
      <c r="M46" s="97">
        <v>1</v>
      </c>
      <c r="N46" s="97">
        <v>1</v>
      </c>
      <c r="O46" s="97">
        <v>1</v>
      </c>
      <c r="P46" s="97">
        <v>1</v>
      </c>
      <c r="Q46" s="97">
        <v>0.88888889999999998</v>
      </c>
      <c r="R46" s="97">
        <v>1</v>
      </c>
      <c r="S46" s="97">
        <v>0.83333330999999999</v>
      </c>
      <c r="T46" s="97">
        <v>1</v>
      </c>
      <c r="U46" s="97">
        <v>1</v>
      </c>
      <c r="V46" s="97">
        <v>1</v>
      </c>
      <c r="W46" s="97">
        <v>1</v>
      </c>
      <c r="X46" s="97">
        <v>1</v>
      </c>
      <c r="Y46" s="97">
        <v>1</v>
      </c>
      <c r="Z46" s="97">
        <v>1</v>
      </c>
      <c r="AA46" s="97">
        <v>1</v>
      </c>
      <c r="AB46" s="97">
        <v>1</v>
      </c>
      <c r="AC46" s="97">
        <v>1</v>
      </c>
      <c r="AD46" s="97">
        <v>1</v>
      </c>
      <c r="AE46" s="97">
        <v>1</v>
      </c>
      <c r="AF46" s="97">
        <v>0.83333330999999999</v>
      </c>
      <c r="AG46" s="97">
        <v>1</v>
      </c>
      <c r="AH46" s="97">
        <v>1</v>
      </c>
      <c r="AI46" s="97">
        <v>1</v>
      </c>
      <c r="AJ46" s="97">
        <v>1</v>
      </c>
      <c r="AK46" s="97">
        <v>1</v>
      </c>
      <c r="AL46" s="97">
        <v>1</v>
      </c>
      <c r="AM46" s="97">
        <v>0.80000000999999998</v>
      </c>
      <c r="AN46" s="97">
        <v>1</v>
      </c>
    </row>
    <row r="47" spans="1:40" s="150" customFormat="1" ht="20.25" customHeight="1" x14ac:dyDescent="0.35">
      <c r="A47" s="95">
        <v>19</v>
      </c>
      <c r="B47" s="151" t="s">
        <v>152</v>
      </c>
      <c r="C47" s="176">
        <v>0.94575160000000003</v>
      </c>
      <c r="D47" s="176">
        <v>1</v>
      </c>
      <c r="E47" s="176">
        <v>0.6</v>
      </c>
      <c r="F47" s="176">
        <v>1</v>
      </c>
      <c r="G47" s="91">
        <v>0.83333330999999999</v>
      </c>
      <c r="H47" s="91">
        <v>1</v>
      </c>
      <c r="I47" s="91">
        <v>1</v>
      </c>
      <c r="J47" s="91">
        <v>1</v>
      </c>
      <c r="K47" s="91">
        <v>1</v>
      </c>
      <c r="L47" s="91">
        <v>1</v>
      </c>
      <c r="M47" s="91">
        <v>1</v>
      </c>
      <c r="N47" s="91">
        <v>1</v>
      </c>
      <c r="O47" s="91">
        <v>1</v>
      </c>
      <c r="P47" s="91">
        <v>1</v>
      </c>
      <c r="Q47" s="91">
        <v>0.88888889999999998</v>
      </c>
      <c r="R47" s="91">
        <v>0.89999998000000003</v>
      </c>
      <c r="S47" s="91">
        <v>1</v>
      </c>
      <c r="T47" s="91">
        <v>1</v>
      </c>
      <c r="U47" s="91">
        <v>1</v>
      </c>
      <c r="V47" s="91">
        <v>1</v>
      </c>
      <c r="W47" s="91">
        <v>0.80000000999999998</v>
      </c>
      <c r="X47" s="91">
        <v>1</v>
      </c>
      <c r="Y47" s="91">
        <v>1</v>
      </c>
      <c r="Z47" s="91">
        <v>1</v>
      </c>
      <c r="AA47" s="91">
        <v>1</v>
      </c>
      <c r="AB47" s="91">
        <v>1</v>
      </c>
      <c r="AC47" s="91">
        <v>1</v>
      </c>
      <c r="AD47" s="91">
        <v>0.75</v>
      </c>
      <c r="AE47" s="91">
        <v>1</v>
      </c>
      <c r="AF47" s="91">
        <v>1</v>
      </c>
      <c r="AG47" s="91">
        <v>0.75</v>
      </c>
      <c r="AH47" s="91">
        <v>0.80000000999999998</v>
      </c>
      <c r="AI47" s="91">
        <v>1</v>
      </c>
      <c r="AJ47" s="91">
        <v>1</v>
      </c>
      <c r="AK47" s="91">
        <v>1</v>
      </c>
      <c r="AL47" s="91">
        <v>1</v>
      </c>
      <c r="AM47" s="91">
        <v>0.60000001999999997</v>
      </c>
      <c r="AN47" s="91">
        <v>0.83333330999999999</v>
      </c>
    </row>
    <row r="48" spans="1:40" s="150" customFormat="1" ht="20.25" customHeight="1" x14ac:dyDescent="0.35">
      <c r="A48" s="96">
        <v>20</v>
      </c>
      <c r="B48" s="152" t="s">
        <v>155</v>
      </c>
      <c r="C48" s="177">
        <v>0.91014240000000002</v>
      </c>
      <c r="D48" s="177">
        <v>1</v>
      </c>
      <c r="E48" s="177">
        <v>0.55555560000000004</v>
      </c>
      <c r="F48" s="177">
        <v>1</v>
      </c>
      <c r="G48" s="97">
        <v>1</v>
      </c>
      <c r="H48" s="97">
        <v>1</v>
      </c>
      <c r="I48" s="97">
        <v>1</v>
      </c>
      <c r="J48" s="97">
        <v>1</v>
      </c>
      <c r="K48" s="97">
        <v>1</v>
      </c>
      <c r="L48" s="97">
        <v>1</v>
      </c>
      <c r="M48" s="97">
        <v>0.60000001999999997</v>
      </c>
      <c r="N48" s="97">
        <v>0.875</v>
      </c>
      <c r="O48" s="97">
        <v>0.89999998000000003</v>
      </c>
      <c r="P48" s="97">
        <v>0.75</v>
      </c>
      <c r="Q48" s="97">
        <v>0.55555558000000005</v>
      </c>
      <c r="R48" s="97">
        <v>0.89999998000000003</v>
      </c>
      <c r="S48" s="97">
        <v>1</v>
      </c>
      <c r="T48" s="97">
        <v>1</v>
      </c>
      <c r="U48" s="97">
        <v>0.75</v>
      </c>
      <c r="V48" s="97">
        <v>1</v>
      </c>
      <c r="W48" s="97">
        <v>1</v>
      </c>
      <c r="X48" s="97">
        <v>1</v>
      </c>
      <c r="Y48" s="97">
        <v>0.71428572999999995</v>
      </c>
      <c r="Z48" s="97">
        <v>1</v>
      </c>
      <c r="AA48" s="97">
        <v>1</v>
      </c>
      <c r="AB48" s="97">
        <v>0.83333330999999999</v>
      </c>
      <c r="AC48" s="97">
        <v>1</v>
      </c>
      <c r="AD48" s="97">
        <v>1</v>
      </c>
      <c r="AE48" s="97">
        <v>1</v>
      </c>
      <c r="AF48" s="97">
        <v>0.83333330999999999</v>
      </c>
      <c r="AG48" s="97">
        <v>1</v>
      </c>
      <c r="AH48" s="97">
        <v>0.80000000999999998</v>
      </c>
      <c r="AI48" s="97">
        <v>1</v>
      </c>
      <c r="AJ48" s="97">
        <v>1</v>
      </c>
      <c r="AK48" s="97">
        <v>1</v>
      </c>
      <c r="AL48" s="97">
        <v>0.80000000999999998</v>
      </c>
      <c r="AM48" s="97">
        <v>0.80000000999999998</v>
      </c>
      <c r="AN48" s="97">
        <v>0.83333330999999999</v>
      </c>
    </row>
    <row r="49" spans="1:40" s="150" customFormat="1" ht="20.25" customHeight="1" x14ac:dyDescent="0.35">
      <c r="A49" s="95">
        <v>21</v>
      </c>
      <c r="B49" s="151" t="s">
        <v>158</v>
      </c>
      <c r="C49" s="176">
        <v>0.85818159999999999</v>
      </c>
      <c r="D49" s="176">
        <v>0.95</v>
      </c>
      <c r="E49" s="176">
        <v>0</v>
      </c>
      <c r="F49" s="176">
        <v>1</v>
      </c>
      <c r="G49" s="91">
        <v>1</v>
      </c>
      <c r="H49" s="91">
        <v>1</v>
      </c>
      <c r="I49" s="91">
        <v>0.83333330999999999</v>
      </c>
      <c r="J49" s="91">
        <v>0.89999998000000003</v>
      </c>
      <c r="K49" s="91">
        <v>1</v>
      </c>
      <c r="L49" s="91">
        <v>0.75</v>
      </c>
      <c r="M49" s="91">
        <v>1</v>
      </c>
      <c r="N49" s="91">
        <v>1</v>
      </c>
      <c r="O49" s="91">
        <v>1</v>
      </c>
      <c r="P49" s="91">
        <v>1</v>
      </c>
      <c r="Q49" s="91">
        <v>0.88888889999999998</v>
      </c>
      <c r="R49" s="91">
        <v>0.89999998000000003</v>
      </c>
      <c r="S49" s="91">
        <v>0.33333333999999998</v>
      </c>
      <c r="T49" s="91">
        <v>1</v>
      </c>
      <c r="U49" s="91">
        <v>0.875</v>
      </c>
      <c r="V49" s="91">
        <v>1</v>
      </c>
      <c r="W49" s="91">
        <v>1</v>
      </c>
      <c r="X49" s="91">
        <v>1</v>
      </c>
      <c r="Y49" s="91">
        <v>0.85714287</v>
      </c>
      <c r="Z49" s="91">
        <v>1</v>
      </c>
      <c r="AA49" s="91">
        <v>0.75</v>
      </c>
      <c r="AB49" s="91">
        <v>0.83333330999999999</v>
      </c>
      <c r="AC49" s="91">
        <v>1</v>
      </c>
      <c r="AD49" s="91">
        <v>0.5</v>
      </c>
      <c r="AE49" s="91">
        <v>1</v>
      </c>
      <c r="AF49" s="91">
        <v>0.66666669000000001</v>
      </c>
      <c r="AG49" s="91">
        <v>1</v>
      </c>
      <c r="AH49" s="91">
        <v>0</v>
      </c>
      <c r="AI49" s="91">
        <v>1</v>
      </c>
      <c r="AJ49" s="91">
        <v>1</v>
      </c>
      <c r="AK49" s="91">
        <v>0.85714287</v>
      </c>
      <c r="AL49" s="91">
        <v>0.80000000999999998</v>
      </c>
      <c r="AM49" s="91">
        <v>0.60000001999999997</v>
      </c>
      <c r="AN49" s="91">
        <v>0.83333330999999999</v>
      </c>
    </row>
    <row r="50" spans="1:40" s="150" customFormat="1" ht="20.25" customHeight="1" x14ac:dyDescent="0.35">
      <c r="A50" s="96">
        <v>22</v>
      </c>
      <c r="B50" s="152" t="s">
        <v>161</v>
      </c>
      <c r="C50" s="177">
        <v>0.78764000000000001</v>
      </c>
      <c r="D50" s="177">
        <v>0.83333330000000005</v>
      </c>
      <c r="E50" s="177">
        <v>0.2</v>
      </c>
      <c r="F50" s="177">
        <v>1</v>
      </c>
      <c r="G50" s="97">
        <v>0.83333330999999999</v>
      </c>
      <c r="H50" s="97">
        <v>0.75</v>
      </c>
      <c r="I50" s="97">
        <v>0.83333330999999999</v>
      </c>
      <c r="J50" s="97">
        <v>0.89999998000000003</v>
      </c>
      <c r="K50" s="97">
        <v>1</v>
      </c>
      <c r="L50" s="97">
        <v>0.25</v>
      </c>
      <c r="M50" s="97">
        <v>0.2</v>
      </c>
      <c r="N50" s="97">
        <v>0.375</v>
      </c>
      <c r="O50" s="97">
        <v>0.80000000999999998</v>
      </c>
      <c r="P50" s="97">
        <v>0.5</v>
      </c>
      <c r="Q50" s="97">
        <v>0.77777779000000002</v>
      </c>
      <c r="R50" s="97">
        <v>0.80000000999999998</v>
      </c>
      <c r="S50" s="97">
        <v>1</v>
      </c>
      <c r="T50" s="97">
        <v>0.88888889999999998</v>
      </c>
      <c r="U50" s="97">
        <v>0.875</v>
      </c>
      <c r="V50" s="97">
        <v>1</v>
      </c>
      <c r="W50" s="97">
        <v>1</v>
      </c>
      <c r="X50" s="97">
        <v>1</v>
      </c>
      <c r="Y50" s="97">
        <v>0.57142859999999995</v>
      </c>
      <c r="Z50" s="97">
        <v>1</v>
      </c>
      <c r="AA50" s="97">
        <v>0.625</v>
      </c>
      <c r="AB50" s="97">
        <v>0.83333330999999999</v>
      </c>
      <c r="AC50" s="97">
        <v>1</v>
      </c>
      <c r="AD50" s="97">
        <v>1</v>
      </c>
      <c r="AE50" s="97">
        <v>1</v>
      </c>
      <c r="AF50" s="97">
        <v>0.83333330999999999</v>
      </c>
      <c r="AG50" s="97">
        <v>1</v>
      </c>
      <c r="AH50" s="97">
        <v>0.40000001000000002</v>
      </c>
      <c r="AI50" s="97">
        <v>0.83333330999999999</v>
      </c>
      <c r="AJ50" s="97">
        <v>0.80000000999999998</v>
      </c>
      <c r="AK50" s="97">
        <v>1</v>
      </c>
      <c r="AL50" s="97">
        <v>0.80000000999999998</v>
      </c>
      <c r="AM50" s="97">
        <v>0.80000000999999998</v>
      </c>
      <c r="AN50" s="97">
        <v>0.5</v>
      </c>
    </row>
    <row r="51" spans="1:40" s="150" customFormat="1" ht="30" x14ac:dyDescent="0.35">
      <c r="A51" s="95">
        <v>23</v>
      </c>
      <c r="B51" s="151" t="s">
        <v>164</v>
      </c>
      <c r="C51" s="176">
        <v>0.45739960000000002</v>
      </c>
      <c r="D51" s="176">
        <v>0.47222219999999998</v>
      </c>
      <c r="E51" s="176">
        <v>0</v>
      </c>
      <c r="F51" s="176">
        <v>1</v>
      </c>
      <c r="G51" s="91">
        <v>0.33333333999999998</v>
      </c>
      <c r="H51" s="91">
        <v>0.25</v>
      </c>
      <c r="I51" s="91">
        <v>0.5</v>
      </c>
      <c r="J51" s="91">
        <v>0.89999998000000003</v>
      </c>
      <c r="K51" s="91">
        <v>0</v>
      </c>
      <c r="L51" s="91">
        <v>0.5</v>
      </c>
      <c r="M51" s="91">
        <v>0.40000001000000002</v>
      </c>
      <c r="N51" s="91">
        <v>0.625</v>
      </c>
      <c r="O51" s="91">
        <v>0.80000000999999998</v>
      </c>
      <c r="P51" s="91">
        <v>0</v>
      </c>
      <c r="Q51" s="91">
        <v>0.33333333999999998</v>
      </c>
      <c r="R51" s="91">
        <v>0.1</v>
      </c>
      <c r="S51" s="91">
        <v>0.66666669000000001</v>
      </c>
      <c r="T51" s="91">
        <v>0.44444444999999999</v>
      </c>
      <c r="U51" s="91">
        <v>0.25</v>
      </c>
      <c r="V51" s="91">
        <v>0.16666666999999999</v>
      </c>
      <c r="W51" s="91">
        <v>0.60000001999999997</v>
      </c>
      <c r="X51" s="91">
        <v>0.80000000999999998</v>
      </c>
      <c r="Y51" s="91">
        <v>0.71428572999999995</v>
      </c>
      <c r="Z51" s="91">
        <v>1</v>
      </c>
      <c r="AA51" s="91">
        <v>0.875</v>
      </c>
      <c r="AB51" s="91">
        <v>0.75</v>
      </c>
      <c r="AC51" s="91">
        <v>0.66666669000000001</v>
      </c>
      <c r="AD51" s="91">
        <v>0.25</v>
      </c>
      <c r="AE51" s="91">
        <v>0.66666669000000001</v>
      </c>
      <c r="AF51" s="91">
        <v>0.33333333999999998</v>
      </c>
      <c r="AG51" s="91">
        <v>0.25</v>
      </c>
      <c r="AH51" s="91">
        <v>0</v>
      </c>
      <c r="AI51" s="91">
        <v>0</v>
      </c>
      <c r="AJ51" s="91">
        <v>0.2</v>
      </c>
      <c r="AK51" s="91">
        <v>0.14285714999999999</v>
      </c>
      <c r="AL51" s="91">
        <v>0.60000001999999997</v>
      </c>
      <c r="AM51" s="91">
        <v>0.60000001999999997</v>
      </c>
      <c r="AN51" s="91">
        <v>0.83333330999999999</v>
      </c>
    </row>
    <row r="52" spans="1:40" s="150" customFormat="1" ht="30" x14ac:dyDescent="0.35">
      <c r="A52" s="96">
        <v>24</v>
      </c>
      <c r="B52" s="152" t="s">
        <v>167</v>
      </c>
      <c r="C52" s="177">
        <v>0.64342319999999997</v>
      </c>
      <c r="D52" s="177">
        <v>0.67500000000000004</v>
      </c>
      <c r="E52" s="177">
        <v>0.1875</v>
      </c>
      <c r="F52" s="177">
        <v>1</v>
      </c>
      <c r="G52" s="97">
        <v>0.45833333999999998</v>
      </c>
      <c r="H52" s="97">
        <v>0.625</v>
      </c>
      <c r="I52" s="97">
        <v>1</v>
      </c>
      <c r="J52" s="97">
        <v>0.92500000999999998</v>
      </c>
      <c r="K52" s="97">
        <v>0.89999998000000003</v>
      </c>
      <c r="L52" s="97">
        <v>0.25</v>
      </c>
      <c r="M52" s="97">
        <v>0.55000000999999998</v>
      </c>
      <c r="N52" s="97">
        <v>0.71875</v>
      </c>
      <c r="O52" s="97">
        <v>0.97500001999999997</v>
      </c>
      <c r="P52" s="97">
        <v>0.625</v>
      </c>
      <c r="Q52" s="97">
        <v>0.41666666000000002</v>
      </c>
      <c r="R52" s="97">
        <v>0.30000000999999998</v>
      </c>
      <c r="S52" s="97">
        <v>0.70833330999999999</v>
      </c>
      <c r="T52" s="97">
        <v>0.72222220999999998</v>
      </c>
      <c r="U52" s="97">
        <v>0.53125</v>
      </c>
      <c r="V52" s="97">
        <v>0.45833333999999998</v>
      </c>
      <c r="W52" s="97">
        <v>0.85000001999999997</v>
      </c>
      <c r="X52" s="97">
        <v>0.89999998000000003</v>
      </c>
      <c r="Y52" s="97">
        <v>0.5</v>
      </c>
      <c r="Z52" s="97">
        <v>0.80000000999999998</v>
      </c>
      <c r="AA52" s="97">
        <v>0.9375</v>
      </c>
      <c r="AB52" s="97">
        <v>0.9375</v>
      </c>
      <c r="AC52" s="97">
        <v>0.29166666000000002</v>
      </c>
      <c r="AD52" s="97">
        <v>0.25</v>
      </c>
      <c r="AE52" s="97">
        <v>1</v>
      </c>
      <c r="AF52" s="97">
        <v>0.375</v>
      </c>
      <c r="AG52" s="97">
        <v>0.1875</v>
      </c>
      <c r="AH52" s="97">
        <v>0.40000001000000002</v>
      </c>
      <c r="AI52" s="97">
        <v>0.83333330999999999</v>
      </c>
      <c r="AJ52" s="97">
        <v>0.64999998000000003</v>
      </c>
      <c r="AK52" s="97">
        <v>0.75</v>
      </c>
      <c r="AL52" s="97">
        <v>0.34999998999999998</v>
      </c>
      <c r="AM52" s="97">
        <v>0.69999999000000002</v>
      </c>
      <c r="AN52" s="97">
        <v>1</v>
      </c>
    </row>
    <row r="53" spans="1:40" s="119" customFormat="1" ht="20.25" customHeight="1" x14ac:dyDescent="0.35">
      <c r="A53" s="381" t="s">
        <v>708</v>
      </c>
      <c r="B53" s="381"/>
      <c r="C53" s="175">
        <v>0.5577472</v>
      </c>
      <c r="D53" s="175">
        <v>0.58913040000000005</v>
      </c>
      <c r="E53" s="175">
        <v>0.115942</v>
      </c>
      <c r="F53" s="175">
        <v>0.93043480000000001</v>
      </c>
      <c r="G53" s="89">
        <v>0.73188405999999995</v>
      </c>
      <c r="H53" s="89">
        <v>0.46739131</v>
      </c>
      <c r="I53" s="89">
        <v>0.68840581000000001</v>
      </c>
      <c r="J53" s="89">
        <v>0.87826084999999998</v>
      </c>
      <c r="K53" s="89">
        <v>0.64347827000000002</v>
      </c>
      <c r="L53" s="89">
        <v>0.51086955999999994</v>
      </c>
      <c r="M53" s="89">
        <v>0.59130435999999997</v>
      </c>
      <c r="N53" s="89">
        <v>0.36956522000000003</v>
      </c>
      <c r="O53" s="89">
        <v>0.40000001000000002</v>
      </c>
      <c r="P53" s="89">
        <v>0.64130436999999996</v>
      </c>
      <c r="Q53" s="89">
        <v>0.23671497</v>
      </c>
      <c r="R53" s="89">
        <v>0.33913042999999998</v>
      </c>
      <c r="S53" s="89">
        <v>0.36956522000000003</v>
      </c>
      <c r="T53" s="89">
        <v>0.60386472999999996</v>
      </c>
      <c r="U53" s="89">
        <v>0.375</v>
      </c>
      <c r="V53" s="89">
        <v>0.42028984000000003</v>
      </c>
      <c r="W53" s="89">
        <v>0.62608695000000003</v>
      </c>
      <c r="X53" s="89">
        <v>0.93043476000000003</v>
      </c>
      <c r="Y53" s="89">
        <v>0.61490685</v>
      </c>
      <c r="Z53" s="89">
        <v>0.86956518999999999</v>
      </c>
      <c r="AA53" s="89">
        <v>0.72826086999999995</v>
      </c>
      <c r="AB53" s="89">
        <v>0.5289855</v>
      </c>
      <c r="AC53" s="89">
        <v>0.53623187999999999</v>
      </c>
      <c r="AD53" s="89">
        <v>0.14130434</v>
      </c>
      <c r="AE53" s="89">
        <v>0.58695649999999999</v>
      </c>
      <c r="AF53" s="89">
        <v>0.11594203</v>
      </c>
      <c r="AG53" s="89">
        <v>0.68478262000000001</v>
      </c>
      <c r="AH53" s="89">
        <v>0.33913042999999998</v>
      </c>
      <c r="AI53" s="89">
        <v>0.79710144000000005</v>
      </c>
      <c r="AJ53" s="89">
        <v>0.53043479000000004</v>
      </c>
      <c r="AK53" s="89">
        <v>0.73291927999999995</v>
      </c>
      <c r="AL53" s="89">
        <v>0.69565219</v>
      </c>
      <c r="AM53" s="89">
        <v>0.38260867999999998</v>
      </c>
      <c r="AN53" s="89">
        <v>0.85507244000000004</v>
      </c>
    </row>
    <row r="54" spans="1:40" s="150" customFormat="1" ht="20.25" customHeight="1" x14ac:dyDescent="0.35">
      <c r="A54" s="95">
        <v>1</v>
      </c>
      <c r="B54" s="151" t="s">
        <v>173</v>
      </c>
      <c r="C54" s="176">
        <v>0.6679505</v>
      </c>
      <c r="D54" s="176">
        <v>0.75</v>
      </c>
      <c r="E54" s="176">
        <v>0</v>
      </c>
      <c r="F54" s="176">
        <v>1</v>
      </c>
      <c r="G54" s="91">
        <v>0.5</v>
      </c>
      <c r="H54" s="91">
        <v>0.75</v>
      </c>
      <c r="I54" s="91">
        <v>0.66666669000000001</v>
      </c>
      <c r="J54" s="91">
        <v>0.89999998000000003</v>
      </c>
      <c r="K54" s="91">
        <v>0.2</v>
      </c>
      <c r="L54" s="91">
        <v>1</v>
      </c>
      <c r="M54" s="91">
        <v>1</v>
      </c>
      <c r="N54" s="91">
        <v>0.75</v>
      </c>
      <c r="O54" s="91">
        <v>0.30000000999999998</v>
      </c>
      <c r="P54" s="91">
        <v>1</v>
      </c>
      <c r="Q54" s="91">
        <v>0.44444444999999999</v>
      </c>
      <c r="R54" s="91">
        <v>0.60000001999999997</v>
      </c>
      <c r="S54" s="91">
        <v>0.83333330999999999</v>
      </c>
      <c r="T54" s="91">
        <v>0.44444444999999999</v>
      </c>
      <c r="U54" s="91">
        <v>0.75</v>
      </c>
      <c r="V54" s="91">
        <v>0.33333333999999998</v>
      </c>
      <c r="W54" s="91">
        <v>0.80000000999999998</v>
      </c>
      <c r="X54" s="91">
        <v>1</v>
      </c>
      <c r="Y54" s="91">
        <v>1</v>
      </c>
      <c r="Z54" s="91">
        <v>1</v>
      </c>
      <c r="AA54" s="91">
        <v>0.75</v>
      </c>
      <c r="AB54" s="91">
        <v>0.91666669000000001</v>
      </c>
      <c r="AC54" s="91">
        <v>0.66666669000000001</v>
      </c>
      <c r="AD54" s="91">
        <v>0.25</v>
      </c>
      <c r="AE54" s="91">
        <v>0.33333333999999998</v>
      </c>
      <c r="AF54" s="91">
        <v>0</v>
      </c>
      <c r="AG54" s="91">
        <v>0.75</v>
      </c>
      <c r="AH54" s="91">
        <v>0.80000000999999998</v>
      </c>
      <c r="AI54" s="91">
        <v>1</v>
      </c>
      <c r="AJ54" s="91">
        <v>0.60000001999999997</v>
      </c>
      <c r="AK54" s="91">
        <v>0.57142859999999995</v>
      </c>
      <c r="AL54" s="91">
        <v>0.60000001999999997</v>
      </c>
      <c r="AM54" s="91">
        <v>0.2</v>
      </c>
      <c r="AN54" s="91">
        <v>1</v>
      </c>
    </row>
    <row r="55" spans="1:40" s="150" customFormat="1" ht="20.25" customHeight="1" x14ac:dyDescent="0.35">
      <c r="A55" s="96">
        <v>2</v>
      </c>
      <c r="B55" s="152" t="s">
        <v>176</v>
      </c>
      <c r="C55" s="177">
        <v>0.80499540000000003</v>
      </c>
      <c r="D55" s="177">
        <v>0.81666669999999997</v>
      </c>
      <c r="E55" s="177">
        <v>0.5</v>
      </c>
      <c r="F55" s="177">
        <v>1</v>
      </c>
      <c r="G55" s="97">
        <v>0.83333330999999999</v>
      </c>
      <c r="H55" s="97">
        <v>1</v>
      </c>
      <c r="I55" s="97">
        <v>0.5</v>
      </c>
      <c r="J55" s="97">
        <v>1</v>
      </c>
      <c r="K55" s="97">
        <v>0.80000000999999998</v>
      </c>
      <c r="L55" s="97">
        <v>0.5</v>
      </c>
      <c r="M55" s="97">
        <v>1</v>
      </c>
      <c r="N55" s="97">
        <v>0.75</v>
      </c>
      <c r="O55" s="97">
        <v>0.80000000999999998</v>
      </c>
      <c r="P55" s="97">
        <v>0.75</v>
      </c>
      <c r="Q55" s="97">
        <v>0.66666669000000001</v>
      </c>
      <c r="R55" s="97">
        <v>0.5</v>
      </c>
      <c r="S55" s="97">
        <v>1</v>
      </c>
      <c r="T55" s="97">
        <v>0.88888889999999998</v>
      </c>
      <c r="U55" s="97">
        <v>0.75</v>
      </c>
      <c r="V55" s="97">
        <v>0.83333330999999999</v>
      </c>
      <c r="W55" s="97">
        <v>1</v>
      </c>
      <c r="X55" s="97">
        <v>1</v>
      </c>
      <c r="Y55" s="97">
        <v>1</v>
      </c>
      <c r="Z55" s="97">
        <v>1</v>
      </c>
      <c r="AA55" s="97">
        <v>1</v>
      </c>
      <c r="AB55" s="97">
        <v>0.83333330999999999</v>
      </c>
      <c r="AC55" s="97">
        <v>0.66666669000000001</v>
      </c>
      <c r="AD55" s="97">
        <v>0.5</v>
      </c>
      <c r="AE55" s="97">
        <v>0.83333330999999999</v>
      </c>
      <c r="AF55" s="97">
        <v>0.66666669000000001</v>
      </c>
      <c r="AG55" s="97">
        <v>0.75</v>
      </c>
      <c r="AH55" s="97">
        <v>0.60000001999999997</v>
      </c>
      <c r="AI55" s="97">
        <v>1</v>
      </c>
      <c r="AJ55" s="97">
        <v>0.80000000999999998</v>
      </c>
      <c r="AK55" s="97">
        <v>0.71428572999999995</v>
      </c>
      <c r="AL55" s="97">
        <v>0.60000001999999997</v>
      </c>
      <c r="AM55" s="97">
        <v>1</v>
      </c>
      <c r="AN55" s="97">
        <v>0.83333330999999999</v>
      </c>
    </row>
    <row r="56" spans="1:40" s="150" customFormat="1" ht="20.25" customHeight="1" x14ac:dyDescent="0.35">
      <c r="A56" s="95">
        <v>3</v>
      </c>
      <c r="B56" s="151" t="s">
        <v>179</v>
      </c>
      <c r="C56" s="176">
        <v>0.53138419999999997</v>
      </c>
      <c r="D56" s="176">
        <v>0.55000000000000004</v>
      </c>
      <c r="E56" s="176">
        <v>0</v>
      </c>
      <c r="F56" s="176">
        <v>1</v>
      </c>
      <c r="G56" s="91">
        <v>0.83333330999999999</v>
      </c>
      <c r="H56" s="91">
        <v>0.5</v>
      </c>
      <c r="I56" s="91">
        <v>1</v>
      </c>
      <c r="J56" s="91">
        <v>0.89999998000000003</v>
      </c>
      <c r="K56" s="91">
        <v>1</v>
      </c>
      <c r="L56" s="91">
        <v>0.5</v>
      </c>
      <c r="M56" s="91">
        <v>1</v>
      </c>
      <c r="N56" s="91">
        <v>0.125</v>
      </c>
      <c r="O56" s="91">
        <v>0.2</v>
      </c>
      <c r="P56" s="91">
        <v>0.5</v>
      </c>
      <c r="Q56" s="91">
        <v>0.11111111</v>
      </c>
      <c r="R56" s="91">
        <v>0.1</v>
      </c>
      <c r="S56" s="91">
        <v>0</v>
      </c>
      <c r="T56" s="91">
        <v>1</v>
      </c>
      <c r="U56" s="91">
        <v>0</v>
      </c>
      <c r="V56" s="91">
        <v>0</v>
      </c>
      <c r="W56" s="91">
        <v>0.60000001999999997</v>
      </c>
      <c r="X56" s="91">
        <v>1</v>
      </c>
      <c r="Y56" s="91">
        <v>0.71428572999999995</v>
      </c>
      <c r="Z56" s="91">
        <v>1</v>
      </c>
      <c r="AA56" s="91">
        <v>0.75</v>
      </c>
      <c r="AB56" s="91">
        <v>0.16666666999999999</v>
      </c>
      <c r="AC56" s="91">
        <v>0.66666669000000001</v>
      </c>
      <c r="AD56" s="91">
        <v>0</v>
      </c>
      <c r="AE56" s="91">
        <v>0.83333330999999999</v>
      </c>
      <c r="AF56" s="91">
        <v>0</v>
      </c>
      <c r="AG56" s="91">
        <v>0.5</v>
      </c>
      <c r="AH56" s="91">
        <v>0.2</v>
      </c>
      <c r="AI56" s="91">
        <v>0.83333330999999999</v>
      </c>
      <c r="AJ56" s="91">
        <v>0.40000001000000002</v>
      </c>
      <c r="AK56" s="91">
        <v>1</v>
      </c>
      <c r="AL56" s="91">
        <v>0.60000001999999997</v>
      </c>
      <c r="AM56" s="91">
        <v>0.2</v>
      </c>
      <c r="AN56" s="91">
        <v>0.83333330999999999</v>
      </c>
    </row>
    <row r="57" spans="1:40" s="150" customFormat="1" ht="20.25" customHeight="1" x14ac:dyDescent="0.35">
      <c r="A57" s="96">
        <v>4</v>
      </c>
      <c r="B57" s="152" t="s">
        <v>182</v>
      </c>
      <c r="C57" s="177">
        <v>0.49919469999999999</v>
      </c>
      <c r="D57" s="177">
        <v>0.4</v>
      </c>
      <c r="E57" s="177">
        <v>0</v>
      </c>
      <c r="F57" s="177">
        <v>1</v>
      </c>
      <c r="G57" s="97">
        <v>0.66666669000000001</v>
      </c>
      <c r="H57" s="97">
        <v>0.25</v>
      </c>
      <c r="I57" s="97">
        <v>0.33333333999999998</v>
      </c>
      <c r="J57" s="97">
        <v>0.80000000999999998</v>
      </c>
      <c r="K57" s="97">
        <v>0.40000001000000002</v>
      </c>
      <c r="L57" s="97">
        <v>0.75</v>
      </c>
      <c r="M57" s="97">
        <v>0</v>
      </c>
      <c r="N57" s="97">
        <v>0.25</v>
      </c>
      <c r="O57" s="97">
        <v>0.40000001000000002</v>
      </c>
      <c r="P57" s="97">
        <v>0.75</v>
      </c>
      <c r="Q57" s="97">
        <v>0.11111111</v>
      </c>
      <c r="R57" s="97">
        <v>0.30000000999999998</v>
      </c>
      <c r="S57" s="97">
        <v>0.33333333999999998</v>
      </c>
      <c r="T57" s="97">
        <v>0.22222222</v>
      </c>
      <c r="U57" s="97">
        <v>0.75</v>
      </c>
      <c r="V57" s="97">
        <v>0.83333330999999999</v>
      </c>
      <c r="W57" s="97">
        <v>0.80000000999999998</v>
      </c>
      <c r="X57" s="97">
        <v>1</v>
      </c>
      <c r="Y57" s="97">
        <v>0.28571429999999998</v>
      </c>
      <c r="Z57" s="97">
        <v>0.40000001000000002</v>
      </c>
      <c r="AA57" s="97">
        <v>0.625</v>
      </c>
      <c r="AB57" s="97">
        <v>0.91666669000000001</v>
      </c>
      <c r="AC57" s="97">
        <v>0.33333333999999998</v>
      </c>
      <c r="AD57" s="97">
        <v>0</v>
      </c>
      <c r="AE57" s="97">
        <v>0.16666666999999999</v>
      </c>
      <c r="AF57" s="97">
        <v>0</v>
      </c>
      <c r="AG57" s="97">
        <v>1</v>
      </c>
      <c r="AH57" s="97">
        <v>0.40000001000000002</v>
      </c>
      <c r="AI57" s="97">
        <v>0.83333330999999999</v>
      </c>
      <c r="AJ57" s="97">
        <v>0.60000001999999997</v>
      </c>
      <c r="AK57" s="97">
        <v>0.42857142999999998</v>
      </c>
      <c r="AL57" s="97">
        <v>0.80000000999999998</v>
      </c>
      <c r="AM57" s="97">
        <v>0.40000001000000002</v>
      </c>
      <c r="AN57" s="97">
        <v>0.83333330999999999</v>
      </c>
    </row>
    <row r="58" spans="1:40" s="150" customFormat="1" ht="20.25" customHeight="1" x14ac:dyDescent="0.35">
      <c r="A58" s="95">
        <v>5</v>
      </c>
      <c r="B58" s="151" t="s">
        <v>185</v>
      </c>
      <c r="C58" s="176">
        <v>0.43627450000000001</v>
      </c>
      <c r="D58" s="176">
        <v>0.41428569999999998</v>
      </c>
      <c r="E58" s="176">
        <v>0</v>
      </c>
      <c r="F58" s="176">
        <v>1</v>
      </c>
      <c r="G58" s="91">
        <v>0.83333330999999999</v>
      </c>
      <c r="H58" s="91">
        <v>0</v>
      </c>
      <c r="I58" s="91">
        <v>0.5</v>
      </c>
      <c r="J58" s="91">
        <v>0.80000000999999998</v>
      </c>
      <c r="K58" s="91">
        <v>0.40000001000000002</v>
      </c>
      <c r="L58" s="91">
        <v>0.5</v>
      </c>
      <c r="M58" s="91">
        <v>0</v>
      </c>
      <c r="N58" s="91">
        <v>0.25</v>
      </c>
      <c r="O58" s="91">
        <v>0.30000000999999998</v>
      </c>
      <c r="P58" s="91">
        <v>0.75</v>
      </c>
      <c r="Q58" s="91">
        <v>0.22222222</v>
      </c>
      <c r="R58" s="91">
        <v>0.5</v>
      </c>
      <c r="S58" s="91">
        <v>0</v>
      </c>
      <c r="T58" s="91">
        <v>0.11111111</v>
      </c>
      <c r="U58" s="91">
        <v>0.625</v>
      </c>
      <c r="V58" s="91">
        <v>0.16666666999999999</v>
      </c>
      <c r="W58" s="91">
        <v>0.60000001999999997</v>
      </c>
      <c r="X58" s="91">
        <v>1</v>
      </c>
      <c r="Y58" s="91">
        <v>0.42857142999999998</v>
      </c>
      <c r="Z58" s="91">
        <v>0.60000001999999997</v>
      </c>
      <c r="AA58" s="91">
        <v>0.625</v>
      </c>
      <c r="AB58" s="91">
        <v>8.3333340000000006E-2</v>
      </c>
      <c r="AC58" s="91">
        <v>0.33333333999999998</v>
      </c>
      <c r="AD58" s="91">
        <v>0</v>
      </c>
      <c r="AE58" s="91">
        <v>0.16666666999999999</v>
      </c>
      <c r="AF58" s="91">
        <v>0</v>
      </c>
      <c r="AG58" s="91">
        <v>1</v>
      </c>
      <c r="AH58" s="91">
        <v>0.2</v>
      </c>
      <c r="AI58" s="91">
        <v>0.83333330999999999</v>
      </c>
      <c r="AJ58" s="91">
        <v>0.40000001000000002</v>
      </c>
      <c r="AK58" s="91">
        <v>0.57142859999999995</v>
      </c>
      <c r="AL58" s="91">
        <v>0.80000000999999998</v>
      </c>
      <c r="AM58" s="91">
        <v>0.40000001000000002</v>
      </c>
      <c r="AN58" s="91">
        <v>0.83333330999999999</v>
      </c>
    </row>
    <row r="59" spans="1:40" s="150" customFormat="1" ht="30" x14ac:dyDescent="0.35">
      <c r="A59" s="96">
        <v>6</v>
      </c>
      <c r="B59" s="152" t="s">
        <v>188</v>
      </c>
      <c r="C59" s="177">
        <v>0.40250930000000001</v>
      </c>
      <c r="D59" s="177">
        <v>0.38750000000000001</v>
      </c>
      <c r="E59" s="177">
        <v>0</v>
      </c>
      <c r="F59" s="177">
        <v>1</v>
      </c>
      <c r="G59" s="97">
        <v>0.66666669000000001</v>
      </c>
      <c r="H59" s="97">
        <v>0.25</v>
      </c>
      <c r="I59" s="97">
        <v>0.66666669000000001</v>
      </c>
      <c r="J59" s="97">
        <v>0.80000000999999998</v>
      </c>
      <c r="K59" s="97">
        <v>0.40000001000000002</v>
      </c>
      <c r="L59" s="97">
        <v>0</v>
      </c>
      <c r="M59" s="97">
        <v>0</v>
      </c>
      <c r="N59" s="97">
        <v>0.375</v>
      </c>
      <c r="O59" s="97">
        <v>0.2</v>
      </c>
      <c r="P59" s="97">
        <v>0.25</v>
      </c>
      <c r="Q59" s="97">
        <v>0.11111111</v>
      </c>
      <c r="R59" s="97">
        <v>0.5</v>
      </c>
      <c r="S59" s="97">
        <v>0.66666669000000001</v>
      </c>
      <c r="T59" s="97">
        <v>0.11111111</v>
      </c>
      <c r="U59" s="97">
        <v>0.25</v>
      </c>
      <c r="V59" s="97">
        <v>0.66666669000000001</v>
      </c>
      <c r="W59" s="97">
        <v>0.40000001000000002</v>
      </c>
      <c r="X59" s="97">
        <v>0.60000001999999997</v>
      </c>
      <c r="Y59" s="97">
        <v>0</v>
      </c>
      <c r="Z59" s="97">
        <v>1</v>
      </c>
      <c r="AA59" s="97">
        <v>0.75</v>
      </c>
      <c r="AB59" s="97">
        <v>0.75</v>
      </c>
      <c r="AC59" s="97">
        <v>0.33333333999999998</v>
      </c>
      <c r="AD59" s="97">
        <v>0</v>
      </c>
      <c r="AE59" s="97">
        <v>0.33333333999999998</v>
      </c>
      <c r="AF59" s="97">
        <v>0</v>
      </c>
      <c r="AG59" s="97">
        <v>0.5</v>
      </c>
      <c r="AH59" s="97">
        <v>0.2</v>
      </c>
      <c r="AI59" s="97">
        <v>0.5</v>
      </c>
      <c r="AJ59" s="97">
        <v>0.2</v>
      </c>
      <c r="AK59" s="97">
        <v>0.57142859999999995</v>
      </c>
      <c r="AL59" s="97">
        <v>0.80000000999999998</v>
      </c>
      <c r="AM59" s="97">
        <v>0</v>
      </c>
      <c r="AN59" s="97">
        <v>0.83333330999999999</v>
      </c>
    </row>
    <row r="60" spans="1:40" s="150" customFormat="1" ht="20.25" customHeight="1" x14ac:dyDescent="0.35">
      <c r="A60" s="95">
        <v>7</v>
      </c>
      <c r="B60" s="151" t="s">
        <v>191</v>
      </c>
      <c r="C60" s="176">
        <v>0.60331460000000003</v>
      </c>
      <c r="D60" s="176">
        <v>0.64583330000000005</v>
      </c>
      <c r="E60" s="176">
        <v>0</v>
      </c>
      <c r="F60" s="176">
        <v>1</v>
      </c>
      <c r="G60" s="91">
        <v>0.33333333999999998</v>
      </c>
      <c r="H60" s="91">
        <v>0.5</v>
      </c>
      <c r="I60" s="91">
        <v>0.83333330999999999</v>
      </c>
      <c r="J60" s="91">
        <v>0.89999998000000003</v>
      </c>
      <c r="K60" s="91">
        <v>0.40000001000000002</v>
      </c>
      <c r="L60" s="91">
        <v>0.75</v>
      </c>
      <c r="M60" s="91">
        <v>0.80000000999999998</v>
      </c>
      <c r="N60" s="91">
        <v>0.625</v>
      </c>
      <c r="O60" s="91">
        <v>0.80000000999999998</v>
      </c>
      <c r="P60" s="91">
        <v>1</v>
      </c>
      <c r="Q60" s="91">
        <v>0.11111111</v>
      </c>
      <c r="R60" s="91">
        <v>0.30000000999999998</v>
      </c>
      <c r="S60" s="91">
        <v>0.33333333999999998</v>
      </c>
      <c r="T60" s="91">
        <v>0.77777779000000002</v>
      </c>
      <c r="U60" s="91">
        <v>0</v>
      </c>
      <c r="V60" s="91">
        <v>0.5</v>
      </c>
      <c r="W60" s="91">
        <v>0</v>
      </c>
      <c r="X60" s="91">
        <v>0.80000000999999998</v>
      </c>
      <c r="Y60" s="91">
        <v>1</v>
      </c>
      <c r="Z60" s="91">
        <v>1</v>
      </c>
      <c r="AA60" s="91">
        <v>0.375</v>
      </c>
      <c r="AB60" s="91">
        <v>0.75</v>
      </c>
      <c r="AC60" s="91">
        <v>0.66666669000000001</v>
      </c>
      <c r="AD60" s="91">
        <v>0.5</v>
      </c>
      <c r="AE60" s="91">
        <v>1</v>
      </c>
      <c r="AF60" s="91">
        <v>0</v>
      </c>
      <c r="AG60" s="91">
        <v>0.5</v>
      </c>
      <c r="AH60" s="91">
        <v>0.40000001000000002</v>
      </c>
      <c r="AI60" s="91">
        <v>0.5</v>
      </c>
      <c r="AJ60" s="91">
        <v>1</v>
      </c>
      <c r="AK60" s="91">
        <v>0.85714287</v>
      </c>
      <c r="AL60" s="91">
        <v>0.80000000999999998</v>
      </c>
      <c r="AM60" s="91">
        <v>0.40000001000000002</v>
      </c>
      <c r="AN60" s="91">
        <v>1</v>
      </c>
    </row>
    <row r="61" spans="1:40" s="119" customFormat="1" ht="20.25" customHeight="1" x14ac:dyDescent="0.35">
      <c r="A61" s="381" t="s">
        <v>709</v>
      </c>
      <c r="B61" s="381"/>
      <c r="C61" s="175">
        <v>0.74766339999999998</v>
      </c>
      <c r="D61" s="175">
        <v>0.77638890000000005</v>
      </c>
      <c r="E61" s="175">
        <v>0.1</v>
      </c>
      <c r="F61" s="175">
        <v>1</v>
      </c>
      <c r="G61" s="89">
        <v>0.83333330999999999</v>
      </c>
      <c r="H61" s="89">
        <v>0.63333333000000003</v>
      </c>
      <c r="I61" s="89">
        <v>0.82666664999999995</v>
      </c>
      <c r="J61" s="89">
        <v>1</v>
      </c>
      <c r="K61" s="89">
        <v>0.96666664000000002</v>
      </c>
      <c r="L61" s="89">
        <v>0.66666669000000001</v>
      </c>
      <c r="M61" s="89">
        <v>0.85000001999999997</v>
      </c>
      <c r="N61" s="89">
        <v>0.69333332999999997</v>
      </c>
      <c r="O61" s="89">
        <v>0.73333334999999999</v>
      </c>
      <c r="P61" s="89">
        <v>0.84444445000000001</v>
      </c>
      <c r="Q61" s="89">
        <v>0.48888889000000002</v>
      </c>
      <c r="R61" s="89">
        <v>0.77499998000000003</v>
      </c>
      <c r="S61" s="89">
        <v>0.53333335999999998</v>
      </c>
      <c r="T61" s="89">
        <v>0.78333335999999998</v>
      </c>
      <c r="U61" s="89">
        <v>0.85000001999999997</v>
      </c>
      <c r="V61" s="89">
        <v>0.77777779000000002</v>
      </c>
      <c r="W61" s="89">
        <v>0.97777778000000004</v>
      </c>
      <c r="X61" s="89">
        <v>0.82222223000000005</v>
      </c>
      <c r="Y61" s="89">
        <v>0.75555556999999995</v>
      </c>
      <c r="Z61" s="89">
        <v>0.91111112000000005</v>
      </c>
      <c r="AA61" s="89">
        <v>0.85333334999999999</v>
      </c>
      <c r="AB61" s="89">
        <v>0.73333334999999999</v>
      </c>
      <c r="AC61" s="89">
        <v>0.88888889999999998</v>
      </c>
      <c r="AD61" s="89">
        <v>0.71666664000000002</v>
      </c>
      <c r="AE61" s="89">
        <v>0.80000000999999998</v>
      </c>
      <c r="AF61" s="89">
        <v>0.66666669000000001</v>
      </c>
      <c r="AG61" s="89">
        <v>0.55555558000000005</v>
      </c>
      <c r="AH61" s="89">
        <v>0.1</v>
      </c>
      <c r="AI61" s="89">
        <v>0.73333334999999999</v>
      </c>
      <c r="AJ61" s="89">
        <v>0.80000000999999998</v>
      </c>
      <c r="AK61" s="89">
        <v>0.85000001999999997</v>
      </c>
      <c r="AL61" s="89">
        <v>0.53333335999999998</v>
      </c>
      <c r="AM61" s="89">
        <v>0.73333334999999999</v>
      </c>
      <c r="AN61" s="89">
        <v>0.73333334999999999</v>
      </c>
    </row>
    <row r="62" spans="1:40" s="150" customFormat="1" ht="20.25" customHeight="1" x14ac:dyDescent="0.35">
      <c r="A62" s="95">
        <v>1</v>
      </c>
      <c r="B62" s="151" t="s">
        <v>195</v>
      </c>
      <c r="C62" s="176">
        <v>0.9926471</v>
      </c>
      <c r="D62" s="176">
        <v>1</v>
      </c>
      <c r="E62" s="176">
        <v>0.75</v>
      </c>
      <c r="F62" s="176">
        <v>1</v>
      </c>
      <c r="G62" s="91">
        <v>1</v>
      </c>
      <c r="H62" s="91">
        <v>1</v>
      </c>
      <c r="I62" s="91">
        <v>1</v>
      </c>
      <c r="J62" s="91">
        <v>1</v>
      </c>
      <c r="K62" s="91">
        <v>1</v>
      </c>
      <c r="L62" s="91">
        <v>1</v>
      </c>
      <c r="M62" s="91">
        <v>1</v>
      </c>
      <c r="N62" s="91">
        <v>1</v>
      </c>
      <c r="O62" s="91">
        <v>1</v>
      </c>
      <c r="P62" s="91">
        <v>1</v>
      </c>
      <c r="Q62" s="91">
        <v>1</v>
      </c>
      <c r="R62" s="91">
        <v>1</v>
      </c>
      <c r="S62" s="91">
        <v>1</v>
      </c>
      <c r="T62" s="91">
        <v>1</v>
      </c>
      <c r="U62" s="91">
        <v>0.75</v>
      </c>
      <c r="V62" s="91">
        <v>1</v>
      </c>
      <c r="W62" s="91">
        <v>1</v>
      </c>
      <c r="X62" s="91">
        <v>1</v>
      </c>
      <c r="Y62" s="91">
        <v>1</v>
      </c>
      <c r="Z62" s="91">
        <v>1</v>
      </c>
      <c r="AA62" s="91">
        <v>1</v>
      </c>
      <c r="AB62" s="91">
        <v>1</v>
      </c>
      <c r="AC62" s="91">
        <v>1</v>
      </c>
      <c r="AD62" s="91">
        <v>1</v>
      </c>
      <c r="AE62" s="91">
        <v>1</v>
      </c>
      <c r="AF62" s="91">
        <v>1</v>
      </c>
      <c r="AG62" s="91">
        <v>1</v>
      </c>
      <c r="AH62" s="91">
        <v>1</v>
      </c>
      <c r="AI62" s="91">
        <v>1</v>
      </c>
      <c r="AJ62" s="91">
        <v>1</v>
      </c>
      <c r="AK62" s="91">
        <v>1</v>
      </c>
      <c r="AL62" s="91">
        <v>1</v>
      </c>
      <c r="AM62" s="91">
        <v>1</v>
      </c>
      <c r="AN62" s="91">
        <v>1</v>
      </c>
    </row>
    <row r="63" spans="1:40" s="150" customFormat="1" ht="20.25" customHeight="1" x14ac:dyDescent="0.35">
      <c r="A63" s="96">
        <v>2</v>
      </c>
      <c r="B63" s="152" t="s">
        <v>198</v>
      </c>
      <c r="C63" s="177">
        <v>0.54191180000000005</v>
      </c>
      <c r="D63" s="177">
        <v>0.5</v>
      </c>
      <c r="E63" s="177">
        <v>0</v>
      </c>
      <c r="F63" s="177">
        <v>1</v>
      </c>
      <c r="G63" s="97">
        <v>0.5</v>
      </c>
      <c r="H63" s="97">
        <v>0</v>
      </c>
      <c r="I63" s="97">
        <v>0.2</v>
      </c>
      <c r="J63" s="97">
        <v>1</v>
      </c>
      <c r="K63" s="97">
        <v>1</v>
      </c>
      <c r="L63" s="97">
        <v>0</v>
      </c>
      <c r="M63" s="97">
        <v>0.25</v>
      </c>
      <c r="N63" s="97">
        <v>0.40000001000000002</v>
      </c>
      <c r="O63" s="97">
        <v>0.80000000999999998</v>
      </c>
      <c r="P63" s="97">
        <v>0.33333333999999998</v>
      </c>
      <c r="Q63" s="97">
        <v>0.33333333999999998</v>
      </c>
      <c r="R63" s="97">
        <v>0.375</v>
      </c>
      <c r="S63" s="97">
        <v>1</v>
      </c>
      <c r="T63" s="97">
        <v>1</v>
      </c>
      <c r="U63" s="97">
        <v>0.5</v>
      </c>
      <c r="V63" s="97">
        <v>0.5</v>
      </c>
      <c r="W63" s="97">
        <v>1</v>
      </c>
      <c r="X63" s="97">
        <v>0.33333333999999998</v>
      </c>
      <c r="Y63" s="97">
        <v>0.33333333999999998</v>
      </c>
      <c r="Z63" s="97">
        <v>0.66666669000000001</v>
      </c>
      <c r="AA63" s="97">
        <v>0.80000000999999998</v>
      </c>
      <c r="AB63" s="97">
        <v>0.25</v>
      </c>
      <c r="AC63" s="97">
        <v>0.66666669000000001</v>
      </c>
      <c r="AD63" s="97">
        <v>0.25</v>
      </c>
      <c r="AE63" s="97">
        <v>0.5</v>
      </c>
      <c r="AF63" s="97">
        <v>0.2</v>
      </c>
      <c r="AG63" s="97">
        <v>0.33333333999999998</v>
      </c>
      <c r="AH63" s="97">
        <v>0.5</v>
      </c>
      <c r="AI63" s="97">
        <v>0.5</v>
      </c>
      <c r="AJ63" s="97">
        <v>1</v>
      </c>
      <c r="AK63" s="97">
        <v>1</v>
      </c>
      <c r="AL63" s="97">
        <v>1</v>
      </c>
      <c r="AM63" s="97">
        <v>0.5</v>
      </c>
      <c r="AN63" s="97">
        <v>0.40000001000000002</v>
      </c>
    </row>
    <row r="64" spans="1:40" s="150" customFormat="1" ht="20.25" customHeight="1" x14ac:dyDescent="0.35">
      <c r="A64" s="95">
        <v>3</v>
      </c>
      <c r="B64" s="151" t="s">
        <v>201</v>
      </c>
      <c r="C64" s="176">
        <v>0.77058819999999995</v>
      </c>
      <c r="D64" s="176">
        <v>1</v>
      </c>
      <c r="E64" s="176">
        <v>0</v>
      </c>
      <c r="F64" s="176">
        <v>1</v>
      </c>
      <c r="G64" s="91">
        <v>1</v>
      </c>
      <c r="H64" s="91">
        <v>0</v>
      </c>
      <c r="I64" s="91">
        <v>1</v>
      </c>
      <c r="J64" s="91">
        <v>1</v>
      </c>
      <c r="K64" s="91">
        <v>0.5</v>
      </c>
      <c r="L64" s="91">
        <v>1</v>
      </c>
      <c r="M64" s="91">
        <v>0.75</v>
      </c>
      <c r="N64" s="91">
        <v>0</v>
      </c>
      <c r="O64" s="91">
        <v>0.60000001999999997</v>
      </c>
      <c r="P64" s="91">
        <v>1</v>
      </c>
      <c r="Q64" s="91">
        <v>0.66666669000000001</v>
      </c>
      <c r="R64" s="91">
        <v>1</v>
      </c>
      <c r="S64" s="91">
        <v>0.66666669000000001</v>
      </c>
      <c r="T64" s="91">
        <v>1</v>
      </c>
      <c r="U64" s="91">
        <v>1</v>
      </c>
      <c r="V64" s="91">
        <v>0.66666669000000001</v>
      </c>
      <c r="W64" s="91">
        <v>1</v>
      </c>
      <c r="X64" s="91">
        <v>1</v>
      </c>
      <c r="Y64" s="91">
        <v>1</v>
      </c>
      <c r="Z64" s="91">
        <v>1</v>
      </c>
      <c r="AA64" s="91">
        <v>1</v>
      </c>
      <c r="AB64" s="91">
        <v>1</v>
      </c>
      <c r="AC64" s="91">
        <v>1</v>
      </c>
      <c r="AD64" s="91">
        <v>1</v>
      </c>
      <c r="AE64" s="91">
        <v>0.66666669000000001</v>
      </c>
      <c r="AF64" s="91">
        <v>0.80000000999999998</v>
      </c>
      <c r="AG64" s="91">
        <v>0.33333333999999998</v>
      </c>
      <c r="AH64" s="91">
        <v>0</v>
      </c>
      <c r="AI64" s="91">
        <v>0.5</v>
      </c>
      <c r="AJ64" s="91">
        <v>1</v>
      </c>
      <c r="AK64" s="91">
        <v>0.75</v>
      </c>
      <c r="AL64" s="91">
        <v>0.5</v>
      </c>
      <c r="AM64" s="91">
        <v>1</v>
      </c>
      <c r="AN64" s="91">
        <v>0.80000000999999998</v>
      </c>
    </row>
    <row r="65" spans="1:40" s="150" customFormat="1" ht="45" customHeight="1" x14ac:dyDescent="0.35">
      <c r="A65" s="96">
        <v>4</v>
      </c>
      <c r="B65" s="152" t="s">
        <v>204</v>
      </c>
      <c r="C65" s="177">
        <v>0.87009809999999999</v>
      </c>
      <c r="D65" s="177">
        <v>1</v>
      </c>
      <c r="E65" s="177">
        <v>0</v>
      </c>
      <c r="F65" s="177">
        <v>1</v>
      </c>
      <c r="G65" s="97">
        <v>1</v>
      </c>
      <c r="H65" s="97">
        <v>1</v>
      </c>
      <c r="I65" s="97">
        <v>1</v>
      </c>
      <c r="J65" s="97">
        <v>1</v>
      </c>
      <c r="K65" s="97">
        <v>1</v>
      </c>
      <c r="L65" s="97">
        <v>1</v>
      </c>
      <c r="M65" s="97">
        <v>0.75</v>
      </c>
      <c r="N65" s="97">
        <v>1</v>
      </c>
      <c r="O65" s="97">
        <v>1</v>
      </c>
      <c r="P65" s="97">
        <v>0.66666669000000001</v>
      </c>
      <c r="Q65" s="97">
        <v>0.33333333999999998</v>
      </c>
      <c r="R65" s="97">
        <v>1</v>
      </c>
      <c r="S65" s="97">
        <v>0.33333333999999998</v>
      </c>
      <c r="T65" s="97">
        <v>0.5</v>
      </c>
      <c r="U65" s="97">
        <v>1</v>
      </c>
      <c r="V65" s="97">
        <v>0.83333330999999999</v>
      </c>
      <c r="W65" s="97">
        <v>1</v>
      </c>
      <c r="X65" s="97">
        <v>1</v>
      </c>
      <c r="Y65" s="97">
        <v>1</v>
      </c>
      <c r="Z65" s="97">
        <v>1</v>
      </c>
      <c r="AA65" s="97">
        <v>1</v>
      </c>
      <c r="AB65" s="97">
        <v>1</v>
      </c>
      <c r="AC65" s="97">
        <v>1</v>
      </c>
      <c r="AD65" s="97">
        <v>1</v>
      </c>
      <c r="AE65" s="97">
        <v>1</v>
      </c>
      <c r="AF65" s="97">
        <v>1</v>
      </c>
      <c r="AG65" s="97">
        <v>0.66666669000000001</v>
      </c>
      <c r="AH65" s="97">
        <v>0</v>
      </c>
      <c r="AI65" s="97">
        <v>1</v>
      </c>
      <c r="AJ65" s="97">
        <v>1</v>
      </c>
      <c r="AK65" s="97">
        <v>0.5</v>
      </c>
      <c r="AL65" s="97">
        <v>1</v>
      </c>
      <c r="AM65" s="97">
        <v>1</v>
      </c>
      <c r="AN65" s="97">
        <v>1</v>
      </c>
    </row>
    <row r="66" spans="1:40" s="150" customFormat="1" ht="20.25" customHeight="1" x14ac:dyDescent="0.35">
      <c r="A66" s="95">
        <v>5</v>
      </c>
      <c r="B66" s="151" t="s">
        <v>207</v>
      </c>
      <c r="C66" s="176">
        <v>0.77524510000000002</v>
      </c>
      <c r="D66" s="176">
        <v>0.9</v>
      </c>
      <c r="E66" s="176">
        <v>0</v>
      </c>
      <c r="F66" s="176">
        <v>1</v>
      </c>
      <c r="G66" s="91">
        <v>0.75</v>
      </c>
      <c r="H66" s="91">
        <v>1</v>
      </c>
      <c r="I66" s="91">
        <v>0.80000000999999998</v>
      </c>
      <c r="J66" s="91">
        <v>1</v>
      </c>
      <c r="K66" s="91">
        <v>1</v>
      </c>
      <c r="L66" s="91">
        <v>1</v>
      </c>
      <c r="M66" s="91">
        <v>1</v>
      </c>
      <c r="N66" s="91">
        <v>0.60000001999999997</v>
      </c>
      <c r="O66" s="91">
        <v>0.40000001000000002</v>
      </c>
      <c r="P66" s="91">
        <v>1</v>
      </c>
      <c r="Q66" s="91">
        <v>0.33333333999999998</v>
      </c>
      <c r="R66" s="91">
        <v>0.625</v>
      </c>
      <c r="S66" s="91">
        <v>0.66666669000000001</v>
      </c>
      <c r="T66" s="91">
        <v>1</v>
      </c>
      <c r="U66" s="91">
        <v>0.75</v>
      </c>
      <c r="V66" s="91">
        <v>0.5</v>
      </c>
      <c r="W66" s="91">
        <v>0.66666669000000001</v>
      </c>
      <c r="X66" s="91">
        <v>1</v>
      </c>
      <c r="Y66" s="91">
        <v>1</v>
      </c>
      <c r="Z66" s="91">
        <v>1</v>
      </c>
      <c r="AA66" s="91">
        <v>1</v>
      </c>
      <c r="AB66" s="91">
        <v>1</v>
      </c>
      <c r="AC66" s="91">
        <v>1</v>
      </c>
      <c r="AD66" s="91">
        <v>1</v>
      </c>
      <c r="AE66" s="91">
        <v>0.5</v>
      </c>
      <c r="AF66" s="91">
        <v>0.80000000999999998</v>
      </c>
      <c r="AG66" s="91">
        <v>0.66666669000000001</v>
      </c>
      <c r="AH66" s="91">
        <v>0</v>
      </c>
      <c r="AI66" s="91">
        <v>1</v>
      </c>
      <c r="AJ66" s="91">
        <v>1</v>
      </c>
      <c r="AK66" s="91">
        <v>1</v>
      </c>
      <c r="AL66" s="91">
        <v>0</v>
      </c>
      <c r="AM66" s="91">
        <v>0.5</v>
      </c>
      <c r="AN66" s="91">
        <v>0.80000000999999998</v>
      </c>
    </row>
    <row r="67" spans="1:40" s="150" customFormat="1" ht="20.25" customHeight="1" x14ac:dyDescent="0.35">
      <c r="A67" s="96">
        <v>6</v>
      </c>
      <c r="B67" s="152" t="s">
        <v>210</v>
      </c>
      <c r="C67" s="177">
        <v>0.92916670000000001</v>
      </c>
      <c r="D67" s="177">
        <v>1</v>
      </c>
      <c r="E67" s="177">
        <v>0</v>
      </c>
      <c r="F67" s="177">
        <v>1</v>
      </c>
      <c r="G67" s="97">
        <v>1</v>
      </c>
      <c r="H67" s="97">
        <v>1</v>
      </c>
      <c r="I67" s="97">
        <v>0.80000000999999998</v>
      </c>
      <c r="J67" s="97">
        <v>1</v>
      </c>
      <c r="K67" s="97">
        <v>1</v>
      </c>
      <c r="L67" s="97">
        <v>1</v>
      </c>
      <c r="M67" s="97">
        <v>1</v>
      </c>
      <c r="N67" s="97">
        <v>1</v>
      </c>
      <c r="O67" s="97">
        <v>1</v>
      </c>
      <c r="P67" s="97">
        <v>1</v>
      </c>
      <c r="Q67" s="97">
        <v>1</v>
      </c>
      <c r="R67" s="97">
        <v>0.625</v>
      </c>
      <c r="S67" s="97">
        <v>1</v>
      </c>
      <c r="T67" s="97">
        <v>1</v>
      </c>
      <c r="U67" s="97">
        <v>1</v>
      </c>
      <c r="V67" s="97">
        <v>1</v>
      </c>
      <c r="W67" s="97">
        <v>1</v>
      </c>
      <c r="X67" s="97">
        <v>1</v>
      </c>
      <c r="Y67" s="97">
        <v>1</v>
      </c>
      <c r="Z67" s="97">
        <v>1</v>
      </c>
      <c r="AA67" s="97">
        <v>1</v>
      </c>
      <c r="AB67" s="97">
        <v>1</v>
      </c>
      <c r="AC67" s="97">
        <v>1</v>
      </c>
      <c r="AD67" s="97">
        <v>1</v>
      </c>
      <c r="AE67" s="97">
        <v>1</v>
      </c>
      <c r="AF67" s="97">
        <v>1</v>
      </c>
      <c r="AG67" s="97">
        <v>0.66666669000000001</v>
      </c>
      <c r="AH67" s="97">
        <v>0</v>
      </c>
      <c r="AI67" s="97">
        <v>1</v>
      </c>
      <c r="AJ67" s="97">
        <v>1</v>
      </c>
      <c r="AK67" s="97">
        <v>1</v>
      </c>
      <c r="AL67" s="97">
        <v>0.5</v>
      </c>
      <c r="AM67" s="97">
        <v>1</v>
      </c>
      <c r="AN67" s="97">
        <v>1</v>
      </c>
    </row>
    <row r="68" spans="1:40" s="150" customFormat="1" ht="20.25" customHeight="1" x14ac:dyDescent="0.35">
      <c r="A68" s="95">
        <v>7</v>
      </c>
      <c r="B68" s="151" t="s">
        <v>213</v>
      </c>
      <c r="C68" s="176">
        <v>0.89485289999999995</v>
      </c>
      <c r="D68" s="176">
        <v>1</v>
      </c>
      <c r="E68" s="176">
        <v>0</v>
      </c>
      <c r="F68" s="176">
        <v>1</v>
      </c>
      <c r="G68" s="91">
        <v>1</v>
      </c>
      <c r="H68" s="91">
        <v>0.5</v>
      </c>
      <c r="I68" s="91">
        <v>1</v>
      </c>
      <c r="J68" s="91">
        <v>1</v>
      </c>
      <c r="K68" s="91">
        <v>1</v>
      </c>
      <c r="L68" s="91">
        <v>1</v>
      </c>
      <c r="M68" s="91">
        <v>1</v>
      </c>
      <c r="N68" s="91">
        <v>1</v>
      </c>
      <c r="O68" s="91">
        <v>0.80000000999999998</v>
      </c>
      <c r="P68" s="91">
        <v>1</v>
      </c>
      <c r="Q68" s="91">
        <v>1</v>
      </c>
      <c r="R68" s="91">
        <v>1</v>
      </c>
      <c r="S68" s="91">
        <v>0.66666669000000001</v>
      </c>
      <c r="T68" s="91">
        <v>1</v>
      </c>
      <c r="U68" s="91">
        <v>1</v>
      </c>
      <c r="V68" s="91">
        <v>0.83333330999999999</v>
      </c>
      <c r="W68" s="91">
        <v>1</v>
      </c>
      <c r="X68" s="91">
        <v>1</v>
      </c>
      <c r="Y68" s="91">
        <v>1</v>
      </c>
      <c r="Z68" s="91">
        <v>1</v>
      </c>
      <c r="AA68" s="91">
        <v>1</v>
      </c>
      <c r="AB68" s="91">
        <v>0.875</v>
      </c>
      <c r="AC68" s="91">
        <v>1</v>
      </c>
      <c r="AD68" s="91">
        <v>0.5</v>
      </c>
      <c r="AE68" s="91">
        <v>0.83333330999999999</v>
      </c>
      <c r="AF68" s="91">
        <v>1</v>
      </c>
      <c r="AG68" s="91">
        <v>0.66666669000000001</v>
      </c>
      <c r="AH68" s="91">
        <v>0</v>
      </c>
      <c r="AI68" s="91">
        <v>1</v>
      </c>
      <c r="AJ68" s="91">
        <v>1</v>
      </c>
      <c r="AK68" s="91">
        <v>0.75</v>
      </c>
      <c r="AL68" s="91">
        <v>1</v>
      </c>
      <c r="AM68" s="91">
        <v>1</v>
      </c>
      <c r="AN68" s="91">
        <v>1</v>
      </c>
    </row>
    <row r="69" spans="1:40" s="150" customFormat="1" ht="20.25" customHeight="1" x14ac:dyDescent="0.35">
      <c r="A69" s="96">
        <v>8</v>
      </c>
      <c r="B69" s="152" t="s">
        <v>216</v>
      </c>
      <c r="C69" s="177">
        <v>0.79926470000000005</v>
      </c>
      <c r="D69" s="177">
        <v>1</v>
      </c>
      <c r="E69" s="177">
        <v>0</v>
      </c>
      <c r="F69" s="177">
        <v>1</v>
      </c>
      <c r="G69" s="97">
        <v>0.5</v>
      </c>
      <c r="H69" s="97">
        <v>1</v>
      </c>
      <c r="I69" s="97">
        <v>1</v>
      </c>
      <c r="J69" s="97">
        <v>1</v>
      </c>
      <c r="K69" s="97">
        <v>1</v>
      </c>
      <c r="L69" s="97">
        <v>1</v>
      </c>
      <c r="M69" s="97">
        <v>1</v>
      </c>
      <c r="N69" s="97">
        <v>0</v>
      </c>
      <c r="O69" s="97">
        <v>1</v>
      </c>
      <c r="P69" s="97">
        <v>1</v>
      </c>
      <c r="Q69" s="97">
        <v>0.33333333999999998</v>
      </c>
      <c r="R69" s="97">
        <v>1</v>
      </c>
      <c r="S69" s="97">
        <v>0.33333333999999998</v>
      </c>
      <c r="T69" s="97">
        <v>1</v>
      </c>
      <c r="U69" s="97">
        <v>1</v>
      </c>
      <c r="V69" s="97">
        <v>1</v>
      </c>
      <c r="W69" s="97">
        <v>1</v>
      </c>
      <c r="X69" s="97">
        <v>1</v>
      </c>
      <c r="Y69" s="97">
        <v>0.66666669000000001</v>
      </c>
      <c r="Z69" s="97">
        <v>1</v>
      </c>
      <c r="AA69" s="97">
        <v>1</v>
      </c>
      <c r="AB69" s="97">
        <v>0.875</v>
      </c>
      <c r="AC69" s="97">
        <v>0.66666669000000001</v>
      </c>
      <c r="AD69" s="97">
        <v>1</v>
      </c>
      <c r="AE69" s="97">
        <v>1</v>
      </c>
      <c r="AF69" s="97">
        <v>0</v>
      </c>
      <c r="AG69" s="97">
        <v>1</v>
      </c>
      <c r="AH69" s="97">
        <v>0</v>
      </c>
      <c r="AI69" s="97">
        <v>0.5</v>
      </c>
      <c r="AJ69" s="97">
        <v>1</v>
      </c>
      <c r="AK69" s="97">
        <v>1</v>
      </c>
      <c r="AL69" s="97">
        <v>0.5</v>
      </c>
      <c r="AM69" s="97">
        <v>1</v>
      </c>
      <c r="AN69" s="97">
        <v>0.80000000999999998</v>
      </c>
    </row>
    <row r="70" spans="1:40" s="150" customFormat="1" ht="30" x14ac:dyDescent="0.35">
      <c r="A70" s="95">
        <v>9</v>
      </c>
      <c r="B70" s="151" t="s">
        <v>219</v>
      </c>
      <c r="C70" s="176">
        <v>0.80955880000000002</v>
      </c>
      <c r="D70" s="176">
        <v>1</v>
      </c>
      <c r="E70" s="176">
        <v>0</v>
      </c>
      <c r="F70" s="176">
        <v>1</v>
      </c>
      <c r="G70" s="91">
        <v>1</v>
      </c>
      <c r="H70" s="91">
        <v>1</v>
      </c>
      <c r="I70" s="91">
        <v>1</v>
      </c>
      <c r="J70" s="91">
        <v>1</v>
      </c>
      <c r="K70" s="91">
        <v>1</v>
      </c>
      <c r="L70" s="91">
        <v>0</v>
      </c>
      <c r="M70" s="91">
        <v>1</v>
      </c>
      <c r="N70" s="91">
        <v>1</v>
      </c>
      <c r="O70" s="91">
        <v>0.80000000999999998</v>
      </c>
      <c r="P70" s="91">
        <v>1</v>
      </c>
      <c r="Q70" s="91">
        <v>0.66666669000000001</v>
      </c>
      <c r="R70" s="91">
        <v>0.875</v>
      </c>
      <c r="S70" s="91">
        <v>0.66666669000000001</v>
      </c>
      <c r="T70" s="91">
        <v>1</v>
      </c>
      <c r="U70" s="91">
        <v>0.5</v>
      </c>
      <c r="V70" s="91">
        <v>1</v>
      </c>
      <c r="W70" s="91">
        <v>1</v>
      </c>
      <c r="X70" s="91">
        <v>1</v>
      </c>
      <c r="Y70" s="91">
        <v>0.66666669000000001</v>
      </c>
      <c r="Z70" s="91">
        <v>1</v>
      </c>
      <c r="AA70" s="91">
        <v>0.80000000999999998</v>
      </c>
      <c r="AB70" s="91">
        <v>0.75</v>
      </c>
      <c r="AC70" s="91">
        <v>0.33333333999999998</v>
      </c>
      <c r="AD70" s="91">
        <v>1</v>
      </c>
      <c r="AE70" s="91">
        <v>1</v>
      </c>
      <c r="AF70" s="91">
        <v>1</v>
      </c>
      <c r="AG70" s="91">
        <v>0.66666669000000001</v>
      </c>
      <c r="AH70" s="91">
        <v>0</v>
      </c>
      <c r="AI70" s="91">
        <v>0.5</v>
      </c>
      <c r="AJ70" s="91">
        <v>1</v>
      </c>
      <c r="AK70" s="91">
        <v>1</v>
      </c>
      <c r="AL70" s="91">
        <v>0.5</v>
      </c>
      <c r="AM70" s="91">
        <v>1</v>
      </c>
      <c r="AN70" s="91">
        <v>0.80000000999999998</v>
      </c>
    </row>
    <row r="71" spans="1:40" s="150" customFormat="1" ht="20.25" customHeight="1" x14ac:dyDescent="0.35">
      <c r="A71" s="96">
        <v>10</v>
      </c>
      <c r="B71" s="152" t="s">
        <v>221</v>
      </c>
      <c r="C71" s="177">
        <v>0.41102939999999999</v>
      </c>
      <c r="D71" s="177">
        <v>0.4</v>
      </c>
      <c r="E71" s="177">
        <v>0</v>
      </c>
      <c r="F71" s="177">
        <v>1</v>
      </c>
      <c r="G71" s="97">
        <v>0.75</v>
      </c>
      <c r="H71" s="97">
        <v>0</v>
      </c>
      <c r="I71" s="97">
        <v>0.60000001999999997</v>
      </c>
      <c r="J71" s="97">
        <v>1</v>
      </c>
      <c r="K71" s="97">
        <v>1</v>
      </c>
      <c r="L71" s="97">
        <v>0</v>
      </c>
      <c r="M71" s="97">
        <v>0.75</v>
      </c>
      <c r="N71" s="97">
        <v>0.80000000999999998</v>
      </c>
      <c r="O71" s="97">
        <v>0.2</v>
      </c>
      <c r="P71" s="97">
        <v>0.66666669000000001</v>
      </c>
      <c r="Q71" s="97">
        <v>0</v>
      </c>
      <c r="R71" s="97">
        <v>0.5</v>
      </c>
      <c r="S71" s="97">
        <v>0</v>
      </c>
      <c r="T71" s="97">
        <v>0.25</v>
      </c>
      <c r="U71" s="97">
        <v>0.75</v>
      </c>
      <c r="V71" s="97">
        <v>0.5</v>
      </c>
      <c r="W71" s="97">
        <v>1</v>
      </c>
      <c r="X71" s="97">
        <v>0.33333333999999998</v>
      </c>
      <c r="Y71" s="97">
        <v>0.33333333999999998</v>
      </c>
      <c r="Z71" s="97">
        <v>0.66666669000000001</v>
      </c>
      <c r="AA71" s="97">
        <v>0.40000001000000002</v>
      </c>
      <c r="AB71" s="97">
        <v>0.125</v>
      </c>
      <c r="AC71" s="97">
        <v>1</v>
      </c>
      <c r="AD71" s="97">
        <v>0</v>
      </c>
      <c r="AE71" s="97">
        <v>0.5</v>
      </c>
      <c r="AF71" s="97">
        <v>0.40000001000000002</v>
      </c>
      <c r="AG71" s="97">
        <v>0</v>
      </c>
      <c r="AH71" s="97">
        <v>0</v>
      </c>
      <c r="AI71" s="97">
        <v>0.5</v>
      </c>
      <c r="AJ71" s="97">
        <v>0</v>
      </c>
      <c r="AK71" s="97">
        <v>0.75</v>
      </c>
      <c r="AL71" s="97">
        <v>0</v>
      </c>
      <c r="AM71" s="97">
        <v>0</v>
      </c>
      <c r="AN71" s="97">
        <v>0.2</v>
      </c>
    </row>
    <row r="72" spans="1:40" s="119" customFormat="1" ht="20.25" customHeight="1" x14ac:dyDescent="0.35">
      <c r="A72" s="381" t="s">
        <v>710</v>
      </c>
      <c r="B72" s="381"/>
      <c r="C72" s="175">
        <v>0.5534462</v>
      </c>
      <c r="D72" s="175">
        <v>0.52884620000000004</v>
      </c>
      <c r="E72" s="175">
        <v>0.2403846</v>
      </c>
      <c r="F72" s="175">
        <v>0.86153849999999998</v>
      </c>
      <c r="G72" s="89">
        <v>0.55128204999999997</v>
      </c>
      <c r="H72" s="89">
        <v>0.63461535999999996</v>
      </c>
      <c r="I72" s="89">
        <v>0.5</v>
      </c>
      <c r="J72" s="89">
        <v>0.69230771000000002</v>
      </c>
      <c r="K72" s="89">
        <v>0.43076923</v>
      </c>
      <c r="L72" s="89">
        <v>0.50961535999999996</v>
      </c>
      <c r="M72" s="89">
        <v>0.6769231</v>
      </c>
      <c r="N72" s="89">
        <v>0.39903845999999998</v>
      </c>
      <c r="O72" s="89">
        <v>0.56923078999999999</v>
      </c>
      <c r="P72" s="89">
        <v>0.51923078</v>
      </c>
      <c r="Q72" s="89">
        <v>0.38034189000000002</v>
      </c>
      <c r="R72" s="89">
        <v>0.51923078</v>
      </c>
      <c r="S72" s="89">
        <v>0.44230767999999998</v>
      </c>
      <c r="T72" s="89">
        <v>0.63247865000000003</v>
      </c>
      <c r="U72" s="89">
        <v>0.40865385999999998</v>
      </c>
      <c r="V72" s="89">
        <v>0.38461539</v>
      </c>
      <c r="W72" s="89">
        <v>0.80000000999999998</v>
      </c>
      <c r="X72" s="89">
        <v>0.73076922</v>
      </c>
      <c r="Y72" s="89">
        <v>0.76373625000000001</v>
      </c>
      <c r="Z72" s="89">
        <v>0.86153846999999995</v>
      </c>
      <c r="AA72" s="89">
        <v>0.75480771000000002</v>
      </c>
      <c r="AB72" s="89">
        <v>0.73076922</v>
      </c>
      <c r="AC72" s="89">
        <v>0.71794873000000003</v>
      </c>
      <c r="AD72" s="89">
        <v>0.24038461</v>
      </c>
      <c r="AE72" s="89">
        <v>0.57692306999999998</v>
      </c>
      <c r="AF72" s="89">
        <v>0.46153845999999998</v>
      </c>
      <c r="AG72" s="89">
        <v>0.47115385999999998</v>
      </c>
      <c r="AH72" s="89">
        <v>0.43076923</v>
      </c>
      <c r="AI72" s="89">
        <v>0.49358973</v>
      </c>
      <c r="AJ72" s="89">
        <v>0.33076924000000002</v>
      </c>
      <c r="AK72" s="89">
        <v>0.60439562999999996</v>
      </c>
      <c r="AL72" s="89">
        <v>0.53846156999999994</v>
      </c>
      <c r="AM72" s="89">
        <v>0.50769233999999996</v>
      </c>
      <c r="AN72" s="89">
        <v>0.55128204999999997</v>
      </c>
    </row>
    <row r="73" spans="1:40" s="150" customFormat="1" ht="30" x14ac:dyDescent="0.35">
      <c r="A73" s="95">
        <v>1</v>
      </c>
      <c r="B73" s="151" t="s">
        <v>225</v>
      </c>
      <c r="C73" s="176">
        <v>0.64841850000000001</v>
      </c>
      <c r="D73" s="176">
        <v>0.625</v>
      </c>
      <c r="E73" s="176">
        <v>8.3333299999999999E-2</v>
      </c>
      <c r="F73" s="176">
        <v>1</v>
      </c>
      <c r="G73" s="91">
        <v>0.66666669000000001</v>
      </c>
      <c r="H73" s="91">
        <v>0.625</v>
      </c>
      <c r="I73" s="91">
        <v>8.3333340000000006E-2</v>
      </c>
      <c r="J73" s="91">
        <v>0.52499998000000003</v>
      </c>
      <c r="K73" s="91">
        <v>0.30000000999999998</v>
      </c>
      <c r="L73" s="91">
        <v>0.5</v>
      </c>
      <c r="M73" s="91">
        <v>0.69999999000000002</v>
      </c>
      <c r="N73" s="91">
        <v>0.59375</v>
      </c>
      <c r="O73" s="91">
        <v>0.57499999000000002</v>
      </c>
      <c r="P73" s="91">
        <v>0.625</v>
      </c>
      <c r="Q73" s="91">
        <v>0.55555558000000005</v>
      </c>
      <c r="R73" s="91">
        <v>0.52499998000000003</v>
      </c>
      <c r="S73" s="91">
        <v>0.58333330999999999</v>
      </c>
      <c r="T73" s="91">
        <v>0.63888889999999998</v>
      </c>
      <c r="U73" s="91">
        <v>0.5625</v>
      </c>
      <c r="V73" s="91">
        <v>0.70833330999999999</v>
      </c>
      <c r="W73" s="91">
        <v>0.55000000999999998</v>
      </c>
      <c r="X73" s="91">
        <v>0.85000001999999997</v>
      </c>
      <c r="Y73" s="91">
        <v>1</v>
      </c>
      <c r="Z73" s="91">
        <v>1</v>
      </c>
      <c r="AA73" s="91">
        <v>0.78125</v>
      </c>
      <c r="AB73" s="91">
        <v>0.625</v>
      </c>
      <c r="AC73" s="91">
        <v>0.625</v>
      </c>
      <c r="AD73" s="91">
        <v>0.5625</v>
      </c>
      <c r="AE73" s="91">
        <v>0.79166669000000001</v>
      </c>
      <c r="AF73" s="91">
        <v>0.91666669000000001</v>
      </c>
      <c r="AG73" s="91">
        <v>0.9375</v>
      </c>
      <c r="AH73" s="91">
        <v>0.44999999000000002</v>
      </c>
      <c r="AI73" s="91">
        <v>0.79166669000000001</v>
      </c>
      <c r="AJ73" s="91">
        <v>0.44999999000000002</v>
      </c>
      <c r="AK73" s="91">
        <v>0.71428572999999995</v>
      </c>
      <c r="AL73" s="91">
        <v>0.80000000999999998</v>
      </c>
      <c r="AM73" s="91">
        <v>0.60000001999999997</v>
      </c>
      <c r="AN73" s="91">
        <v>0.83333330999999999</v>
      </c>
    </row>
    <row r="74" spans="1:40" s="150" customFormat="1" ht="30" x14ac:dyDescent="0.35">
      <c r="A74" s="96">
        <v>2</v>
      </c>
      <c r="B74" s="152" t="s">
        <v>228</v>
      </c>
      <c r="C74" s="177">
        <v>0.2031046</v>
      </c>
      <c r="D74" s="177">
        <v>0.05</v>
      </c>
      <c r="E74" s="177">
        <v>0</v>
      </c>
      <c r="F74" s="177">
        <v>1</v>
      </c>
      <c r="G74" s="97">
        <v>0.16666666999999999</v>
      </c>
      <c r="H74" s="97">
        <v>0.25</v>
      </c>
      <c r="I74" s="97">
        <v>0.33333333999999998</v>
      </c>
      <c r="J74" s="97">
        <v>0.2</v>
      </c>
      <c r="K74" s="97">
        <v>0</v>
      </c>
      <c r="L74" s="97">
        <v>0</v>
      </c>
      <c r="M74" s="97">
        <v>0</v>
      </c>
      <c r="N74" s="97">
        <v>0.125</v>
      </c>
      <c r="O74" s="97">
        <v>0.80000000999999998</v>
      </c>
      <c r="P74" s="97">
        <v>0</v>
      </c>
      <c r="Q74" s="97">
        <v>0.11111111</v>
      </c>
      <c r="R74" s="97">
        <v>0.1</v>
      </c>
      <c r="S74" s="97">
        <v>0.33333333999999998</v>
      </c>
      <c r="T74" s="97">
        <v>0.44444444999999999</v>
      </c>
      <c r="U74" s="97">
        <v>0</v>
      </c>
      <c r="V74" s="97">
        <v>0</v>
      </c>
      <c r="W74" s="97">
        <v>0.80000000999999998</v>
      </c>
      <c r="X74" s="97">
        <v>0</v>
      </c>
      <c r="Y74" s="97">
        <v>0</v>
      </c>
      <c r="Z74" s="97">
        <v>1</v>
      </c>
      <c r="AA74" s="97">
        <v>0.875</v>
      </c>
      <c r="AB74" s="97">
        <v>0.33333333999999998</v>
      </c>
      <c r="AC74" s="97">
        <v>0.33333333999999998</v>
      </c>
      <c r="AD74" s="97">
        <v>0</v>
      </c>
      <c r="AE74" s="97">
        <v>0</v>
      </c>
      <c r="AF74" s="97">
        <v>0</v>
      </c>
      <c r="AG74" s="97">
        <v>0</v>
      </c>
      <c r="AH74" s="97">
        <v>0</v>
      </c>
      <c r="AI74" s="97">
        <v>0</v>
      </c>
      <c r="AJ74" s="97">
        <v>0</v>
      </c>
      <c r="AK74" s="97">
        <v>0</v>
      </c>
      <c r="AL74" s="97">
        <v>0.2</v>
      </c>
      <c r="AM74" s="97">
        <v>0</v>
      </c>
      <c r="AN74" s="97">
        <v>0.5</v>
      </c>
    </row>
    <row r="75" spans="1:40" s="150" customFormat="1" ht="20.25" customHeight="1" x14ac:dyDescent="0.35">
      <c r="A75" s="95">
        <v>3</v>
      </c>
      <c r="B75" s="151" t="s">
        <v>231</v>
      </c>
      <c r="C75" s="176">
        <v>0.44851970000000002</v>
      </c>
      <c r="D75" s="176">
        <v>0.40277780000000002</v>
      </c>
      <c r="E75" s="176">
        <v>4.1666700000000001E-2</v>
      </c>
      <c r="F75" s="176">
        <v>0.83333330000000005</v>
      </c>
      <c r="G75" s="91">
        <v>0.41666666000000002</v>
      </c>
      <c r="H75" s="91">
        <v>0.58333330999999999</v>
      </c>
      <c r="I75" s="91">
        <v>0.5</v>
      </c>
      <c r="J75" s="91">
        <v>0.80000000999999998</v>
      </c>
      <c r="K75" s="91">
        <v>0.36666666999999997</v>
      </c>
      <c r="L75" s="91">
        <v>0.45833333999999998</v>
      </c>
      <c r="M75" s="91">
        <v>0.66666669000000001</v>
      </c>
      <c r="N75" s="91">
        <v>0.29166666000000002</v>
      </c>
      <c r="O75" s="91">
        <v>0.33333333999999998</v>
      </c>
      <c r="P75" s="91">
        <v>0.41666666000000002</v>
      </c>
      <c r="Q75" s="91">
        <v>0.11111111</v>
      </c>
      <c r="R75" s="91">
        <v>0.38333333000000003</v>
      </c>
      <c r="S75" s="91">
        <v>0.25</v>
      </c>
      <c r="T75" s="91">
        <v>0.51851851000000004</v>
      </c>
      <c r="U75" s="91">
        <v>0.14583333000000001</v>
      </c>
      <c r="V75" s="91">
        <v>8.3333340000000006E-2</v>
      </c>
      <c r="W75" s="91">
        <v>0.83333330999999999</v>
      </c>
      <c r="X75" s="91">
        <v>0.80000000999999998</v>
      </c>
      <c r="Y75" s="91">
        <v>0.80952382000000001</v>
      </c>
      <c r="Z75" s="91">
        <v>0.76666665000000001</v>
      </c>
      <c r="AA75" s="91">
        <v>0.625</v>
      </c>
      <c r="AB75" s="91">
        <v>0.79166669000000001</v>
      </c>
      <c r="AC75" s="91">
        <v>0.80555558000000005</v>
      </c>
      <c r="AD75" s="91">
        <v>4.1666670000000003E-2</v>
      </c>
      <c r="AE75" s="91">
        <v>0.5</v>
      </c>
      <c r="AF75" s="91">
        <v>0.25</v>
      </c>
      <c r="AG75" s="91">
        <v>0.16666666999999999</v>
      </c>
      <c r="AH75" s="91">
        <v>0.36666666999999997</v>
      </c>
      <c r="AI75" s="91">
        <v>0.38888889999999998</v>
      </c>
      <c r="AJ75" s="91">
        <v>0.26666667999999999</v>
      </c>
      <c r="AK75" s="91">
        <v>0.59523809000000005</v>
      </c>
      <c r="AL75" s="91">
        <v>0.33333333999999998</v>
      </c>
      <c r="AM75" s="91">
        <v>0.33333333999999998</v>
      </c>
      <c r="AN75" s="91">
        <v>0.25</v>
      </c>
    </row>
    <row r="76" spans="1:40" s="150" customFormat="1" ht="20.25" customHeight="1" x14ac:dyDescent="0.35">
      <c r="A76" s="96">
        <v>4</v>
      </c>
      <c r="B76" s="152" t="s">
        <v>239</v>
      </c>
      <c r="C76" s="177">
        <v>0.82934169999999996</v>
      </c>
      <c r="D76" s="177">
        <v>0.86607149999999999</v>
      </c>
      <c r="E76" s="177">
        <v>0.2</v>
      </c>
      <c r="F76" s="177">
        <v>1</v>
      </c>
      <c r="G76" s="97">
        <v>1</v>
      </c>
      <c r="H76" s="97">
        <v>0.75</v>
      </c>
      <c r="I76" s="97">
        <v>0.66666669000000001</v>
      </c>
      <c r="J76" s="97">
        <v>0.5</v>
      </c>
      <c r="K76" s="97">
        <v>0.60000001999999997</v>
      </c>
      <c r="L76" s="97">
        <v>0.75</v>
      </c>
      <c r="M76" s="97">
        <v>1</v>
      </c>
      <c r="N76" s="97">
        <v>0.625</v>
      </c>
      <c r="O76" s="97">
        <v>1</v>
      </c>
      <c r="P76" s="97">
        <v>1</v>
      </c>
      <c r="Q76" s="97">
        <v>0.77777779000000002</v>
      </c>
      <c r="R76" s="97">
        <v>1</v>
      </c>
      <c r="S76" s="97">
        <v>0.5</v>
      </c>
      <c r="T76" s="97">
        <v>0.88888889999999998</v>
      </c>
      <c r="U76" s="97">
        <v>1</v>
      </c>
      <c r="V76" s="97">
        <v>1</v>
      </c>
      <c r="W76" s="97">
        <v>1</v>
      </c>
      <c r="X76" s="97">
        <v>1</v>
      </c>
      <c r="Y76" s="97">
        <v>0.85714287</v>
      </c>
      <c r="Z76" s="97">
        <v>1</v>
      </c>
      <c r="AA76" s="97">
        <v>0.875</v>
      </c>
      <c r="AB76" s="97">
        <v>1</v>
      </c>
      <c r="AC76" s="97">
        <v>0.83333330999999999</v>
      </c>
      <c r="AD76" s="97">
        <v>0.75</v>
      </c>
      <c r="AE76" s="97">
        <v>0.83333330999999999</v>
      </c>
      <c r="AF76" s="97">
        <v>1</v>
      </c>
      <c r="AG76" s="97">
        <v>1</v>
      </c>
      <c r="AH76" s="97">
        <v>0.80000000999999998</v>
      </c>
      <c r="AI76" s="97">
        <v>0.33333333999999998</v>
      </c>
      <c r="AJ76" s="97">
        <v>0.2</v>
      </c>
      <c r="AK76" s="97">
        <v>0.85714287</v>
      </c>
      <c r="AL76" s="97">
        <v>0.80000000999999998</v>
      </c>
      <c r="AM76" s="97">
        <v>1</v>
      </c>
      <c r="AN76" s="97">
        <v>1</v>
      </c>
    </row>
    <row r="77" spans="1:40" s="150" customFormat="1" ht="30" x14ac:dyDescent="0.35">
      <c r="A77" s="95">
        <v>5</v>
      </c>
      <c r="B77" s="151" t="s">
        <v>241</v>
      </c>
      <c r="C77" s="176">
        <v>0.4260854</v>
      </c>
      <c r="D77" s="176">
        <v>0.47222219999999998</v>
      </c>
      <c r="E77" s="176">
        <v>0</v>
      </c>
      <c r="F77" s="176">
        <v>1</v>
      </c>
      <c r="G77" s="91">
        <v>0.5</v>
      </c>
      <c r="H77" s="91">
        <v>0.75</v>
      </c>
      <c r="I77" s="91">
        <v>0.33333333999999998</v>
      </c>
      <c r="J77" s="91">
        <v>0.69999999000000002</v>
      </c>
      <c r="K77" s="91">
        <v>0.40000001000000002</v>
      </c>
      <c r="L77" s="91">
        <v>0.25</v>
      </c>
      <c r="M77" s="91">
        <v>0.80000000999999998</v>
      </c>
      <c r="N77" s="91">
        <v>0.375</v>
      </c>
      <c r="O77" s="91">
        <v>0.1</v>
      </c>
      <c r="P77" s="91">
        <v>0</v>
      </c>
      <c r="Q77" s="91">
        <v>0.44444444999999999</v>
      </c>
      <c r="R77" s="91">
        <v>0.5</v>
      </c>
      <c r="S77" s="91">
        <v>0.5</v>
      </c>
      <c r="T77" s="91">
        <v>0.55555558000000005</v>
      </c>
      <c r="U77" s="91">
        <v>0.625</v>
      </c>
      <c r="V77" s="91">
        <v>0.16666666999999999</v>
      </c>
      <c r="W77" s="91">
        <v>0.60000001999999997</v>
      </c>
      <c r="X77" s="91">
        <v>0.40000001000000002</v>
      </c>
      <c r="Y77" s="91">
        <v>0.42857142999999998</v>
      </c>
      <c r="Z77" s="91">
        <v>1</v>
      </c>
      <c r="AA77" s="91">
        <v>0.625</v>
      </c>
      <c r="AB77" s="91">
        <v>0.83333330999999999</v>
      </c>
      <c r="AC77" s="91">
        <v>0.5</v>
      </c>
      <c r="AD77" s="91">
        <v>0</v>
      </c>
      <c r="AE77" s="91">
        <v>0.16666666999999999</v>
      </c>
      <c r="AF77" s="91">
        <v>0</v>
      </c>
      <c r="AG77" s="91">
        <v>0.5</v>
      </c>
      <c r="AH77" s="91">
        <v>0.2</v>
      </c>
      <c r="AI77" s="91">
        <v>0.33333333999999998</v>
      </c>
      <c r="AJ77" s="91">
        <v>0</v>
      </c>
      <c r="AK77" s="91">
        <v>0</v>
      </c>
      <c r="AL77" s="91">
        <v>0.60000001999999997</v>
      </c>
      <c r="AM77" s="91">
        <v>0.80000000999999998</v>
      </c>
      <c r="AN77" s="91">
        <v>0.5</v>
      </c>
    </row>
    <row r="78" spans="1:40" s="150" customFormat="1" ht="20.25" customHeight="1" x14ac:dyDescent="0.35">
      <c r="A78" s="96">
        <v>6</v>
      </c>
      <c r="B78" s="152" t="s">
        <v>243</v>
      </c>
      <c r="C78" s="177">
        <v>0.92990200000000001</v>
      </c>
      <c r="D78" s="177">
        <v>1</v>
      </c>
      <c r="E78" s="177">
        <v>0.5</v>
      </c>
      <c r="F78" s="177">
        <v>1</v>
      </c>
      <c r="G78" s="97">
        <v>0.91666669000000001</v>
      </c>
      <c r="H78" s="97">
        <v>1</v>
      </c>
      <c r="I78" s="97">
        <v>1</v>
      </c>
      <c r="J78" s="97">
        <v>1</v>
      </c>
      <c r="K78" s="97">
        <v>1</v>
      </c>
      <c r="L78" s="97">
        <v>1</v>
      </c>
      <c r="M78" s="97">
        <v>1</v>
      </c>
      <c r="N78" s="97">
        <v>0.625</v>
      </c>
      <c r="O78" s="97">
        <v>1</v>
      </c>
      <c r="P78" s="97">
        <v>1</v>
      </c>
      <c r="Q78" s="97">
        <v>1</v>
      </c>
      <c r="R78" s="97">
        <v>1</v>
      </c>
      <c r="S78" s="97">
        <v>0.91666669000000001</v>
      </c>
      <c r="T78" s="97">
        <v>1</v>
      </c>
      <c r="U78" s="97">
        <v>1</v>
      </c>
      <c r="V78" s="97">
        <v>1</v>
      </c>
      <c r="W78" s="97">
        <v>0.89999998000000003</v>
      </c>
      <c r="X78" s="97">
        <v>0.89999998000000003</v>
      </c>
      <c r="Y78" s="97">
        <v>1</v>
      </c>
      <c r="Z78" s="97">
        <v>0.80000000999999998</v>
      </c>
      <c r="AA78" s="97">
        <v>1</v>
      </c>
      <c r="AB78" s="97">
        <v>0.79166669000000001</v>
      </c>
      <c r="AC78" s="97">
        <v>0.83333330999999999</v>
      </c>
      <c r="AD78" s="97">
        <v>0.5</v>
      </c>
      <c r="AE78" s="97">
        <v>1</v>
      </c>
      <c r="AF78" s="97">
        <v>0.83333330999999999</v>
      </c>
      <c r="AG78" s="97">
        <v>1</v>
      </c>
      <c r="AH78" s="97">
        <v>0.80000000999999998</v>
      </c>
      <c r="AI78" s="97">
        <v>1</v>
      </c>
      <c r="AJ78" s="97">
        <v>0.80000000999999998</v>
      </c>
      <c r="AK78" s="97">
        <v>1</v>
      </c>
      <c r="AL78" s="97">
        <v>1</v>
      </c>
      <c r="AM78" s="97">
        <v>1</v>
      </c>
      <c r="AN78" s="97">
        <v>1</v>
      </c>
    </row>
    <row r="79" spans="1:40" s="119" customFormat="1" ht="20.25" customHeight="1" x14ac:dyDescent="0.35">
      <c r="A79" s="381" t="s">
        <v>711</v>
      </c>
      <c r="B79" s="381"/>
      <c r="C79" s="175">
        <v>7.9740900000000003E-2</v>
      </c>
      <c r="D79" s="175">
        <v>4.1666700000000001E-2</v>
      </c>
      <c r="E79" s="175">
        <v>0</v>
      </c>
      <c r="F79" s="175">
        <v>0.44</v>
      </c>
      <c r="G79" s="89">
        <v>3.3333340000000003E-2</v>
      </c>
      <c r="H79" s="89">
        <v>0.05</v>
      </c>
      <c r="I79" s="89">
        <v>0</v>
      </c>
      <c r="J79" s="89">
        <v>0.22</v>
      </c>
      <c r="K79" s="89">
        <v>0.08</v>
      </c>
      <c r="L79" s="89">
        <v>0</v>
      </c>
      <c r="M79" s="89">
        <v>0.08</v>
      </c>
      <c r="N79" s="89">
        <v>0</v>
      </c>
      <c r="O79" s="89">
        <v>0.06</v>
      </c>
      <c r="P79" s="89">
        <v>0.1</v>
      </c>
      <c r="Q79" s="89">
        <v>0</v>
      </c>
      <c r="R79" s="89">
        <v>0.06</v>
      </c>
      <c r="S79" s="89">
        <v>0.23333333000000001</v>
      </c>
      <c r="T79" s="89">
        <v>6.6666669999999997E-2</v>
      </c>
      <c r="U79" s="89">
        <v>0</v>
      </c>
      <c r="V79" s="89">
        <v>0</v>
      </c>
      <c r="W79" s="89">
        <v>0.2</v>
      </c>
      <c r="X79" s="89">
        <v>0.12</v>
      </c>
      <c r="Y79" s="89">
        <v>0.11428571</v>
      </c>
      <c r="Z79" s="89">
        <v>0.44</v>
      </c>
      <c r="AA79" s="89">
        <v>0.17499999999999999</v>
      </c>
      <c r="AB79" s="89">
        <v>1.6666670000000001E-2</v>
      </c>
      <c r="AC79" s="89">
        <v>0.33333333999999998</v>
      </c>
      <c r="AD79" s="89">
        <v>0</v>
      </c>
      <c r="AE79" s="89">
        <v>0</v>
      </c>
      <c r="AF79" s="89">
        <v>0</v>
      </c>
      <c r="AG79" s="89">
        <v>0</v>
      </c>
      <c r="AH79" s="89">
        <v>0</v>
      </c>
      <c r="AI79" s="89">
        <v>0.1</v>
      </c>
      <c r="AJ79" s="89">
        <v>0</v>
      </c>
      <c r="AK79" s="89">
        <v>0.22857142999999999</v>
      </c>
      <c r="AL79" s="89">
        <v>0</v>
      </c>
      <c r="AM79" s="89">
        <v>0</v>
      </c>
      <c r="AN79" s="89">
        <v>0</v>
      </c>
    </row>
    <row r="80" spans="1:40" s="150" customFormat="1" ht="20.25" customHeight="1" x14ac:dyDescent="0.35">
      <c r="A80" s="158" t="s">
        <v>800</v>
      </c>
      <c r="B80" s="151" t="s">
        <v>248</v>
      </c>
      <c r="C80" s="176">
        <v>0.21567159999999999</v>
      </c>
      <c r="D80" s="176">
        <v>0.18840580000000001</v>
      </c>
      <c r="E80" s="176">
        <v>0</v>
      </c>
      <c r="F80" s="176">
        <v>0.63043479999999996</v>
      </c>
      <c r="G80" s="91">
        <v>0.10869565</v>
      </c>
      <c r="H80" s="91">
        <v>0.25543477999999997</v>
      </c>
      <c r="I80" s="91">
        <v>0.22826087</v>
      </c>
      <c r="J80" s="91">
        <v>0.47608694000000001</v>
      </c>
      <c r="K80" s="91">
        <v>0.14347826</v>
      </c>
      <c r="L80" s="91">
        <v>0</v>
      </c>
      <c r="M80" s="91">
        <v>0.33478259999999999</v>
      </c>
      <c r="N80" s="91">
        <v>9.2391299999999996E-2</v>
      </c>
      <c r="O80" s="91">
        <v>4.3478259999999998E-2</v>
      </c>
      <c r="P80" s="91">
        <v>0.25543477999999997</v>
      </c>
      <c r="Q80" s="91">
        <v>4.8309199999999998E-3</v>
      </c>
      <c r="R80" s="91">
        <v>0.23043478000000001</v>
      </c>
      <c r="S80" s="91">
        <v>0.14855072</v>
      </c>
      <c r="T80" s="91">
        <v>0.39130433999999997</v>
      </c>
      <c r="U80" s="91">
        <v>7.065217E-2</v>
      </c>
      <c r="V80" s="91">
        <v>0</v>
      </c>
      <c r="W80" s="91">
        <v>0.63043481000000001</v>
      </c>
      <c r="X80" s="91">
        <v>0.53043479000000004</v>
      </c>
      <c r="Y80" s="91">
        <v>0.32298136</v>
      </c>
      <c r="Z80" s="91">
        <v>0.37391305000000002</v>
      </c>
      <c r="AA80" s="91">
        <v>0.45108696999999998</v>
      </c>
      <c r="AB80" s="91">
        <v>0.32246377999999998</v>
      </c>
      <c r="AC80" s="91">
        <v>0.59782606000000005</v>
      </c>
      <c r="AD80" s="91">
        <v>2.1739129999999999E-2</v>
      </c>
      <c r="AE80" s="91">
        <v>0</v>
      </c>
      <c r="AF80" s="91">
        <v>3.6231900000000001E-3</v>
      </c>
      <c r="AG80" s="91">
        <v>0</v>
      </c>
      <c r="AH80" s="91">
        <v>0.38260867999999998</v>
      </c>
      <c r="AI80" s="91">
        <v>0.31159418999999999</v>
      </c>
      <c r="AJ80" s="91">
        <v>6.521739E-2</v>
      </c>
      <c r="AK80" s="91">
        <v>0.42857142999999998</v>
      </c>
      <c r="AL80" s="91">
        <v>9.1304350000000006E-2</v>
      </c>
      <c r="AM80" s="91">
        <v>4.3478299999999996E-3</v>
      </c>
      <c r="AN80" s="91">
        <v>1.086957E-2</v>
      </c>
    </row>
    <row r="81" spans="1:40" s="150" customFormat="1" ht="20.25" customHeight="1" x14ac:dyDescent="0.35">
      <c r="A81" s="186" t="s">
        <v>801</v>
      </c>
      <c r="B81" s="151" t="s">
        <v>251</v>
      </c>
      <c r="C81" s="176">
        <v>3.9959599999999998E-2</v>
      </c>
      <c r="D81" s="176">
        <v>1.1413E-2</v>
      </c>
      <c r="E81" s="176">
        <v>0</v>
      </c>
      <c r="F81" s="176">
        <v>0.223913</v>
      </c>
      <c r="G81" s="91">
        <v>1.086957E-2</v>
      </c>
      <c r="H81" s="91">
        <v>1.195652E-2</v>
      </c>
      <c r="I81" s="91">
        <v>0</v>
      </c>
      <c r="J81" s="91">
        <v>0.15000000999999999</v>
      </c>
      <c r="K81" s="91">
        <v>2.869565E-2</v>
      </c>
      <c r="L81" s="91">
        <v>0</v>
      </c>
      <c r="M81" s="91">
        <v>3.1304350000000002E-2</v>
      </c>
      <c r="N81" s="91">
        <v>0</v>
      </c>
      <c r="O81" s="91">
        <v>2.478261E-2</v>
      </c>
      <c r="P81" s="91">
        <v>8.9130429999999997E-2</v>
      </c>
      <c r="Q81" s="91">
        <v>0</v>
      </c>
      <c r="R81" s="91">
        <v>1.8695650000000001E-2</v>
      </c>
      <c r="S81" s="91">
        <v>6.1594210000000003E-2</v>
      </c>
      <c r="T81" s="91">
        <v>3.429952E-2</v>
      </c>
      <c r="U81" s="91">
        <v>0</v>
      </c>
      <c r="V81" s="91">
        <v>0</v>
      </c>
      <c r="W81" s="91">
        <v>0.12173913</v>
      </c>
      <c r="X81" s="91">
        <v>8.2608689999999999E-2</v>
      </c>
      <c r="Y81" s="91">
        <v>4.4720500000000003E-2</v>
      </c>
      <c r="Z81" s="91">
        <v>0.14000000000000001</v>
      </c>
      <c r="AA81" s="91">
        <v>0.10326087</v>
      </c>
      <c r="AB81" s="91">
        <v>1.086957E-2</v>
      </c>
      <c r="AC81" s="91">
        <v>0.22391304000000001</v>
      </c>
      <c r="AD81" s="91">
        <v>0</v>
      </c>
      <c r="AE81" s="91">
        <v>0</v>
      </c>
      <c r="AF81" s="91">
        <v>0</v>
      </c>
      <c r="AG81" s="91">
        <v>0</v>
      </c>
      <c r="AH81" s="91">
        <v>0</v>
      </c>
      <c r="AI81" s="91">
        <v>6.0869569999999998E-2</v>
      </c>
      <c r="AJ81" s="91">
        <v>0</v>
      </c>
      <c r="AK81" s="91">
        <v>0.10931676999999999</v>
      </c>
      <c r="AL81" s="91">
        <v>0</v>
      </c>
      <c r="AM81" s="91">
        <v>0</v>
      </c>
      <c r="AN81" s="91">
        <v>0</v>
      </c>
    </row>
    <row r="82" spans="1:40" s="119" customFormat="1" ht="20.25" customHeight="1" x14ac:dyDescent="0.35">
      <c r="A82" s="381" t="s">
        <v>712</v>
      </c>
      <c r="B82" s="381"/>
      <c r="C82" s="175">
        <v>0.77407590000000004</v>
      </c>
      <c r="D82" s="175">
        <v>0.78678159999999997</v>
      </c>
      <c r="E82" s="175">
        <v>0.54482759999999997</v>
      </c>
      <c r="F82" s="175">
        <v>0.93793110000000002</v>
      </c>
      <c r="G82" s="89">
        <v>0.71839081999999999</v>
      </c>
      <c r="H82" s="89">
        <v>0.74137931999999995</v>
      </c>
      <c r="I82" s="89">
        <v>0.78735632</v>
      </c>
      <c r="J82" s="89">
        <v>0.83793103999999996</v>
      </c>
      <c r="K82" s="89">
        <v>0.78620690000000004</v>
      </c>
      <c r="L82" s="89">
        <v>0.70689654000000002</v>
      </c>
      <c r="M82" s="89">
        <v>0.93793106000000004</v>
      </c>
      <c r="N82" s="89">
        <v>0.66379308999999997</v>
      </c>
      <c r="O82" s="89">
        <v>0.65862072000000005</v>
      </c>
      <c r="P82" s="89">
        <v>0.75</v>
      </c>
      <c r="Q82" s="89">
        <v>0.56704980000000005</v>
      </c>
      <c r="R82" s="89">
        <v>0.76896553999999995</v>
      </c>
      <c r="S82" s="89">
        <v>0.81609195000000001</v>
      </c>
      <c r="T82" s="89">
        <v>0.85440612000000005</v>
      </c>
      <c r="U82" s="89">
        <v>0.73706894999999994</v>
      </c>
      <c r="V82" s="89">
        <v>0.71264368</v>
      </c>
      <c r="W82" s="89">
        <v>0.77931035000000004</v>
      </c>
      <c r="X82" s="89">
        <v>0.88965517000000005</v>
      </c>
      <c r="Y82" s="89">
        <v>0.78325122999999996</v>
      </c>
      <c r="Z82" s="89">
        <v>0.92413794999999999</v>
      </c>
      <c r="AA82" s="89">
        <v>0.78879308999999997</v>
      </c>
      <c r="AB82" s="89">
        <v>0.81034481999999997</v>
      </c>
      <c r="AC82" s="89">
        <v>0.84482758999999996</v>
      </c>
      <c r="AD82" s="89">
        <v>0.65517241000000004</v>
      </c>
      <c r="AE82" s="89">
        <v>0.83908044999999998</v>
      </c>
      <c r="AF82" s="89">
        <v>0.76436782000000003</v>
      </c>
      <c r="AG82" s="89">
        <v>0.79310345999999998</v>
      </c>
      <c r="AH82" s="89">
        <v>0.54482757999999998</v>
      </c>
      <c r="AI82" s="89">
        <v>0.87356323000000002</v>
      </c>
      <c r="AJ82" s="89">
        <v>0.83448272999999995</v>
      </c>
      <c r="AK82" s="89">
        <v>0.76847290999999995</v>
      </c>
      <c r="AL82" s="89">
        <v>0.79310345999999998</v>
      </c>
      <c r="AM82" s="89">
        <v>0.80000000999999998</v>
      </c>
      <c r="AN82" s="89">
        <v>0.78735632</v>
      </c>
    </row>
    <row r="83" spans="1:40" s="150" customFormat="1" ht="30" x14ac:dyDescent="0.35">
      <c r="A83" s="95">
        <v>1</v>
      </c>
      <c r="B83" s="151" t="s">
        <v>255</v>
      </c>
      <c r="C83" s="176">
        <v>0.78845699999999996</v>
      </c>
      <c r="D83" s="176">
        <v>0.8</v>
      </c>
      <c r="E83" s="176">
        <v>0.4</v>
      </c>
      <c r="F83" s="176">
        <v>1</v>
      </c>
      <c r="G83" s="91">
        <v>0.66666669000000001</v>
      </c>
      <c r="H83" s="91">
        <v>0.5</v>
      </c>
      <c r="I83" s="91">
        <v>1</v>
      </c>
      <c r="J83" s="91">
        <v>1</v>
      </c>
      <c r="K83" s="91">
        <v>1</v>
      </c>
      <c r="L83" s="91">
        <v>0.5</v>
      </c>
      <c r="M83" s="91">
        <v>0.80000000999999998</v>
      </c>
      <c r="N83" s="91">
        <v>0.625</v>
      </c>
      <c r="O83" s="91">
        <v>0.5</v>
      </c>
      <c r="P83" s="91">
        <v>0.75</v>
      </c>
      <c r="Q83" s="91">
        <v>0.66666669000000001</v>
      </c>
      <c r="R83" s="91">
        <v>0.80000000999999998</v>
      </c>
      <c r="S83" s="91">
        <v>0.83333330999999999</v>
      </c>
      <c r="T83" s="91">
        <v>0.77777779000000002</v>
      </c>
      <c r="U83" s="91">
        <v>0.75</v>
      </c>
      <c r="V83" s="91">
        <v>0.66666669000000001</v>
      </c>
      <c r="W83" s="91">
        <v>0.60000001999999997</v>
      </c>
      <c r="X83" s="91">
        <v>0.80000000999999998</v>
      </c>
      <c r="Y83" s="91">
        <v>0.71428572999999995</v>
      </c>
      <c r="Z83" s="91">
        <v>1</v>
      </c>
      <c r="AA83" s="91">
        <v>0.75</v>
      </c>
      <c r="AB83" s="91">
        <v>0.83333330999999999</v>
      </c>
      <c r="AC83" s="91">
        <v>1</v>
      </c>
      <c r="AD83" s="91">
        <v>1</v>
      </c>
      <c r="AE83" s="91">
        <v>0.66666669000000001</v>
      </c>
      <c r="AF83" s="91">
        <v>1</v>
      </c>
      <c r="AG83" s="91">
        <v>0.75</v>
      </c>
      <c r="AH83" s="91">
        <v>0.40000001000000002</v>
      </c>
      <c r="AI83" s="91">
        <v>1</v>
      </c>
      <c r="AJ83" s="91">
        <v>0.80000000999999998</v>
      </c>
      <c r="AK83" s="91">
        <v>0.85714287</v>
      </c>
      <c r="AL83" s="91">
        <v>0.80000000999999998</v>
      </c>
      <c r="AM83" s="91">
        <v>1</v>
      </c>
      <c r="AN83" s="91">
        <v>1</v>
      </c>
    </row>
    <row r="84" spans="1:40" s="150" customFormat="1" ht="20.25" customHeight="1" x14ac:dyDescent="0.35">
      <c r="A84" s="96">
        <v>2</v>
      </c>
      <c r="B84" s="152" t="s">
        <v>258</v>
      </c>
      <c r="C84" s="177">
        <v>0.82648219999999994</v>
      </c>
      <c r="D84" s="177">
        <v>0.83333330000000005</v>
      </c>
      <c r="E84" s="177">
        <v>0.2</v>
      </c>
      <c r="F84" s="177">
        <v>1</v>
      </c>
      <c r="G84" s="97">
        <v>1</v>
      </c>
      <c r="H84" s="97">
        <v>0.75</v>
      </c>
      <c r="I84" s="97">
        <v>0.83333330999999999</v>
      </c>
      <c r="J84" s="97">
        <v>0.80000000999999998</v>
      </c>
      <c r="K84" s="97">
        <v>1</v>
      </c>
      <c r="L84" s="97">
        <v>1</v>
      </c>
      <c r="M84" s="97">
        <v>1</v>
      </c>
      <c r="N84" s="97">
        <v>0.75</v>
      </c>
      <c r="O84" s="97">
        <v>0.80000000999999998</v>
      </c>
      <c r="P84" s="97">
        <v>0.5</v>
      </c>
      <c r="Q84" s="97">
        <v>0.77777779000000002</v>
      </c>
      <c r="R84" s="97">
        <v>0.89999998000000003</v>
      </c>
      <c r="S84" s="97">
        <v>0.83333330999999999</v>
      </c>
      <c r="T84" s="97">
        <v>1</v>
      </c>
      <c r="U84" s="97">
        <v>0.75</v>
      </c>
      <c r="V84" s="97">
        <v>1</v>
      </c>
      <c r="W84" s="97">
        <v>0.80000000999999998</v>
      </c>
      <c r="X84" s="97">
        <v>0.80000000999999998</v>
      </c>
      <c r="Y84" s="97">
        <v>1</v>
      </c>
      <c r="Z84" s="97">
        <v>0.80000000999999998</v>
      </c>
      <c r="AA84" s="97">
        <v>0.625</v>
      </c>
      <c r="AB84" s="97">
        <v>0.83333330999999999</v>
      </c>
      <c r="AC84" s="97">
        <v>1</v>
      </c>
      <c r="AD84" s="97">
        <v>0.5</v>
      </c>
      <c r="AE84" s="97">
        <v>0.66666669000000001</v>
      </c>
      <c r="AF84" s="97">
        <v>1</v>
      </c>
      <c r="AG84" s="97">
        <v>1</v>
      </c>
      <c r="AH84" s="97">
        <v>0.2</v>
      </c>
      <c r="AI84" s="97">
        <v>0.83333330999999999</v>
      </c>
      <c r="AJ84" s="97">
        <v>0.80000000999999998</v>
      </c>
      <c r="AK84" s="97">
        <v>0.71428572999999995</v>
      </c>
      <c r="AL84" s="97">
        <v>1</v>
      </c>
      <c r="AM84" s="97">
        <v>1</v>
      </c>
      <c r="AN84" s="97">
        <v>0.83333330999999999</v>
      </c>
    </row>
    <row r="85" spans="1:40" s="150" customFormat="1" ht="20.25" customHeight="1" x14ac:dyDescent="0.35">
      <c r="A85" s="95">
        <v>3</v>
      </c>
      <c r="B85" s="151" t="s">
        <v>261</v>
      </c>
      <c r="C85" s="176">
        <v>0.53308829999999996</v>
      </c>
      <c r="D85" s="176">
        <v>0.5</v>
      </c>
      <c r="E85" s="176">
        <v>0</v>
      </c>
      <c r="F85" s="176">
        <v>1</v>
      </c>
      <c r="G85" s="91">
        <v>0.5</v>
      </c>
      <c r="H85" s="91">
        <v>0.5</v>
      </c>
      <c r="I85" s="91">
        <v>0.5</v>
      </c>
      <c r="J85" s="91">
        <v>0.69999999000000002</v>
      </c>
      <c r="K85" s="91">
        <v>0.80000000999999998</v>
      </c>
      <c r="L85" s="91">
        <v>0.25</v>
      </c>
      <c r="M85" s="91">
        <v>1</v>
      </c>
      <c r="N85" s="91">
        <v>0.25</v>
      </c>
      <c r="O85" s="91">
        <v>0.1</v>
      </c>
      <c r="P85" s="91">
        <v>0.25</v>
      </c>
      <c r="Q85" s="91">
        <v>0.11111111</v>
      </c>
      <c r="R85" s="91">
        <v>0.5</v>
      </c>
      <c r="S85" s="91">
        <v>0.33333333999999998</v>
      </c>
      <c r="T85" s="91">
        <v>0.88888889999999998</v>
      </c>
      <c r="U85" s="91">
        <v>0.5</v>
      </c>
      <c r="V85" s="91">
        <v>0.33333333999999998</v>
      </c>
      <c r="W85" s="91">
        <v>0.40000001000000002</v>
      </c>
      <c r="X85" s="91">
        <v>0.80000000999999998</v>
      </c>
      <c r="Y85" s="91">
        <v>0.57142859999999995</v>
      </c>
      <c r="Z85" s="91">
        <v>1</v>
      </c>
      <c r="AA85" s="91">
        <v>0.625</v>
      </c>
      <c r="AB85" s="91">
        <v>0.66666669000000001</v>
      </c>
      <c r="AC85" s="91">
        <v>0.33333333999999998</v>
      </c>
      <c r="AD85" s="91">
        <v>0.75</v>
      </c>
      <c r="AE85" s="91">
        <v>1</v>
      </c>
      <c r="AF85" s="91">
        <v>0</v>
      </c>
      <c r="AG85" s="91">
        <v>0.5</v>
      </c>
      <c r="AH85" s="91">
        <v>0.2</v>
      </c>
      <c r="AI85" s="91">
        <v>0.83333330999999999</v>
      </c>
      <c r="AJ85" s="91">
        <v>0.60000001999999997</v>
      </c>
      <c r="AK85" s="91">
        <v>0.42857142999999998</v>
      </c>
      <c r="AL85" s="91">
        <v>0.60000001999999997</v>
      </c>
      <c r="AM85" s="91">
        <v>0.80000000999999998</v>
      </c>
      <c r="AN85" s="91">
        <v>0.5</v>
      </c>
    </row>
    <row r="86" spans="1:40" s="150" customFormat="1" ht="20.25" customHeight="1" x14ac:dyDescent="0.35">
      <c r="A86" s="96">
        <v>4</v>
      </c>
      <c r="B86" s="152" t="s">
        <v>264</v>
      </c>
      <c r="C86" s="177">
        <v>0.71978129999999996</v>
      </c>
      <c r="D86" s="177">
        <v>0.73242629999999997</v>
      </c>
      <c r="E86" s="177">
        <v>0.5</v>
      </c>
      <c r="F86" s="177">
        <v>0.9428571</v>
      </c>
      <c r="G86" s="97">
        <v>0.5</v>
      </c>
      <c r="H86" s="97">
        <v>0.78571427000000005</v>
      </c>
      <c r="I86" s="97">
        <v>0.80952382000000001</v>
      </c>
      <c r="J86" s="97">
        <v>0.80000000999999998</v>
      </c>
      <c r="K86" s="97">
        <v>0.60000001999999997</v>
      </c>
      <c r="L86" s="97">
        <v>0.85714287</v>
      </c>
      <c r="M86" s="97">
        <v>0.94285715000000003</v>
      </c>
      <c r="N86" s="97">
        <v>0.60714287</v>
      </c>
      <c r="O86" s="97">
        <v>0.67142855999999995</v>
      </c>
      <c r="P86" s="97">
        <v>0.71428572999999995</v>
      </c>
      <c r="Q86" s="97">
        <v>0.53968256999999997</v>
      </c>
      <c r="R86" s="97">
        <v>0.6857143</v>
      </c>
      <c r="S86" s="97">
        <v>0.73809522000000005</v>
      </c>
      <c r="T86" s="97">
        <v>0.73015874999999997</v>
      </c>
      <c r="U86" s="97">
        <v>0.60714287</v>
      </c>
      <c r="V86" s="97">
        <v>0.71428572999999995</v>
      </c>
      <c r="W86" s="97">
        <v>0.71428572999999995</v>
      </c>
      <c r="X86" s="97">
        <v>0.88571429000000002</v>
      </c>
      <c r="Y86" s="97">
        <v>0.73469388000000002</v>
      </c>
      <c r="Z86" s="97">
        <v>0.85714287</v>
      </c>
      <c r="AA86" s="97">
        <v>0.75</v>
      </c>
      <c r="AB86" s="97">
        <v>0.71428572999999995</v>
      </c>
      <c r="AC86" s="97">
        <v>0.80952382000000001</v>
      </c>
      <c r="AD86" s="97">
        <v>0.57142859999999995</v>
      </c>
      <c r="AE86" s="97">
        <v>0.69047617999999999</v>
      </c>
      <c r="AF86" s="97">
        <v>0.64285713</v>
      </c>
      <c r="AG86" s="97">
        <v>0.75</v>
      </c>
      <c r="AH86" s="97">
        <v>0.54285717</v>
      </c>
      <c r="AI86" s="97">
        <v>0.80952382000000001</v>
      </c>
      <c r="AJ86" s="97">
        <v>0.80000000999999998</v>
      </c>
      <c r="AK86" s="97">
        <v>0.73469388000000002</v>
      </c>
      <c r="AL86" s="97">
        <v>0.74285716000000002</v>
      </c>
      <c r="AM86" s="97">
        <v>0.80000000999999998</v>
      </c>
      <c r="AN86" s="97">
        <v>0.61904764000000001</v>
      </c>
    </row>
    <row r="87" spans="1:40" s="150" customFormat="1" ht="20.25" customHeight="1" x14ac:dyDescent="0.35">
      <c r="A87" s="95">
        <v>5</v>
      </c>
      <c r="B87" s="151" t="s">
        <v>272</v>
      </c>
      <c r="C87" s="176">
        <v>0.94044119999999998</v>
      </c>
      <c r="D87" s="176">
        <v>1</v>
      </c>
      <c r="E87" s="176">
        <v>0.66666669999999995</v>
      </c>
      <c r="F87" s="176">
        <v>1</v>
      </c>
      <c r="G87" s="91">
        <v>1</v>
      </c>
      <c r="H87" s="91">
        <v>1</v>
      </c>
      <c r="I87" s="91">
        <v>1</v>
      </c>
      <c r="J87" s="91">
        <v>1</v>
      </c>
      <c r="K87" s="91">
        <v>1</v>
      </c>
      <c r="L87" s="91">
        <v>1</v>
      </c>
      <c r="M87" s="91">
        <v>1</v>
      </c>
      <c r="N87" s="91">
        <v>0.875</v>
      </c>
      <c r="O87" s="91">
        <v>0.80000000999999998</v>
      </c>
      <c r="P87" s="91">
        <v>1</v>
      </c>
      <c r="Q87" s="91">
        <v>0.66666669000000001</v>
      </c>
      <c r="R87" s="91">
        <v>0.89999998000000003</v>
      </c>
      <c r="S87" s="91">
        <v>0.83333330999999999</v>
      </c>
      <c r="T87" s="91">
        <v>1</v>
      </c>
      <c r="U87" s="91">
        <v>1</v>
      </c>
      <c r="V87" s="91">
        <v>0.83333330999999999</v>
      </c>
      <c r="W87" s="91">
        <v>1</v>
      </c>
      <c r="X87" s="91">
        <v>1</v>
      </c>
      <c r="Y87" s="91">
        <v>1</v>
      </c>
      <c r="Z87" s="91">
        <v>1</v>
      </c>
      <c r="AA87" s="91">
        <v>1</v>
      </c>
      <c r="AB87" s="91">
        <v>1</v>
      </c>
      <c r="AC87" s="91">
        <v>1</v>
      </c>
      <c r="AD87" s="91">
        <v>1</v>
      </c>
      <c r="AE87" s="91">
        <v>1</v>
      </c>
      <c r="AF87" s="91">
        <v>1</v>
      </c>
      <c r="AG87" s="91">
        <v>1</v>
      </c>
      <c r="AH87" s="91">
        <v>0.80000000999999998</v>
      </c>
      <c r="AI87" s="91">
        <v>1</v>
      </c>
      <c r="AJ87" s="91">
        <v>1</v>
      </c>
      <c r="AK87" s="91">
        <v>1</v>
      </c>
      <c r="AL87" s="91">
        <v>0.80000000999999998</v>
      </c>
      <c r="AM87" s="91">
        <v>0.80000000999999998</v>
      </c>
      <c r="AN87" s="91">
        <v>0.66666669000000001</v>
      </c>
    </row>
    <row r="88" spans="1:40" s="150" customFormat="1" ht="20.25" customHeight="1" x14ac:dyDescent="0.35">
      <c r="A88" s="96">
        <v>6</v>
      </c>
      <c r="B88" s="152" t="s">
        <v>274</v>
      </c>
      <c r="C88" s="177">
        <v>0.96993459999999998</v>
      </c>
      <c r="D88" s="177">
        <v>1</v>
      </c>
      <c r="E88" s="177">
        <v>0.66666669999999995</v>
      </c>
      <c r="F88" s="177">
        <v>1</v>
      </c>
      <c r="G88" s="97">
        <v>0.88888889999999998</v>
      </c>
      <c r="H88" s="97">
        <v>0.83333330999999999</v>
      </c>
      <c r="I88" s="97">
        <v>0.66666669000000001</v>
      </c>
      <c r="J88" s="97">
        <v>1</v>
      </c>
      <c r="K88" s="97">
        <v>1</v>
      </c>
      <c r="L88" s="97">
        <v>1</v>
      </c>
      <c r="M88" s="97">
        <v>1</v>
      </c>
      <c r="N88" s="97">
        <v>1</v>
      </c>
      <c r="O88" s="97">
        <v>0.96666664000000002</v>
      </c>
      <c r="P88" s="97">
        <v>1</v>
      </c>
      <c r="Q88" s="97">
        <v>0.92592591000000002</v>
      </c>
      <c r="R88" s="97">
        <v>1</v>
      </c>
      <c r="S88" s="97">
        <v>1</v>
      </c>
      <c r="T88" s="97">
        <v>0.96296298000000002</v>
      </c>
      <c r="U88" s="97">
        <v>1</v>
      </c>
      <c r="V88" s="97">
        <v>1</v>
      </c>
      <c r="W88" s="97">
        <v>0.86666666999999997</v>
      </c>
      <c r="X88" s="97">
        <v>1</v>
      </c>
      <c r="Y88" s="97">
        <v>1</v>
      </c>
      <c r="Z88" s="97">
        <v>1</v>
      </c>
      <c r="AA88" s="97">
        <v>1</v>
      </c>
      <c r="AB88" s="97">
        <v>1</v>
      </c>
      <c r="AC88" s="97">
        <v>1</v>
      </c>
      <c r="AD88" s="97">
        <v>1</v>
      </c>
      <c r="AE88" s="97">
        <v>1</v>
      </c>
      <c r="AF88" s="97">
        <v>1</v>
      </c>
      <c r="AG88" s="97">
        <v>1</v>
      </c>
      <c r="AH88" s="97">
        <v>1</v>
      </c>
      <c r="AI88" s="97">
        <v>1</v>
      </c>
      <c r="AJ88" s="97">
        <v>1</v>
      </c>
      <c r="AK88" s="97">
        <v>1</v>
      </c>
      <c r="AL88" s="97">
        <v>1</v>
      </c>
      <c r="AM88" s="97">
        <v>0.86666666999999997</v>
      </c>
      <c r="AN88" s="97">
        <v>1</v>
      </c>
    </row>
    <row r="89" spans="1:40" s="150" customFormat="1" ht="30" x14ac:dyDescent="0.35">
      <c r="A89" s="95">
        <v>7</v>
      </c>
      <c r="B89" s="151" t="s">
        <v>278</v>
      </c>
      <c r="C89" s="176">
        <v>0.888069</v>
      </c>
      <c r="D89" s="176">
        <v>0.9375</v>
      </c>
      <c r="E89" s="176">
        <v>0.59375</v>
      </c>
      <c r="F89" s="176">
        <v>1</v>
      </c>
      <c r="G89" s="91">
        <v>0.95833330999999999</v>
      </c>
      <c r="H89" s="91">
        <v>0.875</v>
      </c>
      <c r="I89" s="91">
        <v>0.97916669000000001</v>
      </c>
      <c r="J89" s="91">
        <v>0.96249998000000003</v>
      </c>
      <c r="K89" s="91">
        <v>1</v>
      </c>
      <c r="L89" s="91">
        <v>0.59375</v>
      </c>
      <c r="M89" s="91">
        <v>0.97500001999999997</v>
      </c>
      <c r="N89" s="91">
        <v>0.8125</v>
      </c>
      <c r="O89" s="91">
        <v>0.8125</v>
      </c>
      <c r="P89" s="91">
        <v>0.875</v>
      </c>
      <c r="Q89" s="91">
        <v>0.66666669000000001</v>
      </c>
      <c r="R89" s="91">
        <v>0.9375</v>
      </c>
      <c r="S89" s="91">
        <v>1</v>
      </c>
      <c r="T89" s="91">
        <v>1</v>
      </c>
      <c r="U89" s="91">
        <v>0.8125</v>
      </c>
      <c r="V89" s="91">
        <v>0.75</v>
      </c>
      <c r="W89" s="91">
        <v>0.85000001999999997</v>
      </c>
      <c r="X89" s="91">
        <v>0.94999999000000002</v>
      </c>
      <c r="Y89" s="91">
        <v>0.85714287</v>
      </c>
      <c r="Z89" s="91">
        <v>1</v>
      </c>
      <c r="AA89" s="91">
        <v>0.9375</v>
      </c>
      <c r="AB89" s="91">
        <v>0.91666669000000001</v>
      </c>
      <c r="AC89" s="91">
        <v>0.95833330999999999</v>
      </c>
      <c r="AD89" s="91">
        <v>0.59375</v>
      </c>
      <c r="AE89" s="91">
        <v>0.97916669000000001</v>
      </c>
      <c r="AF89" s="91">
        <v>0.85416669000000001</v>
      </c>
      <c r="AG89" s="91">
        <v>0.84375</v>
      </c>
      <c r="AH89" s="91">
        <v>0.67500000999999998</v>
      </c>
      <c r="AI89" s="91">
        <v>1</v>
      </c>
      <c r="AJ89" s="91">
        <v>0.97500001999999997</v>
      </c>
      <c r="AK89" s="91">
        <v>0.96428572999999995</v>
      </c>
      <c r="AL89" s="91">
        <v>0.97500001999999997</v>
      </c>
      <c r="AM89" s="91">
        <v>0.875</v>
      </c>
      <c r="AN89" s="91">
        <v>0.97916669000000001</v>
      </c>
    </row>
    <row r="90" spans="1:40" s="150" customFormat="1" ht="20.25" customHeight="1" x14ac:dyDescent="0.35">
      <c r="A90" s="96">
        <v>8</v>
      </c>
      <c r="B90" s="152" t="s">
        <v>287</v>
      </c>
      <c r="C90" s="177">
        <v>0.72319100000000003</v>
      </c>
      <c r="D90" s="177">
        <v>0.86607149999999999</v>
      </c>
      <c r="E90" s="177">
        <v>0</v>
      </c>
      <c r="F90" s="177">
        <v>1</v>
      </c>
      <c r="G90" s="97">
        <v>1</v>
      </c>
      <c r="H90" s="97">
        <v>0.75</v>
      </c>
      <c r="I90" s="97">
        <v>0.16666666999999999</v>
      </c>
      <c r="J90" s="97">
        <v>1</v>
      </c>
      <c r="K90" s="97">
        <v>0.40000001000000002</v>
      </c>
      <c r="L90" s="97">
        <v>0.5</v>
      </c>
      <c r="M90" s="97">
        <v>1</v>
      </c>
      <c r="N90" s="97">
        <v>0.75</v>
      </c>
      <c r="O90" s="97">
        <v>0.2</v>
      </c>
      <c r="P90" s="97">
        <v>1</v>
      </c>
      <c r="Q90" s="97">
        <v>0.33333333999999998</v>
      </c>
      <c r="R90" s="97">
        <v>0.1</v>
      </c>
      <c r="S90" s="97">
        <v>1</v>
      </c>
      <c r="T90" s="97">
        <v>0.77777779000000002</v>
      </c>
      <c r="U90" s="97">
        <v>1</v>
      </c>
      <c r="V90" s="97">
        <v>0.5</v>
      </c>
      <c r="W90" s="97">
        <v>1</v>
      </c>
      <c r="X90" s="97">
        <v>1</v>
      </c>
      <c r="Y90" s="97">
        <v>0.85714287</v>
      </c>
      <c r="Z90" s="97">
        <v>1</v>
      </c>
      <c r="AA90" s="97">
        <v>0.875</v>
      </c>
      <c r="AB90" s="97">
        <v>0.91666669000000001</v>
      </c>
      <c r="AC90" s="97">
        <v>1</v>
      </c>
      <c r="AD90" s="97">
        <v>0.5</v>
      </c>
      <c r="AE90" s="97">
        <v>1</v>
      </c>
      <c r="AF90" s="97">
        <v>0.5</v>
      </c>
      <c r="AG90" s="97">
        <v>1</v>
      </c>
      <c r="AH90" s="97">
        <v>0</v>
      </c>
      <c r="AI90" s="97">
        <v>1</v>
      </c>
      <c r="AJ90" s="97">
        <v>1</v>
      </c>
      <c r="AK90" s="97">
        <v>0.42857142999999998</v>
      </c>
      <c r="AL90" s="97">
        <v>1</v>
      </c>
      <c r="AM90" s="97">
        <v>0.2</v>
      </c>
      <c r="AN90" s="97">
        <v>0.83333330999999999</v>
      </c>
    </row>
    <row r="91" spans="1:40" s="150" customFormat="1" ht="20.25" customHeight="1" x14ac:dyDescent="0.35">
      <c r="A91" s="95">
        <v>9</v>
      </c>
      <c r="B91" s="151" t="s">
        <v>290</v>
      </c>
      <c r="C91" s="176">
        <v>0.84978989999999999</v>
      </c>
      <c r="D91" s="176">
        <v>0.88194439999999996</v>
      </c>
      <c r="E91" s="176">
        <v>0.44444440000000002</v>
      </c>
      <c r="F91" s="176">
        <v>1</v>
      </c>
      <c r="G91" s="91">
        <v>0.5</v>
      </c>
      <c r="H91" s="91">
        <v>0.75</v>
      </c>
      <c r="I91" s="91">
        <v>0.83333330999999999</v>
      </c>
      <c r="J91" s="91">
        <v>0.89999998000000003</v>
      </c>
      <c r="K91" s="91">
        <v>0.60000001999999997</v>
      </c>
      <c r="L91" s="91">
        <v>1</v>
      </c>
      <c r="M91" s="91">
        <v>1</v>
      </c>
      <c r="N91" s="91">
        <v>0.75</v>
      </c>
      <c r="O91" s="91">
        <v>0.89999998000000003</v>
      </c>
      <c r="P91" s="91">
        <v>0.75</v>
      </c>
      <c r="Q91" s="91">
        <v>0.44444444999999999</v>
      </c>
      <c r="R91" s="91">
        <v>0.89999998000000003</v>
      </c>
      <c r="S91" s="91">
        <v>0.83333330999999999</v>
      </c>
      <c r="T91" s="91">
        <v>0.88888889999999998</v>
      </c>
      <c r="U91" s="91">
        <v>0.875</v>
      </c>
      <c r="V91" s="91">
        <v>1</v>
      </c>
      <c r="W91" s="91">
        <v>0.80000000999999998</v>
      </c>
      <c r="X91" s="91">
        <v>1</v>
      </c>
      <c r="Y91" s="91">
        <v>0.57142859999999995</v>
      </c>
      <c r="Z91" s="91">
        <v>1</v>
      </c>
      <c r="AA91" s="91">
        <v>0.875</v>
      </c>
      <c r="AB91" s="91">
        <v>0.91666669000000001</v>
      </c>
      <c r="AC91" s="91">
        <v>1</v>
      </c>
      <c r="AD91" s="91">
        <v>1</v>
      </c>
      <c r="AE91" s="91">
        <v>1</v>
      </c>
      <c r="AF91" s="91">
        <v>0.83333330999999999</v>
      </c>
      <c r="AG91" s="91">
        <v>1</v>
      </c>
      <c r="AH91" s="91">
        <v>0.80000000999999998</v>
      </c>
      <c r="AI91" s="91">
        <v>1</v>
      </c>
      <c r="AJ91" s="91">
        <v>0.80000000999999998</v>
      </c>
      <c r="AK91" s="91">
        <v>0.57142859999999995</v>
      </c>
      <c r="AL91" s="91">
        <v>0.80000000999999998</v>
      </c>
      <c r="AM91" s="91">
        <v>1</v>
      </c>
      <c r="AN91" s="91">
        <v>1</v>
      </c>
    </row>
    <row r="92" spans="1:40" s="150" customFormat="1" ht="20.25" customHeight="1" x14ac:dyDescent="0.35">
      <c r="A92" s="96">
        <v>10</v>
      </c>
      <c r="B92" s="152" t="s">
        <v>293</v>
      </c>
      <c r="C92" s="177">
        <v>0.33935569999999998</v>
      </c>
      <c r="D92" s="177">
        <v>0.30952380000000002</v>
      </c>
      <c r="E92" s="177">
        <v>0</v>
      </c>
      <c r="F92" s="177">
        <v>0.8</v>
      </c>
      <c r="G92" s="97">
        <v>0.16666666999999999</v>
      </c>
      <c r="H92" s="97">
        <v>0.25</v>
      </c>
      <c r="I92" s="97">
        <v>0.5</v>
      </c>
      <c r="J92" s="97">
        <v>0.2</v>
      </c>
      <c r="K92" s="97">
        <v>0.40000001000000002</v>
      </c>
      <c r="L92" s="97">
        <v>0.25</v>
      </c>
      <c r="M92" s="97">
        <v>0.60000001999999997</v>
      </c>
      <c r="N92" s="97">
        <v>0</v>
      </c>
      <c r="O92" s="97">
        <v>0.1</v>
      </c>
      <c r="P92" s="97">
        <v>0.25</v>
      </c>
      <c r="Q92" s="97">
        <v>0.11111111</v>
      </c>
      <c r="R92" s="97">
        <v>0.60000001999999997</v>
      </c>
      <c r="S92" s="97">
        <v>0.33333333999999998</v>
      </c>
      <c r="T92" s="97">
        <v>0.55555558000000005</v>
      </c>
      <c r="U92" s="97">
        <v>0.375</v>
      </c>
      <c r="V92" s="97">
        <v>0.16666666999999999</v>
      </c>
      <c r="W92" s="97">
        <v>0.80000000999999998</v>
      </c>
      <c r="X92" s="97">
        <v>0.40000001000000002</v>
      </c>
      <c r="Y92" s="97">
        <v>0.28571429999999998</v>
      </c>
      <c r="Z92" s="97">
        <v>0.60000001999999997</v>
      </c>
      <c r="AA92" s="97">
        <v>0.125</v>
      </c>
      <c r="AB92" s="97">
        <v>0.5</v>
      </c>
      <c r="AC92" s="97">
        <v>0.33333333999999998</v>
      </c>
      <c r="AD92" s="97">
        <v>0.25</v>
      </c>
      <c r="AE92" s="97">
        <v>0.66666669000000001</v>
      </c>
      <c r="AF92" s="97">
        <v>0.66666669000000001</v>
      </c>
      <c r="AG92" s="97">
        <v>0.5</v>
      </c>
      <c r="AH92" s="97">
        <v>0</v>
      </c>
      <c r="AI92" s="97">
        <v>0.16666666999999999</v>
      </c>
      <c r="AJ92" s="97">
        <v>0.2</v>
      </c>
      <c r="AK92" s="97">
        <v>0.28571429999999998</v>
      </c>
      <c r="AL92" s="97">
        <v>0</v>
      </c>
      <c r="AM92" s="97">
        <v>0.40000001000000002</v>
      </c>
      <c r="AN92" s="97">
        <v>0.5</v>
      </c>
    </row>
    <row r="93" spans="1:40" s="150" customFormat="1" ht="20.25" customHeight="1" x14ac:dyDescent="0.35">
      <c r="A93" s="95">
        <v>11</v>
      </c>
      <c r="B93" s="151" t="s">
        <v>296</v>
      </c>
      <c r="C93" s="176">
        <v>0.32631890000000002</v>
      </c>
      <c r="D93" s="176">
        <v>0.25</v>
      </c>
      <c r="E93" s="176">
        <v>0</v>
      </c>
      <c r="F93" s="176">
        <v>1</v>
      </c>
      <c r="G93" s="91">
        <v>0.33333333999999998</v>
      </c>
      <c r="H93" s="91">
        <v>0.25</v>
      </c>
      <c r="I93" s="91">
        <v>0</v>
      </c>
      <c r="J93" s="91">
        <v>0.2</v>
      </c>
      <c r="K93" s="91">
        <v>0</v>
      </c>
      <c r="L93" s="91">
        <v>0.5</v>
      </c>
      <c r="M93" s="91">
        <v>1</v>
      </c>
      <c r="N93" s="91">
        <v>0</v>
      </c>
      <c r="O93" s="91">
        <v>0.2</v>
      </c>
      <c r="P93" s="91">
        <v>0.25</v>
      </c>
      <c r="Q93" s="91">
        <v>0</v>
      </c>
      <c r="R93" s="91">
        <v>0</v>
      </c>
      <c r="S93" s="91">
        <v>0.5</v>
      </c>
      <c r="T93" s="91">
        <v>0.55555558000000005</v>
      </c>
      <c r="U93" s="91">
        <v>0.25</v>
      </c>
      <c r="V93" s="91">
        <v>0.5</v>
      </c>
      <c r="W93" s="91">
        <v>0.40000001000000002</v>
      </c>
      <c r="X93" s="91">
        <v>1</v>
      </c>
      <c r="Y93" s="91">
        <v>0.71428572999999995</v>
      </c>
      <c r="Z93" s="91">
        <v>0.80000000999999998</v>
      </c>
      <c r="AA93" s="91">
        <v>0.375</v>
      </c>
      <c r="AB93" s="91">
        <v>0.16666666999999999</v>
      </c>
      <c r="AC93" s="91">
        <v>0.16666666999999999</v>
      </c>
      <c r="AD93" s="91">
        <v>0</v>
      </c>
      <c r="AE93" s="91">
        <v>0.33333333999999998</v>
      </c>
      <c r="AF93" s="91">
        <v>0.16666666999999999</v>
      </c>
      <c r="AG93" s="91">
        <v>0</v>
      </c>
      <c r="AH93" s="91">
        <v>0</v>
      </c>
      <c r="AI93" s="91">
        <v>0.66666669000000001</v>
      </c>
      <c r="AJ93" s="91">
        <v>0.60000001999999997</v>
      </c>
      <c r="AK93" s="91">
        <v>0</v>
      </c>
      <c r="AL93" s="91">
        <v>0.40000001000000002</v>
      </c>
      <c r="AM93" s="91">
        <v>0.60000001999999997</v>
      </c>
      <c r="AN93" s="91">
        <v>0.16666666999999999</v>
      </c>
    </row>
    <row r="94" spans="1:40" s="119" customFormat="1" ht="20.25" customHeight="1" x14ac:dyDescent="0.35">
      <c r="A94" s="381" t="s">
        <v>713</v>
      </c>
      <c r="B94" s="381"/>
      <c r="C94" s="175">
        <v>0.81844939999999999</v>
      </c>
      <c r="D94" s="175">
        <v>0.82314810000000005</v>
      </c>
      <c r="E94" s="175">
        <v>0.6512346</v>
      </c>
      <c r="F94" s="175">
        <v>0.97037039999999997</v>
      </c>
      <c r="G94" s="89">
        <v>0.79629629999999996</v>
      </c>
      <c r="H94" s="89">
        <v>0.82407408999999998</v>
      </c>
      <c r="I94" s="89">
        <v>0.85185188000000001</v>
      </c>
      <c r="J94" s="89">
        <v>0.94814812999999998</v>
      </c>
      <c r="K94" s="89">
        <v>0.97037035000000005</v>
      </c>
      <c r="L94" s="89">
        <v>0.79629629999999996</v>
      </c>
      <c r="M94" s="89">
        <v>0.89629632000000004</v>
      </c>
      <c r="N94" s="89">
        <v>0.71296298000000002</v>
      </c>
      <c r="O94" s="89">
        <v>0.72962963999999997</v>
      </c>
      <c r="P94" s="89">
        <v>0.90740739999999998</v>
      </c>
      <c r="Q94" s="89">
        <v>0.70781892999999996</v>
      </c>
      <c r="R94" s="89">
        <v>0.75555556999999995</v>
      </c>
      <c r="S94" s="89">
        <v>0.82716047999999998</v>
      </c>
      <c r="T94" s="89">
        <v>0.89300411999999996</v>
      </c>
      <c r="U94" s="89">
        <v>0.78703701999999998</v>
      </c>
      <c r="V94" s="89">
        <v>0.83333330999999999</v>
      </c>
      <c r="W94" s="89">
        <v>0.82962959999999997</v>
      </c>
      <c r="X94" s="89">
        <v>0.90370368999999995</v>
      </c>
      <c r="Y94" s="89">
        <v>0.78306878000000002</v>
      </c>
      <c r="Z94" s="89">
        <v>0.85185188000000001</v>
      </c>
      <c r="AA94" s="89">
        <v>0.85185188000000001</v>
      </c>
      <c r="AB94" s="89">
        <v>0.65123456999999996</v>
      </c>
      <c r="AC94" s="89">
        <v>0.96913581999999998</v>
      </c>
      <c r="AD94" s="89">
        <v>0.69444441999999995</v>
      </c>
      <c r="AE94" s="89">
        <v>0.87037039000000005</v>
      </c>
      <c r="AF94" s="89">
        <v>0.79629629999999996</v>
      </c>
      <c r="AG94" s="89">
        <v>0.69444441999999995</v>
      </c>
      <c r="AH94" s="89">
        <v>0.73333334999999999</v>
      </c>
      <c r="AI94" s="89">
        <v>0.82098764000000002</v>
      </c>
      <c r="AJ94" s="89">
        <v>0.93333334000000001</v>
      </c>
      <c r="AK94" s="89">
        <v>0.91005290000000005</v>
      </c>
      <c r="AL94" s="89">
        <v>0.69629627000000005</v>
      </c>
      <c r="AM94" s="89">
        <v>0.82222223000000005</v>
      </c>
      <c r="AN94" s="89">
        <v>0.77777779000000002</v>
      </c>
    </row>
    <row r="95" spans="1:40" s="150" customFormat="1" ht="30" x14ac:dyDescent="0.35">
      <c r="A95" s="95">
        <v>1</v>
      </c>
      <c r="B95" s="151" t="s">
        <v>300</v>
      </c>
      <c r="C95" s="176">
        <v>0.79947480000000004</v>
      </c>
      <c r="D95" s="176">
        <v>0.86607149999999999</v>
      </c>
      <c r="E95" s="176">
        <v>0.125</v>
      </c>
      <c r="F95" s="176">
        <v>1</v>
      </c>
      <c r="G95" s="91">
        <v>0.66666669000000001</v>
      </c>
      <c r="H95" s="91">
        <v>1</v>
      </c>
      <c r="I95" s="91">
        <v>1</v>
      </c>
      <c r="J95" s="91">
        <v>1</v>
      </c>
      <c r="K95" s="91">
        <v>1</v>
      </c>
      <c r="L95" s="91">
        <v>0.75</v>
      </c>
      <c r="M95" s="91">
        <v>1</v>
      </c>
      <c r="N95" s="91">
        <v>0.875</v>
      </c>
      <c r="O95" s="91">
        <v>0.89999998000000003</v>
      </c>
      <c r="P95" s="91">
        <v>0.5</v>
      </c>
      <c r="Q95" s="91">
        <v>0.33333333999999998</v>
      </c>
      <c r="R95" s="91">
        <v>0.30000000999999998</v>
      </c>
      <c r="S95" s="91">
        <v>0.66666669000000001</v>
      </c>
      <c r="T95" s="91">
        <v>1</v>
      </c>
      <c r="U95" s="91">
        <v>0.125</v>
      </c>
      <c r="V95" s="91">
        <v>0.66666669000000001</v>
      </c>
      <c r="W95" s="91">
        <v>1</v>
      </c>
      <c r="X95" s="91">
        <v>1</v>
      </c>
      <c r="Y95" s="91">
        <v>0.85714287</v>
      </c>
      <c r="Z95" s="91">
        <v>0.80000000999999998</v>
      </c>
      <c r="AA95" s="91">
        <v>0.875</v>
      </c>
      <c r="AB95" s="91">
        <v>0.66666669000000001</v>
      </c>
      <c r="AC95" s="91">
        <v>1</v>
      </c>
      <c r="AD95" s="91">
        <v>1</v>
      </c>
      <c r="AE95" s="91">
        <v>1</v>
      </c>
      <c r="AF95" s="91">
        <v>0.83333330999999999</v>
      </c>
      <c r="AG95" s="91">
        <v>0.5</v>
      </c>
      <c r="AH95" s="91">
        <v>0.80000000999999998</v>
      </c>
      <c r="AI95" s="91">
        <v>0.83333330999999999</v>
      </c>
      <c r="AJ95" s="91">
        <v>1</v>
      </c>
      <c r="AK95" s="91">
        <v>1</v>
      </c>
      <c r="AL95" s="91">
        <v>0.40000001000000002</v>
      </c>
      <c r="AM95" s="91">
        <v>1</v>
      </c>
      <c r="AN95" s="91">
        <v>0.83333330999999999</v>
      </c>
    </row>
    <row r="96" spans="1:40" s="150" customFormat="1" ht="20.25" customHeight="1" x14ac:dyDescent="0.35">
      <c r="A96" s="96">
        <v>2</v>
      </c>
      <c r="B96" s="152" t="s">
        <v>303</v>
      </c>
      <c r="C96" s="177">
        <v>0.91200979999999998</v>
      </c>
      <c r="D96" s="177">
        <v>1</v>
      </c>
      <c r="E96" s="177">
        <v>0.66666669999999995</v>
      </c>
      <c r="F96" s="177">
        <v>1</v>
      </c>
      <c r="G96" s="97">
        <v>1</v>
      </c>
      <c r="H96" s="97">
        <v>1</v>
      </c>
      <c r="I96" s="97">
        <v>1</v>
      </c>
      <c r="J96" s="97">
        <v>1</v>
      </c>
      <c r="K96" s="97">
        <v>1</v>
      </c>
      <c r="L96" s="97">
        <v>1</v>
      </c>
      <c r="M96" s="97">
        <v>1</v>
      </c>
      <c r="N96" s="97">
        <v>0.75</v>
      </c>
      <c r="O96" s="97">
        <v>0.89999998000000003</v>
      </c>
      <c r="P96" s="97">
        <v>1</v>
      </c>
      <c r="Q96" s="97">
        <v>0.66666669000000001</v>
      </c>
      <c r="R96" s="97">
        <v>0.69999999000000002</v>
      </c>
      <c r="S96" s="97">
        <v>1</v>
      </c>
      <c r="T96" s="97">
        <v>1</v>
      </c>
      <c r="U96" s="97">
        <v>0.875</v>
      </c>
      <c r="V96" s="97">
        <v>1</v>
      </c>
      <c r="W96" s="97">
        <v>0.80000000999999998</v>
      </c>
      <c r="X96" s="97">
        <v>0.80000000999999998</v>
      </c>
      <c r="Y96" s="97">
        <v>1</v>
      </c>
      <c r="Z96" s="97">
        <v>0.80000000999999998</v>
      </c>
      <c r="AA96" s="97">
        <v>1</v>
      </c>
      <c r="AB96" s="97">
        <v>0.75</v>
      </c>
      <c r="AC96" s="97">
        <v>1</v>
      </c>
      <c r="AD96" s="97">
        <v>0.75</v>
      </c>
      <c r="AE96" s="97">
        <v>0.83333330999999999</v>
      </c>
      <c r="AF96" s="97">
        <v>1</v>
      </c>
      <c r="AG96" s="97">
        <v>0.75</v>
      </c>
      <c r="AH96" s="97">
        <v>1</v>
      </c>
      <c r="AI96" s="97">
        <v>1</v>
      </c>
      <c r="AJ96" s="97">
        <v>1</v>
      </c>
      <c r="AK96" s="97">
        <v>1</v>
      </c>
      <c r="AL96" s="97">
        <v>0.80000000999999998</v>
      </c>
      <c r="AM96" s="97">
        <v>1</v>
      </c>
      <c r="AN96" s="97">
        <v>0.83333330999999999</v>
      </c>
    </row>
    <row r="97" spans="1:40" s="150" customFormat="1" ht="20.25" customHeight="1" x14ac:dyDescent="0.35">
      <c r="A97" s="95">
        <v>3</v>
      </c>
      <c r="B97" s="151" t="s">
        <v>306</v>
      </c>
      <c r="C97" s="176">
        <v>0.83692809999999995</v>
      </c>
      <c r="D97" s="176">
        <v>1</v>
      </c>
      <c r="E97" s="176">
        <v>0</v>
      </c>
      <c r="F97" s="176">
        <v>1</v>
      </c>
      <c r="G97" s="91">
        <v>0.33333333999999998</v>
      </c>
      <c r="H97" s="91">
        <v>1</v>
      </c>
      <c r="I97" s="91">
        <v>1</v>
      </c>
      <c r="J97" s="91">
        <v>1</v>
      </c>
      <c r="K97" s="91">
        <v>1</v>
      </c>
      <c r="L97" s="91">
        <v>1</v>
      </c>
      <c r="M97" s="91">
        <v>1</v>
      </c>
      <c r="N97" s="91">
        <v>0.25</v>
      </c>
      <c r="O97" s="91">
        <v>1</v>
      </c>
      <c r="P97" s="91">
        <v>1</v>
      </c>
      <c r="Q97" s="91">
        <v>0.88888889999999998</v>
      </c>
      <c r="R97" s="91">
        <v>1</v>
      </c>
      <c r="S97" s="91">
        <v>1</v>
      </c>
      <c r="T97" s="91">
        <v>1</v>
      </c>
      <c r="U97" s="91">
        <v>0.5</v>
      </c>
      <c r="V97" s="91">
        <v>1</v>
      </c>
      <c r="W97" s="91">
        <v>1</v>
      </c>
      <c r="X97" s="91">
        <v>0.80000000999999998</v>
      </c>
      <c r="Y97" s="91">
        <v>1</v>
      </c>
      <c r="Z97" s="91">
        <v>0.2</v>
      </c>
      <c r="AA97" s="91">
        <v>1</v>
      </c>
      <c r="AB97" s="91">
        <v>0.58333330999999999</v>
      </c>
      <c r="AC97" s="91">
        <v>1</v>
      </c>
      <c r="AD97" s="91">
        <v>1</v>
      </c>
      <c r="AE97" s="91">
        <v>1</v>
      </c>
      <c r="AF97" s="91">
        <v>0.5</v>
      </c>
      <c r="AG97" s="91">
        <v>1</v>
      </c>
      <c r="AH97" s="91">
        <v>1</v>
      </c>
      <c r="AI97" s="91">
        <v>1</v>
      </c>
      <c r="AJ97" s="91">
        <v>1</v>
      </c>
      <c r="AK97" s="91">
        <v>1</v>
      </c>
      <c r="AL97" s="91">
        <v>1</v>
      </c>
      <c r="AM97" s="91">
        <v>0.40000001000000002</v>
      </c>
      <c r="AN97" s="91">
        <v>0</v>
      </c>
    </row>
    <row r="98" spans="1:40" s="150" customFormat="1" ht="20.25" customHeight="1" x14ac:dyDescent="0.35">
      <c r="A98" s="96">
        <v>4</v>
      </c>
      <c r="B98" s="152" t="s">
        <v>309</v>
      </c>
      <c r="C98" s="177">
        <v>0.91454250000000004</v>
      </c>
      <c r="D98" s="177">
        <v>1</v>
      </c>
      <c r="E98" s="177">
        <v>0.25</v>
      </c>
      <c r="F98" s="177">
        <v>1</v>
      </c>
      <c r="G98" s="97">
        <v>0.83333330999999999</v>
      </c>
      <c r="H98" s="97">
        <v>0.75</v>
      </c>
      <c r="I98" s="97">
        <v>1</v>
      </c>
      <c r="J98" s="97">
        <v>0.89999998000000003</v>
      </c>
      <c r="K98" s="97">
        <v>1</v>
      </c>
      <c r="L98" s="97">
        <v>1</v>
      </c>
      <c r="M98" s="97">
        <v>1</v>
      </c>
      <c r="N98" s="97">
        <v>1</v>
      </c>
      <c r="O98" s="97">
        <v>1</v>
      </c>
      <c r="P98" s="97">
        <v>1</v>
      </c>
      <c r="Q98" s="97">
        <v>0.88888889999999998</v>
      </c>
      <c r="R98" s="97">
        <v>1</v>
      </c>
      <c r="S98" s="97">
        <v>1</v>
      </c>
      <c r="T98" s="97">
        <v>0.88888889999999998</v>
      </c>
      <c r="U98" s="97">
        <v>1</v>
      </c>
      <c r="V98" s="97">
        <v>1</v>
      </c>
      <c r="W98" s="97">
        <v>0.80000000999999998</v>
      </c>
      <c r="X98" s="97">
        <v>0.80000000999999998</v>
      </c>
      <c r="Y98" s="97">
        <v>1</v>
      </c>
      <c r="Z98" s="97">
        <v>1</v>
      </c>
      <c r="AA98" s="97">
        <v>1</v>
      </c>
      <c r="AB98" s="97">
        <v>0.25</v>
      </c>
      <c r="AC98" s="97">
        <v>1</v>
      </c>
      <c r="AD98" s="97">
        <v>0.75</v>
      </c>
      <c r="AE98" s="97">
        <v>1</v>
      </c>
      <c r="AF98" s="97">
        <v>1</v>
      </c>
      <c r="AG98" s="97">
        <v>1</v>
      </c>
      <c r="AH98" s="97">
        <v>0.80000000999999998</v>
      </c>
      <c r="AI98" s="97">
        <v>0.83333330999999999</v>
      </c>
      <c r="AJ98" s="97">
        <v>1</v>
      </c>
      <c r="AK98" s="97">
        <v>1</v>
      </c>
      <c r="AL98" s="97">
        <v>0.80000000999999998</v>
      </c>
      <c r="AM98" s="97">
        <v>0.80000000999999998</v>
      </c>
      <c r="AN98" s="97">
        <v>1</v>
      </c>
    </row>
    <row r="99" spans="1:40" s="150" customFormat="1" ht="20.25" customHeight="1" x14ac:dyDescent="0.35">
      <c r="A99" s="95">
        <v>5</v>
      </c>
      <c r="B99" s="151" t="s">
        <v>312</v>
      </c>
      <c r="C99" s="176">
        <v>0.59485290000000002</v>
      </c>
      <c r="D99" s="176">
        <v>0.66666669999999995</v>
      </c>
      <c r="E99" s="176">
        <v>0</v>
      </c>
      <c r="F99" s="176">
        <v>1</v>
      </c>
      <c r="G99" s="91">
        <v>0.16666666999999999</v>
      </c>
      <c r="H99" s="91">
        <v>0.75</v>
      </c>
      <c r="I99" s="91">
        <v>0.16666666999999999</v>
      </c>
      <c r="J99" s="91">
        <v>1</v>
      </c>
      <c r="K99" s="91">
        <v>1</v>
      </c>
      <c r="L99" s="91">
        <v>0</v>
      </c>
      <c r="M99" s="91">
        <v>0.80000000999999998</v>
      </c>
      <c r="N99" s="91">
        <v>0.75</v>
      </c>
      <c r="O99" s="91">
        <v>0.1</v>
      </c>
      <c r="P99" s="91">
        <v>1</v>
      </c>
      <c r="Q99" s="91">
        <v>0.77777779000000002</v>
      </c>
      <c r="R99" s="91">
        <v>0.60000001999999997</v>
      </c>
      <c r="S99" s="91">
        <v>0.5</v>
      </c>
      <c r="T99" s="91">
        <v>0.88888889999999998</v>
      </c>
      <c r="U99" s="91">
        <v>0.625</v>
      </c>
      <c r="V99" s="91">
        <v>0.5</v>
      </c>
      <c r="W99" s="91">
        <v>0.80000000999999998</v>
      </c>
      <c r="X99" s="91">
        <v>1</v>
      </c>
      <c r="Y99" s="91">
        <v>0</v>
      </c>
      <c r="Z99" s="91">
        <v>0.80000000999999998</v>
      </c>
      <c r="AA99" s="91">
        <v>0.75</v>
      </c>
      <c r="AB99" s="91">
        <v>0.33333333999999998</v>
      </c>
      <c r="AC99" s="91">
        <v>1</v>
      </c>
      <c r="AD99" s="91">
        <v>0</v>
      </c>
      <c r="AE99" s="91">
        <v>1</v>
      </c>
      <c r="AF99" s="91">
        <v>0.66666669000000001</v>
      </c>
      <c r="AG99" s="91">
        <v>0.25</v>
      </c>
      <c r="AH99" s="91">
        <v>0</v>
      </c>
      <c r="AI99" s="91">
        <v>0.33333333999999998</v>
      </c>
      <c r="AJ99" s="91">
        <v>1</v>
      </c>
      <c r="AK99" s="91">
        <v>1</v>
      </c>
      <c r="AL99" s="91">
        <v>0.40000001000000002</v>
      </c>
      <c r="AM99" s="91">
        <v>0.60000001999999997</v>
      </c>
      <c r="AN99" s="91">
        <v>0.66666669000000001</v>
      </c>
    </row>
    <row r="100" spans="1:40" s="150" customFormat="1" ht="20.25" customHeight="1" x14ac:dyDescent="0.35">
      <c r="A100" s="96">
        <v>6</v>
      </c>
      <c r="B100" s="152" t="s">
        <v>315</v>
      </c>
      <c r="C100" s="177">
        <v>0.97941180000000005</v>
      </c>
      <c r="D100" s="177">
        <v>1</v>
      </c>
      <c r="E100" s="177">
        <v>0.66666669999999995</v>
      </c>
      <c r="F100" s="177">
        <v>1</v>
      </c>
      <c r="G100" s="97">
        <v>1</v>
      </c>
      <c r="H100" s="97">
        <v>1</v>
      </c>
      <c r="I100" s="97">
        <v>1</v>
      </c>
      <c r="J100" s="97">
        <v>1</v>
      </c>
      <c r="K100" s="97">
        <v>1</v>
      </c>
      <c r="L100" s="97">
        <v>1</v>
      </c>
      <c r="M100" s="97">
        <v>1</v>
      </c>
      <c r="N100" s="97">
        <v>1</v>
      </c>
      <c r="O100" s="97">
        <v>1</v>
      </c>
      <c r="P100" s="97">
        <v>1</v>
      </c>
      <c r="Q100" s="97">
        <v>0.66666669000000001</v>
      </c>
      <c r="R100" s="97">
        <v>1</v>
      </c>
      <c r="S100" s="97">
        <v>1</v>
      </c>
      <c r="T100" s="97">
        <v>1</v>
      </c>
      <c r="U100" s="97">
        <v>1</v>
      </c>
      <c r="V100" s="97">
        <v>1</v>
      </c>
      <c r="W100" s="97">
        <v>0.80000000999999998</v>
      </c>
      <c r="X100" s="97">
        <v>1</v>
      </c>
      <c r="Y100" s="97">
        <v>1</v>
      </c>
      <c r="Z100" s="97">
        <v>1</v>
      </c>
      <c r="AA100" s="97">
        <v>1</v>
      </c>
      <c r="AB100" s="97">
        <v>1</v>
      </c>
      <c r="AC100" s="97">
        <v>1</v>
      </c>
      <c r="AD100" s="97">
        <v>1</v>
      </c>
      <c r="AE100" s="97">
        <v>1</v>
      </c>
      <c r="AF100" s="97">
        <v>1</v>
      </c>
      <c r="AG100" s="97">
        <v>1</v>
      </c>
      <c r="AH100" s="97">
        <v>1</v>
      </c>
      <c r="AI100" s="97">
        <v>1</v>
      </c>
      <c r="AJ100" s="97">
        <v>1</v>
      </c>
      <c r="AK100" s="97">
        <v>1</v>
      </c>
      <c r="AL100" s="97">
        <v>1</v>
      </c>
      <c r="AM100" s="97">
        <v>1</v>
      </c>
      <c r="AN100" s="97">
        <v>0.83333330999999999</v>
      </c>
    </row>
    <row r="101" spans="1:40" s="150" customFormat="1" ht="20.25" customHeight="1" x14ac:dyDescent="0.35">
      <c r="A101" s="95">
        <v>7</v>
      </c>
      <c r="B101" s="151" t="s">
        <v>318</v>
      </c>
      <c r="C101" s="176">
        <v>0.39679039999999999</v>
      </c>
      <c r="D101" s="176">
        <v>0.3333333</v>
      </c>
      <c r="E101" s="176">
        <v>0</v>
      </c>
      <c r="F101" s="176">
        <v>1</v>
      </c>
      <c r="G101" s="91">
        <v>0.5</v>
      </c>
      <c r="H101" s="91">
        <v>0.25</v>
      </c>
      <c r="I101" s="91">
        <v>0.33333333999999998</v>
      </c>
      <c r="J101" s="91">
        <v>0.69999999000000002</v>
      </c>
      <c r="K101" s="91">
        <v>0.2</v>
      </c>
      <c r="L101" s="91">
        <v>0.25</v>
      </c>
      <c r="M101" s="91">
        <v>0.2</v>
      </c>
      <c r="N101" s="91">
        <v>0.125</v>
      </c>
      <c r="O101" s="91">
        <v>0.1</v>
      </c>
      <c r="P101" s="91">
        <v>0.25</v>
      </c>
      <c r="Q101" s="91">
        <v>0.44444444999999999</v>
      </c>
      <c r="R101" s="91">
        <v>0</v>
      </c>
      <c r="S101" s="91">
        <v>0.16666666999999999</v>
      </c>
      <c r="T101" s="91">
        <v>0</v>
      </c>
      <c r="U101" s="91">
        <v>0.5</v>
      </c>
      <c r="V101" s="91">
        <v>0.5</v>
      </c>
      <c r="W101" s="91">
        <v>0.80000000999999998</v>
      </c>
      <c r="X101" s="91">
        <v>1</v>
      </c>
      <c r="Y101" s="91">
        <v>0.57142859999999995</v>
      </c>
      <c r="Z101" s="91">
        <v>0.80000000999999998</v>
      </c>
      <c r="AA101" s="91">
        <v>0.5</v>
      </c>
      <c r="AB101" s="91">
        <v>0.91666669000000001</v>
      </c>
      <c r="AC101" s="91">
        <v>0.33333333999999998</v>
      </c>
      <c r="AD101" s="91">
        <v>0.25</v>
      </c>
      <c r="AE101" s="91">
        <v>0.16666666999999999</v>
      </c>
      <c r="AF101" s="91">
        <v>0.16666666999999999</v>
      </c>
      <c r="AG101" s="91">
        <v>1</v>
      </c>
      <c r="AH101" s="91">
        <v>0.2</v>
      </c>
      <c r="AI101" s="91">
        <v>0.5</v>
      </c>
      <c r="AJ101" s="91">
        <v>0.60000001999999997</v>
      </c>
      <c r="AK101" s="91">
        <v>0</v>
      </c>
      <c r="AL101" s="91">
        <v>0.40000001000000002</v>
      </c>
      <c r="AM101" s="91">
        <v>0.60000001999999997</v>
      </c>
      <c r="AN101" s="91">
        <v>0.16666666999999999</v>
      </c>
    </row>
    <row r="102" spans="1:40" s="150" customFormat="1" ht="20.25" customHeight="1" x14ac:dyDescent="0.35">
      <c r="A102" s="96">
        <v>8</v>
      </c>
      <c r="B102" s="152" t="s">
        <v>321</v>
      </c>
      <c r="C102" s="177">
        <v>0.99411760000000005</v>
      </c>
      <c r="D102" s="177">
        <v>1</v>
      </c>
      <c r="E102" s="177">
        <v>0.8</v>
      </c>
      <c r="F102" s="177">
        <v>1</v>
      </c>
      <c r="G102" s="97">
        <v>1</v>
      </c>
      <c r="H102" s="97">
        <v>1</v>
      </c>
      <c r="I102" s="97">
        <v>1</v>
      </c>
      <c r="J102" s="97">
        <v>1</v>
      </c>
      <c r="K102" s="97">
        <v>1</v>
      </c>
      <c r="L102" s="97">
        <v>1</v>
      </c>
      <c r="M102" s="97">
        <v>1</v>
      </c>
      <c r="N102" s="97">
        <v>1</v>
      </c>
      <c r="O102" s="97">
        <v>1</v>
      </c>
      <c r="P102" s="97">
        <v>1</v>
      </c>
      <c r="Q102" s="97">
        <v>1</v>
      </c>
      <c r="R102" s="97">
        <v>1</v>
      </c>
      <c r="S102" s="97">
        <v>1</v>
      </c>
      <c r="T102" s="97">
        <v>1</v>
      </c>
      <c r="U102" s="97">
        <v>1</v>
      </c>
      <c r="V102" s="97">
        <v>1</v>
      </c>
      <c r="W102" s="97">
        <v>1</v>
      </c>
      <c r="X102" s="97">
        <v>1</v>
      </c>
      <c r="Y102" s="97">
        <v>1</v>
      </c>
      <c r="Z102" s="97">
        <v>1</v>
      </c>
      <c r="AA102" s="97">
        <v>1</v>
      </c>
      <c r="AB102" s="97">
        <v>1</v>
      </c>
      <c r="AC102" s="97">
        <v>1</v>
      </c>
      <c r="AD102" s="97">
        <v>1</v>
      </c>
      <c r="AE102" s="97">
        <v>1</v>
      </c>
      <c r="AF102" s="97">
        <v>1</v>
      </c>
      <c r="AG102" s="97">
        <v>1</v>
      </c>
      <c r="AH102" s="97">
        <v>0.80000000999999998</v>
      </c>
      <c r="AI102" s="97">
        <v>1</v>
      </c>
      <c r="AJ102" s="97">
        <v>1</v>
      </c>
      <c r="AK102" s="97">
        <v>1</v>
      </c>
      <c r="AL102" s="97">
        <v>1</v>
      </c>
      <c r="AM102" s="97">
        <v>1</v>
      </c>
      <c r="AN102" s="97">
        <v>1</v>
      </c>
    </row>
    <row r="103" spans="1:40" s="150" customFormat="1" ht="20.25" customHeight="1" x14ac:dyDescent="0.35">
      <c r="A103" s="95">
        <v>9</v>
      </c>
      <c r="B103" s="151" t="s">
        <v>322</v>
      </c>
      <c r="C103" s="176">
        <v>0.93179270000000003</v>
      </c>
      <c r="D103" s="176">
        <v>1</v>
      </c>
      <c r="E103" s="176">
        <v>0.3333333</v>
      </c>
      <c r="F103" s="176">
        <v>1</v>
      </c>
      <c r="G103" s="91">
        <v>1</v>
      </c>
      <c r="H103" s="91">
        <v>1</v>
      </c>
      <c r="I103" s="91">
        <v>1</v>
      </c>
      <c r="J103" s="91">
        <v>1</v>
      </c>
      <c r="K103" s="91">
        <v>1</v>
      </c>
      <c r="L103" s="91">
        <v>1</v>
      </c>
      <c r="M103" s="91">
        <v>1</v>
      </c>
      <c r="N103" s="91">
        <v>0.75</v>
      </c>
      <c r="O103" s="91">
        <v>1</v>
      </c>
      <c r="P103" s="91">
        <v>1</v>
      </c>
      <c r="Q103" s="91">
        <v>1</v>
      </c>
      <c r="R103" s="91">
        <v>1</v>
      </c>
      <c r="S103" s="91">
        <v>0.66666669000000001</v>
      </c>
      <c r="T103" s="91">
        <v>1</v>
      </c>
      <c r="U103" s="91">
        <v>1</v>
      </c>
      <c r="V103" s="91">
        <v>0.83333330999999999</v>
      </c>
      <c r="W103" s="91">
        <v>1</v>
      </c>
      <c r="X103" s="91">
        <v>1</v>
      </c>
      <c r="Y103" s="91">
        <v>1</v>
      </c>
      <c r="Z103" s="91">
        <v>1</v>
      </c>
      <c r="AA103" s="91">
        <v>1</v>
      </c>
      <c r="AB103" s="91">
        <v>0.91666669000000001</v>
      </c>
      <c r="AC103" s="91">
        <v>0.83333330999999999</v>
      </c>
      <c r="AD103" s="91">
        <v>1</v>
      </c>
      <c r="AE103" s="91">
        <v>0.83333330999999999</v>
      </c>
      <c r="AF103" s="91">
        <v>0.33333333999999998</v>
      </c>
      <c r="AG103" s="91">
        <v>1</v>
      </c>
      <c r="AH103" s="91">
        <v>0.80000000999999998</v>
      </c>
      <c r="AI103" s="91">
        <v>1</v>
      </c>
      <c r="AJ103" s="91">
        <v>1</v>
      </c>
      <c r="AK103" s="91">
        <v>0.71428572999999995</v>
      </c>
      <c r="AL103" s="91">
        <v>1</v>
      </c>
      <c r="AM103" s="91">
        <v>1</v>
      </c>
      <c r="AN103" s="91">
        <v>1</v>
      </c>
    </row>
    <row r="104" spans="1:40" s="150" customFormat="1" ht="15.5" x14ac:dyDescent="0.35">
      <c r="A104" s="96">
        <v>10</v>
      </c>
      <c r="B104" s="152" t="s">
        <v>326</v>
      </c>
      <c r="C104" s="177">
        <v>0.86077269999999995</v>
      </c>
      <c r="D104" s="177">
        <v>1</v>
      </c>
      <c r="E104" s="177">
        <v>0.25</v>
      </c>
      <c r="F104" s="177">
        <v>1</v>
      </c>
      <c r="G104" s="97">
        <v>1</v>
      </c>
      <c r="H104" s="97">
        <v>0.75</v>
      </c>
      <c r="I104" s="97">
        <v>1</v>
      </c>
      <c r="J104" s="97">
        <v>0.89999998000000003</v>
      </c>
      <c r="K104" s="97">
        <v>1</v>
      </c>
      <c r="L104" s="97">
        <v>0.5</v>
      </c>
      <c r="M104" s="97">
        <v>1</v>
      </c>
      <c r="N104" s="97">
        <v>1</v>
      </c>
      <c r="O104" s="97">
        <v>0.80000000999999998</v>
      </c>
      <c r="P104" s="97">
        <v>1</v>
      </c>
      <c r="Q104" s="97">
        <v>0.88888889999999998</v>
      </c>
      <c r="R104" s="97">
        <v>1</v>
      </c>
      <c r="S104" s="97">
        <v>0.83333330999999999</v>
      </c>
      <c r="T104" s="97">
        <v>1</v>
      </c>
      <c r="U104" s="97">
        <v>0.75</v>
      </c>
      <c r="V104" s="97">
        <v>0.66666669000000001</v>
      </c>
      <c r="W104" s="97">
        <v>0.80000000999999998</v>
      </c>
      <c r="X104" s="97">
        <v>1</v>
      </c>
      <c r="Y104" s="97">
        <v>0.42857142999999998</v>
      </c>
      <c r="Z104" s="97">
        <v>1</v>
      </c>
      <c r="AA104" s="97">
        <v>0.875</v>
      </c>
      <c r="AB104" s="97">
        <v>0.91666669000000001</v>
      </c>
      <c r="AC104" s="97">
        <v>1</v>
      </c>
      <c r="AD104" s="97">
        <v>0.25</v>
      </c>
      <c r="AE104" s="97">
        <v>1</v>
      </c>
      <c r="AF104" s="97">
        <v>1</v>
      </c>
      <c r="AG104" s="97">
        <v>0.25</v>
      </c>
      <c r="AH104" s="97">
        <v>1</v>
      </c>
      <c r="AI104" s="97">
        <v>1</v>
      </c>
      <c r="AJ104" s="97">
        <v>1</v>
      </c>
      <c r="AK104" s="97">
        <v>0.85714287</v>
      </c>
      <c r="AL104" s="97">
        <v>0.80000000999999998</v>
      </c>
      <c r="AM104" s="97">
        <v>1</v>
      </c>
      <c r="AN104" s="97">
        <v>1</v>
      </c>
    </row>
    <row r="105" spans="1:40" s="150" customFormat="1" ht="30" x14ac:dyDescent="0.35">
      <c r="A105" s="95">
        <v>11</v>
      </c>
      <c r="B105" s="151" t="s">
        <v>329</v>
      </c>
      <c r="C105" s="176">
        <v>0.87932999999999995</v>
      </c>
      <c r="D105" s="176">
        <v>1</v>
      </c>
      <c r="E105" s="176">
        <v>0.125</v>
      </c>
      <c r="F105" s="176">
        <v>1</v>
      </c>
      <c r="G105" s="91">
        <v>1</v>
      </c>
      <c r="H105" s="91">
        <v>1</v>
      </c>
      <c r="I105" s="91">
        <v>0.83333330999999999</v>
      </c>
      <c r="J105" s="91">
        <v>1</v>
      </c>
      <c r="K105" s="91">
        <v>1</v>
      </c>
      <c r="L105" s="91">
        <v>1</v>
      </c>
      <c r="M105" s="91">
        <v>0.60000001999999997</v>
      </c>
      <c r="N105" s="91">
        <v>1</v>
      </c>
      <c r="O105" s="91">
        <v>0.60000001999999997</v>
      </c>
      <c r="P105" s="91">
        <v>1</v>
      </c>
      <c r="Q105" s="91">
        <v>0.88888889999999998</v>
      </c>
      <c r="R105" s="91">
        <v>0.40000001000000002</v>
      </c>
      <c r="S105" s="91">
        <v>1</v>
      </c>
      <c r="T105" s="91">
        <v>1</v>
      </c>
      <c r="U105" s="91">
        <v>0.75</v>
      </c>
      <c r="V105" s="91">
        <v>0.83333330999999999</v>
      </c>
      <c r="W105" s="91">
        <v>0.80000000999999998</v>
      </c>
      <c r="X105" s="91">
        <v>1</v>
      </c>
      <c r="Y105" s="91">
        <v>1</v>
      </c>
      <c r="Z105" s="91">
        <v>1</v>
      </c>
      <c r="AA105" s="91">
        <v>0.125</v>
      </c>
      <c r="AB105" s="91">
        <v>1</v>
      </c>
      <c r="AC105" s="91">
        <v>1</v>
      </c>
      <c r="AD105" s="91">
        <v>1</v>
      </c>
      <c r="AE105" s="91">
        <v>1</v>
      </c>
      <c r="AF105" s="91">
        <v>0.83333330999999999</v>
      </c>
      <c r="AG105" s="91">
        <v>1</v>
      </c>
      <c r="AH105" s="91">
        <v>0.80000000999999998</v>
      </c>
      <c r="AI105" s="91">
        <v>1</v>
      </c>
      <c r="AJ105" s="91">
        <v>1</v>
      </c>
      <c r="AK105" s="91">
        <v>1</v>
      </c>
      <c r="AL105" s="91">
        <v>0.60000001999999997</v>
      </c>
      <c r="AM105" s="91">
        <v>1</v>
      </c>
      <c r="AN105" s="91">
        <v>0.83333330999999999</v>
      </c>
    </row>
    <row r="106" spans="1:40" s="150" customFormat="1" ht="15.5" x14ac:dyDescent="0.35">
      <c r="A106" s="96">
        <v>12</v>
      </c>
      <c r="B106" s="152" t="s">
        <v>332</v>
      </c>
      <c r="C106" s="177">
        <v>0.78739490000000001</v>
      </c>
      <c r="D106" s="177">
        <v>0.83333330000000005</v>
      </c>
      <c r="E106" s="177">
        <v>0.1666667</v>
      </c>
      <c r="F106" s="177">
        <v>1</v>
      </c>
      <c r="G106" s="97">
        <v>0.83333330999999999</v>
      </c>
      <c r="H106" s="97">
        <v>0.5</v>
      </c>
      <c r="I106" s="97">
        <v>1</v>
      </c>
      <c r="J106" s="97">
        <v>0.5</v>
      </c>
      <c r="K106" s="97">
        <v>1</v>
      </c>
      <c r="L106" s="97">
        <v>1</v>
      </c>
      <c r="M106" s="97">
        <v>0.80000000999999998</v>
      </c>
      <c r="N106" s="97">
        <v>0.5</v>
      </c>
      <c r="O106" s="97">
        <v>0.80000000999999998</v>
      </c>
      <c r="P106" s="97">
        <v>1</v>
      </c>
      <c r="Q106" s="97">
        <v>0.77777779000000002</v>
      </c>
      <c r="R106" s="97">
        <v>0.89999998000000003</v>
      </c>
      <c r="S106" s="97">
        <v>0.83333330999999999</v>
      </c>
      <c r="T106" s="97">
        <v>0.88888889999999998</v>
      </c>
      <c r="U106" s="97">
        <v>0.75</v>
      </c>
      <c r="V106" s="97">
        <v>0.83333330999999999</v>
      </c>
      <c r="W106" s="97">
        <v>0.60000001999999997</v>
      </c>
      <c r="X106" s="97">
        <v>1</v>
      </c>
      <c r="Y106" s="97">
        <v>0.71428572999999995</v>
      </c>
      <c r="Z106" s="97">
        <v>1</v>
      </c>
      <c r="AA106" s="97">
        <v>1</v>
      </c>
      <c r="AB106" s="97">
        <v>0.91666669000000001</v>
      </c>
      <c r="AC106" s="97">
        <v>1</v>
      </c>
      <c r="AD106" s="97">
        <v>0.75</v>
      </c>
      <c r="AE106" s="97">
        <v>0.83333330999999999</v>
      </c>
      <c r="AF106" s="97">
        <v>0.16666666999999999</v>
      </c>
      <c r="AG106" s="97">
        <v>0.75</v>
      </c>
      <c r="AH106" s="97">
        <v>0.2</v>
      </c>
      <c r="AI106" s="97">
        <v>0.83333330999999999</v>
      </c>
      <c r="AJ106" s="97">
        <v>0.80000000999999998</v>
      </c>
      <c r="AK106" s="97">
        <v>0.85714287</v>
      </c>
      <c r="AL106" s="97">
        <v>1</v>
      </c>
      <c r="AM106" s="97">
        <v>0.60000001999999997</v>
      </c>
      <c r="AN106" s="97">
        <v>0.83333330999999999</v>
      </c>
    </row>
    <row r="107" spans="1:40" s="150" customFormat="1" ht="30" customHeight="1" x14ac:dyDescent="0.35">
      <c r="A107" s="95">
        <v>13</v>
      </c>
      <c r="B107" s="151" t="s">
        <v>333</v>
      </c>
      <c r="C107" s="176">
        <v>0.61845240000000001</v>
      </c>
      <c r="D107" s="176">
        <v>0.64583330000000005</v>
      </c>
      <c r="E107" s="176">
        <v>0.1</v>
      </c>
      <c r="F107" s="176">
        <v>1</v>
      </c>
      <c r="G107" s="91">
        <v>0.83333330999999999</v>
      </c>
      <c r="H107" s="91">
        <v>0.5</v>
      </c>
      <c r="I107" s="91">
        <v>1</v>
      </c>
      <c r="J107" s="91">
        <v>0.89999998000000003</v>
      </c>
      <c r="K107" s="91">
        <v>1</v>
      </c>
      <c r="L107" s="91">
        <v>0.5</v>
      </c>
      <c r="M107" s="91">
        <v>0.40000001000000002</v>
      </c>
      <c r="N107" s="91">
        <v>0.375</v>
      </c>
      <c r="O107" s="91">
        <v>0.1</v>
      </c>
      <c r="P107" s="91">
        <v>1</v>
      </c>
      <c r="Q107" s="91">
        <v>0.11111111</v>
      </c>
      <c r="R107" s="91">
        <v>1</v>
      </c>
      <c r="S107" s="91">
        <v>0.66666669000000001</v>
      </c>
      <c r="T107" s="91">
        <v>0.88888889999999998</v>
      </c>
      <c r="U107" s="91">
        <v>0.625</v>
      </c>
      <c r="V107" s="91">
        <v>0.33333333999999998</v>
      </c>
      <c r="W107" s="91">
        <v>1</v>
      </c>
      <c r="X107" s="91">
        <v>1</v>
      </c>
      <c r="Y107" s="91">
        <v>0.28571429999999998</v>
      </c>
      <c r="Z107" s="91">
        <v>1</v>
      </c>
      <c r="AA107" s="91">
        <v>0.125</v>
      </c>
      <c r="AB107" s="91">
        <v>0.66666669000000001</v>
      </c>
      <c r="AC107" s="91">
        <v>1</v>
      </c>
      <c r="AD107" s="91">
        <v>0.5</v>
      </c>
      <c r="AE107" s="91">
        <v>0.66666669000000001</v>
      </c>
      <c r="AF107" s="91">
        <v>0.33333333999999998</v>
      </c>
      <c r="AG107" s="91">
        <v>0.25</v>
      </c>
      <c r="AH107" s="91">
        <v>0.60000001999999997</v>
      </c>
      <c r="AI107" s="91">
        <v>0.5</v>
      </c>
      <c r="AJ107" s="91">
        <v>0.80000000999999998</v>
      </c>
      <c r="AK107" s="91">
        <v>1</v>
      </c>
      <c r="AL107" s="91">
        <v>0.2</v>
      </c>
      <c r="AM107" s="91">
        <v>0.2</v>
      </c>
      <c r="AN107" s="91">
        <v>0.66666669000000001</v>
      </c>
    </row>
    <row r="108" spans="1:40" s="150" customFormat="1" ht="15.5" x14ac:dyDescent="0.35">
      <c r="A108" s="96">
        <v>14</v>
      </c>
      <c r="B108" s="152" t="s">
        <v>337</v>
      </c>
      <c r="C108" s="177">
        <v>0.75739959999999995</v>
      </c>
      <c r="D108" s="177">
        <v>0.8</v>
      </c>
      <c r="E108" s="177">
        <v>0.125</v>
      </c>
      <c r="F108" s="177">
        <v>1</v>
      </c>
      <c r="G108" s="97">
        <v>0.83333330999999999</v>
      </c>
      <c r="H108" s="97">
        <v>0.75</v>
      </c>
      <c r="I108" s="97">
        <v>1</v>
      </c>
      <c r="J108" s="97">
        <v>1</v>
      </c>
      <c r="K108" s="97">
        <v>1</v>
      </c>
      <c r="L108" s="97">
        <v>0.75</v>
      </c>
      <c r="M108" s="97">
        <v>0.80000000999999998</v>
      </c>
      <c r="N108" s="97">
        <v>0.125</v>
      </c>
      <c r="O108" s="97">
        <v>0.80000000999999998</v>
      </c>
      <c r="P108" s="97">
        <v>0.5</v>
      </c>
      <c r="Q108" s="97">
        <v>0.77777779000000002</v>
      </c>
      <c r="R108" s="97">
        <v>0.60000001999999997</v>
      </c>
      <c r="S108" s="97">
        <v>0.66666669000000001</v>
      </c>
      <c r="T108" s="97">
        <v>0.66666669000000001</v>
      </c>
      <c r="U108" s="97">
        <v>1</v>
      </c>
      <c r="V108" s="97">
        <v>1</v>
      </c>
      <c r="W108" s="97">
        <v>1</v>
      </c>
      <c r="X108" s="97">
        <v>1</v>
      </c>
      <c r="Y108" s="97">
        <v>1</v>
      </c>
      <c r="Z108" s="97">
        <v>0.60000001999999997</v>
      </c>
      <c r="AA108" s="97">
        <v>0.375</v>
      </c>
      <c r="AB108" s="97">
        <v>0.66666669000000001</v>
      </c>
      <c r="AC108" s="97">
        <v>1</v>
      </c>
      <c r="AD108" s="97">
        <v>1</v>
      </c>
      <c r="AE108" s="97">
        <v>0.33333333999999998</v>
      </c>
      <c r="AF108" s="97">
        <v>1</v>
      </c>
      <c r="AG108" s="97">
        <v>0.25</v>
      </c>
      <c r="AH108" s="97">
        <v>1</v>
      </c>
      <c r="AI108" s="97">
        <v>1</v>
      </c>
      <c r="AJ108" s="97">
        <v>0.60000001999999997</v>
      </c>
      <c r="AK108" s="97">
        <v>0.85714287</v>
      </c>
      <c r="AL108" s="97">
        <v>0.2</v>
      </c>
      <c r="AM108" s="97">
        <v>0.60000001999999997</v>
      </c>
      <c r="AN108" s="97">
        <v>1</v>
      </c>
    </row>
    <row r="109" spans="1:40" s="150" customFormat="1" ht="20.25" customHeight="1" x14ac:dyDescent="0.35">
      <c r="A109" s="95">
        <v>15</v>
      </c>
      <c r="B109" s="151" t="s">
        <v>340</v>
      </c>
      <c r="C109" s="176">
        <v>0.51746029999999998</v>
      </c>
      <c r="D109" s="176">
        <v>0.4</v>
      </c>
      <c r="E109" s="176">
        <v>0</v>
      </c>
      <c r="F109" s="176">
        <v>1</v>
      </c>
      <c r="G109" s="91">
        <v>0.66666669000000001</v>
      </c>
      <c r="H109" s="91">
        <v>0.25</v>
      </c>
      <c r="I109" s="91">
        <v>0.33333333999999998</v>
      </c>
      <c r="J109" s="91">
        <v>1</v>
      </c>
      <c r="K109" s="91">
        <v>1</v>
      </c>
      <c r="L109" s="91">
        <v>0.75</v>
      </c>
      <c r="M109" s="91">
        <v>1</v>
      </c>
      <c r="N109" s="91">
        <v>0</v>
      </c>
      <c r="O109" s="91">
        <v>0.1</v>
      </c>
      <c r="P109" s="91">
        <v>0.25</v>
      </c>
      <c r="Q109" s="91">
        <v>0.11111111</v>
      </c>
      <c r="R109" s="91">
        <v>0.80000000999999998</v>
      </c>
      <c r="S109" s="91">
        <v>0.33333333999999998</v>
      </c>
      <c r="T109" s="91">
        <v>0.44444444999999999</v>
      </c>
      <c r="U109" s="91">
        <v>0.375</v>
      </c>
      <c r="V109" s="91">
        <v>0.33333333999999998</v>
      </c>
      <c r="W109" s="91">
        <v>0.60000001999999997</v>
      </c>
      <c r="X109" s="91">
        <v>1</v>
      </c>
      <c r="Y109" s="91">
        <v>0.28571429999999998</v>
      </c>
      <c r="Z109" s="91">
        <v>0.80000000999999998</v>
      </c>
      <c r="AA109" s="91">
        <v>0.875</v>
      </c>
      <c r="AB109" s="91">
        <v>0.33333333999999998</v>
      </c>
      <c r="AC109" s="91">
        <v>1</v>
      </c>
      <c r="AD109" s="91">
        <v>1</v>
      </c>
      <c r="AE109" s="91">
        <v>1</v>
      </c>
      <c r="AF109" s="91">
        <v>0.33333333999999998</v>
      </c>
      <c r="AG109" s="91">
        <v>0</v>
      </c>
      <c r="AH109" s="91">
        <v>0.40000001000000002</v>
      </c>
      <c r="AI109" s="91">
        <v>0.16666666999999999</v>
      </c>
      <c r="AJ109" s="91">
        <v>0.40000001000000002</v>
      </c>
      <c r="AK109" s="91">
        <v>0.28571429999999998</v>
      </c>
      <c r="AL109" s="91">
        <v>0.40000001000000002</v>
      </c>
      <c r="AM109" s="91">
        <v>0.80000000999999998</v>
      </c>
      <c r="AN109" s="91">
        <v>0.16666666999999999</v>
      </c>
    </row>
    <row r="110" spans="1:40" s="119" customFormat="1" ht="20.25" customHeight="1" x14ac:dyDescent="0.35">
      <c r="A110" s="381" t="s">
        <v>714</v>
      </c>
      <c r="B110" s="381"/>
      <c r="C110" s="175">
        <v>0.67125889999999999</v>
      </c>
      <c r="D110" s="175">
        <v>0.6570513</v>
      </c>
      <c r="E110" s="175">
        <v>0.32905980000000001</v>
      </c>
      <c r="F110" s="175">
        <v>1</v>
      </c>
      <c r="G110" s="89">
        <v>0.5</v>
      </c>
      <c r="H110" s="89">
        <v>0.84615386000000004</v>
      </c>
      <c r="I110" s="89">
        <v>0.78846156999999994</v>
      </c>
      <c r="J110" s="89">
        <v>0.83076923999999996</v>
      </c>
      <c r="K110" s="89">
        <v>0.59230769000000005</v>
      </c>
      <c r="L110" s="89">
        <v>0.69230771000000002</v>
      </c>
      <c r="M110" s="89">
        <v>0.88461535999999996</v>
      </c>
      <c r="N110" s="89">
        <v>0.74038464000000004</v>
      </c>
      <c r="O110" s="89">
        <v>0.61153846999999995</v>
      </c>
      <c r="P110" s="89">
        <v>0.59615386000000004</v>
      </c>
      <c r="Q110" s="89">
        <v>0.32905983999999999</v>
      </c>
      <c r="R110" s="89">
        <v>0.53076922999999998</v>
      </c>
      <c r="S110" s="89">
        <v>0.66025639000000003</v>
      </c>
      <c r="T110" s="89">
        <v>0.56837605999999996</v>
      </c>
      <c r="U110" s="89">
        <v>0.64903843000000006</v>
      </c>
      <c r="V110" s="89">
        <v>0.49358973</v>
      </c>
      <c r="W110" s="89">
        <v>0.65384613999999996</v>
      </c>
      <c r="X110" s="89">
        <v>1</v>
      </c>
      <c r="Y110" s="89">
        <v>0.64285713</v>
      </c>
      <c r="Z110" s="89">
        <v>0.89999998000000003</v>
      </c>
      <c r="AA110" s="89">
        <v>0.75480771000000002</v>
      </c>
      <c r="AB110" s="89">
        <v>0.54487180999999996</v>
      </c>
      <c r="AC110" s="89">
        <v>0.84615386000000004</v>
      </c>
      <c r="AD110" s="89">
        <v>0.77884613999999996</v>
      </c>
      <c r="AE110" s="89">
        <v>0.66666669000000001</v>
      </c>
      <c r="AF110" s="89">
        <v>0.37179487999999999</v>
      </c>
      <c r="AG110" s="89">
        <v>0.58653843000000006</v>
      </c>
      <c r="AH110" s="89">
        <v>0.49230769000000002</v>
      </c>
      <c r="AI110" s="89">
        <v>0.71794873000000003</v>
      </c>
      <c r="AJ110" s="89">
        <v>0.84615386000000004</v>
      </c>
      <c r="AK110" s="89">
        <v>0.78571427000000005</v>
      </c>
      <c r="AL110" s="89">
        <v>0.58461540999999995</v>
      </c>
      <c r="AM110" s="89">
        <v>0.47692308</v>
      </c>
      <c r="AN110" s="89">
        <v>0.85897433999999995</v>
      </c>
    </row>
    <row r="111" spans="1:40" s="150" customFormat="1" ht="45" x14ac:dyDescent="0.35">
      <c r="A111" s="95">
        <v>1</v>
      </c>
      <c r="B111" s="151" t="s">
        <v>344</v>
      </c>
      <c r="C111" s="176">
        <v>0.36299019999999999</v>
      </c>
      <c r="D111" s="176">
        <v>0.3541667</v>
      </c>
      <c r="E111" s="176">
        <v>0</v>
      </c>
      <c r="F111" s="176">
        <v>1</v>
      </c>
      <c r="G111" s="91">
        <v>0.5</v>
      </c>
      <c r="H111" s="91">
        <v>0.5</v>
      </c>
      <c r="I111" s="91">
        <v>0.83333330999999999</v>
      </c>
      <c r="J111" s="91">
        <v>0.60000001999999997</v>
      </c>
      <c r="K111" s="91">
        <v>0.80000000999999998</v>
      </c>
      <c r="L111" s="91">
        <v>0</v>
      </c>
      <c r="M111" s="91">
        <v>0.80000000999999998</v>
      </c>
      <c r="N111" s="91">
        <v>0</v>
      </c>
      <c r="O111" s="91">
        <v>0.1</v>
      </c>
      <c r="P111" s="91">
        <v>0</v>
      </c>
      <c r="Q111" s="91">
        <v>0</v>
      </c>
      <c r="R111" s="91">
        <v>0</v>
      </c>
      <c r="S111" s="91">
        <v>0.33333333999999998</v>
      </c>
      <c r="T111" s="91">
        <v>0.66666669000000001</v>
      </c>
      <c r="U111" s="91">
        <v>0</v>
      </c>
      <c r="V111" s="91">
        <v>0</v>
      </c>
      <c r="W111" s="91">
        <v>0.40000001000000002</v>
      </c>
      <c r="X111" s="91">
        <v>1</v>
      </c>
      <c r="Y111" s="91">
        <v>0.42857142999999998</v>
      </c>
      <c r="Z111" s="91">
        <v>0.80000000999999998</v>
      </c>
      <c r="AA111" s="91">
        <v>0.375</v>
      </c>
      <c r="AB111" s="91">
        <v>0.41666666000000002</v>
      </c>
      <c r="AC111" s="91">
        <v>0.83333330999999999</v>
      </c>
      <c r="AD111" s="91">
        <v>0.25</v>
      </c>
      <c r="AE111" s="91">
        <v>0</v>
      </c>
      <c r="AF111" s="91">
        <v>0</v>
      </c>
      <c r="AG111" s="91">
        <v>0</v>
      </c>
      <c r="AH111" s="91">
        <v>0.60000001999999997</v>
      </c>
      <c r="AI111" s="91">
        <v>0.33333333999999998</v>
      </c>
      <c r="AJ111" s="91">
        <v>1</v>
      </c>
      <c r="AK111" s="91">
        <v>0.57142859999999995</v>
      </c>
      <c r="AL111" s="91">
        <v>0.2</v>
      </c>
      <c r="AM111" s="91">
        <v>0</v>
      </c>
      <c r="AN111" s="91">
        <v>0</v>
      </c>
    </row>
    <row r="112" spans="1:40" s="150" customFormat="1" ht="20.25" customHeight="1" x14ac:dyDescent="0.35">
      <c r="A112" s="96">
        <v>2</v>
      </c>
      <c r="B112" s="152" t="s">
        <v>347</v>
      </c>
      <c r="C112" s="177">
        <v>0.57831469999999996</v>
      </c>
      <c r="D112" s="177">
        <v>0.61250000000000004</v>
      </c>
      <c r="E112" s="177">
        <v>0</v>
      </c>
      <c r="F112" s="177">
        <v>1</v>
      </c>
      <c r="G112" s="97">
        <v>0.66666669000000001</v>
      </c>
      <c r="H112" s="97">
        <v>0.75</v>
      </c>
      <c r="I112" s="97">
        <v>1</v>
      </c>
      <c r="J112" s="97">
        <v>0.5</v>
      </c>
      <c r="K112" s="97">
        <v>1</v>
      </c>
      <c r="L112" s="97">
        <v>0.5</v>
      </c>
      <c r="M112" s="97">
        <v>0.80000000999999998</v>
      </c>
      <c r="N112" s="97">
        <v>0.625</v>
      </c>
      <c r="O112" s="97">
        <v>0.40000001000000002</v>
      </c>
      <c r="P112" s="97">
        <v>0.5</v>
      </c>
      <c r="Q112" s="97">
        <v>0.33333333999999998</v>
      </c>
      <c r="R112" s="97">
        <v>0.69999999000000002</v>
      </c>
      <c r="S112" s="97">
        <v>1</v>
      </c>
      <c r="T112" s="97">
        <v>0.88888889999999998</v>
      </c>
      <c r="U112" s="97">
        <v>0.25</v>
      </c>
      <c r="V112" s="97">
        <v>0</v>
      </c>
      <c r="W112" s="97">
        <v>0.60000001999999997</v>
      </c>
      <c r="X112" s="97">
        <v>1</v>
      </c>
      <c r="Y112" s="97">
        <v>0</v>
      </c>
      <c r="Z112" s="97">
        <v>0.80000000999999998</v>
      </c>
      <c r="AA112" s="97">
        <v>0.625</v>
      </c>
      <c r="AB112" s="97">
        <v>0.33333333999999998</v>
      </c>
      <c r="AC112" s="97">
        <v>0.66666669000000001</v>
      </c>
      <c r="AD112" s="97">
        <v>0</v>
      </c>
      <c r="AE112" s="97">
        <v>0.16666666999999999</v>
      </c>
      <c r="AF112" s="97">
        <v>0</v>
      </c>
      <c r="AG112" s="97">
        <v>1</v>
      </c>
      <c r="AH112" s="97">
        <v>0.40000001000000002</v>
      </c>
      <c r="AI112" s="97">
        <v>1</v>
      </c>
      <c r="AJ112" s="97">
        <v>1</v>
      </c>
      <c r="AK112" s="97">
        <v>0.85714287</v>
      </c>
      <c r="AL112" s="97">
        <v>0.40000001000000002</v>
      </c>
      <c r="AM112" s="97">
        <v>0.40000001000000002</v>
      </c>
      <c r="AN112" s="97">
        <v>0.5</v>
      </c>
    </row>
    <row r="113" spans="1:40" s="150" customFormat="1" ht="20.25" customHeight="1" x14ac:dyDescent="0.35">
      <c r="A113" s="95">
        <v>3</v>
      </c>
      <c r="B113" s="151" t="s">
        <v>350</v>
      </c>
      <c r="C113" s="176">
        <v>0.49597340000000001</v>
      </c>
      <c r="D113" s="176">
        <v>0.55000000000000004</v>
      </c>
      <c r="E113" s="176">
        <v>0</v>
      </c>
      <c r="F113" s="176">
        <v>1</v>
      </c>
      <c r="G113" s="91">
        <v>0.33333333999999998</v>
      </c>
      <c r="H113" s="91">
        <v>1</v>
      </c>
      <c r="I113" s="91">
        <v>0.66666669000000001</v>
      </c>
      <c r="J113" s="91">
        <v>0.69999999000000002</v>
      </c>
      <c r="K113" s="91">
        <v>0.2</v>
      </c>
      <c r="L113" s="91">
        <v>1</v>
      </c>
      <c r="M113" s="91">
        <v>1</v>
      </c>
      <c r="N113" s="91">
        <v>0.625</v>
      </c>
      <c r="O113" s="91">
        <v>0.69999999000000002</v>
      </c>
      <c r="P113" s="91">
        <v>0.5</v>
      </c>
      <c r="Q113" s="91">
        <v>0</v>
      </c>
      <c r="R113" s="91">
        <v>0</v>
      </c>
      <c r="S113" s="91">
        <v>0.33333333999999998</v>
      </c>
      <c r="T113" s="91">
        <v>0</v>
      </c>
      <c r="U113" s="91">
        <v>0.5</v>
      </c>
      <c r="V113" s="91">
        <v>0</v>
      </c>
      <c r="W113" s="91">
        <v>0.40000001000000002</v>
      </c>
      <c r="X113" s="91">
        <v>1</v>
      </c>
      <c r="Y113" s="91">
        <v>0.71428572999999995</v>
      </c>
      <c r="Z113" s="91">
        <v>0.80000000999999998</v>
      </c>
      <c r="AA113" s="91">
        <v>0.75</v>
      </c>
      <c r="AB113" s="91">
        <v>8.3333340000000006E-2</v>
      </c>
      <c r="AC113" s="91">
        <v>0.66666669000000001</v>
      </c>
      <c r="AD113" s="91">
        <v>0.75</v>
      </c>
      <c r="AE113" s="91">
        <v>0.66666669000000001</v>
      </c>
      <c r="AF113" s="91">
        <v>0</v>
      </c>
      <c r="AG113" s="91">
        <v>0.25</v>
      </c>
      <c r="AH113" s="91">
        <v>0</v>
      </c>
      <c r="AI113" s="91">
        <v>0.33333333999999998</v>
      </c>
      <c r="AJ113" s="91">
        <v>0.60000001999999997</v>
      </c>
      <c r="AK113" s="91">
        <v>0.85714287</v>
      </c>
      <c r="AL113" s="91">
        <v>0.40000001000000002</v>
      </c>
      <c r="AM113" s="91">
        <v>0.2</v>
      </c>
      <c r="AN113" s="91">
        <v>0.83333330999999999</v>
      </c>
    </row>
    <row r="114" spans="1:40" s="150" customFormat="1" ht="45" customHeight="1" x14ac:dyDescent="0.35">
      <c r="A114" s="96">
        <v>4</v>
      </c>
      <c r="B114" s="152" t="s">
        <v>353</v>
      </c>
      <c r="C114" s="177">
        <v>0.29062789999999999</v>
      </c>
      <c r="D114" s="177">
        <v>0.2</v>
      </c>
      <c r="E114" s="177">
        <v>0</v>
      </c>
      <c r="F114" s="177">
        <v>1</v>
      </c>
      <c r="G114" s="97">
        <v>0</v>
      </c>
      <c r="H114" s="97">
        <v>0.25</v>
      </c>
      <c r="I114" s="97">
        <v>0.5</v>
      </c>
      <c r="J114" s="97">
        <v>0.69999999000000002</v>
      </c>
      <c r="K114" s="97">
        <v>0.2</v>
      </c>
      <c r="L114" s="97">
        <v>0.25</v>
      </c>
      <c r="M114" s="97">
        <v>0.40000001000000002</v>
      </c>
      <c r="N114" s="97">
        <v>0.375</v>
      </c>
      <c r="O114" s="97">
        <v>0</v>
      </c>
      <c r="P114" s="97">
        <v>0</v>
      </c>
      <c r="Q114" s="97">
        <v>0</v>
      </c>
      <c r="R114" s="97">
        <v>0</v>
      </c>
      <c r="S114" s="97">
        <v>0.16666666999999999</v>
      </c>
      <c r="T114" s="97">
        <v>0.11111111</v>
      </c>
      <c r="U114" s="97">
        <v>0.125</v>
      </c>
      <c r="V114" s="97">
        <v>0</v>
      </c>
      <c r="W114" s="97">
        <v>0.2</v>
      </c>
      <c r="X114" s="97">
        <v>1</v>
      </c>
      <c r="Y114" s="97">
        <v>0.42857142999999998</v>
      </c>
      <c r="Z114" s="97">
        <v>0.80000000999999998</v>
      </c>
      <c r="AA114" s="97">
        <v>0.625</v>
      </c>
      <c r="AB114" s="97">
        <v>0</v>
      </c>
      <c r="AC114" s="97">
        <v>0.83333330999999999</v>
      </c>
      <c r="AD114" s="97">
        <v>0.75</v>
      </c>
      <c r="AE114" s="97">
        <v>0</v>
      </c>
      <c r="AF114" s="97">
        <v>0</v>
      </c>
      <c r="AG114" s="97">
        <v>0</v>
      </c>
      <c r="AH114" s="97">
        <v>0</v>
      </c>
      <c r="AI114" s="97">
        <v>0.33333333999999998</v>
      </c>
      <c r="AJ114" s="97">
        <v>0.60000001999999997</v>
      </c>
      <c r="AK114" s="97">
        <v>0</v>
      </c>
      <c r="AL114" s="97">
        <v>0.2</v>
      </c>
      <c r="AM114" s="97">
        <v>0.2</v>
      </c>
      <c r="AN114" s="97">
        <v>0.83333330999999999</v>
      </c>
    </row>
    <row r="115" spans="1:40" s="150" customFormat="1" ht="20.25" customHeight="1" x14ac:dyDescent="0.35">
      <c r="A115" s="95">
        <v>5</v>
      </c>
      <c r="B115" s="151" t="s">
        <v>355</v>
      </c>
      <c r="C115" s="176">
        <v>0.86884919999999999</v>
      </c>
      <c r="D115" s="176">
        <v>1</v>
      </c>
      <c r="E115" s="176">
        <v>0.1111111</v>
      </c>
      <c r="F115" s="176">
        <v>1</v>
      </c>
      <c r="G115" s="91">
        <v>0.83333330999999999</v>
      </c>
      <c r="H115" s="91">
        <v>1</v>
      </c>
      <c r="I115" s="91">
        <v>1</v>
      </c>
      <c r="J115" s="91">
        <v>1</v>
      </c>
      <c r="K115" s="91">
        <v>1</v>
      </c>
      <c r="L115" s="91">
        <v>1</v>
      </c>
      <c r="M115" s="91">
        <v>1</v>
      </c>
      <c r="N115" s="91">
        <v>1</v>
      </c>
      <c r="O115" s="91">
        <v>0.40000001000000002</v>
      </c>
      <c r="P115" s="91">
        <v>1</v>
      </c>
      <c r="Q115" s="91">
        <v>0.11111111</v>
      </c>
      <c r="R115" s="91">
        <v>1</v>
      </c>
      <c r="S115" s="91">
        <v>0.83333330999999999</v>
      </c>
      <c r="T115" s="91">
        <v>1</v>
      </c>
      <c r="U115" s="91">
        <v>0.875</v>
      </c>
      <c r="V115" s="91">
        <v>0.83333330999999999</v>
      </c>
      <c r="W115" s="91">
        <v>0.60000001999999997</v>
      </c>
      <c r="X115" s="91">
        <v>1</v>
      </c>
      <c r="Y115" s="91">
        <v>0.57142859999999995</v>
      </c>
      <c r="Z115" s="91">
        <v>1</v>
      </c>
      <c r="AA115" s="91">
        <v>0.75</v>
      </c>
      <c r="AB115" s="91">
        <v>0.75</v>
      </c>
      <c r="AC115" s="91">
        <v>0.83333330999999999</v>
      </c>
      <c r="AD115" s="91">
        <v>1</v>
      </c>
      <c r="AE115" s="91">
        <v>1</v>
      </c>
      <c r="AF115" s="91">
        <v>1</v>
      </c>
      <c r="AG115" s="91">
        <v>0.75</v>
      </c>
      <c r="AH115" s="91">
        <v>1</v>
      </c>
      <c r="AI115" s="91">
        <v>1</v>
      </c>
      <c r="AJ115" s="91">
        <v>1</v>
      </c>
      <c r="AK115" s="91">
        <v>1</v>
      </c>
      <c r="AL115" s="91">
        <v>0.60000001999999997</v>
      </c>
      <c r="AM115" s="91">
        <v>0.80000000999999998</v>
      </c>
      <c r="AN115" s="91">
        <v>1</v>
      </c>
    </row>
    <row r="116" spans="1:40" s="150" customFormat="1" ht="20.25" customHeight="1" x14ac:dyDescent="0.35">
      <c r="A116" s="96">
        <v>6</v>
      </c>
      <c r="B116" s="152" t="s">
        <v>358</v>
      </c>
      <c r="C116" s="177">
        <v>0.89465450000000002</v>
      </c>
      <c r="D116" s="177">
        <v>1</v>
      </c>
      <c r="E116" s="177">
        <v>0.5</v>
      </c>
      <c r="F116" s="177">
        <v>1</v>
      </c>
      <c r="G116" s="97">
        <v>0.5</v>
      </c>
      <c r="H116" s="97">
        <v>1</v>
      </c>
      <c r="I116" s="97">
        <v>1</v>
      </c>
      <c r="J116" s="97">
        <v>1</v>
      </c>
      <c r="K116" s="97">
        <v>0.60000001999999997</v>
      </c>
      <c r="L116" s="97">
        <v>0.75</v>
      </c>
      <c r="M116" s="97">
        <v>1</v>
      </c>
      <c r="N116" s="97">
        <v>1</v>
      </c>
      <c r="O116" s="97">
        <v>1</v>
      </c>
      <c r="P116" s="97">
        <v>0.75</v>
      </c>
      <c r="Q116" s="97">
        <v>0.55555558000000005</v>
      </c>
      <c r="R116" s="97">
        <v>0.89999998000000003</v>
      </c>
      <c r="S116" s="97">
        <v>1</v>
      </c>
      <c r="T116" s="97">
        <v>0.88888889999999998</v>
      </c>
      <c r="U116" s="97">
        <v>1</v>
      </c>
      <c r="V116" s="97">
        <v>1</v>
      </c>
      <c r="W116" s="97">
        <v>1</v>
      </c>
      <c r="X116" s="97">
        <v>1</v>
      </c>
      <c r="Y116" s="97">
        <v>0.85714287</v>
      </c>
      <c r="Z116" s="97">
        <v>1</v>
      </c>
      <c r="AA116" s="97">
        <v>0.75</v>
      </c>
      <c r="AB116" s="97">
        <v>1</v>
      </c>
      <c r="AC116" s="97">
        <v>1</v>
      </c>
      <c r="AD116" s="97">
        <v>1</v>
      </c>
      <c r="AE116" s="97">
        <v>1</v>
      </c>
      <c r="AF116" s="97">
        <v>0.66666669000000001</v>
      </c>
      <c r="AG116" s="97">
        <v>1</v>
      </c>
      <c r="AH116" s="97">
        <v>0.80000000999999998</v>
      </c>
      <c r="AI116" s="97">
        <v>1</v>
      </c>
      <c r="AJ116" s="97">
        <v>1</v>
      </c>
      <c r="AK116" s="97">
        <v>1</v>
      </c>
      <c r="AL116" s="97">
        <v>0.80000000999999998</v>
      </c>
      <c r="AM116" s="97">
        <v>0.60000001999999997</v>
      </c>
      <c r="AN116" s="97">
        <v>1</v>
      </c>
    </row>
    <row r="117" spans="1:40" s="150" customFormat="1" ht="20.25" customHeight="1" x14ac:dyDescent="0.35">
      <c r="A117" s="95">
        <v>7</v>
      </c>
      <c r="B117" s="151" t="s">
        <v>361</v>
      </c>
      <c r="C117" s="176">
        <v>1</v>
      </c>
      <c r="D117" s="176">
        <v>1</v>
      </c>
      <c r="E117" s="176">
        <v>1</v>
      </c>
      <c r="F117" s="176">
        <v>1</v>
      </c>
      <c r="G117" s="91">
        <v>1</v>
      </c>
      <c r="H117" s="91">
        <v>1</v>
      </c>
      <c r="I117" s="91">
        <v>1</v>
      </c>
      <c r="J117" s="91">
        <v>1</v>
      </c>
      <c r="K117" s="91">
        <v>1</v>
      </c>
      <c r="L117" s="91">
        <v>1</v>
      </c>
      <c r="M117" s="91">
        <v>1</v>
      </c>
      <c r="N117" s="91">
        <v>1</v>
      </c>
      <c r="O117" s="91">
        <v>1</v>
      </c>
      <c r="P117" s="91">
        <v>1</v>
      </c>
      <c r="Q117" s="91">
        <v>1</v>
      </c>
      <c r="R117" s="91">
        <v>1</v>
      </c>
      <c r="S117" s="91">
        <v>1</v>
      </c>
      <c r="T117" s="91">
        <v>1</v>
      </c>
      <c r="U117" s="91">
        <v>1</v>
      </c>
      <c r="V117" s="91">
        <v>1</v>
      </c>
      <c r="W117" s="91">
        <v>1</v>
      </c>
      <c r="X117" s="91">
        <v>1</v>
      </c>
      <c r="Y117" s="91">
        <v>1</v>
      </c>
      <c r="Z117" s="91">
        <v>1</v>
      </c>
      <c r="AA117" s="91">
        <v>1</v>
      </c>
      <c r="AB117" s="91">
        <v>1</v>
      </c>
      <c r="AC117" s="91">
        <v>1</v>
      </c>
      <c r="AD117" s="91">
        <v>1</v>
      </c>
      <c r="AE117" s="91">
        <v>1</v>
      </c>
      <c r="AF117" s="91">
        <v>1</v>
      </c>
      <c r="AG117" s="91">
        <v>1</v>
      </c>
      <c r="AH117" s="91">
        <v>1</v>
      </c>
      <c r="AI117" s="91">
        <v>1</v>
      </c>
      <c r="AJ117" s="91">
        <v>1</v>
      </c>
      <c r="AK117" s="91">
        <v>1</v>
      </c>
      <c r="AL117" s="91">
        <v>1</v>
      </c>
      <c r="AM117" s="91">
        <v>1</v>
      </c>
      <c r="AN117" s="91">
        <v>1</v>
      </c>
    </row>
    <row r="118" spans="1:40" s="150" customFormat="1" ht="20.25" customHeight="1" x14ac:dyDescent="0.35">
      <c r="A118" s="96">
        <v>8</v>
      </c>
      <c r="B118" s="152" t="s">
        <v>364</v>
      </c>
      <c r="C118" s="177">
        <v>0.77899160000000001</v>
      </c>
      <c r="D118" s="177">
        <v>0.875</v>
      </c>
      <c r="E118" s="177">
        <v>0.2</v>
      </c>
      <c r="F118" s="177">
        <v>1</v>
      </c>
      <c r="G118" s="97">
        <v>0.66666669000000001</v>
      </c>
      <c r="H118" s="97">
        <v>1</v>
      </c>
      <c r="I118" s="97">
        <v>0.33333333999999998</v>
      </c>
      <c r="J118" s="97">
        <v>1</v>
      </c>
      <c r="K118" s="97">
        <v>1</v>
      </c>
      <c r="L118" s="97">
        <v>0.25</v>
      </c>
      <c r="M118" s="97">
        <v>1</v>
      </c>
      <c r="N118" s="97">
        <v>0.875</v>
      </c>
      <c r="O118" s="97">
        <v>0.2</v>
      </c>
      <c r="P118" s="97">
        <v>1</v>
      </c>
      <c r="Q118" s="97">
        <v>0.22222222</v>
      </c>
      <c r="R118" s="97">
        <v>1</v>
      </c>
      <c r="S118" s="97">
        <v>0.66666669000000001</v>
      </c>
      <c r="T118" s="97">
        <v>0.77777779000000002</v>
      </c>
      <c r="U118" s="97">
        <v>1</v>
      </c>
      <c r="V118" s="97">
        <v>1</v>
      </c>
      <c r="W118" s="97">
        <v>0.80000000999999998</v>
      </c>
      <c r="X118" s="97">
        <v>1</v>
      </c>
      <c r="Y118" s="97">
        <v>0.28571429999999998</v>
      </c>
      <c r="Z118" s="97">
        <v>1</v>
      </c>
      <c r="AA118" s="97">
        <v>0.875</v>
      </c>
      <c r="AB118" s="97">
        <v>0.91666669000000001</v>
      </c>
      <c r="AC118" s="97">
        <v>0.83333330999999999</v>
      </c>
      <c r="AD118" s="97">
        <v>0.75</v>
      </c>
      <c r="AE118" s="97">
        <v>1</v>
      </c>
      <c r="AF118" s="97">
        <v>0.33333333999999998</v>
      </c>
      <c r="AG118" s="97">
        <v>0.5</v>
      </c>
      <c r="AH118" s="97">
        <v>0.80000000999999998</v>
      </c>
      <c r="AI118" s="97">
        <v>1</v>
      </c>
      <c r="AJ118" s="97">
        <v>1</v>
      </c>
      <c r="AK118" s="97">
        <v>1</v>
      </c>
      <c r="AL118" s="97">
        <v>0.80000000999999998</v>
      </c>
      <c r="AM118" s="97">
        <v>0.60000001999999997</v>
      </c>
      <c r="AN118" s="97">
        <v>1</v>
      </c>
    </row>
    <row r="119" spans="1:40" s="119" customFormat="1" ht="24.75" customHeight="1" x14ac:dyDescent="0.35">
      <c r="A119" s="381" t="s">
        <v>802</v>
      </c>
      <c r="B119" s="381"/>
      <c r="C119" s="175">
        <v>0.46293380000000001</v>
      </c>
      <c r="D119" s="175">
        <v>0.47890240000000001</v>
      </c>
      <c r="E119" s="175">
        <v>0.27485029999999999</v>
      </c>
      <c r="F119" s="175">
        <v>0.67709200000000003</v>
      </c>
      <c r="G119" s="89">
        <v>0.44058185999999999</v>
      </c>
      <c r="H119" s="89">
        <v>0.50104320000000002</v>
      </c>
      <c r="I119" s="89">
        <v>0.47748407999999998</v>
      </c>
      <c r="J119" s="89">
        <v>0.61811375999999996</v>
      </c>
      <c r="K119" s="89">
        <v>0.51089823000000001</v>
      </c>
      <c r="L119" s="89">
        <v>0.41296157</v>
      </c>
      <c r="M119" s="89">
        <v>0.50376469000000001</v>
      </c>
      <c r="N119" s="89">
        <v>0.35716933000000001</v>
      </c>
      <c r="O119" s="89">
        <v>0.42631891</v>
      </c>
      <c r="P119" s="89">
        <v>0.48290348</v>
      </c>
      <c r="Q119" s="89">
        <v>0.29796463000000001</v>
      </c>
      <c r="R119" s="89">
        <v>0.42432353</v>
      </c>
      <c r="S119" s="89">
        <v>0.41331345000000003</v>
      </c>
      <c r="T119" s="89">
        <v>0.51208502</v>
      </c>
      <c r="U119" s="89">
        <v>0.36680329</v>
      </c>
      <c r="V119" s="89">
        <v>0.40573373000000001</v>
      </c>
      <c r="W119" s="89">
        <v>0.59881306000000001</v>
      </c>
      <c r="X119" s="89">
        <v>0.63264096000000003</v>
      </c>
      <c r="Y119" s="89">
        <v>0.48047844000000001</v>
      </c>
      <c r="Z119" s="89">
        <v>0.67709196000000005</v>
      </c>
      <c r="AA119" s="89">
        <v>0.57558357999999998</v>
      </c>
      <c r="AB119" s="89">
        <v>0.4905079</v>
      </c>
      <c r="AC119" s="89">
        <v>0.60909091999999998</v>
      </c>
      <c r="AD119" s="89">
        <v>0.28316328000000002</v>
      </c>
      <c r="AE119" s="89">
        <v>0.48032068999999999</v>
      </c>
      <c r="AF119" s="89">
        <v>0.35266765999999999</v>
      </c>
      <c r="AG119" s="89">
        <v>0.38798821</v>
      </c>
      <c r="AH119" s="89">
        <v>0.27485030999999999</v>
      </c>
      <c r="AI119" s="89">
        <v>0.48078078000000002</v>
      </c>
      <c r="AJ119" s="89">
        <v>0.43622752999999997</v>
      </c>
      <c r="AK119" s="89">
        <v>0.52839559000000003</v>
      </c>
      <c r="AL119" s="89">
        <v>0.39131737</v>
      </c>
      <c r="AM119" s="89">
        <v>0.42305388999999999</v>
      </c>
      <c r="AN119" s="89">
        <v>0.48531571000000001</v>
      </c>
    </row>
  </sheetData>
  <mergeCells count="22">
    <mergeCell ref="A119:B119"/>
    <mergeCell ref="A2:B2"/>
    <mergeCell ref="A82:B82"/>
    <mergeCell ref="A94:B94"/>
    <mergeCell ref="A110:B110"/>
    <mergeCell ref="A61:B61"/>
    <mergeCell ref="A7:B7"/>
    <mergeCell ref="A17:B17"/>
    <mergeCell ref="A28:B28"/>
    <mergeCell ref="A53:B53"/>
    <mergeCell ref="A4:B4"/>
    <mergeCell ref="A5:B5"/>
    <mergeCell ref="A6:B6"/>
    <mergeCell ref="A72:B72"/>
    <mergeCell ref="A79:B79"/>
    <mergeCell ref="A3:B3"/>
    <mergeCell ref="A1:B1"/>
    <mergeCell ref="C1:F1"/>
    <mergeCell ref="C2:C3"/>
    <mergeCell ref="D2:D3"/>
    <mergeCell ref="E2:E3"/>
    <mergeCell ref="F2:F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39997558519241921"/>
  </sheetPr>
  <dimension ref="A1:FG219"/>
  <sheetViews>
    <sheetView topLeftCell="CJ1" zoomScale="32" zoomScaleNormal="32" workbookViewId="0">
      <selection activeCell="DE2" sqref="DE1:DE1048576"/>
    </sheetView>
  </sheetViews>
  <sheetFormatPr defaultColWidth="20.5" defaultRowHeight="15.5" x14ac:dyDescent="0.35"/>
  <cols>
    <col min="1" max="4" width="20.5" style="143"/>
    <col min="5" max="13" width="20.5" style="78"/>
    <col min="14" max="14" width="20.5" style="137"/>
    <col min="15" max="15" width="3.5" style="78" customWidth="1"/>
    <col min="16" max="19" width="20.5" style="143"/>
    <col min="20" max="29" width="20.5" style="78"/>
    <col min="30" max="30" width="20.5" style="137"/>
    <col min="31" max="31" width="4.33203125" style="78" customWidth="1"/>
    <col min="32" max="35" width="20.5" style="143"/>
    <col min="36" max="59" width="20.5" style="78"/>
    <col min="60" max="60" width="20.5" style="137"/>
    <col min="61" max="61" width="4.33203125" style="78" customWidth="1"/>
    <col min="62" max="65" width="20.5" style="143"/>
    <col min="66" max="72" width="20.5" style="78"/>
    <col min="73" max="73" width="20.5" style="137"/>
    <col min="74" max="74" width="4.33203125" style="78" customWidth="1"/>
    <col min="75" max="78" width="20.5" style="143"/>
    <col min="79" max="88" width="20.5" style="78"/>
    <col min="89" max="89" width="20.5" style="137"/>
    <col min="90" max="90" width="4.33203125" style="78" customWidth="1"/>
    <col min="91" max="94" width="20.5" style="143"/>
    <col min="95" max="100" width="20.5" style="78"/>
    <col min="101" max="101" width="20.5" style="137"/>
    <col min="102" max="102" width="4.33203125" style="78" customWidth="1"/>
    <col min="103" max="106" width="20.5" style="143"/>
    <col min="107" max="107" width="20.5" style="78"/>
    <col min="108" max="109" width="20.5" style="137"/>
    <col min="110" max="110" width="4.33203125" style="78" customWidth="1"/>
    <col min="111" max="114" width="20.5" style="143"/>
    <col min="115" max="125" width="20.5" style="78"/>
    <col min="126" max="126" width="20.5" style="137"/>
    <col min="127" max="127" width="4.33203125" style="78" customWidth="1"/>
    <col min="128" max="131" width="20.5" style="143"/>
    <col min="132" max="146" width="20.5" style="78"/>
    <col min="147" max="147" width="20.5" style="137"/>
    <col min="148" max="148" width="4.33203125" style="78" customWidth="1"/>
    <col min="149" max="152" width="20.5" style="143"/>
    <col min="153" max="160" width="20.5" style="78"/>
    <col min="161" max="161" width="21.33203125" style="137" customWidth="1"/>
    <col min="162" max="162" width="4.33203125" style="78" customWidth="1"/>
    <col min="163" max="163" width="20.5" style="137"/>
  </cols>
  <sheetData>
    <row r="1" spans="1:163" s="120" customFormat="1" ht="72.75" customHeight="1" x14ac:dyDescent="0.35">
      <c r="A1" s="306"/>
      <c r="B1" s="306"/>
      <c r="C1" s="306"/>
      <c r="D1" s="306"/>
      <c r="E1" s="388" t="s">
        <v>803</v>
      </c>
      <c r="F1" s="389"/>
      <c r="G1" s="389"/>
      <c r="H1" s="389"/>
      <c r="I1" s="389"/>
      <c r="J1" s="389"/>
      <c r="K1" s="389"/>
      <c r="L1" s="389"/>
      <c r="M1" s="389"/>
      <c r="N1" s="389"/>
      <c r="P1" s="306"/>
      <c r="Q1" s="306"/>
      <c r="R1" s="306"/>
      <c r="S1" s="304"/>
      <c r="T1" s="388" t="s">
        <v>804</v>
      </c>
      <c r="U1" s="389"/>
      <c r="V1" s="389"/>
      <c r="W1" s="389"/>
      <c r="X1" s="389"/>
      <c r="Y1" s="389"/>
      <c r="Z1" s="389"/>
      <c r="AA1" s="389"/>
      <c r="AB1" s="389"/>
      <c r="AC1" s="389"/>
      <c r="AD1" s="389"/>
      <c r="AF1" s="306"/>
      <c r="AG1" s="306"/>
      <c r="AH1" s="306"/>
      <c r="AI1" s="304"/>
      <c r="AJ1" s="388" t="s">
        <v>2791</v>
      </c>
      <c r="AK1" s="389"/>
      <c r="AL1" s="389"/>
      <c r="AM1" s="389"/>
      <c r="AN1" s="389"/>
      <c r="AO1" s="389"/>
      <c r="AP1" s="389"/>
      <c r="AQ1" s="389"/>
      <c r="AR1" s="389"/>
      <c r="AS1" s="389"/>
      <c r="AT1" s="389"/>
      <c r="AU1" s="389"/>
      <c r="AV1" s="389"/>
      <c r="AW1" s="389"/>
      <c r="AX1" s="389"/>
      <c r="AY1" s="389"/>
      <c r="AZ1" s="389"/>
      <c r="BA1" s="389"/>
      <c r="BB1" s="389"/>
      <c r="BC1" s="389"/>
      <c r="BD1" s="389"/>
      <c r="BE1" s="389"/>
      <c r="BF1" s="389"/>
      <c r="BG1" s="389"/>
      <c r="BH1" s="389"/>
      <c r="BJ1" s="306"/>
      <c r="BK1" s="306"/>
      <c r="BL1" s="306"/>
      <c r="BM1" s="304"/>
      <c r="BN1" s="388" t="s">
        <v>805</v>
      </c>
      <c r="BO1" s="389"/>
      <c r="BP1" s="389"/>
      <c r="BQ1" s="389"/>
      <c r="BR1" s="389"/>
      <c r="BS1" s="389"/>
      <c r="BT1" s="389"/>
      <c r="BU1" s="389"/>
      <c r="BW1" s="306"/>
      <c r="BX1" s="306"/>
      <c r="BY1" s="306"/>
      <c r="BZ1" s="304"/>
      <c r="CA1" s="388" t="s">
        <v>806</v>
      </c>
      <c r="CB1" s="389"/>
      <c r="CC1" s="389"/>
      <c r="CD1" s="389"/>
      <c r="CE1" s="389"/>
      <c r="CF1" s="389"/>
      <c r="CG1" s="389"/>
      <c r="CH1" s="389"/>
      <c r="CI1" s="389"/>
      <c r="CJ1" s="389"/>
      <c r="CK1" s="389"/>
      <c r="CM1" s="306"/>
      <c r="CN1" s="306"/>
      <c r="CO1" s="306"/>
      <c r="CP1" s="304"/>
      <c r="CQ1" s="388" t="s">
        <v>807</v>
      </c>
      <c r="CR1" s="389"/>
      <c r="CS1" s="389"/>
      <c r="CT1" s="389"/>
      <c r="CU1" s="389"/>
      <c r="CV1" s="389"/>
      <c r="CW1" s="389"/>
      <c r="CY1" s="306"/>
      <c r="CZ1" s="306"/>
      <c r="DA1" s="306"/>
      <c r="DB1" s="306"/>
      <c r="DC1" s="390" t="s">
        <v>808</v>
      </c>
      <c r="DD1" s="390"/>
      <c r="DE1" s="390"/>
      <c r="DG1" s="306"/>
      <c r="DH1" s="306"/>
      <c r="DI1" s="306"/>
      <c r="DJ1" s="304"/>
      <c r="DK1" s="388" t="s">
        <v>809</v>
      </c>
      <c r="DL1" s="389"/>
      <c r="DM1" s="389"/>
      <c r="DN1" s="389"/>
      <c r="DO1" s="389"/>
      <c r="DP1" s="389"/>
      <c r="DQ1" s="389"/>
      <c r="DR1" s="389"/>
      <c r="DS1" s="389"/>
      <c r="DT1" s="389"/>
      <c r="DU1" s="389"/>
      <c r="DV1" s="389"/>
      <c r="DX1" s="306"/>
      <c r="DY1" s="306"/>
      <c r="DZ1" s="306"/>
      <c r="EA1" s="304"/>
      <c r="EB1" s="388" t="s">
        <v>810</v>
      </c>
      <c r="EC1" s="389"/>
      <c r="ED1" s="389"/>
      <c r="EE1" s="389"/>
      <c r="EF1" s="389"/>
      <c r="EG1" s="389"/>
      <c r="EH1" s="389"/>
      <c r="EI1" s="389"/>
      <c r="EJ1" s="389"/>
      <c r="EK1" s="389"/>
      <c r="EL1" s="389"/>
      <c r="EM1" s="389"/>
      <c r="EN1" s="389"/>
      <c r="EO1" s="389"/>
      <c r="EP1" s="389"/>
      <c r="EQ1" s="389"/>
      <c r="ES1" s="306"/>
      <c r="ET1" s="306"/>
      <c r="EU1" s="306"/>
      <c r="EV1" s="304"/>
      <c r="EW1" s="388" t="s">
        <v>811</v>
      </c>
      <c r="EX1" s="391"/>
      <c r="EY1" s="391"/>
      <c r="EZ1" s="391"/>
      <c r="FA1" s="391"/>
      <c r="FB1" s="391"/>
      <c r="FC1" s="391"/>
      <c r="FD1" s="391"/>
      <c r="FE1" s="391"/>
      <c r="FG1" s="387" t="s">
        <v>812</v>
      </c>
    </row>
    <row r="2" spans="1:163" s="110" customFormat="1" ht="154.5" customHeight="1" x14ac:dyDescent="0.35">
      <c r="A2" s="292" t="s">
        <v>699</v>
      </c>
      <c r="B2" s="292" t="s">
        <v>813</v>
      </c>
      <c r="C2" s="292" t="s">
        <v>814</v>
      </c>
      <c r="D2" s="292" t="s">
        <v>815</v>
      </c>
      <c r="E2" s="300" t="s">
        <v>21</v>
      </c>
      <c r="F2" s="300" t="s">
        <v>25</v>
      </c>
      <c r="G2" s="300" t="s">
        <v>816</v>
      </c>
      <c r="H2" s="300" t="s">
        <v>817</v>
      </c>
      <c r="I2" s="300" t="s">
        <v>818</v>
      </c>
      <c r="J2" s="300" t="s">
        <v>41</v>
      </c>
      <c r="K2" s="300" t="s">
        <v>44</v>
      </c>
      <c r="L2" s="300" t="s">
        <v>47</v>
      </c>
      <c r="M2" s="300" t="s">
        <v>50</v>
      </c>
      <c r="N2" s="322" t="s">
        <v>819</v>
      </c>
      <c r="O2" s="321"/>
      <c r="P2" s="292" t="s">
        <v>699</v>
      </c>
      <c r="Q2" s="292" t="s">
        <v>813</v>
      </c>
      <c r="R2" s="292" t="s">
        <v>814</v>
      </c>
      <c r="S2" s="293" t="s">
        <v>815</v>
      </c>
      <c r="T2" s="300" t="s">
        <v>54</v>
      </c>
      <c r="U2" s="300" t="s">
        <v>820</v>
      </c>
      <c r="V2" s="300" t="s">
        <v>821</v>
      </c>
      <c r="W2" s="300" t="s">
        <v>822</v>
      </c>
      <c r="X2" s="300" t="s">
        <v>823</v>
      </c>
      <c r="Y2" s="300" t="s">
        <v>78</v>
      </c>
      <c r="Z2" s="300" t="s">
        <v>824</v>
      </c>
      <c r="AA2" s="300" t="s">
        <v>798</v>
      </c>
      <c r="AB2" s="300" t="s">
        <v>90</v>
      </c>
      <c r="AC2" s="300" t="s">
        <v>92</v>
      </c>
      <c r="AD2" s="322" t="s">
        <v>825</v>
      </c>
      <c r="AE2" s="321"/>
      <c r="AF2" s="292" t="s">
        <v>699</v>
      </c>
      <c r="AG2" s="292" t="s">
        <v>813</v>
      </c>
      <c r="AH2" s="292" t="s">
        <v>814</v>
      </c>
      <c r="AI2" s="293" t="s">
        <v>815</v>
      </c>
      <c r="AJ2" s="300" t="s">
        <v>96</v>
      </c>
      <c r="AK2" s="300" t="s">
        <v>99</v>
      </c>
      <c r="AL2" s="300" t="s">
        <v>102</v>
      </c>
      <c r="AM2" s="300" t="s">
        <v>105</v>
      </c>
      <c r="AN2" s="300" t="s">
        <v>826</v>
      </c>
      <c r="AO2" s="300" t="s">
        <v>113</v>
      </c>
      <c r="AP2" s="300" t="s">
        <v>116</v>
      </c>
      <c r="AQ2" s="300" t="s">
        <v>120</v>
      </c>
      <c r="AR2" s="300" t="s">
        <v>123</v>
      </c>
      <c r="AS2" s="300" t="s">
        <v>125</v>
      </c>
      <c r="AT2" s="300" t="s">
        <v>128</v>
      </c>
      <c r="AU2" s="300" t="s">
        <v>131</v>
      </c>
      <c r="AV2" s="300" t="s">
        <v>134</v>
      </c>
      <c r="AW2" s="300" t="s">
        <v>137</v>
      </c>
      <c r="AX2" s="300" t="s">
        <v>799</v>
      </c>
      <c r="AY2" s="300" t="s">
        <v>143</v>
      </c>
      <c r="AZ2" s="300" t="s">
        <v>146</v>
      </c>
      <c r="BA2" s="300" t="s">
        <v>149</v>
      </c>
      <c r="BB2" s="300" t="s">
        <v>152</v>
      </c>
      <c r="BC2" s="300" t="s">
        <v>155</v>
      </c>
      <c r="BD2" s="300" t="s">
        <v>158</v>
      </c>
      <c r="BE2" s="300" t="s">
        <v>161</v>
      </c>
      <c r="BF2" s="300" t="s">
        <v>164</v>
      </c>
      <c r="BG2" s="300" t="s">
        <v>167</v>
      </c>
      <c r="BH2" s="322" t="s">
        <v>827</v>
      </c>
      <c r="BI2" s="321"/>
      <c r="BJ2" s="292" t="s">
        <v>699</v>
      </c>
      <c r="BK2" s="292" t="s">
        <v>813</v>
      </c>
      <c r="BL2" s="292" t="s">
        <v>814</v>
      </c>
      <c r="BM2" s="293" t="s">
        <v>815</v>
      </c>
      <c r="BN2" s="300" t="s">
        <v>173</v>
      </c>
      <c r="BO2" s="300" t="s">
        <v>176</v>
      </c>
      <c r="BP2" s="300" t="s">
        <v>179</v>
      </c>
      <c r="BQ2" s="300" t="s">
        <v>182</v>
      </c>
      <c r="BR2" s="300" t="s">
        <v>185</v>
      </c>
      <c r="BS2" s="300" t="s">
        <v>188</v>
      </c>
      <c r="BT2" s="300" t="s">
        <v>191</v>
      </c>
      <c r="BU2" s="322" t="s">
        <v>828</v>
      </c>
      <c r="BV2" s="321"/>
      <c r="BW2" s="292" t="s">
        <v>699</v>
      </c>
      <c r="BX2" s="292" t="s">
        <v>813</v>
      </c>
      <c r="BY2" s="292" t="s">
        <v>814</v>
      </c>
      <c r="BZ2" s="293" t="s">
        <v>815</v>
      </c>
      <c r="CA2" s="300" t="s">
        <v>195</v>
      </c>
      <c r="CB2" s="300" t="s">
        <v>198</v>
      </c>
      <c r="CC2" s="300" t="s">
        <v>201</v>
      </c>
      <c r="CD2" s="300" t="s">
        <v>204</v>
      </c>
      <c r="CE2" s="300" t="s">
        <v>207</v>
      </c>
      <c r="CF2" s="300" t="s">
        <v>210</v>
      </c>
      <c r="CG2" s="300" t="s">
        <v>213</v>
      </c>
      <c r="CH2" s="300" t="s">
        <v>216</v>
      </c>
      <c r="CI2" s="300" t="s">
        <v>219</v>
      </c>
      <c r="CJ2" s="300" t="s">
        <v>221</v>
      </c>
      <c r="CK2" s="322" t="s">
        <v>829</v>
      </c>
      <c r="CL2" s="321"/>
      <c r="CM2" s="292" t="s">
        <v>699</v>
      </c>
      <c r="CN2" s="292" t="s">
        <v>813</v>
      </c>
      <c r="CO2" s="292" t="s">
        <v>814</v>
      </c>
      <c r="CP2" s="293" t="s">
        <v>815</v>
      </c>
      <c r="CQ2" s="300" t="s">
        <v>225</v>
      </c>
      <c r="CR2" s="300" t="s">
        <v>228</v>
      </c>
      <c r="CS2" s="300" t="s">
        <v>231</v>
      </c>
      <c r="CT2" s="300" t="s">
        <v>239</v>
      </c>
      <c r="CU2" s="300" t="s">
        <v>241</v>
      </c>
      <c r="CV2" s="300" t="s">
        <v>243</v>
      </c>
      <c r="CW2" s="322" t="s">
        <v>830</v>
      </c>
      <c r="CX2" s="321"/>
      <c r="CY2" s="292" t="s">
        <v>699</v>
      </c>
      <c r="CZ2" s="292" t="s">
        <v>813</v>
      </c>
      <c r="DA2" s="292" t="s">
        <v>814</v>
      </c>
      <c r="DB2" s="292" t="s">
        <v>815</v>
      </c>
      <c r="DC2" s="300" t="s">
        <v>831</v>
      </c>
      <c r="DD2" s="301" t="s">
        <v>832</v>
      </c>
      <c r="DE2" s="302" t="s">
        <v>833</v>
      </c>
      <c r="DF2" s="321"/>
      <c r="DG2" s="292" t="s">
        <v>699</v>
      </c>
      <c r="DH2" s="292" t="s">
        <v>813</v>
      </c>
      <c r="DI2" s="292" t="s">
        <v>814</v>
      </c>
      <c r="DJ2" s="293" t="s">
        <v>815</v>
      </c>
      <c r="DK2" s="300" t="s">
        <v>834</v>
      </c>
      <c r="DL2" s="300" t="s">
        <v>835</v>
      </c>
      <c r="DM2" s="300" t="s">
        <v>836</v>
      </c>
      <c r="DN2" s="300" t="s">
        <v>837</v>
      </c>
      <c r="DO2" s="300" t="s">
        <v>272</v>
      </c>
      <c r="DP2" s="300" t="s">
        <v>274</v>
      </c>
      <c r="DQ2" s="300" t="s">
        <v>278</v>
      </c>
      <c r="DR2" s="300" t="s">
        <v>287</v>
      </c>
      <c r="DS2" s="300" t="s">
        <v>290</v>
      </c>
      <c r="DT2" s="300" t="s">
        <v>293</v>
      </c>
      <c r="DU2" s="300" t="s">
        <v>296</v>
      </c>
      <c r="DV2" s="322" t="s">
        <v>838</v>
      </c>
      <c r="DW2" s="321"/>
      <c r="DX2" s="292" t="s">
        <v>699</v>
      </c>
      <c r="DY2" s="292" t="s">
        <v>813</v>
      </c>
      <c r="DZ2" s="292" t="s">
        <v>814</v>
      </c>
      <c r="EA2" s="293" t="s">
        <v>815</v>
      </c>
      <c r="EB2" s="300" t="s">
        <v>300</v>
      </c>
      <c r="EC2" s="300" t="s">
        <v>303</v>
      </c>
      <c r="ED2" s="300" t="s">
        <v>306</v>
      </c>
      <c r="EE2" s="300" t="s">
        <v>309</v>
      </c>
      <c r="EF2" s="300" t="s">
        <v>312</v>
      </c>
      <c r="EG2" s="300" t="s">
        <v>315</v>
      </c>
      <c r="EH2" s="300" t="s">
        <v>318</v>
      </c>
      <c r="EI2" s="300" t="s">
        <v>321</v>
      </c>
      <c r="EJ2" s="300" t="s">
        <v>322</v>
      </c>
      <c r="EK2" s="300" t="s">
        <v>326</v>
      </c>
      <c r="EL2" s="300" t="s">
        <v>329</v>
      </c>
      <c r="EM2" s="300" t="s">
        <v>332</v>
      </c>
      <c r="EN2" s="300" t="s">
        <v>333</v>
      </c>
      <c r="EO2" s="300" t="s">
        <v>337</v>
      </c>
      <c r="EP2" s="300" t="s">
        <v>340</v>
      </c>
      <c r="EQ2" s="322" t="s">
        <v>839</v>
      </c>
      <c r="ER2" s="321"/>
      <c r="ES2" s="292" t="s">
        <v>699</v>
      </c>
      <c r="ET2" s="292" t="s">
        <v>813</v>
      </c>
      <c r="EU2" s="292" t="s">
        <v>814</v>
      </c>
      <c r="EV2" s="293" t="s">
        <v>815</v>
      </c>
      <c r="EW2" s="300" t="s">
        <v>344</v>
      </c>
      <c r="EX2" s="300" t="s">
        <v>347</v>
      </c>
      <c r="EY2" s="300" t="s">
        <v>350</v>
      </c>
      <c r="EZ2" s="300" t="s">
        <v>353</v>
      </c>
      <c r="FA2" s="300" t="s">
        <v>355</v>
      </c>
      <c r="FB2" s="300" t="s">
        <v>358</v>
      </c>
      <c r="FC2" s="300" t="s">
        <v>361</v>
      </c>
      <c r="FD2" s="300" t="s">
        <v>364</v>
      </c>
      <c r="FE2" s="322" t="s">
        <v>840</v>
      </c>
      <c r="FF2" s="321"/>
      <c r="FG2" s="387"/>
    </row>
    <row r="3" spans="1:163" x14ac:dyDescent="0.35">
      <c r="A3" s="143" t="s">
        <v>719</v>
      </c>
      <c r="B3" s="143" t="s">
        <v>720</v>
      </c>
      <c r="C3" s="143" t="s">
        <v>841</v>
      </c>
      <c r="D3" s="143">
        <v>401</v>
      </c>
      <c r="E3" s="78">
        <v>0</v>
      </c>
      <c r="F3" s="78">
        <v>2.5</v>
      </c>
      <c r="G3" s="78">
        <v>1</v>
      </c>
      <c r="H3" s="78">
        <v>3</v>
      </c>
      <c r="I3" s="78">
        <v>1</v>
      </c>
      <c r="J3" s="78">
        <v>0</v>
      </c>
      <c r="K3" s="78">
        <v>1</v>
      </c>
      <c r="L3" s="78">
        <v>0</v>
      </c>
      <c r="M3" s="78">
        <v>2</v>
      </c>
      <c r="N3" s="137">
        <v>0.75</v>
      </c>
      <c r="P3" s="143" t="s">
        <v>719</v>
      </c>
      <c r="Q3" s="143" t="s">
        <v>720</v>
      </c>
      <c r="R3" s="143" t="s">
        <v>841</v>
      </c>
      <c r="S3" s="143">
        <v>401</v>
      </c>
      <c r="T3" s="78">
        <v>1</v>
      </c>
      <c r="U3" s="78">
        <v>0</v>
      </c>
      <c r="V3" s="78">
        <v>0.5</v>
      </c>
      <c r="W3" s="78">
        <v>0.5</v>
      </c>
      <c r="X3" s="78">
        <v>0</v>
      </c>
      <c r="Y3" s="78">
        <v>1</v>
      </c>
      <c r="Z3" s="78">
        <v>3</v>
      </c>
      <c r="AA3" s="78">
        <v>0</v>
      </c>
      <c r="AB3" s="78">
        <v>0</v>
      </c>
      <c r="AC3" s="78">
        <v>0</v>
      </c>
      <c r="AD3" s="137">
        <v>0.17647060000000001</v>
      </c>
      <c r="AF3" s="143" t="s">
        <v>719</v>
      </c>
      <c r="AG3" s="143" t="s">
        <v>720</v>
      </c>
      <c r="AH3" s="143" t="s">
        <v>841</v>
      </c>
      <c r="AI3" s="143">
        <v>401</v>
      </c>
      <c r="AJ3" s="78">
        <v>1</v>
      </c>
      <c r="AK3" s="78">
        <v>1</v>
      </c>
      <c r="AL3" s="78">
        <v>1</v>
      </c>
      <c r="AM3" s="78">
        <v>0</v>
      </c>
      <c r="AN3" s="78">
        <v>1</v>
      </c>
      <c r="AO3" s="78">
        <v>0</v>
      </c>
      <c r="AP3" s="78">
        <v>2</v>
      </c>
      <c r="AQ3" s="78">
        <v>1</v>
      </c>
      <c r="AR3" s="78">
        <v>2</v>
      </c>
      <c r="AS3" s="78">
        <v>2</v>
      </c>
      <c r="AT3" s="78">
        <v>0</v>
      </c>
      <c r="AU3" s="78">
        <v>1</v>
      </c>
      <c r="AV3" s="78">
        <v>2</v>
      </c>
      <c r="AW3" s="78">
        <v>1</v>
      </c>
      <c r="AX3" s="78">
        <v>0</v>
      </c>
      <c r="AY3" s="78">
        <v>1</v>
      </c>
      <c r="AZ3" s="78">
        <v>2</v>
      </c>
      <c r="BA3" s="78">
        <v>0.5</v>
      </c>
      <c r="BB3" s="78">
        <v>0.5</v>
      </c>
      <c r="BC3" s="78">
        <v>0.5</v>
      </c>
      <c r="BD3" s="78">
        <v>1</v>
      </c>
      <c r="BE3" s="78">
        <v>0.5</v>
      </c>
      <c r="BF3" s="78">
        <v>0</v>
      </c>
      <c r="BG3" s="78">
        <v>8</v>
      </c>
      <c r="BH3" s="137">
        <v>0.65909090000000004</v>
      </c>
      <c r="BJ3" s="143" t="s">
        <v>719</v>
      </c>
      <c r="BK3" s="143" t="s">
        <v>720</v>
      </c>
      <c r="BL3" s="143" t="s">
        <v>841</v>
      </c>
      <c r="BM3" s="143">
        <v>401</v>
      </c>
      <c r="BN3" s="78">
        <v>1</v>
      </c>
      <c r="BO3" s="78">
        <v>4</v>
      </c>
      <c r="BP3" s="78">
        <v>7</v>
      </c>
      <c r="BQ3" s="78">
        <v>3</v>
      </c>
      <c r="BR3" s="78">
        <v>3</v>
      </c>
      <c r="BS3" s="78">
        <v>3</v>
      </c>
      <c r="BT3" s="78">
        <v>2</v>
      </c>
      <c r="BU3" s="137">
        <v>1</v>
      </c>
      <c r="BW3" s="143" t="s">
        <v>719</v>
      </c>
      <c r="BX3" s="143" t="s">
        <v>720</v>
      </c>
      <c r="BY3" s="143" t="s">
        <v>841</v>
      </c>
      <c r="BZ3" s="143">
        <v>401</v>
      </c>
      <c r="CA3" s="78">
        <v>1</v>
      </c>
      <c r="CB3" s="78">
        <v>0</v>
      </c>
      <c r="CC3" s="78">
        <v>1</v>
      </c>
      <c r="CD3" s="78">
        <v>2</v>
      </c>
      <c r="CE3" s="78">
        <v>1</v>
      </c>
      <c r="CF3" s="78">
        <v>2</v>
      </c>
      <c r="CG3" s="78">
        <v>1</v>
      </c>
      <c r="CH3" s="78">
        <v>0</v>
      </c>
      <c r="CI3" s="78">
        <v>1</v>
      </c>
      <c r="CJ3" s="78">
        <v>3</v>
      </c>
      <c r="CK3" s="137">
        <v>0.8</v>
      </c>
      <c r="CM3" s="143" t="s">
        <v>719</v>
      </c>
      <c r="CN3" s="143" t="s">
        <v>720</v>
      </c>
      <c r="CO3" s="143" t="s">
        <v>841</v>
      </c>
      <c r="CP3" s="143">
        <v>401</v>
      </c>
      <c r="CQ3" s="78">
        <v>8</v>
      </c>
      <c r="CR3" s="78">
        <v>0</v>
      </c>
      <c r="CS3" s="78">
        <v>12</v>
      </c>
      <c r="CT3" s="78">
        <v>4</v>
      </c>
      <c r="CU3" s="78">
        <v>2</v>
      </c>
      <c r="CV3" s="78">
        <v>8</v>
      </c>
      <c r="CW3" s="137">
        <v>0.65384609999999999</v>
      </c>
      <c r="CY3" s="143" t="s">
        <v>719</v>
      </c>
      <c r="CZ3" s="143" t="s">
        <v>720</v>
      </c>
      <c r="DA3" s="143" t="s">
        <v>841</v>
      </c>
      <c r="DB3" s="143">
        <v>401</v>
      </c>
      <c r="DC3" s="78">
        <v>0</v>
      </c>
      <c r="DD3" s="137">
        <v>0</v>
      </c>
      <c r="DE3" s="137">
        <v>0</v>
      </c>
      <c r="DG3" s="143" t="s">
        <v>719</v>
      </c>
      <c r="DH3" s="143" t="s">
        <v>720</v>
      </c>
      <c r="DI3" s="143" t="s">
        <v>841</v>
      </c>
      <c r="DJ3" s="143">
        <v>401</v>
      </c>
      <c r="DK3" s="78">
        <v>0</v>
      </c>
      <c r="DL3" s="78">
        <v>1</v>
      </c>
      <c r="DM3" s="78">
        <v>0</v>
      </c>
      <c r="DN3" s="78">
        <v>3</v>
      </c>
      <c r="DO3" s="78">
        <v>2</v>
      </c>
      <c r="DP3" s="78">
        <v>3</v>
      </c>
      <c r="DQ3" s="78">
        <v>8</v>
      </c>
      <c r="DR3" s="78">
        <v>1</v>
      </c>
      <c r="DS3" s="78">
        <v>1</v>
      </c>
      <c r="DT3" s="78">
        <v>2</v>
      </c>
      <c r="DU3" s="78">
        <v>0</v>
      </c>
      <c r="DV3" s="137">
        <v>0.7241379</v>
      </c>
      <c r="DX3" s="143" t="s">
        <v>719</v>
      </c>
      <c r="DY3" s="143" t="s">
        <v>720</v>
      </c>
      <c r="DZ3" s="143" t="s">
        <v>841</v>
      </c>
      <c r="EA3" s="143">
        <v>401</v>
      </c>
      <c r="EB3" s="78">
        <v>0</v>
      </c>
      <c r="EC3" s="78">
        <v>8</v>
      </c>
      <c r="ED3" s="78">
        <v>0</v>
      </c>
      <c r="EE3" s="78">
        <v>0</v>
      </c>
      <c r="EF3" s="78">
        <v>0</v>
      </c>
      <c r="EG3" s="78">
        <v>1</v>
      </c>
      <c r="EH3" s="78">
        <v>0</v>
      </c>
      <c r="EI3" s="78">
        <v>1</v>
      </c>
      <c r="EJ3" s="78">
        <v>1</v>
      </c>
      <c r="EK3" s="78">
        <v>1</v>
      </c>
      <c r="EL3" s="78">
        <v>1</v>
      </c>
      <c r="EM3" s="78">
        <v>1</v>
      </c>
      <c r="EN3" s="78">
        <v>1</v>
      </c>
      <c r="EO3" s="78">
        <v>1</v>
      </c>
      <c r="EP3" s="78">
        <v>1</v>
      </c>
      <c r="EQ3" s="137">
        <v>0.62962960000000001</v>
      </c>
      <c r="ES3" s="143" t="s">
        <v>719</v>
      </c>
      <c r="ET3" s="143" t="s">
        <v>720</v>
      </c>
      <c r="EU3" s="143" t="s">
        <v>841</v>
      </c>
      <c r="EV3" s="143">
        <v>401</v>
      </c>
      <c r="EW3" s="78">
        <v>0.5</v>
      </c>
      <c r="EX3" s="78">
        <v>0</v>
      </c>
      <c r="EY3" s="78">
        <v>0</v>
      </c>
      <c r="EZ3" s="78">
        <v>0</v>
      </c>
      <c r="FA3" s="78">
        <v>0.5</v>
      </c>
      <c r="FB3" s="78">
        <v>0</v>
      </c>
      <c r="FC3" s="78">
        <v>2</v>
      </c>
      <c r="FD3" s="78">
        <v>0</v>
      </c>
      <c r="FE3" s="137">
        <v>0.23076920000000001</v>
      </c>
      <c r="FG3" s="137">
        <v>0.4533528</v>
      </c>
    </row>
    <row r="4" spans="1:163" x14ac:dyDescent="0.35">
      <c r="A4" s="143" t="s">
        <v>719</v>
      </c>
      <c r="B4" s="143" t="s">
        <v>720</v>
      </c>
      <c r="C4" s="143" t="s">
        <v>841</v>
      </c>
      <c r="D4" s="143">
        <v>417</v>
      </c>
      <c r="E4" s="78">
        <v>0</v>
      </c>
      <c r="F4" s="78">
        <v>2.5</v>
      </c>
      <c r="G4" s="78">
        <v>1</v>
      </c>
      <c r="H4" s="78">
        <v>4</v>
      </c>
      <c r="I4" s="78">
        <v>1</v>
      </c>
      <c r="J4" s="78">
        <v>1</v>
      </c>
      <c r="K4" s="78">
        <v>1</v>
      </c>
      <c r="L4" s="78">
        <v>1</v>
      </c>
      <c r="M4" s="78">
        <v>0</v>
      </c>
      <c r="N4" s="137">
        <v>0.82142859999999995</v>
      </c>
      <c r="P4" s="143" t="s">
        <v>719</v>
      </c>
      <c r="Q4" s="143" t="s">
        <v>720</v>
      </c>
      <c r="R4" s="143" t="s">
        <v>841</v>
      </c>
      <c r="S4" s="143">
        <v>417</v>
      </c>
      <c r="T4" s="78">
        <v>1</v>
      </c>
      <c r="U4" s="78">
        <v>1</v>
      </c>
      <c r="V4" s="78">
        <v>2</v>
      </c>
      <c r="W4" s="78">
        <v>1</v>
      </c>
      <c r="X4" s="78">
        <v>0</v>
      </c>
      <c r="Y4" s="78">
        <v>1</v>
      </c>
      <c r="Z4" s="78">
        <v>0</v>
      </c>
      <c r="AA4" s="78">
        <v>0</v>
      </c>
      <c r="AB4" s="78">
        <v>6</v>
      </c>
      <c r="AC4" s="78">
        <v>3</v>
      </c>
      <c r="AD4" s="137">
        <v>0.44117650000000003</v>
      </c>
      <c r="AF4" s="143" t="s">
        <v>719</v>
      </c>
      <c r="AG4" s="143" t="s">
        <v>720</v>
      </c>
      <c r="AH4" s="143" t="s">
        <v>841</v>
      </c>
      <c r="AI4" s="143">
        <v>417</v>
      </c>
      <c r="AJ4" s="78">
        <v>1</v>
      </c>
      <c r="AK4" s="78">
        <v>1</v>
      </c>
      <c r="AL4" s="78">
        <v>1</v>
      </c>
      <c r="AM4" s="78">
        <v>1</v>
      </c>
      <c r="AN4" s="78">
        <v>1</v>
      </c>
      <c r="AO4" s="78">
        <v>2</v>
      </c>
      <c r="AP4" s="78">
        <v>2</v>
      </c>
      <c r="AQ4" s="78">
        <v>1</v>
      </c>
      <c r="AR4" s="78">
        <v>2</v>
      </c>
      <c r="AS4" s="78">
        <v>2</v>
      </c>
      <c r="AT4" s="78">
        <v>2</v>
      </c>
      <c r="AU4" s="78">
        <v>1</v>
      </c>
      <c r="AV4" s="78">
        <v>2</v>
      </c>
      <c r="AW4" s="78">
        <v>1</v>
      </c>
      <c r="AX4" s="78">
        <v>0</v>
      </c>
      <c r="AY4" s="78">
        <v>1</v>
      </c>
      <c r="AZ4" s="78">
        <v>0</v>
      </c>
      <c r="BA4" s="78">
        <v>0.5</v>
      </c>
      <c r="BB4" s="78">
        <v>0.5</v>
      </c>
      <c r="BC4" s="78">
        <v>0.5</v>
      </c>
      <c r="BD4" s="78">
        <v>1</v>
      </c>
      <c r="BE4" s="78">
        <v>0.5</v>
      </c>
      <c r="BF4" s="78">
        <v>1</v>
      </c>
      <c r="BG4" s="78">
        <v>8</v>
      </c>
      <c r="BH4" s="137">
        <v>0.75</v>
      </c>
      <c r="BJ4" s="143" t="s">
        <v>719</v>
      </c>
      <c r="BK4" s="143" t="s">
        <v>720</v>
      </c>
      <c r="BL4" s="143" t="s">
        <v>841</v>
      </c>
      <c r="BM4" s="143">
        <v>417</v>
      </c>
      <c r="BN4" s="78">
        <v>1</v>
      </c>
      <c r="BO4" s="78">
        <v>4</v>
      </c>
      <c r="BP4" s="78">
        <v>7</v>
      </c>
      <c r="BQ4" s="78">
        <v>3</v>
      </c>
      <c r="BR4" s="78">
        <v>3</v>
      </c>
      <c r="BS4" s="78">
        <v>3</v>
      </c>
      <c r="BT4" s="78">
        <v>0</v>
      </c>
      <c r="BU4" s="137">
        <v>0.91304350000000001</v>
      </c>
      <c r="BW4" s="143" t="s">
        <v>719</v>
      </c>
      <c r="BX4" s="143" t="s">
        <v>720</v>
      </c>
      <c r="BY4" s="143" t="s">
        <v>841</v>
      </c>
      <c r="BZ4" s="143">
        <v>417</v>
      </c>
      <c r="CA4" s="78">
        <v>1</v>
      </c>
      <c r="CB4" s="78">
        <v>1</v>
      </c>
      <c r="CC4" s="78">
        <v>1</v>
      </c>
      <c r="CD4" s="78">
        <v>2</v>
      </c>
      <c r="CE4" s="78">
        <v>1</v>
      </c>
      <c r="CF4" s="78">
        <v>2</v>
      </c>
      <c r="CG4" s="78">
        <v>1</v>
      </c>
      <c r="CH4" s="78">
        <v>2</v>
      </c>
      <c r="CI4" s="78">
        <v>1</v>
      </c>
      <c r="CJ4" s="78">
        <v>3</v>
      </c>
      <c r="CK4" s="137">
        <v>1</v>
      </c>
      <c r="CM4" s="143" t="s">
        <v>719</v>
      </c>
      <c r="CN4" s="143" t="s">
        <v>720</v>
      </c>
      <c r="CO4" s="143" t="s">
        <v>841</v>
      </c>
      <c r="CP4" s="143">
        <v>417</v>
      </c>
      <c r="CQ4" s="78">
        <v>8</v>
      </c>
      <c r="CR4" s="78">
        <v>0</v>
      </c>
      <c r="CS4" s="78">
        <v>8</v>
      </c>
      <c r="CT4" s="78">
        <v>4</v>
      </c>
      <c r="CU4" s="78">
        <v>0</v>
      </c>
      <c r="CV4" s="78">
        <v>8</v>
      </c>
      <c r="CW4" s="137">
        <v>0.53846159999999998</v>
      </c>
      <c r="CY4" s="143" t="s">
        <v>719</v>
      </c>
      <c r="CZ4" s="143" t="s">
        <v>720</v>
      </c>
      <c r="DA4" s="143" t="s">
        <v>841</v>
      </c>
      <c r="DB4" s="143">
        <v>417</v>
      </c>
      <c r="DC4" s="78">
        <v>0</v>
      </c>
      <c r="DD4" s="137">
        <v>0</v>
      </c>
      <c r="DE4" s="137">
        <v>0</v>
      </c>
      <c r="DG4" s="143" t="s">
        <v>719</v>
      </c>
      <c r="DH4" s="143" t="s">
        <v>720</v>
      </c>
      <c r="DI4" s="143" t="s">
        <v>841</v>
      </c>
      <c r="DJ4" s="143">
        <v>417</v>
      </c>
      <c r="DK4" s="78">
        <v>2</v>
      </c>
      <c r="DL4" s="78">
        <v>1</v>
      </c>
      <c r="DM4" s="78">
        <v>1</v>
      </c>
      <c r="DN4" s="78">
        <v>5</v>
      </c>
      <c r="DO4" s="78">
        <v>2</v>
      </c>
      <c r="DP4" s="78">
        <v>3</v>
      </c>
      <c r="DQ4" s="78">
        <v>8</v>
      </c>
      <c r="DR4" s="78">
        <v>1</v>
      </c>
      <c r="DS4" s="78">
        <v>0</v>
      </c>
      <c r="DT4" s="78">
        <v>0</v>
      </c>
      <c r="DU4" s="78">
        <v>1</v>
      </c>
      <c r="DV4" s="137">
        <v>0.82758620000000005</v>
      </c>
      <c r="DX4" s="143" t="s">
        <v>719</v>
      </c>
      <c r="DY4" s="143" t="s">
        <v>720</v>
      </c>
      <c r="DZ4" s="143" t="s">
        <v>841</v>
      </c>
      <c r="EA4" s="143">
        <v>417</v>
      </c>
      <c r="EB4" s="78">
        <v>1</v>
      </c>
      <c r="EC4" s="78">
        <v>8</v>
      </c>
      <c r="ED4" s="78">
        <v>1</v>
      </c>
      <c r="EE4" s="78">
        <v>4</v>
      </c>
      <c r="EF4" s="78">
        <v>3</v>
      </c>
      <c r="EG4" s="78">
        <v>1</v>
      </c>
      <c r="EH4" s="78">
        <v>0</v>
      </c>
      <c r="EI4" s="78">
        <v>1</v>
      </c>
      <c r="EJ4" s="78">
        <v>1</v>
      </c>
      <c r="EK4" s="78">
        <v>1</v>
      </c>
      <c r="EL4" s="78">
        <v>1</v>
      </c>
      <c r="EM4" s="78">
        <v>0</v>
      </c>
      <c r="EN4" s="78">
        <v>0</v>
      </c>
      <c r="EO4" s="78">
        <v>0</v>
      </c>
      <c r="EP4" s="78">
        <v>1</v>
      </c>
      <c r="EQ4" s="137">
        <v>0.8518519</v>
      </c>
      <c r="ES4" s="143" t="s">
        <v>719</v>
      </c>
      <c r="ET4" s="143" t="s">
        <v>720</v>
      </c>
      <c r="EU4" s="143" t="s">
        <v>841</v>
      </c>
      <c r="EV4" s="143">
        <v>417</v>
      </c>
      <c r="EW4" s="78">
        <v>0.5</v>
      </c>
      <c r="EX4" s="78">
        <v>1</v>
      </c>
      <c r="EY4" s="78">
        <v>3</v>
      </c>
      <c r="EZ4" s="78">
        <v>0</v>
      </c>
      <c r="FA4" s="78">
        <v>0</v>
      </c>
      <c r="FB4" s="78">
        <v>3</v>
      </c>
      <c r="FC4" s="78">
        <v>2</v>
      </c>
      <c r="FD4" s="78">
        <v>1</v>
      </c>
      <c r="FE4" s="137">
        <v>0.80769230000000003</v>
      </c>
      <c r="FG4" s="137">
        <v>0.52769679999999997</v>
      </c>
    </row>
    <row r="5" spans="1:163" x14ac:dyDescent="0.35">
      <c r="A5" s="143" t="s">
        <v>719</v>
      </c>
      <c r="B5" s="143" t="s">
        <v>720</v>
      </c>
      <c r="C5" s="143" t="s">
        <v>842</v>
      </c>
      <c r="D5" s="143">
        <v>1565</v>
      </c>
      <c r="E5" s="78">
        <v>0</v>
      </c>
      <c r="F5" s="78">
        <v>2</v>
      </c>
      <c r="G5" s="78">
        <v>1</v>
      </c>
      <c r="H5" s="78">
        <v>3</v>
      </c>
      <c r="I5" s="78">
        <v>1</v>
      </c>
      <c r="J5" s="78">
        <v>0</v>
      </c>
      <c r="K5" s="78">
        <v>0</v>
      </c>
      <c r="L5" s="78">
        <v>0</v>
      </c>
      <c r="M5" s="78">
        <v>2</v>
      </c>
      <c r="N5" s="137">
        <v>0.64285709999999996</v>
      </c>
      <c r="P5" s="143" t="s">
        <v>719</v>
      </c>
      <c r="Q5" s="143" t="s">
        <v>720</v>
      </c>
      <c r="R5" s="143" t="s">
        <v>842</v>
      </c>
      <c r="S5" s="143">
        <v>1565</v>
      </c>
      <c r="T5" s="78">
        <v>0</v>
      </c>
      <c r="U5" s="78">
        <v>1</v>
      </c>
      <c r="V5" s="78">
        <v>1.5</v>
      </c>
      <c r="W5" s="78">
        <v>0</v>
      </c>
      <c r="X5" s="78">
        <v>0</v>
      </c>
      <c r="Y5" s="78">
        <v>1</v>
      </c>
      <c r="Z5" s="78">
        <v>3</v>
      </c>
      <c r="AA5" s="78">
        <v>0</v>
      </c>
      <c r="AB5" s="78">
        <v>0</v>
      </c>
      <c r="AC5" s="78">
        <v>3</v>
      </c>
      <c r="AD5" s="137">
        <v>0.27941179999999999</v>
      </c>
      <c r="AF5" s="143" t="s">
        <v>719</v>
      </c>
      <c r="AG5" s="143" t="s">
        <v>720</v>
      </c>
      <c r="AH5" s="143" t="s">
        <v>842</v>
      </c>
      <c r="AI5" s="143">
        <v>1565</v>
      </c>
      <c r="AJ5" s="78">
        <v>1</v>
      </c>
      <c r="AK5" s="78">
        <v>1</v>
      </c>
      <c r="AL5" s="78">
        <v>1</v>
      </c>
      <c r="AM5" s="78">
        <v>0</v>
      </c>
      <c r="AN5" s="78">
        <v>0</v>
      </c>
      <c r="AO5" s="78">
        <v>0</v>
      </c>
      <c r="AP5" s="78">
        <v>2</v>
      </c>
      <c r="AQ5" s="78">
        <v>0</v>
      </c>
      <c r="AR5" s="78">
        <v>0</v>
      </c>
      <c r="AS5" s="78">
        <v>2</v>
      </c>
      <c r="AT5" s="78">
        <v>2</v>
      </c>
      <c r="AU5" s="78">
        <v>0</v>
      </c>
      <c r="AV5" s="78">
        <v>2</v>
      </c>
      <c r="AW5" s="78">
        <v>1</v>
      </c>
      <c r="AX5" s="78">
        <v>0</v>
      </c>
      <c r="AY5" s="78">
        <v>1</v>
      </c>
      <c r="AZ5" s="78">
        <v>2</v>
      </c>
      <c r="BA5" s="78">
        <v>0.5</v>
      </c>
      <c r="BB5" s="78">
        <v>0.5</v>
      </c>
      <c r="BC5" s="78">
        <v>0.5</v>
      </c>
      <c r="BD5" s="78">
        <v>1</v>
      </c>
      <c r="BE5" s="78">
        <v>0.5</v>
      </c>
      <c r="BF5" s="78">
        <v>0</v>
      </c>
      <c r="BG5" s="78">
        <v>2</v>
      </c>
      <c r="BH5" s="137">
        <v>0.45454549999999999</v>
      </c>
      <c r="BJ5" s="143" t="s">
        <v>719</v>
      </c>
      <c r="BK5" s="143" t="s">
        <v>720</v>
      </c>
      <c r="BL5" s="143" t="s">
        <v>842</v>
      </c>
      <c r="BM5" s="143">
        <v>1565</v>
      </c>
      <c r="BN5" s="78">
        <v>0</v>
      </c>
      <c r="BO5" s="78">
        <v>4</v>
      </c>
      <c r="BP5" s="78">
        <v>7</v>
      </c>
      <c r="BQ5" s="78">
        <v>3</v>
      </c>
      <c r="BR5" s="78">
        <v>3</v>
      </c>
      <c r="BS5" s="78">
        <v>0</v>
      </c>
      <c r="BT5" s="78">
        <v>0</v>
      </c>
      <c r="BU5" s="137">
        <v>0.73913039999999997</v>
      </c>
      <c r="BW5" s="143" t="s">
        <v>719</v>
      </c>
      <c r="BX5" s="143" t="s">
        <v>720</v>
      </c>
      <c r="BY5" s="143" t="s">
        <v>842</v>
      </c>
      <c r="BZ5" s="143">
        <v>1565</v>
      </c>
      <c r="CA5" s="78">
        <v>1</v>
      </c>
      <c r="CB5" s="78">
        <v>0</v>
      </c>
      <c r="CC5" s="78">
        <v>1</v>
      </c>
      <c r="CD5" s="78">
        <v>2</v>
      </c>
      <c r="CE5" s="78">
        <v>1</v>
      </c>
      <c r="CF5" s="78">
        <v>2</v>
      </c>
      <c r="CG5" s="78">
        <v>1</v>
      </c>
      <c r="CH5" s="78">
        <v>2</v>
      </c>
      <c r="CI5" s="78">
        <v>1</v>
      </c>
      <c r="CJ5" s="78">
        <v>0</v>
      </c>
      <c r="CK5" s="137">
        <v>0.73333329999999997</v>
      </c>
      <c r="CM5" s="143" t="s">
        <v>719</v>
      </c>
      <c r="CN5" s="143" t="s">
        <v>720</v>
      </c>
      <c r="CO5" s="143" t="s">
        <v>842</v>
      </c>
      <c r="CP5" s="143">
        <v>1565</v>
      </c>
      <c r="CQ5" s="78">
        <v>8</v>
      </c>
      <c r="CR5" s="78">
        <v>0</v>
      </c>
      <c r="CS5" s="78">
        <v>4</v>
      </c>
      <c r="CT5" s="78">
        <v>4</v>
      </c>
      <c r="CU5" s="78">
        <v>2</v>
      </c>
      <c r="CV5" s="78">
        <v>8</v>
      </c>
      <c r="CW5" s="137">
        <v>0.5</v>
      </c>
      <c r="CY5" s="143" t="s">
        <v>719</v>
      </c>
      <c r="CZ5" s="143" t="s">
        <v>720</v>
      </c>
      <c r="DA5" s="143" t="s">
        <v>842</v>
      </c>
      <c r="DB5" s="143">
        <v>1565</v>
      </c>
      <c r="DC5" s="78">
        <v>0</v>
      </c>
      <c r="DD5" s="137">
        <v>0</v>
      </c>
      <c r="DE5" s="137">
        <v>0</v>
      </c>
      <c r="DG5" s="143" t="s">
        <v>719</v>
      </c>
      <c r="DH5" s="143" t="s">
        <v>720</v>
      </c>
      <c r="DI5" s="143" t="s">
        <v>842</v>
      </c>
      <c r="DJ5" s="143">
        <v>1565</v>
      </c>
      <c r="DK5" s="78">
        <v>0</v>
      </c>
      <c r="DL5" s="78">
        <v>1</v>
      </c>
      <c r="DM5" s="78">
        <v>0</v>
      </c>
      <c r="DN5" s="78">
        <v>7</v>
      </c>
      <c r="DO5" s="78">
        <v>2</v>
      </c>
      <c r="DP5" s="78">
        <v>3</v>
      </c>
      <c r="DQ5" s="78">
        <v>8</v>
      </c>
      <c r="DR5" s="78">
        <v>1</v>
      </c>
      <c r="DS5" s="78">
        <v>1</v>
      </c>
      <c r="DT5" s="78">
        <v>0</v>
      </c>
      <c r="DU5" s="78">
        <v>0</v>
      </c>
      <c r="DV5" s="137">
        <v>0.79310349999999996</v>
      </c>
      <c r="DX5" s="143" t="s">
        <v>719</v>
      </c>
      <c r="DY5" s="143" t="s">
        <v>720</v>
      </c>
      <c r="DZ5" s="143" t="s">
        <v>842</v>
      </c>
      <c r="EA5" s="143">
        <v>1565</v>
      </c>
      <c r="EB5" s="78">
        <v>1</v>
      </c>
      <c r="EC5" s="78">
        <v>8</v>
      </c>
      <c r="ED5" s="78">
        <v>0</v>
      </c>
      <c r="EE5" s="78">
        <v>4</v>
      </c>
      <c r="EF5" s="78">
        <v>0</v>
      </c>
      <c r="EG5" s="78">
        <v>1</v>
      </c>
      <c r="EH5" s="78">
        <v>1</v>
      </c>
      <c r="EI5" s="78">
        <v>1</v>
      </c>
      <c r="EJ5" s="78">
        <v>1</v>
      </c>
      <c r="EK5" s="78">
        <v>1</v>
      </c>
      <c r="EL5" s="78">
        <v>1</v>
      </c>
      <c r="EM5" s="78">
        <v>1</v>
      </c>
      <c r="EN5" s="78">
        <v>1</v>
      </c>
      <c r="EO5" s="78">
        <v>1</v>
      </c>
      <c r="EP5" s="78">
        <v>1</v>
      </c>
      <c r="EQ5" s="137">
        <v>0.8518519</v>
      </c>
      <c r="ES5" s="143" t="s">
        <v>719</v>
      </c>
      <c r="ET5" s="143" t="s">
        <v>720</v>
      </c>
      <c r="EU5" s="143" t="s">
        <v>842</v>
      </c>
      <c r="EV5" s="143">
        <v>1565</v>
      </c>
      <c r="EW5" s="78">
        <v>0</v>
      </c>
      <c r="EX5" s="78">
        <v>1</v>
      </c>
      <c r="EY5" s="78">
        <v>0</v>
      </c>
      <c r="EZ5" s="78">
        <v>0</v>
      </c>
      <c r="FA5" s="78">
        <v>0.5</v>
      </c>
      <c r="FB5" s="78">
        <v>0</v>
      </c>
      <c r="FC5" s="78">
        <v>2</v>
      </c>
      <c r="FD5" s="78">
        <v>1</v>
      </c>
      <c r="FE5" s="137">
        <v>0.34615390000000001</v>
      </c>
      <c r="FG5" s="137">
        <v>0.41690959999999999</v>
      </c>
    </row>
    <row r="6" spans="1:163" x14ac:dyDescent="0.35">
      <c r="A6" s="143" t="s">
        <v>719</v>
      </c>
      <c r="B6" s="143" t="s">
        <v>720</v>
      </c>
      <c r="C6" s="143" t="s">
        <v>842</v>
      </c>
      <c r="D6" s="143">
        <v>1712</v>
      </c>
      <c r="E6" s="78">
        <v>0</v>
      </c>
      <c r="F6" s="78">
        <v>2.5</v>
      </c>
      <c r="G6" s="78">
        <v>1</v>
      </c>
      <c r="H6" s="78">
        <v>1</v>
      </c>
      <c r="I6" s="78">
        <v>1</v>
      </c>
      <c r="J6" s="78">
        <v>1</v>
      </c>
      <c r="K6" s="78">
        <v>1</v>
      </c>
      <c r="L6" s="78">
        <v>1</v>
      </c>
      <c r="M6" s="78">
        <v>2</v>
      </c>
      <c r="N6" s="137">
        <v>0.75</v>
      </c>
      <c r="P6" s="143" t="s">
        <v>719</v>
      </c>
      <c r="Q6" s="143" t="s">
        <v>720</v>
      </c>
      <c r="R6" s="143" t="s">
        <v>842</v>
      </c>
      <c r="S6" s="143">
        <v>1712</v>
      </c>
      <c r="T6" s="78">
        <v>0</v>
      </c>
      <c r="U6" s="78">
        <v>1</v>
      </c>
      <c r="V6" s="78">
        <v>1.5</v>
      </c>
      <c r="W6" s="78">
        <v>2</v>
      </c>
      <c r="X6" s="78">
        <v>0</v>
      </c>
      <c r="Y6" s="78">
        <v>1</v>
      </c>
      <c r="Z6" s="78">
        <v>3</v>
      </c>
      <c r="AA6" s="78">
        <v>0</v>
      </c>
      <c r="AB6" s="78">
        <v>6</v>
      </c>
      <c r="AC6" s="78">
        <v>0</v>
      </c>
      <c r="AD6" s="137">
        <v>0.42647059999999998</v>
      </c>
      <c r="AF6" s="143" t="s">
        <v>719</v>
      </c>
      <c r="AG6" s="143" t="s">
        <v>720</v>
      </c>
      <c r="AH6" s="143" t="s">
        <v>842</v>
      </c>
      <c r="AI6" s="143">
        <v>1712</v>
      </c>
      <c r="AJ6" s="78">
        <v>1</v>
      </c>
      <c r="AK6" s="78">
        <v>0</v>
      </c>
      <c r="AL6" s="78">
        <v>1</v>
      </c>
      <c r="AM6" s="78">
        <v>0</v>
      </c>
      <c r="AN6" s="78">
        <v>1</v>
      </c>
      <c r="AO6" s="78">
        <v>2</v>
      </c>
      <c r="AP6" s="78">
        <v>2</v>
      </c>
      <c r="AQ6" s="78">
        <v>0</v>
      </c>
      <c r="AR6" s="78">
        <v>2</v>
      </c>
      <c r="AS6" s="78">
        <v>0</v>
      </c>
      <c r="AT6" s="78">
        <v>0</v>
      </c>
      <c r="AU6" s="78">
        <v>0</v>
      </c>
      <c r="AV6" s="78">
        <v>0</v>
      </c>
      <c r="AW6" s="78">
        <v>0</v>
      </c>
      <c r="AX6" s="78">
        <v>0</v>
      </c>
      <c r="AY6" s="78">
        <v>1</v>
      </c>
      <c r="AZ6" s="78">
        <v>2</v>
      </c>
      <c r="BA6" s="78">
        <v>0.5</v>
      </c>
      <c r="BB6" s="78">
        <v>0.5</v>
      </c>
      <c r="BC6" s="78">
        <v>0.5</v>
      </c>
      <c r="BD6" s="78">
        <v>1</v>
      </c>
      <c r="BE6" s="78">
        <v>0.5</v>
      </c>
      <c r="BF6" s="78">
        <v>0</v>
      </c>
      <c r="BG6" s="78">
        <v>0</v>
      </c>
      <c r="BH6" s="137">
        <v>0.34090910000000002</v>
      </c>
      <c r="BJ6" s="143" t="s">
        <v>719</v>
      </c>
      <c r="BK6" s="143" t="s">
        <v>720</v>
      </c>
      <c r="BL6" s="143" t="s">
        <v>842</v>
      </c>
      <c r="BM6" s="143">
        <v>1712</v>
      </c>
      <c r="BN6" s="78">
        <v>0</v>
      </c>
      <c r="BO6" s="78">
        <v>0</v>
      </c>
      <c r="BP6" s="78">
        <v>7</v>
      </c>
      <c r="BQ6" s="78">
        <v>0</v>
      </c>
      <c r="BR6" s="78">
        <v>3</v>
      </c>
      <c r="BS6" s="78">
        <v>3</v>
      </c>
      <c r="BT6" s="78">
        <v>0</v>
      </c>
      <c r="BU6" s="137">
        <v>0.56521739999999998</v>
      </c>
      <c r="BW6" s="143" t="s">
        <v>719</v>
      </c>
      <c r="BX6" s="143" t="s">
        <v>720</v>
      </c>
      <c r="BY6" s="143" t="s">
        <v>842</v>
      </c>
      <c r="BZ6" s="143">
        <v>1712</v>
      </c>
      <c r="CA6" s="78">
        <v>1</v>
      </c>
      <c r="CB6" s="78">
        <v>1</v>
      </c>
      <c r="CC6" s="78">
        <v>1</v>
      </c>
      <c r="CD6" s="78">
        <v>2</v>
      </c>
      <c r="CE6" s="78">
        <v>0</v>
      </c>
      <c r="CF6" s="78">
        <v>2</v>
      </c>
      <c r="CG6" s="78">
        <v>1</v>
      </c>
      <c r="CH6" s="78">
        <v>0</v>
      </c>
      <c r="CI6" s="78">
        <v>1</v>
      </c>
      <c r="CJ6" s="78">
        <v>3</v>
      </c>
      <c r="CK6" s="137">
        <v>0.8</v>
      </c>
      <c r="CM6" s="143" t="s">
        <v>719</v>
      </c>
      <c r="CN6" s="143" t="s">
        <v>720</v>
      </c>
      <c r="CO6" s="143" t="s">
        <v>842</v>
      </c>
      <c r="CP6" s="143">
        <v>1712</v>
      </c>
      <c r="CQ6" s="78">
        <v>0</v>
      </c>
      <c r="CR6" s="78">
        <v>0</v>
      </c>
      <c r="CS6" s="78">
        <v>4</v>
      </c>
      <c r="CT6" s="78">
        <v>4</v>
      </c>
      <c r="CU6" s="78">
        <v>2</v>
      </c>
      <c r="CV6" s="78">
        <v>4</v>
      </c>
      <c r="CW6" s="137">
        <v>0.26923079999999999</v>
      </c>
      <c r="CY6" s="143" t="s">
        <v>719</v>
      </c>
      <c r="CZ6" s="143" t="s">
        <v>720</v>
      </c>
      <c r="DA6" s="143" t="s">
        <v>842</v>
      </c>
      <c r="DB6" s="143">
        <v>1712</v>
      </c>
      <c r="DC6" s="78">
        <v>0</v>
      </c>
      <c r="DD6" s="137">
        <v>0</v>
      </c>
      <c r="DE6" s="137">
        <v>0</v>
      </c>
      <c r="DG6" s="143" t="s">
        <v>719</v>
      </c>
      <c r="DH6" s="143" t="s">
        <v>720</v>
      </c>
      <c r="DI6" s="143" t="s">
        <v>842</v>
      </c>
      <c r="DJ6" s="143">
        <v>1712</v>
      </c>
      <c r="DK6" s="78">
        <v>2</v>
      </c>
      <c r="DL6" s="78">
        <v>1</v>
      </c>
      <c r="DM6" s="78">
        <v>0</v>
      </c>
      <c r="DN6" s="78">
        <v>1</v>
      </c>
      <c r="DO6" s="78">
        <v>2</v>
      </c>
      <c r="DP6" s="78">
        <v>3</v>
      </c>
      <c r="DQ6" s="78">
        <v>8</v>
      </c>
      <c r="DR6" s="78">
        <v>1</v>
      </c>
      <c r="DS6" s="78">
        <v>1</v>
      </c>
      <c r="DT6" s="78">
        <v>0</v>
      </c>
      <c r="DU6" s="78">
        <v>0</v>
      </c>
      <c r="DV6" s="137">
        <v>0.65517239999999999</v>
      </c>
      <c r="DX6" s="143" t="s">
        <v>719</v>
      </c>
      <c r="DY6" s="143" t="s">
        <v>720</v>
      </c>
      <c r="DZ6" s="143" t="s">
        <v>842</v>
      </c>
      <c r="EA6" s="143">
        <v>1712</v>
      </c>
      <c r="EB6" s="78">
        <v>0</v>
      </c>
      <c r="EC6" s="78">
        <v>8</v>
      </c>
      <c r="ED6" s="78">
        <v>0</v>
      </c>
      <c r="EE6" s="78">
        <v>4</v>
      </c>
      <c r="EF6" s="78">
        <v>0</v>
      </c>
      <c r="EG6" s="78">
        <v>1</v>
      </c>
      <c r="EH6" s="78">
        <v>1</v>
      </c>
      <c r="EI6" s="78">
        <v>1</v>
      </c>
      <c r="EJ6" s="78">
        <v>1</v>
      </c>
      <c r="EK6" s="78">
        <v>1</v>
      </c>
      <c r="EL6" s="78">
        <v>1</v>
      </c>
      <c r="EM6" s="78">
        <v>1</v>
      </c>
      <c r="EN6" s="78">
        <v>1</v>
      </c>
      <c r="EO6" s="78">
        <v>1</v>
      </c>
      <c r="EP6" s="78">
        <v>0</v>
      </c>
      <c r="EQ6" s="137">
        <v>0.77777779999999996</v>
      </c>
      <c r="ES6" s="143" t="s">
        <v>719</v>
      </c>
      <c r="ET6" s="143" t="s">
        <v>720</v>
      </c>
      <c r="EU6" s="143" t="s">
        <v>842</v>
      </c>
      <c r="EV6" s="143">
        <v>1712</v>
      </c>
      <c r="EW6" s="78">
        <v>0</v>
      </c>
      <c r="EX6" s="78">
        <v>1</v>
      </c>
      <c r="EY6" s="78">
        <v>0</v>
      </c>
      <c r="EZ6" s="78">
        <v>0</v>
      </c>
      <c r="FA6" s="78">
        <v>0.5</v>
      </c>
      <c r="FB6" s="78">
        <v>0</v>
      </c>
      <c r="FC6" s="78">
        <v>2</v>
      </c>
      <c r="FD6" s="78">
        <v>1</v>
      </c>
      <c r="FE6" s="137">
        <v>0.34615390000000001</v>
      </c>
      <c r="FG6" s="137">
        <v>0.3600583</v>
      </c>
    </row>
    <row r="7" spans="1:163" x14ac:dyDescent="0.35">
      <c r="A7" s="143" t="s">
        <v>719</v>
      </c>
      <c r="B7" s="143" t="s">
        <v>720</v>
      </c>
      <c r="C7" s="143" t="s">
        <v>842</v>
      </c>
      <c r="D7" s="143">
        <v>1979</v>
      </c>
      <c r="E7" s="78">
        <v>0.5</v>
      </c>
      <c r="F7" s="78">
        <v>2.5</v>
      </c>
      <c r="G7" s="78">
        <v>1</v>
      </c>
      <c r="H7" s="78">
        <v>4</v>
      </c>
      <c r="I7" s="78">
        <v>1</v>
      </c>
      <c r="J7" s="78">
        <v>0</v>
      </c>
      <c r="K7" s="78">
        <v>1</v>
      </c>
      <c r="L7" s="78">
        <v>1</v>
      </c>
      <c r="M7" s="78">
        <v>2</v>
      </c>
      <c r="N7" s="137">
        <v>0.92857140000000005</v>
      </c>
      <c r="P7" s="143" t="s">
        <v>719</v>
      </c>
      <c r="Q7" s="143" t="s">
        <v>720</v>
      </c>
      <c r="R7" s="143" t="s">
        <v>842</v>
      </c>
      <c r="S7" s="143">
        <v>1979</v>
      </c>
      <c r="T7" s="78">
        <v>1</v>
      </c>
      <c r="U7" s="78">
        <v>1</v>
      </c>
      <c r="V7" s="78">
        <v>1.5</v>
      </c>
      <c r="W7" s="78">
        <v>2</v>
      </c>
      <c r="X7" s="78">
        <v>0</v>
      </c>
      <c r="Y7" s="78">
        <v>1</v>
      </c>
      <c r="Z7" s="78">
        <v>3</v>
      </c>
      <c r="AA7" s="78">
        <v>0</v>
      </c>
      <c r="AB7" s="78">
        <v>0</v>
      </c>
      <c r="AC7" s="78">
        <v>0</v>
      </c>
      <c r="AD7" s="137">
        <v>0.27941179999999999</v>
      </c>
      <c r="AF7" s="143" t="s">
        <v>719</v>
      </c>
      <c r="AG7" s="143" t="s">
        <v>720</v>
      </c>
      <c r="AH7" s="143" t="s">
        <v>842</v>
      </c>
      <c r="AI7" s="143">
        <v>1979</v>
      </c>
      <c r="AJ7" s="78">
        <v>1</v>
      </c>
      <c r="AK7" s="78">
        <v>0</v>
      </c>
      <c r="AL7" s="78">
        <v>1</v>
      </c>
      <c r="AM7" s="78">
        <v>5</v>
      </c>
      <c r="AN7" s="78">
        <v>1</v>
      </c>
      <c r="AO7" s="78">
        <v>0</v>
      </c>
      <c r="AP7" s="78">
        <v>2</v>
      </c>
      <c r="AQ7" s="78">
        <v>0</v>
      </c>
      <c r="AR7" s="78">
        <v>2</v>
      </c>
      <c r="AS7" s="78">
        <v>0</v>
      </c>
      <c r="AT7" s="78">
        <v>0</v>
      </c>
      <c r="AU7" s="78">
        <v>0</v>
      </c>
      <c r="AV7" s="78">
        <v>2</v>
      </c>
      <c r="AW7" s="78">
        <v>0</v>
      </c>
      <c r="AX7" s="78">
        <v>0</v>
      </c>
      <c r="AY7" s="78">
        <v>1</v>
      </c>
      <c r="AZ7" s="78">
        <v>2</v>
      </c>
      <c r="BA7" s="78">
        <v>0.5</v>
      </c>
      <c r="BB7" s="78">
        <v>0.5</v>
      </c>
      <c r="BC7" s="78">
        <v>0.5</v>
      </c>
      <c r="BD7" s="78">
        <v>1</v>
      </c>
      <c r="BE7" s="78">
        <v>0.5</v>
      </c>
      <c r="BF7" s="78">
        <v>0</v>
      </c>
      <c r="BG7" s="78">
        <v>2</v>
      </c>
      <c r="BH7" s="137">
        <v>0.5</v>
      </c>
      <c r="BJ7" s="143" t="s">
        <v>719</v>
      </c>
      <c r="BK7" s="143" t="s">
        <v>720</v>
      </c>
      <c r="BL7" s="143" t="s">
        <v>842</v>
      </c>
      <c r="BM7" s="143">
        <v>1979</v>
      </c>
      <c r="BN7" s="78">
        <v>1</v>
      </c>
      <c r="BO7" s="78">
        <v>4</v>
      </c>
      <c r="BP7" s="78">
        <v>7</v>
      </c>
      <c r="BQ7" s="78">
        <v>3</v>
      </c>
      <c r="BR7" s="78">
        <v>3</v>
      </c>
      <c r="BS7" s="78">
        <v>3</v>
      </c>
      <c r="BT7" s="78">
        <v>2</v>
      </c>
      <c r="BU7" s="137">
        <v>1</v>
      </c>
      <c r="BW7" s="143" t="s">
        <v>719</v>
      </c>
      <c r="BX7" s="143" t="s">
        <v>720</v>
      </c>
      <c r="BY7" s="143" t="s">
        <v>842</v>
      </c>
      <c r="BZ7" s="143">
        <v>1979</v>
      </c>
      <c r="CM7" s="143" t="s">
        <v>719</v>
      </c>
      <c r="CN7" s="143" t="s">
        <v>720</v>
      </c>
      <c r="CO7" s="143" t="s">
        <v>842</v>
      </c>
      <c r="CP7" s="143">
        <v>1979</v>
      </c>
      <c r="CQ7" s="78">
        <v>0</v>
      </c>
      <c r="CR7" s="78">
        <v>0</v>
      </c>
      <c r="CS7" s="78">
        <v>16</v>
      </c>
      <c r="CT7" s="78">
        <v>4</v>
      </c>
      <c r="CU7" s="78">
        <v>0</v>
      </c>
      <c r="CV7" s="78">
        <v>8</v>
      </c>
      <c r="CW7" s="137">
        <v>0.53846159999999998</v>
      </c>
      <c r="CY7" s="143" t="s">
        <v>719</v>
      </c>
      <c r="CZ7" s="143" t="s">
        <v>720</v>
      </c>
      <c r="DA7" s="143" t="s">
        <v>842</v>
      </c>
      <c r="DB7" s="143">
        <v>1979</v>
      </c>
      <c r="DC7" s="78">
        <v>30</v>
      </c>
      <c r="DD7" s="137">
        <v>0.2</v>
      </c>
      <c r="DE7" s="137">
        <v>6.5217399999999995E-2</v>
      </c>
      <c r="DG7" s="143" t="s">
        <v>719</v>
      </c>
      <c r="DH7" s="143" t="s">
        <v>720</v>
      </c>
      <c r="DI7" s="143" t="s">
        <v>842</v>
      </c>
      <c r="DJ7" s="143">
        <v>1979</v>
      </c>
      <c r="DK7" s="78">
        <v>2</v>
      </c>
      <c r="DL7" s="78">
        <v>1</v>
      </c>
      <c r="DM7" s="78">
        <v>1</v>
      </c>
      <c r="DN7" s="78">
        <v>3</v>
      </c>
      <c r="DO7" s="78">
        <v>2</v>
      </c>
      <c r="DP7" s="78">
        <v>1</v>
      </c>
      <c r="DQ7" s="78">
        <v>8</v>
      </c>
      <c r="DR7" s="78">
        <v>1</v>
      </c>
      <c r="DS7" s="78">
        <v>0</v>
      </c>
      <c r="DT7" s="78">
        <v>0</v>
      </c>
      <c r="DU7" s="78">
        <v>0</v>
      </c>
      <c r="DV7" s="137">
        <v>0.65517239999999999</v>
      </c>
      <c r="DX7" s="143" t="s">
        <v>719</v>
      </c>
      <c r="DY7" s="143" t="s">
        <v>720</v>
      </c>
      <c r="DZ7" s="143" t="s">
        <v>842</v>
      </c>
      <c r="EA7" s="143">
        <v>1979</v>
      </c>
      <c r="EB7" s="78">
        <v>1</v>
      </c>
      <c r="EC7" s="78">
        <v>8</v>
      </c>
      <c r="ED7" s="78">
        <v>0</v>
      </c>
      <c r="EE7" s="78">
        <v>4</v>
      </c>
      <c r="EF7" s="78">
        <v>0</v>
      </c>
      <c r="EG7" s="78">
        <v>1</v>
      </c>
      <c r="EH7" s="78">
        <v>1</v>
      </c>
      <c r="EI7" s="78">
        <v>1</v>
      </c>
      <c r="EJ7" s="78">
        <v>1</v>
      </c>
      <c r="EK7" s="78">
        <v>1</v>
      </c>
      <c r="EL7" s="78">
        <v>1</v>
      </c>
      <c r="EM7" s="78">
        <v>1</v>
      </c>
      <c r="EN7" s="78">
        <v>1</v>
      </c>
      <c r="EO7" s="78">
        <v>1</v>
      </c>
      <c r="EP7" s="78">
        <v>1</v>
      </c>
      <c r="EQ7" s="137">
        <v>0.8518519</v>
      </c>
      <c r="ES7" s="143" t="s">
        <v>719</v>
      </c>
      <c r="ET7" s="143" t="s">
        <v>720</v>
      </c>
      <c r="EU7" s="143" t="s">
        <v>842</v>
      </c>
      <c r="EV7" s="143">
        <v>1979</v>
      </c>
      <c r="EW7" s="78">
        <v>0</v>
      </c>
      <c r="EX7" s="78">
        <v>1</v>
      </c>
      <c r="EY7" s="78">
        <v>3</v>
      </c>
      <c r="EZ7" s="78">
        <v>0</v>
      </c>
      <c r="FA7" s="78">
        <v>0.5</v>
      </c>
      <c r="FB7" s="78">
        <v>3</v>
      </c>
      <c r="FC7" s="78">
        <v>2</v>
      </c>
      <c r="FD7" s="78">
        <v>1</v>
      </c>
      <c r="FE7" s="137">
        <v>0.80769230000000003</v>
      </c>
      <c r="FG7" s="137">
        <v>0.46951219999999999</v>
      </c>
    </row>
    <row r="8" spans="1:163" x14ac:dyDescent="0.35">
      <c r="A8" s="143" t="s">
        <v>719</v>
      </c>
      <c r="B8" s="143" t="s">
        <v>720</v>
      </c>
      <c r="C8" s="143" t="s">
        <v>842</v>
      </c>
      <c r="D8" s="143">
        <v>2064</v>
      </c>
      <c r="E8" s="78">
        <v>0</v>
      </c>
      <c r="F8" s="78">
        <v>2.5</v>
      </c>
      <c r="G8" s="78">
        <v>1</v>
      </c>
      <c r="H8" s="78">
        <v>4</v>
      </c>
      <c r="I8" s="78">
        <v>1</v>
      </c>
      <c r="J8" s="78">
        <v>0</v>
      </c>
      <c r="K8" s="78">
        <v>1</v>
      </c>
      <c r="L8" s="78">
        <v>1</v>
      </c>
      <c r="M8" s="78">
        <v>2</v>
      </c>
      <c r="N8" s="137">
        <v>0.89285709999999996</v>
      </c>
      <c r="P8" s="143" t="s">
        <v>719</v>
      </c>
      <c r="Q8" s="143" t="s">
        <v>720</v>
      </c>
      <c r="R8" s="143" t="s">
        <v>842</v>
      </c>
      <c r="S8" s="143">
        <v>2064</v>
      </c>
      <c r="T8" s="78">
        <v>1</v>
      </c>
      <c r="U8" s="78">
        <v>1</v>
      </c>
      <c r="V8" s="78">
        <v>2.5</v>
      </c>
      <c r="W8" s="78">
        <v>0.5</v>
      </c>
      <c r="X8" s="78">
        <v>0</v>
      </c>
      <c r="Y8" s="78">
        <v>1</v>
      </c>
      <c r="Z8" s="78">
        <v>3</v>
      </c>
      <c r="AA8" s="78">
        <v>0</v>
      </c>
      <c r="AB8" s="78">
        <v>6</v>
      </c>
      <c r="AC8" s="78">
        <v>0</v>
      </c>
      <c r="AD8" s="137">
        <v>0.44117650000000003</v>
      </c>
      <c r="AF8" s="143" t="s">
        <v>719</v>
      </c>
      <c r="AG8" s="143" t="s">
        <v>720</v>
      </c>
      <c r="AH8" s="143" t="s">
        <v>842</v>
      </c>
      <c r="AI8" s="143">
        <v>2064</v>
      </c>
      <c r="AJ8" s="78">
        <v>1</v>
      </c>
      <c r="AK8" s="78">
        <v>1</v>
      </c>
      <c r="AL8" s="78">
        <v>1</v>
      </c>
      <c r="AM8" s="78">
        <v>0</v>
      </c>
      <c r="AN8" s="78">
        <v>0</v>
      </c>
      <c r="AO8" s="78">
        <v>0</v>
      </c>
      <c r="AP8" s="78">
        <v>2</v>
      </c>
      <c r="AQ8" s="78">
        <v>1</v>
      </c>
      <c r="AR8" s="78">
        <v>0</v>
      </c>
      <c r="AS8" s="78">
        <v>0</v>
      </c>
      <c r="AT8" s="78">
        <v>0</v>
      </c>
      <c r="AU8" s="78">
        <v>1</v>
      </c>
      <c r="AV8" s="78">
        <v>2</v>
      </c>
      <c r="AW8" s="78">
        <v>1</v>
      </c>
      <c r="AX8" s="78">
        <v>0</v>
      </c>
      <c r="AY8" s="78">
        <v>1</v>
      </c>
      <c r="AZ8" s="78">
        <v>0</v>
      </c>
      <c r="BA8" s="78">
        <v>0.5</v>
      </c>
      <c r="BB8" s="78">
        <v>0</v>
      </c>
      <c r="BC8" s="78">
        <v>0.5</v>
      </c>
      <c r="BD8" s="78">
        <v>1</v>
      </c>
      <c r="BE8" s="78">
        <v>0</v>
      </c>
      <c r="BF8" s="78">
        <v>1</v>
      </c>
      <c r="BG8" s="78">
        <v>2</v>
      </c>
      <c r="BH8" s="137">
        <v>0.36363640000000003</v>
      </c>
      <c r="BJ8" s="143" t="s">
        <v>719</v>
      </c>
      <c r="BK8" s="143" t="s">
        <v>720</v>
      </c>
      <c r="BL8" s="143" t="s">
        <v>842</v>
      </c>
      <c r="BM8" s="143">
        <v>2064</v>
      </c>
      <c r="BN8" s="78">
        <v>0</v>
      </c>
      <c r="BO8" s="78">
        <v>4</v>
      </c>
      <c r="BP8" s="78">
        <v>0</v>
      </c>
      <c r="BQ8" s="78">
        <v>0</v>
      </c>
      <c r="BR8" s="78">
        <v>0</v>
      </c>
      <c r="BS8" s="78">
        <v>0</v>
      </c>
      <c r="BT8" s="78">
        <v>0</v>
      </c>
      <c r="BU8" s="137">
        <v>0.17391300000000001</v>
      </c>
      <c r="BW8" s="143" t="s">
        <v>719</v>
      </c>
      <c r="BX8" s="143" t="s">
        <v>720</v>
      </c>
      <c r="BY8" s="143" t="s">
        <v>842</v>
      </c>
      <c r="BZ8" s="143">
        <v>2064</v>
      </c>
      <c r="CM8" s="143" t="s">
        <v>719</v>
      </c>
      <c r="CN8" s="143" t="s">
        <v>720</v>
      </c>
      <c r="CO8" s="143" t="s">
        <v>842</v>
      </c>
      <c r="CP8" s="143">
        <v>2064</v>
      </c>
      <c r="CQ8" s="78">
        <v>8</v>
      </c>
      <c r="CR8" s="78">
        <v>6</v>
      </c>
      <c r="CS8" s="78">
        <v>16</v>
      </c>
      <c r="CT8" s="78">
        <v>4</v>
      </c>
      <c r="CU8" s="78">
        <v>0</v>
      </c>
      <c r="CV8" s="78">
        <v>8</v>
      </c>
      <c r="CW8" s="137">
        <v>0.80769230000000003</v>
      </c>
      <c r="CY8" s="143" t="s">
        <v>719</v>
      </c>
      <c r="CZ8" s="143" t="s">
        <v>720</v>
      </c>
      <c r="DA8" s="143" t="s">
        <v>842</v>
      </c>
      <c r="DB8" s="143">
        <v>2064</v>
      </c>
      <c r="DC8" s="78">
        <v>30</v>
      </c>
      <c r="DD8" s="137">
        <v>0</v>
      </c>
      <c r="DE8" s="137">
        <v>0</v>
      </c>
      <c r="DG8" s="143" t="s">
        <v>719</v>
      </c>
      <c r="DH8" s="143" t="s">
        <v>720</v>
      </c>
      <c r="DI8" s="143" t="s">
        <v>842</v>
      </c>
      <c r="DJ8" s="143">
        <v>2064</v>
      </c>
      <c r="DK8" s="78">
        <v>2</v>
      </c>
      <c r="DL8" s="78">
        <v>1</v>
      </c>
      <c r="DM8" s="78">
        <v>1</v>
      </c>
      <c r="DN8" s="78">
        <v>2</v>
      </c>
      <c r="DO8" s="78">
        <v>2</v>
      </c>
      <c r="DP8" s="78">
        <v>3</v>
      </c>
      <c r="DQ8" s="78">
        <v>6</v>
      </c>
      <c r="DR8" s="78">
        <v>1</v>
      </c>
      <c r="DS8" s="78">
        <v>0</v>
      </c>
      <c r="DT8" s="78">
        <v>0</v>
      </c>
      <c r="DU8" s="78">
        <v>1</v>
      </c>
      <c r="DV8" s="137">
        <v>0.65517239999999999</v>
      </c>
      <c r="DX8" s="143" t="s">
        <v>719</v>
      </c>
      <c r="DY8" s="143" t="s">
        <v>720</v>
      </c>
      <c r="DZ8" s="143" t="s">
        <v>842</v>
      </c>
      <c r="EA8" s="143">
        <v>2064</v>
      </c>
      <c r="EB8" s="78">
        <v>1</v>
      </c>
      <c r="EC8" s="78">
        <v>8</v>
      </c>
      <c r="ED8" s="78">
        <v>1</v>
      </c>
      <c r="EE8" s="78">
        <v>4</v>
      </c>
      <c r="EF8" s="78">
        <v>0</v>
      </c>
      <c r="EG8" s="78">
        <v>1</v>
      </c>
      <c r="EH8" s="78">
        <v>0</v>
      </c>
      <c r="EI8" s="78">
        <v>1</v>
      </c>
      <c r="EJ8" s="78">
        <v>1</v>
      </c>
      <c r="EK8" s="78">
        <v>1</v>
      </c>
      <c r="EL8" s="78">
        <v>1</v>
      </c>
      <c r="EM8" s="78">
        <v>1</v>
      </c>
      <c r="EN8" s="78">
        <v>1</v>
      </c>
      <c r="EO8" s="78">
        <v>1</v>
      </c>
      <c r="EP8" s="78">
        <v>0</v>
      </c>
      <c r="EQ8" s="137">
        <v>0.81481479999999995</v>
      </c>
      <c r="ES8" s="143" t="s">
        <v>719</v>
      </c>
      <c r="ET8" s="143" t="s">
        <v>720</v>
      </c>
      <c r="EU8" s="143" t="s">
        <v>842</v>
      </c>
      <c r="EV8" s="143">
        <v>2064</v>
      </c>
      <c r="EW8" s="78">
        <v>0.5</v>
      </c>
      <c r="EX8" s="78">
        <v>0</v>
      </c>
      <c r="EY8" s="78">
        <v>0</v>
      </c>
      <c r="EZ8" s="78">
        <v>0</v>
      </c>
      <c r="FA8" s="78">
        <v>0.5</v>
      </c>
      <c r="FB8" s="78">
        <v>3</v>
      </c>
      <c r="FC8" s="78">
        <v>2</v>
      </c>
      <c r="FD8" s="78">
        <v>0</v>
      </c>
      <c r="FE8" s="137">
        <v>0.46153850000000002</v>
      </c>
      <c r="FG8" s="137">
        <v>0.41615849999999999</v>
      </c>
    </row>
    <row r="9" spans="1:163" x14ac:dyDescent="0.35">
      <c r="A9" s="143" t="s">
        <v>721</v>
      </c>
      <c r="B9" s="143" t="s">
        <v>722</v>
      </c>
      <c r="C9" s="143" t="s">
        <v>842</v>
      </c>
      <c r="D9" s="143">
        <v>613</v>
      </c>
      <c r="E9" s="78">
        <v>0</v>
      </c>
      <c r="F9" s="78">
        <v>2</v>
      </c>
      <c r="G9" s="78">
        <v>1</v>
      </c>
      <c r="H9" s="78">
        <v>0</v>
      </c>
      <c r="I9" s="78">
        <v>1</v>
      </c>
      <c r="J9" s="78">
        <v>0</v>
      </c>
      <c r="K9" s="78">
        <v>1</v>
      </c>
      <c r="L9" s="78">
        <v>0</v>
      </c>
      <c r="M9" s="78">
        <v>2</v>
      </c>
      <c r="N9" s="137">
        <v>0.5</v>
      </c>
      <c r="P9" s="143" t="s">
        <v>721</v>
      </c>
      <c r="Q9" s="143" t="s">
        <v>722</v>
      </c>
      <c r="R9" s="143" t="s">
        <v>842</v>
      </c>
      <c r="S9" s="143">
        <v>613</v>
      </c>
      <c r="T9" s="78">
        <v>1</v>
      </c>
      <c r="U9" s="78">
        <v>1</v>
      </c>
      <c r="V9" s="78">
        <v>1.5</v>
      </c>
      <c r="W9" s="78">
        <v>2</v>
      </c>
      <c r="X9" s="78">
        <v>0</v>
      </c>
      <c r="Y9" s="78">
        <v>1</v>
      </c>
      <c r="Z9" s="78">
        <v>3</v>
      </c>
      <c r="AA9" s="78">
        <v>2</v>
      </c>
      <c r="AB9" s="78">
        <v>6</v>
      </c>
      <c r="AC9" s="78">
        <v>0</v>
      </c>
      <c r="AD9" s="137">
        <v>0.51470590000000005</v>
      </c>
      <c r="AF9" s="143" t="s">
        <v>721</v>
      </c>
      <c r="AG9" s="143" t="s">
        <v>722</v>
      </c>
      <c r="AH9" s="143" t="s">
        <v>842</v>
      </c>
      <c r="AI9" s="143">
        <v>613</v>
      </c>
      <c r="AJ9" s="78">
        <v>1</v>
      </c>
      <c r="AK9" s="78">
        <v>1</v>
      </c>
      <c r="AL9" s="78">
        <v>1</v>
      </c>
      <c r="AM9" s="78">
        <v>5</v>
      </c>
      <c r="AN9" s="78">
        <v>1</v>
      </c>
      <c r="AO9" s="78">
        <v>2</v>
      </c>
      <c r="AP9" s="78">
        <v>2</v>
      </c>
      <c r="AQ9" s="78">
        <v>1</v>
      </c>
      <c r="AR9" s="78">
        <v>2</v>
      </c>
      <c r="AS9" s="78">
        <v>2</v>
      </c>
      <c r="AT9" s="78">
        <v>2</v>
      </c>
      <c r="AU9" s="78">
        <v>1</v>
      </c>
      <c r="AV9" s="78">
        <v>2</v>
      </c>
      <c r="AW9" s="78">
        <v>1</v>
      </c>
      <c r="AX9" s="78">
        <v>0</v>
      </c>
      <c r="AY9" s="78">
        <v>1</v>
      </c>
      <c r="AZ9" s="78">
        <v>2</v>
      </c>
      <c r="BA9" s="78">
        <v>0.5</v>
      </c>
      <c r="BB9" s="78">
        <v>0.5</v>
      </c>
      <c r="BC9" s="78">
        <v>0.5</v>
      </c>
      <c r="BD9" s="78">
        <v>1</v>
      </c>
      <c r="BE9" s="78">
        <v>0.5</v>
      </c>
      <c r="BF9" s="78">
        <v>0</v>
      </c>
      <c r="BG9" s="78">
        <v>2</v>
      </c>
      <c r="BH9" s="137">
        <v>0.72727269999999999</v>
      </c>
      <c r="BJ9" s="143" t="s">
        <v>721</v>
      </c>
      <c r="BK9" s="143" t="s">
        <v>722</v>
      </c>
      <c r="BL9" s="143" t="s">
        <v>842</v>
      </c>
      <c r="BM9" s="143">
        <v>613</v>
      </c>
      <c r="BN9" s="78">
        <v>1</v>
      </c>
      <c r="BO9" s="78">
        <v>4</v>
      </c>
      <c r="BP9" s="78">
        <v>0</v>
      </c>
      <c r="BQ9" s="78">
        <v>0</v>
      </c>
      <c r="BR9" s="78">
        <v>0</v>
      </c>
      <c r="BS9" s="78">
        <v>0</v>
      </c>
      <c r="BT9" s="78">
        <v>0</v>
      </c>
      <c r="BU9" s="137">
        <v>0.21739130000000001</v>
      </c>
      <c r="BW9" s="143" t="s">
        <v>721</v>
      </c>
      <c r="BX9" s="143" t="s">
        <v>722</v>
      </c>
      <c r="BY9" s="143" t="s">
        <v>842</v>
      </c>
      <c r="BZ9" s="143">
        <v>613</v>
      </c>
      <c r="CM9" s="143" t="s">
        <v>721</v>
      </c>
      <c r="CN9" s="143" t="s">
        <v>722</v>
      </c>
      <c r="CO9" s="143" t="s">
        <v>842</v>
      </c>
      <c r="CP9" s="143">
        <v>613</v>
      </c>
      <c r="CQ9" s="78">
        <v>6</v>
      </c>
      <c r="CR9" s="78">
        <v>0</v>
      </c>
      <c r="CS9" s="78">
        <v>12</v>
      </c>
      <c r="CT9" s="78">
        <v>4</v>
      </c>
      <c r="CU9" s="78">
        <v>2</v>
      </c>
      <c r="CV9" s="78">
        <v>8</v>
      </c>
      <c r="CW9" s="137">
        <v>0.61538459999999995</v>
      </c>
      <c r="CY9" s="143" t="s">
        <v>721</v>
      </c>
      <c r="CZ9" s="143" t="s">
        <v>722</v>
      </c>
      <c r="DA9" s="143" t="s">
        <v>842</v>
      </c>
      <c r="DB9" s="143">
        <v>613</v>
      </c>
      <c r="DC9" s="78">
        <v>0</v>
      </c>
      <c r="DD9" s="137">
        <v>0</v>
      </c>
      <c r="DE9" s="137">
        <v>0</v>
      </c>
      <c r="DG9" s="143" t="s">
        <v>721</v>
      </c>
      <c r="DH9" s="143" t="s">
        <v>722</v>
      </c>
      <c r="DI9" s="143" t="s">
        <v>842</v>
      </c>
      <c r="DJ9" s="143">
        <v>613</v>
      </c>
      <c r="DK9" s="78">
        <v>0</v>
      </c>
      <c r="DL9" s="78">
        <v>0</v>
      </c>
      <c r="DM9" s="78">
        <v>0</v>
      </c>
      <c r="DN9" s="78">
        <v>5</v>
      </c>
      <c r="DO9" s="78">
        <v>2</v>
      </c>
      <c r="DP9" s="78">
        <v>3</v>
      </c>
      <c r="DQ9" s="78">
        <v>7</v>
      </c>
      <c r="DR9" s="78">
        <v>1</v>
      </c>
      <c r="DS9" s="78">
        <v>0</v>
      </c>
      <c r="DT9" s="78">
        <v>0</v>
      </c>
      <c r="DU9" s="78">
        <v>0</v>
      </c>
      <c r="DV9" s="137">
        <v>0.62068959999999995</v>
      </c>
      <c r="DX9" s="143" t="s">
        <v>721</v>
      </c>
      <c r="DY9" s="143" t="s">
        <v>722</v>
      </c>
      <c r="DZ9" s="143" t="s">
        <v>842</v>
      </c>
      <c r="EA9" s="143">
        <v>613</v>
      </c>
      <c r="EB9" s="78">
        <v>1</v>
      </c>
      <c r="EC9" s="78">
        <v>8</v>
      </c>
      <c r="ED9" s="78">
        <v>1</v>
      </c>
      <c r="EE9" s="78">
        <v>4</v>
      </c>
      <c r="EF9" s="78">
        <v>3</v>
      </c>
      <c r="EG9" s="78">
        <v>1</v>
      </c>
      <c r="EH9" s="78">
        <v>0</v>
      </c>
      <c r="EI9" s="78">
        <v>1</v>
      </c>
      <c r="EJ9" s="78">
        <v>1</v>
      </c>
      <c r="EK9" s="78">
        <v>0</v>
      </c>
      <c r="EL9" s="78">
        <v>1</v>
      </c>
      <c r="EM9" s="78">
        <v>1</v>
      </c>
      <c r="EN9" s="78">
        <v>1</v>
      </c>
      <c r="EO9" s="78">
        <v>1</v>
      </c>
      <c r="EP9" s="78">
        <v>1</v>
      </c>
      <c r="EQ9" s="137">
        <v>0.92592589999999997</v>
      </c>
      <c r="ES9" s="143" t="s">
        <v>721</v>
      </c>
      <c r="ET9" s="143" t="s">
        <v>722</v>
      </c>
      <c r="EU9" s="143" t="s">
        <v>842</v>
      </c>
      <c r="EV9" s="143">
        <v>613</v>
      </c>
      <c r="EW9" s="78">
        <v>0</v>
      </c>
      <c r="EX9" s="78">
        <v>1</v>
      </c>
      <c r="EY9" s="78">
        <v>3</v>
      </c>
      <c r="EZ9" s="78">
        <v>0</v>
      </c>
      <c r="FA9" s="78">
        <v>0.5</v>
      </c>
      <c r="FB9" s="78">
        <v>3</v>
      </c>
      <c r="FC9" s="78">
        <v>2</v>
      </c>
      <c r="FD9" s="78">
        <v>1</v>
      </c>
      <c r="FE9" s="137">
        <v>0.80769230000000003</v>
      </c>
      <c r="FG9" s="137">
        <v>0.44817069999999998</v>
      </c>
    </row>
    <row r="10" spans="1:163" x14ac:dyDescent="0.35">
      <c r="A10" s="143" t="s">
        <v>721</v>
      </c>
      <c r="B10" s="143" t="s">
        <v>722</v>
      </c>
      <c r="C10" s="143" t="s">
        <v>841</v>
      </c>
      <c r="D10" s="143">
        <v>615</v>
      </c>
      <c r="E10" s="78">
        <v>0.5</v>
      </c>
      <c r="F10" s="78">
        <v>2.5</v>
      </c>
      <c r="G10" s="78">
        <v>1</v>
      </c>
      <c r="H10" s="78">
        <v>4</v>
      </c>
      <c r="I10" s="78">
        <v>1</v>
      </c>
      <c r="J10" s="78">
        <v>1</v>
      </c>
      <c r="K10" s="78">
        <v>1</v>
      </c>
      <c r="L10" s="78">
        <v>0</v>
      </c>
      <c r="M10" s="78">
        <v>2</v>
      </c>
      <c r="N10" s="137">
        <v>0.92857140000000005</v>
      </c>
      <c r="P10" s="143" t="s">
        <v>721</v>
      </c>
      <c r="Q10" s="143" t="s">
        <v>722</v>
      </c>
      <c r="R10" s="143" t="s">
        <v>841</v>
      </c>
      <c r="S10" s="143">
        <v>615</v>
      </c>
      <c r="T10" s="78">
        <v>1</v>
      </c>
      <c r="U10" s="78">
        <v>1</v>
      </c>
      <c r="V10" s="78">
        <v>3</v>
      </c>
      <c r="W10" s="78">
        <v>2</v>
      </c>
      <c r="X10" s="78">
        <v>12</v>
      </c>
      <c r="Y10" s="78">
        <v>1</v>
      </c>
      <c r="Z10" s="78">
        <v>3</v>
      </c>
      <c r="AA10" s="78">
        <v>2</v>
      </c>
      <c r="AB10" s="78">
        <v>6</v>
      </c>
      <c r="AC10" s="78">
        <v>3</v>
      </c>
      <c r="AD10" s="137">
        <v>1</v>
      </c>
      <c r="AF10" s="143" t="s">
        <v>721</v>
      </c>
      <c r="AG10" s="143" t="s">
        <v>722</v>
      </c>
      <c r="AH10" s="143" t="s">
        <v>841</v>
      </c>
      <c r="AI10" s="143">
        <v>615</v>
      </c>
      <c r="AJ10" s="78">
        <v>1</v>
      </c>
      <c r="AK10" s="78">
        <v>1</v>
      </c>
      <c r="AL10" s="78">
        <v>1</v>
      </c>
      <c r="AM10" s="78">
        <v>6</v>
      </c>
      <c r="AN10" s="78">
        <v>1</v>
      </c>
      <c r="AO10" s="78">
        <v>2</v>
      </c>
      <c r="AP10" s="78">
        <v>2</v>
      </c>
      <c r="AQ10" s="78">
        <v>1</v>
      </c>
      <c r="AR10" s="78">
        <v>2</v>
      </c>
      <c r="AS10" s="78">
        <v>2</v>
      </c>
      <c r="AT10" s="78">
        <v>2</v>
      </c>
      <c r="AU10" s="78">
        <v>1</v>
      </c>
      <c r="AV10" s="78">
        <v>2</v>
      </c>
      <c r="AW10" s="78">
        <v>1</v>
      </c>
      <c r="AX10" s="78">
        <v>4</v>
      </c>
      <c r="AY10" s="78">
        <v>1</v>
      </c>
      <c r="AZ10" s="78">
        <v>2</v>
      </c>
      <c r="BA10" s="78">
        <v>0.5</v>
      </c>
      <c r="BB10" s="78">
        <v>0.5</v>
      </c>
      <c r="BC10" s="78">
        <v>0.5</v>
      </c>
      <c r="BD10" s="78">
        <v>1</v>
      </c>
      <c r="BE10" s="78">
        <v>0.5</v>
      </c>
      <c r="BF10" s="78">
        <v>1</v>
      </c>
      <c r="BG10" s="78">
        <v>8</v>
      </c>
      <c r="BH10" s="137">
        <v>1</v>
      </c>
      <c r="BJ10" s="143" t="s">
        <v>721</v>
      </c>
      <c r="BK10" s="143" t="s">
        <v>722</v>
      </c>
      <c r="BL10" s="143" t="s">
        <v>841</v>
      </c>
      <c r="BM10" s="143">
        <v>615</v>
      </c>
      <c r="BN10" s="78">
        <v>1</v>
      </c>
      <c r="BO10" s="78">
        <v>4</v>
      </c>
      <c r="BP10" s="78">
        <v>7</v>
      </c>
      <c r="BQ10" s="78">
        <v>3</v>
      </c>
      <c r="BR10" s="78">
        <v>0</v>
      </c>
      <c r="BS10" s="78">
        <v>3</v>
      </c>
      <c r="BT10" s="78">
        <v>2</v>
      </c>
      <c r="BU10" s="137">
        <v>0.86956520000000004</v>
      </c>
      <c r="BW10" s="143" t="s">
        <v>721</v>
      </c>
      <c r="BX10" s="143" t="s">
        <v>722</v>
      </c>
      <c r="BY10" s="143" t="s">
        <v>841</v>
      </c>
      <c r="BZ10" s="143">
        <v>615</v>
      </c>
      <c r="CA10" s="78">
        <v>1</v>
      </c>
      <c r="CB10" s="78">
        <v>0</v>
      </c>
      <c r="CC10" s="78">
        <v>0</v>
      </c>
      <c r="CD10" s="78">
        <v>2</v>
      </c>
      <c r="CE10" s="78">
        <v>1</v>
      </c>
      <c r="CF10" s="78">
        <v>2</v>
      </c>
      <c r="CG10" s="78">
        <v>1</v>
      </c>
      <c r="CH10" s="78">
        <v>2</v>
      </c>
      <c r="CI10" s="78">
        <v>1</v>
      </c>
      <c r="CJ10" s="78">
        <v>0</v>
      </c>
      <c r="CK10" s="137">
        <v>0.66666669999999995</v>
      </c>
      <c r="CM10" s="143" t="s">
        <v>721</v>
      </c>
      <c r="CN10" s="143" t="s">
        <v>722</v>
      </c>
      <c r="CO10" s="143" t="s">
        <v>841</v>
      </c>
      <c r="CP10" s="143">
        <v>615</v>
      </c>
      <c r="CQ10" s="78">
        <v>8</v>
      </c>
      <c r="CR10" s="78">
        <v>6</v>
      </c>
      <c r="CS10" s="78">
        <v>24</v>
      </c>
      <c r="CT10" s="78">
        <v>4</v>
      </c>
      <c r="CU10" s="78">
        <v>2</v>
      </c>
      <c r="CV10" s="78">
        <v>8</v>
      </c>
      <c r="CW10" s="137">
        <v>1</v>
      </c>
      <c r="CY10" s="143" t="s">
        <v>721</v>
      </c>
      <c r="CZ10" s="143" t="s">
        <v>722</v>
      </c>
      <c r="DA10" s="143" t="s">
        <v>841</v>
      </c>
      <c r="DB10" s="143">
        <v>615</v>
      </c>
      <c r="DC10" s="78">
        <v>72</v>
      </c>
      <c r="DD10" s="137">
        <v>0</v>
      </c>
      <c r="DE10" s="137">
        <v>0</v>
      </c>
      <c r="DG10" s="143" t="s">
        <v>721</v>
      </c>
      <c r="DH10" s="143" t="s">
        <v>722</v>
      </c>
      <c r="DI10" s="143" t="s">
        <v>841</v>
      </c>
      <c r="DJ10" s="143">
        <v>615</v>
      </c>
      <c r="DK10" s="78">
        <v>2</v>
      </c>
      <c r="DL10" s="78">
        <v>1</v>
      </c>
      <c r="DM10" s="78">
        <v>1</v>
      </c>
      <c r="DN10" s="78">
        <v>7</v>
      </c>
      <c r="DO10" s="78">
        <v>2</v>
      </c>
      <c r="DP10" s="78">
        <v>3</v>
      </c>
      <c r="DQ10" s="78">
        <v>8</v>
      </c>
      <c r="DR10" s="78">
        <v>1</v>
      </c>
      <c r="DS10" s="78">
        <v>1</v>
      </c>
      <c r="DT10" s="78">
        <v>2</v>
      </c>
      <c r="DU10" s="78">
        <v>1</v>
      </c>
      <c r="DV10" s="137">
        <v>1</v>
      </c>
      <c r="DX10" s="143" t="s">
        <v>721</v>
      </c>
      <c r="DY10" s="143" t="s">
        <v>722</v>
      </c>
      <c r="DZ10" s="143" t="s">
        <v>841</v>
      </c>
      <c r="EA10" s="143">
        <v>615</v>
      </c>
      <c r="EB10" s="78">
        <v>1</v>
      </c>
      <c r="EC10" s="78">
        <v>8</v>
      </c>
      <c r="ED10" s="78">
        <v>1</v>
      </c>
      <c r="EE10" s="78">
        <v>4</v>
      </c>
      <c r="EF10" s="78">
        <v>3</v>
      </c>
      <c r="EG10" s="78">
        <v>1</v>
      </c>
      <c r="EH10" s="78">
        <v>0</v>
      </c>
      <c r="EI10" s="78">
        <v>1</v>
      </c>
      <c r="EJ10" s="78">
        <v>1</v>
      </c>
      <c r="EK10" s="78">
        <v>1</v>
      </c>
      <c r="EL10" s="78">
        <v>1</v>
      </c>
      <c r="EM10" s="78">
        <v>1</v>
      </c>
      <c r="EN10" s="78">
        <v>1</v>
      </c>
      <c r="EO10" s="78">
        <v>1</v>
      </c>
      <c r="EP10" s="78">
        <v>0</v>
      </c>
      <c r="EQ10" s="137">
        <v>0.92592589999999997</v>
      </c>
      <c r="ES10" s="143" t="s">
        <v>721</v>
      </c>
      <c r="ET10" s="143" t="s">
        <v>722</v>
      </c>
      <c r="EU10" s="143" t="s">
        <v>841</v>
      </c>
      <c r="EV10" s="143">
        <v>615</v>
      </c>
      <c r="EW10" s="78">
        <v>0.5</v>
      </c>
      <c r="EX10" s="78">
        <v>1</v>
      </c>
      <c r="EY10" s="78">
        <v>3</v>
      </c>
      <c r="EZ10" s="78">
        <v>2</v>
      </c>
      <c r="FA10" s="78">
        <v>0.5</v>
      </c>
      <c r="FB10" s="78">
        <v>3</v>
      </c>
      <c r="FC10" s="78">
        <v>2</v>
      </c>
      <c r="FD10" s="78">
        <v>1</v>
      </c>
      <c r="FE10" s="137">
        <v>1</v>
      </c>
      <c r="FG10" s="137">
        <v>0.69970849999999996</v>
      </c>
    </row>
    <row r="11" spans="1:163" x14ac:dyDescent="0.35">
      <c r="A11" s="143" t="s">
        <v>721</v>
      </c>
      <c r="B11" s="143" t="s">
        <v>722</v>
      </c>
      <c r="C11" s="143" t="s">
        <v>842</v>
      </c>
      <c r="D11" s="143">
        <v>1004</v>
      </c>
      <c r="E11" s="78">
        <v>0</v>
      </c>
      <c r="F11" s="78">
        <v>2.5</v>
      </c>
      <c r="G11" s="78">
        <v>1</v>
      </c>
      <c r="H11" s="78">
        <v>4</v>
      </c>
      <c r="I11" s="78">
        <v>1</v>
      </c>
      <c r="J11" s="78">
        <v>0</v>
      </c>
      <c r="K11" s="78">
        <v>1</v>
      </c>
      <c r="L11" s="78">
        <v>0</v>
      </c>
      <c r="M11" s="78">
        <v>2</v>
      </c>
      <c r="N11" s="137">
        <v>0.82142859999999995</v>
      </c>
      <c r="P11" s="143" t="s">
        <v>721</v>
      </c>
      <c r="Q11" s="143" t="s">
        <v>722</v>
      </c>
      <c r="R11" s="143" t="s">
        <v>842</v>
      </c>
      <c r="S11" s="143">
        <v>1004</v>
      </c>
      <c r="T11" s="78">
        <v>1</v>
      </c>
      <c r="U11" s="78">
        <v>1</v>
      </c>
      <c r="V11" s="78">
        <v>3</v>
      </c>
      <c r="W11" s="78">
        <v>1</v>
      </c>
      <c r="X11" s="78">
        <v>0</v>
      </c>
      <c r="Y11" s="78">
        <v>1</v>
      </c>
      <c r="Z11" s="78">
        <v>0</v>
      </c>
      <c r="AA11" s="78">
        <v>2</v>
      </c>
      <c r="AB11" s="78">
        <v>6</v>
      </c>
      <c r="AC11" s="78">
        <v>3</v>
      </c>
      <c r="AD11" s="137">
        <v>0.52941179999999999</v>
      </c>
      <c r="AF11" s="143" t="s">
        <v>721</v>
      </c>
      <c r="AG11" s="143" t="s">
        <v>722</v>
      </c>
      <c r="AH11" s="143" t="s">
        <v>842</v>
      </c>
      <c r="AI11" s="143">
        <v>1004</v>
      </c>
      <c r="AJ11" s="78">
        <v>1</v>
      </c>
      <c r="AK11" s="78">
        <v>1</v>
      </c>
      <c r="AL11" s="78">
        <v>1</v>
      </c>
      <c r="AM11" s="78">
        <v>6</v>
      </c>
      <c r="AN11" s="78">
        <v>1</v>
      </c>
      <c r="AO11" s="78">
        <v>0</v>
      </c>
      <c r="AP11" s="78">
        <v>2</v>
      </c>
      <c r="AQ11" s="78">
        <v>1</v>
      </c>
      <c r="AR11" s="78">
        <v>2</v>
      </c>
      <c r="AS11" s="78">
        <v>2</v>
      </c>
      <c r="AT11" s="78">
        <v>2</v>
      </c>
      <c r="AU11" s="78">
        <v>1</v>
      </c>
      <c r="AV11" s="78">
        <v>2</v>
      </c>
      <c r="AW11" s="78">
        <v>1</v>
      </c>
      <c r="AX11" s="78">
        <v>4</v>
      </c>
      <c r="AY11" s="78">
        <v>1</v>
      </c>
      <c r="AZ11" s="78">
        <v>2</v>
      </c>
      <c r="BA11" s="78">
        <v>0.5</v>
      </c>
      <c r="BB11" s="78">
        <v>0.5</v>
      </c>
      <c r="BC11" s="78">
        <v>0.5</v>
      </c>
      <c r="BD11" s="78">
        <v>1</v>
      </c>
      <c r="BE11" s="78">
        <v>0</v>
      </c>
      <c r="BF11" s="78">
        <v>0</v>
      </c>
      <c r="BG11" s="78">
        <v>8</v>
      </c>
      <c r="BH11" s="137">
        <v>0.92045460000000001</v>
      </c>
      <c r="BJ11" s="143" t="s">
        <v>721</v>
      </c>
      <c r="BK11" s="143" t="s">
        <v>722</v>
      </c>
      <c r="BL11" s="143" t="s">
        <v>842</v>
      </c>
      <c r="BM11" s="143">
        <v>1004</v>
      </c>
      <c r="BN11" s="78">
        <v>0</v>
      </c>
      <c r="BO11" s="78">
        <v>4</v>
      </c>
      <c r="BP11" s="78">
        <v>7</v>
      </c>
      <c r="BQ11" s="78">
        <v>0</v>
      </c>
      <c r="BR11" s="78">
        <v>0</v>
      </c>
      <c r="BS11" s="78">
        <v>0</v>
      </c>
      <c r="BT11" s="78">
        <v>2</v>
      </c>
      <c r="BU11" s="137">
        <v>0.56521739999999998</v>
      </c>
      <c r="BW11" s="143" t="s">
        <v>721</v>
      </c>
      <c r="BX11" s="143" t="s">
        <v>722</v>
      </c>
      <c r="BY11" s="143" t="s">
        <v>842</v>
      </c>
      <c r="BZ11" s="143">
        <v>1004</v>
      </c>
      <c r="CA11" s="78">
        <v>1</v>
      </c>
      <c r="CB11" s="78">
        <v>0</v>
      </c>
      <c r="CC11" s="78">
        <v>0</v>
      </c>
      <c r="CD11" s="78">
        <v>2</v>
      </c>
      <c r="CE11" s="78">
        <v>1</v>
      </c>
      <c r="CF11" s="78">
        <v>2</v>
      </c>
      <c r="CG11" s="78">
        <v>0</v>
      </c>
      <c r="CH11" s="78">
        <v>2</v>
      </c>
      <c r="CI11" s="78">
        <v>1</v>
      </c>
      <c r="CJ11" s="78">
        <v>0</v>
      </c>
      <c r="CK11" s="137">
        <v>0.6</v>
      </c>
      <c r="CM11" s="143" t="s">
        <v>721</v>
      </c>
      <c r="CN11" s="143" t="s">
        <v>722</v>
      </c>
      <c r="CO11" s="143" t="s">
        <v>842</v>
      </c>
      <c r="CP11" s="143">
        <v>1004</v>
      </c>
      <c r="CQ11" s="78">
        <v>6</v>
      </c>
      <c r="CR11" s="78">
        <v>0</v>
      </c>
      <c r="CS11" s="78">
        <v>12</v>
      </c>
      <c r="CT11" s="78">
        <v>4</v>
      </c>
      <c r="CU11" s="78">
        <v>2</v>
      </c>
      <c r="CV11" s="78">
        <v>8</v>
      </c>
      <c r="CW11" s="137">
        <v>0.61538459999999995</v>
      </c>
      <c r="CY11" s="143" t="s">
        <v>721</v>
      </c>
      <c r="CZ11" s="143" t="s">
        <v>722</v>
      </c>
      <c r="DA11" s="143" t="s">
        <v>842</v>
      </c>
      <c r="DB11" s="143">
        <v>1004</v>
      </c>
      <c r="DC11" s="78">
        <v>0</v>
      </c>
      <c r="DD11" s="137">
        <v>0</v>
      </c>
      <c r="DE11" s="137">
        <v>0</v>
      </c>
      <c r="DG11" s="143" t="s">
        <v>721</v>
      </c>
      <c r="DH11" s="143" t="s">
        <v>722</v>
      </c>
      <c r="DI11" s="143" t="s">
        <v>842</v>
      </c>
      <c r="DJ11" s="143">
        <v>1004</v>
      </c>
      <c r="DK11" s="78">
        <v>0</v>
      </c>
      <c r="DL11" s="78">
        <v>1</v>
      </c>
      <c r="DM11" s="78">
        <v>1</v>
      </c>
      <c r="DN11" s="78">
        <v>5</v>
      </c>
      <c r="DO11" s="78">
        <v>2</v>
      </c>
      <c r="DP11" s="78">
        <v>3</v>
      </c>
      <c r="DQ11" s="78">
        <v>8</v>
      </c>
      <c r="DR11" s="78">
        <v>1</v>
      </c>
      <c r="DS11" s="78">
        <v>1</v>
      </c>
      <c r="DT11" s="78">
        <v>0</v>
      </c>
      <c r="DU11" s="78">
        <v>0</v>
      </c>
      <c r="DV11" s="137">
        <v>0.75862070000000004</v>
      </c>
      <c r="DX11" s="143" t="s">
        <v>721</v>
      </c>
      <c r="DY11" s="143" t="s">
        <v>722</v>
      </c>
      <c r="DZ11" s="143" t="s">
        <v>842</v>
      </c>
      <c r="EA11" s="143">
        <v>1004</v>
      </c>
      <c r="EB11" s="78">
        <v>1</v>
      </c>
      <c r="EC11" s="78">
        <v>8</v>
      </c>
      <c r="ED11" s="78">
        <v>1</v>
      </c>
      <c r="EE11" s="78">
        <v>4</v>
      </c>
      <c r="EF11" s="78">
        <v>3</v>
      </c>
      <c r="EG11" s="78">
        <v>1</v>
      </c>
      <c r="EH11" s="78">
        <v>1</v>
      </c>
      <c r="EI11" s="78">
        <v>1</v>
      </c>
      <c r="EJ11" s="78">
        <v>1</v>
      </c>
      <c r="EK11" s="78">
        <v>1</v>
      </c>
      <c r="EL11" s="78">
        <v>1</v>
      </c>
      <c r="EM11" s="78">
        <v>0</v>
      </c>
      <c r="EN11" s="78">
        <v>0</v>
      </c>
      <c r="EO11" s="78">
        <v>0</v>
      </c>
      <c r="EP11" s="78">
        <v>0</v>
      </c>
      <c r="EQ11" s="137">
        <v>0.8518519</v>
      </c>
      <c r="ES11" s="143" t="s">
        <v>721</v>
      </c>
      <c r="ET11" s="143" t="s">
        <v>722</v>
      </c>
      <c r="EU11" s="143" t="s">
        <v>842</v>
      </c>
      <c r="EV11" s="143">
        <v>1004</v>
      </c>
      <c r="EW11" s="78">
        <v>0.5</v>
      </c>
      <c r="EX11" s="78">
        <v>0</v>
      </c>
      <c r="EY11" s="78">
        <v>3</v>
      </c>
      <c r="EZ11" s="78">
        <v>0</v>
      </c>
      <c r="FA11" s="78">
        <v>0.5</v>
      </c>
      <c r="FB11" s="78">
        <v>3</v>
      </c>
      <c r="FC11" s="78">
        <v>2</v>
      </c>
      <c r="FD11" s="78">
        <v>1</v>
      </c>
      <c r="FE11" s="137">
        <v>0.76923079999999999</v>
      </c>
      <c r="FG11" s="137">
        <v>0.52186589999999999</v>
      </c>
    </row>
    <row r="12" spans="1:163" x14ac:dyDescent="0.35">
      <c r="A12" s="143" t="s">
        <v>721</v>
      </c>
      <c r="B12" s="143" t="s">
        <v>722</v>
      </c>
      <c r="C12" s="143" t="s">
        <v>842</v>
      </c>
      <c r="D12" s="143">
        <v>1604</v>
      </c>
      <c r="E12" s="78">
        <v>0</v>
      </c>
      <c r="F12" s="78">
        <v>1.5</v>
      </c>
      <c r="G12" s="78">
        <v>1</v>
      </c>
      <c r="H12" s="78">
        <v>0</v>
      </c>
      <c r="I12" s="78">
        <v>1</v>
      </c>
      <c r="J12" s="78">
        <v>0</v>
      </c>
      <c r="K12" s="78">
        <v>0</v>
      </c>
      <c r="L12" s="78">
        <v>0</v>
      </c>
      <c r="M12" s="78">
        <v>2</v>
      </c>
      <c r="N12" s="137">
        <v>0.39285710000000001</v>
      </c>
      <c r="P12" s="143" t="s">
        <v>721</v>
      </c>
      <c r="Q12" s="143" t="s">
        <v>722</v>
      </c>
      <c r="R12" s="143" t="s">
        <v>842</v>
      </c>
      <c r="S12" s="143">
        <v>1604</v>
      </c>
      <c r="T12" s="78">
        <v>1</v>
      </c>
      <c r="U12" s="78">
        <v>0</v>
      </c>
      <c r="V12" s="78">
        <v>3</v>
      </c>
      <c r="W12" s="78">
        <v>1</v>
      </c>
      <c r="X12" s="78">
        <v>0</v>
      </c>
      <c r="Y12" s="78">
        <v>1</v>
      </c>
      <c r="Z12" s="78">
        <v>0</v>
      </c>
      <c r="AA12" s="78">
        <v>2</v>
      </c>
      <c r="AB12" s="78">
        <v>0</v>
      </c>
      <c r="AC12" s="78">
        <v>3</v>
      </c>
      <c r="AD12" s="137">
        <v>0.32352940000000002</v>
      </c>
      <c r="AF12" s="143" t="s">
        <v>721</v>
      </c>
      <c r="AG12" s="143" t="s">
        <v>722</v>
      </c>
      <c r="AH12" s="143" t="s">
        <v>842</v>
      </c>
      <c r="AI12" s="143">
        <v>1604</v>
      </c>
      <c r="AJ12" s="78">
        <v>0</v>
      </c>
      <c r="AK12" s="78">
        <v>0</v>
      </c>
      <c r="AL12" s="78">
        <v>1</v>
      </c>
      <c r="AM12" s="78">
        <v>5</v>
      </c>
      <c r="AN12" s="78">
        <v>1</v>
      </c>
      <c r="AO12" s="78">
        <v>0</v>
      </c>
      <c r="AP12" s="78">
        <v>2</v>
      </c>
      <c r="AQ12" s="78">
        <v>0</v>
      </c>
      <c r="AR12" s="78">
        <v>0</v>
      </c>
      <c r="AS12" s="78">
        <v>0</v>
      </c>
      <c r="AT12" s="78">
        <v>2</v>
      </c>
      <c r="AU12" s="78">
        <v>0</v>
      </c>
      <c r="AV12" s="78">
        <v>2</v>
      </c>
      <c r="AW12" s="78">
        <v>0</v>
      </c>
      <c r="AX12" s="78">
        <v>0</v>
      </c>
      <c r="AY12" s="78">
        <v>1</v>
      </c>
      <c r="AZ12" s="78">
        <v>2</v>
      </c>
      <c r="BA12" s="78">
        <v>0.5</v>
      </c>
      <c r="BB12" s="78">
        <v>0.5</v>
      </c>
      <c r="BC12" s="78">
        <v>0.5</v>
      </c>
      <c r="BD12" s="78">
        <v>1</v>
      </c>
      <c r="BE12" s="78">
        <v>0.5</v>
      </c>
      <c r="BF12" s="78">
        <v>0</v>
      </c>
      <c r="BG12" s="78">
        <v>2</v>
      </c>
      <c r="BH12" s="137">
        <v>0.47727269999999999</v>
      </c>
      <c r="BJ12" s="143" t="s">
        <v>721</v>
      </c>
      <c r="BK12" s="143" t="s">
        <v>722</v>
      </c>
      <c r="BL12" s="143" t="s">
        <v>842</v>
      </c>
      <c r="BM12" s="143">
        <v>1604</v>
      </c>
      <c r="BN12" s="78">
        <v>1</v>
      </c>
      <c r="BO12" s="78">
        <v>4</v>
      </c>
      <c r="BP12" s="78">
        <v>0</v>
      </c>
      <c r="BQ12" s="78">
        <v>0</v>
      </c>
      <c r="BR12" s="78">
        <v>0</v>
      </c>
      <c r="BS12" s="78">
        <v>0</v>
      </c>
      <c r="BT12" s="78">
        <v>0</v>
      </c>
      <c r="BU12" s="137">
        <v>0.21739130000000001</v>
      </c>
      <c r="BW12" s="143" t="s">
        <v>721</v>
      </c>
      <c r="BX12" s="143" t="s">
        <v>722</v>
      </c>
      <c r="BY12" s="143" t="s">
        <v>842</v>
      </c>
      <c r="BZ12" s="143">
        <v>1604</v>
      </c>
      <c r="CM12" s="143" t="s">
        <v>721</v>
      </c>
      <c r="CN12" s="143" t="s">
        <v>722</v>
      </c>
      <c r="CO12" s="143" t="s">
        <v>842</v>
      </c>
      <c r="CP12" s="143">
        <v>1604</v>
      </c>
      <c r="CQ12" s="78">
        <v>0</v>
      </c>
      <c r="CR12" s="78">
        <v>0</v>
      </c>
      <c r="CS12" s="78">
        <v>8</v>
      </c>
      <c r="CT12" s="78">
        <v>0</v>
      </c>
      <c r="CU12" s="78">
        <v>0</v>
      </c>
      <c r="CV12" s="78">
        <v>8</v>
      </c>
      <c r="CW12" s="137">
        <v>0.30769229999999997</v>
      </c>
      <c r="CY12" s="143" t="s">
        <v>721</v>
      </c>
      <c r="CZ12" s="143" t="s">
        <v>722</v>
      </c>
      <c r="DA12" s="143" t="s">
        <v>842</v>
      </c>
      <c r="DB12" s="143">
        <v>1604</v>
      </c>
      <c r="DC12" s="78">
        <v>22</v>
      </c>
      <c r="DD12" s="137">
        <v>0.2</v>
      </c>
      <c r="DE12" s="137">
        <v>4.7826100000000003E-2</v>
      </c>
      <c r="DG12" s="143" t="s">
        <v>721</v>
      </c>
      <c r="DH12" s="143" t="s">
        <v>722</v>
      </c>
      <c r="DI12" s="143" t="s">
        <v>842</v>
      </c>
      <c r="DJ12" s="143">
        <v>1604</v>
      </c>
      <c r="DK12" s="78">
        <v>2</v>
      </c>
      <c r="DL12" s="78">
        <v>1</v>
      </c>
      <c r="DM12" s="78">
        <v>0</v>
      </c>
      <c r="DN12" s="78">
        <v>5</v>
      </c>
      <c r="DO12" s="78">
        <v>2</v>
      </c>
      <c r="DP12" s="78">
        <v>1</v>
      </c>
      <c r="DQ12" s="78">
        <v>5</v>
      </c>
      <c r="DR12" s="78">
        <v>0</v>
      </c>
      <c r="DS12" s="78">
        <v>1</v>
      </c>
      <c r="DT12" s="78">
        <v>0</v>
      </c>
      <c r="DU12" s="78">
        <v>0</v>
      </c>
      <c r="DV12" s="137">
        <v>0.58620689999999998</v>
      </c>
      <c r="DX12" s="143" t="s">
        <v>721</v>
      </c>
      <c r="DY12" s="143" t="s">
        <v>722</v>
      </c>
      <c r="DZ12" s="143" t="s">
        <v>842</v>
      </c>
      <c r="EA12" s="143">
        <v>1604</v>
      </c>
      <c r="EB12" s="78">
        <v>1</v>
      </c>
      <c r="EC12" s="78">
        <v>8</v>
      </c>
      <c r="ED12" s="78">
        <v>1</v>
      </c>
      <c r="EE12" s="78">
        <v>0</v>
      </c>
      <c r="EF12" s="78">
        <v>0</v>
      </c>
      <c r="EG12" s="78">
        <v>1</v>
      </c>
      <c r="EH12" s="78">
        <v>0</v>
      </c>
      <c r="EI12" s="78">
        <v>1</v>
      </c>
      <c r="EJ12" s="78">
        <v>1</v>
      </c>
      <c r="EK12" s="78">
        <v>1</v>
      </c>
      <c r="EL12" s="78">
        <v>1</v>
      </c>
      <c r="EM12" s="78">
        <v>0</v>
      </c>
      <c r="EN12" s="78">
        <v>0</v>
      </c>
      <c r="EO12" s="78">
        <v>1</v>
      </c>
      <c r="EP12" s="78">
        <v>0</v>
      </c>
      <c r="EQ12" s="137">
        <v>0.59259260000000002</v>
      </c>
      <c r="ES12" s="143" t="s">
        <v>721</v>
      </c>
      <c r="ET12" s="143" t="s">
        <v>722</v>
      </c>
      <c r="EU12" s="143" t="s">
        <v>842</v>
      </c>
      <c r="EV12" s="143">
        <v>1604</v>
      </c>
      <c r="EW12" s="78">
        <v>0</v>
      </c>
      <c r="EX12" s="78">
        <v>1</v>
      </c>
      <c r="EY12" s="78">
        <v>3</v>
      </c>
      <c r="EZ12" s="78">
        <v>0</v>
      </c>
      <c r="FA12" s="78">
        <v>0.5</v>
      </c>
      <c r="FB12" s="78">
        <v>3</v>
      </c>
      <c r="FC12" s="78">
        <v>2</v>
      </c>
      <c r="FD12" s="78">
        <v>1</v>
      </c>
      <c r="FE12" s="137">
        <v>0.80769230000000003</v>
      </c>
      <c r="FG12" s="137">
        <v>0.32439030000000002</v>
      </c>
    </row>
    <row r="13" spans="1:163" x14ac:dyDescent="0.35">
      <c r="A13" s="143" t="s">
        <v>723</v>
      </c>
      <c r="B13" s="143" t="s">
        <v>720</v>
      </c>
      <c r="C13" s="143" t="s">
        <v>841</v>
      </c>
      <c r="D13" s="143">
        <v>460</v>
      </c>
      <c r="E13" s="78">
        <v>0.5</v>
      </c>
      <c r="F13" s="78">
        <v>2</v>
      </c>
      <c r="G13" s="78">
        <v>1</v>
      </c>
      <c r="H13" s="78">
        <v>4</v>
      </c>
      <c r="I13" s="78">
        <v>1</v>
      </c>
      <c r="J13" s="78">
        <v>1</v>
      </c>
      <c r="K13" s="78">
        <v>1</v>
      </c>
      <c r="L13" s="78">
        <v>1</v>
      </c>
      <c r="M13" s="78">
        <v>2</v>
      </c>
      <c r="N13" s="137">
        <v>0.96428570000000002</v>
      </c>
      <c r="P13" s="143" t="s">
        <v>723</v>
      </c>
      <c r="Q13" s="143" t="s">
        <v>720</v>
      </c>
      <c r="R13" s="143" t="s">
        <v>841</v>
      </c>
      <c r="S13" s="143">
        <v>460</v>
      </c>
      <c r="T13" s="78">
        <v>0</v>
      </c>
      <c r="U13" s="78">
        <v>0</v>
      </c>
      <c r="V13" s="78">
        <v>0</v>
      </c>
      <c r="W13" s="78">
        <v>0</v>
      </c>
      <c r="X13" s="78">
        <v>0</v>
      </c>
      <c r="Y13" s="78">
        <v>1</v>
      </c>
      <c r="Z13" s="78">
        <v>3</v>
      </c>
      <c r="AA13" s="78">
        <v>0</v>
      </c>
      <c r="AB13" s="78">
        <v>6</v>
      </c>
      <c r="AC13" s="78">
        <v>3</v>
      </c>
      <c r="AD13" s="137">
        <v>0.3823529</v>
      </c>
      <c r="AF13" s="143" t="s">
        <v>723</v>
      </c>
      <c r="AG13" s="143" t="s">
        <v>720</v>
      </c>
      <c r="AH13" s="143" t="s">
        <v>841</v>
      </c>
      <c r="AI13" s="143">
        <v>460</v>
      </c>
      <c r="AJ13" s="78">
        <v>1</v>
      </c>
      <c r="AK13" s="78">
        <v>1</v>
      </c>
      <c r="AL13" s="78">
        <v>1</v>
      </c>
      <c r="AM13" s="78">
        <v>6</v>
      </c>
      <c r="AN13" s="78">
        <v>1</v>
      </c>
      <c r="AO13" s="78">
        <v>2</v>
      </c>
      <c r="AP13" s="78">
        <v>2</v>
      </c>
      <c r="AQ13" s="78">
        <v>1</v>
      </c>
      <c r="AR13" s="78">
        <v>2</v>
      </c>
      <c r="AS13" s="78">
        <v>2</v>
      </c>
      <c r="AT13" s="78">
        <v>2</v>
      </c>
      <c r="AU13" s="78">
        <v>1</v>
      </c>
      <c r="AV13" s="78">
        <v>2</v>
      </c>
      <c r="AW13" s="78">
        <v>1</v>
      </c>
      <c r="AX13" s="78">
        <v>0</v>
      </c>
      <c r="AY13" s="78">
        <v>1</v>
      </c>
      <c r="AZ13" s="78">
        <v>2</v>
      </c>
      <c r="BA13" s="78">
        <v>0.5</v>
      </c>
      <c r="BB13" s="78">
        <v>0.5</v>
      </c>
      <c r="BC13" s="78">
        <v>0.5</v>
      </c>
      <c r="BD13" s="78">
        <v>1</v>
      </c>
      <c r="BE13" s="78">
        <v>0.5</v>
      </c>
      <c r="BF13" s="78">
        <v>1</v>
      </c>
      <c r="BG13" s="78">
        <v>8</v>
      </c>
      <c r="BH13" s="137">
        <v>0.90909090000000004</v>
      </c>
      <c r="BJ13" s="143" t="s">
        <v>723</v>
      </c>
      <c r="BK13" s="143" t="s">
        <v>720</v>
      </c>
      <c r="BL13" s="143" t="s">
        <v>841</v>
      </c>
      <c r="BM13" s="143">
        <v>460</v>
      </c>
      <c r="BN13" s="78">
        <v>1</v>
      </c>
      <c r="BO13" s="78">
        <v>4</v>
      </c>
      <c r="BP13" s="78">
        <v>7</v>
      </c>
      <c r="BQ13" s="78">
        <v>0</v>
      </c>
      <c r="BR13" s="78">
        <v>0</v>
      </c>
      <c r="BS13" s="78">
        <v>3</v>
      </c>
      <c r="BT13" s="78">
        <v>2</v>
      </c>
      <c r="BU13" s="137">
        <v>0.73913039999999997</v>
      </c>
      <c r="BW13" s="143" t="s">
        <v>723</v>
      </c>
      <c r="BX13" s="143" t="s">
        <v>720</v>
      </c>
      <c r="BY13" s="143" t="s">
        <v>841</v>
      </c>
      <c r="BZ13" s="143">
        <v>460</v>
      </c>
      <c r="CA13" s="78">
        <v>1</v>
      </c>
      <c r="CB13" s="78">
        <v>0</v>
      </c>
      <c r="CC13" s="78">
        <v>1</v>
      </c>
      <c r="CD13" s="78">
        <v>2</v>
      </c>
      <c r="CE13" s="78">
        <v>1</v>
      </c>
      <c r="CF13" s="78">
        <v>2</v>
      </c>
      <c r="CG13" s="78">
        <v>1</v>
      </c>
      <c r="CH13" s="78">
        <v>2</v>
      </c>
      <c r="CI13" s="78">
        <v>1</v>
      </c>
      <c r="CJ13" s="78">
        <v>0</v>
      </c>
      <c r="CK13" s="137">
        <v>0.73333329999999997</v>
      </c>
      <c r="CM13" s="143" t="s">
        <v>723</v>
      </c>
      <c r="CN13" s="143" t="s">
        <v>720</v>
      </c>
      <c r="CO13" s="143" t="s">
        <v>841</v>
      </c>
      <c r="CP13" s="143">
        <v>460</v>
      </c>
      <c r="CQ13" s="78">
        <v>0</v>
      </c>
      <c r="CR13" s="78">
        <v>0</v>
      </c>
      <c r="CS13" s="78">
        <v>20</v>
      </c>
      <c r="CT13" s="78">
        <v>4</v>
      </c>
      <c r="CU13" s="78">
        <v>2</v>
      </c>
      <c r="CV13" s="78">
        <v>8</v>
      </c>
      <c r="CW13" s="137">
        <v>0.65384609999999999</v>
      </c>
      <c r="CY13" s="143" t="s">
        <v>723</v>
      </c>
      <c r="CZ13" s="143" t="s">
        <v>720</v>
      </c>
      <c r="DA13" s="143" t="s">
        <v>841</v>
      </c>
      <c r="DB13" s="143">
        <v>460</v>
      </c>
      <c r="DC13" s="78">
        <v>36</v>
      </c>
      <c r="DD13" s="137">
        <v>0</v>
      </c>
      <c r="DE13" s="137">
        <v>0</v>
      </c>
      <c r="DG13" s="143" t="s">
        <v>723</v>
      </c>
      <c r="DH13" s="143" t="s">
        <v>720</v>
      </c>
      <c r="DI13" s="143" t="s">
        <v>841</v>
      </c>
      <c r="DJ13" s="143">
        <v>460</v>
      </c>
      <c r="DK13" s="78">
        <v>2</v>
      </c>
      <c r="DL13" s="78">
        <v>1</v>
      </c>
      <c r="DM13" s="78">
        <v>1</v>
      </c>
      <c r="DN13" s="78">
        <v>7</v>
      </c>
      <c r="DO13" s="78">
        <v>2</v>
      </c>
      <c r="DP13" s="78">
        <v>1</v>
      </c>
      <c r="DQ13" s="78">
        <v>8</v>
      </c>
      <c r="DR13" s="78">
        <v>0</v>
      </c>
      <c r="DS13" s="78">
        <v>0</v>
      </c>
      <c r="DT13" s="78">
        <v>2</v>
      </c>
      <c r="DU13" s="78">
        <v>0</v>
      </c>
      <c r="DV13" s="137">
        <v>0.82758620000000005</v>
      </c>
      <c r="DX13" s="143" t="s">
        <v>723</v>
      </c>
      <c r="DY13" s="143" t="s">
        <v>720</v>
      </c>
      <c r="DZ13" s="143" t="s">
        <v>841</v>
      </c>
      <c r="EA13" s="143">
        <v>460</v>
      </c>
      <c r="EB13" s="78">
        <v>1</v>
      </c>
      <c r="EC13" s="78">
        <v>8</v>
      </c>
      <c r="ED13" s="78">
        <v>1</v>
      </c>
      <c r="EE13" s="78">
        <v>4</v>
      </c>
      <c r="EF13" s="78">
        <v>0</v>
      </c>
      <c r="EG13" s="78">
        <v>1</v>
      </c>
      <c r="EH13" s="78">
        <v>0</v>
      </c>
      <c r="EI13" s="78">
        <v>1</v>
      </c>
      <c r="EJ13" s="78">
        <v>1</v>
      </c>
      <c r="EK13" s="78">
        <v>1</v>
      </c>
      <c r="EL13" s="78">
        <v>1</v>
      </c>
      <c r="EM13" s="78">
        <v>1</v>
      </c>
      <c r="EN13" s="78">
        <v>1</v>
      </c>
      <c r="EO13" s="78">
        <v>1</v>
      </c>
      <c r="EP13" s="78">
        <v>0</v>
      </c>
      <c r="EQ13" s="137">
        <v>0.81481479999999995</v>
      </c>
      <c r="ES13" s="143" t="s">
        <v>723</v>
      </c>
      <c r="ET13" s="143" t="s">
        <v>720</v>
      </c>
      <c r="EU13" s="143" t="s">
        <v>841</v>
      </c>
      <c r="EV13" s="143">
        <v>460</v>
      </c>
      <c r="EW13" s="78">
        <v>0.5</v>
      </c>
      <c r="EX13" s="78">
        <v>1</v>
      </c>
      <c r="EY13" s="78">
        <v>3</v>
      </c>
      <c r="EZ13" s="78">
        <v>0</v>
      </c>
      <c r="FA13" s="78">
        <v>0.5</v>
      </c>
      <c r="FB13" s="78">
        <v>3</v>
      </c>
      <c r="FC13" s="78">
        <v>2</v>
      </c>
      <c r="FD13" s="78">
        <v>0</v>
      </c>
      <c r="FE13" s="137">
        <v>0.76923079999999999</v>
      </c>
      <c r="FG13" s="137">
        <v>0.53790090000000002</v>
      </c>
    </row>
    <row r="14" spans="1:163" x14ac:dyDescent="0.35">
      <c r="A14" s="143" t="s">
        <v>723</v>
      </c>
      <c r="B14" s="143" t="s">
        <v>720</v>
      </c>
      <c r="C14" s="143" t="s">
        <v>841</v>
      </c>
      <c r="D14" s="143">
        <v>488</v>
      </c>
      <c r="E14" s="78">
        <v>0</v>
      </c>
      <c r="F14" s="78">
        <v>1.5</v>
      </c>
      <c r="G14" s="78">
        <v>1</v>
      </c>
      <c r="H14" s="78">
        <v>4</v>
      </c>
      <c r="I14" s="78">
        <v>1</v>
      </c>
      <c r="J14" s="78">
        <v>0</v>
      </c>
      <c r="K14" s="78">
        <v>0</v>
      </c>
      <c r="L14" s="78">
        <v>1</v>
      </c>
      <c r="M14" s="78">
        <v>2</v>
      </c>
      <c r="N14" s="137">
        <v>0.75</v>
      </c>
      <c r="P14" s="143" t="s">
        <v>723</v>
      </c>
      <c r="Q14" s="143" t="s">
        <v>720</v>
      </c>
      <c r="R14" s="143" t="s">
        <v>841</v>
      </c>
      <c r="S14" s="143">
        <v>488</v>
      </c>
      <c r="T14" s="78">
        <v>1</v>
      </c>
      <c r="U14" s="78">
        <v>1</v>
      </c>
      <c r="V14" s="78">
        <v>0</v>
      </c>
      <c r="W14" s="78">
        <v>0</v>
      </c>
      <c r="X14" s="78">
        <v>0</v>
      </c>
      <c r="Y14" s="78">
        <v>1</v>
      </c>
      <c r="Z14" s="78">
        <v>0</v>
      </c>
      <c r="AA14" s="78">
        <v>0</v>
      </c>
      <c r="AB14" s="78">
        <v>0</v>
      </c>
      <c r="AC14" s="78">
        <v>0</v>
      </c>
      <c r="AD14" s="137">
        <v>8.8235300000000003E-2</v>
      </c>
      <c r="AF14" s="143" t="s">
        <v>723</v>
      </c>
      <c r="AG14" s="143" t="s">
        <v>720</v>
      </c>
      <c r="AH14" s="143" t="s">
        <v>841</v>
      </c>
      <c r="AI14" s="143">
        <v>488</v>
      </c>
      <c r="AJ14" s="78">
        <v>1</v>
      </c>
      <c r="AK14" s="78">
        <v>1</v>
      </c>
      <c r="AL14" s="78">
        <v>1</v>
      </c>
      <c r="AM14" s="78">
        <v>6</v>
      </c>
      <c r="AN14" s="78">
        <v>1</v>
      </c>
      <c r="AO14" s="78">
        <v>0</v>
      </c>
      <c r="AP14" s="78">
        <v>2</v>
      </c>
      <c r="AQ14" s="78">
        <v>1</v>
      </c>
      <c r="AR14" s="78">
        <v>2</v>
      </c>
      <c r="AS14" s="78">
        <v>2</v>
      </c>
      <c r="AT14" s="78">
        <v>0</v>
      </c>
      <c r="AU14" s="78">
        <v>0</v>
      </c>
      <c r="AV14" s="78">
        <v>2</v>
      </c>
      <c r="AW14" s="78">
        <v>1</v>
      </c>
      <c r="AX14" s="78">
        <v>4</v>
      </c>
      <c r="AY14" s="78">
        <v>1</v>
      </c>
      <c r="AZ14" s="78">
        <v>0</v>
      </c>
      <c r="BA14" s="78">
        <v>0.5</v>
      </c>
      <c r="BB14" s="78">
        <v>0.5</v>
      </c>
      <c r="BC14" s="78">
        <v>0.5</v>
      </c>
      <c r="BD14" s="78">
        <v>0</v>
      </c>
      <c r="BE14" s="78">
        <v>0.5</v>
      </c>
      <c r="BF14" s="78">
        <v>0</v>
      </c>
      <c r="BG14" s="78">
        <v>8</v>
      </c>
      <c r="BH14" s="137">
        <v>0.79545460000000001</v>
      </c>
      <c r="BJ14" s="143" t="s">
        <v>723</v>
      </c>
      <c r="BK14" s="143" t="s">
        <v>720</v>
      </c>
      <c r="BL14" s="143" t="s">
        <v>841</v>
      </c>
      <c r="BM14" s="143">
        <v>488</v>
      </c>
      <c r="BN14" s="78">
        <v>1</v>
      </c>
      <c r="BO14" s="78">
        <v>0</v>
      </c>
      <c r="BP14" s="78">
        <v>7</v>
      </c>
      <c r="BQ14" s="78">
        <v>0</v>
      </c>
      <c r="BR14" s="78">
        <v>3</v>
      </c>
      <c r="BS14" s="78">
        <v>3</v>
      </c>
      <c r="BT14" s="78">
        <v>2</v>
      </c>
      <c r="BU14" s="137">
        <v>0.69565220000000005</v>
      </c>
      <c r="BW14" s="143" t="s">
        <v>723</v>
      </c>
      <c r="BX14" s="143" t="s">
        <v>720</v>
      </c>
      <c r="BY14" s="143" t="s">
        <v>841</v>
      </c>
      <c r="BZ14" s="143">
        <v>488</v>
      </c>
      <c r="CA14" s="78">
        <v>1</v>
      </c>
      <c r="CB14" s="78">
        <v>0</v>
      </c>
      <c r="CC14" s="78">
        <v>1</v>
      </c>
      <c r="CD14" s="78">
        <v>2</v>
      </c>
      <c r="CE14" s="78">
        <v>1</v>
      </c>
      <c r="CF14" s="78">
        <v>0</v>
      </c>
      <c r="CG14" s="78">
        <v>1</v>
      </c>
      <c r="CH14" s="78">
        <v>2</v>
      </c>
      <c r="CI14" s="78">
        <v>1</v>
      </c>
      <c r="CJ14" s="78">
        <v>3</v>
      </c>
      <c r="CK14" s="137">
        <v>0.8</v>
      </c>
      <c r="CM14" s="143" t="s">
        <v>723</v>
      </c>
      <c r="CN14" s="143" t="s">
        <v>720</v>
      </c>
      <c r="CO14" s="143" t="s">
        <v>841</v>
      </c>
      <c r="CP14" s="143">
        <v>488</v>
      </c>
      <c r="CQ14" s="78">
        <v>0</v>
      </c>
      <c r="CR14" s="78">
        <v>0</v>
      </c>
      <c r="CS14" s="78">
        <v>20</v>
      </c>
      <c r="CT14" s="78">
        <v>0</v>
      </c>
      <c r="CU14" s="78">
        <v>0</v>
      </c>
      <c r="CV14" s="78">
        <v>8</v>
      </c>
      <c r="CW14" s="137">
        <v>0.53846159999999998</v>
      </c>
      <c r="CY14" s="143" t="s">
        <v>723</v>
      </c>
      <c r="CZ14" s="143" t="s">
        <v>720</v>
      </c>
      <c r="DA14" s="143" t="s">
        <v>841</v>
      </c>
      <c r="DB14" s="143">
        <v>488</v>
      </c>
      <c r="DC14" s="78">
        <v>20</v>
      </c>
      <c r="DD14" s="137">
        <v>0</v>
      </c>
      <c r="DE14" s="137">
        <v>0</v>
      </c>
      <c r="DG14" s="143" t="s">
        <v>723</v>
      </c>
      <c r="DH14" s="143" t="s">
        <v>720</v>
      </c>
      <c r="DI14" s="143" t="s">
        <v>841</v>
      </c>
      <c r="DJ14" s="143">
        <v>488</v>
      </c>
      <c r="DK14" s="78">
        <v>2</v>
      </c>
      <c r="DL14" s="78">
        <v>1</v>
      </c>
      <c r="DM14" s="78">
        <v>0</v>
      </c>
      <c r="DN14" s="78">
        <v>3</v>
      </c>
      <c r="DO14" s="78">
        <v>2</v>
      </c>
      <c r="DP14" s="78">
        <v>3</v>
      </c>
      <c r="DQ14" s="78">
        <v>8</v>
      </c>
      <c r="DR14" s="78">
        <v>0</v>
      </c>
      <c r="DS14" s="78">
        <v>1</v>
      </c>
      <c r="DT14" s="78">
        <v>2</v>
      </c>
      <c r="DU14" s="78">
        <v>0</v>
      </c>
      <c r="DV14" s="137">
        <v>0.75862070000000004</v>
      </c>
      <c r="DX14" s="143" t="s">
        <v>723</v>
      </c>
      <c r="DY14" s="143" t="s">
        <v>720</v>
      </c>
      <c r="DZ14" s="143" t="s">
        <v>841</v>
      </c>
      <c r="EA14" s="143">
        <v>488</v>
      </c>
      <c r="EB14" s="78">
        <v>1</v>
      </c>
      <c r="EC14" s="78">
        <v>8</v>
      </c>
      <c r="ED14" s="78">
        <v>1</v>
      </c>
      <c r="EE14" s="78">
        <v>4</v>
      </c>
      <c r="EF14" s="78">
        <v>3</v>
      </c>
      <c r="EG14" s="78">
        <v>1</v>
      </c>
      <c r="EH14" s="78">
        <v>0</v>
      </c>
      <c r="EI14" s="78">
        <v>1</v>
      </c>
      <c r="EJ14" s="78">
        <v>1</v>
      </c>
      <c r="EK14" s="78">
        <v>1</v>
      </c>
      <c r="EL14" s="78">
        <v>1</v>
      </c>
      <c r="EM14" s="78">
        <v>1</v>
      </c>
      <c r="EN14" s="78">
        <v>1</v>
      </c>
      <c r="EO14" s="78">
        <v>1</v>
      </c>
      <c r="EP14" s="78">
        <v>0</v>
      </c>
      <c r="EQ14" s="137">
        <v>0.92592589999999997</v>
      </c>
      <c r="ES14" s="143" t="s">
        <v>723</v>
      </c>
      <c r="ET14" s="143" t="s">
        <v>720</v>
      </c>
      <c r="EU14" s="143" t="s">
        <v>841</v>
      </c>
      <c r="EV14" s="143">
        <v>488</v>
      </c>
      <c r="EW14" s="78">
        <v>0.5</v>
      </c>
      <c r="EX14" s="78">
        <v>1</v>
      </c>
      <c r="EY14" s="78">
        <v>0</v>
      </c>
      <c r="EZ14" s="78">
        <v>2</v>
      </c>
      <c r="FA14" s="78">
        <v>0.5</v>
      </c>
      <c r="FB14" s="78">
        <v>3</v>
      </c>
      <c r="FC14" s="78">
        <v>2</v>
      </c>
      <c r="FD14" s="78">
        <v>0</v>
      </c>
      <c r="FE14" s="137">
        <v>0.69230769999999997</v>
      </c>
      <c r="FG14" s="137">
        <v>0.46793000000000001</v>
      </c>
    </row>
    <row r="15" spans="1:163" x14ac:dyDescent="0.35">
      <c r="A15" s="143" t="s">
        <v>723</v>
      </c>
      <c r="B15" s="143" t="s">
        <v>720</v>
      </c>
      <c r="C15" s="143" t="s">
        <v>843</v>
      </c>
      <c r="D15" s="143">
        <v>1529</v>
      </c>
      <c r="E15" s="78">
        <v>0</v>
      </c>
      <c r="F15" s="78">
        <v>2</v>
      </c>
      <c r="G15" s="78">
        <v>1</v>
      </c>
      <c r="H15" s="78">
        <v>4</v>
      </c>
      <c r="I15" s="78">
        <v>1</v>
      </c>
      <c r="J15" s="78">
        <v>1</v>
      </c>
      <c r="K15" s="78">
        <v>1</v>
      </c>
      <c r="L15" s="78">
        <v>1</v>
      </c>
      <c r="M15" s="78">
        <v>2</v>
      </c>
      <c r="N15" s="137">
        <v>0.92857140000000005</v>
      </c>
      <c r="P15" s="143" t="s">
        <v>723</v>
      </c>
      <c r="Q15" s="143" t="s">
        <v>720</v>
      </c>
      <c r="R15" s="143" t="s">
        <v>843</v>
      </c>
      <c r="S15" s="143">
        <v>1529</v>
      </c>
      <c r="T15" s="78">
        <v>1</v>
      </c>
      <c r="U15" s="78">
        <v>0</v>
      </c>
      <c r="V15" s="78">
        <v>2</v>
      </c>
      <c r="W15" s="78">
        <v>1</v>
      </c>
      <c r="X15" s="78">
        <v>12</v>
      </c>
      <c r="Y15" s="78">
        <v>1</v>
      </c>
      <c r="Z15" s="78">
        <v>3</v>
      </c>
      <c r="AA15" s="78">
        <v>0</v>
      </c>
      <c r="AB15" s="78">
        <v>0</v>
      </c>
      <c r="AC15" s="78">
        <v>0</v>
      </c>
      <c r="AD15" s="137">
        <v>0.58823530000000002</v>
      </c>
      <c r="AF15" s="143" t="s">
        <v>723</v>
      </c>
      <c r="AG15" s="143" t="s">
        <v>720</v>
      </c>
      <c r="AH15" s="143" t="s">
        <v>843</v>
      </c>
      <c r="AI15" s="143">
        <v>1529</v>
      </c>
      <c r="AJ15" s="78">
        <v>1</v>
      </c>
      <c r="AK15" s="78">
        <v>1</v>
      </c>
      <c r="AL15" s="78">
        <v>1</v>
      </c>
      <c r="AM15" s="78">
        <v>0</v>
      </c>
      <c r="AN15" s="78">
        <v>1</v>
      </c>
      <c r="AO15" s="78">
        <v>0</v>
      </c>
      <c r="AP15" s="78">
        <v>2</v>
      </c>
      <c r="AQ15" s="78">
        <v>1</v>
      </c>
      <c r="AR15" s="78">
        <v>2</v>
      </c>
      <c r="AS15" s="78">
        <v>2</v>
      </c>
      <c r="AT15" s="78">
        <v>2</v>
      </c>
      <c r="AU15" s="78">
        <v>1</v>
      </c>
      <c r="AV15" s="78">
        <v>2</v>
      </c>
      <c r="AW15" s="78">
        <v>1</v>
      </c>
      <c r="AX15" s="78">
        <v>4</v>
      </c>
      <c r="AY15" s="78">
        <v>1</v>
      </c>
      <c r="AZ15" s="78">
        <v>2</v>
      </c>
      <c r="BA15" s="78">
        <v>0.5</v>
      </c>
      <c r="BB15" s="78">
        <v>0.5</v>
      </c>
      <c r="BC15" s="78">
        <v>0.5</v>
      </c>
      <c r="BD15" s="78">
        <v>1</v>
      </c>
      <c r="BE15" s="78">
        <v>0</v>
      </c>
      <c r="BF15" s="78">
        <v>1</v>
      </c>
      <c r="BG15" s="78">
        <v>8</v>
      </c>
      <c r="BH15" s="137">
        <v>0.80681820000000004</v>
      </c>
      <c r="BJ15" s="143" t="s">
        <v>723</v>
      </c>
      <c r="BK15" s="143" t="s">
        <v>720</v>
      </c>
      <c r="BL15" s="143" t="s">
        <v>843</v>
      </c>
      <c r="BM15" s="143">
        <v>1529</v>
      </c>
      <c r="BN15" s="78">
        <v>1</v>
      </c>
      <c r="BO15" s="78">
        <v>4</v>
      </c>
      <c r="BP15" s="78">
        <v>7</v>
      </c>
      <c r="BQ15" s="78">
        <v>3</v>
      </c>
      <c r="BR15" s="78">
        <v>3</v>
      </c>
      <c r="BS15" s="78">
        <v>0</v>
      </c>
      <c r="BT15" s="78">
        <v>2</v>
      </c>
      <c r="BU15" s="137">
        <v>0.86956520000000004</v>
      </c>
      <c r="BW15" s="143" t="s">
        <v>723</v>
      </c>
      <c r="BX15" s="143" t="s">
        <v>720</v>
      </c>
      <c r="BY15" s="143" t="s">
        <v>843</v>
      </c>
      <c r="BZ15" s="143">
        <v>1529</v>
      </c>
      <c r="CA15" s="78">
        <v>1</v>
      </c>
      <c r="CB15" s="78">
        <v>1</v>
      </c>
      <c r="CC15" s="78">
        <v>1</v>
      </c>
      <c r="CD15" s="78">
        <v>2</v>
      </c>
      <c r="CE15" s="78">
        <v>1</v>
      </c>
      <c r="CF15" s="78">
        <v>2</v>
      </c>
      <c r="CG15" s="78">
        <v>1</v>
      </c>
      <c r="CH15" s="78">
        <v>2</v>
      </c>
      <c r="CI15" s="78">
        <v>1</v>
      </c>
      <c r="CJ15" s="78">
        <v>0</v>
      </c>
      <c r="CK15" s="137">
        <v>0.8</v>
      </c>
      <c r="CM15" s="143" t="s">
        <v>723</v>
      </c>
      <c r="CN15" s="143" t="s">
        <v>720</v>
      </c>
      <c r="CO15" s="143" t="s">
        <v>843</v>
      </c>
      <c r="CP15" s="143">
        <v>1529</v>
      </c>
      <c r="CQ15" s="78">
        <v>2</v>
      </c>
      <c r="CR15" s="78">
        <v>6</v>
      </c>
      <c r="CS15" s="78">
        <v>16</v>
      </c>
      <c r="CT15" s="78">
        <v>0</v>
      </c>
      <c r="CU15" s="78">
        <v>0</v>
      </c>
      <c r="CV15" s="78">
        <v>8</v>
      </c>
      <c r="CW15" s="137">
        <v>0.61538459999999995</v>
      </c>
      <c r="CY15" s="143" t="s">
        <v>723</v>
      </c>
      <c r="CZ15" s="143" t="s">
        <v>720</v>
      </c>
      <c r="DA15" s="143" t="s">
        <v>843</v>
      </c>
      <c r="DB15" s="143">
        <v>1529</v>
      </c>
      <c r="DC15" s="78">
        <v>30</v>
      </c>
      <c r="DD15" s="137">
        <v>0</v>
      </c>
      <c r="DE15" s="137">
        <v>0</v>
      </c>
      <c r="DG15" s="143" t="s">
        <v>723</v>
      </c>
      <c r="DH15" s="143" t="s">
        <v>720</v>
      </c>
      <c r="DI15" s="143" t="s">
        <v>843</v>
      </c>
      <c r="DJ15" s="143">
        <v>1529</v>
      </c>
      <c r="DK15" s="78">
        <v>2</v>
      </c>
      <c r="DL15" s="78">
        <v>1</v>
      </c>
      <c r="DM15" s="78">
        <v>1</v>
      </c>
      <c r="DN15" s="78">
        <v>5</v>
      </c>
      <c r="DO15" s="78">
        <v>2</v>
      </c>
      <c r="DP15" s="78">
        <v>3</v>
      </c>
      <c r="DQ15" s="78">
        <v>7</v>
      </c>
      <c r="DR15" s="78">
        <v>0</v>
      </c>
      <c r="DS15" s="78">
        <v>1</v>
      </c>
      <c r="DT15" s="78">
        <v>2</v>
      </c>
      <c r="DU15" s="78">
        <v>0</v>
      </c>
      <c r="DV15" s="137">
        <v>0.82758620000000005</v>
      </c>
      <c r="DX15" s="143" t="s">
        <v>723</v>
      </c>
      <c r="DY15" s="143" t="s">
        <v>720</v>
      </c>
      <c r="DZ15" s="143" t="s">
        <v>843</v>
      </c>
      <c r="EA15" s="143">
        <v>1529</v>
      </c>
      <c r="EB15" s="78">
        <v>1</v>
      </c>
      <c r="EC15" s="78">
        <v>8</v>
      </c>
      <c r="ED15" s="78">
        <v>1</v>
      </c>
      <c r="EE15" s="78">
        <v>4</v>
      </c>
      <c r="EF15" s="78">
        <v>0</v>
      </c>
      <c r="EG15" s="78">
        <v>1</v>
      </c>
      <c r="EH15" s="78">
        <v>1</v>
      </c>
      <c r="EI15" s="78">
        <v>1</v>
      </c>
      <c r="EJ15" s="78">
        <v>1</v>
      </c>
      <c r="EK15" s="78">
        <v>1</v>
      </c>
      <c r="EL15" s="78">
        <v>1</v>
      </c>
      <c r="EM15" s="78">
        <v>1</v>
      </c>
      <c r="EN15" s="78">
        <v>1</v>
      </c>
      <c r="EO15" s="78">
        <v>1</v>
      </c>
      <c r="EP15" s="78">
        <v>1</v>
      </c>
      <c r="EQ15" s="137">
        <v>0.88888889999999998</v>
      </c>
      <c r="ES15" s="143" t="s">
        <v>723</v>
      </c>
      <c r="ET15" s="143" t="s">
        <v>720</v>
      </c>
      <c r="EU15" s="143" t="s">
        <v>843</v>
      </c>
      <c r="EV15" s="143">
        <v>1529</v>
      </c>
      <c r="EW15" s="78">
        <v>0</v>
      </c>
      <c r="EX15" s="78">
        <v>1</v>
      </c>
      <c r="EY15" s="78">
        <v>0</v>
      </c>
      <c r="EZ15" s="78">
        <v>0</v>
      </c>
      <c r="FA15" s="78">
        <v>0.5</v>
      </c>
      <c r="FB15" s="78">
        <v>3</v>
      </c>
      <c r="FC15" s="78">
        <v>2</v>
      </c>
      <c r="FD15" s="78">
        <v>1</v>
      </c>
      <c r="FE15" s="137">
        <v>0.57692310000000002</v>
      </c>
      <c r="FG15" s="137">
        <v>0.54810490000000001</v>
      </c>
    </row>
    <row r="16" spans="1:163" x14ac:dyDescent="0.35">
      <c r="A16" s="143" t="s">
        <v>723</v>
      </c>
      <c r="B16" s="143" t="s">
        <v>720</v>
      </c>
      <c r="C16" s="143" t="s">
        <v>842</v>
      </c>
      <c r="D16" s="143">
        <v>1792</v>
      </c>
      <c r="E16" s="78">
        <v>0</v>
      </c>
      <c r="F16" s="78">
        <v>2</v>
      </c>
      <c r="G16" s="78">
        <v>1</v>
      </c>
      <c r="H16" s="78">
        <v>4</v>
      </c>
      <c r="I16" s="78">
        <v>1</v>
      </c>
      <c r="J16" s="78">
        <v>1</v>
      </c>
      <c r="K16" s="78">
        <v>1</v>
      </c>
      <c r="L16" s="78">
        <v>1</v>
      </c>
      <c r="M16" s="78">
        <v>2</v>
      </c>
      <c r="N16" s="137">
        <v>0.92857140000000005</v>
      </c>
      <c r="P16" s="143" t="s">
        <v>723</v>
      </c>
      <c r="Q16" s="143" t="s">
        <v>720</v>
      </c>
      <c r="R16" s="143" t="s">
        <v>842</v>
      </c>
      <c r="S16" s="143">
        <v>1792</v>
      </c>
      <c r="T16" s="78">
        <v>1</v>
      </c>
      <c r="U16" s="78">
        <v>1</v>
      </c>
      <c r="V16" s="78">
        <v>0</v>
      </c>
      <c r="W16" s="78">
        <v>0.5</v>
      </c>
      <c r="X16" s="78">
        <v>12</v>
      </c>
      <c r="Y16" s="78">
        <v>1</v>
      </c>
      <c r="Z16" s="78">
        <v>3</v>
      </c>
      <c r="AA16" s="78">
        <v>0</v>
      </c>
      <c r="AB16" s="78">
        <v>0</v>
      </c>
      <c r="AC16" s="78">
        <v>0</v>
      </c>
      <c r="AD16" s="137">
        <v>0.54411759999999998</v>
      </c>
      <c r="AF16" s="143" t="s">
        <v>723</v>
      </c>
      <c r="AG16" s="143" t="s">
        <v>720</v>
      </c>
      <c r="AH16" s="143" t="s">
        <v>842</v>
      </c>
      <c r="AI16" s="143">
        <v>1792</v>
      </c>
      <c r="AJ16" s="78">
        <v>1</v>
      </c>
      <c r="AK16" s="78">
        <v>1</v>
      </c>
      <c r="AL16" s="78">
        <v>1</v>
      </c>
      <c r="AM16" s="78">
        <v>5</v>
      </c>
      <c r="AN16" s="78">
        <v>1</v>
      </c>
      <c r="AO16" s="78">
        <v>0</v>
      </c>
      <c r="AP16" s="78">
        <v>1</v>
      </c>
      <c r="AQ16" s="78">
        <v>1</v>
      </c>
      <c r="AR16" s="78">
        <v>2</v>
      </c>
      <c r="AS16" s="78">
        <v>2</v>
      </c>
      <c r="AT16" s="78">
        <v>0</v>
      </c>
      <c r="AU16" s="78">
        <v>1</v>
      </c>
      <c r="AV16" s="78">
        <v>2</v>
      </c>
      <c r="AW16" s="78">
        <v>1</v>
      </c>
      <c r="AX16" s="78">
        <v>0</v>
      </c>
      <c r="AY16" s="78">
        <v>1</v>
      </c>
      <c r="AZ16" s="78">
        <v>2</v>
      </c>
      <c r="BA16" s="78">
        <v>0.5</v>
      </c>
      <c r="BB16" s="78">
        <v>0.5</v>
      </c>
      <c r="BC16" s="78">
        <v>0.5</v>
      </c>
      <c r="BD16" s="78">
        <v>1</v>
      </c>
      <c r="BE16" s="78">
        <v>0.5</v>
      </c>
      <c r="BF16" s="78">
        <v>1</v>
      </c>
      <c r="BG16" s="78">
        <v>8</v>
      </c>
      <c r="BH16" s="137">
        <v>0.77272730000000001</v>
      </c>
      <c r="BJ16" s="143" t="s">
        <v>723</v>
      </c>
      <c r="BK16" s="143" t="s">
        <v>720</v>
      </c>
      <c r="BL16" s="143" t="s">
        <v>842</v>
      </c>
      <c r="BM16" s="143">
        <v>1792</v>
      </c>
      <c r="BN16" s="78">
        <v>0</v>
      </c>
      <c r="BO16" s="78">
        <v>0</v>
      </c>
      <c r="BP16" s="78">
        <v>7</v>
      </c>
      <c r="BQ16" s="78">
        <v>0</v>
      </c>
      <c r="BR16" s="78">
        <v>0</v>
      </c>
      <c r="BS16" s="78">
        <v>3</v>
      </c>
      <c r="BT16" s="78">
        <v>0</v>
      </c>
      <c r="BU16" s="137">
        <v>0.43478260000000002</v>
      </c>
      <c r="BW16" s="143" t="s">
        <v>723</v>
      </c>
      <c r="BX16" s="143" t="s">
        <v>720</v>
      </c>
      <c r="BY16" s="143" t="s">
        <v>842</v>
      </c>
      <c r="BZ16" s="143">
        <v>1792</v>
      </c>
      <c r="CA16" s="78">
        <v>1</v>
      </c>
      <c r="CB16" s="78">
        <v>0</v>
      </c>
      <c r="CC16" s="78">
        <v>1</v>
      </c>
      <c r="CD16" s="78">
        <v>2</v>
      </c>
      <c r="CE16" s="78">
        <v>1</v>
      </c>
      <c r="CF16" s="78">
        <v>2</v>
      </c>
      <c r="CG16" s="78">
        <v>1</v>
      </c>
      <c r="CH16" s="78">
        <v>2</v>
      </c>
      <c r="CI16" s="78">
        <v>1</v>
      </c>
      <c r="CJ16" s="78">
        <v>3</v>
      </c>
      <c r="CK16" s="137">
        <v>0.93333330000000003</v>
      </c>
      <c r="CM16" s="143" t="s">
        <v>723</v>
      </c>
      <c r="CN16" s="143" t="s">
        <v>720</v>
      </c>
      <c r="CO16" s="143" t="s">
        <v>842</v>
      </c>
      <c r="CP16" s="143">
        <v>1792</v>
      </c>
      <c r="CQ16" s="78">
        <v>2</v>
      </c>
      <c r="CR16" s="78">
        <v>6</v>
      </c>
      <c r="CS16" s="78">
        <v>16</v>
      </c>
      <c r="CT16" s="78">
        <v>4</v>
      </c>
      <c r="CU16" s="78">
        <v>2</v>
      </c>
      <c r="CV16" s="78">
        <v>8</v>
      </c>
      <c r="CW16" s="137">
        <v>0.73076920000000001</v>
      </c>
      <c r="CY16" s="143" t="s">
        <v>723</v>
      </c>
      <c r="CZ16" s="143" t="s">
        <v>720</v>
      </c>
      <c r="DA16" s="143" t="s">
        <v>842</v>
      </c>
      <c r="DB16" s="143">
        <v>1792</v>
      </c>
      <c r="DC16" s="78">
        <v>40</v>
      </c>
      <c r="DD16" s="137">
        <v>0</v>
      </c>
      <c r="DE16" s="137">
        <v>0</v>
      </c>
      <c r="DG16" s="143" t="s">
        <v>723</v>
      </c>
      <c r="DH16" s="143" t="s">
        <v>720</v>
      </c>
      <c r="DI16" s="143" t="s">
        <v>842</v>
      </c>
      <c r="DJ16" s="143">
        <v>1792</v>
      </c>
      <c r="DK16" s="78">
        <v>2</v>
      </c>
      <c r="DL16" s="78">
        <v>1</v>
      </c>
      <c r="DM16" s="78">
        <v>1</v>
      </c>
      <c r="DN16" s="78">
        <v>7</v>
      </c>
      <c r="DO16" s="78">
        <v>2</v>
      </c>
      <c r="DP16" s="78">
        <v>1</v>
      </c>
      <c r="DQ16" s="78">
        <v>8</v>
      </c>
      <c r="DR16" s="78">
        <v>0</v>
      </c>
      <c r="DS16" s="78">
        <v>1</v>
      </c>
      <c r="DT16" s="78">
        <v>0</v>
      </c>
      <c r="DU16" s="78">
        <v>0</v>
      </c>
      <c r="DV16" s="137">
        <v>0.79310349999999996</v>
      </c>
      <c r="DX16" s="143" t="s">
        <v>723</v>
      </c>
      <c r="DY16" s="143" t="s">
        <v>720</v>
      </c>
      <c r="DZ16" s="143" t="s">
        <v>842</v>
      </c>
      <c r="EA16" s="143">
        <v>1792</v>
      </c>
      <c r="EB16" s="78">
        <v>1</v>
      </c>
      <c r="EC16" s="78">
        <v>8</v>
      </c>
      <c r="ED16" s="78">
        <v>1</v>
      </c>
      <c r="EE16" s="78">
        <v>4</v>
      </c>
      <c r="EF16" s="78">
        <v>0</v>
      </c>
      <c r="EG16" s="78">
        <v>1</v>
      </c>
      <c r="EH16" s="78">
        <v>0</v>
      </c>
      <c r="EI16" s="78">
        <v>1</v>
      </c>
      <c r="EJ16" s="78">
        <v>1</v>
      </c>
      <c r="EK16" s="78">
        <v>1</v>
      </c>
      <c r="EL16" s="78">
        <v>1</v>
      </c>
      <c r="EM16" s="78">
        <v>1</v>
      </c>
      <c r="EN16" s="78">
        <v>1</v>
      </c>
      <c r="EO16" s="78">
        <v>1</v>
      </c>
      <c r="EP16" s="78">
        <v>0</v>
      </c>
      <c r="EQ16" s="137">
        <v>0.81481479999999995</v>
      </c>
      <c r="ES16" s="143" t="s">
        <v>723</v>
      </c>
      <c r="ET16" s="143" t="s">
        <v>720</v>
      </c>
      <c r="EU16" s="143" t="s">
        <v>842</v>
      </c>
      <c r="EV16" s="143">
        <v>1792</v>
      </c>
      <c r="EW16" s="78">
        <v>0.5</v>
      </c>
      <c r="EX16" s="78">
        <v>1</v>
      </c>
      <c r="EY16" s="78">
        <v>3</v>
      </c>
      <c r="EZ16" s="78">
        <v>2</v>
      </c>
      <c r="FA16" s="78">
        <v>0.5</v>
      </c>
      <c r="FB16" s="78">
        <v>3</v>
      </c>
      <c r="FC16" s="78">
        <v>2</v>
      </c>
      <c r="FD16" s="78">
        <v>0</v>
      </c>
      <c r="FE16" s="137">
        <v>0.92307689999999998</v>
      </c>
      <c r="FG16" s="137">
        <v>0.53790090000000002</v>
      </c>
    </row>
    <row r="17" spans="1:163" x14ac:dyDescent="0.35">
      <c r="A17" s="143" t="s">
        <v>723</v>
      </c>
      <c r="B17" s="143" t="s">
        <v>720</v>
      </c>
      <c r="C17" s="143" t="s">
        <v>842</v>
      </c>
      <c r="D17" s="143">
        <v>1808</v>
      </c>
      <c r="E17" s="78">
        <v>0.5</v>
      </c>
      <c r="F17" s="78">
        <v>1.5</v>
      </c>
      <c r="G17" s="78">
        <v>1</v>
      </c>
      <c r="H17" s="78">
        <v>2</v>
      </c>
      <c r="I17" s="78">
        <v>1</v>
      </c>
      <c r="J17" s="78">
        <v>0</v>
      </c>
      <c r="K17" s="78">
        <v>0</v>
      </c>
      <c r="L17" s="78">
        <v>0</v>
      </c>
      <c r="M17" s="78">
        <v>2</v>
      </c>
      <c r="N17" s="137">
        <v>0.57142859999999995</v>
      </c>
      <c r="P17" s="143" t="s">
        <v>723</v>
      </c>
      <c r="Q17" s="143" t="s">
        <v>720</v>
      </c>
      <c r="R17" s="143" t="s">
        <v>842</v>
      </c>
      <c r="S17" s="143">
        <v>1808</v>
      </c>
      <c r="T17" s="78">
        <v>1</v>
      </c>
      <c r="U17" s="78">
        <v>0</v>
      </c>
      <c r="V17" s="78">
        <v>0</v>
      </c>
      <c r="W17" s="78">
        <v>1</v>
      </c>
      <c r="X17" s="78">
        <v>0</v>
      </c>
      <c r="Y17" s="78">
        <v>1</v>
      </c>
      <c r="Z17" s="78">
        <v>0</v>
      </c>
      <c r="AA17" s="78">
        <v>0</v>
      </c>
      <c r="AB17" s="78">
        <v>0</v>
      </c>
      <c r="AC17" s="78">
        <v>0</v>
      </c>
      <c r="AD17" s="137">
        <v>8.8235300000000003E-2</v>
      </c>
      <c r="AF17" s="143" t="s">
        <v>723</v>
      </c>
      <c r="AG17" s="143" t="s">
        <v>720</v>
      </c>
      <c r="AH17" s="143" t="s">
        <v>842</v>
      </c>
      <c r="AI17" s="143">
        <v>1808</v>
      </c>
      <c r="AJ17" s="78">
        <v>1</v>
      </c>
      <c r="AK17" s="78">
        <v>1</v>
      </c>
      <c r="AL17" s="78">
        <v>1</v>
      </c>
      <c r="AM17" s="78">
        <v>0</v>
      </c>
      <c r="AN17" s="78">
        <v>1</v>
      </c>
      <c r="AO17" s="78">
        <v>2</v>
      </c>
      <c r="AP17" s="78">
        <v>2</v>
      </c>
      <c r="AQ17" s="78">
        <v>1</v>
      </c>
      <c r="AR17" s="78">
        <v>0</v>
      </c>
      <c r="AS17" s="78">
        <v>0</v>
      </c>
      <c r="AT17" s="78">
        <v>0</v>
      </c>
      <c r="AU17" s="78">
        <v>0</v>
      </c>
      <c r="AV17" s="78">
        <v>2</v>
      </c>
      <c r="AW17" s="78">
        <v>1</v>
      </c>
      <c r="AX17" s="78">
        <v>0</v>
      </c>
      <c r="AY17" s="78">
        <v>0</v>
      </c>
      <c r="AZ17" s="78">
        <v>2</v>
      </c>
      <c r="BA17" s="78">
        <v>0.5</v>
      </c>
      <c r="BB17" s="78">
        <v>0.5</v>
      </c>
      <c r="BC17" s="78">
        <v>0.5</v>
      </c>
      <c r="BD17" s="78">
        <v>1</v>
      </c>
      <c r="BE17" s="78">
        <v>0.5</v>
      </c>
      <c r="BF17" s="78">
        <v>0</v>
      </c>
      <c r="BG17" s="78">
        <v>8</v>
      </c>
      <c r="BH17" s="137">
        <v>0.56818179999999996</v>
      </c>
      <c r="BJ17" s="143" t="s">
        <v>723</v>
      </c>
      <c r="BK17" s="143" t="s">
        <v>720</v>
      </c>
      <c r="BL17" s="143" t="s">
        <v>842</v>
      </c>
      <c r="BM17" s="143">
        <v>1808</v>
      </c>
      <c r="BN17" s="78">
        <v>1</v>
      </c>
      <c r="BO17" s="78">
        <v>0</v>
      </c>
      <c r="BP17" s="78">
        <v>7</v>
      </c>
      <c r="BQ17" s="78">
        <v>3</v>
      </c>
      <c r="BR17" s="78">
        <v>3</v>
      </c>
      <c r="BS17" s="78">
        <v>0</v>
      </c>
      <c r="BT17" s="78">
        <v>2</v>
      </c>
      <c r="BU17" s="137">
        <v>0.69565220000000005</v>
      </c>
      <c r="BW17" s="143" t="s">
        <v>723</v>
      </c>
      <c r="BX17" s="143" t="s">
        <v>720</v>
      </c>
      <c r="BY17" s="143" t="s">
        <v>842</v>
      </c>
      <c r="BZ17" s="143">
        <v>1808</v>
      </c>
      <c r="CA17" s="78">
        <v>1</v>
      </c>
      <c r="CB17" s="78">
        <v>0</v>
      </c>
      <c r="CC17" s="78">
        <v>1</v>
      </c>
      <c r="CD17" s="78">
        <v>2</v>
      </c>
      <c r="CE17" s="78">
        <v>0</v>
      </c>
      <c r="CF17" s="78">
        <v>2</v>
      </c>
      <c r="CG17" s="78">
        <v>1</v>
      </c>
      <c r="CH17" s="78">
        <v>2</v>
      </c>
      <c r="CI17" s="78">
        <v>1</v>
      </c>
      <c r="CJ17" s="78">
        <v>3</v>
      </c>
      <c r="CK17" s="137">
        <v>0.86666670000000001</v>
      </c>
      <c r="CM17" s="143" t="s">
        <v>723</v>
      </c>
      <c r="CN17" s="143" t="s">
        <v>720</v>
      </c>
      <c r="CO17" s="143" t="s">
        <v>842</v>
      </c>
      <c r="CP17" s="143">
        <v>1808</v>
      </c>
      <c r="CQ17" s="78">
        <v>0</v>
      </c>
      <c r="CR17" s="78">
        <v>0</v>
      </c>
      <c r="CS17" s="78">
        <v>0</v>
      </c>
      <c r="CT17" s="78">
        <v>4</v>
      </c>
      <c r="CU17" s="78">
        <v>0</v>
      </c>
      <c r="CV17" s="78">
        <v>8</v>
      </c>
      <c r="CW17" s="137">
        <v>0.23076920000000001</v>
      </c>
      <c r="CY17" s="143" t="s">
        <v>723</v>
      </c>
      <c r="CZ17" s="143" t="s">
        <v>720</v>
      </c>
      <c r="DA17" s="143" t="s">
        <v>842</v>
      </c>
      <c r="DB17" s="143">
        <v>1808</v>
      </c>
      <c r="DC17" s="78">
        <v>0</v>
      </c>
      <c r="DD17" s="137">
        <v>0</v>
      </c>
      <c r="DE17" s="137">
        <v>0</v>
      </c>
      <c r="DG17" s="143" t="s">
        <v>723</v>
      </c>
      <c r="DH17" s="143" t="s">
        <v>720</v>
      </c>
      <c r="DI17" s="143" t="s">
        <v>842</v>
      </c>
      <c r="DJ17" s="143">
        <v>1808</v>
      </c>
      <c r="DK17" s="78">
        <v>2</v>
      </c>
      <c r="DL17" s="78">
        <v>0</v>
      </c>
      <c r="DM17" s="78">
        <v>0</v>
      </c>
      <c r="DN17" s="78">
        <v>5</v>
      </c>
      <c r="DO17" s="78">
        <v>2</v>
      </c>
      <c r="DP17" s="78">
        <v>3</v>
      </c>
      <c r="DQ17" s="78">
        <v>8</v>
      </c>
      <c r="DR17" s="78">
        <v>1</v>
      </c>
      <c r="DS17" s="78">
        <v>1</v>
      </c>
      <c r="DT17" s="78">
        <v>0</v>
      </c>
      <c r="DU17" s="78">
        <v>0</v>
      </c>
      <c r="DV17" s="137">
        <v>0.75862070000000004</v>
      </c>
      <c r="DX17" s="143" t="s">
        <v>723</v>
      </c>
      <c r="DY17" s="143" t="s">
        <v>720</v>
      </c>
      <c r="DZ17" s="143" t="s">
        <v>842</v>
      </c>
      <c r="EA17" s="143">
        <v>1808</v>
      </c>
      <c r="EB17" s="78">
        <v>1</v>
      </c>
      <c r="EC17" s="78">
        <v>8</v>
      </c>
      <c r="ED17" s="78">
        <v>1</v>
      </c>
      <c r="EE17" s="78">
        <v>4</v>
      </c>
      <c r="EF17" s="78">
        <v>0</v>
      </c>
      <c r="EG17" s="78">
        <v>1</v>
      </c>
      <c r="EH17" s="78">
        <v>1</v>
      </c>
      <c r="EI17" s="78">
        <v>1</v>
      </c>
      <c r="EJ17" s="78">
        <v>1</v>
      </c>
      <c r="EK17" s="78">
        <v>1</v>
      </c>
      <c r="EL17" s="78">
        <v>1</v>
      </c>
      <c r="EM17" s="78">
        <v>1</v>
      </c>
      <c r="EN17" s="78">
        <v>1</v>
      </c>
      <c r="EO17" s="78">
        <v>1</v>
      </c>
      <c r="EP17" s="78">
        <v>1</v>
      </c>
      <c r="EQ17" s="137">
        <v>0.88888889999999998</v>
      </c>
      <c r="ES17" s="143" t="s">
        <v>723</v>
      </c>
      <c r="ET17" s="143" t="s">
        <v>720</v>
      </c>
      <c r="EU17" s="143" t="s">
        <v>842</v>
      </c>
      <c r="EV17" s="143">
        <v>1808</v>
      </c>
      <c r="EW17" s="78">
        <v>0.5</v>
      </c>
      <c r="EX17" s="78">
        <v>1</v>
      </c>
      <c r="EY17" s="78">
        <v>3</v>
      </c>
      <c r="EZ17" s="78">
        <v>0</v>
      </c>
      <c r="FA17" s="78">
        <v>0.5</v>
      </c>
      <c r="FB17" s="78">
        <v>3</v>
      </c>
      <c r="FC17" s="78">
        <v>2</v>
      </c>
      <c r="FD17" s="78">
        <v>1</v>
      </c>
      <c r="FE17" s="137">
        <v>0.84615390000000001</v>
      </c>
      <c r="FG17" s="137">
        <v>0.39067059999999998</v>
      </c>
    </row>
    <row r="18" spans="1:163" x14ac:dyDescent="0.35">
      <c r="A18" s="143" t="s">
        <v>723</v>
      </c>
      <c r="B18" s="143" t="s">
        <v>720</v>
      </c>
      <c r="C18" s="143" t="s">
        <v>842</v>
      </c>
      <c r="D18" s="143">
        <v>3022</v>
      </c>
      <c r="E18" s="78">
        <v>0.5</v>
      </c>
      <c r="F18" s="78">
        <v>1.5</v>
      </c>
      <c r="G18" s="78">
        <v>1</v>
      </c>
      <c r="H18" s="78">
        <v>0</v>
      </c>
      <c r="I18" s="78">
        <v>1</v>
      </c>
      <c r="J18" s="78">
        <v>0</v>
      </c>
      <c r="K18" s="78">
        <v>0</v>
      </c>
      <c r="L18" s="78">
        <v>1</v>
      </c>
      <c r="M18" s="78">
        <v>2</v>
      </c>
      <c r="N18" s="137">
        <v>0.5</v>
      </c>
      <c r="P18" s="143" t="s">
        <v>723</v>
      </c>
      <c r="Q18" s="143" t="s">
        <v>720</v>
      </c>
      <c r="R18" s="143" t="s">
        <v>842</v>
      </c>
      <c r="S18" s="143">
        <v>3022</v>
      </c>
      <c r="T18" s="78">
        <v>1</v>
      </c>
      <c r="U18" s="78">
        <v>0</v>
      </c>
      <c r="V18" s="78">
        <v>0</v>
      </c>
      <c r="W18" s="78">
        <v>2</v>
      </c>
      <c r="X18" s="78">
        <v>0</v>
      </c>
      <c r="Y18" s="78">
        <v>1</v>
      </c>
      <c r="Z18" s="78">
        <v>0</v>
      </c>
      <c r="AA18" s="78">
        <v>0</v>
      </c>
      <c r="AB18" s="78">
        <v>0</v>
      </c>
      <c r="AC18" s="78">
        <v>0</v>
      </c>
      <c r="AD18" s="137">
        <v>0.1176471</v>
      </c>
      <c r="AF18" s="143" t="s">
        <v>723</v>
      </c>
      <c r="AG18" s="143" t="s">
        <v>720</v>
      </c>
      <c r="AH18" s="143" t="s">
        <v>842</v>
      </c>
      <c r="AI18" s="143">
        <v>3022</v>
      </c>
      <c r="AJ18" s="78">
        <v>1</v>
      </c>
      <c r="AK18" s="78">
        <v>1</v>
      </c>
      <c r="AL18" s="78">
        <v>1</v>
      </c>
      <c r="AM18" s="78">
        <v>0</v>
      </c>
      <c r="AN18" s="78">
        <v>0</v>
      </c>
      <c r="AO18" s="78">
        <v>0</v>
      </c>
      <c r="AP18" s="78">
        <v>2</v>
      </c>
      <c r="AQ18" s="78">
        <v>1</v>
      </c>
      <c r="AR18" s="78">
        <v>0</v>
      </c>
      <c r="AS18" s="78">
        <v>2</v>
      </c>
      <c r="AT18" s="78">
        <v>0</v>
      </c>
      <c r="AU18" s="78">
        <v>1</v>
      </c>
      <c r="AV18" s="78">
        <v>2</v>
      </c>
      <c r="AW18" s="78">
        <v>1</v>
      </c>
      <c r="AX18" s="78">
        <v>4</v>
      </c>
      <c r="AY18" s="78">
        <v>1</v>
      </c>
      <c r="AZ18" s="78">
        <v>2</v>
      </c>
      <c r="BA18" s="78">
        <v>0.5</v>
      </c>
      <c r="BB18" s="78">
        <v>0.5</v>
      </c>
      <c r="BC18" s="78">
        <v>0.5</v>
      </c>
      <c r="BD18" s="78">
        <v>1</v>
      </c>
      <c r="BE18" s="78">
        <v>0.5</v>
      </c>
      <c r="BF18" s="78">
        <v>0</v>
      </c>
      <c r="BG18" s="78">
        <v>8</v>
      </c>
      <c r="BH18" s="137">
        <v>0.68181820000000004</v>
      </c>
      <c r="BJ18" s="143" t="s">
        <v>723</v>
      </c>
      <c r="BK18" s="143" t="s">
        <v>720</v>
      </c>
      <c r="BL18" s="143" t="s">
        <v>842</v>
      </c>
      <c r="BM18" s="143">
        <v>3022</v>
      </c>
      <c r="BN18" s="78">
        <v>0</v>
      </c>
      <c r="BO18" s="78">
        <v>4</v>
      </c>
      <c r="BP18" s="78">
        <v>7</v>
      </c>
      <c r="BQ18" s="78">
        <v>0</v>
      </c>
      <c r="BR18" s="78">
        <v>0</v>
      </c>
      <c r="BS18" s="78">
        <v>3</v>
      </c>
      <c r="BT18" s="78">
        <v>2</v>
      </c>
      <c r="BU18" s="137">
        <v>0.69565220000000005</v>
      </c>
      <c r="BW18" s="143" t="s">
        <v>723</v>
      </c>
      <c r="BX18" s="143" t="s">
        <v>720</v>
      </c>
      <c r="BY18" s="143" t="s">
        <v>842</v>
      </c>
      <c r="BZ18" s="143">
        <v>3022</v>
      </c>
      <c r="CM18" s="143" t="s">
        <v>723</v>
      </c>
      <c r="CN18" s="143" t="s">
        <v>720</v>
      </c>
      <c r="CO18" s="143" t="s">
        <v>842</v>
      </c>
      <c r="CP18" s="143">
        <v>3022</v>
      </c>
      <c r="CQ18" s="78">
        <v>0</v>
      </c>
      <c r="CR18" s="78">
        <v>0</v>
      </c>
      <c r="CS18" s="78">
        <v>0</v>
      </c>
      <c r="CT18" s="78">
        <v>4</v>
      </c>
      <c r="CU18" s="78">
        <v>0</v>
      </c>
      <c r="CV18" s="78">
        <v>8</v>
      </c>
      <c r="CW18" s="137">
        <v>0.23076920000000001</v>
      </c>
      <c r="CY18" s="143" t="s">
        <v>723</v>
      </c>
      <c r="CZ18" s="143" t="s">
        <v>720</v>
      </c>
      <c r="DA18" s="143" t="s">
        <v>842</v>
      </c>
      <c r="DB18" s="143">
        <v>3022</v>
      </c>
      <c r="DC18" s="78">
        <v>0</v>
      </c>
      <c r="DD18" s="137">
        <v>0</v>
      </c>
      <c r="DE18" s="137">
        <v>0</v>
      </c>
      <c r="DG18" s="143" t="s">
        <v>723</v>
      </c>
      <c r="DH18" s="143" t="s">
        <v>720</v>
      </c>
      <c r="DI18" s="143" t="s">
        <v>842</v>
      </c>
      <c r="DJ18" s="143">
        <v>3022</v>
      </c>
      <c r="DK18" s="78">
        <v>2</v>
      </c>
      <c r="DL18" s="78">
        <v>1</v>
      </c>
      <c r="DM18" s="78">
        <v>0</v>
      </c>
      <c r="DN18" s="78">
        <v>7</v>
      </c>
      <c r="DO18" s="78">
        <v>2</v>
      </c>
      <c r="DP18" s="78">
        <v>1</v>
      </c>
      <c r="DQ18" s="78">
        <v>8</v>
      </c>
      <c r="DR18" s="78">
        <v>0</v>
      </c>
      <c r="DS18" s="78">
        <v>1</v>
      </c>
      <c r="DT18" s="78">
        <v>0</v>
      </c>
      <c r="DU18" s="78">
        <v>0</v>
      </c>
      <c r="DV18" s="137">
        <v>0.75862070000000004</v>
      </c>
      <c r="DX18" s="143" t="s">
        <v>723</v>
      </c>
      <c r="DY18" s="143" t="s">
        <v>720</v>
      </c>
      <c r="DZ18" s="143" t="s">
        <v>842</v>
      </c>
      <c r="EA18" s="143">
        <v>3022</v>
      </c>
      <c r="EB18" s="78">
        <v>1</v>
      </c>
      <c r="EC18" s="78">
        <v>8</v>
      </c>
      <c r="ED18" s="78">
        <v>1</v>
      </c>
      <c r="EE18" s="78">
        <v>4</v>
      </c>
      <c r="EF18" s="78">
        <v>0</v>
      </c>
      <c r="EG18" s="78">
        <v>1</v>
      </c>
      <c r="EH18" s="78">
        <v>0</v>
      </c>
      <c r="EI18" s="78">
        <v>1</v>
      </c>
      <c r="EJ18" s="78">
        <v>1</v>
      </c>
      <c r="EK18" s="78">
        <v>1</v>
      </c>
      <c r="EL18" s="78">
        <v>0</v>
      </c>
      <c r="EM18" s="78">
        <v>1</v>
      </c>
      <c r="EN18" s="78">
        <v>1</v>
      </c>
      <c r="EO18" s="78">
        <v>1</v>
      </c>
      <c r="EP18" s="78">
        <v>0</v>
      </c>
      <c r="EQ18" s="137">
        <v>0.77777779999999996</v>
      </c>
      <c r="ES18" s="143" t="s">
        <v>723</v>
      </c>
      <c r="ET18" s="143" t="s">
        <v>720</v>
      </c>
      <c r="EU18" s="143" t="s">
        <v>842</v>
      </c>
      <c r="EV18" s="143">
        <v>3022</v>
      </c>
      <c r="EW18" s="78">
        <v>0.5</v>
      </c>
      <c r="EX18" s="78">
        <v>1</v>
      </c>
      <c r="EY18" s="78">
        <v>3</v>
      </c>
      <c r="EZ18" s="78">
        <v>2</v>
      </c>
      <c r="FA18" s="78">
        <v>0.5</v>
      </c>
      <c r="FB18" s="78">
        <v>3</v>
      </c>
      <c r="FC18" s="78">
        <v>2</v>
      </c>
      <c r="FD18" s="78">
        <v>0</v>
      </c>
      <c r="FE18" s="137">
        <v>0.92307689999999998</v>
      </c>
      <c r="FG18" s="137">
        <v>0.37804880000000002</v>
      </c>
    </row>
    <row r="19" spans="1:163" x14ac:dyDescent="0.35">
      <c r="A19" s="143" t="s">
        <v>724</v>
      </c>
      <c r="B19" s="143" t="s">
        <v>725</v>
      </c>
      <c r="C19" s="143" t="s">
        <v>841</v>
      </c>
      <c r="D19" s="143">
        <v>548</v>
      </c>
      <c r="E19" s="78">
        <v>0</v>
      </c>
      <c r="F19" s="78">
        <v>2</v>
      </c>
      <c r="G19" s="78">
        <v>1</v>
      </c>
      <c r="H19" s="78">
        <v>4</v>
      </c>
      <c r="I19" s="78">
        <v>1</v>
      </c>
      <c r="J19" s="78">
        <v>1</v>
      </c>
      <c r="K19" s="78">
        <v>1</v>
      </c>
      <c r="L19" s="78">
        <v>1</v>
      </c>
      <c r="M19" s="78">
        <v>2</v>
      </c>
      <c r="N19" s="137">
        <v>0.92857140000000005</v>
      </c>
      <c r="P19" s="143" t="s">
        <v>724</v>
      </c>
      <c r="Q19" s="143" t="s">
        <v>725</v>
      </c>
      <c r="R19" s="143" t="s">
        <v>841</v>
      </c>
      <c r="S19" s="143">
        <v>548</v>
      </c>
      <c r="T19" s="78">
        <v>1</v>
      </c>
      <c r="U19" s="78">
        <v>1</v>
      </c>
      <c r="V19" s="78">
        <v>3</v>
      </c>
      <c r="W19" s="78">
        <v>2</v>
      </c>
      <c r="X19" s="78">
        <v>12</v>
      </c>
      <c r="Y19" s="78">
        <v>1</v>
      </c>
      <c r="Z19" s="78">
        <v>3</v>
      </c>
      <c r="AA19" s="78">
        <v>2</v>
      </c>
      <c r="AB19" s="78">
        <v>6</v>
      </c>
      <c r="AC19" s="78">
        <v>3</v>
      </c>
      <c r="AD19" s="137">
        <v>1</v>
      </c>
      <c r="AF19" s="143" t="s">
        <v>724</v>
      </c>
      <c r="AG19" s="143" t="s">
        <v>725</v>
      </c>
      <c r="AH19" s="143" t="s">
        <v>841</v>
      </c>
      <c r="AI19" s="143">
        <v>548</v>
      </c>
      <c r="AJ19" s="78">
        <v>1</v>
      </c>
      <c r="AK19" s="78">
        <v>1</v>
      </c>
      <c r="AL19" s="78">
        <v>1</v>
      </c>
      <c r="AM19" s="78">
        <v>6</v>
      </c>
      <c r="AN19" s="78">
        <v>1</v>
      </c>
      <c r="AO19" s="78">
        <v>0</v>
      </c>
      <c r="AP19" s="78">
        <v>2</v>
      </c>
      <c r="AQ19" s="78">
        <v>1</v>
      </c>
      <c r="AR19" s="78">
        <v>2</v>
      </c>
      <c r="AS19" s="78">
        <v>2</v>
      </c>
      <c r="AT19" s="78">
        <v>0</v>
      </c>
      <c r="AU19" s="78">
        <v>0</v>
      </c>
      <c r="AV19" s="78">
        <v>2</v>
      </c>
      <c r="AW19" s="78">
        <v>1</v>
      </c>
      <c r="AX19" s="78">
        <v>0</v>
      </c>
      <c r="AY19" s="78">
        <v>1</v>
      </c>
      <c r="AZ19" s="78">
        <v>2</v>
      </c>
      <c r="BA19" s="78">
        <v>0.5</v>
      </c>
      <c r="BB19" s="78">
        <v>0.5</v>
      </c>
      <c r="BC19" s="78">
        <v>0.5</v>
      </c>
      <c r="BD19" s="78">
        <v>1</v>
      </c>
      <c r="BE19" s="78">
        <v>0</v>
      </c>
      <c r="BF19" s="78">
        <v>1</v>
      </c>
      <c r="BG19" s="78">
        <v>8</v>
      </c>
      <c r="BH19" s="137">
        <v>0.78409090000000004</v>
      </c>
      <c r="BJ19" s="143" t="s">
        <v>724</v>
      </c>
      <c r="BK19" s="143" t="s">
        <v>725</v>
      </c>
      <c r="BL19" s="143" t="s">
        <v>841</v>
      </c>
      <c r="BM19" s="143">
        <v>548</v>
      </c>
      <c r="BN19" s="78">
        <v>1</v>
      </c>
      <c r="BO19" s="78">
        <v>4</v>
      </c>
      <c r="BP19" s="78">
        <v>7</v>
      </c>
      <c r="BQ19" s="78">
        <v>3</v>
      </c>
      <c r="BR19" s="78">
        <v>3</v>
      </c>
      <c r="BS19" s="78">
        <v>3</v>
      </c>
      <c r="BT19" s="78">
        <v>2</v>
      </c>
      <c r="BU19" s="137">
        <v>1</v>
      </c>
      <c r="BW19" s="143" t="s">
        <v>724</v>
      </c>
      <c r="BX19" s="143" t="s">
        <v>725</v>
      </c>
      <c r="BY19" s="143" t="s">
        <v>841</v>
      </c>
      <c r="BZ19" s="143">
        <v>548</v>
      </c>
      <c r="CA19" s="78">
        <v>1</v>
      </c>
      <c r="CB19" s="78">
        <v>1</v>
      </c>
      <c r="CC19" s="78">
        <v>1</v>
      </c>
      <c r="CD19" s="78">
        <v>2</v>
      </c>
      <c r="CE19" s="78">
        <v>1</v>
      </c>
      <c r="CF19" s="78">
        <v>2</v>
      </c>
      <c r="CG19" s="78">
        <v>1</v>
      </c>
      <c r="CH19" s="78">
        <v>2</v>
      </c>
      <c r="CI19" s="78">
        <v>1</v>
      </c>
      <c r="CJ19" s="78">
        <v>3</v>
      </c>
      <c r="CK19" s="137">
        <v>1</v>
      </c>
      <c r="CM19" s="143" t="s">
        <v>724</v>
      </c>
      <c r="CN19" s="143" t="s">
        <v>725</v>
      </c>
      <c r="CO19" s="143" t="s">
        <v>841</v>
      </c>
      <c r="CP19" s="143">
        <v>548</v>
      </c>
      <c r="CQ19" s="78">
        <v>8</v>
      </c>
      <c r="CR19" s="78">
        <v>0</v>
      </c>
      <c r="CS19" s="78">
        <v>8</v>
      </c>
      <c r="CT19" s="78">
        <v>0</v>
      </c>
      <c r="CU19" s="78">
        <v>0</v>
      </c>
      <c r="CV19" s="78">
        <v>8</v>
      </c>
      <c r="CW19" s="137">
        <v>0.46153850000000002</v>
      </c>
      <c r="CY19" s="143" t="s">
        <v>724</v>
      </c>
      <c r="CZ19" s="143" t="s">
        <v>725</v>
      </c>
      <c r="DA19" s="143" t="s">
        <v>841</v>
      </c>
      <c r="DB19" s="143">
        <v>548</v>
      </c>
      <c r="DC19" s="78">
        <v>42</v>
      </c>
      <c r="DD19" s="137">
        <v>0.4</v>
      </c>
      <c r="DE19" s="137">
        <v>0.18260870000000001</v>
      </c>
      <c r="DG19" s="143" t="s">
        <v>724</v>
      </c>
      <c r="DH19" s="143" t="s">
        <v>725</v>
      </c>
      <c r="DI19" s="143" t="s">
        <v>841</v>
      </c>
      <c r="DJ19" s="143">
        <v>548</v>
      </c>
      <c r="DK19" s="78">
        <v>2</v>
      </c>
      <c r="DL19" s="78">
        <v>1</v>
      </c>
      <c r="DM19" s="78">
        <v>1</v>
      </c>
      <c r="DN19" s="78">
        <v>5</v>
      </c>
      <c r="DO19" s="78">
        <v>2</v>
      </c>
      <c r="DP19" s="78">
        <v>3</v>
      </c>
      <c r="DQ19" s="78">
        <v>8</v>
      </c>
      <c r="DR19" s="78">
        <v>1</v>
      </c>
      <c r="DS19" s="78">
        <v>1</v>
      </c>
      <c r="DT19" s="78">
        <v>0</v>
      </c>
      <c r="DU19" s="78">
        <v>0</v>
      </c>
      <c r="DV19" s="137">
        <v>0.82758620000000005</v>
      </c>
      <c r="DX19" s="143" t="s">
        <v>724</v>
      </c>
      <c r="DY19" s="143" t="s">
        <v>725</v>
      </c>
      <c r="DZ19" s="143" t="s">
        <v>841</v>
      </c>
      <c r="EA19" s="143">
        <v>548</v>
      </c>
      <c r="EB19" s="78">
        <v>1</v>
      </c>
      <c r="EC19" s="78">
        <v>8</v>
      </c>
      <c r="ED19" s="78">
        <v>1</v>
      </c>
      <c r="EE19" s="78">
        <v>0</v>
      </c>
      <c r="EF19" s="78">
        <v>3</v>
      </c>
      <c r="EG19" s="78">
        <v>1</v>
      </c>
      <c r="EH19" s="78">
        <v>0</v>
      </c>
      <c r="EI19" s="78">
        <v>1</v>
      </c>
      <c r="EJ19" s="78">
        <v>1</v>
      </c>
      <c r="EK19" s="78">
        <v>1</v>
      </c>
      <c r="EL19" s="78">
        <v>1</v>
      </c>
      <c r="EM19" s="78">
        <v>0</v>
      </c>
      <c r="EN19" s="78">
        <v>1</v>
      </c>
      <c r="EO19" s="78">
        <v>1</v>
      </c>
      <c r="EP19" s="78">
        <v>1</v>
      </c>
      <c r="EQ19" s="137">
        <v>0.77777779999999996</v>
      </c>
      <c r="ES19" s="143" t="s">
        <v>724</v>
      </c>
      <c r="ET19" s="143" t="s">
        <v>725</v>
      </c>
      <c r="EU19" s="143" t="s">
        <v>841</v>
      </c>
      <c r="EV19" s="143">
        <v>548</v>
      </c>
      <c r="EW19" s="78">
        <v>0</v>
      </c>
      <c r="EX19" s="78">
        <v>0</v>
      </c>
      <c r="EY19" s="78">
        <v>3</v>
      </c>
      <c r="EZ19" s="78">
        <v>0</v>
      </c>
      <c r="FA19" s="78">
        <v>0.5</v>
      </c>
      <c r="FB19" s="78">
        <v>3</v>
      </c>
      <c r="FC19" s="78">
        <v>2</v>
      </c>
      <c r="FD19" s="78">
        <v>1</v>
      </c>
      <c r="FE19" s="137">
        <v>0.73076920000000001</v>
      </c>
      <c r="FG19" s="137">
        <v>0.62623910000000005</v>
      </c>
    </row>
    <row r="20" spans="1:163" x14ac:dyDescent="0.35">
      <c r="A20" s="143" t="s">
        <v>724</v>
      </c>
      <c r="B20" s="143" t="s">
        <v>725</v>
      </c>
      <c r="C20" s="143" t="s">
        <v>841</v>
      </c>
      <c r="D20" s="143">
        <v>565</v>
      </c>
      <c r="E20" s="78">
        <v>0</v>
      </c>
      <c r="F20" s="78">
        <v>2.5</v>
      </c>
      <c r="G20" s="78">
        <v>1</v>
      </c>
      <c r="H20" s="78">
        <v>4</v>
      </c>
      <c r="I20" s="78">
        <v>1</v>
      </c>
      <c r="J20" s="78">
        <v>1</v>
      </c>
      <c r="K20" s="78">
        <v>1</v>
      </c>
      <c r="L20" s="78">
        <v>1</v>
      </c>
      <c r="M20" s="78">
        <v>2</v>
      </c>
      <c r="N20" s="137">
        <v>0.96428570000000002</v>
      </c>
      <c r="P20" s="143" t="s">
        <v>724</v>
      </c>
      <c r="Q20" s="143" t="s">
        <v>725</v>
      </c>
      <c r="R20" s="143" t="s">
        <v>841</v>
      </c>
      <c r="S20" s="143">
        <v>565</v>
      </c>
      <c r="T20" s="78">
        <v>0</v>
      </c>
      <c r="U20" s="78">
        <v>0</v>
      </c>
      <c r="V20" s="78">
        <v>1.5</v>
      </c>
      <c r="W20" s="78">
        <v>0</v>
      </c>
      <c r="X20" s="78">
        <v>12</v>
      </c>
      <c r="Y20" s="78">
        <v>1</v>
      </c>
      <c r="Z20" s="78">
        <v>3</v>
      </c>
      <c r="AA20" s="78">
        <v>0</v>
      </c>
      <c r="AB20" s="78">
        <v>0</v>
      </c>
      <c r="AC20" s="78">
        <v>3</v>
      </c>
      <c r="AD20" s="137">
        <v>0.60294119999999995</v>
      </c>
      <c r="AF20" s="143" t="s">
        <v>724</v>
      </c>
      <c r="AG20" s="143" t="s">
        <v>725</v>
      </c>
      <c r="AH20" s="143" t="s">
        <v>841</v>
      </c>
      <c r="AI20" s="143">
        <v>565</v>
      </c>
      <c r="AJ20" s="78">
        <v>1</v>
      </c>
      <c r="AK20" s="78">
        <v>1</v>
      </c>
      <c r="AL20" s="78">
        <v>1</v>
      </c>
      <c r="AM20" s="78">
        <v>6</v>
      </c>
      <c r="AN20" s="78">
        <v>1</v>
      </c>
      <c r="AO20" s="78">
        <v>2</v>
      </c>
      <c r="AP20" s="78">
        <v>2</v>
      </c>
      <c r="AQ20" s="78">
        <v>1</v>
      </c>
      <c r="AR20" s="78">
        <v>2</v>
      </c>
      <c r="AS20" s="78">
        <v>2</v>
      </c>
      <c r="AT20" s="78">
        <v>2</v>
      </c>
      <c r="AU20" s="78">
        <v>1</v>
      </c>
      <c r="AV20" s="78">
        <v>2</v>
      </c>
      <c r="AW20" s="78">
        <v>1</v>
      </c>
      <c r="AX20" s="78">
        <v>0</v>
      </c>
      <c r="AY20" s="78">
        <v>1</v>
      </c>
      <c r="AZ20" s="78">
        <v>2</v>
      </c>
      <c r="BA20" s="78">
        <v>0.5</v>
      </c>
      <c r="BB20" s="78">
        <v>0.5</v>
      </c>
      <c r="BC20" s="78">
        <v>0.5</v>
      </c>
      <c r="BD20" s="78">
        <v>1</v>
      </c>
      <c r="BE20" s="78">
        <v>0.5</v>
      </c>
      <c r="BF20" s="78">
        <v>1</v>
      </c>
      <c r="BG20" s="78">
        <v>6</v>
      </c>
      <c r="BH20" s="137">
        <v>0.86363639999999997</v>
      </c>
      <c r="BJ20" s="143" t="s">
        <v>724</v>
      </c>
      <c r="BK20" s="143" t="s">
        <v>725</v>
      </c>
      <c r="BL20" s="143" t="s">
        <v>841</v>
      </c>
      <c r="BM20" s="143">
        <v>565</v>
      </c>
      <c r="BN20" s="78">
        <v>1</v>
      </c>
      <c r="BO20" s="78">
        <v>4</v>
      </c>
      <c r="BP20" s="78">
        <v>7</v>
      </c>
      <c r="BQ20" s="78">
        <v>3</v>
      </c>
      <c r="BR20" s="78">
        <v>3</v>
      </c>
      <c r="BS20" s="78">
        <v>3</v>
      </c>
      <c r="BT20" s="78">
        <v>2</v>
      </c>
      <c r="BU20" s="137">
        <v>1</v>
      </c>
      <c r="BW20" s="143" t="s">
        <v>724</v>
      </c>
      <c r="BX20" s="143" t="s">
        <v>725</v>
      </c>
      <c r="BY20" s="143" t="s">
        <v>841</v>
      </c>
      <c r="BZ20" s="143">
        <v>565</v>
      </c>
      <c r="CA20" s="78">
        <v>1</v>
      </c>
      <c r="CB20" s="78">
        <v>1</v>
      </c>
      <c r="CC20" s="78">
        <v>1</v>
      </c>
      <c r="CD20" s="78">
        <v>2</v>
      </c>
      <c r="CE20" s="78">
        <v>1</v>
      </c>
      <c r="CF20" s="78">
        <v>2</v>
      </c>
      <c r="CG20" s="78">
        <v>1</v>
      </c>
      <c r="CH20" s="78">
        <v>2</v>
      </c>
      <c r="CI20" s="78">
        <v>1</v>
      </c>
      <c r="CJ20" s="78">
        <v>3</v>
      </c>
      <c r="CK20" s="137">
        <v>1</v>
      </c>
      <c r="CM20" s="143" t="s">
        <v>724</v>
      </c>
      <c r="CN20" s="143" t="s">
        <v>725</v>
      </c>
      <c r="CO20" s="143" t="s">
        <v>841</v>
      </c>
      <c r="CP20" s="143">
        <v>565</v>
      </c>
      <c r="CQ20" s="78">
        <v>8</v>
      </c>
      <c r="CR20" s="78">
        <v>6</v>
      </c>
      <c r="CS20" s="78">
        <v>20</v>
      </c>
      <c r="CT20" s="78">
        <v>0</v>
      </c>
      <c r="CU20" s="78">
        <v>2</v>
      </c>
      <c r="CV20" s="78">
        <v>8</v>
      </c>
      <c r="CW20" s="137">
        <v>0.84615390000000001</v>
      </c>
      <c r="CY20" s="143" t="s">
        <v>724</v>
      </c>
      <c r="CZ20" s="143" t="s">
        <v>725</v>
      </c>
      <c r="DA20" s="143" t="s">
        <v>841</v>
      </c>
      <c r="DB20" s="143">
        <v>565</v>
      </c>
      <c r="DC20" s="78">
        <v>78</v>
      </c>
      <c r="DD20" s="137">
        <v>0.2</v>
      </c>
      <c r="DE20" s="137">
        <v>0.1695652</v>
      </c>
      <c r="DG20" s="143" t="s">
        <v>724</v>
      </c>
      <c r="DH20" s="143" t="s">
        <v>725</v>
      </c>
      <c r="DI20" s="143" t="s">
        <v>841</v>
      </c>
      <c r="DJ20" s="143">
        <v>565</v>
      </c>
      <c r="DK20" s="78">
        <v>2</v>
      </c>
      <c r="DL20" s="78">
        <v>1</v>
      </c>
      <c r="DM20" s="78">
        <v>1</v>
      </c>
      <c r="DN20" s="78">
        <v>5</v>
      </c>
      <c r="DO20" s="78">
        <v>2</v>
      </c>
      <c r="DP20" s="78">
        <v>3</v>
      </c>
      <c r="DQ20" s="78">
        <v>8</v>
      </c>
      <c r="DR20" s="78">
        <v>1</v>
      </c>
      <c r="DS20" s="78">
        <v>1</v>
      </c>
      <c r="DT20" s="78">
        <v>0</v>
      </c>
      <c r="DU20" s="78">
        <v>0</v>
      </c>
      <c r="DV20" s="137">
        <v>0.82758620000000005</v>
      </c>
      <c r="DX20" s="143" t="s">
        <v>724</v>
      </c>
      <c r="DY20" s="143" t="s">
        <v>725</v>
      </c>
      <c r="DZ20" s="143" t="s">
        <v>841</v>
      </c>
      <c r="EA20" s="143">
        <v>565</v>
      </c>
      <c r="EB20" s="78">
        <v>1</v>
      </c>
      <c r="EC20" s="78">
        <v>8</v>
      </c>
      <c r="ED20" s="78">
        <v>1</v>
      </c>
      <c r="EE20" s="78">
        <v>4</v>
      </c>
      <c r="EF20" s="78">
        <v>3</v>
      </c>
      <c r="EG20" s="78">
        <v>1</v>
      </c>
      <c r="EH20" s="78">
        <v>1</v>
      </c>
      <c r="EI20" s="78">
        <v>1</v>
      </c>
      <c r="EJ20" s="78">
        <v>1</v>
      </c>
      <c r="EK20" s="78">
        <v>1</v>
      </c>
      <c r="EL20" s="78">
        <v>1</v>
      </c>
      <c r="EM20" s="78">
        <v>0</v>
      </c>
      <c r="EN20" s="78">
        <v>1</v>
      </c>
      <c r="EO20" s="78">
        <v>1</v>
      </c>
      <c r="EP20" s="78">
        <v>1</v>
      </c>
      <c r="EQ20" s="137">
        <v>0.96296300000000001</v>
      </c>
      <c r="ES20" s="143" t="s">
        <v>724</v>
      </c>
      <c r="ET20" s="143" t="s">
        <v>725</v>
      </c>
      <c r="EU20" s="143" t="s">
        <v>841</v>
      </c>
      <c r="EV20" s="143">
        <v>565</v>
      </c>
      <c r="EW20" s="78">
        <v>0</v>
      </c>
      <c r="EX20" s="78">
        <v>0</v>
      </c>
      <c r="EY20" s="78">
        <v>3</v>
      </c>
      <c r="EZ20" s="78">
        <v>2</v>
      </c>
      <c r="FA20" s="78">
        <v>0.5</v>
      </c>
      <c r="FB20" s="78">
        <v>3</v>
      </c>
      <c r="FC20" s="78">
        <v>2</v>
      </c>
      <c r="FD20" s="78">
        <v>1</v>
      </c>
      <c r="FE20" s="137">
        <v>0.88461540000000005</v>
      </c>
      <c r="FG20" s="137">
        <v>0.67376100000000005</v>
      </c>
    </row>
    <row r="21" spans="1:163" x14ac:dyDescent="0.35">
      <c r="A21" s="143" t="s">
        <v>724</v>
      </c>
      <c r="B21" s="143" t="s">
        <v>725</v>
      </c>
      <c r="C21" s="143" t="s">
        <v>841</v>
      </c>
      <c r="D21" s="143">
        <v>1081</v>
      </c>
      <c r="E21" s="78">
        <v>0.5</v>
      </c>
      <c r="F21" s="78">
        <v>2.5</v>
      </c>
      <c r="G21" s="78">
        <v>1</v>
      </c>
      <c r="H21" s="78">
        <v>4</v>
      </c>
      <c r="I21" s="78">
        <v>1</v>
      </c>
      <c r="J21" s="78">
        <v>1</v>
      </c>
      <c r="K21" s="78">
        <v>1</v>
      </c>
      <c r="L21" s="78">
        <v>1</v>
      </c>
      <c r="M21" s="78">
        <v>2</v>
      </c>
      <c r="N21" s="137">
        <v>1</v>
      </c>
      <c r="P21" s="143" t="s">
        <v>724</v>
      </c>
      <c r="Q21" s="143" t="s">
        <v>725</v>
      </c>
      <c r="R21" s="143" t="s">
        <v>841</v>
      </c>
      <c r="S21" s="143">
        <v>1081</v>
      </c>
      <c r="T21" s="78">
        <v>1</v>
      </c>
      <c r="U21" s="78">
        <v>1</v>
      </c>
      <c r="V21" s="78">
        <v>3</v>
      </c>
      <c r="W21" s="78">
        <v>2</v>
      </c>
      <c r="X21" s="78">
        <v>12</v>
      </c>
      <c r="Y21" s="78">
        <v>1</v>
      </c>
      <c r="Z21" s="78">
        <v>3</v>
      </c>
      <c r="AA21" s="78">
        <v>2</v>
      </c>
      <c r="AB21" s="78">
        <v>6</v>
      </c>
      <c r="AC21" s="78">
        <v>0</v>
      </c>
      <c r="AD21" s="137">
        <v>0.91176469999999998</v>
      </c>
      <c r="AF21" s="143" t="s">
        <v>724</v>
      </c>
      <c r="AG21" s="143" t="s">
        <v>725</v>
      </c>
      <c r="AH21" s="143" t="s">
        <v>841</v>
      </c>
      <c r="AI21" s="143">
        <v>1081</v>
      </c>
      <c r="AJ21" s="78">
        <v>1</v>
      </c>
      <c r="AK21" s="78">
        <v>1</v>
      </c>
      <c r="AL21" s="78">
        <v>1</v>
      </c>
      <c r="AM21" s="78">
        <v>6</v>
      </c>
      <c r="AN21" s="78">
        <v>0</v>
      </c>
      <c r="AO21" s="78">
        <v>2</v>
      </c>
      <c r="AP21" s="78">
        <v>2</v>
      </c>
      <c r="AQ21" s="78">
        <v>1</v>
      </c>
      <c r="AR21" s="78">
        <v>2</v>
      </c>
      <c r="AS21" s="78">
        <v>2</v>
      </c>
      <c r="AT21" s="78">
        <v>2</v>
      </c>
      <c r="AU21" s="78">
        <v>1</v>
      </c>
      <c r="AV21" s="78">
        <v>2</v>
      </c>
      <c r="AW21" s="78">
        <v>1</v>
      </c>
      <c r="AX21" s="78">
        <v>4</v>
      </c>
      <c r="AY21" s="78">
        <v>1</v>
      </c>
      <c r="AZ21" s="78">
        <v>2</v>
      </c>
      <c r="BA21" s="78">
        <v>0.5</v>
      </c>
      <c r="BB21" s="78">
        <v>0.5</v>
      </c>
      <c r="BC21" s="78">
        <v>0.5</v>
      </c>
      <c r="BD21" s="78">
        <v>1</v>
      </c>
      <c r="BE21" s="78">
        <v>0.5</v>
      </c>
      <c r="BF21" s="78">
        <v>1</v>
      </c>
      <c r="BG21" s="78">
        <v>6</v>
      </c>
      <c r="BH21" s="137">
        <v>0.93181820000000004</v>
      </c>
      <c r="BJ21" s="143" t="s">
        <v>724</v>
      </c>
      <c r="BK21" s="143" t="s">
        <v>725</v>
      </c>
      <c r="BL21" s="143" t="s">
        <v>841</v>
      </c>
      <c r="BM21" s="143">
        <v>1081</v>
      </c>
      <c r="BN21" s="78">
        <v>1</v>
      </c>
      <c r="BO21" s="78">
        <v>4</v>
      </c>
      <c r="BP21" s="78">
        <v>0</v>
      </c>
      <c r="BQ21" s="78">
        <v>3</v>
      </c>
      <c r="BR21" s="78">
        <v>3</v>
      </c>
      <c r="BS21" s="78">
        <v>3</v>
      </c>
      <c r="BT21" s="78">
        <v>2</v>
      </c>
      <c r="BU21" s="137">
        <v>0.69565220000000005</v>
      </c>
      <c r="BW21" s="143" t="s">
        <v>724</v>
      </c>
      <c r="BX21" s="143" t="s">
        <v>725</v>
      </c>
      <c r="BY21" s="143" t="s">
        <v>841</v>
      </c>
      <c r="BZ21" s="143">
        <v>1081</v>
      </c>
      <c r="CA21" s="78">
        <v>1</v>
      </c>
      <c r="CB21" s="78">
        <v>1</v>
      </c>
      <c r="CC21" s="78">
        <v>1</v>
      </c>
      <c r="CD21" s="78">
        <v>2</v>
      </c>
      <c r="CE21" s="78">
        <v>1</v>
      </c>
      <c r="CF21" s="78">
        <v>2</v>
      </c>
      <c r="CG21" s="78">
        <v>1</v>
      </c>
      <c r="CH21" s="78">
        <v>2</v>
      </c>
      <c r="CI21" s="78">
        <v>1</v>
      </c>
      <c r="CJ21" s="78">
        <v>3</v>
      </c>
      <c r="CK21" s="137">
        <v>1</v>
      </c>
      <c r="CM21" s="143" t="s">
        <v>724</v>
      </c>
      <c r="CN21" s="143" t="s">
        <v>725</v>
      </c>
      <c r="CO21" s="143" t="s">
        <v>841</v>
      </c>
      <c r="CP21" s="143">
        <v>1081</v>
      </c>
      <c r="CQ21" s="78">
        <v>6</v>
      </c>
      <c r="CR21" s="78">
        <v>0</v>
      </c>
      <c r="CS21" s="78">
        <v>20</v>
      </c>
      <c r="CT21" s="78">
        <v>4</v>
      </c>
      <c r="CU21" s="78">
        <v>2</v>
      </c>
      <c r="CV21" s="78">
        <v>8</v>
      </c>
      <c r="CW21" s="137">
        <v>0.76923079999999999</v>
      </c>
      <c r="CY21" s="143" t="s">
        <v>724</v>
      </c>
      <c r="CZ21" s="143" t="s">
        <v>725</v>
      </c>
      <c r="DA21" s="143" t="s">
        <v>841</v>
      </c>
      <c r="DB21" s="143">
        <v>1081</v>
      </c>
      <c r="DC21" s="78">
        <v>74</v>
      </c>
      <c r="DD21" s="137">
        <v>0.8</v>
      </c>
      <c r="DE21" s="137">
        <v>0.64347829999999995</v>
      </c>
      <c r="DG21" s="143" t="s">
        <v>724</v>
      </c>
      <c r="DH21" s="143" t="s">
        <v>725</v>
      </c>
      <c r="DI21" s="143" t="s">
        <v>841</v>
      </c>
      <c r="DJ21" s="143">
        <v>1081</v>
      </c>
      <c r="DK21" s="78">
        <v>2</v>
      </c>
      <c r="DL21" s="78">
        <v>1</v>
      </c>
      <c r="DM21" s="78">
        <v>0</v>
      </c>
      <c r="DN21" s="78">
        <v>5</v>
      </c>
      <c r="DO21" s="78">
        <v>2</v>
      </c>
      <c r="DP21" s="78">
        <v>3</v>
      </c>
      <c r="DQ21" s="78">
        <v>7</v>
      </c>
      <c r="DR21" s="78">
        <v>1</v>
      </c>
      <c r="DS21" s="78">
        <v>1</v>
      </c>
      <c r="DT21" s="78">
        <v>2</v>
      </c>
      <c r="DU21" s="78">
        <v>1</v>
      </c>
      <c r="DV21" s="137">
        <v>0.86206899999999997</v>
      </c>
      <c r="DX21" s="143" t="s">
        <v>724</v>
      </c>
      <c r="DY21" s="143" t="s">
        <v>725</v>
      </c>
      <c r="DZ21" s="143" t="s">
        <v>841</v>
      </c>
      <c r="EA21" s="143">
        <v>1081</v>
      </c>
      <c r="EB21" s="78">
        <v>1</v>
      </c>
      <c r="EC21" s="78">
        <v>8</v>
      </c>
      <c r="ED21" s="78">
        <v>1</v>
      </c>
      <c r="EE21" s="78">
        <v>4</v>
      </c>
      <c r="EF21" s="78">
        <v>3</v>
      </c>
      <c r="EG21" s="78">
        <v>1</v>
      </c>
      <c r="EH21" s="78">
        <v>1</v>
      </c>
      <c r="EI21" s="78">
        <v>1</v>
      </c>
      <c r="EJ21" s="78">
        <v>1</v>
      </c>
      <c r="EK21" s="78">
        <v>1</v>
      </c>
      <c r="EL21" s="78">
        <v>1</v>
      </c>
      <c r="EM21" s="78">
        <v>1</v>
      </c>
      <c r="EN21" s="78">
        <v>1</v>
      </c>
      <c r="EO21" s="78">
        <v>1</v>
      </c>
      <c r="EP21" s="78">
        <v>1</v>
      </c>
      <c r="EQ21" s="137">
        <v>1</v>
      </c>
      <c r="ES21" s="143" t="s">
        <v>724</v>
      </c>
      <c r="ET21" s="143" t="s">
        <v>725</v>
      </c>
      <c r="EU21" s="143" t="s">
        <v>841</v>
      </c>
      <c r="EV21" s="143">
        <v>1081</v>
      </c>
      <c r="EW21" s="78">
        <v>0.5</v>
      </c>
      <c r="EX21" s="78">
        <v>1</v>
      </c>
      <c r="EY21" s="78">
        <v>3</v>
      </c>
      <c r="EZ21" s="78">
        <v>2</v>
      </c>
      <c r="FA21" s="78">
        <v>0.5</v>
      </c>
      <c r="FB21" s="78">
        <v>3</v>
      </c>
      <c r="FC21" s="78">
        <v>2</v>
      </c>
      <c r="FD21" s="78">
        <v>1</v>
      </c>
      <c r="FE21" s="137">
        <v>1</v>
      </c>
      <c r="FG21" s="137">
        <v>0.81982509999999997</v>
      </c>
    </row>
    <row r="22" spans="1:163" x14ac:dyDescent="0.35">
      <c r="A22" s="143" t="s">
        <v>724</v>
      </c>
      <c r="B22" s="143" t="s">
        <v>725</v>
      </c>
      <c r="C22" s="143" t="s">
        <v>843</v>
      </c>
      <c r="D22" s="143">
        <v>1539</v>
      </c>
      <c r="E22" s="78">
        <v>0</v>
      </c>
      <c r="F22" s="78">
        <v>2</v>
      </c>
      <c r="G22" s="78">
        <v>1</v>
      </c>
      <c r="H22" s="78">
        <v>3</v>
      </c>
      <c r="I22" s="78">
        <v>1</v>
      </c>
      <c r="J22" s="78">
        <v>0</v>
      </c>
      <c r="K22" s="78">
        <v>1</v>
      </c>
      <c r="L22" s="78">
        <v>1</v>
      </c>
      <c r="M22" s="78">
        <v>2</v>
      </c>
      <c r="N22" s="137">
        <v>0.78571429999999998</v>
      </c>
      <c r="P22" s="143" t="s">
        <v>724</v>
      </c>
      <c r="Q22" s="143" t="s">
        <v>725</v>
      </c>
      <c r="R22" s="143" t="s">
        <v>843</v>
      </c>
      <c r="S22" s="143">
        <v>1539</v>
      </c>
      <c r="T22" s="78">
        <v>1</v>
      </c>
      <c r="U22" s="78">
        <v>0</v>
      </c>
      <c r="V22" s="78">
        <v>3</v>
      </c>
      <c r="W22" s="78">
        <v>2</v>
      </c>
      <c r="X22" s="78">
        <v>12</v>
      </c>
      <c r="Y22" s="78">
        <v>1</v>
      </c>
      <c r="Z22" s="78">
        <v>3</v>
      </c>
      <c r="AA22" s="78">
        <v>0</v>
      </c>
      <c r="AB22" s="78">
        <v>6</v>
      </c>
      <c r="AC22" s="78">
        <v>3</v>
      </c>
      <c r="AD22" s="137">
        <v>0.91176469999999998</v>
      </c>
      <c r="AF22" s="143" t="s">
        <v>724</v>
      </c>
      <c r="AG22" s="143" t="s">
        <v>725</v>
      </c>
      <c r="AH22" s="143" t="s">
        <v>843</v>
      </c>
      <c r="AI22" s="143">
        <v>1539</v>
      </c>
      <c r="AJ22" s="78">
        <v>1</v>
      </c>
      <c r="AK22" s="78">
        <v>1</v>
      </c>
      <c r="AL22" s="78">
        <v>1</v>
      </c>
      <c r="AM22" s="78">
        <v>1</v>
      </c>
      <c r="AN22" s="78">
        <v>1</v>
      </c>
      <c r="AO22" s="78">
        <v>0</v>
      </c>
      <c r="AP22" s="78">
        <v>2</v>
      </c>
      <c r="AQ22" s="78">
        <v>1</v>
      </c>
      <c r="AR22" s="78">
        <v>2</v>
      </c>
      <c r="AS22" s="78">
        <v>0</v>
      </c>
      <c r="AT22" s="78">
        <v>2</v>
      </c>
      <c r="AU22" s="78">
        <v>1</v>
      </c>
      <c r="AV22" s="78">
        <v>2</v>
      </c>
      <c r="AW22" s="78">
        <v>1</v>
      </c>
      <c r="AX22" s="78">
        <v>4</v>
      </c>
      <c r="AY22" s="78">
        <v>1</v>
      </c>
      <c r="AZ22" s="78">
        <v>2</v>
      </c>
      <c r="BA22" s="78">
        <v>0.5</v>
      </c>
      <c r="BB22" s="78">
        <v>0.5</v>
      </c>
      <c r="BC22" s="78">
        <v>0.5</v>
      </c>
      <c r="BD22" s="78">
        <v>0</v>
      </c>
      <c r="BE22" s="78">
        <v>0.5</v>
      </c>
      <c r="BF22" s="78">
        <v>1</v>
      </c>
      <c r="BG22" s="78">
        <v>8</v>
      </c>
      <c r="BH22" s="137">
        <v>0.77272730000000001</v>
      </c>
      <c r="BJ22" s="143" t="s">
        <v>724</v>
      </c>
      <c r="BK22" s="143" t="s">
        <v>725</v>
      </c>
      <c r="BL22" s="143" t="s">
        <v>843</v>
      </c>
      <c r="BM22" s="143">
        <v>1539</v>
      </c>
      <c r="BN22" s="78">
        <v>1</v>
      </c>
      <c r="BO22" s="78">
        <v>4</v>
      </c>
      <c r="BP22" s="78">
        <v>7</v>
      </c>
      <c r="BQ22" s="78">
        <v>3</v>
      </c>
      <c r="BR22" s="78">
        <v>3</v>
      </c>
      <c r="BS22" s="78">
        <v>3</v>
      </c>
      <c r="BT22" s="78">
        <v>2</v>
      </c>
      <c r="BU22" s="137">
        <v>1</v>
      </c>
      <c r="BW22" s="143" t="s">
        <v>724</v>
      </c>
      <c r="BX22" s="143" t="s">
        <v>725</v>
      </c>
      <c r="BY22" s="143" t="s">
        <v>843</v>
      </c>
      <c r="BZ22" s="143">
        <v>1539</v>
      </c>
      <c r="CA22" s="78">
        <v>1</v>
      </c>
      <c r="CB22" s="78">
        <v>1</v>
      </c>
      <c r="CC22" s="78">
        <v>1</v>
      </c>
      <c r="CD22" s="78">
        <v>2</v>
      </c>
      <c r="CE22" s="78">
        <v>1</v>
      </c>
      <c r="CF22" s="78">
        <v>2</v>
      </c>
      <c r="CG22" s="78">
        <v>1</v>
      </c>
      <c r="CH22" s="78">
        <v>2</v>
      </c>
      <c r="CI22" s="78">
        <v>1</v>
      </c>
      <c r="CJ22" s="78">
        <v>3</v>
      </c>
      <c r="CK22" s="137">
        <v>1</v>
      </c>
      <c r="CM22" s="143" t="s">
        <v>724</v>
      </c>
      <c r="CN22" s="143" t="s">
        <v>725</v>
      </c>
      <c r="CO22" s="143" t="s">
        <v>843</v>
      </c>
      <c r="CP22" s="143">
        <v>1539</v>
      </c>
      <c r="CQ22" s="78">
        <v>8</v>
      </c>
      <c r="CR22" s="78">
        <v>0</v>
      </c>
      <c r="CS22" s="78">
        <v>24</v>
      </c>
      <c r="CT22" s="78">
        <v>4</v>
      </c>
      <c r="CU22" s="78">
        <v>2</v>
      </c>
      <c r="CV22" s="78">
        <v>8</v>
      </c>
      <c r="CW22" s="137">
        <v>0.88461540000000005</v>
      </c>
      <c r="CY22" s="143" t="s">
        <v>724</v>
      </c>
      <c r="CZ22" s="143" t="s">
        <v>725</v>
      </c>
      <c r="DA22" s="143" t="s">
        <v>843</v>
      </c>
      <c r="DB22" s="143">
        <v>1539</v>
      </c>
      <c r="DC22" s="78">
        <v>66</v>
      </c>
      <c r="DD22" s="137">
        <v>0.4</v>
      </c>
      <c r="DE22" s="137">
        <v>0.2869565</v>
      </c>
      <c r="DG22" s="143" t="s">
        <v>724</v>
      </c>
      <c r="DH22" s="143" t="s">
        <v>725</v>
      </c>
      <c r="DI22" s="143" t="s">
        <v>843</v>
      </c>
      <c r="DJ22" s="143">
        <v>1539</v>
      </c>
      <c r="DK22" s="78">
        <v>2</v>
      </c>
      <c r="DL22" s="78">
        <v>1</v>
      </c>
      <c r="DM22" s="78">
        <v>1</v>
      </c>
      <c r="DN22" s="78">
        <v>7</v>
      </c>
      <c r="DO22" s="78">
        <v>2</v>
      </c>
      <c r="DP22" s="78">
        <v>3</v>
      </c>
      <c r="DQ22" s="78">
        <v>7</v>
      </c>
      <c r="DR22" s="78">
        <v>1</v>
      </c>
      <c r="DS22" s="78">
        <v>1</v>
      </c>
      <c r="DT22" s="78">
        <v>2</v>
      </c>
      <c r="DU22" s="78">
        <v>0</v>
      </c>
      <c r="DV22" s="137">
        <v>0.93103449999999999</v>
      </c>
      <c r="DX22" s="143" t="s">
        <v>724</v>
      </c>
      <c r="DY22" s="143" t="s">
        <v>725</v>
      </c>
      <c r="DZ22" s="143" t="s">
        <v>843</v>
      </c>
      <c r="EA22" s="143">
        <v>1539</v>
      </c>
      <c r="EB22" s="78">
        <v>1</v>
      </c>
      <c r="EC22" s="78">
        <v>8</v>
      </c>
      <c r="ED22" s="78">
        <v>1</v>
      </c>
      <c r="EE22" s="78">
        <v>4</v>
      </c>
      <c r="EF22" s="78">
        <v>3</v>
      </c>
      <c r="EG22" s="78">
        <v>1</v>
      </c>
      <c r="EH22" s="78">
        <v>1</v>
      </c>
      <c r="EI22" s="78">
        <v>1</v>
      </c>
      <c r="EJ22" s="78">
        <v>1</v>
      </c>
      <c r="EK22" s="78">
        <v>1</v>
      </c>
      <c r="EL22" s="78">
        <v>1</v>
      </c>
      <c r="EM22" s="78">
        <v>0</v>
      </c>
      <c r="EN22" s="78">
        <v>0</v>
      </c>
      <c r="EO22" s="78">
        <v>1</v>
      </c>
      <c r="EP22" s="78">
        <v>1</v>
      </c>
      <c r="EQ22" s="137">
        <v>0.92592589999999997</v>
      </c>
      <c r="ES22" s="143" t="s">
        <v>724</v>
      </c>
      <c r="ET22" s="143" t="s">
        <v>725</v>
      </c>
      <c r="EU22" s="143" t="s">
        <v>843</v>
      </c>
      <c r="EV22" s="143">
        <v>1539</v>
      </c>
      <c r="EW22" s="78">
        <v>0.5</v>
      </c>
      <c r="EX22" s="78">
        <v>1</v>
      </c>
      <c r="EY22" s="78">
        <v>0</v>
      </c>
      <c r="EZ22" s="78">
        <v>2</v>
      </c>
      <c r="FA22" s="78">
        <v>0.5</v>
      </c>
      <c r="FB22" s="78">
        <v>3</v>
      </c>
      <c r="FC22" s="78">
        <v>2</v>
      </c>
      <c r="FD22" s="78">
        <v>1</v>
      </c>
      <c r="FE22" s="137">
        <v>0.76923079999999999</v>
      </c>
      <c r="FG22" s="137">
        <v>0.72419820000000001</v>
      </c>
    </row>
    <row r="23" spans="1:163" x14ac:dyDescent="0.35">
      <c r="A23" s="143" t="s">
        <v>724</v>
      </c>
      <c r="B23" s="143" t="s">
        <v>725</v>
      </c>
      <c r="C23" s="143" t="s">
        <v>842</v>
      </c>
      <c r="D23" s="143">
        <v>1762</v>
      </c>
      <c r="E23" s="78">
        <v>0.5</v>
      </c>
      <c r="F23" s="78">
        <v>2</v>
      </c>
      <c r="G23" s="78">
        <v>1</v>
      </c>
      <c r="H23" s="78">
        <v>4</v>
      </c>
      <c r="I23" s="78">
        <v>1</v>
      </c>
      <c r="J23" s="78">
        <v>1</v>
      </c>
      <c r="K23" s="78">
        <v>1</v>
      </c>
      <c r="L23" s="78">
        <v>1</v>
      </c>
      <c r="M23" s="78">
        <v>2</v>
      </c>
      <c r="N23" s="137">
        <v>0.96428570000000002</v>
      </c>
      <c r="P23" s="143" t="s">
        <v>724</v>
      </c>
      <c r="Q23" s="143" t="s">
        <v>725</v>
      </c>
      <c r="R23" s="143" t="s">
        <v>842</v>
      </c>
      <c r="S23" s="143">
        <v>1762</v>
      </c>
      <c r="T23" s="78">
        <v>1</v>
      </c>
      <c r="U23" s="78">
        <v>1</v>
      </c>
      <c r="V23" s="78">
        <v>0</v>
      </c>
      <c r="W23" s="78">
        <v>0</v>
      </c>
      <c r="X23" s="78">
        <v>12</v>
      </c>
      <c r="Y23" s="78">
        <v>1</v>
      </c>
      <c r="Z23" s="78">
        <v>3</v>
      </c>
      <c r="AA23" s="78">
        <v>0</v>
      </c>
      <c r="AB23" s="78">
        <v>0</v>
      </c>
      <c r="AC23" s="78">
        <v>0</v>
      </c>
      <c r="AD23" s="137">
        <v>0.52941179999999999</v>
      </c>
      <c r="AF23" s="143" t="s">
        <v>724</v>
      </c>
      <c r="AG23" s="143" t="s">
        <v>725</v>
      </c>
      <c r="AH23" s="143" t="s">
        <v>842</v>
      </c>
      <c r="AI23" s="143">
        <v>1762</v>
      </c>
      <c r="AJ23" s="78">
        <v>1</v>
      </c>
      <c r="AK23" s="78">
        <v>1</v>
      </c>
      <c r="AL23" s="78">
        <v>1</v>
      </c>
      <c r="AM23" s="78">
        <v>5</v>
      </c>
      <c r="AN23" s="78">
        <v>1</v>
      </c>
      <c r="AO23" s="78">
        <v>0</v>
      </c>
      <c r="AP23" s="78">
        <v>2</v>
      </c>
      <c r="AQ23" s="78">
        <v>1</v>
      </c>
      <c r="AR23" s="78">
        <v>0</v>
      </c>
      <c r="AS23" s="78">
        <v>0</v>
      </c>
      <c r="AT23" s="78">
        <v>0</v>
      </c>
      <c r="AU23" s="78">
        <v>0</v>
      </c>
      <c r="AV23" s="78">
        <v>0</v>
      </c>
      <c r="AW23" s="78">
        <v>0</v>
      </c>
      <c r="AX23" s="78">
        <v>0</v>
      </c>
      <c r="AY23" s="78">
        <v>1</v>
      </c>
      <c r="AZ23" s="78">
        <v>2</v>
      </c>
      <c r="BA23" s="78">
        <v>0.5</v>
      </c>
      <c r="BB23" s="78">
        <v>0.5</v>
      </c>
      <c r="BC23" s="78">
        <v>0.5</v>
      </c>
      <c r="BD23" s="78">
        <v>1</v>
      </c>
      <c r="BE23" s="78">
        <v>0.5</v>
      </c>
      <c r="BF23" s="78">
        <v>1</v>
      </c>
      <c r="BG23" s="78">
        <v>8</v>
      </c>
      <c r="BH23" s="137">
        <v>0.61363639999999997</v>
      </c>
      <c r="BJ23" s="143" t="s">
        <v>724</v>
      </c>
      <c r="BK23" s="143" t="s">
        <v>725</v>
      </c>
      <c r="BL23" s="143" t="s">
        <v>842</v>
      </c>
      <c r="BM23" s="143">
        <v>1762</v>
      </c>
      <c r="BN23" s="78">
        <v>1</v>
      </c>
      <c r="BO23" s="78">
        <v>4</v>
      </c>
      <c r="BP23" s="78">
        <v>7</v>
      </c>
      <c r="BQ23" s="78">
        <v>0</v>
      </c>
      <c r="BR23" s="78">
        <v>3</v>
      </c>
      <c r="BS23" s="78">
        <v>3</v>
      </c>
      <c r="BT23" s="78">
        <v>0</v>
      </c>
      <c r="BU23" s="137">
        <v>0.78260870000000005</v>
      </c>
      <c r="BW23" s="143" t="s">
        <v>724</v>
      </c>
      <c r="BX23" s="143" t="s">
        <v>725</v>
      </c>
      <c r="BY23" s="143" t="s">
        <v>842</v>
      </c>
      <c r="BZ23" s="143">
        <v>1762</v>
      </c>
      <c r="CM23" s="143" t="s">
        <v>724</v>
      </c>
      <c r="CN23" s="143" t="s">
        <v>725</v>
      </c>
      <c r="CO23" s="143" t="s">
        <v>842</v>
      </c>
      <c r="CP23" s="143">
        <v>1762</v>
      </c>
      <c r="CQ23" s="78">
        <v>6</v>
      </c>
      <c r="CR23" s="78">
        <v>0</v>
      </c>
      <c r="CS23" s="78">
        <v>16</v>
      </c>
      <c r="CT23" s="78">
        <v>4</v>
      </c>
      <c r="CU23" s="78">
        <v>0</v>
      </c>
      <c r="CV23" s="78">
        <v>8</v>
      </c>
      <c r="CW23" s="137">
        <v>0.65384609999999999</v>
      </c>
      <c r="CY23" s="143" t="s">
        <v>724</v>
      </c>
      <c r="CZ23" s="143" t="s">
        <v>725</v>
      </c>
      <c r="DA23" s="143" t="s">
        <v>842</v>
      </c>
      <c r="DB23" s="143">
        <v>1762</v>
      </c>
      <c r="DC23" s="78">
        <v>50</v>
      </c>
      <c r="DD23" s="137">
        <v>0.4</v>
      </c>
      <c r="DE23" s="137">
        <v>0.21739130000000001</v>
      </c>
      <c r="DG23" s="143" t="s">
        <v>724</v>
      </c>
      <c r="DH23" s="143" t="s">
        <v>725</v>
      </c>
      <c r="DI23" s="143" t="s">
        <v>842</v>
      </c>
      <c r="DJ23" s="143">
        <v>1762</v>
      </c>
      <c r="DK23" s="78">
        <v>2</v>
      </c>
      <c r="DL23" s="78">
        <v>1</v>
      </c>
      <c r="DM23" s="78">
        <v>1</v>
      </c>
      <c r="DN23" s="78">
        <v>7</v>
      </c>
      <c r="DO23" s="78">
        <v>2</v>
      </c>
      <c r="DP23" s="78">
        <v>3</v>
      </c>
      <c r="DQ23" s="78">
        <v>7</v>
      </c>
      <c r="DR23" s="78">
        <v>1</v>
      </c>
      <c r="DS23" s="78">
        <v>1</v>
      </c>
      <c r="DT23" s="78">
        <v>0</v>
      </c>
      <c r="DU23" s="78">
        <v>0</v>
      </c>
      <c r="DV23" s="137">
        <v>0.86206899999999997</v>
      </c>
      <c r="DX23" s="143" t="s">
        <v>724</v>
      </c>
      <c r="DY23" s="143" t="s">
        <v>725</v>
      </c>
      <c r="DZ23" s="143" t="s">
        <v>842</v>
      </c>
      <c r="EA23" s="143">
        <v>1762</v>
      </c>
      <c r="EB23" s="78">
        <v>1</v>
      </c>
      <c r="EC23" s="78">
        <v>8</v>
      </c>
      <c r="ED23" s="78">
        <v>1</v>
      </c>
      <c r="EE23" s="78">
        <v>4</v>
      </c>
      <c r="EF23" s="78">
        <v>3</v>
      </c>
      <c r="EG23" s="78">
        <v>1</v>
      </c>
      <c r="EH23" s="78">
        <v>0</v>
      </c>
      <c r="EI23" s="78">
        <v>1</v>
      </c>
      <c r="EJ23" s="78">
        <v>1</v>
      </c>
      <c r="EK23" s="78">
        <v>0</v>
      </c>
      <c r="EL23" s="78">
        <v>1</v>
      </c>
      <c r="EM23" s="78">
        <v>1</v>
      </c>
      <c r="EN23" s="78">
        <v>1</v>
      </c>
      <c r="EO23" s="78">
        <v>1</v>
      </c>
      <c r="EP23" s="78">
        <v>1</v>
      </c>
      <c r="EQ23" s="137">
        <v>0.92592589999999997</v>
      </c>
      <c r="ES23" s="143" t="s">
        <v>724</v>
      </c>
      <c r="ET23" s="143" t="s">
        <v>725</v>
      </c>
      <c r="EU23" s="143" t="s">
        <v>842</v>
      </c>
      <c r="EV23" s="143">
        <v>1762</v>
      </c>
      <c r="EW23" s="78">
        <v>0.5</v>
      </c>
      <c r="EX23" s="78">
        <v>1</v>
      </c>
      <c r="EY23" s="78">
        <v>0</v>
      </c>
      <c r="EZ23" s="78">
        <v>0</v>
      </c>
      <c r="FA23" s="78">
        <v>0.5</v>
      </c>
      <c r="FB23" s="78">
        <v>3</v>
      </c>
      <c r="FC23" s="78">
        <v>2</v>
      </c>
      <c r="FD23" s="78">
        <v>1</v>
      </c>
      <c r="FE23" s="137">
        <v>0.61538459999999995</v>
      </c>
      <c r="FG23" s="137">
        <v>0.57469510000000001</v>
      </c>
    </row>
    <row r="24" spans="1:163" x14ac:dyDescent="0.35">
      <c r="A24" s="143" t="s">
        <v>724</v>
      </c>
      <c r="B24" s="143" t="s">
        <v>725</v>
      </c>
      <c r="C24" s="143" t="s">
        <v>842</v>
      </c>
      <c r="D24" s="143">
        <v>1830</v>
      </c>
      <c r="E24" s="78">
        <v>0.5</v>
      </c>
      <c r="F24" s="78">
        <v>2.5</v>
      </c>
      <c r="G24" s="78">
        <v>1</v>
      </c>
      <c r="H24" s="78">
        <v>4</v>
      </c>
      <c r="I24" s="78">
        <v>1</v>
      </c>
      <c r="J24" s="78">
        <v>0</v>
      </c>
      <c r="K24" s="78">
        <v>1</v>
      </c>
      <c r="L24" s="78">
        <v>1</v>
      </c>
      <c r="M24" s="78">
        <v>2</v>
      </c>
      <c r="N24" s="137">
        <v>0.92857140000000005</v>
      </c>
      <c r="P24" s="143" t="s">
        <v>724</v>
      </c>
      <c r="Q24" s="143" t="s">
        <v>725</v>
      </c>
      <c r="R24" s="143" t="s">
        <v>842</v>
      </c>
      <c r="S24" s="143">
        <v>1830</v>
      </c>
      <c r="T24" s="78">
        <v>0</v>
      </c>
      <c r="U24" s="78">
        <v>0</v>
      </c>
      <c r="V24" s="78">
        <v>0</v>
      </c>
      <c r="W24" s="78">
        <v>0</v>
      </c>
      <c r="X24" s="78">
        <v>12</v>
      </c>
      <c r="Y24" s="78">
        <v>1</v>
      </c>
      <c r="Z24" s="78">
        <v>3</v>
      </c>
      <c r="AA24" s="78">
        <v>0</v>
      </c>
      <c r="AB24" s="78">
        <v>0</v>
      </c>
      <c r="AC24" s="78">
        <v>3</v>
      </c>
      <c r="AD24" s="137">
        <v>0.55882350000000003</v>
      </c>
      <c r="AF24" s="143" t="s">
        <v>724</v>
      </c>
      <c r="AG24" s="143" t="s">
        <v>725</v>
      </c>
      <c r="AH24" s="143" t="s">
        <v>842</v>
      </c>
      <c r="AI24" s="143">
        <v>1830</v>
      </c>
      <c r="AJ24" s="78">
        <v>1</v>
      </c>
      <c r="AK24" s="78">
        <v>1</v>
      </c>
      <c r="AL24" s="78">
        <v>1</v>
      </c>
      <c r="AM24" s="78">
        <v>5</v>
      </c>
      <c r="AN24" s="78">
        <v>1</v>
      </c>
      <c r="AO24" s="78">
        <v>2</v>
      </c>
      <c r="AP24" s="78">
        <v>2</v>
      </c>
      <c r="AQ24" s="78">
        <v>1</v>
      </c>
      <c r="AR24" s="78">
        <v>2</v>
      </c>
      <c r="AS24" s="78">
        <v>2</v>
      </c>
      <c r="AT24" s="78">
        <v>2</v>
      </c>
      <c r="AU24" s="78">
        <v>1</v>
      </c>
      <c r="AV24" s="78">
        <v>2</v>
      </c>
      <c r="AW24" s="78">
        <v>1</v>
      </c>
      <c r="AX24" s="78">
        <v>0</v>
      </c>
      <c r="AY24" s="78">
        <v>1</v>
      </c>
      <c r="AZ24" s="78">
        <v>2</v>
      </c>
      <c r="BA24" s="78">
        <v>0.5</v>
      </c>
      <c r="BB24" s="78">
        <v>0.5</v>
      </c>
      <c r="BC24" s="78">
        <v>0.5</v>
      </c>
      <c r="BD24" s="78">
        <v>1</v>
      </c>
      <c r="BE24" s="78">
        <v>0.5</v>
      </c>
      <c r="BF24" s="78">
        <v>1</v>
      </c>
      <c r="BG24" s="78">
        <v>8</v>
      </c>
      <c r="BH24" s="137">
        <v>0.88636360000000003</v>
      </c>
      <c r="BJ24" s="143" t="s">
        <v>724</v>
      </c>
      <c r="BK24" s="143" t="s">
        <v>725</v>
      </c>
      <c r="BL24" s="143" t="s">
        <v>842</v>
      </c>
      <c r="BM24" s="143">
        <v>1830</v>
      </c>
      <c r="BN24" s="78">
        <v>1</v>
      </c>
      <c r="BO24" s="78">
        <v>4</v>
      </c>
      <c r="BP24" s="78">
        <v>7</v>
      </c>
      <c r="BQ24" s="78">
        <v>3</v>
      </c>
      <c r="BR24" s="78">
        <v>0</v>
      </c>
      <c r="BS24" s="78">
        <v>3</v>
      </c>
      <c r="BT24" s="78">
        <v>2</v>
      </c>
      <c r="BU24" s="137">
        <v>0.86956520000000004</v>
      </c>
      <c r="BW24" s="143" t="s">
        <v>724</v>
      </c>
      <c r="BX24" s="143" t="s">
        <v>725</v>
      </c>
      <c r="BY24" s="143" t="s">
        <v>842</v>
      </c>
      <c r="BZ24" s="143">
        <v>1830</v>
      </c>
      <c r="CM24" s="143" t="s">
        <v>724</v>
      </c>
      <c r="CN24" s="143" t="s">
        <v>725</v>
      </c>
      <c r="CO24" s="143" t="s">
        <v>842</v>
      </c>
      <c r="CP24" s="143">
        <v>1830</v>
      </c>
      <c r="CQ24" s="78">
        <v>0</v>
      </c>
      <c r="CR24" s="78">
        <v>0</v>
      </c>
      <c r="CS24" s="78">
        <v>24</v>
      </c>
      <c r="CT24" s="78">
        <v>4</v>
      </c>
      <c r="CU24" s="78">
        <v>2</v>
      </c>
      <c r="CV24" s="78">
        <v>8</v>
      </c>
      <c r="CW24" s="137">
        <v>0.73076920000000001</v>
      </c>
      <c r="CY24" s="143" t="s">
        <v>724</v>
      </c>
      <c r="CZ24" s="143" t="s">
        <v>725</v>
      </c>
      <c r="DA24" s="143" t="s">
        <v>842</v>
      </c>
      <c r="DB24" s="143">
        <v>1830</v>
      </c>
      <c r="DC24" s="78">
        <v>56</v>
      </c>
      <c r="DD24" s="137">
        <v>0</v>
      </c>
      <c r="DE24" s="137">
        <v>0</v>
      </c>
      <c r="DG24" s="143" t="s">
        <v>724</v>
      </c>
      <c r="DH24" s="143" t="s">
        <v>725</v>
      </c>
      <c r="DI24" s="143" t="s">
        <v>842</v>
      </c>
      <c r="DJ24" s="143">
        <v>1830</v>
      </c>
      <c r="DK24" s="78">
        <v>2</v>
      </c>
      <c r="DL24" s="78">
        <v>1</v>
      </c>
      <c r="DM24" s="78">
        <v>0</v>
      </c>
      <c r="DN24" s="78">
        <v>5</v>
      </c>
      <c r="DO24" s="78">
        <v>2</v>
      </c>
      <c r="DP24" s="78">
        <v>3</v>
      </c>
      <c r="DQ24" s="78">
        <v>8</v>
      </c>
      <c r="DR24" s="78">
        <v>1</v>
      </c>
      <c r="DS24" s="78">
        <v>1</v>
      </c>
      <c r="DT24" s="78">
        <v>0</v>
      </c>
      <c r="DU24" s="78">
        <v>0</v>
      </c>
      <c r="DV24" s="137">
        <v>0.79310349999999996</v>
      </c>
      <c r="DX24" s="143" t="s">
        <v>724</v>
      </c>
      <c r="DY24" s="143" t="s">
        <v>725</v>
      </c>
      <c r="DZ24" s="143" t="s">
        <v>842</v>
      </c>
      <c r="EA24" s="143">
        <v>1830</v>
      </c>
      <c r="EB24" s="78">
        <v>1</v>
      </c>
      <c r="EC24" s="78">
        <v>8</v>
      </c>
      <c r="ED24" s="78">
        <v>1</v>
      </c>
      <c r="EE24" s="78">
        <v>4</v>
      </c>
      <c r="EF24" s="78">
        <v>3</v>
      </c>
      <c r="EG24" s="78">
        <v>1</v>
      </c>
      <c r="EH24" s="78">
        <v>1</v>
      </c>
      <c r="EI24" s="78">
        <v>1</v>
      </c>
      <c r="EJ24" s="78">
        <v>1</v>
      </c>
      <c r="EK24" s="78">
        <v>1</v>
      </c>
      <c r="EL24" s="78">
        <v>1</v>
      </c>
      <c r="EM24" s="78">
        <v>1</v>
      </c>
      <c r="EN24" s="78">
        <v>1</v>
      </c>
      <c r="EO24" s="78">
        <v>1</v>
      </c>
      <c r="EP24" s="78">
        <v>1</v>
      </c>
      <c r="EQ24" s="137">
        <v>1</v>
      </c>
      <c r="ES24" s="143" t="s">
        <v>724</v>
      </c>
      <c r="ET24" s="143" t="s">
        <v>725</v>
      </c>
      <c r="EU24" s="143" t="s">
        <v>842</v>
      </c>
      <c r="EV24" s="143">
        <v>1830</v>
      </c>
      <c r="EW24" s="78">
        <v>0</v>
      </c>
      <c r="EX24" s="78">
        <v>0</v>
      </c>
      <c r="EY24" s="78">
        <v>3</v>
      </c>
      <c r="EZ24" s="78">
        <v>2</v>
      </c>
      <c r="FA24" s="78">
        <v>0.5</v>
      </c>
      <c r="FB24" s="78">
        <v>3</v>
      </c>
      <c r="FC24" s="78">
        <v>2</v>
      </c>
      <c r="FD24" s="78">
        <v>1</v>
      </c>
      <c r="FE24" s="137">
        <v>0.88461540000000005</v>
      </c>
      <c r="FG24" s="137">
        <v>0.58079270000000005</v>
      </c>
    </row>
    <row r="25" spans="1:163" x14ac:dyDescent="0.35">
      <c r="A25" s="143" t="s">
        <v>724</v>
      </c>
      <c r="B25" s="143" t="s">
        <v>725</v>
      </c>
      <c r="C25" s="143" t="s">
        <v>842</v>
      </c>
      <c r="D25" s="143">
        <v>2377</v>
      </c>
      <c r="E25" s="78">
        <v>0.5</v>
      </c>
      <c r="F25" s="78">
        <v>2.5</v>
      </c>
      <c r="G25" s="78">
        <v>1</v>
      </c>
      <c r="H25" s="78">
        <v>4</v>
      </c>
      <c r="I25" s="78">
        <v>1</v>
      </c>
      <c r="J25" s="78">
        <v>1</v>
      </c>
      <c r="K25" s="78">
        <v>1</v>
      </c>
      <c r="L25" s="78">
        <v>1</v>
      </c>
      <c r="M25" s="78">
        <v>2</v>
      </c>
      <c r="N25" s="137">
        <v>1</v>
      </c>
      <c r="P25" s="143" t="s">
        <v>724</v>
      </c>
      <c r="Q25" s="143" t="s">
        <v>725</v>
      </c>
      <c r="R25" s="143" t="s">
        <v>842</v>
      </c>
      <c r="S25" s="143">
        <v>2377</v>
      </c>
      <c r="T25" s="78">
        <v>0</v>
      </c>
      <c r="U25" s="78">
        <v>0</v>
      </c>
      <c r="V25" s="78">
        <v>0</v>
      </c>
      <c r="W25" s="78">
        <v>0</v>
      </c>
      <c r="X25" s="78">
        <v>0</v>
      </c>
      <c r="Y25" s="78">
        <v>0</v>
      </c>
      <c r="Z25" s="78">
        <v>3</v>
      </c>
      <c r="AA25" s="78">
        <v>0</v>
      </c>
      <c r="AB25" s="78">
        <v>0</v>
      </c>
      <c r="AC25" s="78">
        <v>3</v>
      </c>
      <c r="AD25" s="137">
        <v>0.17647060000000001</v>
      </c>
      <c r="AF25" s="143" t="s">
        <v>724</v>
      </c>
      <c r="AG25" s="143" t="s">
        <v>725</v>
      </c>
      <c r="AH25" s="143" t="s">
        <v>842</v>
      </c>
      <c r="AI25" s="143">
        <v>2377</v>
      </c>
      <c r="AJ25" s="78">
        <v>0</v>
      </c>
      <c r="AK25" s="78">
        <v>1</v>
      </c>
      <c r="AL25" s="78">
        <v>1</v>
      </c>
      <c r="AM25" s="78">
        <v>5</v>
      </c>
      <c r="AN25" s="78">
        <v>0</v>
      </c>
      <c r="AO25" s="78">
        <v>0</v>
      </c>
      <c r="AP25" s="78">
        <v>2</v>
      </c>
      <c r="AQ25" s="78">
        <v>1</v>
      </c>
      <c r="AR25" s="78">
        <v>2</v>
      </c>
      <c r="AS25" s="78">
        <v>2</v>
      </c>
      <c r="AT25" s="78">
        <v>0</v>
      </c>
      <c r="AU25" s="78">
        <v>1</v>
      </c>
      <c r="AV25" s="78">
        <v>2</v>
      </c>
      <c r="AW25" s="78">
        <v>1</v>
      </c>
      <c r="AX25" s="78">
        <v>0</v>
      </c>
      <c r="AY25" s="78">
        <v>1</v>
      </c>
      <c r="AZ25" s="78">
        <v>2</v>
      </c>
      <c r="BA25" s="78">
        <v>0.5</v>
      </c>
      <c r="BB25" s="78">
        <v>0.5</v>
      </c>
      <c r="BC25" s="78">
        <v>0.5</v>
      </c>
      <c r="BD25" s="78">
        <v>1</v>
      </c>
      <c r="BE25" s="78">
        <v>0.5</v>
      </c>
      <c r="BF25" s="78">
        <v>1</v>
      </c>
      <c r="BG25" s="78">
        <v>6</v>
      </c>
      <c r="BH25" s="137">
        <v>0.70454539999999999</v>
      </c>
      <c r="BJ25" s="143" t="s">
        <v>724</v>
      </c>
      <c r="BK25" s="143" t="s">
        <v>725</v>
      </c>
      <c r="BL25" s="143" t="s">
        <v>842</v>
      </c>
      <c r="BM25" s="143">
        <v>2377</v>
      </c>
      <c r="BN25" s="78">
        <v>1</v>
      </c>
      <c r="BO25" s="78">
        <v>4</v>
      </c>
      <c r="BP25" s="78">
        <v>7</v>
      </c>
      <c r="BQ25" s="78">
        <v>3</v>
      </c>
      <c r="BR25" s="78">
        <v>3</v>
      </c>
      <c r="BS25" s="78">
        <v>0</v>
      </c>
      <c r="BT25" s="78">
        <v>2</v>
      </c>
      <c r="BU25" s="137">
        <v>0.86956520000000004</v>
      </c>
      <c r="BW25" s="143" t="s">
        <v>724</v>
      </c>
      <c r="BX25" s="143" t="s">
        <v>725</v>
      </c>
      <c r="BY25" s="143" t="s">
        <v>842</v>
      </c>
      <c r="BZ25" s="143">
        <v>2377</v>
      </c>
      <c r="CM25" s="143" t="s">
        <v>724</v>
      </c>
      <c r="CN25" s="143" t="s">
        <v>725</v>
      </c>
      <c r="CO25" s="143" t="s">
        <v>842</v>
      </c>
      <c r="CP25" s="143">
        <v>2377</v>
      </c>
      <c r="CQ25" s="78">
        <v>0</v>
      </c>
      <c r="CR25" s="78">
        <v>0</v>
      </c>
      <c r="CS25" s="78">
        <v>24</v>
      </c>
      <c r="CT25" s="78">
        <v>0</v>
      </c>
      <c r="CU25" s="78">
        <v>2</v>
      </c>
      <c r="CV25" s="78">
        <v>8</v>
      </c>
      <c r="CW25" s="137">
        <v>0.65384609999999999</v>
      </c>
      <c r="CY25" s="143" t="s">
        <v>724</v>
      </c>
      <c r="CZ25" s="143" t="s">
        <v>725</v>
      </c>
      <c r="DA25" s="143" t="s">
        <v>842</v>
      </c>
      <c r="DB25" s="143">
        <v>2377</v>
      </c>
      <c r="DC25" s="78">
        <v>0</v>
      </c>
      <c r="DD25" s="137">
        <v>0</v>
      </c>
      <c r="DE25" s="137">
        <v>0</v>
      </c>
      <c r="DG25" s="143" t="s">
        <v>724</v>
      </c>
      <c r="DH25" s="143" t="s">
        <v>725</v>
      </c>
      <c r="DI25" s="143" t="s">
        <v>842</v>
      </c>
      <c r="DJ25" s="143">
        <v>2377</v>
      </c>
      <c r="DK25" s="78">
        <v>2</v>
      </c>
      <c r="DL25" s="78">
        <v>0</v>
      </c>
      <c r="DM25" s="78">
        <v>1</v>
      </c>
      <c r="DN25" s="78">
        <v>5</v>
      </c>
      <c r="DO25" s="78">
        <v>2</v>
      </c>
      <c r="DP25" s="78">
        <v>3</v>
      </c>
      <c r="DQ25" s="78">
        <v>8</v>
      </c>
      <c r="DR25" s="78">
        <v>1</v>
      </c>
      <c r="DS25" s="78">
        <v>1</v>
      </c>
      <c r="DT25" s="78">
        <v>0</v>
      </c>
      <c r="DU25" s="78">
        <v>0</v>
      </c>
      <c r="DV25" s="137">
        <v>0.79310349999999996</v>
      </c>
      <c r="DX25" s="143" t="s">
        <v>724</v>
      </c>
      <c r="DY25" s="143" t="s">
        <v>725</v>
      </c>
      <c r="DZ25" s="143" t="s">
        <v>842</v>
      </c>
      <c r="EA25" s="143">
        <v>2377</v>
      </c>
      <c r="EB25" s="78">
        <v>1</v>
      </c>
      <c r="EC25" s="78">
        <v>8</v>
      </c>
      <c r="ED25" s="78">
        <v>1</v>
      </c>
      <c r="EE25" s="78">
        <v>4</v>
      </c>
      <c r="EF25" s="78">
        <v>3</v>
      </c>
      <c r="EG25" s="78">
        <v>1</v>
      </c>
      <c r="EH25" s="78">
        <v>1</v>
      </c>
      <c r="EI25" s="78">
        <v>1</v>
      </c>
      <c r="EJ25" s="78">
        <v>1</v>
      </c>
      <c r="EK25" s="78">
        <v>1</v>
      </c>
      <c r="EL25" s="78">
        <v>1</v>
      </c>
      <c r="EM25" s="78">
        <v>0</v>
      </c>
      <c r="EN25" s="78">
        <v>1</v>
      </c>
      <c r="EO25" s="78">
        <v>1</v>
      </c>
      <c r="EP25" s="78">
        <v>1</v>
      </c>
      <c r="EQ25" s="137">
        <v>0.96296300000000001</v>
      </c>
      <c r="ES25" s="143" t="s">
        <v>724</v>
      </c>
      <c r="ET25" s="143" t="s">
        <v>725</v>
      </c>
      <c r="EU25" s="143" t="s">
        <v>842</v>
      </c>
      <c r="EV25" s="143">
        <v>2377</v>
      </c>
      <c r="EW25" s="78">
        <v>0.5</v>
      </c>
      <c r="EX25" s="78">
        <v>0</v>
      </c>
      <c r="EY25" s="78">
        <v>3</v>
      </c>
      <c r="EZ25" s="78">
        <v>2</v>
      </c>
      <c r="FA25" s="78">
        <v>0.5</v>
      </c>
      <c r="FB25" s="78">
        <v>3</v>
      </c>
      <c r="FC25" s="78">
        <v>2</v>
      </c>
      <c r="FD25" s="78">
        <v>1</v>
      </c>
      <c r="FE25" s="137">
        <v>0.92307689999999998</v>
      </c>
      <c r="FG25" s="137">
        <v>0.50609760000000004</v>
      </c>
    </row>
    <row r="26" spans="1:163" x14ac:dyDescent="0.35">
      <c r="A26" s="143" t="s">
        <v>724</v>
      </c>
      <c r="B26" s="143" t="s">
        <v>725</v>
      </c>
      <c r="C26" s="143" t="s">
        <v>842</v>
      </c>
      <c r="D26" s="143">
        <v>2379</v>
      </c>
      <c r="E26" s="78">
        <v>0</v>
      </c>
      <c r="F26" s="78">
        <v>2</v>
      </c>
      <c r="G26" s="78">
        <v>0</v>
      </c>
      <c r="H26" s="78">
        <v>3</v>
      </c>
      <c r="I26" s="78">
        <v>1</v>
      </c>
      <c r="J26" s="78">
        <v>0</v>
      </c>
      <c r="K26" s="78">
        <v>1</v>
      </c>
      <c r="L26" s="78">
        <v>1</v>
      </c>
      <c r="M26" s="78">
        <v>0</v>
      </c>
      <c r="N26" s="137">
        <v>0.57142859999999995</v>
      </c>
      <c r="P26" s="143" t="s">
        <v>724</v>
      </c>
      <c r="Q26" s="143" t="s">
        <v>725</v>
      </c>
      <c r="R26" s="143" t="s">
        <v>842</v>
      </c>
      <c r="S26" s="143">
        <v>2379</v>
      </c>
      <c r="T26" s="78">
        <v>1</v>
      </c>
      <c r="U26" s="78">
        <v>1</v>
      </c>
      <c r="V26" s="78">
        <v>0</v>
      </c>
      <c r="W26" s="78">
        <v>0</v>
      </c>
      <c r="X26" s="78">
        <v>12</v>
      </c>
      <c r="Y26" s="78">
        <v>1</v>
      </c>
      <c r="Z26" s="78">
        <v>0</v>
      </c>
      <c r="AA26" s="78">
        <v>0</v>
      </c>
      <c r="AB26" s="78">
        <v>0</v>
      </c>
      <c r="AC26" s="78">
        <v>3</v>
      </c>
      <c r="AD26" s="137">
        <v>0.52941179999999999</v>
      </c>
      <c r="AF26" s="143" t="s">
        <v>724</v>
      </c>
      <c r="AG26" s="143" t="s">
        <v>725</v>
      </c>
      <c r="AH26" s="143" t="s">
        <v>842</v>
      </c>
      <c r="AI26" s="143">
        <v>2379</v>
      </c>
      <c r="AJ26" s="78">
        <v>0</v>
      </c>
      <c r="AK26" s="78">
        <v>0</v>
      </c>
      <c r="AL26" s="78">
        <v>0</v>
      </c>
      <c r="AM26" s="78">
        <v>5</v>
      </c>
      <c r="AN26" s="78">
        <v>0</v>
      </c>
      <c r="AO26" s="78">
        <v>2</v>
      </c>
      <c r="AP26" s="78">
        <v>2</v>
      </c>
      <c r="AQ26" s="78">
        <v>1</v>
      </c>
      <c r="AR26" s="78">
        <v>2</v>
      </c>
      <c r="AS26" s="78">
        <v>0</v>
      </c>
      <c r="AT26" s="78">
        <v>0</v>
      </c>
      <c r="AU26" s="78">
        <v>0</v>
      </c>
      <c r="AV26" s="78">
        <v>0</v>
      </c>
      <c r="AW26" s="78">
        <v>1</v>
      </c>
      <c r="AX26" s="78">
        <v>0</v>
      </c>
      <c r="AY26" s="78">
        <v>1</v>
      </c>
      <c r="AZ26" s="78">
        <v>0</v>
      </c>
      <c r="BA26" s="78">
        <v>0.5</v>
      </c>
      <c r="BB26" s="78">
        <v>0.5</v>
      </c>
      <c r="BC26" s="78">
        <v>0.5</v>
      </c>
      <c r="BD26" s="78">
        <v>1</v>
      </c>
      <c r="BE26" s="78">
        <v>0.5</v>
      </c>
      <c r="BF26" s="78">
        <v>0</v>
      </c>
      <c r="BG26" s="78">
        <v>8</v>
      </c>
      <c r="BH26" s="137">
        <v>0.56818179999999996</v>
      </c>
      <c r="BJ26" s="143" t="s">
        <v>724</v>
      </c>
      <c r="BK26" s="143" t="s">
        <v>725</v>
      </c>
      <c r="BL26" s="143" t="s">
        <v>842</v>
      </c>
      <c r="BM26" s="143">
        <v>2379</v>
      </c>
      <c r="BN26" s="78">
        <v>1</v>
      </c>
      <c r="BO26" s="78">
        <v>4</v>
      </c>
      <c r="BP26" s="78">
        <v>7</v>
      </c>
      <c r="BQ26" s="78">
        <v>3</v>
      </c>
      <c r="BR26" s="78">
        <v>3</v>
      </c>
      <c r="BS26" s="78">
        <v>3</v>
      </c>
      <c r="BT26" s="78">
        <v>2</v>
      </c>
      <c r="BU26" s="137">
        <v>1</v>
      </c>
      <c r="BW26" s="143" t="s">
        <v>724</v>
      </c>
      <c r="BX26" s="143" t="s">
        <v>725</v>
      </c>
      <c r="BY26" s="143" t="s">
        <v>842</v>
      </c>
      <c r="BZ26" s="143">
        <v>2379</v>
      </c>
      <c r="CM26" s="143" t="s">
        <v>724</v>
      </c>
      <c r="CN26" s="143" t="s">
        <v>725</v>
      </c>
      <c r="CO26" s="143" t="s">
        <v>842</v>
      </c>
      <c r="CP26" s="143">
        <v>2379</v>
      </c>
      <c r="CQ26" s="78">
        <v>0</v>
      </c>
      <c r="CR26" s="78">
        <v>0</v>
      </c>
      <c r="CS26" s="78">
        <v>8</v>
      </c>
      <c r="CT26" s="78">
        <v>0</v>
      </c>
      <c r="CU26" s="78">
        <v>0</v>
      </c>
      <c r="CV26" s="78">
        <v>8</v>
      </c>
      <c r="CW26" s="137">
        <v>0.30769229999999997</v>
      </c>
      <c r="CY26" s="143" t="s">
        <v>724</v>
      </c>
      <c r="CZ26" s="143" t="s">
        <v>725</v>
      </c>
      <c r="DA26" s="143" t="s">
        <v>842</v>
      </c>
      <c r="DB26" s="143">
        <v>2379</v>
      </c>
      <c r="DC26" s="78">
        <v>8</v>
      </c>
      <c r="DD26" s="137">
        <v>0</v>
      </c>
      <c r="DE26" s="137">
        <v>0</v>
      </c>
      <c r="DG26" s="143" t="s">
        <v>724</v>
      </c>
      <c r="DH26" s="143" t="s">
        <v>725</v>
      </c>
      <c r="DI26" s="143" t="s">
        <v>842</v>
      </c>
      <c r="DJ26" s="143">
        <v>2379</v>
      </c>
      <c r="DK26" s="78">
        <v>2</v>
      </c>
      <c r="DL26" s="78">
        <v>1</v>
      </c>
      <c r="DM26" s="78">
        <v>1</v>
      </c>
      <c r="DN26" s="78">
        <v>7</v>
      </c>
      <c r="DO26" s="78">
        <v>2</v>
      </c>
      <c r="DP26" s="78">
        <v>3</v>
      </c>
      <c r="DQ26" s="78">
        <v>8</v>
      </c>
      <c r="DR26" s="78">
        <v>1</v>
      </c>
      <c r="DS26" s="78">
        <v>1</v>
      </c>
      <c r="DT26" s="78">
        <v>0</v>
      </c>
      <c r="DU26" s="78">
        <v>0</v>
      </c>
      <c r="DV26" s="137">
        <v>0.89655169999999995</v>
      </c>
      <c r="DX26" s="143" t="s">
        <v>724</v>
      </c>
      <c r="DY26" s="143" t="s">
        <v>725</v>
      </c>
      <c r="DZ26" s="143" t="s">
        <v>842</v>
      </c>
      <c r="EA26" s="143">
        <v>2379</v>
      </c>
      <c r="EB26" s="78">
        <v>1</v>
      </c>
      <c r="EC26" s="78">
        <v>8</v>
      </c>
      <c r="ED26" s="78">
        <v>1</v>
      </c>
      <c r="EE26" s="78">
        <v>4</v>
      </c>
      <c r="EF26" s="78">
        <v>3</v>
      </c>
      <c r="EG26" s="78">
        <v>1</v>
      </c>
      <c r="EH26" s="78">
        <v>1</v>
      </c>
      <c r="EI26" s="78">
        <v>1</v>
      </c>
      <c r="EJ26" s="78">
        <v>1</v>
      </c>
      <c r="EK26" s="78">
        <v>1</v>
      </c>
      <c r="EL26" s="78">
        <v>1</v>
      </c>
      <c r="EM26" s="78">
        <v>1</v>
      </c>
      <c r="EN26" s="78">
        <v>1</v>
      </c>
      <c r="EO26" s="78">
        <v>1</v>
      </c>
      <c r="EP26" s="78">
        <v>1</v>
      </c>
      <c r="EQ26" s="137">
        <v>1</v>
      </c>
      <c r="ES26" s="143" t="s">
        <v>724</v>
      </c>
      <c r="ET26" s="143" t="s">
        <v>725</v>
      </c>
      <c r="EU26" s="143" t="s">
        <v>842</v>
      </c>
      <c r="EV26" s="143">
        <v>2379</v>
      </c>
      <c r="EW26" s="78">
        <v>0</v>
      </c>
      <c r="EX26" s="78">
        <v>1</v>
      </c>
      <c r="EY26" s="78">
        <v>0</v>
      </c>
      <c r="EZ26" s="78">
        <v>0</v>
      </c>
      <c r="FA26" s="78">
        <v>0.5</v>
      </c>
      <c r="FB26" s="78">
        <v>3</v>
      </c>
      <c r="FC26" s="78">
        <v>2</v>
      </c>
      <c r="FD26" s="78">
        <v>1</v>
      </c>
      <c r="FE26" s="137">
        <v>0.57692310000000002</v>
      </c>
      <c r="FG26" s="137">
        <v>0.45884150000000001</v>
      </c>
    </row>
    <row r="27" spans="1:163" x14ac:dyDescent="0.35">
      <c r="A27" s="143" t="s">
        <v>724</v>
      </c>
      <c r="B27" s="143" t="s">
        <v>725</v>
      </c>
      <c r="C27" s="143" t="s">
        <v>842</v>
      </c>
      <c r="D27" s="143">
        <v>2663</v>
      </c>
      <c r="E27" s="78">
        <v>0.5</v>
      </c>
      <c r="F27" s="78">
        <v>2</v>
      </c>
      <c r="G27" s="78">
        <v>1</v>
      </c>
      <c r="H27" s="78">
        <v>4</v>
      </c>
      <c r="I27" s="78">
        <v>1</v>
      </c>
      <c r="J27" s="78">
        <v>1</v>
      </c>
      <c r="K27" s="78">
        <v>1</v>
      </c>
      <c r="L27" s="78">
        <v>1</v>
      </c>
      <c r="M27" s="78">
        <v>2</v>
      </c>
      <c r="N27" s="137">
        <v>0.96428570000000002</v>
      </c>
      <c r="P27" s="143" t="s">
        <v>724</v>
      </c>
      <c r="Q27" s="143" t="s">
        <v>725</v>
      </c>
      <c r="R27" s="143" t="s">
        <v>842</v>
      </c>
      <c r="S27" s="143">
        <v>2663</v>
      </c>
      <c r="T27" s="78">
        <v>1</v>
      </c>
      <c r="U27" s="78">
        <v>1</v>
      </c>
      <c r="V27" s="78">
        <v>2</v>
      </c>
      <c r="W27" s="78">
        <v>2</v>
      </c>
      <c r="X27" s="78">
        <v>12</v>
      </c>
      <c r="Y27" s="78">
        <v>1</v>
      </c>
      <c r="Z27" s="78">
        <v>3</v>
      </c>
      <c r="AA27" s="78">
        <v>2</v>
      </c>
      <c r="AB27" s="78">
        <v>6</v>
      </c>
      <c r="AC27" s="78">
        <v>3</v>
      </c>
      <c r="AD27" s="137">
        <v>0.97058820000000001</v>
      </c>
      <c r="AF27" s="143" t="s">
        <v>724</v>
      </c>
      <c r="AG27" s="143" t="s">
        <v>725</v>
      </c>
      <c r="AH27" s="143" t="s">
        <v>842</v>
      </c>
      <c r="AI27" s="143">
        <v>2663</v>
      </c>
      <c r="AJ27" s="78">
        <v>1</v>
      </c>
      <c r="AK27" s="78">
        <v>1</v>
      </c>
      <c r="AL27" s="78">
        <v>1</v>
      </c>
      <c r="AM27" s="78">
        <v>5</v>
      </c>
      <c r="AN27" s="78">
        <v>1</v>
      </c>
      <c r="AO27" s="78">
        <v>2</v>
      </c>
      <c r="AP27" s="78">
        <v>2</v>
      </c>
      <c r="AQ27" s="78">
        <v>1</v>
      </c>
      <c r="AR27" s="78">
        <v>2</v>
      </c>
      <c r="AS27" s="78">
        <v>2</v>
      </c>
      <c r="AT27" s="78">
        <v>2</v>
      </c>
      <c r="AU27" s="78">
        <v>1</v>
      </c>
      <c r="AV27" s="78">
        <v>2</v>
      </c>
      <c r="AW27" s="78">
        <v>1</v>
      </c>
      <c r="AX27" s="78">
        <v>4</v>
      </c>
      <c r="AY27" s="78">
        <v>1</v>
      </c>
      <c r="AZ27" s="78">
        <v>2</v>
      </c>
      <c r="BA27" s="78">
        <v>0.5</v>
      </c>
      <c r="BB27" s="78">
        <v>0.5</v>
      </c>
      <c r="BC27" s="78">
        <v>0.5</v>
      </c>
      <c r="BD27" s="78">
        <v>1</v>
      </c>
      <c r="BE27" s="78">
        <v>0.5</v>
      </c>
      <c r="BF27" s="78">
        <v>1</v>
      </c>
      <c r="BG27" s="78">
        <v>8</v>
      </c>
      <c r="BH27" s="137">
        <v>0.97727269999999999</v>
      </c>
      <c r="BJ27" s="143" t="s">
        <v>724</v>
      </c>
      <c r="BK27" s="143" t="s">
        <v>725</v>
      </c>
      <c r="BL27" s="143" t="s">
        <v>842</v>
      </c>
      <c r="BM27" s="143">
        <v>2663</v>
      </c>
      <c r="BN27" s="78">
        <v>1</v>
      </c>
      <c r="BO27" s="78">
        <v>4</v>
      </c>
      <c r="BP27" s="78">
        <v>7</v>
      </c>
      <c r="BQ27" s="78">
        <v>3</v>
      </c>
      <c r="BR27" s="78">
        <v>3</v>
      </c>
      <c r="BS27" s="78">
        <v>3</v>
      </c>
      <c r="BT27" s="78">
        <v>2</v>
      </c>
      <c r="BU27" s="137">
        <v>1</v>
      </c>
      <c r="BW27" s="143" t="s">
        <v>724</v>
      </c>
      <c r="BX27" s="143" t="s">
        <v>725</v>
      </c>
      <c r="BY27" s="143" t="s">
        <v>842</v>
      </c>
      <c r="BZ27" s="143">
        <v>2663</v>
      </c>
      <c r="CM27" s="143" t="s">
        <v>724</v>
      </c>
      <c r="CN27" s="143" t="s">
        <v>725</v>
      </c>
      <c r="CO27" s="143" t="s">
        <v>842</v>
      </c>
      <c r="CP27" s="143">
        <v>2663</v>
      </c>
      <c r="CQ27" s="78">
        <v>6</v>
      </c>
      <c r="CR27" s="78">
        <v>6</v>
      </c>
      <c r="CS27" s="78">
        <v>24</v>
      </c>
      <c r="CT27" s="78">
        <v>4</v>
      </c>
      <c r="CU27" s="78">
        <v>2</v>
      </c>
      <c r="CV27" s="78">
        <v>8</v>
      </c>
      <c r="CW27" s="137">
        <v>0.96153840000000002</v>
      </c>
      <c r="CY27" s="143" t="s">
        <v>724</v>
      </c>
      <c r="CZ27" s="143" t="s">
        <v>725</v>
      </c>
      <c r="DA27" s="143" t="s">
        <v>842</v>
      </c>
      <c r="DB27" s="143">
        <v>2663</v>
      </c>
      <c r="DC27" s="78">
        <v>62</v>
      </c>
      <c r="DD27" s="137">
        <v>0</v>
      </c>
      <c r="DE27" s="137">
        <v>0</v>
      </c>
      <c r="DG27" s="143" t="s">
        <v>724</v>
      </c>
      <c r="DH27" s="143" t="s">
        <v>725</v>
      </c>
      <c r="DI27" s="143" t="s">
        <v>842</v>
      </c>
      <c r="DJ27" s="143">
        <v>2663</v>
      </c>
      <c r="DK27" s="78">
        <v>2</v>
      </c>
      <c r="DL27" s="78">
        <v>1</v>
      </c>
      <c r="DM27" s="78">
        <v>1</v>
      </c>
      <c r="DN27" s="78">
        <v>5</v>
      </c>
      <c r="DO27" s="78">
        <v>2</v>
      </c>
      <c r="DP27" s="78">
        <v>3</v>
      </c>
      <c r="DQ27" s="78">
        <v>8</v>
      </c>
      <c r="DR27" s="78">
        <v>1</v>
      </c>
      <c r="DS27" s="78">
        <v>1</v>
      </c>
      <c r="DT27" s="78">
        <v>0</v>
      </c>
      <c r="DU27" s="78">
        <v>1</v>
      </c>
      <c r="DV27" s="137">
        <v>0.86206899999999997</v>
      </c>
      <c r="DX27" s="143" t="s">
        <v>724</v>
      </c>
      <c r="DY27" s="143" t="s">
        <v>725</v>
      </c>
      <c r="DZ27" s="143" t="s">
        <v>842</v>
      </c>
      <c r="EA27" s="143">
        <v>2663</v>
      </c>
      <c r="EB27" s="78">
        <v>1</v>
      </c>
      <c r="EC27" s="78">
        <v>8</v>
      </c>
      <c r="ED27" s="78">
        <v>1</v>
      </c>
      <c r="EE27" s="78">
        <v>4</v>
      </c>
      <c r="EF27" s="78">
        <v>3</v>
      </c>
      <c r="EG27" s="78">
        <v>1</v>
      </c>
      <c r="EH27" s="78">
        <v>0</v>
      </c>
      <c r="EI27" s="78">
        <v>1</v>
      </c>
      <c r="EJ27" s="78">
        <v>1</v>
      </c>
      <c r="EK27" s="78">
        <v>1</v>
      </c>
      <c r="EL27" s="78">
        <v>1</v>
      </c>
      <c r="EM27" s="78">
        <v>1</v>
      </c>
      <c r="EN27" s="78">
        <v>1</v>
      </c>
      <c r="EO27" s="78">
        <v>1</v>
      </c>
      <c r="EP27" s="78">
        <v>1</v>
      </c>
      <c r="EQ27" s="137">
        <v>0.96296300000000001</v>
      </c>
      <c r="ES27" s="143" t="s">
        <v>724</v>
      </c>
      <c r="ET27" s="143" t="s">
        <v>725</v>
      </c>
      <c r="EU27" s="143" t="s">
        <v>842</v>
      </c>
      <c r="EV27" s="143">
        <v>2663</v>
      </c>
      <c r="EW27" s="78">
        <v>0.5</v>
      </c>
      <c r="EX27" s="78">
        <v>0</v>
      </c>
      <c r="EY27" s="78">
        <v>3</v>
      </c>
      <c r="EZ27" s="78">
        <v>2</v>
      </c>
      <c r="FA27" s="78">
        <v>0.5</v>
      </c>
      <c r="FB27" s="78">
        <v>3</v>
      </c>
      <c r="FC27" s="78">
        <v>2</v>
      </c>
      <c r="FD27" s="78">
        <v>1</v>
      </c>
      <c r="FE27" s="137">
        <v>0.92307689999999998</v>
      </c>
      <c r="FG27" s="137">
        <v>0.6875</v>
      </c>
    </row>
    <row r="28" spans="1:163" x14ac:dyDescent="0.35">
      <c r="A28" s="143" t="s">
        <v>724</v>
      </c>
      <c r="B28" s="143" t="s">
        <v>725</v>
      </c>
      <c r="C28" s="143" t="s">
        <v>842</v>
      </c>
      <c r="D28" s="143">
        <v>3885</v>
      </c>
      <c r="E28" s="78">
        <v>0.5</v>
      </c>
      <c r="F28" s="78">
        <v>2.5</v>
      </c>
      <c r="G28" s="78">
        <v>1</v>
      </c>
      <c r="H28" s="78">
        <v>4</v>
      </c>
      <c r="I28" s="78">
        <v>1</v>
      </c>
      <c r="J28" s="78">
        <v>1</v>
      </c>
      <c r="K28" s="78">
        <v>1</v>
      </c>
      <c r="L28" s="78">
        <v>1</v>
      </c>
      <c r="M28" s="78">
        <v>2</v>
      </c>
      <c r="N28" s="137">
        <v>1</v>
      </c>
      <c r="P28" s="143" t="s">
        <v>724</v>
      </c>
      <c r="Q28" s="143" t="s">
        <v>725</v>
      </c>
      <c r="R28" s="143" t="s">
        <v>842</v>
      </c>
      <c r="S28" s="143">
        <v>3885</v>
      </c>
      <c r="T28" s="78">
        <v>0</v>
      </c>
      <c r="U28" s="78">
        <v>1</v>
      </c>
      <c r="V28" s="78">
        <v>0</v>
      </c>
      <c r="W28" s="78">
        <v>0</v>
      </c>
      <c r="X28" s="78">
        <v>12</v>
      </c>
      <c r="Y28" s="78">
        <v>1</v>
      </c>
      <c r="Z28" s="78">
        <v>0</v>
      </c>
      <c r="AA28" s="78">
        <v>0</v>
      </c>
      <c r="AB28" s="78">
        <v>0</v>
      </c>
      <c r="AC28" s="78">
        <v>3</v>
      </c>
      <c r="AD28" s="137">
        <v>0.5</v>
      </c>
      <c r="AF28" s="143" t="s">
        <v>724</v>
      </c>
      <c r="AG28" s="143" t="s">
        <v>725</v>
      </c>
      <c r="AH28" s="143" t="s">
        <v>842</v>
      </c>
      <c r="AI28" s="143">
        <v>3885</v>
      </c>
      <c r="AJ28" s="78">
        <v>0</v>
      </c>
      <c r="AK28" s="78">
        <v>1</v>
      </c>
      <c r="AL28" s="78">
        <v>1</v>
      </c>
      <c r="AM28" s="78">
        <v>0</v>
      </c>
      <c r="AN28" s="78">
        <v>0</v>
      </c>
      <c r="AO28" s="78">
        <v>2</v>
      </c>
      <c r="AP28" s="78">
        <v>2</v>
      </c>
      <c r="AQ28" s="78">
        <v>1</v>
      </c>
      <c r="AR28" s="78">
        <v>2</v>
      </c>
      <c r="AS28" s="78">
        <v>2</v>
      </c>
      <c r="AT28" s="78">
        <v>0</v>
      </c>
      <c r="AU28" s="78">
        <v>1</v>
      </c>
      <c r="AV28" s="78">
        <v>2</v>
      </c>
      <c r="AW28" s="78">
        <v>1</v>
      </c>
      <c r="AX28" s="78">
        <v>0</v>
      </c>
      <c r="AY28" s="78">
        <v>1</v>
      </c>
      <c r="AZ28" s="78">
        <v>2</v>
      </c>
      <c r="BA28" s="78">
        <v>0.5</v>
      </c>
      <c r="BB28" s="78">
        <v>0.5</v>
      </c>
      <c r="BC28" s="78">
        <v>0.5</v>
      </c>
      <c r="BD28" s="78">
        <v>1</v>
      </c>
      <c r="BE28" s="78">
        <v>0.5</v>
      </c>
      <c r="BF28" s="78">
        <v>1</v>
      </c>
      <c r="BG28" s="78">
        <v>8</v>
      </c>
      <c r="BH28" s="137">
        <v>0.68181820000000004</v>
      </c>
      <c r="BJ28" s="143" t="s">
        <v>724</v>
      </c>
      <c r="BK28" s="143" t="s">
        <v>725</v>
      </c>
      <c r="BL28" s="143" t="s">
        <v>842</v>
      </c>
      <c r="BM28" s="143">
        <v>3885</v>
      </c>
      <c r="BN28" s="78">
        <v>0</v>
      </c>
      <c r="BO28" s="78">
        <v>4</v>
      </c>
      <c r="BP28" s="78">
        <v>7</v>
      </c>
      <c r="BQ28" s="78">
        <v>0</v>
      </c>
      <c r="BR28" s="78">
        <v>0</v>
      </c>
      <c r="BS28" s="78">
        <v>0</v>
      </c>
      <c r="BT28" s="78">
        <v>2</v>
      </c>
      <c r="BU28" s="137">
        <v>0.56521739999999998</v>
      </c>
      <c r="BW28" s="143" t="s">
        <v>724</v>
      </c>
      <c r="BX28" s="143" t="s">
        <v>725</v>
      </c>
      <c r="BY28" s="143" t="s">
        <v>842</v>
      </c>
      <c r="BZ28" s="143">
        <v>3885</v>
      </c>
      <c r="CM28" s="143" t="s">
        <v>724</v>
      </c>
      <c r="CN28" s="143" t="s">
        <v>725</v>
      </c>
      <c r="CO28" s="143" t="s">
        <v>842</v>
      </c>
      <c r="CP28" s="143">
        <v>3885</v>
      </c>
      <c r="CQ28" s="78">
        <v>0</v>
      </c>
      <c r="CR28" s="78">
        <v>0</v>
      </c>
      <c r="CS28" s="78">
        <v>24</v>
      </c>
      <c r="CT28" s="78">
        <v>0</v>
      </c>
      <c r="CU28" s="78">
        <v>2</v>
      </c>
      <c r="CV28" s="78">
        <v>8</v>
      </c>
      <c r="CW28" s="137">
        <v>0.65384609999999999</v>
      </c>
      <c r="CY28" s="143" t="s">
        <v>724</v>
      </c>
      <c r="CZ28" s="143" t="s">
        <v>725</v>
      </c>
      <c r="DA28" s="143" t="s">
        <v>842</v>
      </c>
      <c r="DB28" s="143">
        <v>3885</v>
      </c>
      <c r="DC28" s="78">
        <v>2</v>
      </c>
      <c r="DD28" s="137">
        <v>0</v>
      </c>
      <c r="DE28" s="137">
        <v>0</v>
      </c>
      <c r="DG28" s="143" t="s">
        <v>724</v>
      </c>
      <c r="DH28" s="143" t="s">
        <v>725</v>
      </c>
      <c r="DI28" s="143" t="s">
        <v>842</v>
      </c>
      <c r="DJ28" s="143">
        <v>3885</v>
      </c>
      <c r="DK28" s="78">
        <v>2</v>
      </c>
      <c r="DL28" s="78">
        <v>0</v>
      </c>
      <c r="DM28" s="78">
        <v>0</v>
      </c>
      <c r="DN28" s="78">
        <v>5</v>
      </c>
      <c r="DO28" s="78">
        <v>2</v>
      </c>
      <c r="DP28" s="78">
        <v>3</v>
      </c>
      <c r="DQ28" s="78">
        <v>8</v>
      </c>
      <c r="DR28" s="78">
        <v>1</v>
      </c>
      <c r="DS28" s="78">
        <v>0</v>
      </c>
      <c r="DT28" s="78">
        <v>0</v>
      </c>
      <c r="DU28" s="78">
        <v>0</v>
      </c>
      <c r="DV28" s="137">
        <v>0.7241379</v>
      </c>
      <c r="DX28" s="143" t="s">
        <v>724</v>
      </c>
      <c r="DY28" s="143" t="s">
        <v>725</v>
      </c>
      <c r="DZ28" s="143" t="s">
        <v>842</v>
      </c>
      <c r="EA28" s="143">
        <v>3885</v>
      </c>
      <c r="EB28" s="78">
        <v>1</v>
      </c>
      <c r="EC28" s="78">
        <v>8</v>
      </c>
      <c r="ED28" s="78">
        <v>1</v>
      </c>
      <c r="EE28" s="78">
        <v>4</v>
      </c>
      <c r="EF28" s="78">
        <v>3</v>
      </c>
      <c r="EG28" s="78">
        <v>1</v>
      </c>
      <c r="EH28" s="78">
        <v>1</v>
      </c>
      <c r="EI28" s="78">
        <v>1</v>
      </c>
      <c r="EJ28" s="78">
        <v>1</v>
      </c>
      <c r="EK28" s="78">
        <v>1</v>
      </c>
      <c r="EL28" s="78">
        <v>1</v>
      </c>
      <c r="EM28" s="78">
        <v>0</v>
      </c>
      <c r="EN28" s="78">
        <v>1</v>
      </c>
      <c r="EO28" s="78">
        <v>1</v>
      </c>
      <c r="EP28" s="78">
        <v>1</v>
      </c>
      <c r="EQ28" s="137">
        <v>0.96296300000000001</v>
      </c>
      <c r="ES28" s="143" t="s">
        <v>724</v>
      </c>
      <c r="ET28" s="143" t="s">
        <v>725</v>
      </c>
      <c r="EU28" s="143" t="s">
        <v>842</v>
      </c>
      <c r="EV28" s="143">
        <v>3885</v>
      </c>
      <c r="EW28" s="78">
        <v>0.5</v>
      </c>
      <c r="EX28" s="78">
        <v>1</v>
      </c>
      <c r="EY28" s="78">
        <v>3</v>
      </c>
      <c r="EZ28" s="78">
        <v>2</v>
      </c>
      <c r="FA28" s="78">
        <v>0.5</v>
      </c>
      <c r="FB28" s="78">
        <v>3</v>
      </c>
      <c r="FC28" s="78">
        <v>2</v>
      </c>
      <c r="FD28" s="78">
        <v>1</v>
      </c>
      <c r="FE28" s="137">
        <v>1</v>
      </c>
      <c r="FG28" s="137">
        <v>0.51219510000000001</v>
      </c>
    </row>
    <row r="29" spans="1:163" x14ac:dyDescent="0.35">
      <c r="A29" s="143" t="s">
        <v>726</v>
      </c>
      <c r="B29" s="143" t="s">
        <v>720</v>
      </c>
      <c r="C29" s="143" t="s">
        <v>843</v>
      </c>
      <c r="D29" s="143">
        <v>810</v>
      </c>
      <c r="E29" s="78">
        <v>0</v>
      </c>
      <c r="F29" s="78">
        <v>2</v>
      </c>
      <c r="G29" s="78">
        <v>1</v>
      </c>
      <c r="H29" s="78">
        <v>4</v>
      </c>
      <c r="I29" s="78">
        <v>1</v>
      </c>
      <c r="J29" s="78">
        <v>1</v>
      </c>
      <c r="K29" s="78">
        <v>1</v>
      </c>
      <c r="L29" s="78">
        <v>1</v>
      </c>
      <c r="M29" s="78">
        <v>2</v>
      </c>
      <c r="N29" s="137">
        <v>0.92857140000000005</v>
      </c>
      <c r="P29" s="143" t="s">
        <v>726</v>
      </c>
      <c r="Q29" s="143" t="s">
        <v>720</v>
      </c>
      <c r="R29" s="143" t="s">
        <v>843</v>
      </c>
      <c r="S29" s="143">
        <v>810</v>
      </c>
      <c r="T29" s="78">
        <v>1</v>
      </c>
      <c r="U29" s="78">
        <v>1</v>
      </c>
      <c r="V29" s="78">
        <v>2</v>
      </c>
      <c r="W29" s="78">
        <v>2</v>
      </c>
      <c r="X29" s="78">
        <v>12</v>
      </c>
      <c r="Y29" s="78">
        <v>1</v>
      </c>
      <c r="Z29" s="78">
        <v>3</v>
      </c>
      <c r="AA29" s="78">
        <v>2</v>
      </c>
      <c r="AB29" s="78">
        <v>6</v>
      </c>
      <c r="AC29" s="78">
        <v>0</v>
      </c>
      <c r="AD29" s="137">
        <v>0.8823529</v>
      </c>
      <c r="AF29" s="143" t="s">
        <v>726</v>
      </c>
      <c r="AG29" s="143" t="s">
        <v>720</v>
      </c>
      <c r="AH29" s="143" t="s">
        <v>843</v>
      </c>
      <c r="AI29" s="143">
        <v>810</v>
      </c>
      <c r="AJ29" s="78">
        <v>0</v>
      </c>
      <c r="AK29" s="78">
        <v>1</v>
      </c>
      <c r="AL29" s="78">
        <v>1</v>
      </c>
      <c r="AM29" s="78">
        <v>0</v>
      </c>
      <c r="AN29" s="78">
        <v>1</v>
      </c>
      <c r="AO29" s="78">
        <v>2</v>
      </c>
      <c r="AP29" s="78">
        <v>2</v>
      </c>
      <c r="AQ29" s="78">
        <v>1</v>
      </c>
      <c r="AR29" s="78">
        <v>2</v>
      </c>
      <c r="AS29" s="78">
        <v>2</v>
      </c>
      <c r="AT29" s="78">
        <v>2</v>
      </c>
      <c r="AU29" s="78">
        <v>0</v>
      </c>
      <c r="AV29" s="78">
        <v>2</v>
      </c>
      <c r="AW29" s="78">
        <v>0</v>
      </c>
      <c r="AX29" s="78">
        <v>0</v>
      </c>
      <c r="AY29" s="78">
        <v>1</v>
      </c>
      <c r="AZ29" s="78">
        <v>2</v>
      </c>
      <c r="BA29" s="78">
        <v>0.5</v>
      </c>
      <c r="BB29" s="78">
        <v>0.5</v>
      </c>
      <c r="BC29" s="78">
        <v>0.5</v>
      </c>
      <c r="BD29" s="78">
        <v>1</v>
      </c>
      <c r="BE29" s="78">
        <v>0.5</v>
      </c>
      <c r="BF29" s="78">
        <v>0</v>
      </c>
      <c r="BG29" s="78">
        <v>4</v>
      </c>
      <c r="BH29" s="137">
        <v>0.59090909999999996</v>
      </c>
      <c r="BJ29" s="143" t="s">
        <v>726</v>
      </c>
      <c r="BK29" s="143" t="s">
        <v>720</v>
      </c>
      <c r="BL29" s="143" t="s">
        <v>843</v>
      </c>
      <c r="BM29" s="143">
        <v>810</v>
      </c>
      <c r="BN29" s="78">
        <v>1</v>
      </c>
      <c r="BO29" s="78">
        <v>4</v>
      </c>
      <c r="BP29" s="78">
        <v>7</v>
      </c>
      <c r="BQ29" s="78">
        <v>3</v>
      </c>
      <c r="BR29" s="78">
        <v>3</v>
      </c>
      <c r="BS29" s="78">
        <v>3</v>
      </c>
      <c r="BT29" s="78">
        <v>0</v>
      </c>
      <c r="BU29" s="137">
        <v>0.91304350000000001</v>
      </c>
      <c r="BW29" s="143" t="s">
        <v>726</v>
      </c>
      <c r="BX29" s="143" t="s">
        <v>720</v>
      </c>
      <c r="BY29" s="143" t="s">
        <v>843</v>
      </c>
      <c r="BZ29" s="143">
        <v>810</v>
      </c>
      <c r="CA29" s="78">
        <v>1</v>
      </c>
      <c r="CB29" s="78">
        <v>1</v>
      </c>
      <c r="CC29" s="78">
        <v>0</v>
      </c>
      <c r="CD29" s="78">
        <v>2</v>
      </c>
      <c r="CE29" s="78">
        <v>1</v>
      </c>
      <c r="CF29" s="78">
        <v>2</v>
      </c>
      <c r="CG29" s="78">
        <v>1</v>
      </c>
      <c r="CH29" s="78">
        <v>2</v>
      </c>
      <c r="CI29" s="78">
        <v>1</v>
      </c>
      <c r="CJ29" s="78">
        <v>3</v>
      </c>
      <c r="CK29" s="137">
        <v>0.93333330000000003</v>
      </c>
      <c r="CM29" s="143" t="s">
        <v>726</v>
      </c>
      <c r="CN29" s="143" t="s">
        <v>720</v>
      </c>
      <c r="CO29" s="143" t="s">
        <v>843</v>
      </c>
      <c r="CP29" s="143">
        <v>810</v>
      </c>
      <c r="CQ29" s="78">
        <v>2</v>
      </c>
      <c r="CR29" s="78">
        <v>0</v>
      </c>
      <c r="CS29" s="78">
        <v>16</v>
      </c>
      <c r="CT29" s="78">
        <v>4</v>
      </c>
      <c r="CU29" s="78">
        <v>2</v>
      </c>
      <c r="CV29" s="78">
        <v>8</v>
      </c>
      <c r="CW29" s="137">
        <v>0.61538459999999995</v>
      </c>
      <c r="CY29" s="143" t="s">
        <v>726</v>
      </c>
      <c r="CZ29" s="143" t="s">
        <v>720</v>
      </c>
      <c r="DA29" s="143" t="s">
        <v>843</v>
      </c>
      <c r="DB29" s="143">
        <v>810</v>
      </c>
      <c r="DC29" s="78">
        <v>0</v>
      </c>
      <c r="DD29" s="137">
        <v>0</v>
      </c>
      <c r="DE29" s="137">
        <v>0</v>
      </c>
      <c r="DG29" s="143" t="s">
        <v>726</v>
      </c>
      <c r="DH29" s="143" t="s">
        <v>720</v>
      </c>
      <c r="DI29" s="143" t="s">
        <v>843</v>
      </c>
      <c r="DJ29" s="143">
        <v>810</v>
      </c>
      <c r="DK29" s="78">
        <v>2</v>
      </c>
      <c r="DL29" s="78">
        <v>1</v>
      </c>
      <c r="DM29" s="78">
        <v>1</v>
      </c>
      <c r="DN29" s="78">
        <v>4</v>
      </c>
      <c r="DO29" s="78">
        <v>2</v>
      </c>
      <c r="DP29" s="78">
        <v>3</v>
      </c>
      <c r="DQ29" s="78">
        <v>8</v>
      </c>
      <c r="DR29" s="78">
        <v>0</v>
      </c>
      <c r="DS29" s="78">
        <v>1</v>
      </c>
      <c r="DT29" s="78">
        <v>2</v>
      </c>
      <c r="DU29" s="78">
        <v>0</v>
      </c>
      <c r="DV29" s="137">
        <v>0.82758620000000005</v>
      </c>
      <c r="DX29" s="143" t="s">
        <v>726</v>
      </c>
      <c r="DY29" s="143" t="s">
        <v>720</v>
      </c>
      <c r="DZ29" s="143" t="s">
        <v>843</v>
      </c>
      <c r="EA29" s="143">
        <v>810</v>
      </c>
      <c r="EB29" s="78">
        <v>1</v>
      </c>
      <c r="EC29" s="78">
        <v>8</v>
      </c>
      <c r="ED29" s="78">
        <v>1</v>
      </c>
      <c r="EE29" s="78">
        <v>4</v>
      </c>
      <c r="EF29" s="78">
        <v>3</v>
      </c>
      <c r="EG29" s="78">
        <v>1</v>
      </c>
      <c r="EH29" s="78">
        <v>0</v>
      </c>
      <c r="EI29" s="78">
        <v>1</v>
      </c>
      <c r="EJ29" s="78">
        <v>1</v>
      </c>
      <c r="EK29" s="78">
        <v>1</v>
      </c>
      <c r="EL29" s="78">
        <v>1</v>
      </c>
      <c r="EM29" s="78">
        <v>1</v>
      </c>
      <c r="EN29" s="78">
        <v>1</v>
      </c>
      <c r="EO29" s="78">
        <v>1</v>
      </c>
      <c r="EP29" s="78">
        <v>1</v>
      </c>
      <c r="EQ29" s="137">
        <v>0.96296300000000001</v>
      </c>
      <c r="ES29" s="143" t="s">
        <v>726</v>
      </c>
      <c r="ET29" s="143" t="s">
        <v>720</v>
      </c>
      <c r="EU29" s="143" t="s">
        <v>843</v>
      </c>
      <c r="EV29" s="143">
        <v>810</v>
      </c>
      <c r="EW29" s="78">
        <v>0.5</v>
      </c>
      <c r="EX29" s="78">
        <v>1</v>
      </c>
      <c r="EY29" s="78">
        <v>3</v>
      </c>
      <c r="EZ29" s="78">
        <v>2</v>
      </c>
      <c r="FA29" s="78">
        <v>0.5</v>
      </c>
      <c r="FB29" s="78">
        <v>3</v>
      </c>
      <c r="FC29" s="78">
        <v>2</v>
      </c>
      <c r="FD29" s="78">
        <v>1</v>
      </c>
      <c r="FE29" s="137">
        <v>1</v>
      </c>
      <c r="FG29" s="137">
        <v>0.58017490000000005</v>
      </c>
    </row>
    <row r="30" spans="1:163" x14ac:dyDescent="0.35">
      <c r="A30" s="143" t="s">
        <v>726</v>
      </c>
      <c r="B30" s="143" t="s">
        <v>720</v>
      </c>
      <c r="C30" s="143" t="s">
        <v>841</v>
      </c>
      <c r="D30" s="143">
        <v>1163</v>
      </c>
      <c r="E30" s="78">
        <v>0.5</v>
      </c>
      <c r="F30" s="78">
        <v>2</v>
      </c>
      <c r="G30" s="78">
        <v>1</v>
      </c>
      <c r="H30" s="78">
        <v>4</v>
      </c>
      <c r="I30" s="78">
        <v>1</v>
      </c>
      <c r="J30" s="78">
        <v>1</v>
      </c>
      <c r="K30" s="78">
        <v>1</v>
      </c>
      <c r="L30" s="78">
        <v>1</v>
      </c>
      <c r="M30" s="78">
        <v>2</v>
      </c>
      <c r="N30" s="137">
        <v>0.96428570000000002</v>
      </c>
      <c r="P30" s="143" t="s">
        <v>726</v>
      </c>
      <c r="Q30" s="143" t="s">
        <v>720</v>
      </c>
      <c r="R30" s="143" t="s">
        <v>841</v>
      </c>
      <c r="S30" s="143">
        <v>1163</v>
      </c>
      <c r="T30" s="78">
        <v>1</v>
      </c>
      <c r="U30" s="78">
        <v>1</v>
      </c>
      <c r="V30" s="78">
        <v>0</v>
      </c>
      <c r="W30" s="78">
        <v>2</v>
      </c>
      <c r="X30" s="78">
        <v>12</v>
      </c>
      <c r="Y30" s="78">
        <v>1</v>
      </c>
      <c r="Z30" s="78">
        <v>3</v>
      </c>
      <c r="AA30" s="78">
        <v>2</v>
      </c>
      <c r="AB30" s="78">
        <v>6</v>
      </c>
      <c r="AC30" s="78">
        <v>3</v>
      </c>
      <c r="AD30" s="137">
        <v>0.91176469999999998</v>
      </c>
      <c r="AF30" s="143" t="s">
        <v>726</v>
      </c>
      <c r="AG30" s="143" t="s">
        <v>720</v>
      </c>
      <c r="AH30" s="143" t="s">
        <v>841</v>
      </c>
      <c r="AI30" s="143">
        <v>1163</v>
      </c>
      <c r="AJ30" s="78">
        <v>0</v>
      </c>
      <c r="AK30" s="78">
        <v>1</v>
      </c>
      <c r="AL30" s="78">
        <v>1</v>
      </c>
      <c r="AM30" s="78">
        <v>6</v>
      </c>
      <c r="AN30" s="78">
        <v>1</v>
      </c>
      <c r="AO30" s="78">
        <v>2</v>
      </c>
      <c r="AP30" s="78">
        <v>2</v>
      </c>
      <c r="AQ30" s="78">
        <v>0</v>
      </c>
      <c r="AR30" s="78">
        <v>2</v>
      </c>
      <c r="AS30" s="78">
        <v>0</v>
      </c>
      <c r="AT30" s="78">
        <v>0</v>
      </c>
      <c r="AU30" s="78">
        <v>0</v>
      </c>
      <c r="AV30" s="78">
        <v>0</v>
      </c>
      <c r="AW30" s="78">
        <v>0</v>
      </c>
      <c r="AX30" s="78">
        <v>0</v>
      </c>
      <c r="AY30" s="78">
        <v>1</v>
      </c>
      <c r="AZ30" s="78">
        <v>2</v>
      </c>
      <c r="BA30" s="78">
        <v>0.5</v>
      </c>
      <c r="BB30" s="78">
        <v>0.5</v>
      </c>
      <c r="BC30" s="78">
        <v>0.5</v>
      </c>
      <c r="BD30" s="78">
        <v>1</v>
      </c>
      <c r="BE30" s="78">
        <v>0.5</v>
      </c>
      <c r="BF30" s="78">
        <v>0</v>
      </c>
      <c r="BG30" s="78">
        <v>8</v>
      </c>
      <c r="BH30" s="137">
        <v>0.65909090000000004</v>
      </c>
      <c r="BJ30" s="143" t="s">
        <v>726</v>
      </c>
      <c r="BK30" s="143" t="s">
        <v>720</v>
      </c>
      <c r="BL30" s="143" t="s">
        <v>841</v>
      </c>
      <c r="BM30" s="143">
        <v>1163</v>
      </c>
      <c r="BN30" s="78">
        <v>0</v>
      </c>
      <c r="BO30" s="78">
        <v>4</v>
      </c>
      <c r="BP30" s="78">
        <v>7</v>
      </c>
      <c r="BQ30" s="78">
        <v>3</v>
      </c>
      <c r="BR30" s="78">
        <v>3</v>
      </c>
      <c r="BS30" s="78">
        <v>3</v>
      </c>
      <c r="BT30" s="78">
        <v>2</v>
      </c>
      <c r="BU30" s="137">
        <v>0.95652170000000003</v>
      </c>
      <c r="BW30" s="143" t="s">
        <v>726</v>
      </c>
      <c r="BX30" s="143" t="s">
        <v>720</v>
      </c>
      <c r="BY30" s="143" t="s">
        <v>841</v>
      </c>
      <c r="BZ30" s="143">
        <v>1163</v>
      </c>
      <c r="CA30" s="78">
        <v>1</v>
      </c>
      <c r="CB30" s="78">
        <v>1</v>
      </c>
      <c r="CC30" s="78">
        <v>1</v>
      </c>
      <c r="CD30" s="78">
        <v>2</v>
      </c>
      <c r="CE30" s="78">
        <v>1</v>
      </c>
      <c r="CF30" s="78">
        <v>2</v>
      </c>
      <c r="CG30" s="78">
        <v>1</v>
      </c>
      <c r="CH30" s="78">
        <v>2</v>
      </c>
      <c r="CI30" s="78">
        <v>1</v>
      </c>
      <c r="CJ30" s="78">
        <v>3</v>
      </c>
      <c r="CK30" s="137">
        <v>1</v>
      </c>
      <c r="CM30" s="143" t="s">
        <v>726</v>
      </c>
      <c r="CN30" s="143" t="s">
        <v>720</v>
      </c>
      <c r="CO30" s="143" t="s">
        <v>841</v>
      </c>
      <c r="CP30" s="143">
        <v>1163</v>
      </c>
      <c r="CQ30" s="78">
        <v>8</v>
      </c>
      <c r="CR30" s="78">
        <v>0</v>
      </c>
      <c r="CS30" s="78">
        <v>12</v>
      </c>
      <c r="CT30" s="78">
        <v>4</v>
      </c>
      <c r="CU30" s="78">
        <v>2</v>
      </c>
      <c r="CV30" s="78">
        <v>8</v>
      </c>
      <c r="CW30" s="137">
        <v>0.65384609999999999</v>
      </c>
      <c r="CY30" s="143" t="s">
        <v>726</v>
      </c>
      <c r="CZ30" s="143" t="s">
        <v>720</v>
      </c>
      <c r="DA30" s="143" t="s">
        <v>841</v>
      </c>
      <c r="DB30" s="143">
        <v>1163</v>
      </c>
      <c r="DC30" s="78">
        <v>18</v>
      </c>
      <c r="DD30" s="137">
        <v>0.2</v>
      </c>
      <c r="DE30" s="137">
        <v>3.9130400000000003E-2</v>
      </c>
      <c r="DG30" s="143" t="s">
        <v>726</v>
      </c>
      <c r="DH30" s="143" t="s">
        <v>720</v>
      </c>
      <c r="DI30" s="143" t="s">
        <v>841</v>
      </c>
      <c r="DJ30" s="143">
        <v>1163</v>
      </c>
      <c r="DK30" s="78">
        <v>2</v>
      </c>
      <c r="DL30" s="78">
        <v>1</v>
      </c>
      <c r="DM30" s="78">
        <v>1</v>
      </c>
      <c r="DN30" s="78">
        <v>5</v>
      </c>
      <c r="DO30" s="78">
        <v>2</v>
      </c>
      <c r="DP30" s="78">
        <v>3</v>
      </c>
      <c r="DQ30" s="78">
        <v>8</v>
      </c>
      <c r="DR30" s="78">
        <v>1</v>
      </c>
      <c r="DS30" s="78">
        <v>0</v>
      </c>
      <c r="DT30" s="78">
        <v>2</v>
      </c>
      <c r="DU30" s="78">
        <v>0</v>
      </c>
      <c r="DV30" s="137">
        <v>0.86206899999999997</v>
      </c>
      <c r="DX30" s="143" t="s">
        <v>726</v>
      </c>
      <c r="DY30" s="143" t="s">
        <v>720</v>
      </c>
      <c r="DZ30" s="143" t="s">
        <v>841</v>
      </c>
      <c r="EA30" s="143">
        <v>1163</v>
      </c>
      <c r="EB30" s="78">
        <v>1</v>
      </c>
      <c r="EC30" s="78">
        <v>8</v>
      </c>
      <c r="ED30" s="78">
        <v>1</v>
      </c>
      <c r="EE30" s="78">
        <v>4</v>
      </c>
      <c r="EF30" s="78">
        <v>3</v>
      </c>
      <c r="EG30" s="78">
        <v>1</v>
      </c>
      <c r="EH30" s="78">
        <v>0</v>
      </c>
      <c r="EI30" s="78">
        <v>1</v>
      </c>
      <c r="EJ30" s="78">
        <v>1</v>
      </c>
      <c r="EK30" s="78">
        <v>1</v>
      </c>
      <c r="EL30" s="78">
        <v>1</v>
      </c>
      <c r="EM30" s="78">
        <v>1</v>
      </c>
      <c r="EN30" s="78">
        <v>1</v>
      </c>
      <c r="EO30" s="78">
        <v>1</v>
      </c>
      <c r="EP30" s="78">
        <v>1</v>
      </c>
      <c r="EQ30" s="137">
        <v>0.96296300000000001</v>
      </c>
      <c r="ES30" s="143" t="s">
        <v>726</v>
      </c>
      <c r="ET30" s="143" t="s">
        <v>720</v>
      </c>
      <c r="EU30" s="143" t="s">
        <v>841</v>
      </c>
      <c r="EV30" s="143">
        <v>1163</v>
      </c>
      <c r="EW30" s="78">
        <v>0.5</v>
      </c>
      <c r="EX30" s="78">
        <v>1</v>
      </c>
      <c r="EY30" s="78">
        <v>0</v>
      </c>
      <c r="EZ30" s="78">
        <v>0</v>
      </c>
      <c r="FA30" s="78">
        <v>0.5</v>
      </c>
      <c r="FB30" s="78">
        <v>3</v>
      </c>
      <c r="FC30" s="78">
        <v>2</v>
      </c>
      <c r="FD30" s="78">
        <v>1</v>
      </c>
      <c r="FE30" s="137">
        <v>0.61538459999999995</v>
      </c>
      <c r="FG30" s="137">
        <v>0.6037901</v>
      </c>
    </row>
    <row r="31" spans="1:163" x14ac:dyDescent="0.35">
      <c r="A31" s="143" t="s">
        <v>726</v>
      </c>
      <c r="B31" s="143" t="s">
        <v>720</v>
      </c>
      <c r="C31" s="143" t="s">
        <v>842</v>
      </c>
      <c r="D31" s="143">
        <v>1573</v>
      </c>
      <c r="E31" s="78">
        <v>0.5</v>
      </c>
      <c r="F31" s="78">
        <v>2.5</v>
      </c>
      <c r="G31" s="78">
        <v>1</v>
      </c>
      <c r="H31" s="78">
        <v>4</v>
      </c>
      <c r="I31" s="78">
        <v>1</v>
      </c>
      <c r="J31" s="78">
        <v>0</v>
      </c>
      <c r="K31" s="78">
        <v>1</v>
      </c>
      <c r="L31" s="78">
        <v>1</v>
      </c>
      <c r="M31" s="78">
        <v>2</v>
      </c>
      <c r="N31" s="137">
        <v>0.92857140000000005</v>
      </c>
      <c r="P31" s="143" t="s">
        <v>726</v>
      </c>
      <c r="Q31" s="143" t="s">
        <v>720</v>
      </c>
      <c r="R31" s="143" t="s">
        <v>842</v>
      </c>
      <c r="S31" s="143">
        <v>1573</v>
      </c>
      <c r="T31" s="78">
        <v>1</v>
      </c>
      <c r="U31" s="78">
        <v>0</v>
      </c>
      <c r="V31" s="78">
        <v>2</v>
      </c>
      <c r="W31" s="78">
        <v>2</v>
      </c>
      <c r="X31" s="78">
        <v>12</v>
      </c>
      <c r="Y31" s="78">
        <v>1</v>
      </c>
      <c r="Z31" s="78">
        <v>3</v>
      </c>
      <c r="AA31" s="78">
        <v>2</v>
      </c>
      <c r="AB31" s="78">
        <v>6</v>
      </c>
      <c r="AC31" s="78">
        <v>3</v>
      </c>
      <c r="AD31" s="137">
        <v>0.94117649999999997</v>
      </c>
      <c r="AF31" s="143" t="s">
        <v>726</v>
      </c>
      <c r="AG31" s="143" t="s">
        <v>720</v>
      </c>
      <c r="AH31" s="143" t="s">
        <v>842</v>
      </c>
      <c r="AI31" s="143">
        <v>1573</v>
      </c>
      <c r="AJ31" s="78">
        <v>0</v>
      </c>
      <c r="AK31" s="78">
        <v>1</v>
      </c>
      <c r="AL31" s="78">
        <v>1</v>
      </c>
      <c r="AM31" s="78">
        <v>5</v>
      </c>
      <c r="AN31" s="78">
        <v>1</v>
      </c>
      <c r="AO31" s="78">
        <v>2</v>
      </c>
      <c r="AP31" s="78">
        <v>2</v>
      </c>
      <c r="AQ31" s="78">
        <v>1</v>
      </c>
      <c r="AR31" s="78">
        <v>2</v>
      </c>
      <c r="AS31" s="78">
        <v>0</v>
      </c>
      <c r="AT31" s="78">
        <v>0</v>
      </c>
      <c r="AU31" s="78">
        <v>0</v>
      </c>
      <c r="AV31" s="78">
        <v>0</v>
      </c>
      <c r="AW31" s="78">
        <v>0</v>
      </c>
      <c r="AX31" s="78">
        <v>0</v>
      </c>
      <c r="AY31" s="78">
        <v>1</v>
      </c>
      <c r="AZ31" s="78">
        <v>2</v>
      </c>
      <c r="BA31" s="78">
        <v>0.5</v>
      </c>
      <c r="BB31" s="78">
        <v>0.5</v>
      </c>
      <c r="BC31" s="78">
        <v>0.5</v>
      </c>
      <c r="BD31" s="78">
        <v>1</v>
      </c>
      <c r="BE31" s="78">
        <v>0.5</v>
      </c>
      <c r="BF31" s="78">
        <v>0</v>
      </c>
      <c r="BG31" s="78">
        <v>8</v>
      </c>
      <c r="BH31" s="137">
        <v>0.65909090000000004</v>
      </c>
      <c r="BJ31" s="143" t="s">
        <v>726</v>
      </c>
      <c r="BK31" s="143" t="s">
        <v>720</v>
      </c>
      <c r="BL31" s="143" t="s">
        <v>842</v>
      </c>
      <c r="BM31" s="143">
        <v>1573</v>
      </c>
      <c r="BN31" s="78">
        <v>0</v>
      </c>
      <c r="BO31" s="78">
        <v>0</v>
      </c>
      <c r="BP31" s="78">
        <v>7</v>
      </c>
      <c r="BQ31" s="78">
        <v>0</v>
      </c>
      <c r="BR31" s="78">
        <v>0</v>
      </c>
      <c r="BS31" s="78">
        <v>0</v>
      </c>
      <c r="BT31" s="78">
        <v>0</v>
      </c>
      <c r="BU31" s="137">
        <v>0.3043478</v>
      </c>
      <c r="BW31" s="143" t="s">
        <v>726</v>
      </c>
      <c r="BX31" s="143" t="s">
        <v>720</v>
      </c>
      <c r="BY31" s="143" t="s">
        <v>842</v>
      </c>
      <c r="BZ31" s="143">
        <v>1573</v>
      </c>
      <c r="CM31" s="143" t="s">
        <v>726</v>
      </c>
      <c r="CN31" s="143" t="s">
        <v>720</v>
      </c>
      <c r="CO31" s="143" t="s">
        <v>842</v>
      </c>
      <c r="CP31" s="143">
        <v>1573</v>
      </c>
      <c r="CQ31" s="78">
        <v>0</v>
      </c>
      <c r="CR31" s="78">
        <v>0</v>
      </c>
      <c r="CS31" s="78">
        <v>0</v>
      </c>
      <c r="CT31" s="78">
        <v>0</v>
      </c>
      <c r="CU31" s="78">
        <v>0</v>
      </c>
      <c r="CV31" s="78">
        <v>8</v>
      </c>
      <c r="CW31" s="137">
        <v>0.15384619999999999</v>
      </c>
      <c r="CY31" s="143" t="s">
        <v>726</v>
      </c>
      <c r="CZ31" s="143" t="s">
        <v>720</v>
      </c>
      <c r="DA31" s="143" t="s">
        <v>842</v>
      </c>
      <c r="DB31" s="143">
        <v>1573</v>
      </c>
      <c r="DC31" s="78">
        <v>0</v>
      </c>
      <c r="DD31" s="137">
        <v>0</v>
      </c>
      <c r="DE31" s="137">
        <v>0</v>
      </c>
      <c r="DG31" s="143" t="s">
        <v>726</v>
      </c>
      <c r="DH31" s="143" t="s">
        <v>720</v>
      </c>
      <c r="DI31" s="143" t="s">
        <v>842</v>
      </c>
      <c r="DJ31" s="143">
        <v>1573</v>
      </c>
      <c r="DK31" s="78">
        <v>2</v>
      </c>
      <c r="DL31" s="78">
        <v>1</v>
      </c>
      <c r="DM31" s="78">
        <v>0</v>
      </c>
      <c r="DN31" s="78">
        <v>3</v>
      </c>
      <c r="DO31" s="78">
        <v>2</v>
      </c>
      <c r="DP31" s="78">
        <v>3</v>
      </c>
      <c r="DQ31" s="78">
        <v>8</v>
      </c>
      <c r="DR31" s="78">
        <v>1</v>
      </c>
      <c r="DS31" s="78">
        <v>1</v>
      </c>
      <c r="DT31" s="78">
        <v>0</v>
      </c>
      <c r="DU31" s="78">
        <v>0</v>
      </c>
      <c r="DV31" s="137">
        <v>0.7241379</v>
      </c>
      <c r="DX31" s="143" t="s">
        <v>726</v>
      </c>
      <c r="DY31" s="143" t="s">
        <v>720</v>
      </c>
      <c r="DZ31" s="143" t="s">
        <v>842</v>
      </c>
      <c r="EA31" s="143">
        <v>1573</v>
      </c>
      <c r="EB31" s="78">
        <v>1</v>
      </c>
      <c r="EC31" s="78">
        <v>8</v>
      </c>
      <c r="ED31" s="78">
        <v>1</v>
      </c>
      <c r="EE31" s="78">
        <v>4</v>
      </c>
      <c r="EF31" s="78">
        <v>3</v>
      </c>
      <c r="EG31" s="78">
        <v>1</v>
      </c>
      <c r="EH31" s="78">
        <v>0</v>
      </c>
      <c r="EI31" s="78">
        <v>1</v>
      </c>
      <c r="EJ31" s="78">
        <v>1</v>
      </c>
      <c r="EK31" s="78">
        <v>1</v>
      </c>
      <c r="EL31" s="78">
        <v>1</v>
      </c>
      <c r="EM31" s="78">
        <v>1</v>
      </c>
      <c r="EN31" s="78">
        <v>1</v>
      </c>
      <c r="EO31" s="78">
        <v>1</v>
      </c>
      <c r="EP31" s="78">
        <v>1</v>
      </c>
      <c r="EQ31" s="137">
        <v>0.96296300000000001</v>
      </c>
      <c r="ES31" s="143" t="s">
        <v>726</v>
      </c>
      <c r="ET31" s="143" t="s">
        <v>720</v>
      </c>
      <c r="EU31" s="143" t="s">
        <v>842</v>
      </c>
      <c r="EV31" s="143">
        <v>1573</v>
      </c>
      <c r="EW31" s="78">
        <v>0</v>
      </c>
      <c r="EX31" s="78">
        <v>1</v>
      </c>
      <c r="EY31" s="78">
        <v>0</v>
      </c>
      <c r="EZ31" s="78">
        <v>0</v>
      </c>
      <c r="FA31" s="78">
        <v>0.5</v>
      </c>
      <c r="FB31" s="78">
        <v>0</v>
      </c>
      <c r="FC31" s="78">
        <v>2</v>
      </c>
      <c r="FD31" s="78">
        <v>1</v>
      </c>
      <c r="FE31" s="137">
        <v>0.34615390000000001</v>
      </c>
      <c r="FG31" s="137">
        <v>0.4283537</v>
      </c>
    </row>
    <row r="32" spans="1:163" x14ac:dyDescent="0.35">
      <c r="A32" s="143" t="s">
        <v>726</v>
      </c>
      <c r="B32" s="143" t="s">
        <v>720</v>
      </c>
      <c r="C32" s="143" t="s">
        <v>842</v>
      </c>
      <c r="D32" s="143">
        <v>1726</v>
      </c>
      <c r="E32" s="78">
        <v>0.5</v>
      </c>
      <c r="F32" s="78">
        <v>2.5</v>
      </c>
      <c r="G32" s="78">
        <v>1</v>
      </c>
      <c r="H32" s="78">
        <v>4</v>
      </c>
      <c r="I32" s="78">
        <v>1</v>
      </c>
      <c r="J32" s="78">
        <v>1</v>
      </c>
      <c r="K32" s="78">
        <v>1</v>
      </c>
      <c r="L32" s="78">
        <v>1</v>
      </c>
      <c r="M32" s="78">
        <v>2</v>
      </c>
      <c r="N32" s="137">
        <v>1</v>
      </c>
      <c r="P32" s="143" t="s">
        <v>726</v>
      </c>
      <c r="Q32" s="143" t="s">
        <v>720</v>
      </c>
      <c r="R32" s="143" t="s">
        <v>842</v>
      </c>
      <c r="S32" s="143">
        <v>1726</v>
      </c>
      <c r="T32" s="78">
        <v>0</v>
      </c>
      <c r="U32" s="78">
        <v>1</v>
      </c>
      <c r="V32" s="78">
        <v>0</v>
      </c>
      <c r="W32" s="78">
        <v>2</v>
      </c>
      <c r="X32" s="78">
        <v>12</v>
      </c>
      <c r="Y32" s="78">
        <v>1</v>
      </c>
      <c r="Z32" s="78">
        <v>3</v>
      </c>
      <c r="AA32" s="78">
        <v>2</v>
      </c>
      <c r="AB32" s="78">
        <v>6</v>
      </c>
      <c r="AC32" s="78">
        <v>3</v>
      </c>
      <c r="AD32" s="137">
        <v>0.8823529</v>
      </c>
      <c r="AF32" s="143" t="s">
        <v>726</v>
      </c>
      <c r="AG32" s="143" t="s">
        <v>720</v>
      </c>
      <c r="AH32" s="143" t="s">
        <v>842</v>
      </c>
      <c r="AI32" s="143">
        <v>1726</v>
      </c>
      <c r="AJ32" s="78">
        <v>0</v>
      </c>
      <c r="AK32" s="78">
        <v>0</v>
      </c>
      <c r="AL32" s="78">
        <v>1</v>
      </c>
      <c r="AM32" s="78">
        <v>5</v>
      </c>
      <c r="AN32" s="78">
        <v>1</v>
      </c>
      <c r="AO32" s="78">
        <v>2</v>
      </c>
      <c r="AP32" s="78">
        <v>2</v>
      </c>
      <c r="AQ32" s="78">
        <v>1</v>
      </c>
      <c r="AR32" s="78">
        <v>2</v>
      </c>
      <c r="AS32" s="78">
        <v>0</v>
      </c>
      <c r="AT32" s="78">
        <v>0</v>
      </c>
      <c r="AU32" s="78">
        <v>0</v>
      </c>
      <c r="AV32" s="78">
        <v>2</v>
      </c>
      <c r="AW32" s="78">
        <v>0</v>
      </c>
      <c r="AX32" s="78">
        <v>0</v>
      </c>
      <c r="AY32" s="78">
        <v>1</v>
      </c>
      <c r="AZ32" s="78">
        <v>2</v>
      </c>
      <c r="BA32" s="78">
        <v>0.5</v>
      </c>
      <c r="BB32" s="78">
        <v>0.5</v>
      </c>
      <c r="BC32" s="78">
        <v>0.5</v>
      </c>
      <c r="BD32" s="78">
        <v>1</v>
      </c>
      <c r="BE32" s="78">
        <v>0.5</v>
      </c>
      <c r="BF32" s="78">
        <v>0</v>
      </c>
      <c r="BG32" s="78">
        <v>8</v>
      </c>
      <c r="BH32" s="137">
        <v>0.68181820000000004</v>
      </c>
      <c r="BJ32" s="143" t="s">
        <v>726</v>
      </c>
      <c r="BK32" s="143" t="s">
        <v>720</v>
      </c>
      <c r="BL32" s="143" t="s">
        <v>842</v>
      </c>
      <c r="BM32" s="143">
        <v>1726</v>
      </c>
      <c r="BN32" s="78">
        <v>0</v>
      </c>
      <c r="BO32" s="78">
        <v>4</v>
      </c>
      <c r="BP32" s="78">
        <v>7</v>
      </c>
      <c r="BQ32" s="78">
        <v>0</v>
      </c>
      <c r="BR32" s="78">
        <v>0</v>
      </c>
      <c r="BS32" s="78">
        <v>0</v>
      </c>
      <c r="BT32" s="78">
        <v>0</v>
      </c>
      <c r="BU32" s="137">
        <v>0.47826089999999999</v>
      </c>
      <c r="BW32" s="143" t="s">
        <v>726</v>
      </c>
      <c r="BX32" s="143" t="s">
        <v>720</v>
      </c>
      <c r="BY32" s="143" t="s">
        <v>842</v>
      </c>
      <c r="BZ32" s="143">
        <v>1726</v>
      </c>
      <c r="CM32" s="143" t="s">
        <v>726</v>
      </c>
      <c r="CN32" s="143" t="s">
        <v>720</v>
      </c>
      <c r="CO32" s="143" t="s">
        <v>842</v>
      </c>
      <c r="CP32" s="143">
        <v>1726</v>
      </c>
      <c r="CQ32" s="78">
        <v>0</v>
      </c>
      <c r="CR32" s="78">
        <v>0</v>
      </c>
      <c r="CS32" s="78">
        <v>16</v>
      </c>
      <c r="CT32" s="78">
        <v>4</v>
      </c>
      <c r="CU32" s="78">
        <v>0</v>
      </c>
      <c r="CV32" s="78">
        <v>8</v>
      </c>
      <c r="CW32" s="137">
        <v>0.53846159999999998</v>
      </c>
      <c r="CY32" s="143" t="s">
        <v>726</v>
      </c>
      <c r="CZ32" s="143" t="s">
        <v>720</v>
      </c>
      <c r="DA32" s="143" t="s">
        <v>842</v>
      </c>
      <c r="DB32" s="143">
        <v>1726</v>
      </c>
      <c r="DC32" s="78">
        <v>48</v>
      </c>
      <c r="DD32" s="137">
        <v>0.2</v>
      </c>
      <c r="DE32" s="137">
        <v>0.1043478</v>
      </c>
      <c r="DG32" s="143" t="s">
        <v>726</v>
      </c>
      <c r="DH32" s="143" t="s">
        <v>720</v>
      </c>
      <c r="DI32" s="143" t="s">
        <v>842</v>
      </c>
      <c r="DJ32" s="143">
        <v>1726</v>
      </c>
      <c r="DK32" s="78">
        <v>2</v>
      </c>
      <c r="DL32" s="78">
        <v>1</v>
      </c>
      <c r="DM32" s="78">
        <v>1</v>
      </c>
      <c r="DN32" s="78">
        <v>5</v>
      </c>
      <c r="DO32" s="78">
        <v>2</v>
      </c>
      <c r="DP32" s="78">
        <v>3</v>
      </c>
      <c r="DQ32" s="78">
        <v>8</v>
      </c>
      <c r="DR32" s="78">
        <v>0</v>
      </c>
      <c r="DS32" s="78">
        <v>1</v>
      </c>
      <c r="DT32" s="78">
        <v>0</v>
      </c>
      <c r="DU32" s="78">
        <v>0</v>
      </c>
      <c r="DV32" s="137">
        <v>0.79310349999999996</v>
      </c>
      <c r="DX32" s="143" t="s">
        <v>726</v>
      </c>
      <c r="DY32" s="143" t="s">
        <v>720</v>
      </c>
      <c r="DZ32" s="143" t="s">
        <v>842</v>
      </c>
      <c r="EA32" s="143">
        <v>1726</v>
      </c>
      <c r="EB32" s="78">
        <v>1</v>
      </c>
      <c r="EC32" s="78">
        <v>8</v>
      </c>
      <c r="ED32" s="78">
        <v>1</v>
      </c>
      <c r="EE32" s="78">
        <v>4</v>
      </c>
      <c r="EF32" s="78">
        <v>3</v>
      </c>
      <c r="EG32" s="78">
        <v>1</v>
      </c>
      <c r="EH32" s="78">
        <v>1</v>
      </c>
      <c r="EI32" s="78">
        <v>1</v>
      </c>
      <c r="EJ32" s="78">
        <v>1</v>
      </c>
      <c r="EK32" s="78">
        <v>1</v>
      </c>
      <c r="EL32" s="78">
        <v>1</v>
      </c>
      <c r="EM32" s="78">
        <v>1</v>
      </c>
      <c r="EN32" s="78">
        <v>1</v>
      </c>
      <c r="EO32" s="78">
        <v>1</v>
      </c>
      <c r="EP32" s="78">
        <v>1</v>
      </c>
      <c r="EQ32" s="137">
        <v>1</v>
      </c>
      <c r="ES32" s="143" t="s">
        <v>726</v>
      </c>
      <c r="ET32" s="143" t="s">
        <v>720</v>
      </c>
      <c r="EU32" s="143" t="s">
        <v>842</v>
      </c>
      <c r="EV32" s="143">
        <v>1726</v>
      </c>
      <c r="EW32" s="78">
        <v>0.5</v>
      </c>
      <c r="EX32" s="78">
        <v>1</v>
      </c>
      <c r="EY32" s="78">
        <v>0</v>
      </c>
      <c r="EZ32" s="78">
        <v>0</v>
      </c>
      <c r="FA32" s="78">
        <v>0.5</v>
      </c>
      <c r="FB32" s="78">
        <v>0</v>
      </c>
      <c r="FC32" s="78">
        <v>2</v>
      </c>
      <c r="FD32" s="78">
        <v>1</v>
      </c>
      <c r="FE32" s="137">
        <v>0.3846154</v>
      </c>
      <c r="FG32" s="137">
        <v>0.54146340000000004</v>
      </c>
    </row>
    <row r="33" spans="1:163" x14ac:dyDescent="0.35">
      <c r="A33" s="143" t="s">
        <v>726</v>
      </c>
      <c r="B33" s="143" t="s">
        <v>720</v>
      </c>
      <c r="C33" s="143" t="s">
        <v>842</v>
      </c>
      <c r="D33" s="143">
        <v>1818</v>
      </c>
      <c r="E33" s="78">
        <v>0.5</v>
      </c>
      <c r="F33" s="78">
        <v>1.5</v>
      </c>
      <c r="G33" s="78">
        <v>1</v>
      </c>
      <c r="H33" s="78">
        <v>4</v>
      </c>
      <c r="I33" s="78">
        <v>1</v>
      </c>
      <c r="J33" s="78">
        <v>0</v>
      </c>
      <c r="K33" s="78">
        <v>1</v>
      </c>
      <c r="L33" s="78">
        <v>0</v>
      </c>
      <c r="M33" s="78">
        <v>2</v>
      </c>
      <c r="N33" s="137">
        <v>0.78571429999999998</v>
      </c>
      <c r="P33" s="143" t="s">
        <v>726</v>
      </c>
      <c r="Q33" s="143" t="s">
        <v>720</v>
      </c>
      <c r="R33" s="143" t="s">
        <v>842</v>
      </c>
      <c r="S33" s="143">
        <v>1818</v>
      </c>
      <c r="T33" s="78">
        <v>1</v>
      </c>
      <c r="U33" s="78">
        <v>0</v>
      </c>
      <c r="V33" s="78">
        <v>0</v>
      </c>
      <c r="W33" s="78">
        <v>0</v>
      </c>
      <c r="X33" s="78">
        <v>12</v>
      </c>
      <c r="Y33" s="78">
        <v>1</v>
      </c>
      <c r="Z33" s="78">
        <v>3</v>
      </c>
      <c r="AA33" s="78">
        <v>2</v>
      </c>
      <c r="AB33" s="78">
        <v>0</v>
      </c>
      <c r="AC33" s="78">
        <v>0</v>
      </c>
      <c r="AD33" s="137">
        <v>0.55882350000000003</v>
      </c>
      <c r="AF33" s="143" t="s">
        <v>726</v>
      </c>
      <c r="AG33" s="143" t="s">
        <v>720</v>
      </c>
      <c r="AH33" s="143" t="s">
        <v>842</v>
      </c>
      <c r="AI33" s="143">
        <v>1818</v>
      </c>
      <c r="AJ33" s="78">
        <v>0</v>
      </c>
      <c r="AK33" s="78">
        <v>0</v>
      </c>
      <c r="AL33" s="78">
        <v>1</v>
      </c>
      <c r="AM33" s="78">
        <v>0</v>
      </c>
      <c r="AN33" s="78">
        <v>0</v>
      </c>
      <c r="AO33" s="78">
        <v>2</v>
      </c>
      <c r="AP33" s="78">
        <v>2</v>
      </c>
      <c r="AQ33" s="78">
        <v>0</v>
      </c>
      <c r="AR33" s="78">
        <v>2</v>
      </c>
      <c r="AS33" s="78">
        <v>0</v>
      </c>
      <c r="AT33" s="78">
        <v>0</v>
      </c>
      <c r="AU33" s="78">
        <v>0</v>
      </c>
      <c r="AV33" s="78">
        <v>0</v>
      </c>
      <c r="AW33" s="78">
        <v>0</v>
      </c>
      <c r="AX33" s="78">
        <v>0</v>
      </c>
      <c r="AY33" s="78">
        <v>1</v>
      </c>
      <c r="AZ33" s="78">
        <v>2</v>
      </c>
      <c r="BA33" s="78">
        <v>0.5</v>
      </c>
      <c r="BB33" s="78">
        <v>0.5</v>
      </c>
      <c r="BC33" s="78">
        <v>0.5</v>
      </c>
      <c r="BD33" s="78">
        <v>1</v>
      </c>
      <c r="BE33" s="78">
        <v>0.5</v>
      </c>
      <c r="BF33" s="78">
        <v>0</v>
      </c>
      <c r="BG33" s="78">
        <v>8</v>
      </c>
      <c r="BH33" s="137">
        <v>0.47727269999999999</v>
      </c>
      <c r="BJ33" s="143" t="s">
        <v>726</v>
      </c>
      <c r="BK33" s="143" t="s">
        <v>720</v>
      </c>
      <c r="BL33" s="143" t="s">
        <v>842</v>
      </c>
      <c r="BM33" s="143">
        <v>1818</v>
      </c>
      <c r="BN33" s="78">
        <v>0</v>
      </c>
      <c r="BO33" s="78">
        <v>4</v>
      </c>
      <c r="BP33" s="78">
        <v>7</v>
      </c>
      <c r="BQ33" s="78">
        <v>0</v>
      </c>
      <c r="BR33" s="78">
        <v>0</v>
      </c>
      <c r="BS33" s="78">
        <v>0</v>
      </c>
      <c r="BT33" s="78">
        <v>2</v>
      </c>
      <c r="BU33" s="137">
        <v>0.56521739999999998</v>
      </c>
      <c r="BW33" s="143" t="s">
        <v>726</v>
      </c>
      <c r="BX33" s="143" t="s">
        <v>720</v>
      </c>
      <c r="BY33" s="143" t="s">
        <v>842</v>
      </c>
      <c r="BZ33" s="143">
        <v>1818</v>
      </c>
      <c r="CM33" s="143" t="s">
        <v>726</v>
      </c>
      <c r="CN33" s="143" t="s">
        <v>720</v>
      </c>
      <c r="CO33" s="143" t="s">
        <v>842</v>
      </c>
      <c r="CP33" s="143">
        <v>1818</v>
      </c>
      <c r="CQ33" s="78">
        <v>2</v>
      </c>
      <c r="CR33" s="78">
        <v>0</v>
      </c>
      <c r="CS33" s="78">
        <v>0</v>
      </c>
      <c r="CT33" s="78">
        <v>0</v>
      </c>
      <c r="CU33" s="78">
        <v>0</v>
      </c>
      <c r="CV33" s="78">
        <v>8</v>
      </c>
      <c r="CW33" s="137">
        <v>0.1923077</v>
      </c>
      <c r="CY33" s="143" t="s">
        <v>726</v>
      </c>
      <c r="CZ33" s="143" t="s">
        <v>720</v>
      </c>
      <c r="DA33" s="143" t="s">
        <v>842</v>
      </c>
      <c r="DB33" s="143">
        <v>1818</v>
      </c>
      <c r="DC33" s="78">
        <v>0</v>
      </c>
      <c r="DD33" s="137">
        <v>0</v>
      </c>
      <c r="DE33" s="137">
        <v>0</v>
      </c>
      <c r="DG33" s="143" t="s">
        <v>726</v>
      </c>
      <c r="DH33" s="143" t="s">
        <v>720</v>
      </c>
      <c r="DI33" s="143" t="s">
        <v>842</v>
      </c>
      <c r="DJ33" s="143">
        <v>1818</v>
      </c>
      <c r="DK33" s="78">
        <v>2</v>
      </c>
      <c r="DL33" s="78">
        <v>1</v>
      </c>
      <c r="DM33" s="78">
        <v>1</v>
      </c>
      <c r="DN33" s="78">
        <v>4</v>
      </c>
      <c r="DO33" s="78">
        <v>2</v>
      </c>
      <c r="DP33" s="78">
        <v>3</v>
      </c>
      <c r="DQ33" s="78">
        <v>8</v>
      </c>
      <c r="DR33" s="78">
        <v>0</v>
      </c>
      <c r="DS33" s="78">
        <v>0</v>
      </c>
      <c r="DT33" s="78">
        <v>0</v>
      </c>
      <c r="DU33" s="78">
        <v>0</v>
      </c>
      <c r="DV33" s="137">
        <v>0.7241379</v>
      </c>
      <c r="DX33" s="143" t="s">
        <v>726</v>
      </c>
      <c r="DY33" s="143" t="s">
        <v>720</v>
      </c>
      <c r="DZ33" s="143" t="s">
        <v>842</v>
      </c>
      <c r="EA33" s="143">
        <v>1818</v>
      </c>
      <c r="EB33" s="78">
        <v>1</v>
      </c>
      <c r="EC33" s="78">
        <v>8</v>
      </c>
      <c r="ED33" s="78">
        <v>1</v>
      </c>
      <c r="EE33" s="78">
        <v>4</v>
      </c>
      <c r="EF33" s="78">
        <v>3</v>
      </c>
      <c r="EG33" s="78">
        <v>1</v>
      </c>
      <c r="EH33" s="78">
        <v>0</v>
      </c>
      <c r="EI33" s="78">
        <v>1</v>
      </c>
      <c r="EJ33" s="78">
        <v>1</v>
      </c>
      <c r="EK33" s="78">
        <v>1</v>
      </c>
      <c r="EL33" s="78">
        <v>1</v>
      </c>
      <c r="EM33" s="78">
        <v>1</v>
      </c>
      <c r="EN33" s="78">
        <v>1</v>
      </c>
      <c r="EO33" s="78">
        <v>1</v>
      </c>
      <c r="EP33" s="78">
        <v>1</v>
      </c>
      <c r="EQ33" s="137">
        <v>0.96296300000000001</v>
      </c>
      <c r="ES33" s="143" t="s">
        <v>726</v>
      </c>
      <c r="ET33" s="143" t="s">
        <v>720</v>
      </c>
      <c r="EU33" s="143" t="s">
        <v>842</v>
      </c>
      <c r="EV33" s="143">
        <v>1818</v>
      </c>
      <c r="EW33" s="78">
        <v>0.5</v>
      </c>
      <c r="EX33" s="78">
        <v>1</v>
      </c>
      <c r="EY33" s="78">
        <v>0</v>
      </c>
      <c r="EZ33" s="78">
        <v>0</v>
      </c>
      <c r="FA33" s="78">
        <v>0.5</v>
      </c>
      <c r="FB33" s="78">
        <v>3</v>
      </c>
      <c r="FC33" s="78">
        <v>2</v>
      </c>
      <c r="FD33" s="78">
        <v>1</v>
      </c>
      <c r="FE33" s="137">
        <v>0.61538459999999995</v>
      </c>
      <c r="FG33" s="137">
        <v>0.3932927</v>
      </c>
    </row>
    <row r="34" spans="1:163" x14ac:dyDescent="0.35">
      <c r="A34" s="143" t="s">
        <v>727</v>
      </c>
      <c r="B34" s="143" t="s">
        <v>728</v>
      </c>
      <c r="C34" s="143" t="s">
        <v>842</v>
      </c>
      <c r="D34" s="143">
        <v>1836</v>
      </c>
      <c r="E34" s="78">
        <v>0</v>
      </c>
      <c r="F34" s="78">
        <v>2</v>
      </c>
      <c r="G34" s="78">
        <v>1</v>
      </c>
      <c r="H34" s="78">
        <v>4</v>
      </c>
      <c r="I34" s="78">
        <v>1</v>
      </c>
      <c r="J34" s="78">
        <v>0</v>
      </c>
      <c r="K34" s="78">
        <v>0</v>
      </c>
      <c r="L34" s="78">
        <v>0</v>
      </c>
      <c r="M34" s="78">
        <v>0</v>
      </c>
      <c r="N34" s="137">
        <v>0.57142859999999995</v>
      </c>
      <c r="P34" s="143" t="s">
        <v>727</v>
      </c>
      <c r="Q34" s="143" t="s">
        <v>728</v>
      </c>
      <c r="R34" s="143" t="s">
        <v>842</v>
      </c>
      <c r="S34" s="143">
        <v>1836</v>
      </c>
      <c r="T34" s="78">
        <v>1</v>
      </c>
      <c r="U34" s="78">
        <v>1</v>
      </c>
      <c r="V34" s="78">
        <v>0</v>
      </c>
      <c r="W34" s="78">
        <v>0</v>
      </c>
      <c r="X34" s="78">
        <v>12</v>
      </c>
      <c r="Y34" s="78">
        <v>1</v>
      </c>
      <c r="Z34" s="78">
        <v>0</v>
      </c>
      <c r="AA34" s="78">
        <v>0</v>
      </c>
      <c r="AB34" s="78">
        <v>6</v>
      </c>
      <c r="AC34" s="78">
        <v>0</v>
      </c>
      <c r="AD34" s="137">
        <v>0.6176471</v>
      </c>
      <c r="AF34" s="143" t="s">
        <v>727</v>
      </c>
      <c r="AG34" s="143" t="s">
        <v>728</v>
      </c>
      <c r="AH34" s="143" t="s">
        <v>842</v>
      </c>
      <c r="AI34" s="143">
        <v>1836</v>
      </c>
      <c r="AJ34" s="78">
        <v>1</v>
      </c>
      <c r="AK34" s="78">
        <v>0</v>
      </c>
      <c r="AL34" s="78">
        <v>1</v>
      </c>
      <c r="AM34" s="78">
        <v>0</v>
      </c>
      <c r="AN34" s="78">
        <v>1</v>
      </c>
      <c r="AO34" s="78">
        <v>2</v>
      </c>
      <c r="AP34" s="78">
        <v>2</v>
      </c>
      <c r="AQ34" s="78">
        <v>0</v>
      </c>
      <c r="AR34" s="78">
        <v>0</v>
      </c>
      <c r="AS34" s="78">
        <v>2</v>
      </c>
      <c r="AT34" s="78">
        <v>0</v>
      </c>
      <c r="AU34" s="78">
        <v>0</v>
      </c>
      <c r="AV34" s="78">
        <v>0</v>
      </c>
      <c r="AW34" s="78">
        <v>0</v>
      </c>
      <c r="AX34" s="78">
        <v>0</v>
      </c>
      <c r="AY34" s="78">
        <v>1</v>
      </c>
      <c r="AZ34" s="78">
        <v>2</v>
      </c>
      <c r="BA34" s="78">
        <v>0.5</v>
      </c>
      <c r="BB34" s="78">
        <v>0.5</v>
      </c>
      <c r="BC34" s="78">
        <v>0.5</v>
      </c>
      <c r="BD34" s="78">
        <v>1</v>
      </c>
      <c r="BE34" s="78">
        <v>0</v>
      </c>
      <c r="BF34" s="78">
        <v>0</v>
      </c>
      <c r="BG34" s="78">
        <v>2</v>
      </c>
      <c r="BH34" s="137">
        <v>0.375</v>
      </c>
      <c r="BJ34" s="143" t="s">
        <v>727</v>
      </c>
      <c r="BK34" s="143" t="s">
        <v>728</v>
      </c>
      <c r="BL34" s="143" t="s">
        <v>842</v>
      </c>
      <c r="BM34" s="143">
        <v>1836</v>
      </c>
      <c r="BN34" s="78">
        <v>1</v>
      </c>
      <c r="BO34" s="78">
        <v>4</v>
      </c>
      <c r="BP34" s="78">
        <v>7</v>
      </c>
      <c r="BQ34" s="78">
        <v>3</v>
      </c>
      <c r="BR34" s="78">
        <v>3</v>
      </c>
      <c r="BS34" s="78">
        <v>0</v>
      </c>
      <c r="BT34" s="78">
        <v>2</v>
      </c>
      <c r="BU34" s="137">
        <v>0.86956520000000004</v>
      </c>
      <c r="BW34" s="143" t="s">
        <v>727</v>
      </c>
      <c r="BX34" s="143" t="s">
        <v>728</v>
      </c>
      <c r="BY34" s="143" t="s">
        <v>842</v>
      </c>
      <c r="BZ34" s="143">
        <v>1836</v>
      </c>
      <c r="CM34" s="143" t="s">
        <v>727</v>
      </c>
      <c r="CN34" s="143" t="s">
        <v>728</v>
      </c>
      <c r="CO34" s="143" t="s">
        <v>842</v>
      </c>
      <c r="CP34" s="143">
        <v>1836</v>
      </c>
      <c r="CQ34" s="78">
        <v>8</v>
      </c>
      <c r="CR34" s="78">
        <v>0</v>
      </c>
      <c r="CS34" s="78">
        <v>12</v>
      </c>
      <c r="CT34" s="78">
        <v>4</v>
      </c>
      <c r="CU34" s="78">
        <v>0</v>
      </c>
      <c r="CV34" s="78">
        <v>8</v>
      </c>
      <c r="CW34" s="137">
        <v>0.61538459999999995</v>
      </c>
      <c r="CY34" s="143" t="s">
        <v>727</v>
      </c>
      <c r="CZ34" s="143" t="s">
        <v>728</v>
      </c>
      <c r="DA34" s="143" t="s">
        <v>842</v>
      </c>
      <c r="DB34" s="143">
        <v>1836</v>
      </c>
      <c r="DC34" s="78">
        <v>0</v>
      </c>
      <c r="DD34" s="137">
        <v>0</v>
      </c>
      <c r="DE34" s="137">
        <v>0</v>
      </c>
      <c r="DG34" s="143" t="s">
        <v>727</v>
      </c>
      <c r="DH34" s="143" t="s">
        <v>728</v>
      </c>
      <c r="DI34" s="143" t="s">
        <v>842</v>
      </c>
      <c r="DJ34" s="143">
        <v>1836</v>
      </c>
      <c r="DK34" s="78">
        <v>2</v>
      </c>
      <c r="DL34" s="78">
        <v>1</v>
      </c>
      <c r="DM34" s="78">
        <v>0</v>
      </c>
      <c r="DN34" s="78">
        <v>7</v>
      </c>
      <c r="DO34" s="78">
        <v>2</v>
      </c>
      <c r="DP34" s="78">
        <v>3</v>
      </c>
      <c r="DQ34" s="78">
        <v>6</v>
      </c>
      <c r="DR34" s="78">
        <v>1</v>
      </c>
      <c r="DS34" s="78">
        <v>1</v>
      </c>
      <c r="DT34" s="78">
        <v>0</v>
      </c>
      <c r="DU34" s="78">
        <v>1</v>
      </c>
      <c r="DV34" s="137">
        <v>0.82758620000000005</v>
      </c>
      <c r="DX34" s="143" t="s">
        <v>727</v>
      </c>
      <c r="DY34" s="143" t="s">
        <v>728</v>
      </c>
      <c r="DZ34" s="143" t="s">
        <v>842</v>
      </c>
      <c r="EA34" s="143">
        <v>1836</v>
      </c>
      <c r="EB34" s="78">
        <v>0</v>
      </c>
      <c r="EC34" s="78">
        <v>8</v>
      </c>
      <c r="ED34" s="78">
        <v>1</v>
      </c>
      <c r="EE34" s="78">
        <v>4</v>
      </c>
      <c r="EF34" s="78">
        <v>0</v>
      </c>
      <c r="EG34" s="78">
        <v>1</v>
      </c>
      <c r="EH34" s="78">
        <v>0</v>
      </c>
      <c r="EI34" s="78">
        <v>1</v>
      </c>
      <c r="EJ34" s="78">
        <v>1</v>
      </c>
      <c r="EK34" s="78">
        <v>1</v>
      </c>
      <c r="EL34" s="78">
        <v>1</v>
      </c>
      <c r="EM34" s="78">
        <v>1</v>
      </c>
      <c r="EN34" s="78">
        <v>0</v>
      </c>
      <c r="EO34" s="78">
        <v>1</v>
      </c>
      <c r="EP34" s="78">
        <v>0</v>
      </c>
      <c r="EQ34" s="137">
        <v>0.74074070000000003</v>
      </c>
      <c r="ES34" s="143" t="s">
        <v>727</v>
      </c>
      <c r="ET34" s="143" t="s">
        <v>728</v>
      </c>
      <c r="EU34" s="143" t="s">
        <v>842</v>
      </c>
      <c r="EV34" s="143">
        <v>1836</v>
      </c>
      <c r="EW34" s="78">
        <v>0</v>
      </c>
      <c r="EX34" s="78">
        <v>1</v>
      </c>
      <c r="EY34" s="78">
        <v>3</v>
      </c>
      <c r="EZ34" s="78">
        <v>0</v>
      </c>
      <c r="FA34" s="78">
        <v>0.5</v>
      </c>
      <c r="FB34" s="78">
        <v>3</v>
      </c>
      <c r="FC34" s="78">
        <v>2</v>
      </c>
      <c r="FD34" s="78">
        <v>0</v>
      </c>
      <c r="FE34" s="137">
        <v>0.73076920000000001</v>
      </c>
      <c r="FG34" s="137">
        <v>0.46036589999999999</v>
      </c>
    </row>
    <row r="35" spans="1:163" x14ac:dyDescent="0.35">
      <c r="A35" s="143" t="s">
        <v>727</v>
      </c>
      <c r="B35" s="143" t="s">
        <v>728</v>
      </c>
      <c r="C35" s="143" t="s">
        <v>841</v>
      </c>
      <c r="D35" s="143">
        <v>2200</v>
      </c>
      <c r="E35" s="78">
        <v>0</v>
      </c>
      <c r="F35" s="78">
        <v>2</v>
      </c>
      <c r="G35" s="78">
        <v>1</v>
      </c>
      <c r="H35" s="78">
        <v>4</v>
      </c>
      <c r="I35" s="78">
        <v>1</v>
      </c>
      <c r="J35" s="78">
        <v>0</v>
      </c>
      <c r="K35" s="78">
        <v>0</v>
      </c>
      <c r="L35" s="78">
        <v>0</v>
      </c>
      <c r="M35" s="78">
        <v>0</v>
      </c>
      <c r="N35" s="137">
        <v>0.57142859999999995</v>
      </c>
      <c r="P35" s="143" t="s">
        <v>727</v>
      </c>
      <c r="Q35" s="143" t="s">
        <v>728</v>
      </c>
      <c r="R35" s="143" t="s">
        <v>841</v>
      </c>
      <c r="S35" s="143">
        <v>2200</v>
      </c>
      <c r="T35" s="78">
        <v>1</v>
      </c>
      <c r="U35" s="78">
        <v>1</v>
      </c>
      <c r="V35" s="78">
        <v>2.5</v>
      </c>
      <c r="W35" s="78">
        <v>0.5</v>
      </c>
      <c r="X35" s="78">
        <v>12</v>
      </c>
      <c r="Y35" s="78">
        <v>1</v>
      </c>
      <c r="Z35" s="78">
        <v>3</v>
      </c>
      <c r="AA35" s="78">
        <v>0</v>
      </c>
      <c r="AB35" s="78">
        <v>6</v>
      </c>
      <c r="AC35" s="78">
        <v>0</v>
      </c>
      <c r="AD35" s="137">
        <v>0.79411759999999998</v>
      </c>
      <c r="AF35" s="143" t="s">
        <v>727</v>
      </c>
      <c r="AG35" s="143" t="s">
        <v>728</v>
      </c>
      <c r="AH35" s="143" t="s">
        <v>841</v>
      </c>
      <c r="AI35" s="143">
        <v>2200</v>
      </c>
      <c r="AJ35" s="78">
        <v>0</v>
      </c>
      <c r="AK35" s="78">
        <v>1</v>
      </c>
      <c r="AL35" s="78">
        <v>1</v>
      </c>
      <c r="AM35" s="78">
        <v>0</v>
      </c>
      <c r="AN35" s="78">
        <v>1</v>
      </c>
      <c r="AO35" s="78">
        <v>0</v>
      </c>
      <c r="AP35" s="78">
        <v>2</v>
      </c>
      <c r="AQ35" s="78">
        <v>1</v>
      </c>
      <c r="AR35" s="78">
        <v>2</v>
      </c>
      <c r="AS35" s="78">
        <v>2</v>
      </c>
      <c r="AT35" s="78">
        <v>2</v>
      </c>
      <c r="AU35" s="78">
        <v>1</v>
      </c>
      <c r="AV35" s="78">
        <v>2</v>
      </c>
      <c r="AW35" s="78">
        <v>1</v>
      </c>
      <c r="AX35" s="78">
        <v>0</v>
      </c>
      <c r="AY35" s="78">
        <v>1</v>
      </c>
      <c r="AZ35" s="78">
        <v>2</v>
      </c>
      <c r="BA35" s="78">
        <v>0.5</v>
      </c>
      <c r="BB35" s="78">
        <v>0.5</v>
      </c>
      <c r="BC35" s="78">
        <v>0.5</v>
      </c>
      <c r="BD35" s="78">
        <v>1</v>
      </c>
      <c r="BE35" s="78">
        <v>0</v>
      </c>
      <c r="BF35" s="78">
        <v>1</v>
      </c>
      <c r="BG35" s="78">
        <v>2</v>
      </c>
      <c r="BH35" s="137">
        <v>0.55681820000000004</v>
      </c>
      <c r="BJ35" s="143" t="s">
        <v>727</v>
      </c>
      <c r="BK35" s="143" t="s">
        <v>728</v>
      </c>
      <c r="BL35" s="143" t="s">
        <v>841</v>
      </c>
      <c r="BM35" s="143">
        <v>2200</v>
      </c>
      <c r="BN35" s="78">
        <v>1</v>
      </c>
      <c r="BO35" s="78">
        <v>0</v>
      </c>
      <c r="BP35" s="78">
        <v>0</v>
      </c>
      <c r="BQ35" s="78">
        <v>3</v>
      </c>
      <c r="BR35" s="78">
        <v>3</v>
      </c>
      <c r="BS35" s="78">
        <v>0</v>
      </c>
      <c r="BT35" s="78">
        <v>2</v>
      </c>
      <c r="BU35" s="137">
        <v>0.39130429999999999</v>
      </c>
      <c r="BW35" s="143" t="s">
        <v>727</v>
      </c>
      <c r="BX35" s="143" t="s">
        <v>728</v>
      </c>
      <c r="BY35" s="143" t="s">
        <v>841</v>
      </c>
      <c r="BZ35" s="143">
        <v>2200</v>
      </c>
      <c r="CA35" s="78">
        <v>1</v>
      </c>
      <c r="CB35" s="78">
        <v>0</v>
      </c>
      <c r="CC35" s="78">
        <v>1</v>
      </c>
      <c r="CD35" s="78">
        <v>2</v>
      </c>
      <c r="CE35" s="78">
        <v>1</v>
      </c>
      <c r="CF35" s="78">
        <v>2</v>
      </c>
      <c r="CG35" s="78">
        <v>1</v>
      </c>
      <c r="CH35" s="78">
        <v>2</v>
      </c>
      <c r="CI35" s="78">
        <v>0</v>
      </c>
      <c r="CJ35" s="78">
        <v>0</v>
      </c>
      <c r="CK35" s="137">
        <v>0.66666669999999995</v>
      </c>
      <c r="CM35" s="143" t="s">
        <v>727</v>
      </c>
      <c r="CN35" s="143" t="s">
        <v>728</v>
      </c>
      <c r="CO35" s="143" t="s">
        <v>841</v>
      </c>
      <c r="CP35" s="143">
        <v>2200</v>
      </c>
      <c r="CQ35" s="78">
        <v>8</v>
      </c>
      <c r="CR35" s="78">
        <v>0</v>
      </c>
      <c r="CS35" s="78">
        <v>12</v>
      </c>
      <c r="CT35" s="78">
        <v>4</v>
      </c>
      <c r="CU35" s="78">
        <v>2</v>
      </c>
      <c r="CV35" s="78">
        <v>8</v>
      </c>
      <c r="CW35" s="137">
        <v>0.65384609999999999</v>
      </c>
      <c r="CY35" s="143" t="s">
        <v>727</v>
      </c>
      <c r="CZ35" s="143" t="s">
        <v>728</v>
      </c>
      <c r="DA35" s="143" t="s">
        <v>841</v>
      </c>
      <c r="DB35" s="143">
        <v>2200</v>
      </c>
      <c r="DC35" s="78">
        <v>0</v>
      </c>
      <c r="DD35" s="137">
        <v>0</v>
      </c>
      <c r="DE35" s="137">
        <v>0</v>
      </c>
      <c r="DG35" s="143" t="s">
        <v>727</v>
      </c>
      <c r="DH35" s="143" t="s">
        <v>728</v>
      </c>
      <c r="DI35" s="143" t="s">
        <v>841</v>
      </c>
      <c r="DJ35" s="143">
        <v>2200</v>
      </c>
      <c r="DK35" s="78">
        <v>2</v>
      </c>
      <c r="DL35" s="78">
        <v>1</v>
      </c>
      <c r="DM35" s="78">
        <v>1</v>
      </c>
      <c r="DN35" s="78">
        <v>7</v>
      </c>
      <c r="DO35" s="78">
        <v>2</v>
      </c>
      <c r="DP35" s="78">
        <v>3</v>
      </c>
      <c r="DQ35" s="78">
        <v>5</v>
      </c>
      <c r="DR35" s="78">
        <v>1</v>
      </c>
      <c r="DS35" s="78">
        <v>1</v>
      </c>
      <c r="DT35" s="78">
        <v>2</v>
      </c>
      <c r="DU35" s="78">
        <v>1</v>
      </c>
      <c r="DV35" s="137">
        <v>0.89655169999999995</v>
      </c>
      <c r="DX35" s="143" t="s">
        <v>727</v>
      </c>
      <c r="DY35" s="143" t="s">
        <v>728</v>
      </c>
      <c r="DZ35" s="143" t="s">
        <v>841</v>
      </c>
      <c r="EA35" s="143">
        <v>2200</v>
      </c>
      <c r="EB35" s="78">
        <v>1</v>
      </c>
      <c r="EC35" s="78">
        <v>8</v>
      </c>
      <c r="ED35" s="78">
        <v>1</v>
      </c>
      <c r="EE35" s="78">
        <v>4</v>
      </c>
      <c r="EF35" s="78">
        <v>0</v>
      </c>
      <c r="EG35" s="78">
        <v>1</v>
      </c>
      <c r="EH35" s="78">
        <v>1</v>
      </c>
      <c r="EI35" s="78">
        <v>1</v>
      </c>
      <c r="EJ35" s="78">
        <v>1</v>
      </c>
      <c r="EK35" s="78">
        <v>1</v>
      </c>
      <c r="EL35" s="78">
        <v>1</v>
      </c>
      <c r="EM35" s="78">
        <v>1</v>
      </c>
      <c r="EN35" s="78">
        <v>1</v>
      </c>
      <c r="EO35" s="78">
        <v>1</v>
      </c>
      <c r="EP35" s="78">
        <v>1</v>
      </c>
      <c r="EQ35" s="137">
        <v>0.88888889999999998</v>
      </c>
      <c r="ES35" s="143" t="s">
        <v>727</v>
      </c>
      <c r="ET35" s="143" t="s">
        <v>728</v>
      </c>
      <c r="EU35" s="143" t="s">
        <v>841</v>
      </c>
      <c r="EV35" s="143">
        <v>2200</v>
      </c>
      <c r="EW35" s="78">
        <v>0</v>
      </c>
      <c r="EX35" s="78">
        <v>0</v>
      </c>
      <c r="EY35" s="78">
        <v>3</v>
      </c>
      <c r="EZ35" s="78">
        <v>0</v>
      </c>
      <c r="FA35" s="78">
        <v>0.5</v>
      </c>
      <c r="FB35" s="78">
        <v>3</v>
      </c>
      <c r="FC35" s="78">
        <v>2</v>
      </c>
      <c r="FD35" s="78">
        <v>0</v>
      </c>
      <c r="FE35" s="137">
        <v>0.65384609999999999</v>
      </c>
      <c r="FG35" s="137">
        <v>0.49854229999999999</v>
      </c>
    </row>
    <row r="36" spans="1:163" x14ac:dyDescent="0.35">
      <c r="A36" s="143" t="s">
        <v>727</v>
      </c>
      <c r="B36" s="143" t="s">
        <v>728</v>
      </c>
      <c r="C36" s="143" t="s">
        <v>842</v>
      </c>
      <c r="D36" s="143">
        <v>2207</v>
      </c>
      <c r="E36" s="78">
        <v>0</v>
      </c>
      <c r="F36" s="78">
        <v>2</v>
      </c>
      <c r="G36" s="78">
        <v>1</v>
      </c>
      <c r="H36" s="78">
        <v>3</v>
      </c>
      <c r="I36" s="78">
        <v>1</v>
      </c>
      <c r="J36" s="78">
        <v>0</v>
      </c>
      <c r="K36" s="78">
        <v>0</v>
      </c>
      <c r="L36" s="78">
        <v>0</v>
      </c>
      <c r="M36" s="78">
        <v>2</v>
      </c>
      <c r="N36" s="137">
        <v>0.64285709999999996</v>
      </c>
      <c r="P36" s="143" t="s">
        <v>727</v>
      </c>
      <c r="Q36" s="143" t="s">
        <v>728</v>
      </c>
      <c r="R36" s="143" t="s">
        <v>842</v>
      </c>
      <c r="S36" s="143">
        <v>2207</v>
      </c>
      <c r="T36" s="78">
        <v>1</v>
      </c>
      <c r="U36" s="78">
        <v>0</v>
      </c>
      <c r="V36" s="78">
        <v>2</v>
      </c>
      <c r="W36" s="78">
        <v>0.5</v>
      </c>
      <c r="X36" s="78">
        <v>0</v>
      </c>
      <c r="Y36" s="78">
        <v>1</v>
      </c>
      <c r="Z36" s="78">
        <v>0</v>
      </c>
      <c r="AA36" s="78">
        <v>0</v>
      </c>
      <c r="AB36" s="78">
        <v>6</v>
      </c>
      <c r="AC36" s="78">
        <v>0</v>
      </c>
      <c r="AD36" s="137">
        <v>0.30882349999999997</v>
      </c>
      <c r="AF36" s="143" t="s">
        <v>727</v>
      </c>
      <c r="AG36" s="143" t="s">
        <v>728</v>
      </c>
      <c r="AH36" s="143" t="s">
        <v>842</v>
      </c>
      <c r="AI36" s="143">
        <v>2207</v>
      </c>
      <c r="AJ36" s="78">
        <v>1</v>
      </c>
      <c r="AK36" s="78">
        <v>1</v>
      </c>
      <c r="AL36" s="78">
        <v>0</v>
      </c>
      <c r="AM36" s="78">
        <v>0</v>
      </c>
      <c r="AN36" s="78">
        <v>0</v>
      </c>
      <c r="AO36" s="78">
        <v>0</v>
      </c>
      <c r="AP36" s="78">
        <v>2</v>
      </c>
      <c r="AQ36" s="78">
        <v>1</v>
      </c>
      <c r="AR36" s="78">
        <v>2</v>
      </c>
      <c r="AS36" s="78">
        <v>2</v>
      </c>
      <c r="AT36" s="78">
        <v>0</v>
      </c>
      <c r="AU36" s="78">
        <v>0</v>
      </c>
      <c r="AV36" s="78">
        <v>0</v>
      </c>
      <c r="AW36" s="78">
        <v>0</v>
      </c>
      <c r="AX36" s="78">
        <v>0</v>
      </c>
      <c r="AY36" s="78">
        <v>1</v>
      </c>
      <c r="AZ36" s="78">
        <v>2</v>
      </c>
      <c r="BA36" s="78">
        <v>0.5</v>
      </c>
      <c r="BB36" s="78">
        <v>0.5</v>
      </c>
      <c r="BC36" s="78">
        <v>0.5</v>
      </c>
      <c r="BD36" s="78">
        <v>1</v>
      </c>
      <c r="BE36" s="78">
        <v>0.5</v>
      </c>
      <c r="BF36" s="78">
        <v>1</v>
      </c>
      <c r="BG36" s="78">
        <v>2</v>
      </c>
      <c r="BH36" s="137">
        <v>0.40909089999999998</v>
      </c>
      <c r="BJ36" s="143" t="s">
        <v>727</v>
      </c>
      <c r="BK36" s="143" t="s">
        <v>728</v>
      </c>
      <c r="BL36" s="143" t="s">
        <v>842</v>
      </c>
      <c r="BM36" s="143">
        <v>2207</v>
      </c>
      <c r="BN36" s="78">
        <v>1</v>
      </c>
      <c r="BO36" s="78">
        <v>4</v>
      </c>
      <c r="BP36" s="78">
        <v>7</v>
      </c>
      <c r="BQ36" s="78">
        <v>3</v>
      </c>
      <c r="BR36" s="78">
        <v>0</v>
      </c>
      <c r="BS36" s="78">
        <v>0</v>
      </c>
      <c r="BT36" s="78">
        <v>2</v>
      </c>
      <c r="BU36" s="137">
        <v>0.73913039999999997</v>
      </c>
      <c r="BW36" s="143" t="s">
        <v>727</v>
      </c>
      <c r="BX36" s="143" t="s">
        <v>728</v>
      </c>
      <c r="BY36" s="143" t="s">
        <v>842</v>
      </c>
      <c r="BZ36" s="143">
        <v>2207</v>
      </c>
      <c r="CM36" s="143" t="s">
        <v>727</v>
      </c>
      <c r="CN36" s="143" t="s">
        <v>728</v>
      </c>
      <c r="CO36" s="143" t="s">
        <v>842</v>
      </c>
      <c r="CP36" s="143">
        <v>2207</v>
      </c>
      <c r="CQ36" s="78">
        <v>0</v>
      </c>
      <c r="CR36" s="78">
        <v>0</v>
      </c>
      <c r="CS36" s="78">
        <v>8</v>
      </c>
      <c r="CT36" s="78">
        <v>4</v>
      </c>
      <c r="CU36" s="78">
        <v>0</v>
      </c>
      <c r="CV36" s="78">
        <v>8</v>
      </c>
      <c r="CW36" s="137">
        <v>0.3846154</v>
      </c>
      <c r="CY36" s="143" t="s">
        <v>727</v>
      </c>
      <c r="CZ36" s="143" t="s">
        <v>728</v>
      </c>
      <c r="DA36" s="143" t="s">
        <v>842</v>
      </c>
      <c r="DB36" s="143">
        <v>2207</v>
      </c>
      <c r="DC36" s="78">
        <v>0</v>
      </c>
      <c r="DD36" s="137">
        <v>0</v>
      </c>
      <c r="DE36" s="137">
        <v>0</v>
      </c>
      <c r="DG36" s="143" t="s">
        <v>727</v>
      </c>
      <c r="DH36" s="143" t="s">
        <v>728</v>
      </c>
      <c r="DI36" s="143" t="s">
        <v>842</v>
      </c>
      <c r="DJ36" s="143">
        <v>2207</v>
      </c>
      <c r="DK36" s="78">
        <v>0</v>
      </c>
      <c r="DL36" s="78">
        <v>1</v>
      </c>
      <c r="DM36" s="78">
        <v>0</v>
      </c>
      <c r="DN36" s="78">
        <v>7</v>
      </c>
      <c r="DO36" s="78">
        <v>2</v>
      </c>
      <c r="DP36" s="78">
        <v>3</v>
      </c>
      <c r="DQ36" s="78">
        <v>4</v>
      </c>
      <c r="DR36" s="78">
        <v>0</v>
      </c>
      <c r="DS36" s="78">
        <v>1</v>
      </c>
      <c r="DT36" s="78">
        <v>0</v>
      </c>
      <c r="DU36" s="78">
        <v>0</v>
      </c>
      <c r="DV36" s="137">
        <v>0.62068959999999995</v>
      </c>
      <c r="DX36" s="143" t="s">
        <v>727</v>
      </c>
      <c r="DY36" s="143" t="s">
        <v>728</v>
      </c>
      <c r="DZ36" s="143" t="s">
        <v>842</v>
      </c>
      <c r="EA36" s="143">
        <v>2207</v>
      </c>
      <c r="EB36" s="78">
        <v>1</v>
      </c>
      <c r="EC36" s="78">
        <v>8</v>
      </c>
      <c r="ED36" s="78">
        <v>1</v>
      </c>
      <c r="EE36" s="78">
        <v>4</v>
      </c>
      <c r="EF36" s="78">
        <v>0</v>
      </c>
      <c r="EG36" s="78">
        <v>1</v>
      </c>
      <c r="EH36" s="78">
        <v>0</v>
      </c>
      <c r="EI36" s="78">
        <v>1</v>
      </c>
      <c r="EJ36" s="78">
        <v>1</v>
      </c>
      <c r="EK36" s="78">
        <v>0</v>
      </c>
      <c r="EL36" s="78">
        <v>1</v>
      </c>
      <c r="EM36" s="78">
        <v>1</v>
      </c>
      <c r="EN36" s="78">
        <v>1</v>
      </c>
      <c r="EO36" s="78">
        <v>1</v>
      </c>
      <c r="EP36" s="78">
        <v>1</v>
      </c>
      <c r="EQ36" s="137">
        <v>0.81481479999999995</v>
      </c>
      <c r="ES36" s="143" t="s">
        <v>727</v>
      </c>
      <c r="ET36" s="143" t="s">
        <v>728</v>
      </c>
      <c r="EU36" s="143" t="s">
        <v>842</v>
      </c>
      <c r="EV36" s="143">
        <v>2207</v>
      </c>
      <c r="EW36" s="78">
        <v>0</v>
      </c>
      <c r="EX36" s="78">
        <v>0</v>
      </c>
      <c r="EY36" s="78">
        <v>3</v>
      </c>
      <c r="EZ36" s="78">
        <v>2</v>
      </c>
      <c r="FA36" s="78">
        <v>0.5</v>
      </c>
      <c r="FB36" s="78">
        <v>3</v>
      </c>
      <c r="FC36" s="78">
        <v>2</v>
      </c>
      <c r="FD36" s="78">
        <v>0</v>
      </c>
      <c r="FE36" s="137">
        <v>0.80769230000000003</v>
      </c>
      <c r="FG36" s="137">
        <v>0.38109759999999998</v>
      </c>
    </row>
    <row r="37" spans="1:163" x14ac:dyDescent="0.35">
      <c r="A37" s="143" t="s">
        <v>727</v>
      </c>
      <c r="B37" s="143" t="s">
        <v>728</v>
      </c>
      <c r="C37" s="143" t="s">
        <v>842</v>
      </c>
      <c r="D37" s="143">
        <v>3962</v>
      </c>
      <c r="E37" s="78">
        <v>0</v>
      </c>
      <c r="F37" s="78">
        <v>1.5</v>
      </c>
      <c r="G37" s="78">
        <v>1</v>
      </c>
      <c r="H37" s="78">
        <v>3</v>
      </c>
      <c r="I37" s="78">
        <v>0</v>
      </c>
      <c r="J37" s="78">
        <v>0</v>
      </c>
      <c r="K37" s="78">
        <v>0</v>
      </c>
      <c r="L37" s="78">
        <v>0</v>
      </c>
      <c r="M37" s="78">
        <v>0</v>
      </c>
      <c r="N37" s="137">
        <v>0.39285710000000001</v>
      </c>
      <c r="P37" s="143" t="s">
        <v>727</v>
      </c>
      <c r="Q37" s="143" t="s">
        <v>728</v>
      </c>
      <c r="R37" s="143" t="s">
        <v>842</v>
      </c>
      <c r="S37" s="143">
        <v>3962</v>
      </c>
      <c r="T37" s="78">
        <v>1</v>
      </c>
      <c r="U37" s="78">
        <v>0</v>
      </c>
      <c r="V37" s="78">
        <v>1.5</v>
      </c>
      <c r="W37" s="78">
        <v>0</v>
      </c>
      <c r="X37" s="78">
        <v>12</v>
      </c>
      <c r="Y37" s="78">
        <v>1</v>
      </c>
      <c r="Z37" s="78">
        <v>0</v>
      </c>
      <c r="AA37" s="78">
        <v>0</v>
      </c>
      <c r="AB37" s="78">
        <v>0</v>
      </c>
      <c r="AC37" s="78">
        <v>0</v>
      </c>
      <c r="AD37" s="137">
        <v>0.45588230000000002</v>
      </c>
      <c r="AF37" s="143" t="s">
        <v>727</v>
      </c>
      <c r="AG37" s="143" t="s">
        <v>728</v>
      </c>
      <c r="AH37" s="143" t="s">
        <v>842</v>
      </c>
      <c r="AI37" s="143">
        <v>3962</v>
      </c>
      <c r="AJ37" s="78">
        <v>0</v>
      </c>
      <c r="AK37" s="78">
        <v>1</v>
      </c>
      <c r="AL37" s="78">
        <v>1</v>
      </c>
      <c r="AM37" s="78">
        <v>0</v>
      </c>
      <c r="AN37" s="78">
        <v>1</v>
      </c>
      <c r="AO37" s="78">
        <v>2</v>
      </c>
      <c r="AP37" s="78">
        <v>2</v>
      </c>
      <c r="AQ37" s="78">
        <v>0</v>
      </c>
      <c r="AR37" s="78">
        <v>2</v>
      </c>
      <c r="AS37" s="78">
        <v>2</v>
      </c>
      <c r="AT37" s="78">
        <v>0</v>
      </c>
      <c r="AU37" s="78">
        <v>0</v>
      </c>
      <c r="AV37" s="78">
        <v>0</v>
      </c>
      <c r="AW37" s="78">
        <v>0</v>
      </c>
      <c r="AX37" s="78">
        <v>0</v>
      </c>
      <c r="AY37" s="78">
        <v>1</v>
      </c>
      <c r="AZ37" s="78">
        <v>2</v>
      </c>
      <c r="BA37" s="78">
        <v>0.5</v>
      </c>
      <c r="BB37" s="78">
        <v>0.5</v>
      </c>
      <c r="BC37" s="78">
        <v>0.5</v>
      </c>
      <c r="BD37" s="78">
        <v>0</v>
      </c>
      <c r="BE37" s="78">
        <v>0</v>
      </c>
      <c r="BF37" s="78">
        <v>0</v>
      </c>
      <c r="BG37" s="78">
        <v>2</v>
      </c>
      <c r="BH37" s="137">
        <v>0.39772730000000001</v>
      </c>
      <c r="BJ37" s="143" t="s">
        <v>727</v>
      </c>
      <c r="BK37" s="143" t="s">
        <v>728</v>
      </c>
      <c r="BL37" s="143" t="s">
        <v>842</v>
      </c>
      <c r="BM37" s="143">
        <v>3962</v>
      </c>
      <c r="BN37" s="78">
        <v>1</v>
      </c>
      <c r="BO37" s="78">
        <v>0</v>
      </c>
      <c r="BP37" s="78">
        <v>0</v>
      </c>
      <c r="BQ37" s="78">
        <v>0</v>
      </c>
      <c r="BR37" s="78">
        <v>0</v>
      </c>
      <c r="BS37" s="78">
        <v>0</v>
      </c>
      <c r="BT37" s="78">
        <v>0</v>
      </c>
      <c r="BU37" s="137">
        <v>4.3478299999999998E-2</v>
      </c>
      <c r="BW37" s="143" t="s">
        <v>727</v>
      </c>
      <c r="BX37" s="143" t="s">
        <v>728</v>
      </c>
      <c r="BY37" s="143" t="s">
        <v>842</v>
      </c>
      <c r="BZ37" s="143">
        <v>3962</v>
      </c>
      <c r="CM37" s="143" t="s">
        <v>727</v>
      </c>
      <c r="CN37" s="143" t="s">
        <v>728</v>
      </c>
      <c r="CO37" s="143" t="s">
        <v>842</v>
      </c>
      <c r="CP37" s="143">
        <v>3962</v>
      </c>
      <c r="CQ37" s="78">
        <v>0</v>
      </c>
      <c r="CR37" s="78">
        <v>0</v>
      </c>
      <c r="CS37" s="78">
        <v>12</v>
      </c>
      <c r="CT37" s="78">
        <v>0</v>
      </c>
      <c r="CU37" s="78">
        <v>0</v>
      </c>
      <c r="CV37" s="78">
        <v>8</v>
      </c>
      <c r="CW37" s="137">
        <v>0.3846154</v>
      </c>
      <c r="CY37" s="143" t="s">
        <v>727</v>
      </c>
      <c r="CZ37" s="143" t="s">
        <v>728</v>
      </c>
      <c r="DA37" s="143" t="s">
        <v>842</v>
      </c>
      <c r="DB37" s="143">
        <v>3962</v>
      </c>
      <c r="DC37" s="78">
        <v>0</v>
      </c>
      <c r="DD37" s="137">
        <v>0</v>
      </c>
      <c r="DE37" s="137">
        <v>0</v>
      </c>
      <c r="DG37" s="143" t="s">
        <v>727</v>
      </c>
      <c r="DH37" s="143" t="s">
        <v>728</v>
      </c>
      <c r="DI37" s="143" t="s">
        <v>842</v>
      </c>
      <c r="DJ37" s="143">
        <v>3962</v>
      </c>
      <c r="DK37" s="78">
        <v>0</v>
      </c>
      <c r="DL37" s="78">
        <v>1</v>
      </c>
      <c r="DM37" s="78">
        <v>0</v>
      </c>
      <c r="DN37" s="78">
        <v>3</v>
      </c>
      <c r="DO37" s="78">
        <v>2</v>
      </c>
      <c r="DP37" s="78">
        <v>3</v>
      </c>
      <c r="DQ37" s="78">
        <v>4</v>
      </c>
      <c r="DR37" s="78">
        <v>0</v>
      </c>
      <c r="DS37" s="78">
        <v>1</v>
      </c>
      <c r="DT37" s="78">
        <v>0</v>
      </c>
      <c r="DU37" s="78">
        <v>0</v>
      </c>
      <c r="DV37" s="137">
        <v>0.48275859999999998</v>
      </c>
      <c r="DX37" s="143" t="s">
        <v>727</v>
      </c>
      <c r="DY37" s="143" t="s">
        <v>728</v>
      </c>
      <c r="DZ37" s="143" t="s">
        <v>842</v>
      </c>
      <c r="EA37" s="143">
        <v>3962</v>
      </c>
      <c r="EB37" s="78">
        <v>1</v>
      </c>
      <c r="EC37" s="78">
        <v>8</v>
      </c>
      <c r="ED37" s="78">
        <v>1</v>
      </c>
      <c r="EE37" s="78">
        <v>4</v>
      </c>
      <c r="EF37" s="78">
        <v>0</v>
      </c>
      <c r="EG37" s="78">
        <v>1</v>
      </c>
      <c r="EH37" s="78">
        <v>0</v>
      </c>
      <c r="EI37" s="78">
        <v>1</v>
      </c>
      <c r="EJ37" s="78">
        <v>1</v>
      </c>
      <c r="EK37" s="78">
        <v>0</v>
      </c>
      <c r="EL37" s="78">
        <v>1</v>
      </c>
      <c r="EM37" s="78">
        <v>1</v>
      </c>
      <c r="EN37" s="78">
        <v>0</v>
      </c>
      <c r="EO37" s="78">
        <v>0</v>
      </c>
      <c r="EP37" s="78">
        <v>1</v>
      </c>
      <c r="EQ37" s="137">
        <v>0.74074070000000003</v>
      </c>
      <c r="ES37" s="143" t="s">
        <v>727</v>
      </c>
      <c r="ET37" s="143" t="s">
        <v>728</v>
      </c>
      <c r="EU37" s="143" t="s">
        <v>842</v>
      </c>
      <c r="EV37" s="143">
        <v>3962</v>
      </c>
      <c r="EW37" s="78">
        <v>0</v>
      </c>
      <c r="EX37" s="78">
        <v>1</v>
      </c>
      <c r="EY37" s="78">
        <v>3</v>
      </c>
      <c r="EZ37" s="78">
        <v>0</v>
      </c>
      <c r="FA37" s="78">
        <v>0.5</v>
      </c>
      <c r="FB37" s="78">
        <v>0</v>
      </c>
      <c r="FC37" s="78">
        <v>2</v>
      </c>
      <c r="FD37" s="78">
        <v>1</v>
      </c>
      <c r="FE37" s="137">
        <v>0.57692310000000002</v>
      </c>
      <c r="FG37" s="137">
        <v>0.3079268</v>
      </c>
    </row>
    <row r="38" spans="1:163" x14ac:dyDescent="0.35">
      <c r="A38" s="143" t="s">
        <v>729</v>
      </c>
      <c r="B38" s="143" t="s">
        <v>730</v>
      </c>
      <c r="C38" s="143" t="s">
        <v>841</v>
      </c>
      <c r="D38" s="143">
        <v>674</v>
      </c>
      <c r="E38" s="78">
        <v>0</v>
      </c>
      <c r="F38" s="78">
        <v>2.5</v>
      </c>
      <c r="G38" s="78">
        <v>1</v>
      </c>
      <c r="H38" s="78">
        <v>0</v>
      </c>
      <c r="I38" s="78">
        <v>1</v>
      </c>
      <c r="J38" s="78">
        <v>0</v>
      </c>
      <c r="K38" s="78">
        <v>1</v>
      </c>
      <c r="L38" s="78">
        <v>0</v>
      </c>
      <c r="M38" s="78">
        <v>2</v>
      </c>
      <c r="N38" s="137">
        <v>0.53571429999999998</v>
      </c>
      <c r="P38" s="143" t="s">
        <v>729</v>
      </c>
      <c r="Q38" s="143" t="s">
        <v>730</v>
      </c>
      <c r="R38" s="143" t="s">
        <v>841</v>
      </c>
      <c r="S38" s="143">
        <v>674</v>
      </c>
      <c r="T38" s="78">
        <v>1</v>
      </c>
      <c r="U38" s="78">
        <v>1</v>
      </c>
      <c r="V38" s="78">
        <v>2.5</v>
      </c>
      <c r="W38" s="78">
        <v>0</v>
      </c>
      <c r="X38" s="78">
        <v>0</v>
      </c>
      <c r="Y38" s="78">
        <v>1</v>
      </c>
      <c r="Z38" s="78">
        <v>3</v>
      </c>
      <c r="AA38" s="78">
        <v>0</v>
      </c>
      <c r="AB38" s="78">
        <v>0</v>
      </c>
      <c r="AC38" s="78">
        <v>0</v>
      </c>
      <c r="AD38" s="137">
        <v>0.25</v>
      </c>
      <c r="AF38" s="143" t="s">
        <v>729</v>
      </c>
      <c r="AG38" s="143" t="s">
        <v>730</v>
      </c>
      <c r="AH38" s="143" t="s">
        <v>841</v>
      </c>
      <c r="AI38" s="143">
        <v>674</v>
      </c>
      <c r="AJ38" s="78">
        <v>1</v>
      </c>
      <c r="AK38" s="78">
        <v>0</v>
      </c>
      <c r="AL38" s="78">
        <v>1</v>
      </c>
      <c r="AM38" s="78">
        <v>6</v>
      </c>
      <c r="AN38" s="78">
        <v>1</v>
      </c>
      <c r="AO38" s="78">
        <v>0</v>
      </c>
      <c r="AP38" s="78">
        <v>2</v>
      </c>
      <c r="AQ38" s="78">
        <v>1</v>
      </c>
      <c r="AR38" s="78">
        <v>2</v>
      </c>
      <c r="AS38" s="78">
        <v>0</v>
      </c>
      <c r="AT38" s="78">
        <v>0</v>
      </c>
      <c r="AU38" s="78">
        <v>0</v>
      </c>
      <c r="AV38" s="78">
        <v>0</v>
      </c>
      <c r="AW38" s="78">
        <v>0</v>
      </c>
      <c r="AX38" s="78">
        <v>0</v>
      </c>
      <c r="AY38" s="78">
        <v>1</v>
      </c>
      <c r="AZ38" s="78">
        <v>2</v>
      </c>
      <c r="BA38" s="78">
        <v>0.5</v>
      </c>
      <c r="BB38" s="78">
        <v>0.5</v>
      </c>
      <c r="BC38" s="78">
        <v>0.5</v>
      </c>
      <c r="BD38" s="78">
        <v>1</v>
      </c>
      <c r="BE38" s="78">
        <v>0</v>
      </c>
      <c r="BF38" s="78">
        <v>0</v>
      </c>
      <c r="BG38" s="78">
        <v>2</v>
      </c>
      <c r="BH38" s="137">
        <v>0.48863640000000003</v>
      </c>
      <c r="BJ38" s="143" t="s">
        <v>729</v>
      </c>
      <c r="BK38" s="143" t="s">
        <v>730</v>
      </c>
      <c r="BL38" s="143" t="s">
        <v>841</v>
      </c>
      <c r="BM38" s="143">
        <v>674</v>
      </c>
      <c r="BN38" s="78">
        <v>1</v>
      </c>
      <c r="BO38" s="78">
        <v>4</v>
      </c>
      <c r="BP38" s="78">
        <v>7</v>
      </c>
      <c r="BQ38" s="78">
        <v>0</v>
      </c>
      <c r="BR38" s="78">
        <v>0</v>
      </c>
      <c r="BS38" s="78">
        <v>0</v>
      </c>
      <c r="BT38" s="78">
        <v>2</v>
      </c>
      <c r="BU38" s="137">
        <v>0.6086956</v>
      </c>
      <c r="BW38" s="143" t="s">
        <v>729</v>
      </c>
      <c r="BX38" s="143" t="s">
        <v>730</v>
      </c>
      <c r="BY38" s="143" t="s">
        <v>841</v>
      </c>
      <c r="BZ38" s="143">
        <v>674</v>
      </c>
      <c r="CA38" s="78">
        <v>1</v>
      </c>
      <c r="CB38" s="78">
        <v>0</v>
      </c>
      <c r="CC38" s="78">
        <v>1</v>
      </c>
      <c r="CD38" s="78">
        <v>2</v>
      </c>
      <c r="CE38" s="78">
        <v>1</v>
      </c>
      <c r="CF38" s="78">
        <v>2</v>
      </c>
      <c r="CG38" s="78">
        <v>1</v>
      </c>
      <c r="CH38" s="78">
        <v>2</v>
      </c>
      <c r="CI38" s="78">
        <v>1</v>
      </c>
      <c r="CJ38" s="78">
        <v>3</v>
      </c>
      <c r="CK38" s="137">
        <v>0.93333330000000003</v>
      </c>
      <c r="CM38" s="143" t="s">
        <v>729</v>
      </c>
      <c r="CN38" s="143" t="s">
        <v>730</v>
      </c>
      <c r="CO38" s="143" t="s">
        <v>841</v>
      </c>
      <c r="CP38" s="143">
        <v>674</v>
      </c>
      <c r="CQ38" s="78">
        <v>8</v>
      </c>
      <c r="CR38" s="78">
        <v>0</v>
      </c>
      <c r="CS38" s="78">
        <v>16</v>
      </c>
      <c r="CT38" s="78">
        <v>4</v>
      </c>
      <c r="CU38" s="78">
        <v>2</v>
      </c>
      <c r="CV38" s="78">
        <v>8</v>
      </c>
      <c r="CW38" s="137">
        <v>0.73076920000000001</v>
      </c>
      <c r="CY38" s="143" t="s">
        <v>729</v>
      </c>
      <c r="CZ38" s="143" t="s">
        <v>730</v>
      </c>
      <c r="DA38" s="143" t="s">
        <v>841</v>
      </c>
      <c r="DB38" s="143">
        <v>674</v>
      </c>
      <c r="DC38" s="78">
        <v>38</v>
      </c>
      <c r="DD38" s="137">
        <v>0.2</v>
      </c>
      <c r="DE38" s="137">
        <v>8.2608699999999993E-2</v>
      </c>
      <c r="DG38" s="143" t="s">
        <v>729</v>
      </c>
      <c r="DH38" s="143" t="s">
        <v>730</v>
      </c>
      <c r="DI38" s="143" t="s">
        <v>841</v>
      </c>
      <c r="DJ38" s="143">
        <v>674</v>
      </c>
      <c r="DK38" s="78">
        <v>2</v>
      </c>
      <c r="DL38" s="78">
        <v>1</v>
      </c>
      <c r="DM38" s="78">
        <v>1</v>
      </c>
      <c r="DN38" s="78">
        <v>7</v>
      </c>
      <c r="DO38" s="78">
        <v>2</v>
      </c>
      <c r="DP38" s="78">
        <v>3</v>
      </c>
      <c r="DQ38" s="78">
        <v>8</v>
      </c>
      <c r="DR38" s="78">
        <v>1</v>
      </c>
      <c r="DS38" s="78">
        <v>1</v>
      </c>
      <c r="DT38" s="78">
        <v>2</v>
      </c>
      <c r="DU38" s="78">
        <v>1</v>
      </c>
      <c r="DV38" s="137">
        <v>1</v>
      </c>
      <c r="DX38" s="143" t="s">
        <v>729</v>
      </c>
      <c r="DY38" s="143" t="s">
        <v>730</v>
      </c>
      <c r="DZ38" s="143" t="s">
        <v>841</v>
      </c>
      <c r="EA38" s="143">
        <v>674</v>
      </c>
      <c r="EB38" s="78">
        <v>1</v>
      </c>
      <c r="EC38" s="78">
        <v>8</v>
      </c>
      <c r="ED38" s="78">
        <v>1</v>
      </c>
      <c r="EE38" s="78">
        <v>4</v>
      </c>
      <c r="EF38" s="78">
        <v>3</v>
      </c>
      <c r="EG38" s="78">
        <v>1</v>
      </c>
      <c r="EH38" s="78">
        <v>0</v>
      </c>
      <c r="EI38" s="78">
        <v>1</v>
      </c>
      <c r="EJ38" s="78">
        <v>1</v>
      </c>
      <c r="EK38" s="78">
        <v>1</v>
      </c>
      <c r="EL38" s="78">
        <v>0</v>
      </c>
      <c r="EM38" s="78">
        <v>0</v>
      </c>
      <c r="EN38" s="78">
        <v>0</v>
      </c>
      <c r="EO38" s="78">
        <v>1</v>
      </c>
      <c r="EP38" s="78">
        <v>1</v>
      </c>
      <c r="EQ38" s="137">
        <v>0.8518519</v>
      </c>
      <c r="ES38" s="143" t="s">
        <v>729</v>
      </c>
      <c r="ET38" s="143" t="s">
        <v>730</v>
      </c>
      <c r="EU38" s="143" t="s">
        <v>841</v>
      </c>
      <c r="EV38" s="143">
        <v>674</v>
      </c>
      <c r="EW38" s="78">
        <v>0.5</v>
      </c>
      <c r="EX38" s="78">
        <v>1</v>
      </c>
      <c r="EY38" s="78">
        <v>3</v>
      </c>
      <c r="EZ38" s="78">
        <v>2</v>
      </c>
      <c r="FA38" s="78">
        <v>0.5</v>
      </c>
      <c r="FB38" s="78">
        <v>3</v>
      </c>
      <c r="FC38" s="78">
        <v>2</v>
      </c>
      <c r="FD38" s="78">
        <v>1</v>
      </c>
      <c r="FE38" s="137">
        <v>1</v>
      </c>
      <c r="FG38" s="137">
        <v>0.51341110000000001</v>
      </c>
    </row>
    <row r="39" spans="1:163" x14ac:dyDescent="0.35">
      <c r="A39" s="143" t="s">
        <v>729</v>
      </c>
      <c r="B39" s="143" t="s">
        <v>730</v>
      </c>
      <c r="C39" s="143" t="s">
        <v>841</v>
      </c>
      <c r="D39" s="143">
        <v>680</v>
      </c>
      <c r="E39" s="78">
        <v>0</v>
      </c>
      <c r="F39" s="78">
        <v>2.5</v>
      </c>
      <c r="G39" s="78">
        <v>1</v>
      </c>
      <c r="H39" s="78">
        <v>4</v>
      </c>
      <c r="I39" s="78">
        <v>1</v>
      </c>
      <c r="J39" s="78">
        <v>0</v>
      </c>
      <c r="K39" s="78">
        <v>1</v>
      </c>
      <c r="L39" s="78">
        <v>0</v>
      </c>
      <c r="M39" s="78">
        <v>0</v>
      </c>
      <c r="N39" s="137">
        <v>0.67857140000000005</v>
      </c>
      <c r="P39" s="143" t="s">
        <v>729</v>
      </c>
      <c r="Q39" s="143" t="s">
        <v>730</v>
      </c>
      <c r="R39" s="143" t="s">
        <v>841</v>
      </c>
      <c r="S39" s="143">
        <v>680</v>
      </c>
      <c r="T39" s="78">
        <v>1</v>
      </c>
      <c r="U39" s="78">
        <v>1</v>
      </c>
      <c r="V39" s="78">
        <v>3</v>
      </c>
      <c r="W39" s="78">
        <v>2</v>
      </c>
      <c r="X39" s="78">
        <v>0</v>
      </c>
      <c r="Y39" s="78">
        <v>1</v>
      </c>
      <c r="Z39" s="78">
        <v>3</v>
      </c>
      <c r="AA39" s="78">
        <v>0</v>
      </c>
      <c r="AB39" s="78">
        <v>6</v>
      </c>
      <c r="AC39" s="78">
        <v>3</v>
      </c>
      <c r="AD39" s="137">
        <v>0.58823530000000002</v>
      </c>
      <c r="AF39" s="143" t="s">
        <v>729</v>
      </c>
      <c r="AG39" s="143" t="s">
        <v>730</v>
      </c>
      <c r="AH39" s="143" t="s">
        <v>841</v>
      </c>
      <c r="AI39" s="143">
        <v>680</v>
      </c>
      <c r="AJ39" s="78">
        <v>1</v>
      </c>
      <c r="AK39" s="78">
        <v>1</v>
      </c>
      <c r="AL39" s="78">
        <v>0</v>
      </c>
      <c r="AM39" s="78">
        <v>6</v>
      </c>
      <c r="AN39" s="78">
        <v>1</v>
      </c>
      <c r="AO39" s="78">
        <v>0</v>
      </c>
      <c r="AP39" s="78">
        <v>2</v>
      </c>
      <c r="AQ39" s="78">
        <v>1</v>
      </c>
      <c r="AR39" s="78">
        <v>0</v>
      </c>
      <c r="AS39" s="78">
        <v>2</v>
      </c>
      <c r="AT39" s="78">
        <v>0</v>
      </c>
      <c r="AU39" s="78">
        <v>0</v>
      </c>
      <c r="AV39" s="78">
        <v>2</v>
      </c>
      <c r="AW39" s="78">
        <v>1</v>
      </c>
      <c r="AX39" s="78">
        <v>0</v>
      </c>
      <c r="AY39" s="78">
        <v>1</v>
      </c>
      <c r="AZ39" s="78">
        <v>2</v>
      </c>
      <c r="BA39" s="78">
        <v>0.5</v>
      </c>
      <c r="BB39" s="78">
        <v>0.5</v>
      </c>
      <c r="BC39" s="78">
        <v>0.5</v>
      </c>
      <c r="BD39" s="78">
        <v>1</v>
      </c>
      <c r="BE39" s="78">
        <v>0</v>
      </c>
      <c r="BF39" s="78">
        <v>1</v>
      </c>
      <c r="BG39" s="78">
        <v>8</v>
      </c>
      <c r="BH39" s="137">
        <v>0.71590909999999996</v>
      </c>
      <c r="BJ39" s="143" t="s">
        <v>729</v>
      </c>
      <c r="BK39" s="143" t="s">
        <v>730</v>
      </c>
      <c r="BL39" s="143" t="s">
        <v>841</v>
      </c>
      <c r="BM39" s="143">
        <v>680</v>
      </c>
      <c r="BN39" s="78">
        <v>1</v>
      </c>
      <c r="BO39" s="78">
        <v>4</v>
      </c>
      <c r="BP39" s="78">
        <v>7</v>
      </c>
      <c r="BQ39" s="78">
        <v>0</v>
      </c>
      <c r="BR39" s="78">
        <v>0</v>
      </c>
      <c r="BS39" s="78">
        <v>0</v>
      </c>
      <c r="BT39" s="78">
        <v>2</v>
      </c>
      <c r="BU39" s="137">
        <v>0.6086956</v>
      </c>
      <c r="BW39" s="143" t="s">
        <v>729</v>
      </c>
      <c r="BX39" s="143" t="s">
        <v>730</v>
      </c>
      <c r="BY39" s="143" t="s">
        <v>841</v>
      </c>
      <c r="BZ39" s="143">
        <v>680</v>
      </c>
      <c r="CA39" s="78">
        <v>1</v>
      </c>
      <c r="CB39" s="78">
        <v>0</v>
      </c>
      <c r="CC39" s="78">
        <v>1</v>
      </c>
      <c r="CD39" s="78">
        <v>0</v>
      </c>
      <c r="CE39" s="78">
        <v>1</v>
      </c>
      <c r="CF39" s="78">
        <v>2</v>
      </c>
      <c r="CG39" s="78">
        <v>1</v>
      </c>
      <c r="CH39" s="78">
        <v>2</v>
      </c>
      <c r="CI39" s="78">
        <v>1</v>
      </c>
      <c r="CJ39" s="78">
        <v>0</v>
      </c>
      <c r="CK39" s="137">
        <v>0.6</v>
      </c>
      <c r="CM39" s="143" t="s">
        <v>729</v>
      </c>
      <c r="CN39" s="143" t="s">
        <v>730</v>
      </c>
      <c r="CO39" s="143" t="s">
        <v>841</v>
      </c>
      <c r="CP39" s="143">
        <v>680</v>
      </c>
      <c r="CQ39" s="78">
        <v>2</v>
      </c>
      <c r="CR39" s="78">
        <v>0</v>
      </c>
      <c r="CS39" s="78">
        <v>20</v>
      </c>
      <c r="CT39" s="78">
        <v>4</v>
      </c>
      <c r="CU39" s="78">
        <v>2</v>
      </c>
      <c r="CV39" s="78">
        <v>8</v>
      </c>
      <c r="CW39" s="137">
        <v>0.69230769999999997</v>
      </c>
      <c r="CY39" s="143" t="s">
        <v>729</v>
      </c>
      <c r="CZ39" s="143" t="s">
        <v>730</v>
      </c>
      <c r="DA39" s="143" t="s">
        <v>841</v>
      </c>
      <c r="DB39" s="143">
        <v>680</v>
      </c>
      <c r="DC39" s="78">
        <v>32</v>
      </c>
      <c r="DD39" s="137">
        <v>0</v>
      </c>
      <c r="DE39" s="137">
        <v>0</v>
      </c>
      <c r="DG39" s="143" t="s">
        <v>729</v>
      </c>
      <c r="DH39" s="143" t="s">
        <v>730</v>
      </c>
      <c r="DI39" s="143" t="s">
        <v>841</v>
      </c>
      <c r="DJ39" s="143">
        <v>680</v>
      </c>
      <c r="DK39" s="78">
        <v>2</v>
      </c>
      <c r="DL39" s="78">
        <v>1</v>
      </c>
      <c r="DM39" s="78">
        <v>1</v>
      </c>
      <c r="DN39" s="78">
        <v>7</v>
      </c>
      <c r="DO39" s="78">
        <v>2</v>
      </c>
      <c r="DP39" s="78">
        <v>3</v>
      </c>
      <c r="DQ39" s="78">
        <v>8</v>
      </c>
      <c r="DR39" s="78">
        <v>1</v>
      </c>
      <c r="DS39" s="78">
        <v>1</v>
      </c>
      <c r="DT39" s="78">
        <v>2</v>
      </c>
      <c r="DU39" s="78">
        <v>1</v>
      </c>
      <c r="DV39" s="137">
        <v>1</v>
      </c>
      <c r="DX39" s="143" t="s">
        <v>729</v>
      </c>
      <c r="DY39" s="143" t="s">
        <v>730</v>
      </c>
      <c r="DZ39" s="143" t="s">
        <v>841</v>
      </c>
      <c r="EA39" s="143">
        <v>680</v>
      </c>
      <c r="EB39" s="78">
        <v>1</v>
      </c>
      <c r="EC39" s="78">
        <v>8</v>
      </c>
      <c r="ED39" s="78">
        <v>1</v>
      </c>
      <c r="EE39" s="78">
        <v>4</v>
      </c>
      <c r="EF39" s="78">
        <v>3</v>
      </c>
      <c r="EG39" s="78">
        <v>1</v>
      </c>
      <c r="EH39" s="78">
        <v>1</v>
      </c>
      <c r="EI39" s="78">
        <v>1</v>
      </c>
      <c r="EJ39" s="78">
        <v>1</v>
      </c>
      <c r="EK39" s="78">
        <v>1</v>
      </c>
      <c r="EL39" s="78">
        <v>1</v>
      </c>
      <c r="EM39" s="78">
        <v>1</v>
      </c>
      <c r="EN39" s="78">
        <v>1</v>
      </c>
      <c r="EO39" s="78">
        <v>0</v>
      </c>
      <c r="EP39" s="78">
        <v>1</v>
      </c>
      <c r="EQ39" s="137">
        <v>0.96296300000000001</v>
      </c>
      <c r="ES39" s="143" t="s">
        <v>729</v>
      </c>
      <c r="ET39" s="143" t="s">
        <v>730</v>
      </c>
      <c r="EU39" s="143" t="s">
        <v>841</v>
      </c>
      <c r="EV39" s="143">
        <v>680</v>
      </c>
      <c r="EW39" s="78">
        <v>0.5</v>
      </c>
      <c r="EX39" s="78">
        <v>1</v>
      </c>
      <c r="EY39" s="78">
        <v>3</v>
      </c>
      <c r="EZ39" s="78">
        <v>0</v>
      </c>
      <c r="FA39" s="78">
        <v>0.5</v>
      </c>
      <c r="FB39" s="78">
        <v>3</v>
      </c>
      <c r="FC39" s="78">
        <v>2</v>
      </c>
      <c r="FD39" s="78">
        <v>1</v>
      </c>
      <c r="FE39" s="137">
        <v>0.84615390000000001</v>
      </c>
      <c r="FG39" s="137">
        <v>0.54227409999999998</v>
      </c>
    </row>
    <row r="40" spans="1:163" x14ac:dyDescent="0.35">
      <c r="A40" s="143" t="s">
        <v>729</v>
      </c>
      <c r="B40" s="143" t="s">
        <v>730</v>
      </c>
      <c r="C40" s="143" t="s">
        <v>843</v>
      </c>
      <c r="D40" s="143">
        <v>681</v>
      </c>
      <c r="E40" s="78">
        <v>0</v>
      </c>
      <c r="F40" s="78">
        <v>2</v>
      </c>
      <c r="G40" s="78">
        <v>0</v>
      </c>
      <c r="H40" s="78">
        <v>0</v>
      </c>
      <c r="I40" s="78">
        <v>1</v>
      </c>
      <c r="J40" s="78">
        <v>0</v>
      </c>
      <c r="K40" s="78">
        <v>1</v>
      </c>
      <c r="L40" s="78">
        <v>0</v>
      </c>
      <c r="M40" s="78">
        <v>2</v>
      </c>
      <c r="N40" s="137">
        <v>0.42857139999999999</v>
      </c>
      <c r="P40" s="143" t="s">
        <v>729</v>
      </c>
      <c r="Q40" s="143" t="s">
        <v>730</v>
      </c>
      <c r="R40" s="143" t="s">
        <v>843</v>
      </c>
      <c r="S40" s="143">
        <v>681</v>
      </c>
      <c r="T40" s="78">
        <v>1</v>
      </c>
      <c r="U40" s="78">
        <v>1</v>
      </c>
      <c r="V40" s="78">
        <v>2.5</v>
      </c>
      <c r="W40" s="78">
        <v>2</v>
      </c>
      <c r="X40" s="78">
        <v>0</v>
      </c>
      <c r="Y40" s="78">
        <v>1</v>
      </c>
      <c r="Z40" s="78">
        <v>3</v>
      </c>
      <c r="AA40" s="78">
        <v>2</v>
      </c>
      <c r="AB40" s="78">
        <v>0</v>
      </c>
      <c r="AC40" s="78">
        <v>0</v>
      </c>
      <c r="AD40" s="137">
        <v>0.3676471</v>
      </c>
      <c r="AF40" s="143" t="s">
        <v>729</v>
      </c>
      <c r="AG40" s="143" t="s">
        <v>730</v>
      </c>
      <c r="AH40" s="143" t="s">
        <v>843</v>
      </c>
      <c r="AI40" s="143">
        <v>681</v>
      </c>
      <c r="AJ40" s="78">
        <v>1</v>
      </c>
      <c r="AK40" s="78">
        <v>0</v>
      </c>
      <c r="AL40" s="78">
        <v>1</v>
      </c>
      <c r="AM40" s="78">
        <v>1</v>
      </c>
      <c r="AN40" s="78">
        <v>1</v>
      </c>
      <c r="AO40" s="78">
        <v>2</v>
      </c>
      <c r="AP40" s="78">
        <v>2</v>
      </c>
      <c r="AQ40" s="78">
        <v>1</v>
      </c>
      <c r="AR40" s="78">
        <v>0</v>
      </c>
      <c r="AS40" s="78">
        <v>0</v>
      </c>
      <c r="AT40" s="78">
        <v>2</v>
      </c>
      <c r="AU40" s="78">
        <v>0</v>
      </c>
      <c r="AV40" s="78">
        <v>2</v>
      </c>
      <c r="AW40" s="78">
        <v>0</v>
      </c>
      <c r="AX40" s="78">
        <v>0</v>
      </c>
      <c r="AY40" s="78">
        <v>1</v>
      </c>
      <c r="AZ40" s="78">
        <v>0</v>
      </c>
      <c r="BA40" s="78">
        <v>0.5</v>
      </c>
      <c r="BB40" s="78">
        <v>0.5</v>
      </c>
      <c r="BC40" s="78">
        <v>0</v>
      </c>
      <c r="BD40" s="78">
        <v>1</v>
      </c>
      <c r="BE40" s="78">
        <v>0.5</v>
      </c>
      <c r="BF40" s="78">
        <v>0</v>
      </c>
      <c r="BG40" s="78">
        <v>4</v>
      </c>
      <c r="BH40" s="137">
        <v>0.46590910000000002</v>
      </c>
      <c r="BJ40" s="143" t="s">
        <v>729</v>
      </c>
      <c r="BK40" s="143" t="s">
        <v>730</v>
      </c>
      <c r="BL40" s="143" t="s">
        <v>843</v>
      </c>
      <c r="BM40" s="143">
        <v>681</v>
      </c>
      <c r="BN40" s="78">
        <v>1</v>
      </c>
      <c r="BO40" s="78">
        <v>4</v>
      </c>
      <c r="BP40" s="78">
        <v>7</v>
      </c>
      <c r="BQ40" s="78">
        <v>0</v>
      </c>
      <c r="BR40" s="78">
        <v>0</v>
      </c>
      <c r="BS40" s="78">
        <v>0</v>
      </c>
      <c r="BT40" s="78">
        <v>0</v>
      </c>
      <c r="BU40" s="137">
        <v>0.52173910000000001</v>
      </c>
      <c r="BW40" s="143" t="s">
        <v>729</v>
      </c>
      <c r="BX40" s="143" t="s">
        <v>730</v>
      </c>
      <c r="BY40" s="143" t="s">
        <v>843</v>
      </c>
      <c r="BZ40" s="143">
        <v>681</v>
      </c>
      <c r="CA40" s="78">
        <v>1</v>
      </c>
      <c r="CB40" s="78">
        <v>1</v>
      </c>
      <c r="CC40" s="78">
        <v>1</v>
      </c>
      <c r="CD40" s="78">
        <v>2</v>
      </c>
      <c r="CE40" s="78">
        <v>1</v>
      </c>
      <c r="CF40" s="78">
        <v>2</v>
      </c>
      <c r="CG40" s="78">
        <v>1</v>
      </c>
      <c r="CH40" s="78">
        <v>2</v>
      </c>
      <c r="CI40" s="78">
        <v>1</v>
      </c>
      <c r="CJ40" s="78">
        <v>3</v>
      </c>
      <c r="CK40" s="137">
        <v>1</v>
      </c>
      <c r="CM40" s="143" t="s">
        <v>729</v>
      </c>
      <c r="CN40" s="143" t="s">
        <v>730</v>
      </c>
      <c r="CO40" s="143" t="s">
        <v>843</v>
      </c>
      <c r="CP40" s="143">
        <v>681</v>
      </c>
      <c r="CQ40" s="78">
        <v>8</v>
      </c>
      <c r="CR40" s="78">
        <v>0</v>
      </c>
      <c r="CS40" s="78">
        <v>12</v>
      </c>
      <c r="CT40" s="78">
        <v>4</v>
      </c>
      <c r="CU40" s="78">
        <v>0</v>
      </c>
      <c r="CV40" s="78">
        <v>8</v>
      </c>
      <c r="CW40" s="137">
        <v>0.61538459999999995</v>
      </c>
      <c r="CY40" s="143" t="s">
        <v>729</v>
      </c>
      <c r="CZ40" s="143" t="s">
        <v>730</v>
      </c>
      <c r="DA40" s="143" t="s">
        <v>843</v>
      </c>
      <c r="DB40" s="143">
        <v>681</v>
      </c>
      <c r="DC40" s="78">
        <v>50</v>
      </c>
      <c r="DD40" s="137">
        <v>0</v>
      </c>
      <c r="DE40" s="137">
        <v>0</v>
      </c>
      <c r="DG40" s="143" t="s">
        <v>729</v>
      </c>
      <c r="DH40" s="143" t="s">
        <v>730</v>
      </c>
      <c r="DI40" s="143" t="s">
        <v>843</v>
      </c>
      <c r="DJ40" s="143">
        <v>681</v>
      </c>
      <c r="DK40" s="78">
        <v>0</v>
      </c>
      <c r="DL40" s="78">
        <v>1</v>
      </c>
      <c r="DM40" s="78">
        <v>1</v>
      </c>
      <c r="DN40" s="78">
        <v>5</v>
      </c>
      <c r="DO40" s="78">
        <v>2</v>
      </c>
      <c r="DP40" s="78">
        <v>3</v>
      </c>
      <c r="DQ40" s="78">
        <v>8</v>
      </c>
      <c r="DR40" s="78">
        <v>1</v>
      </c>
      <c r="DS40" s="78">
        <v>1</v>
      </c>
      <c r="DT40" s="78">
        <v>0</v>
      </c>
      <c r="DU40" s="78">
        <v>1</v>
      </c>
      <c r="DV40" s="137">
        <v>0.79310349999999996</v>
      </c>
      <c r="DX40" s="143" t="s">
        <v>729</v>
      </c>
      <c r="DY40" s="143" t="s">
        <v>730</v>
      </c>
      <c r="DZ40" s="143" t="s">
        <v>843</v>
      </c>
      <c r="EA40" s="143">
        <v>681</v>
      </c>
      <c r="EB40" s="78">
        <v>1</v>
      </c>
      <c r="EC40" s="78">
        <v>8</v>
      </c>
      <c r="ED40" s="78">
        <v>1</v>
      </c>
      <c r="EE40" s="78">
        <v>4</v>
      </c>
      <c r="EF40" s="78">
        <v>3</v>
      </c>
      <c r="EG40" s="78">
        <v>1</v>
      </c>
      <c r="EH40" s="78">
        <v>0</v>
      </c>
      <c r="EI40" s="78">
        <v>1</v>
      </c>
      <c r="EJ40" s="78">
        <v>1</v>
      </c>
      <c r="EK40" s="78">
        <v>1</v>
      </c>
      <c r="EL40" s="78">
        <v>1</v>
      </c>
      <c r="EM40" s="78">
        <v>1</v>
      </c>
      <c r="EN40" s="78">
        <v>0</v>
      </c>
      <c r="EO40" s="78">
        <v>1</v>
      </c>
      <c r="EP40" s="78">
        <v>1</v>
      </c>
      <c r="EQ40" s="137">
        <v>0.92592589999999997</v>
      </c>
      <c r="ES40" s="143" t="s">
        <v>729</v>
      </c>
      <c r="ET40" s="143" t="s">
        <v>730</v>
      </c>
      <c r="EU40" s="143" t="s">
        <v>843</v>
      </c>
      <c r="EV40" s="143">
        <v>681</v>
      </c>
      <c r="EW40" s="78">
        <v>0</v>
      </c>
      <c r="EX40" s="78">
        <v>1</v>
      </c>
      <c r="EY40" s="78">
        <v>3</v>
      </c>
      <c r="EZ40" s="78">
        <v>0</v>
      </c>
      <c r="FA40" s="78">
        <v>0.5</v>
      </c>
      <c r="FB40" s="78">
        <v>3</v>
      </c>
      <c r="FC40" s="78">
        <v>2</v>
      </c>
      <c r="FD40" s="78">
        <v>1</v>
      </c>
      <c r="FE40" s="137">
        <v>0.80769230000000003</v>
      </c>
      <c r="FG40" s="137">
        <v>0.45626820000000001</v>
      </c>
    </row>
    <row r="41" spans="1:163" x14ac:dyDescent="0.35">
      <c r="A41" s="143" t="s">
        <v>729</v>
      </c>
      <c r="B41" s="143" t="s">
        <v>730</v>
      </c>
      <c r="C41" s="143" t="s">
        <v>842</v>
      </c>
      <c r="D41" s="143">
        <v>1917</v>
      </c>
      <c r="E41" s="78">
        <v>0</v>
      </c>
      <c r="F41" s="78">
        <v>2</v>
      </c>
      <c r="G41" s="78">
        <v>1</v>
      </c>
      <c r="H41" s="78">
        <v>4</v>
      </c>
      <c r="I41" s="78">
        <v>1</v>
      </c>
      <c r="J41" s="78">
        <v>0</v>
      </c>
      <c r="K41" s="78">
        <v>1</v>
      </c>
      <c r="L41" s="78">
        <v>0</v>
      </c>
      <c r="M41" s="78">
        <v>2</v>
      </c>
      <c r="N41" s="137">
        <v>0.78571429999999998</v>
      </c>
      <c r="P41" s="143" t="s">
        <v>729</v>
      </c>
      <c r="Q41" s="143" t="s">
        <v>730</v>
      </c>
      <c r="R41" s="143" t="s">
        <v>842</v>
      </c>
      <c r="S41" s="143">
        <v>1917</v>
      </c>
      <c r="T41" s="78">
        <v>1</v>
      </c>
      <c r="U41" s="78">
        <v>1</v>
      </c>
      <c r="V41" s="78">
        <v>3</v>
      </c>
      <c r="W41" s="78">
        <v>2</v>
      </c>
      <c r="X41" s="78">
        <v>0</v>
      </c>
      <c r="Y41" s="78">
        <v>1</v>
      </c>
      <c r="Z41" s="78">
        <v>3</v>
      </c>
      <c r="AA41" s="78">
        <v>2</v>
      </c>
      <c r="AB41" s="78">
        <v>0</v>
      </c>
      <c r="AC41" s="78">
        <v>0</v>
      </c>
      <c r="AD41" s="137">
        <v>0.3823529</v>
      </c>
      <c r="AF41" s="143" t="s">
        <v>729</v>
      </c>
      <c r="AG41" s="143" t="s">
        <v>730</v>
      </c>
      <c r="AH41" s="143" t="s">
        <v>842</v>
      </c>
      <c r="AI41" s="143">
        <v>1917</v>
      </c>
      <c r="AJ41" s="78">
        <v>1</v>
      </c>
      <c r="AK41" s="78">
        <v>0</v>
      </c>
      <c r="AL41" s="78">
        <v>1</v>
      </c>
      <c r="AM41" s="78">
        <v>5</v>
      </c>
      <c r="AN41" s="78">
        <v>1</v>
      </c>
      <c r="AO41" s="78">
        <v>0</v>
      </c>
      <c r="AP41" s="78">
        <v>2</v>
      </c>
      <c r="AQ41" s="78">
        <v>1</v>
      </c>
      <c r="AR41" s="78">
        <v>2</v>
      </c>
      <c r="AS41" s="78">
        <v>0</v>
      </c>
      <c r="AT41" s="78">
        <v>0</v>
      </c>
      <c r="AU41" s="78">
        <v>0</v>
      </c>
      <c r="AV41" s="78">
        <v>0</v>
      </c>
      <c r="AW41" s="78">
        <v>0</v>
      </c>
      <c r="AX41" s="78">
        <v>0</v>
      </c>
      <c r="AY41" s="78">
        <v>0</v>
      </c>
      <c r="AZ41" s="78">
        <v>2</v>
      </c>
      <c r="BA41" s="78">
        <v>0.5</v>
      </c>
      <c r="BB41" s="78">
        <v>0.5</v>
      </c>
      <c r="BC41" s="78">
        <v>0</v>
      </c>
      <c r="BD41" s="78">
        <v>1</v>
      </c>
      <c r="BE41" s="78">
        <v>0</v>
      </c>
      <c r="BF41" s="78">
        <v>1</v>
      </c>
      <c r="BG41" s="78">
        <v>6</v>
      </c>
      <c r="BH41" s="137">
        <v>0.54545460000000001</v>
      </c>
      <c r="BJ41" s="143" t="s">
        <v>729</v>
      </c>
      <c r="BK41" s="143" t="s">
        <v>730</v>
      </c>
      <c r="BL41" s="143" t="s">
        <v>842</v>
      </c>
      <c r="BM41" s="143">
        <v>1917</v>
      </c>
      <c r="BN41" s="78">
        <v>1</v>
      </c>
      <c r="BO41" s="78">
        <v>4</v>
      </c>
      <c r="BP41" s="78">
        <v>7</v>
      </c>
      <c r="BQ41" s="78">
        <v>0</v>
      </c>
      <c r="BR41" s="78">
        <v>0</v>
      </c>
      <c r="BS41" s="78">
        <v>0</v>
      </c>
      <c r="BT41" s="78">
        <v>2</v>
      </c>
      <c r="BU41" s="137">
        <v>0.6086956</v>
      </c>
      <c r="BW41" s="143" t="s">
        <v>729</v>
      </c>
      <c r="BX41" s="143" t="s">
        <v>730</v>
      </c>
      <c r="BY41" s="143" t="s">
        <v>842</v>
      </c>
      <c r="BZ41" s="143">
        <v>1917</v>
      </c>
      <c r="CA41" s="78">
        <v>1</v>
      </c>
      <c r="CB41" s="78">
        <v>0</v>
      </c>
      <c r="CC41" s="78">
        <v>0</v>
      </c>
      <c r="CD41" s="78">
        <v>2</v>
      </c>
      <c r="CE41" s="78">
        <v>1</v>
      </c>
      <c r="CF41" s="78">
        <v>2</v>
      </c>
      <c r="CG41" s="78">
        <v>1</v>
      </c>
      <c r="CH41" s="78">
        <v>2</v>
      </c>
      <c r="CI41" s="78">
        <v>1</v>
      </c>
      <c r="CJ41" s="78">
        <v>3</v>
      </c>
      <c r="CK41" s="137">
        <v>0.86666670000000001</v>
      </c>
      <c r="CM41" s="143" t="s">
        <v>729</v>
      </c>
      <c r="CN41" s="143" t="s">
        <v>730</v>
      </c>
      <c r="CO41" s="143" t="s">
        <v>842</v>
      </c>
      <c r="CP41" s="143">
        <v>1917</v>
      </c>
      <c r="CQ41" s="78">
        <v>2</v>
      </c>
      <c r="CR41" s="78">
        <v>0</v>
      </c>
      <c r="CS41" s="78">
        <v>12</v>
      </c>
      <c r="CT41" s="78">
        <v>4</v>
      </c>
      <c r="CU41" s="78">
        <v>2</v>
      </c>
      <c r="CV41" s="78">
        <v>8</v>
      </c>
      <c r="CW41" s="137">
        <v>0.53846159999999998</v>
      </c>
      <c r="CY41" s="143" t="s">
        <v>729</v>
      </c>
      <c r="CZ41" s="143" t="s">
        <v>730</v>
      </c>
      <c r="DA41" s="143" t="s">
        <v>842</v>
      </c>
      <c r="DB41" s="143">
        <v>1917</v>
      </c>
      <c r="DC41" s="78">
        <v>0</v>
      </c>
      <c r="DD41" s="137">
        <v>0</v>
      </c>
      <c r="DE41" s="137">
        <v>0</v>
      </c>
      <c r="DG41" s="143" t="s">
        <v>729</v>
      </c>
      <c r="DH41" s="143" t="s">
        <v>730</v>
      </c>
      <c r="DI41" s="143" t="s">
        <v>842</v>
      </c>
      <c r="DJ41" s="143">
        <v>1917</v>
      </c>
      <c r="DK41" s="78">
        <v>2</v>
      </c>
      <c r="DL41" s="78">
        <v>1</v>
      </c>
      <c r="DM41" s="78">
        <v>1</v>
      </c>
      <c r="DN41" s="78">
        <v>7</v>
      </c>
      <c r="DO41" s="78">
        <v>2</v>
      </c>
      <c r="DP41" s="78">
        <v>3</v>
      </c>
      <c r="DQ41" s="78">
        <v>7</v>
      </c>
      <c r="DR41" s="78">
        <v>1</v>
      </c>
      <c r="DS41" s="78">
        <v>1</v>
      </c>
      <c r="DT41" s="78">
        <v>2</v>
      </c>
      <c r="DU41" s="78">
        <v>1</v>
      </c>
      <c r="DV41" s="137">
        <v>0.96551719999999996</v>
      </c>
      <c r="DX41" s="143" t="s">
        <v>729</v>
      </c>
      <c r="DY41" s="143" t="s">
        <v>730</v>
      </c>
      <c r="DZ41" s="143" t="s">
        <v>842</v>
      </c>
      <c r="EA41" s="143">
        <v>1917</v>
      </c>
      <c r="EB41" s="78">
        <v>1</v>
      </c>
      <c r="EC41" s="78">
        <v>8</v>
      </c>
      <c r="ED41" s="78">
        <v>1</v>
      </c>
      <c r="EE41" s="78">
        <v>4</v>
      </c>
      <c r="EF41" s="78">
        <v>3</v>
      </c>
      <c r="EG41" s="78">
        <v>1</v>
      </c>
      <c r="EH41" s="78">
        <v>0</v>
      </c>
      <c r="EI41" s="78">
        <v>1</v>
      </c>
      <c r="EJ41" s="78">
        <v>1</v>
      </c>
      <c r="EK41" s="78">
        <v>1</v>
      </c>
      <c r="EL41" s="78">
        <v>1</v>
      </c>
      <c r="EM41" s="78">
        <v>1</v>
      </c>
      <c r="EN41" s="78">
        <v>1</v>
      </c>
      <c r="EO41" s="78">
        <v>1</v>
      </c>
      <c r="EP41" s="78">
        <v>1</v>
      </c>
      <c r="EQ41" s="137">
        <v>0.96296300000000001</v>
      </c>
      <c r="ES41" s="143" t="s">
        <v>729</v>
      </c>
      <c r="ET41" s="143" t="s">
        <v>730</v>
      </c>
      <c r="EU41" s="143" t="s">
        <v>842</v>
      </c>
      <c r="EV41" s="143">
        <v>1917</v>
      </c>
      <c r="EW41" s="78">
        <v>0.5</v>
      </c>
      <c r="EX41" s="78">
        <v>0</v>
      </c>
      <c r="EY41" s="78">
        <v>3</v>
      </c>
      <c r="EZ41" s="78">
        <v>2</v>
      </c>
      <c r="FA41" s="78">
        <v>0.5</v>
      </c>
      <c r="FB41" s="78">
        <v>3</v>
      </c>
      <c r="FC41" s="78">
        <v>2</v>
      </c>
      <c r="FD41" s="78">
        <v>1</v>
      </c>
      <c r="FE41" s="137">
        <v>0.92307689999999998</v>
      </c>
      <c r="FG41" s="137">
        <v>0.49271140000000002</v>
      </c>
    </row>
    <row r="42" spans="1:163" x14ac:dyDescent="0.35">
      <c r="A42" s="143" t="s">
        <v>729</v>
      </c>
      <c r="B42" s="143" t="s">
        <v>730</v>
      </c>
      <c r="C42" s="143" t="s">
        <v>842</v>
      </c>
      <c r="D42" s="143">
        <v>4180</v>
      </c>
      <c r="E42" s="78">
        <v>0</v>
      </c>
      <c r="F42" s="78">
        <v>2.5</v>
      </c>
      <c r="G42" s="78">
        <v>1</v>
      </c>
      <c r="H42" s="78">
        <v>0</v>
      </c>
      <c r="I42" s="78">
        <v>1</v>
      </c>
      <c r="J42" s="78">
        <v>0</v>
      </c>
      <c r="K42" s="78">
        <v>1</v>
      </c>
      <c r="L42" s="78">
        <v>0</v>
      </c>
      <c r="M42" s="78">
        <v>2</v>
      </c>
      <c r="N42" s="137">
        <v>0.53571429999999998</v>
      </c>
      <c r="P42" s="143" t="s">
        <v>729</v>
      </c>
      <c r="Q42" s="143" t="s">
        <v>730</v>
      </c>
      <c r="R42" s="143" t="s">
        <v>842</v>
      </c>
      <c r="S42" s="143">
        <v>4180</v>
      </c>
      <c r="T42" s="78">
        <v>1</v>
      </c>
      <c r="U42" s="78">
        <v>0</v>
      </c>
      <c r="V42" s="78">
        <v>2</v>
      </c>
      <c r="W42" s="78">
        <v>2</v>
      </c>
      <c r="X42" s="78">
        <v>0</v>
      </c>
      <c r="Y42" s="78">
        <v>1</v>
      </c>
      <c r="Z42" s="78">
        <v>0</v>
      </c>
      <c r="AA42" s="78">
        <v>2</v>
      </c>
      <c r="AB42" s="78">
        <v>6</v>
      </c>
      <c r="AC42" s="78">
        <v>0</v>
      </c>
      <c r="AD42" s="137">
        <v>0.41176469999999998</v>
      </c>
      <c r="AF42" s="143" t="s">
        <v>729</v>
      </c>
      <c r="AG42" s="143" t="s">
        <v>730</v>
      </c>
      <c r="AH42" s="143" t="s">
        <v>842</v>
      </c>
      <c r="AI42" s="143">
        <v>4180</v>
      </c>
      <c r="AJ42" s="78">
        <v>1</v>
      </c>
      <c r="AK42" s="78">
        <v>1</v>
      </c>
      <c r="AL42" s="78">
        <v>1</v>
      </c>
      <c r="AM42" s="78">
        <v>5</v>
      </c>
      <c r="AN42" s="78">
        <v>1</v>
      </c>
      <c r="AO42" s="78">
        <v>2</v>
      </c>
      <c r="AP42" s="78">
        <v>2</v>
      </c>
      <c r="AQ42" s="78">
        <v>1</v>
      </c>
      <c r="AR42" s="78">
        <v>2</v>
      </c>
      <c r="AS42" s="78">
        <v>0</v>
      </c>
      <c r="AT42" s="78">
        <v>0</v>
      </c>
      <c r="AU42" s="78">
        <v>0</v>
      </c>
      <c r="AV42" s="78">
        <v>2</v>
      </c>
      <c r="AW42" s="78">
        <v>0</v>
      </c>
      <c r="AX42" s="78">
        <v>0</v>
      </c>
      <c r="AY42" s="78">
        <v>1</v>
      </c>
      <c r="AZ42" s="78">
        <v>2</v>
      </c>
      <c r="BA42" s="78">
        <v>0.5</v>
      </c>
      <c r="BB42" s="78">
        <v>0.5</v>
      </c>
      <c r="BC42" s="78">
        <v>0.5</v>
      </c>
      <c r="BD42" s="78">
        <v>1</v>
      </c>
      <c r="BE42" s="78">
        <v>0</v>
      </c>
      <c r="BF42" s="78">
        <v>0</v>
      </c>
      <c r="BG42" s="78">
        <v>2</v>
      </c>
      <c r="BH42" s="137">
        <v>0.57954539999999999</v>
      </c>
      <c r="BJ42" s="143" t="s">
        <v>729</v>
      </c>
      <c r="BK42" s="143" t="s">
        <v>730</v>
      </c>
      <c r="BL42" s="143" t="s">
        <v>842</v>
      </c>
      <c r="BM42" s="143">
        <v>4180</v>
      </c>
      <c r="BN42" s="78">
        <v>1</v>
      </c>
      <c r="BO42" s="78">
        <v>4</v>
      </c>
      <c r="BP42" s="78">
        <v>7</v>
      </c>
      <c r="BQ42" s="78">
        <v>0</v>
      </c>
      <c r="BR42" s="78">
        <v>0</v>
      </c>
      <c r="BS42" s="78">
        <v>0</v>
      </c>
      <c r="BT42" s="78">
        <v>2</v>
      </c>
      <c r="BU42" s="137">
        <v>0.6086956</v>
      </c>
      <c r="BW42" s="143" t="s">
        <v>729</v>
      </c>
      <c r="BX42" s="143" t="s">
        <v>730</v>
      </c>
      <c r="BY42" s="143" t="s">
        <v>842</v>
      </c>
      <c r="BZ42" s="143">
        <v>4180</v>
      </c>
      <c r="CM42" s="143" t="s">
        <v>729</v>
      </c>
      <c r="CN42" s="143" t="s">
        <v>730</v>
      </c>
      <c r="CO42" s="143" t="s">
        <v>842</v>
      </c>
      <c r="CP42" s="143">
        <v>4180</v>
      </c>
      <c r="CQ42" s="78">
        <v>8</v>
      </c>
      <c r="CR42" s="78">
        <v>0</v>
      </c>
      <c r="CS42" s="78">
        <v>20</v>
      </c>
      <c r="CT42" s="78">
        <v>4</v>
      </c>
      <c r="CU42" s="78">
        <v>2</v>
      </c>
      <c r="CV42" s="78">
        <v>8</v>
      </c>
      <c r="CW42" s="137">
        <v>0.80769230000000003</v>
      </c>
      <c r="CY42" s="143" t="s">
        <v>729</v>
      </c>
      <c r="CZ42" s="143" t="s">
        <v>730</v>
      </c>
      <c r="DA42" s="143" t="s">
        <v>842</v>
      </c>
      <c r="DB42" s="143">
        <v>4180</v>
      </c>
      <c r="DC42" s="78">
        <v>34</v>
      </c>
      <c r="DD42" s="137">
        <v>0.2</v>
      </c>
      <c r="DE42" s="137">
        <v>7.3913000000000006E-2</v>
      </c>
      <c r="DG42" s="143" t="s">
        <v>729</v>
      </c>
      <c r="DH42" s="143" t="s">
        <v>730</v>
      </c>
      <c r="DI42" s="143" t="s">
        <v>842</v>
      </c>
      <c r="DJ42" s="143">
        <v>4180</v>
      </c>
      <c r="DK42" s="78">
        <v>2</v>
      </c>
      <c r="DL42" s="78">
        <v>1</v>
      </c>
      <c r="DM42" s="78">
        <v>1</v>
      </c>
      <c r="DN42" s="78">
        <v>7</v>
      </c>
      <c r="DO42" s="78">
        <v>2</v>
      </c>
      <c r="DP42" s="78">
        <v>3</v>
      </c>
      <c r="DQ42" s="78">
        <v>8</v>
      </c>
      <c r="DR42" s="78">
        <v>1</v>
      </c>
      <c r="DS42" s="78">
        <v>1</v>
      </c>
      <c r="DT42" s="78">
        <v>0</v>
      </c>
      <c r="DU42" s="78">
        <v>1</v>
      </c>
      <c r="DV42" s="137">
        <v>0.93103449999999999</v>
      </c>
      <c r="DX42" s="143" t="s">
        <v>729</v>
      </c>
      <c r="DY42" s="143" t="s">
        <v>730</v>
      </c>
      <c r="DZ42" s="143" t="s">
        <v>842</v>
      </c>
      <c r="EA42" s="143">
        <v>4180</v>
      </c>
      <c r="EB42" s="78">
        <v>1</v>
      </c>
      <c r="EC42" s="78">
        <v>8</v>
      </c>
      <c r="ED42" s="78">
        <v>1</v>
      </c>
      <c r="EE42" s="78">
        <v>4</v>
      </c>
      <c r="EF42" s="78">
        <v>0</v>
      </c>
      <c r="EG42" s="78">
        <v>1</v>
      </c>
      <c r="EH42" s="78">
        <v>0</v>
      </c>
      <c r="EI42" s="78">
        <v>1</v>
      </c>
      <c r="EJ42" s="78">
        <v>1</v>
      </c>
      <c r="EK42" s="78">
        <v>1</v>
      </c>
      <c r="EL42" s="78">
        <v>0</v>
      </c>
      <c r="EM42" s="78">
        <v>1</v>
      </c>
      <c r="EN42" s="78">
        <v>0</v>
      </c>
      <c r="EO42" s="78">
        <v>1</v>
      </c>
      <c r="EP42" s="78">
        <v>1</v>
      </c>
      <c r="EQ42" s="137">
        <v>0.77777779999999996</v>
      </c>
      <c r="ES42" s="143" t="s">
        <v>729</v>
      </c>
      <c r="ET42" s="143" t="s">
        <v>730</v>
      </c>
      <c r="EU42" s="143" t="s">
        <v>842</v>
      </c>
      <c r="EV42" s="143">
        <v>4180</v>
      </c>
      <c r="EW42" s="78">
        <v>0.5</v>
      </c>
      <c r="EX42" s="78">
        <v>1</v>
      </c>
      <c r="EY42" s="78">
        <v>3</v>
      </c>
      <c r="EZ42" s="78">
        <v>0</v>
      </c>
      <c r="FA42" s="78">
        <v>0.5</v>
      </c>
      <c r="FB42" s="78">
        <v>3</v>
      </c>
      <c r="FC42" s="78">
        <v>2</v>
      </c>
      <c r="FD42" s="78">
        <v>1</v>
      </c>
      <c r="FE42" s="137">
        <v>0.84615390000000001</v>
      </c>
      <c r="FG42" s="137">
        <v>0.51463409999999998</v>
      </c>
    </row>
    <row r="43" spans="1:163" x14ac:dyDescent="0.35">
      <c r="A43" s="143" t="s">
        <v>731</v>
      </c>
      <c r="B43" s="143" t="s">
        <v>722</v>
      </c>
      <c r="C43" s="143" t="s">
        <v>841</v>
      </c>
      <c r="D43" s="143">
        <v>601</v>
      </c>
      <c r="E43" s="78">
        <v>0</v>
      </c>
      <c r="F43" s="78">
        <v>1</v>
      </c>
      <c r="G43" s="78">
        <v>0</v>
      </c>
      <c r="H43" s="78">
        <v>3</v>
      </c>
      <c r="I43" s="78">
        <v>1</v>
      </c>
      <c r="J43" s="78">
        <v>0</v>
      </c>
      <c r="K43" s="78">
        <v>1</v>
      </c>
      <c r="L43" s="78">
        <v>1</v>
      </c>
      <c r="M43" s="78">
        <v>2</v>
      </c>
      <c r="N43" s="137">
        <v>0.64285709999999996</v>
      </c>
      <c r="P43" s="143" t="s">
        <v>731</v>
      </c>
      <c r="Q43" s="143" t="s">
        <v>722</v>
      </c>
      <c r="R43" s="143" t="s">
        <v>841</v>
      </c>
      <c r="S43" s="143">
        <v>601</v>
      </c>
      <c r="T43" s="78">
        <v>1</v>
      </c>
      <c r="U43" s="78">
        <v>0</v>
      </c>
      <c r="V43" s="78">
        <v>1.5</v>
      </c>
      <c r="W43" s="78">
        <v>2</v>
      </c>
      <c r="X43" s="78">
        <v>0</v>
      </c>
      <c r="Y43" s="78">
        <v>0</v>
      </c>
      <c r="Z43" s="78">
        <v>0</v>
      </c>
      <c r="AA43" s="78">
        <v>2</v>
      </c>
      <c r="AB43" s="78">
        <v>6</v>
      </c>
      <c r="AC43" s="78">
        <v>3</v>
      </c>
      <c r="AD43" s="137">
        <v>0.45588230000000002</v>
      </c>
      <c r="AF43" s="143" t="s">
        <v>731</v>
      </c>
      <c r="AG43" s="143" t="s">
        <v>722</v>
      </c>
      <c r="AH43" s="143" t="s">
        <v>841</v>
      </c>
      <c r="AI43" s="143">
        <v>601</v>
      </c>
      <c r="AJ43" s="78">
        <v>0</v>
      </c>
      <c r="AK43" s="78">
        <v>0</v>
      </c>
      <c r="AL43" s="78">
        <v>1</v>
      </c>
      <c r="AM43" s="78">
        <v>6</v>
      </c>
      <c r="AN43" s="78">
        <v>0</v>
      </c>
      <c r="AO43" s="78">
        <v>2</v>
      </c>
      <c r="AP43" s="78">
        <v>2</v>
      </c>
      <c r="AQ43" s="78">
        <v>0</v>
      </c>
      <c r="AR43" s="78">
        <v>2</v>
      </c>
      <c r="AS43" s="78">
        <v>0</v>
      </c>
      <c r="AT43" s="78">
        <v>0</v>
      </c>
      <c r="AU43" s="78">
        <v>1</v>
      </c>
      <c r="AV43" s="78">
        <v>2</v>
      </c>
      <c r="AW43" s="78">
        <v>1</v>
      </c>
      <c r="AX43" s="78">
        <v>4</v>
      </c>
      <c r="AY43" s="78">
        <v>1</v>
      </c>
      <c r="AZ43" s="78">
        <v>2</v>
      </c>
      <c r="BA43" s="78">
        <v>0.5</v>
      </c>
      <c r="BB43" s="78">
        <v>0.5</v>
      </c>
      <c r="BC43" s="78">
        <v>0</v>
      </c>
      <c r="BD43" s="78">
        <v>1</v>
      </c>
      <c r="BE43" s="78">
        <v>0</v>
      </c>
      <c r="BF43" s="78">
        <v>1</v>
      </c>
      <c r="BG43" s="78">
        <v>8</v>
      </c>
      <c r="BH43" s="137">
        <v>0.79545460000000001</v>
      </c>
      <c r="BJ43" s="143" t="s">
        <v>731</v>
      </c>
      <c r="BK43" s="143" t="s">
        <v>722</v>
      </c>
      <c r="BL43" s="143" t="s">
        <v>841</v>
      </c>
      <c r="BM43" s="143">
        <v>601</v>
      </c>
      <c r="BN43" s="78">
        <v>0</v>
      </c>
      <c r="BO43" s="78">
        <v>0</v>
      </c>
      <c r="BP43" s="78">
        <v>0</v>
      </c>
      <c r="BQ43" s="78">
        <v>0</v>
      </c>
      <c r="BR43" s="78">
        <v>0</v>
      </c>
      <c r="BS43" s="78">
        <v>0</v>
      </c>
      <c r="BT43" s="78">
        <v>2</v>
      </c>
      <c r="BU43" s="137">
        <v>8.6956500000000006E-2</v>
      </c>
      <c r="BW43" s="143" t="s">
        <v>731</v>
      </c>
      <c r="BX43" s="143" t="s">
        <v>722</v>
      </c>
      <c r="BY43" s="143" t="s">
        <v>841</v>
      </c>
      <c r="BZ43" s="143">
        <v>601</v>
      </c>
      <c r="CA43" s="78">
        <v>1</v>
      </c>
      <c r="CB43" s="78">
        <v>0</v>
      </c>
      <c r="CC43" s="78">
        <v>0</v>
      </c>
      <c r="CD43" s="78">
        <v>2</v>
      </c>
      <c r="CE43" s="78">
        <v>0</v>
      </c>
      <c r="CF43" s="78">
        <v>2</v>
      </c>
      <c r="CG43" s="78">
        <v>1</v>
      </c>
      <c r="CH43" s="78">
        <v>0</v>
      </c>
      <c r="CI43" s="78">
        <v>1</v>
      </c>
      <c r="CJ43" s="78">
        <v>3</v>
      </c>
      <c r="CK43" s="137">
        <v>0.66666669999999995</v>
      </c>
      <c r="CM43" s="143" t="s">
        <v>731</v>
      </c>
      <c r="CN43" s="143" t="s">
        <v>722</v>
      </c>
      <c r="CO43" s="143" t="s">
        <v>841</v>
      </c>
      <c r="CP43" s="143">
        <v>601</v>
      </c>
      <c r="CQ43" s="78">
        <v>8</v>
      </c>
      <c r="CR43" s="78">
        <v>0</v>
      </c>
      <c r="CS43" s="78">
        <v>16</v>
      </c>
      <c r="CT43" s="78">
        <v>4</v>
      </c>
      <c r="CU43" s="78">
        <v>2</v>
      </c>
      <c r="CV43" s="78">
        <v>8</v>
      </c>
      <c r="CW43" s="137">
        <v>0.73076920000000001</v>
      </c>
      <c r="CY43" s="143" t="s">
        <v>731</v>
      </c>
      <c r="CZ43" s="143" t="s">
        <v>722</v>
      </c>
      <c r="DA43" s="143" t="s">
        <v>841</v>
      </c>
      <c r="DB43" s="143">
        <v>601</v>
      </c>
      <c r="DC43" s="78">
        <v>24</v>
      </c>
      <c r="DD43" s="137">
        <v>0</v>
      </c>
      <c r="DE43" s="137">
        <v>0</v>
      </c>
      <c r="DG43" s="143" t="s">
        <v>731</v>
      </c>
      <c r="DH43" s="143" t="s">
        <v>722</v>
      </c>
      <c r="DI43" s="143" t="s">
        <v>841</v>
      </c>
      <c r="DJ43" s="143">
        <v>601</v>
      </c>
      <c r="DK43" s="78">
        <v>2</v>
      </c>
      <c r="DL43" s="78">
        <v>1</v>
      </c>
      <c r="DM43" s="78">
        <v>1</v>
      </c>
      <c r="DN43" s="78">
        <v>5</v>
      </c>
      <c r="DO43" s="78">
        <v>2</v>
      </c>
      <c r="DP43" s="78">
        <v>3</v>
      </c>
      <c r="DQ43" s="78">
        <v>3</v>
      </c>
      <c r="DR43" s="78">
        <v>1</v>
      </c>
      <c r="DS43" s="78">
        <v>1</v>
      </c>
      <c r="DT43" s="78">
        <v>0</v>
      </c>
      <c r="DU43" s="78">
        <v>0</v>
      </c>
      <c r="DV43" s="137">
        <v>0.65517239999999999</v>
      </c>
      <c r="DX43" s="143" t="s">
        <v>731</v>
      </c>
      <c r="DY43" s="143" t="s">
        <v>722</v>
      </c>
      <c r="DZ43" s="143" t="s">
        <v>841</v>
      </c>
      <c r="EA43" s="143">
        <v>601</v>
      </c>
      <c r="EB43" s="78">
        <v>1</v>
      </c>
      <c r="EC43" s="78">
        <v>8</v>
      </c>
      <c r="ED43" s="78">
        <v>0</v>
      </c>
      <c r="EE43" s="78">
        <v>4</v>
      </c>
      <c r="EF43" s="78">
        <v>3</v>
      </c>
      <c r="EG43" s="78">
        <v>1</v>
      </c>
      <c r="EH43" s="78">
        <v>0</v>
      </c>
      <c r="EI43" s="78">
        <v>1</v>
      </c>
      <c r="EJ43" s="78">
        <v>1</v>
      </c>
      <c r="EK43" s="78">
        <v>1</v>
      </c>
      <c r="EL43" s="78">
        <v>1</v>
      </c>
      <c r="EM43" s="78">
        <v>1</v>
      </c>
      <c r="EN43" s="78">
        <v>1</v>
      </c>
      <c r="EO43" s="78">
        <v>0</v>
      </c>
      <c r="EP43" s="78">
        <v>0</v>
      </c>
      <c r="EQ43" s="137">
        <v>0.8518519</v>
      </c>
      <c r="ES43" s="143" t="s">
        <v>731</v>
      </c>
      <c r="ET43" s="143" t="s">
        <v>722</v>
      </c>
      <c r="EU43" s="143" t="s">
        <v>841</v>
      </c>
      <c r="EV43" s="143">
        <v>601</v>
      </c>
      <c r="EW43" s="78">
        <v>0</v>
      </c>
      <c r="EX43" s="78">
        <v>1</v>
      </c>
      <c r="EY43" s="78">
        <v>3</v>
      </c>
      <c r="EZ43" s="78">
        <v>2</v>
      </c>
      <c r="FA43" s="78">
        <v>0.5</v>
      </c>
      <c r="FB43" s="78">
        <v>3</v>
      </c>
      <c r="FC43" s="78">
        <v>2</v>
      </c>
      <c r="FD43" s="78">
        <v>1</v>
      </c>
      <c r="FE43" s="137">
        <v>0.96153840000000002</v>
      </c>
      <c r="FG43" s="137">
        <v>0.47813410000000001</v>
      </c>
    </row>
    <row r="44" spans="1:163" x14ac:dyDescent="0.35">
      <c r="A44" s="143" t="s">
        <v>731</v>
      </c>
      <c r="B44" s="143" t="s">
        <v>722</v>
      </c>
      <c r="C44" s="143" t="s">
        <v>841</v>
      </c>
      <c r="D44" s="143">
        <v>604</v>
      </c>
      <c r="E44" s="78">
        <v>0</v>
      </c>
      <c r="F44" s="78">
        <v>2</v>
      </c>
      <c r="G44" s="78">
        <v>1</v>
      </c>
      <c r="H44" s="78">
        <v>2</v>
      </c>
      <c r="I44" s="78">
        <v>1</v>
      </c>
      <c r="J44" s="78">
        <v>0</v>
      </c>
      <c r="K44" s="78">
        <v>1</v>
      </c>
      <c r="L44" s="78">
        <v>0</v>
      </c>
      <c r="M44" s="78">
        <v>2</v>
      </c>
      <c r="N44" s="137">
        <v>0.64285709999999996</v>
      </c>
      <c r="P44" s="143" t="s">
        <v>731</v>
      </c>
      <c r="Q44" s="143" t="s">
        <v>722</v>
      </c>
      <c r="R44" s="143" t="s">
        <v>841</v>
      </c>
      <c r="S44" s="143">
        <v>604</v>
      </c>
      <c r="T44" s="78">
        <v>1</v>
      </c>
      <c r="U44" s="78">
        <v>1</v>
      </c>
      <c r="V44" s="78">
        <v>1</v>
      </c>
      <c r="W44" s="78">
        <v>0</v>
      </c>
      <c r="X44" s="78">
        <v>0</v>
      </c>
      <c r="Y44" s="78">
        <v>1</v>
      </c>
      <c r="Z44" s="78">
        <v>3</v>
      </c>
      <c r="AA44" s="78">
        <v>2</v>
      </c>
      <c r="AB44" s="78">
        <v>0</v>
      </c>
      <c r="AC44" s="78">
        <v>0</v>
      </c>
      <c r="AD44" s="137">
        <v>0.26470589999999999</v>
      </c>
      <c r="AF44" s="143" t="s">
        <v>731</v>
      </c>
      <c r="AG44" s="143" t="s">
        <v>722</v>
      </c>
      <c r="AH44" s="143" t="s">
        <v>841</v>
      </c>
      <c r="AI44" s="143">
        <v>604</v>
      </c>
      <c r="AJ44" s="78">
        <v>0</v>
      </c>
      <c r="AK44" s="78">
        <v>0</v>
      </c>
      <c r="AL44" s="78">
        <v>1</v>
      </c>
      <c r="AM44" s="78">
        <v>1</v>
      </c>
      <c r="AN44" s="78">
        <v>1</v>
      </c>
      <c r="AO44" s="78">
        <v>2</v>
      </c>
      <c r="AP44" s="78">
        <v>2</v>
      </c>
      <c r="AQ44" s="78">
        <v>1</v>
      </c>
      <c r="AR44" s="78">
        <v>0</v>
      </c>
      <c r="AS44" s="78">
        <v>2</v>
      </c>
      <c r="AT44" s="78">
        <v>2</v>
      </c>
      <c r="AU44" s="78">
        <v>1</v>
      </c>
      <c r="AV44" s="78">
        <v>2</v>
      </c>
      <c r="AW44" s="78">
        <v>1</v>
      </c>
      <c r="AX44" s="78">
        <v>4</v>
      </c>
      <c r="AY44" s="78">
        <v>1</v>
      </c>
      <c r="AZ44" s="78">
        <v>2</v>
      </c>
      <c r="BA44" s="78">
        <v>0.5</v>
      </c>
      <c r="BB44" s="78">
        <v>0.5</v>
      </c>
      <c r="BC44" s="78">
        <v>0.5</v>
      </c>
      <c r="BD44" s="78">
        <v>1</v>
      </c>
      <c r="BE44" s="78">
        <v>0.5</v>
      </c>
      <c r="BF44" s="78">
        <v>1</v>
      </c>
      <c r="BG44" s="78">
        <v>8</v>
      </c>
      <c r="BH44" s="137">
        <v>0.79545460000000001</v>
      </c>
      <c r="BJ44" s="143" t="s">
        <v>731</v>
      </c>
      <c r="BK44" s="143" t="s">
        <v>722</v>
      </c>
      <c r="BL44" s="143" t="s">
        <v>841</v>
      </c>
      <c r="BM44" s="143">
        <v>604</v>
      </c>
      <c r="BN44" s="78">
        <v>1</v>
      </c>
      <c r="BO44" s="78">
        <v>4</v>
      </c>
      <c r="BP44" s="78">
        <v>0</v>
      </c>
      <c r="BQ44" s="78">
        <v>3</v>
      </c>
      <c r="BR44" s="78">
        <v>0</v>
      </c>
      <c r="BS44" s="78">
        <v>0</v>
      </c>
      <c r="BT44" s="78">
        <v>0</v>
      </c>
      <c r="BU44" s="137">
        <v>0.34782610000000003</v>
      </c>
      <c r="BW44" s="143" t="s">
        <v>731</v>
      </c>
      <c r="BX44" s="143" t="s">
        <v>722</v>
      </c>
      <c r="BY44" s="143" t="s">
        <v>841</v>
      </c>
      <c r="BZ44" s="143">
        <v>604</v>
      </c>
      <c r="CA44" s="78">
        <v>1</v>
      </c>
      <c r="CB44" s="78">
        <v>1</v>
      </c>
      <c r="CC44" s="78">
        <v>0</v>
      </c>
      <c r="CD44" s="78">
        <v>2</v>
      </c>
      <c r="CE44" s="78">
        <v>0</v>
      </c>
      <c r="CF44" s="78">
        <v>2</v>
      </c>
      <c r="CG44" s="78">
        <v>1</v>
      </c>
      <c r="CH44" s="78">
        <v>0</v>
      </c>
      <c r="CI44" s="78">
        <v>1</v>
      </c>
      <c r="CJ44" s="78">
        <v>3</v>
      </c>
      <c r="CK44" s="137">
        <v>0.73333329999999997</v>
      </c>
      <c r="CM44" s="143" t="s">
        <v>731</v>
      </c>
      <c r="CN44" s="143" t="s">
        <v>722</v>
      </c>
      <c r="CO44" s="143" t="s">
        <v>841</v>
      </c>
      <c r="CP44" s="143">
        <v>604</v>
      </c>
      <c r="CQ44" s="78">
        <v>8</v>
      </c>
      <c r="CR44" s="78">
        <v>0</v>
      </c>
      <c r="CS44" s="78">
        <v>12</v>
      </c>
      <c r="CT44" s="78">
        <v>4</v>
      </c>
      <c r="CU44" s="78">
        <v>2</v>
      </c>
      <c r="CV44" s="78">
        <v>8</v>
      </c>
      <c r="CW44" s="137">
        <v>0.65384609999999999</v>
      </c>
      <c r="CY44" s="143" t="s">
        <v>731</v>
      </c>
      <c r="CZ44" s="143" t="s">
        <v>722</v>
      </c>
      <c r="DA44" s="143" t="s">
        <v>841</v>
      </c>
      <c r="DB44" s="143">
        <v>604</v>
      </c>
      <c r="DC44" s="78">
        <v>8</v>
      </c>
      <c r="DD44" s="137">
        <v>0</v>
      </c>
      <c r="DE44" s="137">
        <v>0</v>
      </c>
      <c r="DG44" s="143" t="s">
        <v>731</v>
      </c>
      <c r="DH44" s="143" t="s">
        <v>722</v>
      </c>
      <c r="DI44" s="143" t="s">
        <v>841</v>
      </c>
      <c r="DJ44" s="143">
        <v>604</v>
      </c>
      <c r="DK44" s="78">
        <v>0</v>
      </c>
      <c r="DL44" s="78">
        <v>1</v>
      </c>
      <c r="DM44" s="78">
        <v>1</v>
      </c>
      <c r="DN44" s="78">
        <v>5</v>
      </c>
      <c r="DO44" s="78">
        <v>2</v>
      </c>
      <c r="DP44" s="78">
        <v>3</v>
      </c>
      <c r="DQ44" s="78">
        <v>8</v>
      </c>
      <c r="DR44" s="78">
        <v>1</v>
      </c>
      <c r="DS44" s="78">
        <v>0</v>
      </c>
      <c r="DT44" s="78">
        <v>0</v>
      </c>
      <c r="DU44" s="78">
        <v>0</v>
      </c>
      <c r="DV44" s="137">
        <v>0.7241379</v>
      </c>
      <c r="DX44" s="143" t="s">
        <v>731</v>
      </c>
      <c r="DY44" s="143" t="s">
        <v>722</v>
      </c>
      <c r="DZ44" s="143" t="s">
        <v>841</v>
      </c>
      <c r="EA44" s="143">
        <v>604</v>
      </c>
      <c r="EB44" s="78">
        <v>1</v>
      </c>
      <c r="EC44" s="78">
        <v>0</v>
      </c>
      <c r="ED44" s="78">
        <v>0</v>
      </c>
      <c r="EE44" s="78">
        <v>4</v>
      </c>
      <c r="EF44" s="78">
        <v>3</v>
      </c>
      <c r="EG44" s="78">
        <v>1</v>
      </c>
      <c r="EH44" s="78">
        <v>0</v>
      </c>
      <c r="EI44" s="78">
        <v>1</v>
      </c>
      <c r="EJ44" s="78">
        <v>1</v>
      </c>
      <c r="EK44" s="78">
        <v>1</v>
      </c>
      <c r="EL44" s="78">
        <v>1</v>
      </c>
      <c r="EM44" s="78">
        <v>1</v>
      </c>
      <c r="EN44" s="78">
        <v>0</v>
      </c>
      <c r="EO44" s="78">
        <v>0</v>
      </c>
      <c r="EP44" s="78">
        <v>0</v>
      </c>
      <c r="EQ44" s="137">
        <v>0.51851849999999999</v>
      </c>
      <c r="ES44" s="143" t="s">
        <v>731</v>
      </c>
      <c r="ET44" s="143" t="s">
        <v>722</v>
      </c>
      <c r="EU44" s="143" t="s">
        <v>841</v>
      </c>
      <c r="EV44" s="143">
        <v>604</v>
      </c>
      <c r="EW44" s="78">
        <v>0</v>
      </c>
      <c r="EX44" s="78">
        <v>0</v>
      </c>
      <c r="EY44" s="78">
        <v>3</v>
      </c>
      <c r="EZ44" s="78">
        <v>0</v>
      </c>
      <c r="FA44" s="78">
        <v>0.5</v>
      </c>
      <c r="FB44" s="78">
        <v>3</v>
      </c>
      <c r="FC44" s="78">
        <v>2</v>
      </c>
      <c r="FD44" s="78">
        <v>1</v>
      </c>
      <c r="FE44" s="137">
        <v>0.73076920000000001</v>
      </c>
      <c r="FG44" s="137">
        <v>0.43877549999999998</v>
      </c>
    </row>
    <row r="45" spans="1:163" x14ac:dyDescent="0.35">
      <c r="A45" s="143" t="s">
        <v>731</v>
      </c>
      <c r="B45" s="143" t="s">
        <v>722</v>
      </c>
      <c r="C45" s="143" t="s">
        <v>843</v>
      </c>
      <c r="D45" s="143">
        <v>608</v>
      </c>
      <c r="E45" s="78">
        <v>0</v>
      </c>
      <c r="F45" s="78">
        <v>2</v>
      </c>
      <c r="G45" s="78">
        <v>0</v>
      </c>
      <c r="H45" s="78">
        <v>3</v>
      </c>
      <c r="I45" s="78">
        <v>1</v>
      </c>
      <c r="J45" s="78">
        <v>0</v>
      </c>
      <c r="K45" s="78">
        <v>1</v>
      </c>
      <c r="L45" s="78">
        <v>0</v>
      </c>
      <c r="M45" s="78">
        <v>2</v>
      </c>
      <c r="N45" s="137">
        <v>0.64285709999999996</v>
      </c>
      <c r="P45" s="143" t="s">
        <v>731</v>
      </c>
      <c r="Q45" s="143" t="s">
        <v>722</v>
      </c>
      <c r="R45" s="143" t="s">
        <v>843</v>
      </c>
      <c r="S45" s="143">
        <v>608</v>
      </c>
      <c r="T45" s="78">
        <v>1</v>
      </c>
      <c r="U45" s="78">
        <v>0</v>
      </c>
      <c r="V45" s="78">
        <v>0.5</v>
      </c>
      <c r="W45" s="78">
        <v>2</v>
      </c>
      <c r="X45" s="78">
        <v>0</v>
      </c>
      <c r="Y45" s="78">
        <v>1</v>
      </c>
      <c r="Z45" s="78">
        <v>3</v>
      </c>
      <c r="AA45" s="78">
        <v>0</v>
      </c>
      <c r="AB45" s="78">
        <v>0</v>
      </c>
      <c r="AC45" s="78">
        <v>3</v>
      </c>
      <c r="AD45" s="137">
        <v>0.30882349999999997</v>
      </c>
      <c r="AF45" s="143" t="s">
        <v>731</v>
      </c>
      <c r="AG45" s="143" t="s">
        <v>722</v>
      </c>
      <c r="AH45" s="143" t="s">
        <v>843</v>
      </c>
      <c r="AI45" s="143">
        <v>608</v>
      </c>
      <c r="AJ45" s="78">
        <v>0</v>
      </c>
      <c r="AK45" s="78">
        <v>0</v>
      </c>
      <c r="AL45" s="78">
        <v>0</v>
      </c>
      <c r="AM45" s="78">
        <v>1</v>
      </c>
      <c r="AN45" s="78">
        <v>1</v>
      </c>
      <c r="AO45" s="78">
        <v>0</v>
      </c>
      <c r="AP45" s="78">
        <v>1</v>
      </c>
      <c r="AQ45" s="78">
        <v>1</v>
      </c>
      <c r="AR45" s="78">
        <v>2</v>
      </c>
      <c r="AS45" s="78">
        <v>0</v>
      </c>
      <c r="AT45" s="78">
        <v>2</v>
      </c>
      <c r="AU45" s="78">
        <v>1</v>
      </c>
      <c r="AV45" s="78">
        <v>2</v>
      </c>
      <c r="AW45" s="78">
        <v>1</v>
      </c>
      <c r="AX45" s="78">
        <v>4</v>
      </c>
      <c r="AY45" s="78">
        <v>0</v>
      </c>
      <c r="AZ45" s="78">
        <v>2</v>
      </c>
      <c r="BA45" s="78">
        <v>0.5</v>
      </c>
      <c r="BB45" s="78">
        <v>0.5</v>
      </c>
      <c r="BC45" s="78">
        <v>0.5</v>
      </c>
      <c r="BD45" s="78">
        <v>1</v>
      </c>
      <c r="BE45" s="78">
        <v>0</v>
      </c>
      <c r="BF45" s="78">
        <v>1</v>
      </c>
      <c r="BG45" s="78">
        <v>8</v>
      </c>
      <c r="BH45" s="137">
        <v>0.67045460000000001</v>
      </c>
      <c r="BJ45" s="143" t="s">
        <v>731</v>
      </c>
      <c r="BK45" s="143" t="s">
        <v>722</v>
      </c>
      <c r="BL45" s="143" t="s">
        <v>843</v>
      </c>
      <c r="BM45" s="143">
        <v>608</v>
      </c>
      <c r="BN45" s="78">
        <v>1</v>
      </c>
      <c r="BO45" s="78">
        <v>4</v>
      </c>
      <c r="BP45" s="78">
        <v>0</v>
      </c>
      <c r="BQ45" s="78">
        <v>0</v>
      </c>
      <c r="BR45" s="78">
        <v>3</v>
      </c>
      <c r="BS45" s="78">
        <v>3</v>
      </c>
      <c r="BT45" s="78">
        <v>2</v>
      </c>
      <c r="BU45" s="137">
        <v>0.56521739999999998</v>
      </c>
      <c r="BW45" s="143" t="s">
        <v>731</v>
      </c>
      <c r="BX45" s="143" t="s">
        <v>722</v>
      </c>
      <c r="BY45" s="143" t="s">
        <v>843</v>
      </c>
      <c r="BZ45" s="143">
        <v>608</v>
      </c>
      <c r="CA45" s="78">
        <v>1</v>
      </c>
      <c r="CB45" s="78">
        <v>1</v>
      </c>
      <c r="CC45" s="78">
        <v>0</v>
      </c>
      <c r="CD45" s="78">
        <v>2</v>
      </c>
      <c r="CE45" s="78">
        <v>1</v>
      </c>
      <c r="CF45" s="78">
        <v>2</v>
      </c>
      <c r="CG45" s="78">
        <v>1</v>
      </c>
      <c r="CH45" s="78">
        <v>0</v>
      </c>
      <c r="CI45" s="78">
        <v>1</v>
      </c>
      <c r="CJ45" s="78">
        <v>3</v>
      </c>
      <c r="CK45" s="137">
        <v>0.8</v>
      </c>
      <c r="CM45" s="143" t="s">
        <v>731</v>
      </c>
      <c r="CN45" s="143" t="s">
        <v>722</v>
      </c>
      <c r="CO45" s="143" t="s">
        <v>843</v>
      </c>
      <c r="CP45" s="143">
        <v>608</v>
      </c>
      <c r="CQ45" s="78">
        <v>8</v>
      </c>
      <c r="CR45" s="78">
        <v>6</v>
      </c>
      <c r="CS45" s="78">
        <v>16</v>
      </c>
      <c r="CT45" s="78">
        <v>4</v>
      </c>
      <c r="CU45" s="78">
        <v>2</v>
      </c>
      <c r="CV45" s="78">
        <v>8</v>
      </c>
      <c r="CW45" s="137">
        <v>0.84615390000000001</v>
      </c>
      <c r="CY45" s="143" t="s">
        <v>731</v>
      </c>
      <c r="CZ45" s="143" t="s">
        <v>722</v>
      </c>
      <c r="DA45" s="143" t="s">
        <v>843</v>
      </c>
      <c r="DB45" s="143">
        <v>608</v>
      </c>
      <c r="DC45" s="78">
        <v>28</v>
      </c>
      <c r="DD45" s="137">
        <v>0</v>
      </c>
      <c r="DE45" s="137">
        <v>0</v>
      </c>
      <c r="DG45" s="143" t="s">
        <v>731</v>
      </c>
      <c r="DH45" s="143" t="s">
        <v>722</v>
      </c>
      <c r="DI45" s="143" t="s">
        <v>843</v>
      </c>
      <c r="DJ45" s="143">
        <v>608</v>
      </c>
      <c r="DK45" s="78">
        <v>2</v>
      </c>
      <c r="DL45" s="78">
        <v>1</v>
      </c>
      <c r="DM45" s="78">
        <v>0</v>
      </c>
      <c r="DN45" s="78">
        <v>5</v>
      </c>
      <c r="DO45" s="78">
        <v>0</v>
      </c>
      <c r="DP45" s="78">
        <v>3</v>
      </c>
      <c r="DQ45" s="78">
        <v>7</v>
      </c>
      <c r="DR45" s="78">
        <v>1</v>
      </c>
      <c r="DS45" s="78">
        <v>1</v>
      </c>
      <c r="DT45" s="78">
        <v>0</v>
      </c>
      <c r="DU45" s="78">
        <v>0</v>
      </c>
      <c r="DV45" s="137">
        <v>0.68965520000000002</v>
      </c>
      <c r="DX45" s="143" t="s">
        <v>731</v>
      </c>
      <c r="DY45" s="143" t="s">
        <v>722</v>
      </c>
      <c r="DZ45" s="143" t="s">
        <v>843</v>
      </c>
      <c r="EA45" s="143">
        <v>608</v>
      </c>
      <c r="EB45" s="78">
        <v>1</v>
      </c>
      <c r="EC45" s="78">
        <v>0</v>
      </c>
      <c r="ED45" s="78">
        <v>0</v>
      </c>
      <c r="EE45" s="78">
        <v>4</v>
      </c>
      <c r="EF45" s="78">
        <v>3</v>
      </c>
      <c r="EG45" s="78">
        <v>1</v>
      </c>
      <c r="EH45" s="78">
        <v>0</v>
      </c>
      <c r="EI45" s="78">
        <v>1</v>
      </c>
      <c r="EJ45" s="78">
        <v>1</v>
      </c>
      <c r="EK45" s="78">
        <v>1</v>
      </c>
      <c r="EL45" s="78">
        <v>1</v>
      </c>
      <c r="EM45" s="78">
        <v>1</v>
      </c>
      <c r="EN45" s="78">
        <v>1</v>
      </c>
      <c r="EO45" s="78">
        <v>0</v>
      </c>
      <c r="EP45" s="78">
        <v>0</v>
      </c>
      <c r="EQ45" s="137">
        <v>0.55555560000000004</v>
      </c>
      <c r="ES45" s="143" t="s">
        <v>731</v>
      </c>
      <c r="ET45" s="143" t="s">
        <v>722</v>
      </c>
      <c r="EU45" s="143" t="s">
        <v>843</v>
      </c>
      <c r="EV45" s="143">
        <v>608</v>
      </c>
      <c r="EW45" s="78">
        <v>0</v>
      </c>
      <c r="EX45" s="78">
        <v>1</v>
      </c>
      <c r="EY45" s="78">
        <v>3</v>
      </c>
      <c r="EZ45" s="78">
        <v>2</v>
      </c>
      <c r="FA45" s="78">
        <v>0.5</v>
      </c>
      <c r="FB45" s="78">
        <v>3</v>
      </c>
      <c r="FC45" s="78">
        <v>2</v>
      </c>
      <c r="FD45" s="78">
        <v>1</v>
      </c>
      <c r="FE45" s="137">
        <v>0.96153840000000002</v>
      </c>
      <c r="FG45" s="137">
        <v>0.48250729999999997</v>
      </c>
    </row>
    <row r="46" spans="1:163" x14ac:dyDescent="0.35">
      <c r="A46" s="143" t="s">
        <v>731</v>
      </c>
      <c r="B46" s="143" t="s">
        <v>722</v>
      </c>
      <c r="C46" s="143" t="s">
        <v>842</v>
      </c>
      <c r="D46" s="143">
        <v>1721</v>
      </c>
      <c r="E46" s="78">
        <v>0</v>
      </c>
      <c r="F46" s="78">
        <v>1</v>
      </c>
      <c r="G46" s="78">
        <v>0</v>
      </c>
      <c r="H46" s="78">
        <v>0</v>
      </c>
      <c r="I46" s="78">
        <v>0</v>
      </c>
      <c r="J46" s="78">
        <v>0</v>
      </c>
      <c r="K46" s="78">
        <v>0</v>
      </c>
      <c r="L46" s="78">
        <v>0</v>
      </c>
      <c r="M46" s="78">
        <v>2</v>
      </c>
      <c r="N46" s="137">
        <v>0.2142857</v>
      </c>
      <c r="P46" s="143" t="s">
        <v>731</v>
      </c>
      <c r="Q46" s="143" t="s">
        <v>722</v>
      </c>
      <c r="R46" s="143" t="s">
        <v>842</v>
      </c>
      <c r="S46" s="143">
        <v>1721</v>
      </c>
      <c r="T46" s="78">
        <v>1</v>
      </c>
      <c r="U46" s="78">
        <v>1</v>
      </c>
      <c r="V46" s="78">
        <v>0</v>
      </c>
      <c r="W46" s="78">
        <v>0</v>
      </c>
      <c r="X46" s="78">
        <v>0</v>
      </c>
      <c r="Y46" s="78">
        <v>1</v>
      </c>
      <c r="Z46" s="78">
        <v>0</v>
      </c>
      <c r="AA46" s="78">
        <v>0</v>
      </c>
      <c r="AB46" s="78">
        <v>0</v>
      </c>
      <c r="AC46" s="78">
        <v>0</v>
      </c>
      <c r="AD46" s="137">
        <v>8.8235300000000003E-2</v>
      </c>
      <c r="AF46" s="143" t="s">
        <v>731</v>
      </c>
      <c r="AG46" s="143" t="s">
        <v>722</v>
      </c>
      <c r="AH46" s="143" t="s">
        <v>842</v>
      </c>
      <c r="AI46" s="143">
        <v>1721</v>
      </c>
      <c r="AJ46" s="78">
        <v>0</v>
      </c>
      <c r="AK46" s="78">
        <v>0</v>
      </c>
      <c r="AL46" s="78">
        <v>0</v>
      </c>
      <c r="AM46" s="78">
        <v>5</v>
      </c>
      <c r="AN46" s="78">
        <v>0</v>
      </c>
      <c r="AO46" s="78">
        <v>0</v>
      </c>
      <c r="AP46" s="78">
        <v>0</v>
      </c>
      <c r="AQ46" s="78">
        <v>0</v>
      </c>
      <c r="AR46" s="78">
        <v>0</v>
      </c>
      <c r="AS46" s="78">
        <v>0</v>
      </c>
      <c r="AT46" s="78">
        <v>0</v>
      </c>
      <c r="AU46" s="78">
        <v>0</v>
      </c>
      <c r="AV46" s="78">
        <v>0</v>
      </c>
      <c r="AW46" s="78">
        <v>0</v>
      </c>
      <c r="AX46" s="78">
        <v>0</v>
      </c>
      <c r="AY46" s="78">
        <v>1</v>
      </c>
      <c r="AZ46" s="78">
        <v>0</v>
      </c>
      <c r="BA46" s="78">
        <v>0.5</v>
      </c>
      <c r="BB46" s="78">
        <v>0.5</v>
      </c>
      <c r="BC46" s="78">
        <v>0.5</v>
      </c>
      <c r="BD46" s="78">
        <v>1</v>
      </c>
      <c r="BE46" s="78">
        <v>0</v>
      </c>
      <c r="BF46" s="78">
        <v>0</v>
      </c>
      <c r="BG46" s="78">
        <v>2</v>
      </c>
      <c r="BH46" s="137">
        <v>0.2386364</v>
      </c>
      <c r="BJ46" s="143" t="s">
        <v>731</v>
      </c>
      <c r="BK46" s="143" t="s">
        <v>722</v>
      </c>
      <c r="BL46" s="143" t="s">
        <v>842</v>
      </c>
      <c r="BM46" s="143">
        <v>1721</v>
      </c>
      <c r="BN46" s="78">
        <v>0</v>
      </c>
      <c r="BO46" s="78">
        <v>4</v>
      </c>
      <c r="BP46" s="78">
        <v>0</v>
      </c>
      <c r="BQ46" s="78">
        <v>0</v>
      </c>
      <c r="BR46" s="78">
        <v>0</v>
      </c>
      <c r="BS46" s="78">
        <v>3</v>
      </c>
      <c r="BT46" s="78">
        <v>0</v>
      </c>
      <c r="BU46" s="137">
        <v>0.3043478</v>
      </c>
      <c r="BW46" s="143" t="s">
        <v>731</v>
      </c>
      <c r="BX46" s="143" t="s">
        <v>722</v>
      </c>
      <c r="BY46" s="143" t="s">
        <v>842</v>
      </c>
      <c r="BZ46" s="143">
        <v>1721</v>
      </c>
      <c r="CM46" s="143" t="s">
        <v>731</v>
      </c>
      <c r="CN46" s="143" t="s">
        <v>722</v>
      </c>
      <c r="CO46" s="143" t="s">
        <v>842</v>
      </c>
      <c r="CP46" s="143">
        <v>1721</v>
      </c>
      <c r="CQ46" s="78">
        <v>0</v>
      </c>
      <c r="CR46" s="78">
        <v>0</v>
      </c>
      <c r="CS46" s="78">
        <v>0</v>
      </c>
      <c r="CT46" s="78">
        <v>0</v>
      </c>
      <c r="CU46" s="78">
        <v>0</v>
      </c>
      <c r="CV46" s="78">
        <v>0</v>
      </c>
      <c r="CW46" s="137">
        <v>0</v>
      </c>
      <c r="CY46" s="143" t="s">
        <v>731</v>
      </c>
      <c r="CZ46" s="143" t="s">
        <v>722</v>
      </c>
      <c r="DA46" s="143" t="s">
        <v>842</v>
      </c>
      <c r="DB46" s="143">
        <v>1721</v>
      </c>
      <c r="DC46" s="78">
        <v>0</v>
      </c>
      <c r="DD46" s="137">
        <v>0</v>
      </c>
      <c r="DE46" s="137">
        <v>0</v>
      </c>
      <c r="DG46" s="143" t="s">
        <v>731</v>
      </c>
      <c r="DH46" s="143" t="s">
        <v>722</v>
      </c>
      <c r="DI46" s="143" t="s">
        <v>842</v>
      </c>
      <c r="DJ46" s="143">
        <v>1721</v>
      </c>
      <c r="DK46" s="78">
        <v>0</v>
      </c>
      <c r="DL46" s="78">
        <v>0</v>
      </c>
      <c r="DM46" s="78">
        <v>0</v>
      </c>
      <c r="DN46" s="78">
        <v>4</v>
      </c>
      <c r="DO46" s="78">
        <v>2</v>
      </c>
      <c r="DP46" s="78">
        <v>3</v>
      </c>
      <c r="DQ46" s="78">
        <v>6</v>
      </c>
      <c r="DR46" s="78">
        <v>1</v>
      </c>
      <c r="DS46" s="78">
        <v>1</v>
      </c>
      <c r="DT46" s="78">
        <v>0</v>
      </c>
      <c r="DU46" s="78">
        <v>0</v>
      </c>
      <c r="DV46" s="137">
        <v>0.58620689999999998</v>
      </c>
      <c r="DX46" s="143" t="s">
        <v>731</v>
      </c>
      <c r="DY46" s="143" t="s">
        <v>722</v>
      </c>
      <c r="DZ46" s="143" t="s">
        <v>842</v>
      </c>
      <c r="EA46" s="143">
        <v>1721</v>
      </c>
      <c r="EB46" s="78">
        <v>1</v>
      </c>
      <c r="EC46" s="78">
        <v>8</v>
      </c>
      <c r="ED46" s="78">
        <v>1</v>
      </c>
      <c r="EE46" s="78">
        <v>4</v>
      </c>
      <c r="EF46" s="78">
        <v>0</v>
      </c>
      <c r="EG46" s="78">
        <v>1</v>
      </c>
      <c r="EH46" s="78">
        <v>0</v>
      </c>
      <c r="EI46" s="78">
        <v>1</v>
      </c>
      <c r="EJ46" s="78">
        <v>1</v>
      </c>
      <c r="EK46" s="78">
        <v>1</v>
      </c>
      <c r="EL46" s="78">
        <v>1</v>
      </c>
      <c r="EM46" s="78">
        <v>1</v>
      </c>
      <c r="EN46" s="78">
        <v>0</v>
      </c>
      <c r="EO46" s="78">
        <v>1</v>
      </c>
      <c r="EP46" s="78">
        <v>0</v>
      </c>
      <c r="EQ46" s="137">
        <v>0.77777779999999996</v>
      </c>
      <c r="ES46" s="143" t="s">
        <v>731</v>
      </c>
      <c r="ET46" s="143" t="s">
        <v>722</v>
      </c>
      <c r="EU46" s="143" t="s">
        <v>842</v>
      </c>
      <c r="EV46" s="143">
        <v>1721</v>
      </c>
      <c r="EW46" s="78">
        <v>0</v>
      </c>
      <c r="EX46" s="78">
        <v>0</v>
      </c>
      <c r="EY46" s="78">
        <v>0</v>
      </c>
      <c r="EZ46" s="78">
        <v>0</v>
      </c>
      <c r="FA46" s="78">
        <v>0.5</v>
      </c>
      <c r="FB46" s="78">
        <v>3</v>
      </c>
      <c r="FC46" s="78">
        <v>2</v>
      </c>
      <c r="FD46" s="78">
        <v>0</v>
      </c>
      <c r="FE46" s="137">
        <v>0.42307689999999998</v>
      </c>
      <c r="FG46" s="137">
        <v>0.20426830000000001</v>
      </c>
    </row>
    <row r="47" spans="1:163" x14ac:dyDescent="0.35">
      <c r="A47" s="143" t="s">
        <v>731</v>
      </c>
      <c r="B47" s="143" t="s">
        <v>722</v>
      </c>
      <c r="C47" s="143" t="s">
        <v>841</v>
      </c>
      <c r="D47" s="143">
        <v>1918</v>
      </c>
      <c r="E47" s="78">
        <v>0</v>
      </c>
      <c r="F47" s="78">
        <v>1.5</v>
      </c>
      <c r="G47" s="78">
        <v>0</v>
      </c>
      <c r="H47" s="78">
        <v>3</v>
      </c>
      <c r="I47" s="78">
        <v>1</v>
      </c>
      <c r="J47" s="78">
        <v>0</v>
      </c>
      <c r="K47" s="78">
        <v>1</v>
      </c>
      <c r="L47" s="78">
        <v>0</v>
      </c>
      <c r="M47" s="78">
        <v>0</v>
      </c>
      <c r="N47" s="137">
        <v>0.46428570000000002</v>
      </c>
      <c r="P47" s="143" t="s">
        <v>731</v>
      </c>
      <c r="Q47" s="143" t="s">
        <v>722</v>
      </c>
      <c r="R47" s="143" t="s">
        <v>841</v>
      </c>
      <c r="S47" s="143">
        <v>1918</v>
      </c>
      <c r="T47" s="78">
        <v>1</v>
      </c>
      <c r="U47" s="78">
        <v>0</v>
      </c>
      <c r="V47" s="78">
        <v>0</v>
      </c>
      <c r="W47" s="78">
        <v>0</v>
      </c>
      <c r="X47" s="78">
        <v>0</v>
      </c>
      <c r="Y47" s="78">
        <v>1</v>
      </c>
      <c r="Z47" s="78">
        <v>3</v>
      </c>
      <c r="AA47" s="78">
        <v>0</v>
      </c>
      <c r="AB47" s="78">
        <v>0</v>
      </c>
      <c r="AC47" s="78">
        <v>0</v>
      </c>
      <c r="AD47" s="137">
        <v>0.14705879999999999</v>
      </c>
      <c r="AF47" s="143" t="s">
        <v>731</v>
      </c>
      <c r="AG47" s="143" t="s">
        <v>722</v>
      </c>
      <c r="AH47" s="143" t="s">
        <v>841</v>
      </c>
      <c r="AI47" s="143">
        <v>1918</v>
      </c>
      <c r="AJ47" s="78">
        <v>0</v>
      </c>
      <c r="AK47" s="78">
        <v>0</v>
      </c>
      <c r="AL47" s="78">
        <v>1</v>
      </c>
      <c r="AM47" s="78">
        <v>6</v>
      </c>
      <c r="AN47" s="78">
        <v>1</v>
      </c>
      <c r="AO47" s="78">
        <v>2</v>
      </c>
      <c r="AP47" s="78">
        <v>2</v>
      </c>
      <c r="AQ47" s="78">
        <v>1</v>
      </c>
      <c r="AR47" s="78">
        <v>0</v>
      </c>
      <c r="AS47" s="78">
        <v>0</v>
      </c>
      <c r="AT47" s="78">
        <v>0</v>
      </c>
      <c r="AU47" s="78">
        <v>0</v>
      </c>
      <c r="AV47" s="78">
        <v>2</v>
      </c>
      <c r="AW47" s="78">
        <v>1</v>
      </c>
      <c r="AX47" s="78">
        <v>0</v>
      </c>
      <c r="AY47" s="78">
        <v>1</v>
      </c>
      <c r="AZ47" s="78">
        <v>0</v>
      </c>
      <c r="BA47" s="78">
        <v>0.5</v>
      </c>
      <c r="BB47" s="78">
        <v>0.5</v>
      </c>
      <c r="BC47" s="78">
        <v>0.5</v>
      </c>
      <c r="BD47" s="78">
        <v>1</v>
      </c>
      <c r="BE47" s="78">
        <v>0.5</v>
      </c>
      <c r="BF47" s="78">
        <v>0</v>
      </c>
      <c r="BG47" s="78">
        <v>8</v>
      </c>
      <c r="BH47" s="137">
        <v>0.63636360000000003</v>
      </c>
      <c r="BJ47" s="143" t="s">
        <v>731</v>
      </c>
      <c r="BK47" s="143" t="s">
        <v>722</v>
      </c>
      <c r="BL47" s="143" t="s">
        <v>841</v>
      </c>
      <c r="BM47" s="143">
        <v>1918</v>
      </c>
      <c r="BN47" s="78">
        <v>1</v>
      </c>
      <c r="BO47" s="78">
        <v>4</v>
      </c>
      <c r="BP47" s="78">
        <v>0</v>
      </c>
      <c r="BQ47" s="78">
        <v>0</v>
      </c>
      <c r="BR47" s="78">
        <v>3</v>
      </c>
      <c r="BS47" s="78">
        <v>0</v>
      </c>
      <c r="BT47" s="78">
        <v>0</v>
      </c>
      <c r="BU47" s="137">
        <v>0.34782610000000003</v>
      </c>
      <c r="BW47" s="143" t="s">
        <v>731</v>
      </c>
      <c r="BX47" s="143" t="s">
        <v>722</v>
      </c>
      <c r="BY47" s="143" t="s">
        <v>841</v>
      </c>
      <c r="BZ47" s="143">
        <v>1918</v>
      </c>
      <c r="CA47" s="78">
        <v>1</v>
      </c>
      <c r="CB47" s="78">
        <v>0</v>
      </c>
      <c r="CC47" s="78">
        <v>0</v>
      </c>
      <c r="CD47" s="78">
        <v>2</v>
      </c>
      <c r="CE47" s="78">
        <v>1</v>
      </c>
      <c r="CF47" s="78">
        <v>2</v>
      </c>
      <c r="CG47" s="78">
        <v>1</v>
      </c>
      <c r="CH47" s="78">
        <v>0</v>
      </c>
      <c r="CI47" s="78">
        <v>1</v>
      </c>
      <c r="CJ47" s="78">
        <v>3</v>
      </c>
      <c r="CK47" s="137">
        <v>0.73333329999999997</v>
      </c>
      <c r="CM47" s="143" t="s">
        <v>731</v>
      </c>
      <c r="CN47" s="143" t="s">
        <v>722</v>
      </c>
      <c r="CO47" s="143" t="s">
        <v>841</v>
      </c>
      <c r="CP47" s="143">
        <v>1918</v>
      </c>
      <c r="CQ47" s="78">
        <v>2</v>
      </c>
      <c r="CR47" s="78">
        <v>0</v>
      </c>
      <c r="CS47" s="78">
        <v>0</v>
      </c>
      <c r="CT47" s="78">
        <v>4</v>
      </c>
      <c r="CU47" s="78">
        <v>0</v>
      </c>
      <c r="CV47" s="78">
        <v>8</v>
      </c>
      <c r="CW47" s="137">
        <v>0.26923079999999999</v>
      </c>
      <c r="CY47" s="143" t="s">
        <v>731</v>
      </c>
      <c r="CZ47" s="143" t="s">
        <v>722</v>
      </c>
      <c r="DA47" s="143" t="s">
        <v>841</v>
      </c>
      <c r="DB47" s="143">
        <v>1918</v>
      </c>
      <c r="DC47" s="78">
        <v>0</v>
      </c>
      <c r="DD47" s="137">
        <v>0</v>
      </c>
      <c r="DE47" s="137">
        <v>0</v>
      </c>
      <c r="DG47" s="143" t="s">
        <v>731</v>
      </c>
      <c r="DH47" s="143" t="s">
        <v>722</v>
      </c>
      <c r="DI47" s="143" t="s">
        <v>841</v>
      </c>
      <c r="DJ47" s="143">
        <v>1918</v>
      </c>
      <c r="DK47" s="78">
        <v>2</v>
      </c>
      <c r="DL47" s="78">
        <v>1</v>
      </c>
      <c r="DM47" s="78">
        <v>0</v>
      </c>
      <c r="DN47" s="78">
        <v>1</v>
      </c>
      <c r="DO47" s="78">
        <v>2</v>
      </c>
      <c r="DP47" s="78">
        <v>3</v>
      </c>
      <c r="DQ47" s="78">
        <v>8</v>
      </c>
      <c r="DR47" s="78">
        <v>0</v>
      </c>
      <c r="DS47" s="78">
        <v>1</v>
      </c>
      <c r="DT47" s="78">
        <v>0</v>
      </c>
      <c r="DU47" s="78">
        <v>0</v>
      </c>
      <c r="DV47" s="137">
        <v>0.62068959999999995</v>
      </c>
      <c r="DX47" s="143" t="s">
        <v>731</v>
      </c>
      <c r="DY47" s="143" t="s">
        <v>722</v>
      </c>
      <c r="DZ47" s="143" t="s">
        <v>841</v>
      </c>
      <c r="EA47" s="143">
        <v>1918</v>
      </c>
      <c r="EB47" s="78">
        <v>0</v>
      </c>
      <c r="EC47" s="78">
        <v>8</v>
      </c>
      <c r="ED47" s="78">
        <v>0</v>
      </c>
      <c r="EE47" s="78">
        <v>4</v>
      </c>
      <c r="EF47" s="78">
        <v>3</v>
      </c>
      <c r="EG47" s="78">
        <v>1</v>
      </c>
      <c r="EH47" s="78">
        <v>0</v>
      </c>
      <c r="EI47" s="78">
        <v>1</v>
      </c>
      <c r="EJ47" s="78">
        <v>1</v>
      </c>
      <c r="EK47" s="78">
        <v>1</v>
      </c>
      <c r="EL47" s="78">
        <v>1</v>
      </c>
      <c r="EM47" s="78">
        <v>0</v>
      </c>
      <c r="EN47" s="78">
        <v>0</v>
      </c>
      <c r="EO47" s="78">
        <v>0</v>
      </c>
      <c r="EP47" s="78">
        <v>0</v>
      </c>
      <c r="EQ47" s="137">
        <v>0.74074070000000003</v>
      </c>
      <c r="ES47" s="143" t="s">
        <v>731</v>
      </c>
      <c r="ET47" s="143" t="s">
        <v>722</v>
      </c>
      <c r="EU47" s="143" t="s">
        <v>841</v>
      </c>
      <c r="EV47" s="143">
        <v>1918</v>
      </c>
      <c r="EW47" s="78">
        <v>0</v>
      </c>
      <c r="EX47" s="78">
        <v>1</v>
      </c>
      <c r="EY47" s="78">
        <v>3</v>
      </c>
      <c r="EZ47" s="78">
        <v>0</v>
      </c>
      <c r="FA47" s="78">
        <v>0.5</v>
      </c>
      <c r="FB47" s="78">
        <v>3</v>
      </c>
      <c r="FC47" s="78">
        <v>2</v>
      </c>
      <c r="FD47" s="78">
        <v>1</v>
      </c>
      <c r="FE47" s="137">
        <v>0.80769230000000003</v>
      </c>
      <c r="FG47" s="137">
        <v>0.35276970000000002</v>
      </c>
    </row>
    <row r="48" spans="1:163" x14ac:dyDescent="0.35">
      <c r="A48" s="143" t="s">
        <v>731</v>
      </c>
      <c r="B48" s="143" t="s">
        <v>722</v>
      </c>
      <c r="C48" s="143" t="s">
        <v>842</v>
      </c>
      <c r="D48" s="143">
        <v>2059</v>
      </c>
      <c r="E48" s="78">
        <v>0</v>
      </c>
      <c r="F48" s="78">
        <v>0.5</v>
      </c>
      <c r="G48" s="78">
        <v>0</v>
      </c>
      <c r="H48" s="78">
        <v>0</v>
      </c>
      <c r="I48" s="78">
        <v>1</v>
      </c>
      <c r="J48" s="78">
        <v>0</v>
      </c>
      <c r="K48" s="78">
        <v>1</v>
      </c>
      <c r="L48" s="78">
        <v>0</v>
      </c>
      <c r="M48" s="78">
        <v>0</v>
      </c>
      <c r="N48" s="137">
        <v>0.17857139999999999</v>
      </c>
      <c r="P48" s="143" t="s">
        <v>731</v>
      </c>
      <c r="Q48" s="143" t="s">
        <v>722</v>
      </c>
      <c r="R48" s="143" t="s">
        <v>842</v>
      </c>
      <c r="S48" s="143">
        <v>2059</v>
      </c>
      <c r="T48" s="78">
        <v>0</v>
      </c>
      <c r="U48" s="78">
        <v>0</v>
      </c>
      <c r="V48" s="78">
        <v>0</v>
      </c>
      <c r="W48" s="78">
        <v>0</v>
      </c>
      <c r="X48" s="78">
        <v>0</v>
      </c>
      <c r="Y48" s="78">
        <v>0</v>
      </c>
      <c r="Z48" s="78">
        <v>0</v>
      </c>
      <c r="AA48" s="78">
        <v>0</v>
      </c>
      <c r="AB48" s="78">
        <v>0</v>
      </c>
      <c r="AC48" s="78">
        <v>0</v>
      </c>
      <c r="AD48" s="137">
        <v>0</v>
      </c>
      <c r="AF48" s="143" t="s">
        <v>731</v>
      </c>
      <c r="AG48" s="143" t="s">
        <v>722</v>
      </c>
      <c r="AH48" s="143" t="s">
        <v>842</v>
      </c>
      <c r="AI48" s="143">
        <v>2059</v>
      </c>
      <c r="AJ48" s="78">
        <v>0</v>
      </c>
      <c r="AK48" s="78">
        <v>0</v>
      </c>
      <c r="AL48" s="78">
        <v>1</v>
      </c>
      <c r="AM48" s="78">
        <v>0</v>
      </c>
      <c r="AN48" s="78">
        <v>0</v>
      </c>
      <c r="AO48" s="78">
        <v>0</v>
      </c>
      <c r="AP48" s="78">
        <v>1</v>
      </c>
      <c r="AQ48" s="78">
        <v>0</v>
      </c>
      <c r="AR48" s="78">
        <v>0</v>
      </c>
      <c r="AS48" s="78">
        <v>0</v>
      </c>
      <c r="AT48" s="78">
        <v>0</v>
      </c>
      <c r="AU48" s="78">
        <v>0</v>
      </c>
      <c r="AV48" s="78">
        <v>2</v>
      </c>
      <c r="AW48" s="78">
        <v>0</v>
      </c>
      <c r="AX48" s="78">
        <v>0</v>
      </c>
      <c r="AY48" s="78">
        <v>0</v>
      </c>
      <c r="AZ48" s="78">
        <v>0</v>
      </c>
      <c r="BA48" s="78">
        <v>0.5</v>
      </c>
      <c r="BB48" s="78">
        <v>0.5</v>
      </c>
      <c r="BC48" s="78">
        <v>0.5</v>
      </c>
      <c r="BD48" s="78">
        <v>1</v>
      </c>
      <c r="BE48" s="78">
        <v>0.5</v>
      </c>
      <c r="BF48" s="78">
        <v>0</v>
      </c>
      <c r="BG48" s="78">
        <v>2</v>
      </c>
      <c r="BH48" s="137">
        <v>0.20454549999999999</v>
      </c>
      <c r="BJ48" s="143" t="s">
        <v>731</v>
      </c>
      <c r="BK48" s="143" t="s">
        <v>722</v>
      </c>
      <c r="BL48" s="143" t="s">
        <v>842</v>
      </c>
      <c r="BM48" s="143">
        <v>2059</v>
      </c>
      <c r="BN48" s="78">
        <v>1</v>
      </c>
      <c r="BO48" s="78">
        <v>4</v>
      </c>
      <c r="BP48" s="78">
        <v>0</v>
      </c>
      <c r="BQ48" s="78">
        <v>0</v>
      </c>
      <c r="BR48" s="78">
        <v>0</v>
      </c>
      <c r="BS48" s="78">
        <v>0</v>
      </c>
      <c r="BT48" s="78">
        <v>2</v>
      </c>
      <c r="BU48" s="137">
        <v>0.3043478</v>
      </c>
      <c r="BW48" s="143" t="s">
        <v>731</v>
      </c>
      <c r="BX48" s="143" t="s">
        <v>722</v>
      </c>
      <c r="BY48" s="143" t="s">
        <v>842</v>
      </c>
      <c r="BZ48" s="143">
        <v>2059</v>
      </c>
      <c r="CA48" s="78">
        <v>1</v>
      </c>
      <c r="CB48" s="78">
        <v>0</v>
      </c>
      <c r="CC48" s="78">
        <v>0</v>
      </c>
      <c r="CD48" s="78">
        <v>2</v>
      </c>
      <c r="CE48" s="78">
        <v>1</v>
      </c>
      <c r="CF48" s="78">
        <v>2</v>
      </c>
      <c r="CG48" s="78">
        <v>1</v>
      </c>
      <c r="CH48" s="78">
        <v>0</v>
      </c>
      <c r="CI48" s="78">
        <v>1</v>
      </c>
      <c r="CJ48" s="78">
        <v>0</v>
      </c>
      <c r="CK48" s="137">
        <v>0.53333339999999996</v>
      </c>
      <c r="CM48" s="143" t="s">
        <v>731</v>
      </c>
      <c r="CN48" s="143" t="s">
        <v>722</v>
      </c>
      <c r="CO48" s="143" t="s">
        <v>842</v>
      </c>
      <c r="CP48" s="143">
        <v>2059</v>
      </c>
      <c r="CQ48" s="78">
        <v>6</v>
      </c>
      <c r="CR48" s="78">
        <v>0</v>
      </c>
      <c r="CS48" s="78">
        <v>8</v>
      </c>
      <c r="CT48" s="78">
        <v>0</v>
      </c>
      <c r="CU48" s="78">
        <v>0</v>
      </c>
      <c r="CV48" s="78">
        <v>4</v>
      </c>
      <c r="CW48" s="137">
        <v>0.34615390000000001</v>
      </c>
      <c r="CY48" s="143" t="s">
        <v>731</v>
      </c>
      <c r="CZ48" s="143" t="s">
        <v>722</v>
      </c>
      <c r="DA48" s="143" t="s">
        <v>842</v>
      </c>
      <c r="DB48" s="143">
        <v>2059</v>
      </c>
      <c r="DC48" s="78">
        <v>0</v>
      </c>
      <c r="DD48" s="137">
        <v>0</v>
      </c>
      <c r="DE48" s="137">
        <v>0</v>
      </c>
      <c r="DG48" s="143" t="s">
        <v>731</v>
      </c>
      <c r="DH48" s="143" t="s">
        <v>722</v>
      </c>
      <c r="DI48" s="143" t="s">
        <v>842</v>
      </c>
      <c r="DJ48" s="143">
        <v>2059</v>
      </c>
      <c r="DK48" s="78">
        <v>0</v>
      </c>
      <c r="DL48" s="78">
        <v>1</v>
      </c>
      <c r="DM48" s="78">
        <v>0</v>
      </c>
      <c r="DN48" s="78">
        <v>4</v>
      </c>
      <c r="DO48" s="78">
        <v>2</v>
      </c>
      <c r="DP48" s="78">
        <v>3</v>
      </c>
      <c r="DQ48" s="78">
        <v>8</v>
      </c>
      <c r="DR48" s="78">
        <v>1</v>
      </c>
      <c r="DS48" s="78">
        <v>1</v>
      </c>
      <c r="DT48" s="78">
        <v>0</v>
      </c>
      <c r="DU48" s="78">
        <v>0</v>
      </c>
      <c r="DV48" s="137">
        <v>0.68965520000000002</v>
      </c>
      <c r="DX48" s="143" t="s">
        <v>731</v>
      </c>
      <c r="DY48" s="143" t="s">
        <v>722</v>
      </c>
      <c r="DZ48" s="143" t="s">
        <v>842</v>
      </c>
      <c r="EA48" s="143">
        <v>2059</v>
      </c>
      <c r="EB48" s="78">
        <v>1</v>
      </c>
      <c r="EC48" s="78">
        <v>8</v>
      </c>
      <c r="ED48" s="78">
        <v>1</v>
      </c>
      <c r="EE48" s="78">
        <v>4</v>
      </c>
      <c r="EF48" s="78">
        <v>0</v>
      </c>
      <c r="EG48" s="78">
        <v>1</v>
      </c>
      <c r="EH48" s="78">
        <v>1</v>
      </c>
      <c r="EI48" s="78">
        <v>1</v>
      </c>
      <c r="EJ48" s="78">
        <v>0</v>
      </c>
      <c r="EK48" s="78">
        <v>1</v>
      </c>
      <c r="EL48" s="78">
        <v>1</v>
      </c>
      <c r="EM48" s="78">
        <v>0</v>
      </c>
      <c r="EN48" s="78">
        <v>0</v>
      </c>
      <c r="EO48" s="78">
        <v>0</v>
      </c>
      <c r="EP48" s="78">
        <v>0</v>
      </c>
      <c r="EQ48" s="137">
        <v>0.70370370000000004</v>
      </c>
      <c r="ES48" s="143" t="s">
        <v>731</v>
      </c>
      <c r="ET48" s="143" t="s">
        <v>722</v>
      </c>
      <c r="EU48" s="143" t="s">
        <v>842</v>
      </c>
      <c r="EV48" s="143">
        <v>2059</v>
      </c>
      <c r="EW48" s="78">
        <v>0</v>
      </c>
      <c r="EX48" s="78">
        <v>1</v>
      </c>
      <c r="EY48" s="78">
        <v>0</v>
      </c>
      <c r="EZ48" s="78">
        <v>0</v>
      </c>
      <c r="FA48" s="78">
        <v>0.5</v>
      </c>
      <c r="FB48" s="78">
        <v>3</v>
      </c>
      <c r="FC48" s="78">
        <v>2</v>
      </c>
      <c r="FD48" s="78">
        <v>1</v>
      </c>
      <c r="FE48" s="137">
        <v>0.57692310000000002</v>
      </c>
      <c r="FG48" s="137">
        <v>0.26530609999999999</v>
      </c>
    </row>
    <row r="49" spans="1:163" x14ac:dyDescent="0.35">
      <c r="A49" s="143" t="s">
        <v>731</v>
      </c>
      <c r="B49" s="143" t="s">
        <v>722</v>
      </c>
      <c r="C49" s="143" t="s">
        <v>842</v>
      </c>
      <c r="D49" s="143">
        <v>2065</v>
      </c>
      <c r="E49" s="78">
        <v>0</v>
      </c>
      <c r="F49" s="78">
        <v>2</v>
      </c>
      <c r="G49" s="78">
        <v>0</v>
      </c>
      <c r="H49" s="78">
        <v>2</v>
      </c>
      <c r="I49" s="78">
        <v>1</v>
      </c>
      <c r="J49" s="78">
        <v>0</v>
      </c>
      <c r="K49" s="78">
        <v>0</v>
      </c>
      <c r="L49" s="78">
        <v>0</v>
      </c>
      <c r="M49" s="78">
        <v>0</v>
      </c>
      <c r="N49" s="137">
        <v>0.35714289999999999</v>
      </c>
      <c r="P49" s="143" t="s">
        <v>731</v>
      </c>
      <c r="Q49" s="143" t="s">
        <v>722</v>
      </c>
      <c r="R49" s="143" t="s">
        <v>842</v>
      </c>
      <c r="S49" s="143">
        <v>2065</v>
      </c>
      <c r="T49" s="78">
        <v>1</v>
      </c>
      <c r="U49" s="78">
        <v>0</v>
      </c>
      <c r="V49" s="78">
        <v>1.5</v>
      </c>
      <c r="W49" s="78">
        <v>0</v>
      </c>
      <c r="X49" s="78">
        <v>0</v>
      </c>
      <c r="Y49" s="78">
        <v>1</v>
      </c>
      <c r="Z49" s="78">
        <v>3</v>
      </c>
      <c r="AA49" s="78">
        <v>0</v>
      </c>
      <c r="AB49" s="78">
        <v>0</v>
      </c>
      <c r="AC49" s="78">
        <v>0</v>
      </c>
      <c r="AD49" s="137">
        <v>0.1911765</v>
      </c>
      <c r="AF49" s="143" t="s">
        <v>731</v>
      </c>
      <c r="AG49" s="143" t="s">
        <v>722</v>
      </c>
      <c r="AH49" s="143" t="s">
        <v>842</v>
      </c>
      <c r="AI49" s="143">
        <v>2065</v>
      </c>
      <c r="AJ49" s="78">
        <v>0</v>
      </c>
      <c r="AK49" s="78">
        <v>0</v>
      </c>
      <c r="AL49" s="78">
        <v>0</v>
      </c>
      <c r="AM49" s="78">
        <v>5</v>
      </c>
      <c r="AN49" s="78">
        <v>1</v>
      </c>
      <c r="AO49" s="78">
        <v>0</v>
      </c>
      <c r="AP49" s="78">
        <v>2</v>
      </c>
      <c r="AQ49" s="78">
        <v>0</v>
      </c>
      <c r="AR49" s="78">
        <v>0</v>
      </c>
      <c r="AS49" s="78">
        <v>0</v>
      </c>
      <c r="AT49" s="78">
        <v>0</v>
      </c>
      <c r="AU49" s="78">
        <v>1</v>
      </c>
      <c r="AV49" s="78">
        <v>2</v>
      </c>
      <c r="AW49" s="78">
        <v>1</v>
      </c>
      <c r="AX49" s="78">
        <v>4</v>
      </c>
      <c r="AY49" s="78">
        <v>0</v>
      </c>
      <c r="AZ49" s="78">
        <v>0</v>
      </c>
      <c r="BA49" s="78">
        <v>0.5</v>
      </c>
      <c r="BB49" s="78">
        <v>0.5</v>
      </c>
      <c r="BC49" s="78">
        <v>0.5</v>
      </c>
      <c r="BD49" s="78">
        <v>1</v>
      </c>
      <c r="BE49" s="78">
        <v>0</v>
      </c>
      <c r="BF49" s="78">
        <v>1</v>
      </c>
      <c r="BG49" s="78">
        <v>8</v>
      </c>
      <c r="BH49" s="137">
        <v>0.625</v>
      </c>
      <c r="BJ49" s="143" t="s">
        <v>731</v>
      </c>
      <c r="BK49" s="143" t="s">
        <v>722</v>
      </c>
      <c r="BL49" s="143" t="s">
        <v>842</v>
      </c>
      <c r="BM49" s="143">
        <v>2065</v>
      </c>
      <c r="BN49" s="78">
        <v>1</v>
      </c>
      <c r="BO49" s="78">
        <v>4</v>
      </c>
      <c r="BP49" s="78">
        <v>0</v>
      </c>
      <c r="BQ49" s="78">
        <v>3</v>
      </c>
      <c r="BR49" s="78">
        <v>0</v>
      </c>
      <c r="BS49" s="78">
        <v>3</v>
      </c>
      <c r="BT49" s="78">
        <v>2</v>
      </c>
      <c r="BU49" s="137">
        <v>0.56521739999999998</v>
      </c>
      <c r="BW49" s="143" t="s">
        <v>731</v>
      </c>
      <c r="BX49" s="143" t="s">
        <v>722</v>
      </c>
      <c r="BY49" s="143" t="s">
        <v>842</v>
      </c>
      <c r="BZ49" s="143">
        <v>2065</v>
      </c>
      <c r="CM49" s="143" t="s">
        <v>731</v>
      </c>
      <c r="CN49" s="143" t="s">
        <v>722</v>
      </c>
      <c r="CO49" s="143" t="s">
        <v>842</v>
      </c>
      <c r="CP49" s="143">
        <v>2065</v>
      </c>
      <c r="CQ49" s="78">
        <v>6</v>
      </c>
      <c r="CR49" s="78">
        <v>0</v>
      </c>
      <c r="CS49" s="78">
        <v>0</v>
      </c>
      <c r="CT49" s="78">
        <v>4</v>
      </c>
      <c r="CU49" s="78">
        <v>0</v>
      </c>
      <c r="CV49" s="78">
        <v>4</v>
      </c>
      <c r="CW49" s="137">
        <v>0.26923079999999999</v>
      </c>
      <c r="CY49" s="143" t="s">
        <v>731</v>
      </c>
      <c r="CZ49" s="143" t="s">
        <v>722</v>
      </c>
      <c r="DA49" s="143" t="s">
        <v>842</v>
      </c>
      <c r="DB49" s="143">
        <v>2065</v>
      </c>
      <c r="DC49" s="78">
        <v>0</v>
      </c>
      <c r="DD49" s="137">
        <v>0</v>
      </c>
      <c r="DE49" s="137">
        <v>0</v>
      </c>
      <c r="DG49" s="143" t="s">
        <v>731</v>
      </c>
      <c r="DH49" s="143" t="s">
        <v>722</v>
      </c>
      <c r="DI49" s="143" t="s">
        <v>842</v>
      </c>
      <c r="DJ49" s="143">
        <v>2065</v>
      </c>
      <c r="DK49" s="78">
        <v>2</v>
      </c>
      <c r="DL49" s="78">
        <v>1</v>
      </c>
      <c r="DM49" s="78">
        <v>0</v>
      </c>
      <c r="DN49" s="78">
        <v>5</v>
      </c>
      <c r="DO49" s="78">
        <v>2</v>
      </c>
      <c r="DP49" s="78">
        <v>3</v>
      </c>
      <c r="DQ49" s="78">
        <v>5</v>
      </c>
      <c r="DR49" s="78">
        <v>1</v>
      </c>
      <c r="DS49" s="78">
        <v>1</v>
      </c>
      <c r="DT49" s="78">
        <v>0</v>
      </c>
      <c r="DU49" s="78">
        <v>0</v>
      </c>
      <c r="DV49" s="137">
        <v>0.68965520000000002</v>
      </c>
      <c r="DX49" s="143" t="s">
        <v>731</v>
      </c>
      <c r="DY49" s="143" t="s">
        <v>722</v>
      </c>
      <c r="DZ49" s="143" t="s">
        <v>842</v>
      </c>
      <c r="EA49" s="143">
        <v>2065</v>
      </c>
      <c r="EB49" s="78">
        <v>1</v>
      </c>
      <c r="EC49" s="78">
        <v>8</v>
      </c>
      <c r="ED49" s="78">
        <v>0</v>
      </c>
      <c r="EE49" s="78">
        <v>4</v>
      </c>
      <c r="EF49" s="78">
        <v>3</v>
      </c>
      <c r="EG49" s="78">
        <v>1</v>
      </c>
      <c r="EH49" s="78">
        <v>0</v>
      </c>
      <c r="EI49" s="78">
        <v>1</v>
      </c>
      <c r="EJ49" s="78">
        <v>0</v>
      </c>
      <c r="EK49" s="78">
        <v>1</v>
      </c>
      <c r="EL49" s="78">
        <v>1</v>
      </c>
      <c r="EM49" s="78">
        <v>0</v>
      </c>
      <c r="EN49" s="78">
        <v>1</v>
      </c>
      <c r="EO49" s="78">
        <v>0</v>
      </c>
      <c r="EP49" s="78">
        <v>0</v>
      </c>
      <c r="EQ49" s="137">
        <v>0.77777779999999996</v>
      </c>
      <c r="ES49" s="143" t="s">
        <v>731</v>
      </c>
      <c r="ET49" s="143" t="s">
        <v>722</v>
      </c>
      <c r="EU49" s="143" t="s">
        <v>842</v>
      </c>
      <c r="EV49" s="143">
        <v>2065</v>
      </c>
      <c r="EW49" s="78">
        <v>0</v>
      </c>
      <c r="EX49" s="78">
        <v>1</v>
      </c>
      <c r="EY49" s="78">
        <v>3</v>
      </c>
      <c r="EZ49" s="78">
        <v>2</v>
      </c>
      <c r="FA49" s="78">
        <v>0.5</v>
      </c>
      <c r="FB49" s="78">
        <v>3</v>
      </c>
      <c r="FC49" s="78">
        <v>2</v>
      </c>
      <c r="FD49" s="78">
        <v>1</v>
      </c>
      <c r="FE49" s="137">
        <v>0.96153840000000002</v>
      </c>
      <c r="FG49" s="137">
        <v>0.36432930000000002</v>
      </c>
    </row>
    <row r="50" spans="1:163" x14ac:dyDescent="0.35">
      <c r="A50" s="143" t="s">
        <v>731</v>
      </c>
      <c r="B50" s="143" t="s">
        <v>722</v>
      </c>
      <c r="C50" s="143" t="s">
        <v>842</v>
      </c>
      <c r="D50" s="143">
        <v>2993</v>
      </c>
      <c r="E50" s="78">
        <v>0</v>
      </c>
      <c r="F50" s="78">
        <v>1.5</v>
      </c>
      <c r="G50" s="78">
        <v>1</v>
      </c>
      <c r="H50" s="78">
        <v>2</v>
      </c>
      <c r="I50" s="78">
        <v>0</v>
      </c>
      <c r="J50" s="78">
        <v>0</v>
      </c>
      <c r="K50" s="78">
        <v>1</v>
      </c>
      <c r="L50" s="78">
        <v>0</v>
      </c>
      <c r="M50" s="78">
        <v>2</v>
      </c>
      <c r="N50" s="137">
        <v>0.53571429999999998</v>
      </c>
      <c r="P50" s="143" t="s">
        <v>731</v>
      </c>
      <c r="Q50" s="143" t="s">
        <v>722</v>
      </c>
      <c r="R50" s="143" t="s">
        <v>842</v>
      </c>
      <c r="S50" s="143">
        <v>2993</v>
      </c>
      <c r="T50" s="78">
        <v>1</v>
      </c>
      <c r="U50" s="78">
        <v>0</v>
      </c>
      <c r="V50" s="78">
        <v>0</v>
      </c>
      <c r="W50" s="78">
        <v>0</v>
      </c>
      <c r="X50" s="78">
        <v>0</v>
      </c>
      <c r="Y50" s="78">
        <v>0</v>
      </c>
      <c r="Z50" s="78">
        <v>0</v>
      </c>
      <c r="AA50" s="78">
        <v>0</v>
      </c>
      <c r="AB50" s="78">
        <v>0</v>
      </c>
      <c r="AC50" s="78">
        <v>0</v>
      </c>
      <c r="AD50" s="137">
        <v>2.9411799999999998E-2</v>
      </c>
      <c r="AF50" s="143" t="s">
        <v>731</v>
      </c>
      <c r="AG50" s="143" t="s">
        <v>722</v>
      </c>
      <c r="AH50" s="143" t="s">
        <v>842</v>
      </c>
      <c r="AI50" s="143">
        <v>2993</v>
      </c>
      <c r="AJ50" s="78">
        <v>0</v>
      </c>
      <c r="AK50" s="78">
        <v>1</v>
      </c>
      <c r="AL50" s="78">
        <v>0</v>
      </c>
      <c r="AM50" s="78">
        <v>0</v>
      </c>
      <c r="AN50" s="78">
        <v>0</v>
      </c>
      <c r="AO50" s="78">
        <v>0</v>
      </c>
      <c r="AP50" s="78">
        <v>2</v>
      </c>
      <c r="AQ50" s="78">
        <v>1</v>
      </c>
      <c r="AR50" s="78">
        <v>0</v>
      </c>
      <c r="AS50" s="78">
        <v>0</v>
      </c>
      <c r="AT50" s="78">
        <v>0</v>
      </c>
      <c r="AU50" s="78">
        <v>0</v>
      </c>
      <c r="AV50" s="78">
        <v>0</v>
      </c>
      <c r="AW50" s="78">
        <v>0</v>
      </c>
      <c r="AX50" s="78">
        <v>4</v>
      </c>
      <c r="AY50" s="78">
        <v>1</v>
      </c>
      <c r="AZ50" s="78">
        <v>2</v>
      </c>
      <c r="BA50" s="78">
        <v>0.5</v>
      </c>
      <c r="BB50" s="78">
        <v>0.5</v>
      </c>
      <c r="BC50" s="78">
        <v>0.5</v>
      </c>
      <c r="BD50" s="78">
        <v>1</v>
      </c>
      <c r="BE50" s="78">
        <v>0</v>
      </c>
      <c r="BF50" s="78">
        <v>1</v>
      </c>
      <c r="BG50" s="78">
        <v>2</v>
      </c>
      <c r="BH50" s="137">
        <v>0.375</v>
      </c>
      <c r="BJ50" s="143" t="s">
        <v>731</v>
      </c>
      <c r="BK50" s="143" t="s">
        <v>722</v>
      </c>
      <c r="BL50" s="143" t="s">
        <v>842</v>
      </c>
      <c r="BM50" s="143">
        <v>2993</v>
      </c>
      <c r="BN50" s="78">
        <v>1</v>
      </c>
      <c r="BO50" s="78">
        <v>0</v>
      </c>
      <c r="BP50" s="78">
        <v>7</v>
      </c>
      <c r="BQ50" s="78">
        <v>0</v>
      </c>
      <c r="BR50" s="78">
        <v>0</v>
      </c>
      <c r="BS50" s="78">
        <v>0</v>
      </c>
      <c r="BT50" s="78">
        <v>2</v>
      </c>
      <c r="BU50" s="137">
        <v>0.43478260000000002</v>
      </c>
      <c r="BW50" s="143" t="s">
        <v>731</v>
      </c>
      <c r="BX50" s="143" t="s">
        <v>722</v>
      </c>
      <c r="BY50" s="143" t="s">
        <v>842</v>
      </c>
      <c r="BZ50" s="143">
        <v>2993</v>
      </c>
      <c r="CM50" s="143" t="s">
        <v>731</v>
      </c>
      <c r="CN50" s="143" t="s">
        <v>722</v>
      </c>
      <c r="CO50" s="143" t="s">
        <v>842</v>
      </c>
      <c r="CP50" s="143">
        <v>2993</v>
      </c>
      <c r="CQ50" s="78">
        <v>0</v>
      </c>
      <c r="CR50" s="78">
        <v>0</v>
      </c>
      <c r="CS50" s="78">
        <v>4</v>
      </c>
      <c r="CT50" s="78">
        <v>0</v>
      </c>
      <c r="CU50" s="78">
        <v>0</v>
      </c>
      <c r="CV50" s="78">
        <v>0</v>
      </c>
      <c r="CW50" s="137">
        <v>7.6923099999999994E-2</v>
      </c>
      <c r="CY50" s="143" t="s">
        <v>731</v>
      </c>
      <c r="CZ50" s="143" t="s">
        <v>722</v>
      </c>
      <c r="DA50" s="143" t="s">
        <v>842</v>
      </c>
      <c r="DB50" s="143">
        <v>2993</v>
      </c>
      <c r="DC50" s="78">
        <v>8</v>
      </c>
      <c r="DD50" s="137">
        <v>0</v>
      </c>
      <c r="DE50" s="137">
        <v>0</v>
      </c>
      <c r="DG50" s="143" t="s">
        <v>731</v>
      </c>
      <c r="DH50" s="143" t="s">
        <v>722</v>
      </c>
      <c r="DI50" s="143" t="s">
        <v>842</v>
      </c>
      <c r="DJ50" s="143">
        <v>2993</v>
      </c>
      <c r="DK50" s="78">
        <v>2</v>
      </c>
      <c r="DL50" s="78">
        <v>0</v>
      </c>
      <c r="DM50" s="78">
        <v>0</v>
      </c>
      <c r="DN50" s="78">
        <v>5</v>
      </c>
      <c r="DO50" s="78">
        <v>2</v>
      </c>
      <c r="DP50" s="78">
        <v>3</v>
      </c>
      <c r="DQ50" s="78">
        <v>7</v>
      </c>
      <c r="DR50" s="78">
        <v>0</v>
      </c>
      <c r="DS50" s="78">
        <v>0</v>
      </c>
      <c r="DT50" s="78">
        <v>0</v>
      </c>
      <c r="DU50" s="78">
        <v>0</v>
      </c>
      <c r="DV50" s="137">
        <v>0.65517239999999999</v>
      </c>
      <c r="DX50" s="143" t="s">
        <v>731</v>
      </c>
      <c r="DY50" s="143" t="s">
        <v>722</v>
      </c>
      <c r="DZ50" s="143" t="s">
        <v>842</v>
      </c>
      <c r="EA50" s="143">
        <v>2993</v>
      </c>
      <c r="EB50" s="78">
        <v>1</v>
      </c>
      <c r="EC50" s="78">
        <v>8</v>
      </c>
      <c r="ED50" s="78">
        <v>0</v>
      </c>
      <c r="EE50" s="78">
        <v>4</v>
      </c>
      <c r="EF50" s="78">
        <v>3</v>
      </c>
      <c r="EG50" s="78">
        <v>1</v>
      </c>
      <c r="EH50" s="78">
        <v>0</v>
      </c>
      <c r="EI50" s="78">
        <v>1</v>
      </c>
      <c r="EJ50" s="78">
        <v>1</v>
      </c>
      <c r="EK50" s="78">
        <v>1</v>
      </c>
      <c r="EL50" s="78">
        <v>1</v>
      </c>
      <c r="EM50" s="78">
        <v>0</v>
      </c>
      <c r="EN50" s="78">
        <v>0</v>
      </c>
      <c r="EO50" s="78">
        <v>0</v>
      </c>
      <c r="EP50" s="78">
        <v>0</v>
      </c>
      <c r="EQ50" s="137">
        <v>0.77777779999999996</v>
      </c>
      <c r="ES50" s="143" t="s">
        <v>731</v>
      </c>
      <c r="ET50" s="143" t="s">
        <v>722</v>
      </c>
      <c r="EU50" s="143" t="s">
        <v>842</v>
      </c>
      <c r="EV50" s="143">
        <v>2993</v>
      </c>
      <c r="EW50" s="78">
        <v>0</v>
      </c>
      <c r="EX50" s="78">
        <v>0</v>
      </c>
      <c r="EY50" s="78">
        <v>0</v>
      </c>
      <c r="EZ50" s="78">
        <v>0</v>
      </c>
      <c r="FA50" s="78">
        <v>0.5</v>
      </c>
      <c r="FB50" s="78">
        <v>3</v>
      </c>
      <c r="FC50" s="78">
        <v>2</v>
      </c>
      <c r="FD50" s="78">
        <v>1</v>
      </c>
      <c r="FE50" s="137">
        <v>0.5</v>
      </c>
      <c r="FG50" s="137">
        <v>0.26067069999999998</v>
      </c>
    </row>
    <row r="51" spans="1:163" x14ac:dyDescent="0.35">
      <c r="A51" s="143" t="s">
        <v>732</v>
      </c>
      <c r="B51" s="143" t="s">
        <v>730</v>
      </c>
      <c r="C51" s="143" t="s">
        <v>842</v>
      </c>
      <c r="D51" s="143">
        <v>98</v>
      </c>
      <c r="E51" s="78">
        <v>0</v>
      </c>
      <c r="F51" s="78">
        <v>2.5</v>
      </c>
      <c r="G51" s="78">
        <v>1</v>
      </c>
      <c r="H51" s="78">
        <v>1</v>
      </c>
      <c r="I51" s="78">
        <v>1</v>
      </c>
      <c r="J51" s="78">
        <v>0</v>
      </c>
      <c r="K51" s="78">
        <v>1</v>
      </c>
      <c r="L51" s="78">
        <v>0</v>
      </c>
      <c r="M51" s="78">
        <v>0</v>
      </c>
      <c r="N51" s="137">
        <v>0.46428570000000002</v>
      </c>
      <c r="P51" s="143" t="s">
        <v>732</v>
      </c>
      <c r="Q51" s="143" t="s">
        <v>730</v>
      </c>
      <c r="R51" s="143" t="s">
        <v>842</v>
      </c>
      <c r="S51" s="143">
        <v>98</v>
      </c>
      <c r="T51" s="78">
        <v>1</v>
      </c>
      <c r="U51" s="78">
        <v>0</v>
      </c>
      <c r="V51" s="78">
        <v>2</v>
      </c>
      <c r="W51" s="78">
        <v>0</v>
      </c>
      <c r="X51" s="78">
        <v>0</v>
      </c>
      <c r="Y51" s="78">
        <v>1</v>
      </c>
      <c r="Z51" s="78">
        <v>0</v>
      </c>
      <c r="AA51" s="78">
        <v>0</v>
      </c>
      <c r="AB51" s="78">
        <v>0</v>
      </c>
      <c r="AC51" s="78">
        <v>3</v>
      </c>
      <c r="AD51" s="137">
        <v>0.20588239999999999</v>
      </c>
      <c r="AF51" s="143" t="s">
        <v>732</v>
      </c>
      <c r="AG51" s="143" t="s">
        <v>730</v>
      </c>
      <c r="AH51" s="143" t="s">
        <v>842</v>
      </c>
      <c r="AI51" s="143">
        <v>98</v>
      </c>
      <c r="AJ51" s="78">
        <v>1</v>
      </c>
      <c r="AK51" s="78">
        <v>1</v>
      </c>
      <c r="AL51" s="78">
        <v>1</v>
      </c>
      <c r="AM51" s="78">
        <v>5</v>
      </c>
      <c r="AN51" s="78">
        <v>1</v>
      </c>
      <c r="AO51" s="78">
        <v>2</v>
      </c>
      <c r="AP51" s="78">
        <v>2</v>
      </c>
      <c r="AQ51" s="78">
        <v>1</v>
      </c>
      <c r="AR51" s="78">
        <v>0</v>
      </c>
      <c r="AS51" s="78">
        <v>0</v>
      </c>
      <c r="AT51" s="78">
        <v>0</v>
      </c>
      <c r="AU51" s="78">
        <v>0</v>
      </c>
      <c r="AV51" s="78">
        <v>0</v>
      </c>
      <c r="AW51" s="78">
        <v>0</v>
      </c>
      <c r="AX51" s="78">
        <v>4</v>
      </c>
      <c r="AY51" s="78">
        <v>0</v>
      </c>
      <c r="AZ51" s="78">
        <v>0</v>
      </c>
      <c r="BA51" s="78">
        <v>0.5</v>
      </c>
      <c r="BB51" s="78">
        <v>0.5</v>
      </c>
      <c r="BC51" s="78">
        <v>0.5</v>
      </c>
      <c r="BD51" s="78">
        <v>1</v>
      </c>
      <c r="BE51" s="78">
        <v>0.5</v>
      </c>
      <c r="BF51" s="78">
        <v>0</v>
      </c>
      <c r="BG51" s="78">
        <v>8</v>
      </c>
      <c r="BH51" s="137">
        <v>0.65909090000000004</v>
      </c>
      <c r="BJ51" s="143" t="s">
        <v>732</v>
      </c>
      <c r="BK51" s="143" t="s">
        <v>730</v>
      </c>
      <c r="BL51" s="143" t="s">
        <v>842</v>
      </c>
      <c r="BM51" s="143">
        <v>98</v>
      </c>
      <c r="BN51" s="78">
        <v>0</v>
      </c>
      <c r="BO51" s="78">
        <v>4</v>
      </c>
      <c r="BP51" s="78">
        <v>0</v>
      </c>
      <c r="BQ51" s="78">
        <v>0</v>
      </c>
      <c r="BR51" s="78">
        <v>0</v>
      </c>
      <c r="BS51" s="78">
        <v>0</v>
      </c>
      <c r="BT51" s="78">
        <v>2</v>
      </c>
      <c r="BU51" s="137">
        <v>0.26086959999999998</v>
      </c>
      <c r="BW51" s="143" t="s">
        <v>732</v>
      </c>
      <c r="BX51" s="143" t="s">
        <v>730</v>
      </c>
      <c r="BY51" s="143" t="s">
        <v>842</v>
      </c>
      <c r="BZ51" s="143">
        <v>98</v>
      </c>
      <c r="CM51" s="143" t="s">
        <v>732</v>
      </c>
      <c r="CN51" s="143" t="s">
        <v>730</v>
      </c>
      <c r="CO51" s="143" t="s">
        <v>842</v>
      </c>
      <c r="CP51" s="143">
        <v>98</v>
      </c>
      <c r="CQ51" s="78">
        <v>0</v>
      </c>
      <c r="CR51" s="78">
        <v>6</v>
      </c>
      <c r="CS51" s="78">
        <v>8</v>
      </c>
      <c r="CT51" s="78">
        <v>4</v>
      </c>
      <c r="CU51" s="78">
        <v>0</v>
      </c>
      <c r="CV51" s="78">
        <v>8</v>
      </c>
      <c r="CW51" s="137">
        <v>0.5</v>
      </c>
      <c r="CY51" s="143" t="s">
        <v>732</v>
      </c>
      <c r="CZ51" s="143" t="s">
        <v>730</v>
      </c>
      <c r="DA51" s="143" t="s">
        <v>842</v>
      </c>
      <c r="DB51" s="143">
        <v>98</v>
      </c>
      <c r="DC51" s="78">
        <v>0</v>
      </c>
      <c r="DD51" s="137">
        <v>0</v>
      </c>
      <c r="DE51" s="137">
        <v>0</v>
      </c>
      <c r="DG51" s="143" t="s">
        <v>732</v>
      </c>
      <c r="DH51" s="143" t="s">
        <v>730</v>
      </c>
      <c r="DI51" s="143" t="s">
        <v>842</v>
      </c>
      <c r="DJ51" s="143">
        <v>98</v>
      </c>
      <c r="DK51" s="78">
        <v>2</v>
      </c>
      <c r="DL51" s="78">
        <v>1</v>
      </c>
      <c r="DM51" s="78">
        <v>0</v>
      </c>
      <c r="DN51" s="78">
        <v>5</v>
      </c>
      <c r="DO51" s="78">
        <v>2</v>
      </c>
      <c r="DP51" s="78">
        <v>3</v>
      </c>
      <c r="DQ51" s="78">
        <v>5</v>
      </c>
      <c r="DR51" s="78">
        <v>0</v>
      </c>
      <c r="DS51" s="78">
        <v>0</v>
      </c>
      <c r="DT51" s="78">
        <v>0</v>
      </c>
      <c r="DU51" s="78">
        <v>0</v>
      </c>
      <c r="DV51" s="137">
        <v>0.62068959999999995</v>
      </c>
      <c r="DX51" s="143" t="s">
        <v>732</v>
      </c>
      <c r="DY51" s="143" t="s">
        <v>730</v>
      </c>
      <c r="DZ51" s="143" t="s">
        <v>842</v>
      </c>
      <c r="EA51" s="143">
        <v>98</v>
      </c>
      <c r="EB51" s="78">
        <v>1</v>
      </c>
      <c r="EC51" s="78">
        <v>8</v>
      </c>
      <c r="ED51" s="78">
        <v>1</v>
      </c>
      <c r="EE51" s="78">
        <v>4</v>
      </c>
      <c r="EF51" s="78">
        <v>0</v>
      </c>
      <c r="EG51" s="78">
        <v>1</v>
      </c>
      <c r="EH51" s="78">
        <v>0</v>
      </c>
      <c r="EI51" s="78">
        <v>1</v>
      </c>
      <c r="EJ51" s="78">
        <v>1</v>
      </c>
      <c r="EK51" s="78">
        <v>0</v>
      </c>
      <c r="EL51" s="78">
        <v>0</v>
      </c>
      <c r="EM51" s="78">
        <v>1</v>
      </c>
      <c r="EN51" s="78">
        <v>0</v>
      </c>
      <c r="EO51" s="78">
        <v>0</v>
      </c>
      <c r="EP51" s="78">
        <v>0</v>
      </c>
      <c r="EQ51" s="137">
        <v>0.66666669999999995</v>
      </c>
      <c r="ES51" s="143" t="s">
        <v>732</v>
      </c>
      <c r="ET51" s="143" t="s">
        <v>730</v>
      </c>
      <c r="EU51" s="143" t="s">
        <v>842</v>
      </c>
      <c r="EV51" s="143">
        <v>98</v>
      </c>
      <c r="EW51" s="78">
        <v>0</v>
      </c>
      <c r="EX51" s="78">
        <v>0</v>
      </c>
      <c r="EY51" s="78">
        <v>3</v>
      </c>
      <c r="EZ51" s="78">
        <v>0</v>
      </c>
      <c r="FA51" s="78">
        <v>0</v>
      </c>
      <c r="FB51" s="78">
        <v>3</v>
      </c>
      <c r="FC51" s="78">
        <v>2</v>
      </c>
      <c r="FD51" s="78">
        <v>0</v>
      </c>
      <c r="FE51" s="137">
        <v>0.61538459999999995</v>
      </c>
      <c r="FG51" s="137">
        <v>0.3612805</v>
      </c>
    </row>
    <row r="52" spans="1:163" x14ac:dyDescent="0.35">
      <c r="A52" s="143" t="s">
        <v>732</v>
      </c>
      <c r="B52" s="143" t="s">
        <v>730</v>
      </c>
      <c r="C52" s="143" t="s">
        <v>842</v>
      </c>
      <c r="D52" s="143">
        <v>250</v>
      </c>
      <c r="E52" s="78">
        <v>0</v>
      </c>
      <c r="F52" s="78">
        <v>2</v>
      </c>
      <c r="G52" s="78">
        <v>0</v>
      </c>
      <c r="H52" s="78">
        <v>1</v>
      </c>
      <c r="I52" s="78">
        <v>1</v>
      </c>
      <c r="J52" s="78">
        <v>0</v>
      </c>
      <c r="K52" s="78">
        <v>1</v>
      </c>
      <c r="L52" s="78">
        <v>0</v>
      </c>
      <c r="M52" s="78">
        <v>2</v>
      </c>
      <c r="N52" s="137">
        <v>0.5</v>
      </c>
      <c r="P52" s="143" t="s">
        <v>732</v>
      </c>
      <c r="Q52" s="143" t="s">
        <v>730</v>
      </c>
      <c r="R52" s="143" t="s">
        <v>842</v>
      </c>
      <c r="S52" s="143">
        <v>250</v>
      </c>
      <c r="T52" s="78">
        <v>1</v>
      </c>
      <c r="U52" s="78">
        <v>0</v>
      </c>
      <c r="V52" s="78">
        <v>0</v>
      </c>
      <c r="W52" s="78">
        <v>0</v>
      </c>
      <c r="X52" s="78">
        <v>0</v>
      </c>
      <c r="Y52" s="78">
        <v>1</v>
      </c>
      <c r="Z52" s="78">
        <v>0</v>
      </c>
      <c r="AA52" s="78">
        <v>0</v>
      </c>
      <c r="AB52" s="78">
        <v>0</v>
      </c>
      <c r="AC52" s="78">
        <v>3</v>
      </c>
      <c r="AD52" s="137">
        <v>0.14705879999999999</v>
      </c>
      <c r="AF52" s="143" t="s">
        <v>732</v>
      </c>
      <c r="AG52" s="143" t="s">
        <v>730</v>
      </c>
      <c r="AH52" s="143" t="s">
        <v>842</v>
      </c>
      <c r="AI52" s="143">
        <v>250</v>
      </c>
      <c r="AJ52" s="78">
        <v>0</v>
      </c>
      <c r="AK52" s="78">
        <v>1</v>
      </c>
      <c r="AL52" s="78">
        <v>1</v>
      </c>
      <c r="AM52" s="78">
        <v>5</v>
      </c>
      <c r="AN52" s="78">
        <v>1</v>
      </c>
      <c r="AO52" s="78">
        <v>2</v>
      </c>
      <c r="AP52" s="78">
        <v>2</v>
      </c>
      <c r="AQ52" s="78">
        <v>1</v>
      </c>
      <c r="AR52" s="78">
        <v>0</v>
      </c>
      <c r="AS52" s="78">
        <v>0</v>
      </c>
      <c r="AT52" s="78">
        <v>0</v>
      </c>
      <c r="AU52" s="78">
        <v>1</v>
      </c>
      <c r="AV52" s="78">
        <v>2</v>
      </c>
      <c r="AW52" s="78">
        <v>1</v>
      </c>
      <c r="AX52" s="78">
        <v>4</v>
      </c>
      <c r="AY52" s="78">
        <v>0</v>
      </c>
      <c r="AZ52" s="78">
        <v>0</v>
      </c>
      <c r="BA52" s="78">
        <v>0.5</v>
      </c>
      <c r="BB52" s="78">
        <v>0.5</v>
      </c>
      <c r="BC52" s="78">
        <v>0.5</v>
      </c>
      <c r="BD52" s="78">
        <v>1</v>
      </c>
      <c r="BE52" s="78">
        <v>0.5</v>
      </c>
      <c r="BF52" s="78">
        <v>1</v>
      </c>
      <c r="BG52" s="78">
        <v>8</v>
      </c>
      <c r="BH52" s="137">
        <v>0.75</v>
      </c>
      <c r="BJ52" s="143" t="s">
        <v>732</v>
      </c>
      <c r="BK52" s="143" t="s">
        <v>730</v>
      </c>
      <c r="BL52" s="143" t="s">
        <v>842</v>
      </c>
      <c r="BM52" s="143">
        <v>250</v>
      </c>
      <c r="BN52" s="78">
        <v>0</v>
      </c>
      <c r="BO52" s="78">
        <v>4</v>
      </c>
      <c r="BP52" s="78">
        <v>0</v>
      </c>
      <c r="BQ52" s="78">
        <v>0</v>
      </c>
      <c r="BR52" s="78">
        <v>0</v>
      </c>
      <c r="BS52" s="78">
        <v>0</v>
      </c>
      <c r="BT52" s="78">
        <v>2</v>
      </c>
      <c r="BU52" s="137">
        <v>0.26086959999999998</v>
      </c>
      <c r="BW52" s="143" t="s">
        <v>732</v>
      </c>
      <c r="BX52" s="143" t="s">
        <v>730</v>
      </c>
      <c r="BY52" s="143" t="s">
        <v>842</v>
      </c>
      <c r="BZ52" s="143">
        <v>250</v>
      </c>
      <c r="CM52" s="143" t="s">
        <v>732</v>
      </c>
      <c r="CN52" s="143" t="s">
        <v>730</v>
      </c>
      <c r="CO52" s="143" t="s">
        <v>842</v>
      </c>
      <c r="CP52" s="143">
        <v>250</v>
      </c>
      <c r="CQ52" s="78">
        <v>6</v>
      </c>
      <c r="CR52" s="78">
        <v>6</v>
      </c>
      <c r="CS52" s="78">
        <v>4</v>
      </c>
      <c r="CT52" s="78">
        <v>4</v>
      </c>
      <c r="CU52" s="78">
        <v>0</v>
      </c>
      <c r="CV52" s="78">
        <v>8</v>
      </c>
      <c r="CW52" s="137">
        <v>0.53846159999999998</v>
      </c>
      <c r="CY52" s="143" t="s">
        <v>732</v>
      </c>
      <c r="CZ52" s="143" t="s">
        <v>730</v>
      </c>
      <c r="DA52" s="143" t="s">
        <v>842</v>
      </c>
      <c r="DB52" s="143">
        <v>250</v>
      </c>
      <c r="DC52" s="78">
        <v>0</v>
      </c>
      <c r="DD52" s="137">
        <v>0</v>
      </c>
      <c r="DE52" s="137">
        <v>0</v>
      </c>
      <c r="DG52" s="143" t="s">
        <v>732</v>
      </c>
      <c r="DH52" s="143" t="s">
        <v>730</v>
      </c>
      <c r="DI52" s="143" t="s">
        <v>842</v>
      </c>
      <c r="DJ52" s="143">
        <v>250</v>
      </c>
      <c r="DK52" s="78">
        <v>0</v>
      </c>
      <c r="DL52" s="78">
        <v>1</v>
      </c>
      <c r="DM52" s="78">
        <v>0</v>
      </c>
      <c r="DN52" s="78">
        <v>5</v>
      </c>
      <c r="DO52" s="78">
        <v>2</v>
      </c>
      <c r="DP52" s="78">
        <v>3</v>
      </c>
      <c r="DQ52" s="78">
        <v>6</v>
      </c>
      <c r="DR52" s="78">
        <v>0</v>
      </c>
      <c r="DS52" s="78">
        <v>1</v>
      </c>
      <c r="DT52" s="78">
        <v>0</v>
      </c>
      <c r="DU52" s="78">
        <v>0</v>
      </c>
      <c r="DV52" s="137">
        <v>0.62068959999999995</v>
      </c>
      <c r="DX52" s="143" t="s">
        <v>732</v>
      </c>
      <c r="DY52" s="143" t="s">
        <v>730</v>
      </c>
      <c r="DZ52" s="143" t="s">
        <v>842</v>
      </c>
      <c r="EA52" s="143">
        <v>250</v>
      </c>
      <c r="EB52" s="78">
        <v>1</v>
      </c>
      <c r="EC52" s="78">
        <v>8</v>
      </c>
      <c r="ED52" s="78">
        <v>1</v>
      </c>
      <c r="EE52" s="78">
        <v>4</v>
      </c>
      <c r="EF52" s="78">
        <v>0</v>
      </c>
      <c r="EG52" s="78">
        <v>1</v>
      </c>
      <c r="EH52" s="78">
        <v>0</v>
      </c>
      <c r="EI52" s="78">
        <v>1</v>
      </c>
      <c r="EJ52" s="78">
        <v>1</v>
      </c>
      <c r="EK52" s="78">
        <v>1</v>
      </c>
      <c r="EL52" s="78">
        <v>1</v>
      </c>
      <c r="EM52" s="78">
        <v>1</v>
      </c>
      <c r="EN52" s="78">
        <v>0</v>
      </c>
      <c r="EO52" s="78">
        <v>1</v>
      </c>
      <c r="EP52" s="78">
        <v>0</v>
      </c>
      <c r="EQ52" s="137">
        <v>0.77777779999999996</v>
      </c>
      <c r="ES52" s="143" t="s">
        <v>732</v>
      </c>
      <c r="ET52" s="143" t="s">
        <v>730</v>
      </c>
      <c r="EU52" s="143" t="s">
        <v>842</v>
      </c>
      <c r="EV52" s="143">
        <v>250</v>
      </c>
      <c r="EW52" s="78">
        <v>0</v>
      </c>
      <c r="EX52" s="78">
        <v>0</v>
      </c>
      <c r="EY52" s="78">
        <v>0</v>
      </c>
      <c r="EZ52" s="78">
        <v>0</v>
      </c>
      <c r="FA52" s="78">
        <v>0</v>
      </c>
      <c r="FB52" s="78">
        <v>3</v>
      </c>
      <c r="FC52" s="78">
        <v>2</v>
      </c>
      <c r="FD52" s="78">
        <v>0</v>
      </c>
      <c r="FE52" s="137">
        <v>0.3846154</v>
      </c>
      <c r="FG52" s="137">
        <v>0.375</v>
      </c>
    </row>
    <row r="53" spans="1:163" x14ac:dyDescent="0.35">
      <c r="A53" s="143" t="s">
        <v>732</v>
      </c>
      <c r="B53" s="143" t="s">
        <v>730</v>
      </c>
      <c r="C53" s="143" t="s">
        <v>841</v>
      </c>
      <c r="D53" s="143">
        <v>267</v>
      </c>
      <c r="E53" s="78">
        <v>0.5</v>
      </c>
      <c r="F53" s="78">
        <v>2.5</v>
      </c>
      <c r="G53" s="78">
        <v>1</v>
      </c>
      <c r="H53" s="78">
        <v>1</v>
      </c>
      <c r="I53" s="78">
        <v>1</v>
      </c>
      <c r="J53" s="78">
        <v>0</v>
      </c>
      <c r="K53" s="78">
        <v>0</v>
      </c>
      <c r="L53" s="78">
        <v>1</v>
      </c>
      <c r="M53" s="78">
        <v>2</v>
      </c>
      <c r="N53" s="137">
        <v>0.64285709999999996</v>
      </c>
      <c r="P53" s="143" t="s">
        <v>732</v>
      </c>
      <c r="Q53" s="143" t="s">
        <v>730</v>
      </c>
      <c r="R53" s="143" t="s">
        <v>841</v>
      </c>
      <c r="S53" s="143">
        <v>267</v>
      </c>
      <c r="T53" s="78">
        <v>1</v>
      </c>
      <c r="U53" s="78">
        <v>1</v>
      </c>
      <c r="V53" s="78">
        <v>3</v>
      </c>
      <c r="W53" s="78">
        <v>2</v>
      </c>
      <c r="X53" s="78">
        <v>0</v>
      </c>
      <c r="Y53" s="78">
        <v>1</v>
      </c>
      <c r="Z53" s="78">
        <v>0</v>
      </c>
      <c r="AA53" s="78">
        <v>0</v>
      </c>
      <c r="AB53" s="78">
        <v>6</v>
      </c>
      <c r="AC53" s="78">
        <v>3</v>
      </c>
      <c r="AD53" s="137">
        <v>0.5</v>
      </c>
      <c r="AF53" s="143" t="s">
        <v>732</v>
      </c>
      <c r="AG53" s="143" t="s">
        <v>730</v>
      </c>
      <c r="AH53" s="143" t="s">
        <v>841</v>
      </c>
      <c r="AI53" s="143">
        <v>267</v>
      </c>
      <c r="AJ53" s="78">
        <v>1</v>
      </c>
      <c r="AK53" s="78">
        <v>1</v>
      </c>
      <c r="AL53" s="78">
        <v>1</v>
      </c>
      <c r="AM53" s="78">
        <v>6</v>
      </c>
      <c r="AN53" s="78">
        <v>1</v>
      </c>
      <c r="AO53" s="78">
        <v>2</v>
      </c>
      <c r="AP53" s="78">
        <v>2</v>
      </c>
      <c r="AQ53" s="78">
        <v>1</v>
      </c>
      <c r="AR53" s="78">
        <v>2</v>
      </c>
      <c r="AS53" s="78">
        <v>2</v>
      </c>
      <c r="AT53" s="78">
        <v>0</v>
      </c>
      <c r="AU53" s="78">
        <v>1</v>
      </c>
      <c r="AV53" s="78">
        <v>2</v>
      </c>
      <c r="AW53" s="78">
        <v>1</v>
      </c>
      <c r="AX53" s="78">
        <v>4</v>
      </c>
      <c r="AY53" s="78">
        <v>1</v>
      </c>
      <c r="AZ53" s="78">
        <v>0</v>
      </c>
      <c r="BA53" s="78">
        <v>0.5</v>
      </c>
      <c r="BB53" s="78">
        <v>0.5</v>
      </c>
      <c r="BC53" s="78">
        <v>0</v>
      </c>
      <c r="BD53" s="78">
        <v>1</v>
      </c>
      <c r="BE53" s="78">
        <v>0.5</v>
      </c>
      <c r="BF53" s="78">
        <v>1</v>
      </c>
      <c r="BG53" s="78">
        <v>8</v>
      </c>
      <c r="BH53" s="137">
        <v>0.89772730000000001</v>
      </c>
      <c r="BJ53" s="143" t="s">
        <v>732</v>
      </c>
      <c r="BK53" s="143" t="s">
        <v>730</v>
      </c>
      <c r="BL53" s="143" t="s">
        <v>841</v>
      </c>
      <c r="BM53" s="143">
        <v>267</v>
      </c>
      <c r="BN53" s="78">
        <v>1</v>
      </c>
      <c r="BO53" s="78">
        <v>0</v>
      </c>
      <c r="BP53" s="78">
        <v>7</v>
      </c>
      <c r="BQ53" s="78">
        <v>3</v>
      </c>
      <c r="BR53" s="78">
        <v>3</v>
      </c>
      <c r="BS53" s="78">
        <v>0</v>
      </c>
      <c r="BT53" s="78">
        <v>2</v>
      </c>
      <c r="BU53" s="137">
        <v>0.69565220000000005</v>
      </c>
      <c r="BW53" s="143" t="s">
        <v>732</v>
      </c>
      <c r="BX53" s="143" t="s">
        <v>730</v>
      </c>
      <c r="BY53" s="143" t="s">
        <v>841</v>
      </c>
      <c r="BZ53" s="143">
        <v>267</v>
      </c>
      <c r="CA53" s="78">
        <v>1</v>
      </c>
      <c r="CB53" s="78">
        <v>1</v>
      </c>
      <c r="CC53" s="78">
        <v>1</v>
      </c>
      <c r="CD53" s="78">
        <v>2</v>
      </c>
      <c r="CE53" s="78">
        <v>1</v>
      </c>
      <c r="CF53" s="78">
        <v>2</v>
      </c>
      <c r="CG53" s="78">
        <v>1</v>
      </c>
      <c r="CH53" s="78">
        <v>2</v>
      </c>
      <c r="CI53" s="78">
        <v>1</v>
      </c>
      <c r="CJ53" s="78">
        <v>0</v>
      </c>
      <c r="CK53" s="137">
        <v>0.8</v>
      </c>
      <c r="CM53" s="143" t="s">
        <v>732</v>
      </c>
      <c r="CN53" s="143" t="s">
        <v>730</v>
      </c>
      <c r="CO53" s="143" t="s">
        <v>841</v>
      </c>
      <c r="CP53" s="143">
        <v>267</v>
      </c>
      <c r="CQ53" s="78">
        <v>8</v>
      </c>
      <c r="CR53" s="78">
        <v>0</v>
      </c>
      <c r="CS53" s="78">
        <v>16</v>
      </c>
      <c r="CT53" s="78">
        <v>4</v>
      </c>
      <c r="CU53" s="78">
        <v>0</v>
      </c>
      <c r="CV53" s="78">
        <v>8</v>
      </c>
      <c r="CW53" s="137">
        <v>0.69230769999999997</v>
      </c>
      <c r="CY53" s="143" t="s">
        <v>732</v>
      </c>
      <c r="CZ53" s="143" t="s">
        <v>730</v>
      </c>
      <c r="DA53" s="143" t="s">
        <v>841</v>
      </c>
      <c r="DB53" s="143">
        <v>267</v>
      </c>
      <c r="DC53" s="78">
        <v>38</v>
      </c>
      <c r="DD53" s="137">
        <v>0.6</v>
      </c>
      <c r="DE53" s="137">
        <v>0.24782609999999999</v>
      </c>
      <c r="DG53" s="143" t="s">
        <v>732</v>
      </c>
      <c r="DH53" s="143" t="s">
        <v>730</v>
      </c>
      <c r="DI53" s="143" t="s">
        <v>841</v>
      </c>
      <c r="DJ53" s="143">
        <v>267</v>
      </c>
      <c r="DK53" s="78">
        <v>2</v>
      </c>
      <c r="DL53" s="78">
        <v>1</v>
      </c>
      <c r="DM53" s="78">
        <v>1</v>
      </c>
      <c r="DN53" s="78">
        <v>5</v>
      </c>
      <c r="DO53" s="78">
        <v>2</v>
      </c>
      <c r="DP53" s="78">
        <v>3</v>
      </c>
      <c r="DQ53" s="78">
        <v>8</v>
      </c>
      <c r="DR53" s="78">
        <v>1</v>
      </c>
      <c r="DS53" s="78">
        <v>1</v>
      </c>
      <c r="DT53" s="78">
        <v>2</v>
      </c>
      <c r="DU53" s="78">
        <v>0</v>
      </c>
      <c r="DV53" s="137">
        <v>0.89655169999999995</v>
      </c>
      <c r="DX53" s="143" t="s">
        <v>732</v>
      </c>
      <c r="DY53" s="143" t="s">
        <v>730</v>
      </c>
      <c r="DZ53" s="143" t="s">
        <v>841</v>
      </c>
      <c r="EA53" s="143">
        <v>267</v>
      </c>
      <c r="EB53" s="78">
        <v>1</v>
      </c>
      <c r="EC53" s="78">
        <v>8</v>
      </c>
      <c r="ED53" s="78">
        <v>1</v>
      </c>
      <c r="EE53" s="78">
        <v>4</v>
      </c>
      <c r="EF53" s="78">
        <v>3</v>
      </c>
      <c r="EG53" s="78">
        <v>1</v>
      </c>
      <c r="EH53" s="78">
        <v>0</v>
      </c>
      <c r="EI53" s="78">
        <v>1</v>
      </c>
      <c r="EJ53" s="78">
        <v>1</v>
      </c>
      <c r="EK53" s="78">
        <v>1</v>
      </c>
      <c r="EL53" s="78">
        <v>1</v>
      </c>
      <c r="EM53" s="78">
        <v>1</v>
      </c>
      <c r="EN53" s="78">
        <v>0</v>
      </c>
      <c r="EO53" s="78">
        <v>1</v>
      </c>
      <c r="EP53" s="78">
        <v>0</v>
      </c>
      <c r="EQ53" s="137">
        <v>0.88888889999999998</v>
      </c>
      <c r="ES53" s="143" t="s">
        <v>732</v>
      </c>
      <c r="ET53" s="143" t="s">
        <v>730</v>
      </c>
      <c r="EU53" s="143" t="s">
        <v>841</v>
      </c>
      <c r="EV53" s="143">
        <v>267</v>
      </c>
      <c r="EW53" s="78">
        <v>0</v>
      </c>
      <c r="EX53" s="78">
        <v>1</v>
      </c>
      <c r="EY53" s="78">
        <v>3</v>
      </c>
      <c r="EZ53" s="78">
        <v>0</v>
      </c>
      <c r="FA53" s="78">
        <v>0.5</v>
      </c>
      <c r="FB53" s="78">
        <v>3</v>
      </c>
      <c r="FC53" s="78">
        <v>2</v>
      </c>
      <c r="FD53" s="78">
        <v>1</v>
      </c>
      <c r="FE53" s="137">
        <v>0.80769230000000003</v>
      </c>
      <c r="FG53" s="137">
        <v>0.62040819999999997</v>
      </c>
    </row>
    <row r="54" spans="1:163" x14ac:dyDescent="0.35">
      <c r="A54" s="143" t="s">
        <v>732</v>
      </c>
      <c r="B54" s="143" t="s">
        <v>730</v>
      </c>
      <c r="C54" s="143" t="s">
        <v>843</v>
      </c>
      <c r="D54" s="143">
        <v>270</v>
      </c>
      <c r="E54" s="78">
        <v>0</v>
      </c>
      <c r="F54" s="78">
        <v>2</v>
      </c>
      <c r="G54" s="78">
        <v>1</v>
      </c>
      <c r="H54" s="78">
        <v>0</v>
      </c>
      <c r="I54" s="78">
        <v>1</v>
      </c>
      <c r="J54" s="78">
        <v>0</v>
      </c>
      <c r="K54" s="78">
        <v>1</v>
      </c>
      <c r="L54" s="78">
        <v>0</v>
      </c>
      <c r="M54" s="78">
        <v>2</v>
      </c>
      <c r="N54" s="137">
        <v>0.5</v>
      </c>
      <c r="P54" s="143" t="s">
        <v>732</v>
      </c>
      <c r="Q54" s="143" t="s">
        <v>730</v>
      </c>
      <c r="R54" s="143" t="s">
        <v>843</v>
      </c>
      <c r="S54" s="143">
        <v>270</v>
      </c>
      <c r="T54" s="78">
        <v>1</v>
      </c>
      <c r="U54" s="78">
        <v>1</v>
      </c>
      <c r="V54" s="78">
        <v>0</v>
      </c>
      <c r="W54" s="78">
        <v>0</v>
      </c>
      <c r="X54" s="78">
        <v>0</v>
      </c>
      <c r="Y54" s="78">
        <v>1</v>
      </c>
      <c r="Z54" s="78">
        <v>3</v>
      </c>
      <c r="AA54" s="78">
        <v>0</v>
      </c>
      <c r="AB54" s="78">
        <v>0</v>
      </c>
      <c r="AC54" s="78">
        <v>3</v>
      </c>
      <c r="AD54" s="137">
        <v>0.26470589999999999</v>
      </c>
      <c r="AF54" s="143" t="s">
        <v>732</v>
      </c>
      <c r="AG54" s="143" t="s">
        <v>730</v>
      </c>
      <c r="AH54" s="143" t="s">
        <v>843</v>
      </c>
      <c r="AI54" s="143">
        <v>270</v>
      </c>
      <c r="AJ54" s="78">
        <v>1</v>
      </c>
      <c r="AK54" s="78">
        <v>0</v>
      </c>
      <c r="AL54" s="78">
        <v>1</v>
      </c>
      <c r="AM54" s="78">
        <v>6</v>
      </c>
      <c r="AN54" s="78">
        <v>1</v>
      </c>
      <c r="AO54" s="78">
        <v>2</v>
      </c>
      <c r="AP54" s="78">
        <v>2</v>
      </c>
      <c r="AQ54" s="78">
        <v>1</v>
      </c>
      <c r="AR54" s="78">
        <v>2</v>
      </c>
      <c r="AS54" s="78">
        <v>2</v>
      </c>
      <c r="AT54" s="78">
        <v>0</v>
      </c>
      <c r="AU54" s="78">
        <v>0</v>
      </c>
      <c r="AV54" s="78">
        <v>0</v>
      </c>
      <c r="AW54" s="78">
        <v>0</v>
      </c>
      <c r="AX54" s="78">
        <v>4</v>
      </c>
      <c r="AY54" s="78">
        <v>0</v>
      </c>
      <c r="AZ54" s="78">
        <v>2</v>
      </c>
      <c r="BA54" s="78">
        <v>0.5</v>
      </c>
      <c r="BB54" s="78">
        <v>0.5</v>
      </c>
      <c r="BC54" s="78">
        <v>0.5</v>
      </c>
      <c r="BD54" s="78">
        <v>1</v>
      </c>
      <c r="BE54" s="78">
        <v>0.5</v>
      </c>
      <c r="BF54" s="78">
        <v>1</v>
      </c>
      <c r="BG54" s="78">
        <v>8</v>
      </c>
      <c r="BH54" s="137">
        <v>0.81818179999999996</v>
      </c>
      <c r="BJ54" s="143" t="s">
        <v>732</v>
      </c>
      <c r="BK54" s="143" t="s">
        <v>730</v>
      </c>
      <c r="BL54" s="143" t="s">
        <v>843</v>
      </c>
      <c r="BM54" s="143">
        <v>270</v>
      </c>
      <c r="BN54" s="78">
        <v>1</v>
      </c>
      <c r="BO54" s="78">
        <v>4</v>
      </c>
      <c r="BP54" s="78">
        <v>0</v>
      </c>
      <c r="BQ54" s="78">
        <v>3</v>
      </c>
      <c r="BR54" s="78">
        <v>0</v>
      </c>
      <c r="BS54" s="78">
        <v>0</v>
      </c>
      <c r="BT54" s="78">
        <v>2</v>
      </c>
      <c r="BU54" s="137">
        <v>0.43478260000000002</v>
      </c>
      <c r="BW54" s="143" t="s">
        <v>732</v>
      </c>
      <c r="BX54" s="143" t="s">
        <v>730</v>
      </c>
      <c r="BY54" s="143" t="s">
        <v>843</v>
      </c>
      <c r="BZ54" s="143">
        <v>270</v>
      </c>
      <c r="CA54" s="78">
        <v>1</v>
      </c>
      <c r="CB54" s="78">
        <v>1</v>
      </c>
      <c r="CC54" s="78">
        <v>1</v>
      </c>
      <c r="CD54" s="78">
        <v>2</v>
      </c>
      <c r="CE54" s="78">
        <v>0</v>
      </c>
      <c r="CF54" s="78">
        <v>2</v>
      </c>
      <c r="CG54" s="78">
        <v>1</v>
      </c>
      <c r="CH54" s="78">
        <v>2</v>
      </c>
      <c r="CI54" s="78">
        <v>1</v>
      </c>
      <c r="CJ54" s="78">
        <v>3</v>
      </c>
      <c r="CK54" s="137">
        <v>0.93333330000000003</v>
      </c>
      <c r="CM54" s="143" t="s">
        <v>732</v>
      </c>
      <c r="CN54" s="143" t="s">
        <v>730</v>
      </c>
      <c r="CO54" s="143" t="s">
        <v>843</v>
      </c>
      <c r="CP54" s="143">
        <v>270</v>
      </c>
      <c r="CQ54" s="78">
        <v>2</v>
      </c>
      <c r="CR54" s="78">
        <v>6</v>
      </c>
      <c r="CS54" s="78">
        <v>16</v>
      </c>
      <c r="CT54" s="78">
        <v>4</v>
      </c>
      <c r="CU54" s="78">
        <v>2</v>
      </c>
      <c r="CV54" s="78">
        <v>8</v>
      </c>
      <c r="CW54" s="137">
        <v>0.73076920000000001</v>
      </c>
      <c r="CY54" s="143" t="s">
        <v>732</v>
      </c>
      <c r="CZ54" s="143" t="s">
        <v>730</v>
      </c>
      <c r="DA54" s="143" t="s">
        <v>843</v>
      </c>
      <c r="DB54" s="143">
        <v>270</v>
      </c>
      <c r="DC54" s="78">
        <v>0</v>
      </c>
      <c r="DD54" s="137">
        <v>0</v>
      </c>
      <c r="DE54" s="137">
        <v>0</v>
      </c>
      <c r="DG54" s="143" t="s">
        <v>732</v>
      </c>
      <c r="DH54" s="143" t="s">
        <v>730</v>
      </c>
      <c r="DI54" s="143" t="s">
        <v>843</v>
      </c>
      <c r="DJ54" s="143">
        <v>270</v>
      </c>
      <c r="DK54" s="78">
        <v>2</v>
      </c>
      <c r="DL54" s="78">
        <v>0</v>
      </c>
      <c r="DM54" s="78">
        <v>0</v>
      </c>
      <c r="DN54" s="78">
        <v>5</v>
      </c>
      <c r="DO54" s="78">
        <v>2</v>
      </c>
      <c r="DP54" s="78">
        <v>3</v>
      </c>
      <c r="DQ54" s="78">
        <v>8</v>
      </c>
      <c r="DR54" s="78">
        <v>1</v>
      </c>
      <c r="DS54" s="78">
        <v>1</v>
      </c>
      <c r="DT54" s="78">
        <v>0</v>
      </c>
      <c r="DU54" s="78">
        <v>1</v>
      </c>
      <c r="DV54" s="137">
        <v>0.79310349999999996</v>
      </c>
      <c r="DX54" s="143" t="s">
        <v>732</v>
      </c>
      <c r="DY54" s="143" t="s">
        <v>730</v>
      </c>
      <c r="DZ54" s="143" t="s">
        <v>843</v>
      </c>
      <c r="EA54" s="143">
        <v>270</v>
      </c>
      <c r="EB54" s="78">
        <v>0</v>
      </c>
      <c r="EC54" s="78">
        <v>8</v>
      </c>
      <c r="ED54" s="78">
        <v>1</v>
      </c>
      <c r="EE54" s="78">
        <v>4</v>
      </c>
      <c r="EF54" s="78">
        <v>0</v>
      </c>
      <c r="EG54" s="78">
        <v>1</v>
      </c>
      <c r="EH54" s="78">
        <v>1</v>
      </c>
      <c r="EI54" s="78">
        <v>1</v>
      </c>
      <c r="EJ54" s="78">
        <v>1</v>
      </c>
      <c r="EK54" s="78">
        <v>1</v>
      </c>
      <c r="EL54" s="78">
        <v>1</v>
      </c>
      <c r="EM54" s="78">
        <v>0</v>
      </c>
      <c r="EN54" s="78">
        <v>0</v>
      </c>
      <c r="EO54" s="78">
        <v>1</v>
      </c>
      <c r="EP54" s="78">
        <v>1</v>
      </c>
      <c r="EQ54" s="137">
        <v>0.77777779999999996</v>
      </c>
      <c r="ES54" s="143" t="s">
        <v>732</v>
      </c>
      <c r="ET54" s="143" t="s">
        <v>730</v>
      </c>
      <c r="EU54" s="143" t="s">
        <v>843</v>
      </c>
      <c r="EV54" s="143">
        <v>270</v>
      </c>
      <c r="EW54" s="78">
        <v>0</v>
      </c>
      <c r="EX54" s="78">
        <v>1</v>
      </c>
      <c r="EY54" s="78">
        <v>3</v>
      </c>
      <c r="EZ54" s="78">
        <v>0</v>
      </c>
      <c r="FA54" s="78">
        <v>0.5</v>
      </c>
      <c r="FB54" s="78">
        <v>3</v>
      </c>
      <c r="FC54" s="78">
        <v>2</v>
      </c>
      <c r="FD54" s="78">
        <v>0</v>
      </c>
      <c r="FE54" s="137">
        <v>0.73076920000000001</v>
      </c>
      <c r="FG54" s="137">
        <v>0.4883382</v>
      </c>
    </row>
    <row r="55" spans="1:163" x14ac:dyDescent="0.35">
      <c r="A55" s="143" t="s">
        <v>732</v>
      </c>
      <c r="B55" s="143" t="s">
        <v>730</v>
      </c>
      <c r="C55" s="143" t="s">
        <v>842</v>
      </c>
      <c r="D55" s="143">
        <v>1099</v>
      </c>
      <c r="E55" s="78">
        <v>0</v>
      </c>
      <c r="F55" s="78">
        <v>2</v>
      </c>
      <c r="G55" s="78">
        <v>0</v>
      </c>
      <c r="H55" s="78">
        <v>1</v>
      </c>
      <c r="I55" s="78">
        <v>1</v>
      </c>
      <c r="J55" s="78">
        <v>0</v>
      </c>
      <c r="K55" s="78">
        <v>0</v>
      </c>
      <c r="L55" s="78">
        <v>0</v>
      </c>
      <c r="M55" s="78">
        <v>0</v>
      </c>
      <c r="N55" s="137">
        <v>0.28571429999999998</v>
      </c>
      <c r="P55" s="143" t="s">
        <v>732</v>
      </c>
      <c r="Q55" s="143" t="s">
        <v>730</v>
      </c>
      <c r="R55" s="143" t="s">
        <v>842</v>
      </c>
      <c r="S55" s="143">
        <v>1099</v>
      </c>
      <c r="T55" s="78">
        <v>0</v>
      </c>
      <c r="U55" s="78">
        <v>0</v>
      </c>
      <c r="V55" s="78">
        <v>0</v>
      </c>
      <c r="W55" s="78">
        <v>0.5</v>
      </c>
      <c r="X55" s="78">
        <v>0</v>
      </c>
      <c r="Y55" s="78">
        <v>1</v>
      </c>
      <c r="Z55" s="78">
        <v>0</v>
      </c>
      <c r="AA55" s="78">
        <v>0</v>
      </c>
      <c r="AB55" s="78">
        <v>0</v>
      </c>
      <c r="AC55" s="78">
        <v>3</v>
      </c>
      <c r="AD55" s="137">
        <v>0.1323529</v>
      </c>
      <c r="AF55" s="143" t="s">
        <v>732</v>
      </c>
      <c r="AG55" s="143" t="s">
        <v>730</v>
      </c>
      <c r="AH55" s="143" t="s">
        <v>842</v>
      </c>
      <c r="AI55" s="143">
        <v>1099</v>
      </c>
      <c r="AJ55" s="78">
        <v>0</v>
      </c>
      <c r="AK55" s="78">
        <v>0</v>
      </c>
      <c r="AL55" s="78">
        <v>1</v>
      </c>
      <c r="AM55" s="78">
        <v>5</v>
      </c>
      <c r="AN55" s="78">
        <v>1</v>
      </c>
      <c r="AO55" s="78">
        <v>2</v>
      </c>
      <c r="AP55" s="78">
        <v>2</v>
      </c>
      <c r="AQ55" s="78">
        <v>1</v>
      </c>
      <c r="AR55" s="78">
        <v>0</v>
      </c>
      <c r="AS55" s="78">
        <v>0</v>
      </c>
      <c r="AT55" s="78">
        <v>0</v>
      </c>
      <c r="AU55" s="78">
        <v>1</v>
      </c>
      <c r="AV55" s="78">
        <v>2</v>
      </c>
      <c r="AW55" s="78">
        <v>1</v>
      </c>
      <c r="AX55" s="78">
        <v>4</v>
      </c>
      <c r="AY55" s="78">
        <v>1</v>
      </c>
      <c r="AZ55" s="78">
        <v>0</v>
      </c>
      <c r="BA55" s="78">
        <v>0.5</v>
      </c>
      <c r="BB55" s="78">
        <v>0.5</v>
      </c>
      <c r="BC55" s="78">
        <v>0.5</v>
      </c>
      <c r="BD55" s="78">
        <v>1</v>
      </c>
      <c r="BE55" s="78">
        <v>0</v>
      </c>
      <c r="BF55" s="78">
        <v>1</v>
      </c>
      <c r="BG55" s="78">
        <v>8</v>
      </c>
      <c r="BH55" s="137">
        <v>0.73863639999999997</v>
      </c>
      <c r="BJ55" s="143" t="s">
        <v>732</v>
      </c>
      <c r="BK55" s="143" t="s">
        <v>730</v>
      </c>
      <c r="BL55" s="143" t="s">
        <v>842</v>
      </c>
      <c r="BM55" s="143">
        <v>1099</v>
      </c>
      <c r="BN55" s="78">
        <v>1</v>
      </c>
      <c r="BO55" s="78">
        <v>4</v>
      </c>
      <c r="BP55" s="78">
        <v>0</v>
      </c>
      <c r="BQ55" s="78">
        <v>0</v>
      </c>
      <c r="BR55" s="78">
        <v>0</v>
      </c>
      <c r="BS55" s="78">
        <v>0</v>
      </c>
      <c r="BT55" s="78">
        <v>2</v>
      </c>
      <c r="BU55" s="137">
        <v>0.3043478</v>
      </c>
      <c r="BW55" s="143" t="s">
        <v>732</v>
      </c>
      <c r="BX55" s="143" t="s">
        <v>730</v>
      </c>
      <c r="BY55" s="143" t="s">
        <v>842</v>
      </c>
      <c r="BZ55" s="143">
        <v>1099</v>
      </c>
      <c r="CM55" s="143" t="s">
        <v>732</v>
      </c>
      <c r="CN55" s="143" t="s">
        <v>730</v>
      </c>
      <c r="CO55" s="143" t="s">
        <v>842</v>
      </c>
      <c r="CP55" s="143">
        <v>1099</v>
      </c>
      <c r="CQ55" s="78">
        <v>0</v>
      </c>
      <c r="CR55" s="78">
        <v>6</v>
      </c>
      <c r="CS55" s="78">
        <v>8</v>
      </c>
      <c r="CT55" s="78">
        <v>4</v>
      </c>
      <c r="CU55" s="78">
        <v>0</v>
      </c>
      <c r="CV55" s="78">
        <v>8</v>
      </c>
      <c r="CW55" s="137">
        <v>0.5</v>
      </c>
      <c r="CY55" s="143" t="s">
        <v>732</v>
      </c>
      <c r="CZ55" s="143" t="s">
        <v>730</v>
      </c>
      <c r="DA55" s="143" t="s">
        <v>842</v>
      </c>
      <c r="DB55" s="143">
        <v>1099</v>
      </c>
      <c r="DC55" s="78">
        <v>0</v>
      </c>
      <c r="DD55" s="137">
        <v>0</v>
      </c>
      <c r="DE55" s="137">
        <v>0</v>
      </c>
      <c r="DG55" s="143" t="s">
        <v>732</v>
      </c>
      <c r="DH55" s="143" t="s">
        <v>730</v>
      </c>
      <c r="DI55" s="143" t="s">
        <v>842</v>
      </c>
      <c r="DJ55" s="143">
        <v>1099</v>
      </c>
      <c r="DK55" s="78">
        <v>0</v>
      </c>
      <c r="DL55" s="78">
        <v>1</v>
      </c>
      <c r="DM55" s="78">
        <v>0</v>
      </c>
      <c r="DN55" s="78">
        <v>5</v>
      </c>
      <c r="DO55" s="78">
        <v>2</v>
      </c>
      <c r="DP55" s="78">
        <v>3</v>
      </c>
      <c r="DQ55" s="78">
        <v>7</v>
      </c>
      <c r="DR55" s="78">
        <v>0</v>
      </c>
      <c r="DS55" s="78">
        <v>1</v>
      </c>
      <c r="DT55" s="78">
        <v>0</v>
      </c>
      <c r="DU55" s="78">
        <v>0</v>
      </c>
      <c r="DV55" s="137">
        <v>0.65517239999999999</v>
      </c>
      <c r="DX55" s="143" t="s">
        <v>732</v>
      </c>
      <c r="DY55" s="143" t="s">
        <v>730</v>
      </c>
      <c r="DZ55" s="143" t="s">
        <v>842</v>
      </c>
      <c r="EA55" s="143">
        <v>1099</v>
      </c>
      <c r="EB55" s="78">
        <v>1</v>
      </c>
      <c r="EC55" s="78">
        <v>8</v>
      </c>
      <c r="ED55" s="78">
        <v>1</v>
      </c>
      <c r="EE55" s="78">
        <v>4</v>
      </c>
      <c r="EF55" s="78">
        <v>0</v>
      </c>
      <c r="EG55" s="78">
        <v>1</v>
      </c>
      <c r="EH55" s="78">
        <v>0</v>
      </c>
      <c r="EI55" s="78">
        <v>1</v>
      </c>
      <c r="EJ55" s="78">
        <v>1</v>
      </c>
      <c r="EK55" s="78">
        <v>1</v>
      </c>
      <c r="EL55" s="78">
        <v>0</v>
      </c>
      <c r="EM55" s="78">
        <v>1</v>
      </c>
      <c r="EN55" s="78">
        <v>0</v>
      </c>
      <c r="EO55" s="78">
        <v>1</v>
      </c>
      <c r="EP55" s="78">
        <v>0</v>
      </c>
      <c r="EQ55" s="137">
        <v>0.74074070000000003</v>
      </c>
      <c r="ES55" s="143" t="s">
        <v>732</v>
      </c>
      <c r="ET55" s="143" t="s">
        <v>730</v>
      </c>
      <c r="EU55" s="143" t="s">
        <v>842</v>
      </c>
      <c r="EV55" s="143">
        <v>1099</v>
      </c>
      <c r="EW55" s="78">
        <v>0</v>
      </c>
      <c r="EX55" s="78">
        <v>0</v>
      </c>
      <c r="EY55" s="78">
        <v>3</v>
      </c>
      <c r="EZ55" s="78">
        <v>0</v>
      </c>
      <c r="FA55" s="78">
        <v>0</v>
      </c>
      <c r="FB55" s="78">
        <v>3</v>
      </c>
      <c r="FC55" s="78">
        <v>2</v>
      </c>
      <c r="FD55" s="78">
        <v>0</v>
      </c>
      <c r="FE55" s="137">
        <v>0.61538459999999995</v>
      </c>
      <c r="FG55" s="137">
        <v>0.36890240000000002</v>
      </c>
    </row>
    <row r="56" spans="1:163" x14ac:dyDescent="0.35">
      <c r="A56" s="143" t="s">
        <v>732</v>
      </c>
      <c r="B56" s="143" t="s">
        <v>730</v>
      </c>
      <c r="C56" s="143" t="s">
        <v>841</v>
      </c>
      <c r="D56" s="143">
        <v>1229</v>
      </c>
      <c r="E56" s="78">
        <v>0</v>
      </c>
      <c r="F56" s="78">
        <v>2</v>
      </c>
      <c r="G56" s="78">
        <v>1</v>
      </c>
      <c r="H56" s="78">
        <v>1</v>
      </c>
      <c r="I56" s="78">
        <v>1</v>
      </c>
      <c r="J56" s="78">
        <v>0</v>
      </c>
      <c r="K56" s="78">
        <v>0</v>
      </c>
      <c r="L56" s="78">
        <v>0</v>
      </c>
      <c r="M56" s="78">
        <v>0</v>
      </c>
      <c r="N56" s="137">
        <v>0.35714289999999999</v>
      </c>
      <c r="P56" s="143" t="s">
        <v>732</v>
      </c>
      <c r="Q56" s="143" t="s">
        <v>730</v>
      </c>
      <c r="R56" s="143" t="s">
        <v>841</v>
      </c>
      <c r="S56" s="143">
        <v>1229</v>
      </c>
      <c r="T56" s="78">
        <v>1</v>
      </c>
      <c r="U56" s="78">
        <v>1</v>
      </c>
      <c r="V56" s="78">
        <v>1</v>
      </c>
      <c r="W56" s="78">
        <v>0</v>
      </c>
      <c r="X56" s="78">
        <v>0</v>
      </c>
      <c r="Y56" s="78">
        <v>1</v>
      </c>
      <c r="Z56" s="78">
        <v>0</v>
      </c>
      <c r="AA56" s="78">
        <v>0</v>
      </c>
      <c r="AB56" s="78">
        <v>0</v>
      </c>
      <c r="AC56" s="78">
        <v>3</v>
      </c>
      <c r="AD56" s="137">
        <v>0.20588239999999999</v>
      </c>
      <c r="AF56" s="143" t="s">
        <v>732</v>
      </c>
      <c r="AG56" s="143" t="s">
        <v>730</v>
      </c>
      <c r="AH56" s="143" t="s">
        <v>841</v>
      </c>
      <c r="AI56" s="143">
        <v>1229</v>
      </c>
      <c r="AJ56" s="78">
        <v>0</v>
      </c>
      <c r="AK56" s="78">
        <v>0</v>
      </c>
      <c r="AL56" s="78">
        <v>1</v>
      </c>
      <c r="AM56" s="78">
        <v>1</v>
      </c>
      <c r="AN56" s="78">
        <v>1</v>
      </c>
      <c r="AO56" s="78">
        <v>2</v>
      </c>
      <c r="AP56" s="78">
        <v>2</v>
      </c>
      <c r="AQ56" s="78">
        <v>1</v>
      </c>
      <c r="AR56" s="78">
        <v>2</v>
      </c>
      <c r="AS56" s="78">
        <v>2</v>
      </c>
      <c r="AT56" s="78">
        <v>0</v>
      </c>
      <c r="AU56" s="78">
        <v>1</v>
      </c>
      <c r="AV56" s="78">
        <v>2</v>
      </c>
      <c r="AW56" s="78">
        <v>1</v>
      </c>
      <c r="AX56" s="78">
        <v>4</v>
      </c>
      <c r="AY56" s="78">
        <v>1</v>
      </c>
      <c r="AZ56" s="78">
        <v>0</v>
      </c>
      <c r="BA56" s="78">
        <v>0.5</v>
      </c>
      <c r="BB56" s="78">
        <v>0.5</v>
      </c>
      <c r="BC56" s="78">
        <v>0.5</v>
      </c>
      <c r="BD56" s="78">
        <v>1</v>
      </c>
      <c r="BE56" s="78">
        <v>0</v>
      </c>
      <c r="BF56" s="78">
        <v>1</v>
      </c>
      <c r="BG56" s="78">
        <v>8</v>
      </c>
      <c r="BH56" s="137">
        <v>0.73863639999999997</v>
      </c>
      <c r="BJ56" s="143" t="s">
        <v>732</v>
      </c>
      <c r="BK56" s="143" t="s">
        <v>730</v>
      </c>
      <c r="BL56" s="143" t="s">
        <v>841</v>
      </c>
      <c r="BM56" s="143">
        <v>1229</v>
      </c>
      <c r="BN56" s="78">
        <v>0</v>
      </c>
      <c r="BO56" s="78">
        <v>0</v>
      </c>
      <c r="BP56" s="78">
        <v>0</v>
      </c>
      <c r="BQ56" s="78">
        <v>0</v>
      </c>
      <c r="BR56" s="78">
        <v>0</v>
      </c>
      <c r="BS56" s="78">
        <v>0</v>
      </c>
      <c r="BT56" s="78">
        <v>2</v>
      </c>
      <c r="BU56" s="137">
        <v>8.6956500000000006E-2</v>
      </c>
      <c r="BW56" s="143" t="s">
        <v>732</v>
      </c>
      <c r="BX56" s="143" t="s">
        <v>730</v>
      </c>
      <c r="BY56" s="143" t="s">
        <v>841</v>
      </c>
      <c r="BZ56" s="143">
        <v>1229</v>
      </c>
      <c r="CA56" s="78">
        <v>1</v>
      </c>
      <c r="CB56" s="78">
        <v>1</v>
      </c>
      <c r="CC56" s="78">
        <v>0</v>
      </c>
      <c r="CD56" s="78">
        <v>2</v>
      </c>
      <c r="CE56" s="78">
        <v>0</v>
      </c>
      <c r="CF56" s="78">
        <v>2</v>
      </c>
      <c r="CG56" s="78">
        <v>0</v>
      </c>
      <c r="CH56" s="78">
        <v>2</v>
      </c>
      <c r="CI56" s="78">
        <v>1</v>
      </c>
      <c r="CJ56" s="78">
        <v>0</v>
      </c>
      <c r="CK56" s="137">
        <v>0.6</v>
      </c>
      <c r="CM56" s="143" t="s">
        <v>732</v>
      </c>
      <c r="CN56" s="143" t="s">
        <v>730</v>
      </c>
      <c r="CO56" s="143" t="s">
        <v>841</v>
      </c>
      <c r="CP56" s="143">
        <v>1229</v>
      </c>
      <c r="CQ56" s="78">
        <v>8</v>
      </c>
      <c r="CR56" s="78">
        <v>6</v>
      </c>
      <c r="CS56" s="78">
        <v>8</v>
      </c>
      <c r="CT56" s="78">
        <v>4</v>
      </c>
      <c r="CU56" s="78">
        <v>0</v>
      </c>
      <c r="CV56" s="78">
        <v>8</v>
      </c>
      <c r="CW56" s="137">
        <v>0.65384609999999999</v>
      </c>
      <c r="CY56" s="143" t="s">
        <v>732</v>
      </c>
      <c r="CZ56" s="143" t="s">
        <v>730</v>
      </c>
      <c r="DA56" s="143" t="s">
        <v>841</v>
      </c>
      <c r="DB56" s="143">
        <v>1229</v>
      </c>
      <c r="DC56" s="78">
        <v>0</v>
      </c>
      <c r="DD56" s="137">
        <v>0</v>
      </c>
      <c r="DE56" s="137">
        <v>0</v>
      </c>
      <c r="DG56" s="143" t="s">
        <v>732</v>
      </c>
      <c r="DH56" s="143" t="s">
        <v>730</v>
      </c>
      <c r="DI56" s="143" t="s">
        <v>841</v>
      </c>
      <c r="DJ56" s="143">
        <v>1229</v>
      </c>
      <c r="DK56" s="78">
        <v>0</v>
      </c>
      <c r="DL56" s="78">
        <v>1</v>
      </c>
      <c r="DM56" s="78">
        <v>0</v>
      </c>
      <c r="DN56" s="78">
        <v>4</v>
      </c>
      <c r="DO56" s="78">
        <v>0</v>
      </c>
      <c r="DP56" s="78">
        <v>2</v>
      </c>
      <c r="DQ56" s="78">
        <v>6</v>
      </c>
      <c r="DR56" s="78">
        <v>0</v>
      </c>
      <c r="DS56" s="78">
        <v>1</v>
      </c>
      <c r="DT56" s="78">
        <v>0</v>
      </c>
      <c r="DU56" s="78">
        <v>0</v>
      </c>
      <c r="DV56" s="137">
        <v>0.48275859999999998</v>
      </c>
      <c r="DX56" s="143" t="s">
        <v>732</v>
      </c>
      <c r="DY56" s="143" t="s">
        <v>730</v>
      </c>
      <c r="DZ56" s="143" t="s">
        <v>841</v>
      </c>
      <c r="EA56" s="143">
        <v>1229</v>
      </c>
      <c r="EB56" s="78">
        <v>1</v>
      </c>
      <c r="EC56" s="78">
        <v>8</v>
      </c>
      <c r="ED56" s="78">
        <v>1</v>
      </c>
      <c r="EE56" s="78">
        <v>4</v>
      </c>
      <c r="EF56" s="78">
        <v>0</v>
      </c>
      <c r="EG56" s="78">
        <v>1</v>
      </c>
      <c r="EH56" s="78">
        <v>0</v>
      </c>
      <c r="EI56" s="78">
        <v>1</v>
      </c>
      <c r="EJ56" s="78">
        <v>1</v>
      </c>
      <c r="EK56" s="78">
        <v>0</v>
      </c>
      <c r="EL56" s="78">
        <v>1</v>
      </c>
      <c r="EM56" s="78">
        <v>0</v>
      </c>
      <c r="EN56" s="78">
        <v>0</v>
      </c>
      <c r="EO56" s="78">
        <v>0</v>
      </c>
      <c r="EP56" s="78">
        <v>0</v>
      </c>
      <c r="EQ56" s="137">
        <v>0.66666669999999995</v>
      </c>
      <c r="ES56" s="143" t="s">
        <v>732</v>
      </c>
      <c r="ET56" s="143" t="s">
        <v>730</v>
      </c>
      <c r="EU56" s="143" t="s">
        <v>841</v>
      </c>
      <c r="EV56" s="143">
        <v>1229</v>
      </c>
      <c r="EW56" s="78">
        <v>0</v>
      </c>
      <c r="EX56" s="78">
        <v>0</v>
      </c>
      <c r="EY56" s="78">
        <v>3</v>
      </c>
      <c r="EZ56" s="78">
        <v>0</v>
      </c>
      <c r="FA56" s="78">
        <v>0</v>
      </c>
      <c r="FB56" s="78">
        <v>3</v>
      </c>
      <c r="FC56" s="78">
        <v>2</v>
      </c>
      <c r="FD56" s="78">
        <v>0</v>
      </c>
      <c r="FE56" s="137">
        <v>0.61538459999999995</v>
      </c>
      <c r="FG56" s="137">
        <v>0.37755100000000003</v>
      </c>
    </row>
    <row r="57" spans="1:163" x14ac:dyDescent="0.35">
      <c r="A57" s="143" t="s">
        <v>732</v>
      </c>
      <c r="B57" s="143" t="s">
        <v>730</v>
      </c>
      <c r="C57" s="143" t="s">
        <v>841</v>
      </c>
      <c r="D57" s="143">
        <v>1615</v>
      </c>
      <c r="E57" s="78">
        <v>0.5</v>
      </c>
      <c r="F57" s="78">
        <v>2.5</v>
      </c>
      <c r="G57" s="78">
        <v>1</v>
      </c>
      <c r="H57" s="78">
        <v>1</v>
      </c>
      <c r="I57" s="78">
        <v>1</v>
      </c>
      <c r="J57" s="78">
        <v>0</v>
      </c>
      <c r="K57" s="78">
        <v>0</v>
      </c>
      <c r="L57" s="78">
        <v>0</v>
      </c>
      <c r="M57" s="78">
        <v>2</v>
      </c>
      <c r="N57" s="137">
        <v>0.57142859999999995</v>
      </c>
      <c r="P57" s="143" t="s">
        <v>732</v>
      </c>
      <c r="Q57" s="143" t="s">
        <v>730</v>
      </c>
      <c r="R57" s="143" t="s">
        <v>841</v>
      </c>
      <c r="S57" s="143">
        <v>1615</v>
      </c>
      <c r="T57" s="78">
        <v>1</v>
      </c>
      <c r="U57" s="78">
        <v>1</v>
      </c>
      <c r="V57" s="78">
        <v>1.5</v>
      </c>
      <c r="W57" s="78">
        <v>0.5</v>
      </c>
      <c r="X57" s="78">
        <v>0</v>
      </c>
      <c r="Y57" s="78">
        <v>1</v>
      </c>
      <c r="Z57" s="78">
        <v>0</v>
      </c>
      <c r="AA57" s="78">
        <v>0</v>
      </c>
      <c r="AB57" s="78">
        <v>0</v>
      </c>
      <c r="AC57" s="78">
        <v>3</v>
      </c>
      <c r="AD57" s="137">
        <v>0.23529410000000001</v>
      </c>
      <c r="AF57" s="143" t="s">
        <v>732</v>
      </c>
      <c r="AG57" s="143" t="s">
        <v>730</v>
      </c>
      <c r="AH57" s="143" t="s">
        <v>841</v>
      </c>
      <c r="AI57" s="143">
        <v>1615</v>
      </c>
      <c r="AJ57" s="78">
        <v>1</v>
      </c>
      <c r="AK57" s="78">
        <v>0</v>
      </c>
      <c r="AL57" s="78">
        <v>1</v>
      </c>
      <c r="AM57" s="78">
        <v>6</v>
      </c>
      <c r="AN57" s="78">
        <v>1</v>
      </c>
      <c r="AO57" s="78">
        <v>2</v>
      </c>
      <c r="AP57" s="78">
        <v>2</v>
      </c>
      <c r="AQ57" s="78">
        <v>1</v>
      </c>
      <c r="AR57" s="78">
        <v>2</v>
      </c>
      <c r="AS57" s="78">
        <v>2</v>
      </c>
      <c r="AT57" s="78">
        <v>2</v>
      </c>
      <c r="AU57" s="78">
        <v>1</v>
      </c>
      <c r="AV57" s="78">
        <v>2</v>
      </c>
      <c r="AW57" s="78">
        <v>1</v>
      </c>
      <c r="AX57" s="78">
        <v>4</v>
      </c>
      <c r="AY57" s="78">
        <v>1</v>
      </c>
      <c r="AZ57" s="78">
        <v>2</v>
      </c>
      <c r="BA57" s="78">
        <v>0.5</v>
      </c>
      <c r="BB57" s="78">
        <v>0.5</v>
      </c>
      <c r="BC57" s="78">
        <v>0.5</v>
      </c>
      <c r="BD57" s="78">
        <v>1</v>
      </c>
      <c r="BE57" s="78">
        <v>0.5</v>
      </c>
      <c r="BF57" s="78">
        <v>1</v>
      </c>
      <c r="BG57" s="78">
        <v>8</v>
      </c>
      <c r="BH57" s="137">
        <v>0.97727269999999999</v>
      </c>
      <c r="BJ57" s="143" t="s">
        <v>732</v>
      </c>
      <c r="BK57" s="143" t="s">
        <v>730</v>
      </c>
      <c r="BL57" s="143" t="s">
        <v>841</v>
      </c>
      <c r="BM57" s="143">
        <v>1615</v>
      </c>
      <c r="BN57" s="78">
        <v>0</v>
      </c>
      <c r="BO57" s="78">
        <v>4</v>
      </c>
      <c r="BP57" s="78">
        <v>7</v>
      </c>
      <c r="BQ57" s="78">
        <v>3</v>
      </c>
      <c r="BR57" s="78">
        <v>3</v>
      </c>
      <c r="BS57" s="78">
        <v>3</v>
      </c>
      <c r="BT57" s="78">
        <v>2</v>
      </c>
      <c r="BU57" s="137">
        <v>0.95652170000000003</v>
      </c>
      <c r="BW57" s="143" t="s">
        <v>732</v>
      </c>
      <c r="BX57" s="143" t="s">
        <v>730</v>
      </c>
      <c r="BY57" s="143" t="s">
        <v>841</v>
      </c>
      <c r="BZ57" s="143">
        <v>1615</v>
      </c>
      <c r="CA57" s="78">
        <v>1</v>
      </c>
      <c r="CB57" s="78">
        <v>1</v>
      </c>
      <c r="CC57" s="78">
        <v>0</v>
      </c>
      <c r="CD57" s="78">
        <v>2</v>
      </c>
      <c r="CE57" s="78">
        <v>0</v>
      </c>
      <c r="CF57" s="78">
        <v>2</v>
      </c>
      <c r="CG57" s="78">
        <v>1</v>
      </c>
      <c r="CH57" s="78">
        <v>2</v>
      </c>
      <c r="CI57" s="78">
        <v>1</v>
      </c>
      <c r="CJ57" s="78">
        <v>0</v>
      </c>
      <c r="CK57" s="137">
        <v>0.66666669999999995</v>
      </c>
      <c r="CM57" s="143" t="s">
        <v>732</v>
      </c>
      <c r="CN57" s="143" t="s">
        <v>730</v>
      </c>
      <c r="CO57" s="143" t="s">
        <v>841</v>
      </c>
      <c r="CP57" s="143">
        <v>1615</v>
      </c>
      <c r="CQ57" s="78">
        <v>8</v>
      </c>
      <c r="CR57" s="78">
        <v>6</v>
      </c>
      <c r="CS57" s="78">
        <v>4</v>
      </c>
      <c r="CT57" s="78">
        <v>4</v>
      </c>
      <c r="CU57" s="78">
        <v>0</v>
      </c>
      <c r="CV57" s="78">
        <v>8</v>
      </c>
      <c r="CW57" s="137">
        <v>0.57692310000000002</v>
      </c>
      <c r="CY57" s="143" t="s">
        <v>732</v>
      </c>
      <c r="CZ57" s="143" t="s">
        <v>730</v>
      </c>
      <c r="DA57" s="143" t="s">
        <v>841</v>
      </c>
      <c r="DB57" s="143">
        <v>1615</v>
      </c>
      <c r="DC57" s="78">
        <v>2</v>
      </c>
      <c r="DD57" s="137">
        <v>0</v>
      </c>
      <c r="DE57" s="137">
        <v>0</v>
      </c>
      <c r="DG57" s="143" t="s">
        <v>732</v>
      </c>
      <c r="DH57" s="143" t="s">
        <v>730</v>
      </c>
      <c r="DI57" s="143" t="s">
        <v>841</v>
      </c>
      <c r="DJ57" s="143">
        <v>1615</v>
      </c>
      <c r="DK57" s="78">
        <v>2</v>
      </c>
      <c r="DL57" s="78">
        <v>1</v>
      </c>
      <c r="DM57" s="78">
        <v>0</v>
      </c>
      <c r="DN57" s="78">
        <v>5</v>
      </c>
      <c r="DO57" s="78">
        <v>2</v>
      </c>
      <c r="DP57" s="78">
        <v>3</v>
      </c>
      <c r="DQ57" s="78">
        <v>6</v>
      </c>
      <c r="DR57" s="78">
        <v>0</v>
      </c>
      <c r="DS57" s="78">
        <v>1</v>
      </c>
      <c r="DT57" s="78">
        <v>0</v>
      </c>
      <c r="DU57" s="78">
        <v>1</v>
      </c>
      <c r="DV57" s="137">
        <v>0.7241379</v>
      </c>
      <c r="DX57" s="143" t="s">
        <v>732</v>
      </c>
      <c r="DY57" s="143" t="s">
        <v>730</v>
      </c>
      <c r="DZ57" s="143" t="s">
        <v>841</v>
      </c>
      <c r="EA57" s="143">
        <v>1615</v>
      </c>
      <c r="EB57" s="78">
        <v>1</v>
      </c>
      <c r="EC57" s="78">
        <v>8</v>
      </c>
      <c r="ED57" s="78">
        <v>1</v>
      </c>
      <c r="EE57" s="78">
        <v>4</v>
      </c>
      <c r="EF57" s="78">
        <v>0</v>
      </c>
      <c r="EG57" s="78">
        <v>1</v>
      </c>
      <c r="EH57" s="78">
        <v>0</v>
      </c>
      <c r="EI57" s="78">
        <v>1</v>
      </c>
      <c r="EJ57" s="78">
        <v>1</v>
      </c>
      <c r="EK57" s="78">
        <v>1</v>
      </c>
      <c r="EL57" s="78">
        <v>1</v>
      </c>
      <c r="EM57" s="78">
        <v>1</v>
      </c>
      <c r="EN57" s="78">
        <v>1</v>
      </c>
      <c r="EO57" s="78">
        <v>1</v>
      </c>
      <c r="EP57" s="78">
        <v>0</v>
      </c>
      <c r="EQ57" s="137">
        <v>0.81481479999999995</v>
      </c>
      <c r="ES57" s="143" t="s">
        <v>732</v>
      </c>
      <c r="ET57" s="143" t="s">
        <v>730</v>
      </c>
      <c r="EU57" s="143" t="s">
        <v>841</v>
      </c>
      <c r="EV57" s="143">
        <v>1615</v>
      </c>
      <c r="EW57" s="78">
        <v>0.5</v>
      </c>
      <c r="EX57" s="78">
        <v>0</v>
      </c>
      <c r="EY57" s="78">
        <v>3</v>
      </c>
      <c r="EZ57" s="78">
        <v>0</v>
      </c>
      <c r="FA57" s="78">
        <v>0</v>
      </c>
      <c r="FB57" s="78">
        <v>3</v>
      </c>
      <c r="FC57" s="78">
        <v>2</v>
      </c>
      <c r="FD57" s="78">
        <v>0</v>
      </c>
      <c r="FE57" s="137">
        <v>0.65384609999999999</v>
      </c>
      <c r="FG57" s="137">
        <v>0.50291540000000001</v>
      </c>
    </row>
    <row r="58" spans="1:163" x14ac:dyDescent="0.35">
      <c r="A58" s="143" t="s">
        <v>732</v>
      </c>
      <c r="B58" s="143" t="s">
        <v>730</v>
      </c>
      <c r="C58" s="143" t="s">
        <v>841</v>
      </c>
      <c r="D58" s="143">
        <v>1625</v>
      </c>
      <c r="E58" s="78">
        <v>0</v>
      </c>
      <c r="F58" s="78">
        <v>2</v>
      </c>
      <c r="G58" s="78">
        <v>0</v>
      </c>
      <c r="H58" s="78">
        <v>1</v>
      </c>
      <c r="I58" s="78">
        <v>1</v>
      </c>
      <c r="J58" s="78">
        <v>0</v>
      </c>
      <c r="K58" s="78">
        <v>0</v>
      </c>
      <c r="L58" s="78">
        <v>0</v>
      </c>
      <c r="M58" s="78">
        <v>2</v>
      </c>
      <c r="N58" s="137">
        <v>0.42857139999999999</v>
      </c>
      <c r="P58" s="143" t="s">
        <v>732</v>
      </c>
      <c r="Q58" s="143" t="s">
        <v>730</v>
      </c>
      <c r="R58" s="143" t="s">
        <v>841</v>
      </c>
      <c r="S58" s="143">
        <v>1625</v>
      </c>
      <c r="T58" s="78">
        <v>1</v>
      </c>
      <c r="U58" s="78">
        <v>1</v>
      </c>
      <c r="V58" s="78">
        <v>2</v>
      </c>
      <c r="W58" s="78">
        <v>0</v>
      </c>
      <c r="X58" s="78">
        <v>0</v>
      </c>
      <c r="Y58" s="78">
        <v>1</v>
      </c>
      <c r="Z58" s="78">
        <v>0</v>
      </c>
      <c r="AA58" s="78">
        <v>0</v>
      </c>
      <c r="AB58" s="78">
        <v>0</v>
      </c>
      <c r="AC58" s="78">
        <v>0</v>
      </c>
      <c r="AD58" s="137">
        <v>0.14705879999999999</v>
      </c>
      <c r="AF58" s="143" t="s">
        <v>732</v>
      </c>
      <c r="AG58" s="143" t="s">
        <v>730</v>
      </c>
      <c r="AH58" s="143" t="s">
        <v>841</v>
      </c>
      <c r="AI58" s="143">
        <v>1625</v>
      </c>
      <c r="AJ58" s="78">
        <v>1</v>
      </c>
      <c r="AK58" s="78">
        <v>1</v>
      </c>
      <c r="AL58" s="78">
        <v>0</v>
      </c>
      <c r="AM58" s="78">
        <v>0</v>
      </c>
      <c r="AN58" s="78">
        <v>1</v>
      </c>
      <c r="AO58" s="78">
        <v>2</v>
      </c>
      <c r="AP58" s="78">
        <v>2</v>
      </c>
      <c r="AQ58" s="78">
        <v>1</v>
      </c>
      <c r="AR58" s="78">
        <v>2</v>
      </c>
      <c r="AS58" s="78">
        <v>0</v>
      </c>
      <c r="AT58" s="78">
        <v>0</v>
      </c>
      <c r="AU58" s="78">
        <v>1</v>
      </c>
      <c r="AV58" s="78">
        <v>2</v>
      </c>
      <c r="AW58" s="78">
        <v>1</v>
      </c>
      <c r="AX58" s="78">
        <v>4</v>
      </c>
      <c r="AY58" s="78">
        <v>0</v>
      </c>
      <c r="AZ58" s="78">
        <v>0</v>
      </c>
      <c r="BA58" s="78">
        <v>0.5</v>
      </c>
      <c r="BB58" s="78">
        <v>0.5</v>
      </c>
      <c r="BC58" s="78">
        <v>0.5</v>
      </c>
      <c r="BD58" s="78">
        <v>1</v>
      </c>
      <c r="BE58" s="78">
        <v>0.5</v>
      </c>
      <c r="BF58" s="78">
        <v>0</v>
      </c>
      <c r="BG58" s="78">
        <v>6</v>
      </c>
      <c r="BH58" s="137">
        <v>0.61363639999999997</v>
      </c>
      <c r="BJ58" s="143" t="s">
        <v>732</v>
      </c>
      <c r="BK58" s="143" t="s">
        <v>730</v>
      </c>
      <c r="BL58" s="143" t="s">
        <v>841</v>
      </c>
      <c r="BM58" s="143">
        <v>1625</v>
      </c>
      <c r="BN58" s="78">
        <v>0</v>
      </c>
      <c r="BO58" s="78">
        <v>4</v>
      </c>
      <c r="BP58" s="78">
        <v>0</v>
      </c>
      <c r="BQ58" s="78">
        <v>3</v>
      </c>
      <c r="BR58" s="78">
        <v>3</v>
      </c>
      <c r="BS58" s="78">
        <v>3</v>
      </c>
      <c r="BT58" s="78">
        <v>0</v>
      </c>
      <c r="BU58" s="137">
        <v>0.56521739999999998</v>
      </c>
      <c r="BW58" s="143" t="s">
        <v>732</v>
      </c>
      <c r="BX58" s="143" t="s">
        <v>730</v>
      </c>
      <c r="BY58" s="143" t="s">
        <v>841</v>
      </c>
      <c r="BZ58" s="143">
        <v>1625</v>
      </c>
      <c r="CA58" s="78">
        <v>1</v>
      </c>
      <c r="CB58" s="78">
        <v>0</v>
      </c>
      <c r="CC58" s="78">
        <v>1</v>
      </c>
      <c r="CD58" s="78">
        <v>2</v>
      </c>
      <c r="CE58" s="78">
        <v>1</v>
      </c>
      <c r="CF58" s="78">
        <v>2</v>
      </c>
      <c r="CG58" s="78">
        <v>1</v>
      </c>
      <c r="CH58" s="78">
        <v>2</v>
      </c>
      <c r="CI58" s="78">
        <v>0</v>
      </c>
      <c r="CJ58" s="78">
        <v>0</v>
      </c>
      <c r="CK58" s="137">
        <v>0.66666669999999995</v>
      </c>
      <c r="CM58" s="143" t="s">
        <v>732</v>
      </c>
      <c r="CN58" s="143" t="s">
        <v>730</v>
      </c>
      <c r="CO58" s="143" t="s">
        <v>841</v>
      </c>
      <c r="CP58" s="143">
        <v>1625</v>
      </c>
      <c r="CQ58" s="78">
        <v>8</v>
      </c>
      <c r="CR58" s="78">
        <v>0</v>
      </c>
      <c r="CS58" s="78">
        <v>12</v>
      </c>
      <c r="CT58" s="78">
        <v>4</v>
      </c>
      <c r="CU58" s="78">
        <v>0</v>
      </c>
      <c r="CV58" s="78">
        <v>8</v>
      </c>
      <c r="CW58" s="137">
        <v>0.61538459999999995</v>
      </c>
      <c r="CY58" s="143" t="s">
        <v>732</v>
      </c>
      <c r="CZ58" s="143" t="s">
        <v>730</v>
      </c>
      <c r="DA58" s="143" t="s">
        <v>841</v>
      </c>
      <c r="DB58" s="143">
        <v>1625</v>
      </c>
      <c r="DC58" s="78">
        <v>0</v>
      </c>
      <c r="DD58" s="137">
        <v>0</v>
      </c>
      <c r="DE58" s="137">
        <v>0</v>
      </c>
      <c r="DG58" s="143" t="s">
        <v>732</v>
      </c>
      <c r="DH58" s="143" t="s">
        <v>730</v>
      </c>
      <c r="DI58" s="143" t="s">
        <v>841</v>
      </c>
      <c r="DJ58" s="143">
        <v>1625</v>
      </c>
      <c r="DK58" s="78">
        <v>0</v>
      </c>
      <c r="DL58" s="78">
        <v>1</v>
      </c>
      <c r="DM58" s="78">
        <v>0</v>
      </c>
      <c r="DN58" s="78">
        <v>4</v>
      </c>
      <c r="DO58" s="78">
        <v>2</v>
      </c>
      <c r="DP58" s="78">
        <v>3</v>
      </c>
      <c r="DQ58" s="78">
        <v>6</v>
      </c>
      <c r="DR58" s="78">
        <v>0</v>
      </c>
      <c r="DS58" s="78">
        <v>1</v>
      </c>
      <c r="DT58" s="78">
        <v>0</v>
      </c>
      <c r="DU58" s="78">
        <v>0</v>
      </c>
      <c r="DV58" s="137">
        <v>0.58620689999999998</v>
      </c>
      <c r="DX58" s="143" t="s">
        <v>732</v>
      </c>
      <c r="DY58" s="143" t="s">
        <v>730</v>
      </c>
      <c r="DZ58" s="143" t="s">
        <v>841</v>
      </c>
      <c r="EA58" s="143">
        <v>1625</v>
      </c>
      <c r="EB58" s="78">
        <v>1</v>
      </c>
      <c r="EC58" s="78">
        <v>8</v>
      </c>
      <c r="ED58" s="78">
        <v>1</v>
      </c>
      <c r="EE58" s="78">
        <v>4</v>
      </c>
      <c r="EF58" s="78">
        <v>0</v>
      </c>
      <c r="EG58" s="78">
        <v>1</v>
      </c>
      <c r="EH58" s="78">
        <v>0</v>
      </c>
      <c r="EI58" s="78">
        <v>1</v>
      </c>
      <c r="EJ58" s="78">
        <v>1</v>
      </c>
      <c r="EK58" s="78">
        <v>1</v>
      </c>
      <c r="EL58" s="78">
        <v>0</v>
      </c>
      <c r="EM58" s="78">
        <v>1</v>
      </c>
      <c r="EN58" s="78">
        <v>0</v>
      </c>
      <c r="EO58" s="78">
        <v>1</v>
      </c>
      <c r="EP58" s="78">
        <v>0</v>
      </c>
      <c r="EQ58" s="137">
        <v>0.74074070000000003</v>
      </c>
      <c r="ES58" s="143" t="s">
        <v>732</v>
      </c>
      <c r="ET58" s="143" t="s">
        <v>730</v>
      </c>
      <c r="EU58" s="143" t="s">
        <v>841</v>
      </c>
      <c r="EV58" s="143">
        <v>1625</v>
      </c>
      <c r="EW58" s="78">
        <v>0</v>
      </c>
      <c r="EX58" s="78">
        <v>1</v>
      </c>
      <c r="EY58" s="78">
        <v>0</v>
      </c>
      <c r="EZ58" s="78">
        <v>0</v>
      </c>
      <c r="FA58" s="78">
        <v>0.5</v>
      </c>
      <c r="FB58" s="78">
        <v>3</v>
      </c>
      <c r="FC58" s="78">
        <v>2</v>
      </c>
      <c r="FD58" s="78">
        <v>0</v>
      </c>
      <c r="FE58" s="137">
        <v>0.5</v>
      </c>
      <c r="FG58" s="137">
        <v>0.39795920000000001</v>
      </c>
    </row>
    <row r="59" spans="1:163" x14ac:dyDescent="0.35">
      <c r="A59" s="143" t="s">
        <v>732</v>
      </c>
      <c r="B59" s="143" t="s">
        <v>730</v>
      </c>
      <c r="C59" s="143" t="s">
        <v>842</v>
      </c>
      <c r="D59" s="143">
        <v>2051</v>
      </c>
      <c r="E59" s="78">
        <v>0</v>
      </c>
      <c r="F59" s="78">
        <v>2</v>
      </c>
      <c r="G59" s="78">
        <v>1</v>
      </c>
      <c r="H59" s="78">
        <v>1</v>
      </c>
      <c r="I59" s="78">
        <v>1</v>
      </c>
      <c r="J59" s="78">
        <v>0</v>
      </c>
      <c r="K59" s="78">
        <v>1</v>
      </c>
      <c r="L59" s="78">
        <v>1</v>
      </c>
      <c r="M59" s="78">
        <v>0</v>
      </c>
      <c r="N59" s="137">
        <v>0.5</v>
      </c>
      <c r="P59" s="143" t="s">
        <v>732</v>
      </c>
      <c r="Q59" s="143" t="s">
        <v>730</v>
      </c>
      <c r="R59" s="143" t="s">
        <v>842</v>
      </c>
      <c r="S59" s="143">
        <v>2051</v>
      </c>
      <c r="T59" s="78">
        <v>0</v>
      </c>
      <c r="U59" s="78">
        <v>1</v>
      </c>
      <c r="V59" s="78">
        <v>3</v>
      </c>
      <c r="W59" s="78">
        <v>1</v>
      </c>
      <c r="X59" s="78">
        <v>12</v>
      </c>
      <c r="Y59" s="78">
        <v>1</v>
      </c>
      <c r="Z59" s="78">
        <v>3</v>
      </c>
      <c r="AA59" s="78">
        <v>0</v>
      </c>
      <c r="AB59" s="78">
        <v>6</v>
      </c>
      <c r="AC59" s="78">
        <v>3</v>
      </c>
      <c r="AD59" s="137">
        <v>0.8823529</v>
      </c>
      <c r="AF59" s="143" t="s">
        <v>732</v>
      </c>
      <c r="AG59" s="143" t="s">
        <v>730</v>
      </c>
      <c r="AH59" s="143" t="s">
        <v>842</v>
      </c>
      <c r="AI59" s="143">
        <v>2051</v>
      </c>
      <c r="AJ59" s="78">
        <v>1</v>
      </c>
      <c r="AK59" s="78">
        <v>1</v>
      </c>
      <c r="AL59" s="78">
        <v>1</v>
      </c>
      <c r="AM59" s="78">
        <v>5</v>
      </c>
      <c r="AN59" s="78">
        <v>1</v>
      </c>
      <c r="AO59" s="78">
        <v>2</v>
      </c>
      <c r="AP59" s="78">
        <v>2</v>
      </c>
      <c r="AQ59" s="78">
        <v>1</v>
      </c>
      <c r="AR59" s="78">
        <v>0</v>
      </c>
      <c r="AS59" s="78">
        <v>0</v>
      </c>
      <c r="AT59" s="78">
        <v>0</v>
      </c>
      <c r="AU59" s="78">
        <v>0</v>
      </c>
      <c r="AV59" s="78">
        <v>0</v>
      </c>
      <c r="AW59" s="78">
        <v>0</v>
      </c>
      <c r="AX59" s="78">
        <v>4</v>
      </c>
      <c r="AY59" s="78">
        <v>0</v>
      </c>
      <c r="AZ59" s="78">
        <v>0</v>
      </c>
      <c r="BA59" s="78">
        <v>0.5</v>
      </c>
      <c r="BB59" s="78">
        <v>0.5</v>
      </c>
      <c r="BC59" s="78">
        <v>0.5</v>
      </c>
      <c r="BD59" s="78">
        <v>1</v>
      </c>
      <c r="BE59" s="78">
        <v>0.5</v>
      </c>
      <c r="BF59" s="78">
        <v>1</v>
      </c>
      <c r="BG59" s="78">
        <v>8</v>
      </c>
      <c r="BH59" s="137">
        <v>0.68181820000000004</v>
      </c>
      <c r="BJ59" s="143" t="s">
        <v>732</v>
      </c>
      <c r="BK59" s="143" t="s">
        <v>730</v>
      </c>
      <c r="BL59" s="143" t="s">
        <v>842</v>
      </c>
      <c r="BM59" s="143">
        <v>2051</v>
      </c>
      <c r="BN59" s="78">
        <v>0</v>
      </c>
      <c r="BO59" s="78">
        <v>4</v>
      </c>
      <c r="BP59" s="78">
        <v>0</v>
      </c>
      <c r="BQ59" s="78">
        <v>0</v>
      </c>
      <c r="BR59" s="78">
        <v>0</v>
      </c>
      <c r="BS59" s="78">
        <v>0</v>
      </c>
      <c r="BT59" s="78">
        <v>2</v>
      </c>
      <c r="BU59" s="137">
        <v>0.26086959999999998</v>
      </c>
      <c r="BW59" s="143" t="s">
        <v>732</v>
      </c>
      <c r="BX59" s="143" t="s">
        <v>730</v>
      </c>
      <c r="BY59" s="143" t="s">
        <v>842</v>
      </c>
      <c r="BZ59" s="143">
        <v>2051</v>
      </c>
      <c r="CM59" s="143" t="s">
        <v>732</v>
      </c>
      <c r="CN59" s="143" t="s">
        <v>730</v>
      </c>
      <c r="CO59" s="143" t="s">
        <v>842</v>
      </c>
      <c r="CP59" s="143">
        <v>2051</v>
      </c>
      <c r="CQ59" s="78">
        <v>6</v>
      </c>
      <c r="CR59" s="78">
        <v>6</v>
      </c>
      <c r="CS59" s="78">
        <v>4</v>
      </c>
      <c r="CT59" s="78">
        <v>4</v>
      </c>
      <c r="CU59" s="78">
        <v>0</v>
      </c>
      <c r="CV59" s="78">
        <v>8</v>
      </c>
      <c r="CW59" s="137">
        <v>0.53846159999999998</v>
      </c>
      <c r="CY59" s="143" t="s">
        <v>732</v>
      </c>
      <c r="CZ59" s="143" t="s">
        <v>730</v>
      </c>
      <c r="DA59" s="143" t="s">
        <v>842</v>
      </c>
      <c r="DB59" s="143">
        <v>2051</v>
      </c>
      <c r="DC59" s="78">
        <v>0</v>
      </c>
      <c r="DD59" s="137">
        <v>0</v>
      </c>
      <c r="DE59" s="137">
        <v>0</v>
      </c>
      <c r="DG59" s="143" t="s">
        <v>732</v>
      </c>
      <c r="DH59" s="143" t="s">
        <v>730</v>
      </c>
      <c r="DI59" s="143" t="s">
        <v>842</v>
      </c>
      <c r="DJ59" s="143">
        <v>2051</v>
      </c>
      <c r="DK59" s="78">
        <v>2</v>
      </c>
      <c r="DL59" s="78">
        <v>0</v>
      </c>
      <c r="DM59" s="78">
        <v>0</v>
      </c>
      <c r="DN59" s="78">
        <v>5</v>
      </c>
      <c r="DO59" s="78">
        <v>0</v>
      </c>
      <c r="DP59" s="78">
        <v>3</v>
      </c>
      <c r="DQ59" s="78">
        <v>8</v>
      </c>
      <c r="DR59" s="78">
        <v>0</v>
      </c>
      <c r="DS59" s="78">
        <v>1</v>
      </c>
      <c r="DT59" s="78">
        <v>0</v>
      </c>
      <c r="DU59" s="78">
        <v>0</v>
      </c>
      <c r="DV59" s="137">
        <v>0.65517239999999999</v>
      </c>
      <c r="DX59" s="143" t="s">
        <v>732</v>
      </c>
      <c r="DY59" s="143" t="s">
        <v>730</v>
      </c>
      <c r="DZ59" s="143" t="s">
        <v>842</v>
      </c>
      <c r="EA59" s="143">
        <v>2051</v>
      </c>
      <c r="EB59" s="78">
        <v>1</v>
      </c>
      <c r="EC59" s="78">
        <v>0</v>
      </c>
      <c r="ED59" s="78">
        <v>1</v>
      </c>
      <c r="EE59" s="78">
        <v>4</v>
      </c>
      <c r="EF59" s="78">
        <v>0</v>
      </c>
      <c r="EG59" s="78">
        <v>1</v>
      </c>
      <c r="EH59" s="78">
        <v>0</v>
      </c>
      <c r="EI59" s="78">
        <v>1</v>
      </c>
      <c r="EJ59" s="78">
        <v>1</v>
      </c>
      <c r="EK59" s="78">
        <v>1</v>
      </c>
      <c r="EL59" s="78">
        <v>1</v>
      </c>
      <c r="EM59" s="78">
        <v>1</v>
      </c>
      <c r="EN59" s="78">
        <v>0</v>
      </c>
      <c r="EO59" s="78">
        <v>1</v>
      </c>
      <c r="EP59" s="78">
        <v>0</v>
      </c>
      <c r="EQ59" s="137">
        <v>0.48148150000000001</v>
      </c>
      <c r="ES59" s="143" t="s">
        <v>732</v>
      </c>
      <c r="ET59" s="143" t="s">
        <v>730</v>
      </c>
      <c r="EU59" s="143" t="s">
        <v>842</v>
      </c>
      <c r="EV59" s="143">
        <v>2051</v>
      </c>
      <c r="EW59" s="78">
        <v>0</v>
      </c>
      <c r="EX59" s="78">
        <v>0</v>
      </c>
      <c r="EY59" s="78">
        <v>0</v>
      </c>
      <c r="EZ59" s="78">
        <v>0</v>
      </c>
      <c r="FA59" s="78">
        <v>0</v>
      </c>
      <c r="FB59" s="78">
        <v>3</v>
      </c>
      <c r="FC59" s="78">
        <v>2</v>
      </c>
      <c r="FD59" s="78">
        <v>0</v>
      </c>
      <c r="FE59" s="137">
        <v>0.3846154</v>
      </c>
      <c r="FG59" s="137">
        <v>0.42073169999999999</v>
      </c>
    </row>
    <row r="60" spans="1:163" x14ac:dyDescent="0.35">
      <c r="A60" s="143" t="s">
        <v>732</v>
      </c>
      <c r="B60" s="143" t="s">
        <v>730</v>
      </c>
      <c r="C60" s="143" t="s">
        <v>842</v>
      </c>
      <c r="D60" s="143">
        <v>2449</v>
      </c>
      <c r="E60" s="78">
        <v>0</v>
      </c>
      <c r="F60" s="78">
        <v>2</v>
      </c>
      <c r="G60" s="78">
        <v>1</v>
      </c>
      <c r="H60" s="78">
        <v>1</v>
      </c>
      <c r="I60" s="78">
        <v>1</v>
      </c>
      <c r="J60" s="78">
        <v>0</v>
      </c>
      <c r="K60" s="78">
        <v>1</v>
      </c>
      <c r="L60" s="78">
        <v>1</v>
      </c>
      <c r="M60" s="78">
        <v>2</v>
      </c>
      <c r="N60" s="137">
        <v>0.64285709999999996</v>
      </c>
      <c r="P60" s="143" t="s">
        <v>732</v>
      </c>
      <c r="Q60" s="143" t="s">
        <v>730</v>
      </c>
      <c r="R60" s="143" t="s">
        <v>842</v>
      </c>
      <c r="S60" s="143">
        <v>2449</v>
      </c>
      <c r="T60" s="78">
        <v>1</v>
      </c>
      <c r="U60" s="78">
        <v>0</v>
      </c>
      <c r="V60" s="78">
        <v>0</v>
      </c>
      <c r="W60" s="78">
        <v>0.5</v>
      </c>
      <c r="X60" s="78">
        <v>0</v>
      </c>
      <c r="Y60" s="78">
        <v>1</v>
      </c>
      <c r="Z60" s="78">
        <v>0</v>
      </c>
      <c r="AA60" s="78">
        <v>0</v>
      </c>
      <c r="AB60" s="78">
        <v>0</v>
      </c>
      <c r="AC60" s="78">
        <v>3</v>
      </c>
      <c r="AD60" s="137">
        <v>0.16176470000000001</v>
      </c>
      <c r="AF60" s="143" t="s">
        <v>732</v>
      </c>
      <c r="AG60" s="143" t="s">
        <v>730</v>
      </c>
      <c r="AH60" s="143" t="s">
        <v>842</v>
      </c>
      <c r="AI60" s="143">
        <v>2449</v>
      </c>
      <c r="AJ60" s="78">
        <v>0</v>
      </c>
      <c r="AK60" s="78">
        <v>1</v>
      </c>
      <c r="AL60" s="78">
        <v>1</v>
      </c>
      <c r="AM60" s="78">
        <v>0</v>
      </c>
      <c r="AN60" s="78">
        <v>0</v>
      </c>
      <c r="AO60" s="78">
        <v>2</v>
      </c>
      <c r="AP60" s="78">
        <v>2</v>
      </c>
      <c r="AQ60" s="78">
        <v>1</v>
      </c>
      <c r="AR60" s="78">
        <v>0</v>
      </c>
      <c r="AS60" s="78">
        <v>0</v>
      </c>
      <c r="AT60" s="78">
        <v>0</v>
      </c>
      <c r="AU60" s="78">
        <v>1</v>
      </c>
      <c r="AV60" s="78">
        <v>2</v>
      </c>
      <c r="AW60" s="78">
        <v>1</v>
      </c>
      <c r="AX60" s="78">
        <v>4</v>
      </c>
      <c r="AY60" s="78">
        <v>1</v>
      </c>
      <c r="AZ60" s="78">
        <v>0</v>
      </c>
      <c r="BA60" s="78">
        <v>0.5</v>
      </c>
      <c r="BB60" s="78">
        <v>0.5</v>
      </c>
      <c r="BC60" s="78">
        <v>0.5</v>
      </c>
      <c r="BD60" s="78">
        <v>1</v>
      </c>
      <c r="BE60" s="78">
        <v>0.5</v>
      </c>
      <c r="BF60" s="78">
        <v>1</v>
      </c>
      <c r="BG60" s="78">
        <v>8</v>
      </c>
      <c r="BH60" s="137">
        <v>0.63636360000000003</v>
      </c>
      <c r="BJ60" s="143" t="s">
        <v>732</v>
      </c>
      <c r="BK60" s="143" t="s">
        <v>730</v>
      </c>
      <c r="BL60" s="143" t="s">
        <v>842</v>
      </c>
      <c r="BM60" s="143">
        <v>2449</v>
      </c>
      <c r="BN60" s="78">
        <v>0</v>
      </c>
      <c r="BO60" s="78">
        <v>4</v>
      </c>
      <c r="BP60" s="78">
        <v>0</v>
      </c>
      <c r="BQ60" s="78">
        <v>0</v>
      </c>
      <c r="BR60" s="78">
        <v>0</v>
      </c>
      <c r="BS60" s="78">
        <v>0</v>
      </c>
      <c r="BT60" s="78">
        <v>0</v>
      </c>
      <c r="BU60" s="137">
        <v>0.17391300000000001</v>
      </c>
      <c r="BW60" s="143" t="s">
        <v>732</v>
      </c>
      <c r="BX60" s="143" t="s">
        <v>730</v>
      </c>
      <c r="BY60" s="143" t="s">
        <v>842</v>
      </c>
      <c r="BZ60" s="143">
        <v>2449</v>
      </c>
      <c r="CM60" s="143" t="s">
        <v>732</v>
      </c>
      <c r="CN60" s="143" t="s">
        <v>730</v>
      </c>
      <c r="CO60" s="143" t="s">
        <v>842</v>
      </c>
      <c r="CP60" s="143">
        <v>2449</v>
      </c>
      <c r="CQ60" s="78">
        <v>0</v>
      </c>
      <c r="CR60" s="78">
        <v>6</v>
      </c>
      <c r="CS60" s="78">
        <v>0</v>
      </c>
      <c r="CT60" s="78">
        <v>4</v>
      </c>
      <c r="CU60" s="78">
        <v>0</v>
      </c>
      <c r="CV60" s="78">
        <v>8</v>
      </c>
      <c r="CW60" s="137">
        <v>0.34615390000000001</v>
      </c>
      <c r="CY60" s="143" t="s">
        <v>732</v>
      </c>
      <c r="CZ60" s="143" t="s">
        <v>730</v>
      </c>
      <c r="DA60" s="143" t="s">
        <v>842</v>
      </c>
      <c r="DB60" s="143">
        <v>2449</v>
      </c>
      <c r="DC60" s="78">
        <v>0</v>
      </c>
      <c r="DD60" s="137">
        <v>0</v>
      </c>
      <c r="DE60" s="137">
        <v>0</v>
      </c>
      <c r="DG60" s="143" t="s">
        <v>732</v>
      </c>
      <c r="DH60" s="143" t="s">
        <v>730</v>
      </c>
      <c r="DI60" s="143" t="s">
        <v>842</v>
      </c>
      <c r="DJ60" s="143">
        <v>2449</v>
      </c>
      <c r="DK60" s="78">
        <v>0</v>
      </c>
      <c r="DL60" s="78">
        <v>1</v>
      </c>
      <c r="DM60" s="78">
        <v>0</v>
      </c>
      <c r="DN60" s="78">
        <v>4</v>
      </c>
      <c r="DO60" s="78">
        <v>2</v>
      </c>
      <c r="DP60" s="78">
        <v>3</v>
      </c>
      <c r="DQ60" s="78">
        <v>5</v>
      </c>
      <c r="DR60" s="78">
        <v>0</v>
      </c>
      <c r="DS60" s="78">
        <v>1</v>
      </c>
      <c r="DT60" s="78">
        <v>0</v>
      </c>
      <c r="DU60" s="78">
        <v>0</v>
      </c>
      <c r="DV60" s="137">
        <v>0.55172410000000005</v>
      </c>
      <c r="DX60" s="143" t="s">
        <v>732</v>
      </c>
      <c r="DY60" s="143" t="s">
        <v>730</v>
      </c>
      <c r="DZ60" s="143" t="s">
        <v>842</v>
      </c>
      <c r="EA60" s="143">
        <v>2449</v>
      </c>
      <c r="EB60" s="78">
        <v>1</v>
      </c>
      <c r="EC60" s="78">
        <v>8</v>
      </c>
      <c r="ED60" s="78">
        <v>1</v>
      </c>
      <c r="EE60" s="78">
        <v>4</v>
      </c>
      <c r="EF60" s="78">
        <v>0</v>
      </c>
      <c r="EG60" s="78">
        <v>1</v>
      </c>
      <c r="EH60" s="78">
        <v>0</v>
      </c>
      <c r="EI60" s="78">
        <v>1</v>
      </c>
      <c r="EJ60" s="78">
        <v>1</v>
      </c>
      <c r="EK60" s="78">
        <v>1</v>
      </c>
      <c r="EL60" s="78">
        <v>0</v>
      </c>
      <c r="EM60" s="78">
        <v>1</v>
      </c>
      <c r="EN60" s="78">
        <v>0</v>
      </c>
      <c r="EO60" s="78">
        <v>1</v>
      </c>
      <c r="EP60" s="78">
        <v>0</v>
      </c>
      <c r="EQ60" s="137">
        <v>0.74074070000000003</v>
      </c>
      <c r="ES60" s="143" t="s">
        <v>732</v>
      </c>
      <c r="ET60" s="143" t="s">
        <v>730</v>
      </c>
      <c r="EU60" s="143" t="s">
        <v>842</v>
      </c>
      <c r="EV60" s="143">
        <v>2449</v>
      </c>
      <c r="EW60" s="78">
        <v>0</v>
      </c>
      <c r="EX60" s="78">
        <v>1</v>
      </c>
      <c r="EY60" s="78">
        <v>3</v>
      </c>
      <c r="EZ60" s="78">
        <v>0</v>
      </c>
      <c r="FA60" s="78">
        <v>0.5</v>
      </c>
      <c r="FB60" s="78">
        <v>3</v>
      </c>
      <c r="FC60" s="78">
        <v>2</v>
      </c>
      <c r="FD60" s="78">
        <v>1</v>
      </c>
      <c r="FE60" s="137">
        <v>0.80769230000000003</v>
      </c>
      <c r="FG60" s="137">
        <v>0.33841460000000001</v>
      </c>
    </row>
    <row r="61" spans="1:163" x14ac:dyDescent="0.35">
      <c r="A61" s="143" t="s">
        <v>733</v>
      </c>
      <c r="B61" s="143" t="s">
        <v>734</v>
      </c>
      <c r="C61" s="143" t="s">
        <v>842</v>
      </c>
      <c r="D61" s="143">
        <v>1749</v>
      </c>
      <c r="E61" s="78">
        <v>0</v>
      </c>
      <c r="F61" s="78">
        <v>1.5</v>
      </c>
      <c r="G61" s="78">
        <v>1</v>
      </c>
      <c r="H61" s="78">
        <v>2</v>
      </c>
      <c r="I61" s="78">
        <v>0</v>
      </c>
      <c r="J61" s="78">
        <v>0</v>
      </c>
      <c r="K61" s="78">
        <v>1</v>
      </c>
      <c r="L61" s="78">
        <v>0</v>
      </c>
      <c r="M61" s="78">
        <v>2</v>
      </c>
      <c r="N61" s="137">
        <v>0.53571429999999998</v>
      </c>
      <c r="P61" s="143" t="s">
        <v>733</v>
      </c>
      <c r="Q61" s="143" t="s">
        <v>734</v>
      </c>
      <c r="R61" s="143" t="s">
        <v>842</v>
      </c>
      <c r="S61" s="143">
        <v>1749</v>
      </c>
      <c r="T61" s="78">
        <v>1</v>
      </c>
      <c r="U61" s="78">
        <v>1</v>
      </c>
      <c r="V61" s="78">
        <v>0</v>
      </c>
      <c r="W61" s="78">
        <v>0.5</v>
      </c>
      <c r="X61" s="78">
        <v>0</v>
      </c>
      <c r="Y61" s="78">
        <v>1</v>
      </c>
      <c r="Z61" s="78">
        <v>3</v>
      </c>
      <c r="AA61" s="78">
        <v>0</v>
      </c>
      <c r="AB61" s="78">
        <v>6</v>
      </c>
      <c r="AC61" s="78">
        <v>0</v>
      </c>
      <c r="AD61" s="137">
        <v>0.3676471</v>
      </c>
      <c r="AF61" s="143" t="s">
        <v>733</v>
      </c>
      <c r="AG61" s="143" t="s">
        <v>734</v>
      </c>
      <c r="AH61" s="143" t="s">
        <v>842</v>
      </c>
      <c r="AI61" s="143">
        <v>1749</v>
      </c>
      <c r="AJ61" s="78">
        <v>1</v>
      </c>
      <c r="AK61" s="78">
        <v>1</v>
      </c>
      <c r="AL61" s="78">
        <v>1</v>
      </c>
      <c r="AM61" s="78">
        <v>0</v>
      </c>
      <c r="AN61" s="78">
        <v>1</v>
      </c>
      <c r="AO61" s="78">
        <v>0</v>
      </c>
      <c r="AP61" s="78">
        <v>2</v>
      </c>
      <c r="AQ61" s="78">
        <v>0</v>
      </c>
      <c r="AR61" s="78">
        <v>0</v>
      </c>
      <c r="AS61" s="78">
        <v>2</v>
      </c>
      <c r="AT61" s="78">
        <v>2</v>
      </c>
      <c r="AU61" s="78">
        <v>0</v>
      </c>
      <c r="AV61" s="78">
        <v>2</v>
      </c>
      <c r="AW61" s="78">
        <v>0</v>
      </c>
      <c r="AX61" s="78">
        <v>0</v>
      </c>
      <c r="AY61" s="78">
        <v>1</v>
      </c>
      <c r="AZ61" s="78">
        <v>2</v>
      </c>
      <c r="BA61" s="78">
        <v>0.5</v>
      </c>
      <c r="BB61" s="78">
        <v>0.5</v>
      </c>
      <c r="BC61" s="78">
        <v>0.5</v>
      </c>
      <c r="BD61" s="78">
        <v>1</v>
      </c>
      <c r="BE61" s="78">
        <v>0</v>
      </c>
      <c r="BF61" s="78">
        <v>0</v>
      </c>
      <c r="BG61" s="78">
        <v>6</v>
      </c>
      <c r="BH61" s="137">
        <v>0.53409090000000004</v>
      </c>
      <c r="BJ61" s="143" t="s">
        <v>733</v>
      </c>
      <c r="BK61" s="143" t="s">
        <v>734</v>
      </c>
      <c r="BL61" s="143" t="s">
        <v>842</v>
      </c>
      <c r="BM61" s="143">
        <v>1749</v>
      </c>
      <c r="BN61" s="78">
        <v>1</v>
      </c>
      <c r="BO61" s="78">
        <v>4</v>
      </c>
      <c r="BP61" s="78">
        <v>0</v>
      </c>
      <c r="BQ61" s="78">
        <v>3</v>
      </c>
      <c r="BR61" s="78">
        <v>3</v>
      </c>
      <c r="BS61" s="78">
        <v>3</v>
      </c>
      <c r="BT61" s="78">
        <v>2</v>
      </c>
      <c r="BU61" s="137">
        <v>0.69565220000000005</v>
      </c>
      <c r="BW61" s="143" t="s">
        <v>733</v>
      </c>
      <c r="BX61" s="143" t="s">
        <v>734</v>
      </c>
      <c r="BY61" s="143" t="s">
        <v>842</v>
      </c>
      <c r="BZ61" s="143">
        <v>1749</v>
      </c>
      <c r="CA61" s="78">
        <v>1</v>
      </c>
      <c r="CB61" s="78">
        <v>0</v>
      </c>
      <c r="CC61" s="78">
        <v>1</v>
      </c>
      <c r="CD61" s="78">
        <v>2</v>
      </c>
      <c r="CE61" s="78">
        <v>1</v>
      </c>
      <c r="CF61" s="78">
        <v>2</v>
      </c>
      <c r="CG61" s="78">
        <v>1</v>
      </c>
      <c r="CH61" s="78">
        <v>2</v>
      </c>
      <c r="CI61" s="78">
        <v>1</v>
      </c>
      <c r="CJ61" s="78">
        <v>3</v>
      </c>
      <c r="CK61" s="137">
        <v>0.93333330000000003</v>
      </c>
      <c r="CM61" s="143" t="s">
        <v>733</v>
      </c>
      <c r="CN61" s="143" t="s">
        <v>734</v>
      </c>
      <c r="CO61" s="143" t="s">
        <v>842</v>
      </c>
      <c r="CP61" s="143">
        <v>1749</v>
      </c>
      <c r="CQ61" s="78">
        <v>2</v>
      </c>
      <c r="CR61" s="78">
        <v>0</v>
      </c>
      <c r="CS61" s="78">
        <v>8</v>
      </c>
      <c r="CT61" s="78">
        <v>4</v>
      </c>
      <c r="CU61" s="78">
        <v>0</v>
      </c>
      <c r="CV61" s="78">
        <v>8</v>
      </c>
      <c r="CW61" s="137">
        <v>0.42307689999999998</v>
      </c>
      <c r="CY61" s="143" t="s">
        <v>733</v>
      </c>
      <c r="CZ61" s="143" t="s">
        <v>734</v>
      </c>
      <c r="DA61" s="143" t="s">
        <v>842</v>
      </c>
      <c r="DB61" s="143">
        <v>1749</v>
      </c>
      <c r="DC61" s="78">
        <v>0</v>
      </c>
      <c r="DD61" s="137">
        <v>0</v>
      </c>
      <c r="DE61" s="137">
        <v>0</v>
      </c>
      <c r="DG61" s="143" t="s">
        <v>733</v>
      </c>
      <c r="DH61" s="143" t="s">
        <v>734</v>
      </c>
      <c r="DI61" s="143" t="s">
        <v>842</v>
      </c>
      <c r="DJ61" s="143">
        <v>1749</v>
      </c>
      <c r="DK61" s="78">
        <v>2</v>
      </c>
      <c r="DL61" s="78">
        <v>1</v>
      </c>
      <c r="DM61" s="78">
        <v>1</v>
      </c>
      <c r="DN61" s="78">
        <v>4</v>
      </c>
      <c r="DO61" s="78">
        <v>2</v>
      </c>
      <c r="DP61" s="78">
        <v>3</v>
      </c>
      <c r="DQ61" s="78">
        <v>7</v>
      </c>
      <c r="DR61" s="78">
        <v>1</v>
      </c>
      <c r="DS61" s="78">
        <v>1</v>
      </c>
      <c r="DT61" s="78">
        <v>0</v>
      </c>
      <c r="DU61" s="78">
        <v>0</v>
      </c>
      <c r="DV61" s="137">
        <v>0.75862070000000004</v>
      </c>
      <c r="DX61" s="143" t="s">
        <v>733</v>
      </c>
      <c r="DY61" s="143" t="s">
        <v>734</v>
      </c>
      <c r="DZ61" s="143" t="s">
        <v>842</v>
      </c>
      <c r="EA61" s="143">
        <v>1749</v>
      </c>
      <c r="EB61" s="78">
        <v>1</v>
      </c>
      <c r="EC61" s="78">
        <v>8</v>
      </c>
      <c r="ED61" s="78">
        <v>1</v>
      </c>
      <c r="EE61" s="78">
        <v>4</v>
      </c>
      <c r="EF61" s="78">
        <v>3</v>
      </c>
      <c r="EG61" s="78">
        <v>1</v>
      </c>
      <c r="EH61" s="78">
        <v>1</v>
      </c>
      <c r="EI61" s="78">
        <v>1</v>
      </c>
      <c r="EJ61" s="78">
        <v>1</v>
      </c>
      <c r="EK61" s="78">
        <v>1</v>
      </c>
      <c r="EL61" s="78">
        <v>1</v>
      </c>
      <c r="EM61" s="78">
        <v>1</v>
      </c>
      <c r="EN61" s="78">
        <v>1</v>
      </c>
      <c r="EO61" s="78">
        <v>0</v>
      </c>
      <c r="EP61" s="78">
        <v>0</v>
      </c>
      <c r="EQ61" s="137">
        <v>0.92592589999999997</v>
      </c>
      <c r="ES61" s="143" t="s">
        <v>733</v>
      </c>
      <c r="ET61" s="143" t="s">
        <v>734</v>
      </c>
      <c r="EU61" s="143" t="s">
        <v>842</v>
      </c>
      <c r="EV61" s="143">
        <v>1749</v>
      </c>
      <c r="EW61" s="78">
        <v>0</v>
      </c>
      <c r="EX61" s="78">
        <v>0</v>
      </c>
      <c r="EY61" s="78">
        <v>0</v>
      </c>
      <c r="EZ61" s="78">
        <v>0</v>
      </c>
      <c r="FA61" s="78">
        <v>0.5</v>
      </c>
      <c r="FB61" s="78">
        <v>3</v>
      </c>
      <c r="FC61" s="78">
        <v>2</v>
      </c>
      <c r="FD61" s="78">
        <v>1</v>
      </c>
      <c r="FE61" s="137">
        <v>0.5</v>
      </c>
      <c r="FG61" s="137">
        <v>0.43440230000000002</v>
      </c>
    </row>
    <row r="62" spans="1:163" x14ac:dyDescent="0.35">
      <c r="A62" s="143" t="s">
        <v>733</v>
      </c>
      <c r="B62" s="143" t="s">
        <v>734</v>
      </c>
      <c r="C62" s="143" t="s">
        <v>842</v>
      </c>
      <c r="D62" s="143">
        <v>2066</v>
      </c>
      <c r="E62" s="78">
        <v>0.5</v>
      </c>
      <c r="F62" s="78">
        <v>2.5</v>
      </c>
      <c r="G62" s="78">
        <v>1</v>
      </c>
      <c r="H62" s="78">
        <v>0</v>
      </c>
      <c r="I62" s="78">
        <v>1</v>
      </c>
      <c r="J62" s="78">
        <v>1</v>
      </c>
      <c r="K62" s="78">
        <v>1</v>
      </c>
      <c r="L62" s="78">
        <v>1</v>
      </c>
      <c r="M62" s="78">
        <v>2</v>
      </c>
      <c r="N62" s="137">
        <v>0.71428570000000002</v>
      </c>
      <c r="P62" s="143" t="s">
        <v>733</v>
      </c>
      <c r="Q62" s="143" t="s">
        <v>734</v>
      </c>
      <c r="R62" s="143" t="s">
        <v>842</v>
      </c>
      <c r="S62" s="143">
        <v>2066</v>
      </c>
      <c r="T62" s="78">
        <v>1</v>
      </c>
      <c r="U62" s="78">
        <v>0</v>
      </c>
      <c r="V62" s="78">
        <v>0</v>
      </c>
      <c r="W62" s="78">
        <v>0.5</v>
      </c>
      <c r="X62" s="78">
        <v>0</v>
      </c>
      <c r="Y62" s="78">
        <v>1</v>
      </c>
      <c r="Z62" s="78">
        <v>3</v>
      </c>
      <c r="AA62" s="78">
        <v>0</v>
      </c>
      <c r="AB62" s="78">
        <v>6</v>
      </c>
      <c r="AC62" s="78">
        <v>0</v>
      </c>
      <c r="AD62" s="137">
        <v>0.33823530000000002</v>
      </c>
      <c r="AF62" s="143" t="s">
        <v>733</v>
      </c>
      <c r="AG62" s="143" t="s">
        <v>734</v>
      </c>
      <c r="AH62" s="143" t="s">
        <v>842</v>
      </c>
      <c r="AI62" s="143">
        <v>2066</v>
      </c>
      <c r="AJ62" s="78">
        <v>0</v>
      </c>
      <c r="AK62" s="78">
        <v>1</v>
      </c>
      <c r="AL62" s="78">
        <v>1</v>
      </c>
      <c r="AM62" s="78">
        <v>0</v>
      </c>
      <c r="AN62" s="78">
        <v>1</v>
      </c>
      <c r="AO62" s="78">
        <v>0</v>
      </c>
      <c r="AP62" s="78">
        <v>2</v>
      </c>
      <c r="AQ62" s="78">
        <v>0</v>
      </c>
      <c r="AR62" s="78">
        <v>0</v>
      </c>
      <c r="AS62" s="78">
        <v>2</v>
      </c>
      <c r="AT62" s="78">
        <v>0</v>
      </c>
      <c r="AU62" s="78">
        <v>0</v>
      </c>
      <c r="AV62" s="78">
        <v>2</v>
      </c>
      <c r="AW62" s="78">
        <v>0</v>
      </c>
      <c r="AX62" s="78">
        <v>0</v>
      </c>
      <c r="AY62" s="78">
        <v>1</v>
      </c>
      <c r="AZ62" s="78">
        <v>2</v>
      </c>
      <c r="BA62" s="78">
        <v>0.5</v>
      </c>
      <c r="BB62" s="78">
        <v>0.5</v>
      </c>
      <c r="BC62" s="78">
        <v>0.5</v>
      </c>
      <c r="BD62" s="78">
        <v>1</v>
      </c>
      <c r="BE62" s="78">
        <v>0</v>
      </c>
      <c r="BF62" s="78">
        <v>0</v>
      </c>
      <c r="BG62" s="78">
        <v>2</v>
      </c>
      <c r="BH62" s="137">
        <v>0.375</v>
      </c>
      <c r="BJ62" s="143" t="s">
        <v>733</v>
      </c>
      <c r="BK62" s="143" t="s">
        <v>734</v>
      </c>
      <c r="BL62" s="143" t="s">
        <v>842</v>
      </c>
      <c r="BM62" s="143">
        <v>2066</v>
      </c>
      <c r="BN62" s="78">
        <v>1</v>
      </c>
      <c r="BO62" s="78">
        <v>0</v>
      </c>
      <c r="BP62" s="78">
        <v>0</v>
      </c>
      <c r="BQ62" s="78">
        <v>3</v>
      </c>
      <c r="BR62" s="78">
        <v>0</v>
      </c>
      <c r="BS62" s="78">
        <v>0</v>
      </c>
      <c r="BT62" s="78">
        <v>2</v>
      </c>
      <c r="BU62" s="137">
        <v>0.26086959999999998</v>
      </c>
      <c r="BW62" s="143" t="s">
        <v>733</v>
      </c>
      <c r="BX62" s="143" t="s">
        <v>734</v>
      </c>
      <c r="BY62" s="143" t="s">
        <v>842</v>
      </c>
      <c r="BZ62" s="143">
        <v>2066</v>
      </c>
      <c r="CA62" s="78">
        <v>1</v>
      </c>
      <c r="CB62" s="78">
        <v>0</v>
      </c>
      <c r="CC62" s="78">
        <v>1</v>
      </c>
      <c r="CD62" s="78">
        <v>0</v>
      </c>
      <c r="CE62" s="78">
        <v>1</v>
      </c>
      <c r="CF62" s="78">
        <v>2</v>
      </c>
      <c r="CG62" s="78">
        <v>1</v>
      </c>
      <c r="CH62" s="78">
        <v>2</v>
      </c>
      <c r="CI62" s="78">
        <v>1</v>
      </c>
      <c r="CJ62" s="78">
        <v>0</v>
      </c>
      <c r="CK62" s="137">
        <v>0.6</v>
      </c>
      <c r="CM62" s="143" t="s">
        <v>733</v>
      </c>
      <c r="CN62" s="143" t="s">
        <v>734</v>
      </c>
      <c r="CO62" s="143" t="s">
        <v>842</v>
      </c>
      <c r="CP62" s="143">
        <v>2066</v>
      </c>
      <c r="CQ62" s="78">
        <v>2</v>
      </c>
      <c r="CR62" s="78">
        <v>0</v>
      </c>
      <c r="CS62" s="78">
        <v>4</v>
      </c>
      <c r="CT62" s="78">
        <v>4</v>
      </c>
      <c r="CU62" s="78">
        <v>0</v>
      </c>
      <c r="CV62" s="78">
        <v>8</v>
      </c>
      <c r="CW62" s="137">
        <v>0.34615390000000001</v>
      </c>
      <c r="CY62" s="143" t="s">
        <v>733</v>
      </c>
      <c r="CZ62" s="143" t="s">
        <v>734</v>
      </c>
      <c r="DA62" s="143" t="s">
        <v>842</v>
      </c>
      <c r="DB62" s="143">
        <v>2066</v>
      </c>
      <c r="DC62" s="78">
        <v>0</v>
      </c>
      <c r="DD62" s="137">
        <v>0</v>
      </c>
      <c r="DE62" s="137">
        <v>0</v>
      </c>
      <c r="DG62" s="143" t="s">
        <v>733</v>
      </c>
      <c r="DH62" s="143" t="s">
        <v>734</v>
      </c>
      <c r="DI62" s="143" t="s">
        <v>842</v>
      </c>
      <c r="DJ62" s="143">
        <v>2066</v>
      </c>
      <c r="DK62" s="78">
        <v>0</v>
      </c>
      <c r="DL62" s="78">
        <v>0</v>
      </c>
      <c r="DM62" s="78">
        <v>0</v>
      </c>
      <c r="DN62" s="78">
        <v>4</v>
      </c>
      <c r="DO62" s="78">
        <v>2</v>
      </c>
      <c r="DP62" s="78">
        <v>3</v>
      </c>
      <c r="DQ62" s="78">
        <v>5</v>
      </c>
      <c r="DR62" s="78">
        <v>1</v>
      </c>
      <c r="DS62" s="78">
        <v>0</v>
      </c>
      <c r="DT62" s="78">
        <v>0</v>
      </c>
      <c r="DU62" s="78">
        <v>0</v>
      </c>
      <c r="DV62" s="137">
        <v>0.51724139999999996</v>
      </c>
      <c r="DX62" s="143" t="s">
        <v>733</v>
      </c>
      <c r="DY62" s="143" t="s">
        <v>734</v>
      </c>
      <c r="DZ62" s="143" t="s">
        <v>842</v>
      </c>
      <c r="EA62" s="143">
        <v>2066</v>
      </c>
      <c r="EB62" s="78">
        <v>0</v>
      </c>
      <c r="EC62" s="78">
        <v>8</v>
      </c>
      <c r="ED62" s="78">
        <v>1</v>
      </c>
      <c r="EE62" s="78">
        <v>4</v>
      </c>
      <c r="EF62" s="78">
        <v>3</v>
      </c>
      <c r="EG62" s="78">
        <v>1</v>
      </c>
      <c r="EH62" s="78">
        <v>0</v>
      </c>
      <c r="EI62" s="78">
        <v>1</v>
      </c>
      <c r="EJ62" s="78">
        <v>1</v>
      </c>
      <c r="EK62" s="78">
        <v>1</v>
      </c>
      <c r="EL62" s="78">
        <v>1</v>
      </c>
      <c r="EM62" s="78">
        <v>1</v>
      </c>
      <c r="EN62" s="78">
        <v>1</v>
      </c>
      <c r="EO62" s="78">
        <v>0</v>
      </c>
      <c r="EP62" s="78">
        <v>0</v>
      </c>
      <c r="EQ62" s="137">
        <v>0.8518519</v>
      </c>
      <c r="ES62" s="143" t="s">
        <v>733</v>
      </c>
      <c r="ET62" s="143" t="s">
        <v>734</v>
      </c>
      <c r="EU62" s="143" t="s">
        <v>842</v>
      </c>
      <c r="EV62" s="143">
        <v>2066</v>
      </c>
      <c r="EW62" s="78">
        <v>0</v>
      </c>
      <c r="EX62" s="78">
        <v>0</v>
      </c>
      <c r="EY62" s="78">
        <v>3</v>
      </c>
      <c r="EZ62" s="78">
        <v>0</v>
      </c>
      <c r="FA62" s="78">
        <v>0.5</v>
      </c>
      <c r="FB62" s="78">
        <v>3</v>
      </c>
      <c r="FC62" s="78">
        <v>2</v>
      </c>
      <c r="FD62" s="78">
        <v>1</v>
      </c>
      <c r="FE62" s="137">
        <v>0.73076920000000001</v>
      </c>
      <c r="FG62" s="137">
        <v>0.34548099999999998</v>
      </c>
    </row>
    <row r="63" spans="1:163" x14ac:dyDescent="0.35">
      <c r="A63" s="143" t="s">
        <v>733</v>
      </c>
      <c r="B63" s="143" t="s">
        <v>734</v>
      </c>
      <c r="C63" s="143" t="s">
        <v>842</v>
      </c>
      <c r="D63" s="143">
        <v>2176</v>
      </c>
      <c r="E63" s="78">
        <v>0</v>
      </c>
      <c r="F63" s="78">
        <v>2.5</v>
      </c>
      <c r="G63" s="78">
        <v>1</v>
      </c>
      <c r="H63" s="78">
        <v>1</v>
      </c>
      <c r="I63" s="78">
        <v>1</v>
      </c>
      <c r="J63" s="78">
        <v>0</v>
      </c>
      <c r="K63" s="78">
        <v>0</v>
      </c>
      <c r="L63" s="78">
        <v>1</v>
      </c>
      <c r="M63" s="78">
        <v>0</v>
      </c>
      <c r="N63" s="137">
        <v>0.46428570000000002</v>
      </c>
      <c r="P63" s="143" t="s">
        <v>733</v>
      </c>
      <c r="Q63" s="143" t="s">
        <v>734</v>
      </c>
      <c r="R63" s="143" t="s">
        <v>842</v>
      </c>
      <c r="S63" s="143">
        <v>2176</v>
      </c>
      <c r="T63" s="78">
        <v>1</v>
      </c>
      <c r="U63" s="78">
        <v>1</v>
      </c>
      <c r="V63" s="78">
        <v>0</v>
      </c>
      <c r="W63" s="78">
        <v>2</v>
      </c>
      <c r="X63" s="78">
        <v>0</v>
      </c>
      <c r="Y63" s="78">
        <v>1</v>
      </c>
      <c r="Z63" s="78">
        <v>3</v>
      </c>
      <c r="AA63" s="78">
        <v>0</v>
      </c>
      <c r="AB63" s="78">
        <v>6</v>
      </c>
      <c r="AC63" s="78">
        <v>3</v>
      </c>
      <c r="AD63" s="137">
        <v>0.5</v>
      </c>
      <c r="AF63" s="143" t="s">
        <v>733</v>
      </c>
      <c r="AG63" s="143" t="s">
        <v>734</v>
      </c>
      <c r="AH63" s="143" t="s">
        <v>842</v>
      </c>
      <c r="AI63" s="143">
        <v>2176</v>
      </c>
      <c r="AJ63" s="78">
        <v>1</v>
      </c>
      <c r="AK63" s="78">
        <v>1</v>
      </c>
      <c r="AL63" s="78">
        <v>1</v>
      </c>
      <c r="AM63" s="78">
        <v>5</v>
      </c>
      <c r="AN63" s="78">
        <v>0</v>
      </c>
      <c r="AO63" s="78">
        <v>2</v>
      </c>
      <c r="AP63" s="78">
        <v>2</v>
      </c>
      <c r="AQ63" s="78">
        <v>1</v>
      </c>
      <c r="AR63" s="78">
        <v>0</v>
      </c>
      <c r="AS63" s="78">
        <v>2</v>
      </c>
      <c r="AT63" s="78">
        <v>2</v>
      </c>
      <c r="AU63" s="78">
        <v>0</v>
      </c>
      <c r="AV63" s="78">
        <v>2</v>
      </c>
      <c r="AW63" s="78">
        <v>0</v>
      </c>
      <c r="AX63" s="78">
        <v>0</v>
      </c>
      <c r="AY63" s="78">
        <v>1</v>
      </c>
      <c r="AZ63" s="78">
        <v>2</v>
      </c>
      <c r="BA63" s="78">
        <v>0.5</v>
      </c>
      <c r="BB63" s="78">
        <v>0.5</v>
      </c>
      <c r="BC63" s="78">
        <v>0.5</v>
      </c>
      <c r="BD63" s="78">
        <v>1</v>
      </c>
      <c r="BE63" s="78">
        <v>0.5</v>
      </c>
      <c r="BF63" s="78">
        <v>0</v>
      </c>
      <c r="BG63" s="78">
        <v>6</v>
      </c>
      <c r="BH63" s="137">
        <v>0.70454539999999999</v>
      </c>
      <c r="BJ63" s="143" t="s">
        <v>733</v>
      </c>
      <c r="BK63" s="143" t="s">
        <v>734</v>
      </c>
      <c r="BL63" s="143" t="s">
        <v>842</v>
      </c>
      <c r="BM63" s="143">
        <v>2176</v>
      </c>
      <c r="BN63" s="78">
        <v>1</v>
      </c>
      <c r="BO63" s="78">
        <v>4</v>
      </c>
      <c r="BP63" s="78">
        <v>7</v>
      </c>
      <c r="BQ63" s="78">
        <v>0</v>
      </c>
      <c r="BR63" s="78">
        <v>3</v>
      </c>
      <c r="BS63" s="78">
        <v>0</v>
      </c>
      <c r="BT63" s="78">
        <v>2</v>
      </c>
      <c r="BU63" s="137">
        <v>0.73913039999999997</v>
      </c>
      <c r="BW63" s="143" t="s">
        <v>733</v>
      </c>
      <c r="BX63" s="143" t="s">
        <v>734</v>
      </c>
      <c r="BY63" s="143" t="s">
        <v>842</v>
      </c>
      <c r="BZ63" s="143">
        <v>2176</v>
      </c>
      <c r="CM63" s="143" t="s">
        <v>733</v>
      </c>
      <c r="CN63" s="143" t="s">
        <v>734</v>
      </c>
      <c r="CO63" s="143" t="s">
        <v>842</v>
      </c>
      <c r="CP63" s="143">
        <v>2176</v>
      </c>
      <c r="CQ63" s="78">
        <v>8</v>
      </c>
      <c r="CR63" s="78">
        <v>0</v>
      </c>
      <c r="CS63" s="78">
        <v>4</v>
      </c>
      <c r="CT63" s="78">
        <v>4</v>
      </c>
      <c r="CU63" s="78">
        <v>0</v>
      </c>
      <c r="CV63" s="78">
        <v>8</v>
      </c>
      <c r="CW63" s="137">
        <v>0.46153850000000002</v>
      </c>
      <c r="CY63" s="143" t="s">
        <v>733</v>
      </c>
      <c r="CZ63" s="143" t="s">
        <v>734</v>
      </c>
      <c r="DA63" s="143" t="s">
        <v>842</v>
      </c>
      <c r="DB63" s="143">
        <v>2176</v>
      </c>
      <c r="DC63" s="78">
        <v>12</v>
      </c>
      <c r="DD63" s="137">
        <v>0</v>
      </c>
      <c r="DE63" s="137">
        <v>0</v>
      </c>
      <c r="DG63" s="143" t="s">
        <v>733</v>
      </c>
      <c r="DH63" s="143" t="s">
        <v>734</v>
      </c>
      <c r="DI63" s="143" t="s">
        <v>842</v>
      </c>
      <c r="DJ63" s="143">
        <v>2176</v>
      </c>
      <c r="DK63" s="78">
        <v>2</v>
      </c>
      <c r="DL63" s="78">
        <v>0</v>
      </c>
      <c r="DM63" s="78">
        <v>0</v>
      </c>
      <c r="DN63" s="78">
        <v>5</v>
      </c>
      <c r="DO63" s="78">
        <v>2</v>
      </c>
      <c r="DP63" s="78">
        <v>3</v>
      </c>
      <c r="DQ63" s="78">
        <v>8</v>
      </c>
      <c r="DR63" s="78">
        <v>1</v>
      </c>
      <c r="DS63" s="78">
        <v>1</v>
      </c>
      <c r="DT63" s="78">
        <v>0</v>
      </c>
      <c r="DU63" s="78">
        <v>0</v>
      </c>
      <c r="DV63" s="137">
        <v>0.75862070000000004</v>
      </c>
      <c r="DX63" s="143" t="s">
        <v>733</v>
      </c>
      <c r="DY63" s="143" t="s">
        <v>734</v>
      </c>
      <c r="DZ63" s="143" t="s">
        <v>842</v>
      </c>
      <c r="EA63" s="143">
        <v>2176</v>
      </c>
      <c r="EB63" s="78">
        <v>1</v>
      </c>
      <c r="EC63" s="78">
        <v>8</v>
      </c>
      <c r="ED63" s="78">
        <v>1</v>
      </c>
      <c r="EE63" s="78">
        <v>4</v>
      </c>
      <c r="EF63" s="78">
        <v>3</v>
      </c>
      <c r="EG63" s="78">
        <v>1</v>
      </c>
      <c r="EH63" s="78">
        <v>0</v>
      </c>
      <c r="EI63" s="78">
        <v>1</v>
      </c>
      <c r="EJ63" s="78">
        <v>1</v>
      </c>
      <c r="EK63" s="78">
        <v>1</v>
      </c>
      <c r="EL63" s="78">
        <v>1</v>
      </c>
      <c r="EM63" s="78">
        <v>1</v>
      </c>
      <c r="EN63" s="78">
        <v>1</v>
      </c>
      <c r="EO63" s="78">
        <v>1</v>
      </c>
      <c r="EP63" s="78">
        <v>0</v>
      </c>
      <c r="EQ63" s="137">
        <v>0.92592589999999997</v>
      </c>
      <c r="ES63" s="143" t="s">
        <v>733</v>
      </c>
      <c r="ET63" s="143" t="s">
        <v>734</v>
      </c>
      <c r="EU63" s="143" t="s">
        <v>842</v>
      </c>
      <c r="EV63" s="143">
        <v>2176</v>
      </c>
      <c r="EW63" s="78">
        <v>0</v>
      </c>
      <c r="EX63" s="78">
        <v>1</v>
      </c>
      <c r="EY63" s="78">
        <v>0</v>
      </c>
      <c r="EZ63" s="78">
        <v>0</v>
      </c>
      <c r="FA63" s="78">
        <v>0.5</v>
      </c>
      <c r="FB63" s="78">
        <v>3</v>
      </c>
      <c r="FC63" s="78">
        <v>2</v>
      </c>
      <c r="FD63" s="78">
        <v>1</v>
      </c>
      <c r="FE63" s="137">
        <v>0.57692310000000002</v>
      </c>
      <c r="FG63" s="137">
        <v>0.45731709999999998</v>
      </c>
    </row>
    <row r="64" spans="1:163" x14ac:dyDescent="0.35">
      <c r="A64" s="143" t="s">
        <v>733</v>
      </c>
      <c r="B64" s="143" t="s">
        <v>734</v>
      </c>
      <c r="C64" s="143" t="s">
        <v>843</v>
      </c>
      <c r="D64" s="143">
        <v>2178</v>
      </c>
      <c r="E64" s="78">
        <v>0.5</v>
      </c>
      <c r="F64" s="78">
        <v>2.5</v>
      </c>
      <c r="G64" s="78">
        <v>1</v>
      </c>
      <c r="H64" s="78">
        <v>3</v>
      </c>
      <c r="I64" s="78">
        <v>1</v>
      </c>
      <c r="J64" s="78">
        <v>1</v>
      </c>
      <c r="K64" s="78">
        <v>1</v>
      </c>
      <c r="L64" s="78">
        <v>0</v>
      </c>
      <c r="M64" s="78">
        <v>2</v>
      </c>
      <c r="N64" s="137">
        <v>0.85714290000000004</v>
      </c>
      <c r="P64" s="143" t="s">
        <v>733</v>
      </c>
      <c r="Q64" s="143" t="s">
        <v>734</v>
      </c>
      <c r="R64" s="143" t="s">
        <v>843</v>
      </c>
      <c r="S64" s="143">
        <v>2178</v>
      </c>
      <c r="T64" s="78">
        <v>1</v>
      </c>
      <c r="U64" s="78">
        <v>1</v>
      </c>
      <c r="V64" s="78">
        <v>3</v>
      </c>
      <c r="W64" s="78">
        <v>1</v>
      </c>
      <c r="X64" s="78">
        <v>12</v>
      </c>
      <c r="Y64" s="78">
        <v>1</v>
      </c>
      <c r="Z64" s="78">
        <v>3</v>
      </c>
      <c r="AA64" s="78">
        <v>0</v>
      </c>
      <c r="AB64" s="78">
        <v>6</v>
      </c>
      <c r="AC64" s="78">
        <v>3</v>
      </c>
      <c r="AD64" s="137">
        <v>0.91176469999999998</v>
      </c>
      <c r="AF64" s="143" t="s">
        <v>733</v>
      </c>
      <c r="AG64" s="143" t="s">
        <v>734</v>
      </c>
      <c r="AH64" s="143" t="s">
        <v>843</v>
      </c>
      <c r="AI64" s="143">
        <v>2178</v>
      </c>
      <c r="AJ64" s="78">
        <v>0</v>
      </c>
      <c r="AK64" s="78">
        <v>1</v>
      </c>
      <c r="AL64" s="78">
        <v>0</v>
      </c>
      <c r="AM64" s="78">
        <v>1</v>
      </c>
      <c r="AN64" s="78">
        <v>1</v>
      </c>
      <c r="AO64" s="78">
        <v>0</v>
      </c>
      <c r="AP64" s="78">
        <v>2</v>
      </c>
      <c r="AQ64" s="78">
        <v>1</v>
      </c>
      <c r="AR64" s="78">
        <v>2</v>
      </c>
      <c r="AS64" s="78">
        <v>2</v>
      </c>
      <c r="AT64" s="78">
        <v>0</v>
      </c>
      <c r="AU64" s="78">
        <v>0</v>
      </c>
      <c r="AV64" s="78">
        <v>2</v>
      </c>
      <c r="AW64" s="78">
        <v>0</v>
      </c>
      <c r="AX64" s="78">
        <v>0</v>
      </c>
      <c r="AY64" s="78">
        <v>0</v>
      </c>
      <c r="AZ64" s="78">
        <v>2</v>
      </c>
      <c r="BA64" s="78">
        <v>0.5</v>
      </c>
      <c r="BB64" s="78">
        <v>0.5</v>
      </c>
      <c r="BC64" s="78">
        <v>0</v>
      </c>
      <c r="BD64" s="78">
        <v>1</v>
      </c>
      <c r="BE64" s="78">
        <v>0.5</v>
      </c>
      <c r="BF64" s="78">
        <v>0</v>
      </c>
      <c r="BG64" s="78">
        <v>6</v>
      </c>
      <c r="BH64" s="137">
        <v>0.51136360000000003</v>
      </c>
      <c r="BJ64" s="143" t="s">
        <v>733</v>
      </c>
      <c r="BK64" s="143" t="s">
        <v>734</v>
      </c>
      <c r="BL64" s="143" t="s">
        <v>843</v>
      </c>
      <c r="BM64" s="143">
        <v>2178</v>
      </c>
      <c r="BN64" s="78">
        <v>1</v>
      </c>
      <c r="BO64" s="78">
        <v>4</v>
      </c>
      <c r="BP64" s="78">
        <v>7</v>
      </c>
      <c r="BQ64" s="78">
        <v>3</v>
      </c>
      <c r="BR64" s="78">
        <v>3</v>
      </c>
      <c r="BS64" s="78">
        <v>0</v>
      </c>
      <c r="BT64" s="78">
        <v>2</v>
      </c>
      <c r="BU64" s="137">
        <v>0.86956520000000004</v>
      </c>
      <c r="BW64" s="143" t="s">
        <v>733</v>
      </c>
      <c r="BX64" s="143" t="s">
        <v>734</v>
      </c>
      <c r="BY64" s="143" t="s">
        <v>843</v>
      </c>
      <c r="BZ64" s="143">
        <v>2178</v>
      </c>
      <c r="CA64" s="78">
        <v>1</v>
      </c>
      <c r="CB64" s="78">
        <v>1</v>
      </c>
      <c r="CC64" s="78">
        <v>1</v>
      </c>
      <c r="CD64" s="78">
        <v>2</v>
      </c>
      <c r="CE64" s="78">
        <v>1</v>
      </c>
      <c r="CF64" s="78">
        <v>2</v>
      </c>
      <c r="CG64" s="78">
        <v>1</v>
      </c>
      <c r="CH64" s="78">
        <v>2</v>
      </c>
      <c r="CI64" s="78">
        <v>1</v>
      </c>
      <c r="CJ64" s="78">
        <v>3</v>
      </c>
      <c r="CK64" s="137">
        <v>1</v>
      </c>
      <c r="CM64" s="143" t="s">
        <v>733</v>
      </c>
      <c r="CN64" s="143" t="s">
        <v>734</v>
      </c>
      <c r="CO64" s="143" t="s">
        <v>843</v>
      </c>
      <c r="CP64" s="143">
        <v>2178</v>
      </c>
      <c r="CQ64" s="78">
        <v>8</v>
      </c>
      <c r="CR64" s="78">
        <v>0</v>
      </c>
      <c r="CS64" s="78">
        <v>24</v>
      </c>
      <c r="CT64" s="78">
        <v>4</v>
      </c>
      <c r="CU64" s="78">
        <v>0</v>
      </c>
      <c r="CV64" s="78">
        <v>8</v>
      </c>
      <c r="CW64" s="137">
        <v>0.84615390000000001</v>
      </c>
      <c r="CY64" s="143" t="s">
        <v>733</v>
      </c>
      <c r="CZ64" s="143" t="s">
        <v>734</v>
      </c>
      <c r="DA64" s="143" t="s">
        <v>843</v>
      </c>
      <c r="DB64" s="143">
        <v>2178</v>
      </c>
      <c r="DC64" s="78">
        <v>82</v>
      </c>
      <c r="DD64" s="137">
        <v>0.4</v>
      </c>
      <c r="DE64" s="137">
        <v>0.3565217</v>
      </c>
      <c r="DG64" s="143" t="s">
        <v>733</v>
      </c>
      <c r="DH64" s="143" t="s">
        <v>734</v>
      </c>
      <c r="DI64" s="143" t="s">
        <v>843</v>
      </c>
      <c r="DJ64" s="143">
        <v>2178</v>
      </c>
      <c r="DK64" s="78">
        <v>2</v>
      </c>
      <c r="DL64" s="78">
        <v>1</v>
      </c>
      <c r="DM64" s="78">
        <v>0</v>
      </c>
      <c r="DN64" s="78">
        <v>7</v>
      </c>
      <c r="DO64" s="78">
        <v>2</v>
      </c>
      <c r="DP64" s="78">
        <v>3</v>
      </c>
      <c r="DQ64" s="78">
        <v>8</v>
      </c>
      <c r="DR64" s="78">
        <v>1</v>
      </c>
      <c r="DS64" s="78">
        <v>1</v>
      </c>
      <c r="DT64" s="78">
        <v>2</v>
      </c>
      <c r="DU64" s="78">
        <v>1</v>
      </c>
      <c r="DV64" s="137">
        <v>0.96551719999999996</v>
      </c>
      <c r="DX64" s="143" t="s">
        <v>733</v>
      </c>
      <c r="DY64" s="143" t="s">
        <v>734</v>
      </c>
      <c r="DZ64" s="143" t="s">
        <v>843</v>
      </c>
      <c r="EA64" s="143">
        <v>2178</v>
      </c>
      <c r="EB64" s="78">
        <v>0</v>
      </c>
      <c r="EC64" s="78">
        <v>8</v>
      </c>
      <c r="ED64" s="78">
        <v>1</v>
      </c>
      <c r="EE64" s="78">
        <v>4</v>
      </c>
      <c r="EF64" s="78">
        <v>3</v>
      </c>
      <c r="EG64" s="78">
        <v>1</v>
      </c>
      <c r="EH64" s="78">
        <v>0</v>
      </c>
      <c r="EI64" s="78">
        <v>1</v>
      </c>
      <c r="EJ64" s="78">
        <v>1</v>
      </c>
      <c r="EK64" s="78">
        <v>1</v>
      </c>
      <c r="EL64" s="78">
        <v>1</v>
      </c>
      <c r="EM64" s="78">
        <v>1</v>
      </c>
      <c r="EN64" s="78">
        <v>1</v>
      </c>
      <c r="EO64" s="78">
        <v>1</v>
      </c>
      <c r="EP64" s="78">
        <v>1</v>
      </c>
      <c r="EQ64" s="137">
        <v>0.92592589999999997</v>
      </c>
      <c r="ES64" s="143" t="s">
        <v>733</v>
      </c>
      <c r="ET64" s="143" t="s">
        <v>734</v>
      </c>
      <c r="EU64" s="143" t="s">
        <v>843</v>
      </c>
      <c r="EV64" s="143">
        <v>2178</v>
      </c>
      <c r="EW64" s="78">
        <v>0</v>
      </c>
      <c r="EX64" s="78">
        <v>1</v>
      </c>
      <c r="EY64" s="78">
        <v>3</v>
      </c>
      <c r="EZ64" s="78">
        <v>0</v>
      </c>
      <c r="FA64" s="78">
        <v>0.5</v>
      </c>
      <c r="FB64" s="78">
        <v>0</v>
      </c>
      <c r="FC64" s="78">
        <v>2</v>
      </c>
      <c r="FD64" s="78">
        <v>1</v>
      </c>
      <c r="FE64" s="137">
        <v>0.57692310000000002</v>
      </c>
      <c r="FG64" s="137">
        <v>0.69329450000000004</v>
      </c>
    </row>
    <row r="65" spans="1:163" x14ac:dyDescent="0.35">
      <c r="A65" s="143" t="s">
        <v>735</v>
      </c>
      <c r="B65" s="143" t="s">
        <v>736</v>
      </c>
      <c r="C65" s="143" t="s">
        <v>843</v>
      </c>
      <c r="D65" s="143">
        <v>692</v>
      </c>
      <c r="E65" s="78">
        <v>0</v>
      </c>
      <c r="F65" s="78">
        <v>1.5</v>
      </c>
      <c r="G65" s="78">
        <v>1</v>
      </c>
      <c r="H65" s="78">
        <v>2</v>
      </c>
      <c r="I65" s="78">
        <v>1</v>
      </c>
      <c r="J65" s="78">
        <v>0</v>
      </c>
      <c r="K65" s="78">
        <v>1</v>
      </c>
      <c r="L65" s="78">
        <v>0</v>
      </c>
      <c r="M65" s="78">
        <v>2</v>
      </c>
      <c r="N65" s="137">
        <v>0.60714290000000004</v>
      </c>
      <c r="P65" s="143" t="s">
        <v>735</v>
      </c>
      <c r="Q65" s="143" t="s">
        <v>736</v>
      </c>
      <c r="R65" s="143" t="s">
        <v>843</v>
      </c>
      <c r="S65" s="143">
        <v>692</v>
      </c>
      <c r="T65" s="78">
        <v>0</v>
      </c>
      <c r="U65" s="78">
        <v>1</v>
      </c>
      <c r="V65" s="78">
        <v>2</v>
      </c>
      <c r="W65" s="78">
        <v>2</v>
      </c>
      <c r="X65" s="78">
        <v>0</v>
      </c>
      <c r="Y65" s="78">
        <v>0</v>
      </c>
      <c r="Z65" s="78">
        <v>0</v>
      </c>
      <c r="AA65" s="78">
        <v>2</v>
      </c>
      <c r="AB65" s="78">
        <v>0</v>
      </c>
      <c r="AC65" s="78">
        <v>0</v>
      </c>
      <c r="AD65" s="137">
        <v>0.20588239999999999</v>
      </c>
      <c r="AF65" s="143" t="s">
        <v>735</v>
      </c>
      <c r="AG65" s="143" t="s">
        <v>736</v>
      </c>
      <c r="AH65" s="143" t="s">
        <v>843</v>
      </c>
      <c r="AI65" s="143">
        <v>692</v>
      </c>
      <c r="AJ65" s="78">
        <v>1</v>
      </c>
      <c r="AK65" s="78">
        <v>0</v>
      </c>
      <c r="AL65" s="78">
        <v>1</v>
      </c>
      <c r="AM65" s="78">
        <v>6</v>
      </c>
      <c r="AN65" s="78">
        <v>1</v>
      </c>
      <c r="AO65" s="78">
        <v>0</v>
      </c>
      <c r="AP65" s="78">
        <v>1</v>
      </c>
      <c r="AQ65" s="78">
        <v>1</v>
      </c>
      <c r="AR65" s="78">
        <v>2</v>
      </c>
      <c r="AS65" s="78">
        <v>2</v>
      </c>
      <c r="AT65" s="78">
        <v>2</v>
      </c>
      <c r="AU65" s="78">
        <v>0</v>
      </c>
      <c r="AV65" s="78">
        <v>2</v>
      </c>
      <c r="AW65" s="78">
        <v>1</v>
      </c>
      <c r="AX65" s="78">
        <v>0</v>
      </c>
      <c r="AY65" s="78">
        <v>1</v>
      </c>
      <c r="AZ65" s="78">
        <v>2</v>
      </c>
      <c r="BA65" s="78">
        <v>0.5</v>
      </c>
      <c r="BB65" s="78">
        <v>0.5</v>
      </c>
      <c r="BC65" s="78">
        <v>0.5</v>
      </c>
      <c r="BD65" s="78">
        <v>1</v>
      </c>
      <c r="BE65" s="78">
        <v>0.5</v>
      </c>
      <c r="BF65" s="78">
        <v>1</v>
      </c>
      <c r="BG65" s="78">
        <v>8</v>
      </c>
      <c r="BH65" s="137">
        <v>0.79545460000000001</v>
      </c>
      <c r="BJ65" s="143" t="s">
        <v>735</v>
      </c>
      <c r="BK65" s="143" t="s">
        <v>736</v>
      </c>
      <c r="BL65" s="143" t="s">
        <v>843</v>
      </c>
      <c r="BM65" s="143">
        <v>692</v>
      </c>
      <c r="BN65" s="78">
        <v>1</v>
      </c>
      <c r="BO65" s="78">
        <v>4</v>
      </c>
      <c r="BP65" s="78">
        <v>0</v>
      </c>
      <c r="BQ65" s="78">
        <v>0</v>
      </c>
      <c r="BR65" s="78">
        <v>0</v>
      </c>
      <c r="BS65" s="78">
        <v>0</v>
      </c>
      <c r="BT65" s="78">
        <v>0</v>
      </c>
      <c r="BU65" s="137">
        <v>0.21739130000000001</v>
      </c>
      <c r="BW65" s="143" t="s">
        <v>735</v>
      </c>
      <c r="BX65" s="143" t="s">
        <v>736</v>
      </c>
      <c r="BY65" s="143" t="s">
        <v>843</v>
      </c>
      <c r="BZ65" s="143">
        <v>692</v>
      </c>
      <c r="CA65" s="78">
        <v>1</v>
      </c>
      <c r="CB65" s="78">
        <v>1</v>
      </c>
      <c r="CC65" s="78">
        <v>1</v>
      </c>
      <c r="CD65" s="78">
        <v>0</v>
      </c>
      <c r="CE65" s="78">
        <v>0</v>
      </c>
      <c r="CF65" s="78">
        <v>2</v>
      </c>
      <c r="CG65" s="78">
        <v>1</v>
      </c>
      <c r="CH65" s="78">
        <v>2</v>
      </c>
      <c r="CI65" s="78">
        <v>1</v>
      </c>
      <c r="CJ65" s="78">
        <v>0</v>
      </c>
      <c r="CK65" s="137">
        <v>0.6</v>
      </c>
      <c r="CM65" s="143" t="s">
        <v>735</v>
      </c>
      <c r="CN65" s="143" t="s">
        <v>736</v>
      </c>
      <c r="CO65" s="143" t="s">
        <v>843</v>
      </c>
      <c r="CP65" s="143">
        <v>692</v>
      </c>
      <c r="CQ65" s="78">
        <v>8</v>
      </c>
      <c r="CR65" s="78">
        <v>0</v>
      </c>
      <c r="CS65" s="78">
        <v>0</v>
      </c>
      <c r="CT65" s="78">
        <v>4</v>
      </c>
      <c r="CU65" s="78">
        <v>2</v>
      </c>
      <c r="CV65" s="78">
        <v>8</v>
      </c>
      <c r="CW65" s="137">
        <v>0.42307689999999998</v>
      </c>
      <c r="CY65" s="143" t="s">
        <v>735</v>
      </c>
      <c r="CZ65" s="143" t="s">
        <v>736</v>
      </c>
      <c r="DA65" s="143" t="s">
        <v>843</v>
      </c>
      <c r="DB65" s="143">
        <v>692</v>
      </c>
      <c r="DC65" s="78">
        <v>0</v>
      </c>
      <c r="DD65" s="137">
        <v>0</v>
      </c>
      <c r="DE65" s="137">
        <v>0</v>
      </c>
      <c r="DG65" s="143" t="s">
        <v>735</v>
      </c>
      <c r="DH65" s="143" t="s">
        <v>736</v>
      </c>
      <c r="DI65" s="143" t="s">
        <v>843</v>
      </c>
      <c r="DJ65" s="143">
        <v>692</v>
      </c>
      <c r="DK65" s="78">
        <v>2</v>
      </c>
      <c r="DL65" s="78">
        <v>1</v>
      </c>
      <c r="DM65" s="78">
        <v>0</v>
      </c>
      <c r="DN65" s="78">
        <v>3</v>
      </c>
      <c r="DO65" s="78">
        <v>2</v>
      </c>
      <c r="DP65" s="78">
        <v>3</v>
      </c>
      <c r="DQ65" s="78">
        <v>5</v>
      </c>
      <c r="DR65" s="78">
        <v>0</v>
      </c>
      <c r="DS65" s="78">
        <v>0</v>
      </c>
      <c r="DT65" s="78">
        <v>0</v>
      </c>
      <c r="DU65" s="78">
        <v>0</v>
      </c>
      <c r="DV65" s="137">
        <v>0.55172410000000005</v>
      </c>
      <c r="DX65" s="143" t="s">
        <v>735</v>
      </c>
      <c r="DY65" s="143" t="s">
        <v>736</v>
      </c>
      <c r="DZ65" s="143" t="s">
        <v>843</v>
      </c>
      <c r="EA65" s="143">
        <v>692</v>
      </c>
      <c r="EB65" s="78">
        <v>0</v>
      </c>
      <c r="EC65" s="78">
        <v>8</v>
      </c>
      <c r="ED65" s="78">
        <v>1</v>
      </c>
      <c r="EE65" s="78">
        <v>4</v>
      </c>
      <c r="EF65" s="78">
        <v>3</v>
      </c>
      <c r="EG65" s="78">
        <v>1</v>
      </c>
      <c r="EH65" s="78">
        <v>1</v>
      </c>
      <c r="EI65" s="78">
        <v>1</v>
      </c>
      <c r="EJ65" s="78">
        <v>1</v>
      </c>
      <c r="EK65" s="78">
        <v>1</v>
      </c>
      <c r="EL65" s="78">
        <v>1</v>
      </c>
      <c r="EM65" s="78">
        <v>1</v>
      </c>
      <c r="EN65" s="78">
        <v>1</v>
      </c>
      <c r="EO65" s="78">
        <v>1</v>
      </c>
      <c r="EP65" s="78">
        <v>0</v>
      </c>
      <c r="EQ65" s="137">
        <v>0.92592589999999997</v>
      </c>
      <c r="ES65" s="143" t="s">
        <v>735</v>
      </c>
      <c r="ET65" s="143" t="s">
        <v>736</v>
      </c>
      <c r="EU65" s="143" t="s">
        <v>843</v>
      </c>
      <c r="EV65" s="143">
        <v>692</v>
      </c>
      <c r="EW65" s="78">
        <v>0</v>
      </c>
      <c r="EX65" s="78">
        <v>1</v>
      </c>
      <c r="EY65" s="78">
        <v>0</v>
      </c>
      <c r="EZ65" s="78">
        <v>0</v>
      </c>
      <c r="FA65" s="78">
        <v>0</v>
      </c>
      <c r="FB65" s="78">
        <v>0</v>
      </c>
      <c r="FC65" s="78">
        <v>2</v>
      </c>
      <c r="FD65" s="78">
        <v>0</v>
      </c>
      <c r="FE65" s="137">
        <v>0.23076920000000001</v>
      </c>
      <c r="FG65" s="137">
        <v>0.38046649999999999</v>
      </c>
    </row>
    <row r="66" spans="1:163" x14ac:dyDescent="0.35">
      <c r="A66" s="143" t="s">
        <v>735</v>
      </c>
      <c r="B66" s="143" t="s">
        <v>736</v>
      </c>
      <c r="C66" s="143" t="s">
        <v>842</v>
      </c>
      <c r="D66" s="143">
        <v>1091</v>
      </c>
      <c r="E66" s="78">
        <v>0</v>
      </c>
      <c r="F66" s="78">
        <v>1.5</v>
      </c>
      <c r="G66" s="78">
        <v>1</v>
      </c>
      <c r="H66" s="78">
        <v>0</v>
      </c>
      <c r="I66" s="78">
        <v>1</v>
      </c>
      <c r="J66" s="78">
        <v>0</v>
      </c>
      <c r="K66" s="78">
        <v>1</v>
      </c>
      <c r="L66" s="78">
        <v>0</v>
      </c>
      <c r="M66" s="78">
        <v>2</v>
      </c>
      <c r="N66" s="137">
        <v>0.46428570000000002</v>
      </c>
      <c r="P66" s="143" t="s">
        <v>735</v>
      </c>
      <c r="Q66" s="143" t="s">
        <v>736</v>
      </c>
      <c r="R66" s="143" t="s">
        <v>842</v>
      </c>
      <c r="S66" s="143">
        <v>1091</v>
      </c>
      <c r="T66" s="78">
        <v>1</v>
      </c>
      <c r="U66" s="78">
        <v>1</v>
      </c>
      <c r="V66" s="78">
        <v>1.5</v>
      </c>
      <c r="W66" s="78">
        <v>2</v>
      </c>
      <c r="X66" s="78">
        <v>0</v>
      </c>
      <c r="Y66" s="78">
        <v>1</v>
      </c>
      <c r="Z66" s="78">
        <v>3</v>
      </c>
      <c r="AA66" s="78">
        <v>0</v>
      </c>
      <c r="AB66" s="78">
        <v>0</v>
      </c>
      <c r="AC66" s="78">
        <v>0</v>
      </c>
      <c r="AD66" s="137">
        <v>0.27941179999999999</v>
      </c>
      <c r="AF66" s="143" t="s">
        <v>735</v>
      </c>
      <c r="AG66" s="143" t="s">
        <v>736</v>
      </c>
      <c r="AH66" s="143" t="s">
        <v>842</v>
      </c>
      <c r="AI66" s="143">
        <v>1091</v>
      </c>
      <c r="AJ66" s="78">
        <v>0</v>
      </c>
      <c r="AK66" s="78">
        <v>0</v>
      </c>
      <c r="AL66" s="78">
        <v>1</v>
      </c>
      <c r="AM66" s="78">
        <v>0</v>
      </c>
      <c r="AN66" s="78">
        <v>1</v>
      </c>
      <c r="AO66" s="78">
        <v>0</v>
      </c>
      <c r="AP66" s="78">
        <v>2</v>
      </c>
      <c r="AQ66" s="78">
        <v>1</v>
      </c>
      <c r="AR66" s="78">
        <v>0</v>
      </c>
      <c r="AS66" s="78">
        <v>2</v>
      </c>
      <c r="AT66" s="78">
        <v>0</v>
      </c>
      <c r="AU66" s="78">
        <v>1</v>
      </c>
      <c r="AV66" s="78">
        <v>2</v>
      </c>
      <c r="AW66" s="78">
        <v>1</v>
      </c>
      <c r="AX66" s="78">
        <v>4</v>
      </c>
      <c r="AY66" s="78">
        <v>1</v>
      </c>
      <c r="AZ66" s="78">
        <v>0</v>
      </c>
      <c r="BA66" s="78">
        <v>0.5</v>
      </c>
      <c r="BB66" s="78">
        <v>0.5</v>
      </c>
      <c r="BC66" s="78">
        <v>0.5</v>
      </c>
      <c r="BD66" s="78">
        <v>1</v>
      </c>
      <c r="BE66" s="78">
        <v>0.5</v>
      </c>
      <c r="BF66" s="78">
        <v>0</v>
      </c>
      <c r="BG66" s="78">
        <v>0</v>
      </c>
      <c r="BH66" s="137">
        <v>0.43181819999999999</v>
      </c>
      <c r="BJ66" s="143" t="s">
        <v>735</v>
      </c>
      <c r="BK66" s="143" t="s">
        <v>736</v>
      </c>
      <c r="BL66" s="143" t="s">
        <v>842</v>
      </c>
      <c r="BM66" s="143">
        <v>1091</v>
      </c>
      <c r="BN66" s="78">
        <v>0</v>
      </c>
      <c r="BO66" s="78">
        <v>4</v>
      </c>
      <c r="BP66" s="78">
        <v>0</v>
      </c>
      <c r="BQ66" s="78">
        <v>0</v>
      </c>
      <c r="BR66" s="78">
        <v>0</v>
      </c>
      <c r="BS66" s="78">
        <v>0</v>
      </c>
      <c r="BT66" s="78">
        <v>0</v>
      </c>
      <c r="BU66" s="137">
        <v>0.17391300000000001</v>
      </c>
      <c r="BW66" s="143" t="s">
        <v>735</v>
      </c>
      <c r="BX66" s="143" t="s">
        <v>736</v>
      </c>
      <c r="BY66" s="143" t="s">
        <v>842</v>
      </c>
      <c r="BZ66" s="143">
        <v>1091</v>
      </c>
      <c r="CM66" s="143" t="s">
        <v>735</v>
      </c>
      <c r="CN66" s="143" t="s">
        <v>736</v>
      </c>
      <c r="CO66" s="143" t="s">
        <v>842</v>
      </c>
      <c r="CP66" s="143">
        <v>1091</v>
      </c>
      <c r="CQ66" s="78">
        <v>8</v>
      </c>
      <c r="CR66" s="78">
        <v>0</v>
      </c>
      <c r="CS66" s="78">
        <v>4</v>
      </c>
      <c r="CT66" s="78">
        <v>4</v>
      </c>
      <c r="CU66" s="78">
        <v>0</v>
      </c>
      <c r="CV66" s="78">
        <v>8</v>
      </c>
      <c r="CW66" s="137">
        <v>0.46153850000000002</v>
      </c>
      <c r="CY66" s="143" t="s">
        <v>735</v>
      </c>
      <c r="CZ66" s="143" t="s">
        <v>736</v>
      </c>
      <c r="DA66" s="143" t="s">
        <v>842</v>
      </c>
      <c r="DB66" s="143">
        <v>1091</v>
      </c>
      <c r="DC66" s="78">
        <v>2</v>
      </c>
      <c r="DD66" s="137">
        <v>0</v>
      </c>
      <c r="DE66" s="137">
        <v>0</v>
      </c>
      <c r="DG66" s="143" t="s">
        <v>735</v>
      </c>
      <c r="DH66" s="143" t="s">
        <v>736</v>
      </c>
      <c r="DI66" s="143" t="s">
        <v>842</v>
      </c>
      <c r="DJ66" s="143">
        <v>1091</v>
      </c>
      <c r="DK66" s="78">
        <v>0</v>
      </c>
      <c r="DL66" s="78">
        <v>0</v>
      </c>
      <c r="DM66" s="78">
        <v>0</v>
      </c>
      <c r="DN66" s="78">
        <v>4</v>
      </c>
      <c r="DO66" s="78">
        <v>2</v>
      </c>
      <c r="DP66" s="78">
        <v>1</v>
      </c>
      <c r="DQ66" s="78">
        <v>7</v>
      </c>
      <c r="DR66" s="78">
        <v>1</v>
      </c>
      <c r="DS66" s="78">
        <v>0</v>
      </c>
      <c r="DT66" s="78">
        <v>0</v>
      </c>
      <c r="DU66" s="78">
        <v>0</v>
      </c>
      <c r="DV66" s="137">
        <v>0.51724139999999996</v>
      </c>
      <c r="DX66" s="143" t="s">
        <v>735</v>
      </c>
      <c r="DY66" s="143" t="s">
        <v>736</v>
      </c>
      <c r="DZ66" s="143" t="s">
        <v>842</v>
      </c>
      <c r="EA66" s="143">
        <v>1091</v>
      </c>
      <c r="EB66" s="78">
        <v>1</v>
      </c>
      <c r="EC66" s="78">
        <v>0</v>
      </c>
      <c r="ED66" s="78">
        <v>1</v>
      </c>
      <c r="EE66" s="78">
        <v>0</v>
      </c>
      <c r="EF66" s="78">
        <v>3</v>
      </c>
      <c r="EG66" s="78">
        <v>1</v>
      </c>
      <c r="EH66" s="78">
        <v>1</v>
      </c>
      <c r="EI66" s="78">
        <v>1</v>
      </c>
      <c r="EJ66" s="78">
        <v>1</v>
      </c>
      <c r="EK66" s="78">
        <v>1</v>
      </c>
      <c r="EL66" s="78">
        <v>0</v>
      </c>
      <c r="EM66" s="78">
        <v>0</v>
      </c>
      <c r="EN66" s="78">
        <v>0</v>
      </c>
      <c r="EO66" s="78">
        <v>0</v>
      </c>
      <c r="EP66" s="78">
        <v>0</v>
      </c>
      <c r="EQ66" s="137">
        <v>0.37037039999999999</v>
      </c>
      <c r="ES66" s="143" t="s">
        <v>735</v>
      </c>
      <c r="ET66" s="143" t="s">
        <v>736</v>
      </c>
      <c r="EU66" s="143" t="s">
        <v>842</v>
      </c>
      <c r="EV66" s="143">
        <v>1091</v>
      </c>
      <c r="EW66" s="78">
        <v>0</v>
      </c>
      <c r="EX66" s="78">
        <v>0</v>
      </c>
      <c r="EY66" s="78">
        <v>0</v>
      </c>
      <c r="EZ66" s="78">
        <v>0</v>
      </c>
      <c r="FA66" s="78">
        <v>0</v>
      </c>
      <c r="FB66" s="78">
        <v>3</v>
      </c>
      <c r="FC66" s="78">
        <v>2</v>
      </c>
      <c r="FD66" s="78">
        <v>0</v>
      </c>
      <c r="FE66" s="137">
        <v>0.3846154</v>
      </c>
      <c r="FG66" s="137">
        <v>0.28353660000000003</v>
      </c>
    </row>
    <row r="67" spans="1:163" x14ac:dyDescent="0.35">
      <c r="A67" s="143" t="s">
        <v>735</v>
      </c>
      <c r="B67" s="143" t="s">
        <v>736</v>
      </c>
      <c r="C67" s="143" t="s">
        <v>841</v>
      </c>
      <c r="D67" s="143">
        <v>1626</v>
      </c>
      <c r="E67" s="78">
        <v>0</v>
      </c>
      <c r="F67" s="78">
        <v>1.5</v>
      </c>
      <c r="G67" s="78">
        <v>0</v>
      </c>
      <c r="H67" s="78">
        <v>0</v>
      </c>
      <c r="I67" s="78">
        <v>1</v>
      </c>
      <c r="J67" s="78">
        <v>0</v>
      </c>
      <c r="K67" s="78">
        <v>1</v>
      </c>
      <c r="L67" s="78">
        <v>0</v>
      </c>
      <c r="M67" s="78">
        <v>2</v>
      </c>
      <c r="N67" s="137">
        <v>0.39285710000000001</v>
      </c>
      <c r="P67" s="143" t="s">
        <v>735</v>
      </c>
      <c r="Q67" s="143" t="s">
        <v>736</v>
      </c>
      <c r="R67" s="143" t="s">
        <v>841</v>
      </c>
      <c r="S67" s="143">
        <v>1626</v>
      </c>
      <c r="T67" s="78">
        <v>1</v>
      </c>
      <c r="U67" s="78">
        <v>1</v>
      </c>
      <c r="V67" s="78">
        <v>3</v>
      </c>
      <c r="W67" s="78">
        <v>1</v>
      </c>
      <c r="X67" s="78">
        <v>0</v>
      </c>
      <c r="Y67" s="78">
        <v>1</v>
      </c>
      <c r="Z67" s="78">
        <v>0</v>
      </c>
      <c r="AA67" s="78">
        <v>0</v>
      </c>
      <c r="AB67" s="78">
        <v>6</v>
      </c>
      <c r="AC67" s="78">
        <v>0</v>
      </c>
      <c r="AD67" s="137">
        <v>0.3823529</v>
      </c>
      <c r="AF67" s="143" t="s">
        <v>735</v>
      </c>
      <c r="AG67" s="143" t="s">
        <v>736</v>
      </c>
      <c r="AH67" s="143" t="s">
        <v>841</v>
      </c>
      <c r="AI67" s="143">
        <v>1626</v>
      </c>
      <c r="AJ67" s="78">
        <v>1</v>
      </c>
      <c r="AK67" s="78">
        <v>0</v>
      </c>
      <c r="AL67" s="78">
        <v>1</v>
      </c>
      <c r="AM67" s="78">
        <v>0</v>
      </c>
      <c r="AN67" s="78">
        <v>1</v>
      </c>
      <c r="AO67" s="78">
        <v>0</v>
      </c>
      <c r="AP67" s="78">
        <v>2</v>
      </c>
      <c r="AQ67" s="78">
        <v>1</v>
      </c>
      <c r="AR67" s="78">
        <v>0</v>
      </c>
      <c r="AS67" s="78">
        <v>0</v>
      </c>
      <c r="AT67" s="78">
        <v>0</v>
      </c>
      <c r="AU67" s="78">
        <v>0</v>
      </c>
      <c r="AV67" s="78">
        <v>0</v>
      </c>
      <c r="AW67" s="78">
        <v>0</v>
      </c>
      <c r="AX67" s="78">
        <v>0</v>
      </c>
      <c r="AY67" s="78">
        <v>0</v>
      </c>
      <c r="AZ67" s="78">
        <v>0</v>
      </c>
      <c r="BA67" s="78">
        <v>0.5</v>
      </c>
      <c r="BB67" s="78">
        <v>0.5</v>
      </c>
      <c r="BC67" s="78">
        <v>0.5</v>
      </c>
      <c r="BD67" s="78">
        <v>1</v>
      </c>
      <c r="BE67" s="78">
        <v>0</v>
      </c>
      <c r="BF67" s="78">
        <v>0</v>
      </c>
      <c r="BG67" s="78">
        <v>2</v>
      </c>
      <c r="BH67" s="137">
        <v>0.2386364</v>
      </c>
      <c r="BJ67" s="143" t="s">
        <v>735</v>
      </c>
      <c r="BK67" s="143" t="s">
        <v>736</v>
      </c>
      <c r="BL67" s="143" t="s">
        <v>841</v>
      </c>
      <c r="BM67" s="143">
        <v>1626</v>
      </c>
      <c r="BN67" s="78">
        <v>1</v>
      </c>
      <c r="BO67" s="78">
        <v>4</v>
      </c>
      <c r="BP67" s="78">
        <v>0</v>
      </c>
      <c r="BQ67" s="78">
        <v>0</v>
      </c>
      <c r="BR67" s="78">
        <v>3</v>
      </c>
      <c r="BS67" s="78">
        <v>3</v>
      </c>
      <c r="BT67" s="78">
        <v>2</v>
      </c>
      <c r="BU67" s="137">
        <v>0.56521739999999998</v>
      </c>
      <c r="BW67" s="143" t="s">
        <v>735</v>
      </c>
      <c r="BX67" s="143" t="s">
        <v>736</v>
      </c>
      <c r="BY67" s="143" t="s">
        <v>841</v>
      </c>
      <c r="BZ67" s="143">
        <v>1626</v>
      </c>
      <c r="CA67" s="78">
        <v>1</v>
      </c>
      <c r="CB67" s="78">
        <v>0</v>
      </c>
      <c r="CC67" s="78">
        <v>0</v>
      </c>
      <c r="CD67" s="78">
        <v>0</v>
      </c>
      <c r="CE67" s="78">
        <v>0</v>
      </c>
      <c r="CF67" s="78">
        <v>2</v>
      </c>
      <c r="CG67" s="78">
        <v>1</v>
      </c>
      <c r="CH67" s="78">
        <v>0</v>
      </c>
      <c r="CI67" s="78">
        <v>0</v>
      </c>
      <c r="CJ67" s="78">
        <v>0</v>
      </c>
      <c r="CK67" s="137">
        <v>0.26666669999999998</v>
      </c>
      <c r="CM67" s="143" t="s">
        <v>735</v>
      </c>
      <c r="CN67" s="143" t="s">
        <v>736</v>
      </c>
      <c r="CO67" s="143" t="s">
        <v>841</v>
      </c>
      <c r="CP67" s="143">
        <v>1626</v>
      </c>
      <c r="CQ67" s="78">
        <v>0</v>
      </c>
      <c r="CR67" s="78">
        <v>0</v>
      </c>
      <c r="CS67" s="78">
        <v>4</v>
      </c>
      <c r="CT67" s="78">
        <v>4</v>
      </c>
      <c r="CU67" s="78">
        <v>2</v>
      </c>
      <c r="CV67" s="78">
        <v>8</v>
      </c>
      <c r="CW67" s="137">
        <v>0.34615390000000001</v>
      </c>
      <c r="CY67" s="143" t="s">
        <v>735</v>
      </c>
      <c r="CZ67" s="143" t="s">
        <v>736</v>
      </c>
      <c r="DA67" s="143" t="s">
        <v>841</v>
      </c>
      <c r="DB67" s="143">
        <v>1626</v>
      </c>
      <c r="DC67" s="78">
        <v>0</v>
      </c>
      <c r="DD67" s="137">
        <v>0</v>
      </c>
      <c r="DE67" s="137">
        <v>0</v>
      </c>
      <c r="DG67" s="143" t="s">
        <v>735</v>
      </c>
      <c r="DH67" s="143" t="s">
        <v>736</v>
      </c>
      <c r="DI67" s="143" t="s">
        <v>841</v>
      </c>
      <c r="DJ67" s="143">
        <v>1626</v>
      </c>
      <c r="DK67" s="78">
        <v>2</v>
      </c>
      <c r="DL67" s="78">
        <v>1</v>
      </c>
      <c r="DM67" s="78">
        <v>0</v>
      </c>
      <c r="DN67" s="78">
        <v>5</v>
      </c>
      <c r="DO67" s="78">
        <v>2</v>
      </c>
      <c r="DP67" s="78">
        <v>3</v>
      </c>
      <c r="DQ67" s="78">
        <v>7</v>
      </c>
      <c r="DR67" s="78">
        <v>0</v>
      </c>
      <c r="DS67" s="78">
        <v>1</v>
      </c>
      <c r="DT67" s="78">
        <v>0</v>
      </c>
      <c r="DU67" s="78">
        <v>0</v>
      </c>
      <c r="DV67" s="137">
        <v>0.7241379</v>
      </c>
      <c r="DX67" s="143" t="s">
        <v>735</v>
      </c>
      <c r="DY67" s="143" t="s">
        <v>736</v>
      </c>
      <c r="DZ67" s="143" t="s">
        <v>841</v>
      </c>
      <c r="EA67" s="143">
        <v>1626</v>
      </c>
      <c r="EB67" s="78">
        <v>0</v>
      </c>
      <c r="EC67" s="78">
        <v>8</v>
      </c>
      <c r="ED67" s="78">
        <v>1</v>
      </c>
      <c r="EE67" s="78">
        <v>4</v>
      </c>
      <c r="EF67" s="78">
        <v>3</v>
      </c>
      <c r="EG67" s="78">
        <v>1</v>
      </c>
      <c r="EH67" s="78">
        <v>1</v>
      </c>
      <c r="EI67" s="78">
        <v>1</v>
      </c>
      <c r="EJ67" s="78">
        <v>1</v>
      </c>
      <c r="EK67" s="78">
        <v>1</v>
      </c>
      <c r="EL67" s="78">
        <v>1</v>
      </c>
      <c r="EM67" s="78">
        <v>1</v>
      </c>
      <c r="EN67" s="78">
        <v>0</v>
      </c>
      <c r="EO67" s="78">
        <v>1</v>
      </c>
      <c r="EP67" s="78">
        <v>0</v>
      </c>
      <c r="EQ67" s="137">
        <v>0.88888889999999998</v>
      </c>
      <c r="ES67" s="143" t="s">
        <v>735</v>
      </c>
      <c r="ET67" s="143" t="s">
        <v>736</v>
      </c>
      <c r="EU67" s="143" t="s">
        <v>841</v>
      </c>
      <c r="EV67" s="143">
        <v>1626</v>
      </c>
      <c r="EW67" s="78">
        <v>0</v>
      </c>
      <c r="EX67" s="78">
        <v>1</v>
      </c>
      <c r="EY67" s="78">
        <v>0</v>
      </c>
      <c r="EZ67" s="78">
        <v>0</v>
      </c>
      <c r="FA67" s="78">
        <v>0</v>
      </c>
      <c r="FB67" s="78">
        <v>3</v>
      </c>
      <c r="FC67" s="78">
        <v>2</v>
      </c>
      <c r="FD67" s="78">
        <v>1</v>
      </c>
      <c r="FE67" s="137">
        <v>0.53846159999999998</v>
      </c>
      <c r="FG67" s="137">
        <v>0.3381924</v>
      </c>
    </row>
    <row r="68" spans="1:163" x14ac:dyDescent="0.35">
      <c r="A68" s="143" t="s">
        <v>735</v>
      </c>
      <c r="B68" s="143" t="s">
        <v>736</v>
      </c>
      <c r="C68" s="143" t="s">
        <v>842</v>
      </c>
      <c r="D68" s="143">
        <v>1797</v>
      </c>
      <c r="E68" s="78">
        <v>0</v>
      </c>
      <c r="F68" s="78">
        <v>1</v>
      </c>
      <c r="G68" s="78">
        <v>0</v>
      </c>
      <c r="H68" s="78">
        <v>0</v>
      </c>
      <c r="I68" s="78">
        <v>1</v>
      </c>
      <c r="J68" s="78">
        <v>0</v>
      </c>
      <c r="K68" s="78">
        <v>0</v>
      </c>
      <c r="L68" s="78">
        <v>0</v>
      </c>
      <c r="M68" s="78">
        <v>0</v>
      </c>
      <c r="N68" s="137">
        <v>0.14285709999999999</v>
      </c>
      <c r="P68" s="143" t="s">
        <v>735</v>
      </c>
      <c r="Q68" s="143" t="s">
        <v>736</v>
      </c>
      <c r="R68" s="143" t="s">
        <v>842</v>
      </c>
      <c r="S68" s="143">
        <v>1797</v>
      </c>
      <c r="T68" s="78">
        <v>1</v>
      </c>
      <c r="U68" s="78">
        <v>1</v>
      </c>
      <c r="V68" s="78">
        <v>0</v>
      </c>
      <c r="W68" s="78">
        <v>0</v>
      </c>
      <c r="X68" s="78">
        <v>0</v>
      </c>
      <c r="Y68" s="78">
        <v>1</v>
      </c>
      <c r="Z68" s="78">
        <v>0</v>
      </c>
      <c r="AA68" s="78">
        <v>0</v>
      </c>
      <c r="AB68" s="78">
        <v>0</v>
      </c>
      <c r="AC68" s="78">
        <v>0</v>
      </c>
      <c r="AD68" s="137">
        <v>8.8235300000000003E-2</v>
      </c>
      <c r="AF68" s="143" t="s">
        <v>735</v>
      </c>
      <c r="AG68" s="143" t="s">
        <v>736</v>
      </c>
      <c r="AH68" s="143" t="s">
        <v>842</v>
      </c>
      <c r="AI68" s="143">
        <v>1797</v>
      </c>
      <c r="AJ68" s="78">
        <v>1</v>
      </c>
      <c r="AK68" s="78">
        <v>0</v>
      </c>
      <c r="AL68" s="78">
        <v>0</v>
      </c>
      <c r="AM68" s="78">
        <v>0</v>
      </c>
      <c r="AN68" s="78">
        <v>0</v>
      </c>
      <c r="AO68" s="78">
        <v>0</v>
      </c>
      <c r="AP68" s="78">
        <v>2</v>
      </c>
      <c r="AQ68" s="78">
        <v>1</v>
      </c>
      <c r="AR68" s="78">
        <v>0</v>
      </c>
      <c r="AS68" s="78">
        <v>0</v>
      </c>
      <c r="AT68" s="78">
        <v>0</v>
      </c>
      <c r="AU68" s="78">
        <v>0</v>
      </c>
      <c r="AV68" s="78">
        <v>0</v>
      </c>
      <c r="AW68" s="78">
        <v>0</v>
      </c>
      <c r="AX68" s="78">
        <v>0</v>
      </c>
      <c r="AY68" s="78">
        <v>0</v>
      </c>
      <c r="AZ68" s="78">
        <v>2</v>
      </c>
      <c r="BA68" s="78">
        <v>0.5</v>
      </c>
      <c r="BB68" s="78">
        <v>0.5</v>
      </c>
      <c r="BC68" s="78">
        <v>0</v>
      </c>
      <c r="BD68" s="78">
        <v>0</v>
      </c>
      <c r="BE68" s="78">
        <v>0.5</v>
      </c>
      <c r="BF68" s="78">
        <v>0</v>
      </c>
      <c r="BG68" s="78">
        <v>2</v>
      </c>
      <c r="BH68" s="137">
        <v>0.21590909999999999</v>
      </c>
      <c r="BJ68" s="143" t="s">
        <v>735</v>
      </c>
      <c r="BK68" s="143" t="s">
        <v>736</v>
      </c>
      <c r="BL68" s="143" t="s">
        <v>842</v>
      </c>
      <c r="BM68" s="143">
        <v>1797</v>
      </c>
      <c r="BN68" s="78">
        <v>0</v>
      </c>
      <c r="BO68" s="78">
        <v>0</v>
      </c>
      <c r="BP68" s="78">
        <v>0</v>
      </c>
      <c r="BQ68" s="78">
        <v>0</v>
      </c>
      <c r="BR68" s="78">
        <v>0</v>
      </c>
      <c r="BS68" s="78">
        <v>0</v>
      </c>
      <c r="BT68" s="78">
        <v>0</v>
      </c>
      <c r="BU68" s="137">
        <v>0</v>
      </c>
      <c r="BW68" s="143" t="s">
        <v>735</v>
      </c>
      <c r="BX68" s="143" t="s">
        <v>736</v>
      </c>
      <c r="BY68" s="143" t="s">
        <v>842</v>
      </c>
      <c r="BZ68" s="143">
        <v>1797</v>
      </c>
      <c r="CM68" s="143" t="s">
        <v>735</v>
      </c>
      <c r="CN68" s="143" t="s">
        <v>736</v>
      </c>
      <c r="CO68" s="143" t="s">
        <v>842</v>
      </c>
      <c r="CP68" s="143">
        <v>1797</v>
      </c>
      <c r="CQ68" s="78">
        <v>0</v>
      </c>
      <c r="CR68" s="78">
        <v>0</v>
      </c>
      <c r="CS68" s="78">
        <v>0</v>
      </c>
      <c r="CT68" s="78">
        <v>4</v>
      </c>
      <c r="CU68" s="78">
        <v>0</v>
      </c>
      <c r="CV68" s="78">
        <v>8</v>
      </c>
      <c r="CW68" s="137">
        <v>0.23076920000000001</v>
      </c>
      <c r="CY68" s="143" t="s">
        <v>735</v>
      </c>
      <c r="CZ68" s="143" t="s">
        <v>736</v>
      </c>
      <c r="DA68" s="143" t="s">
        <v>842</v>
      </c>
      <c r="DB68" s="143">
        <v>1797</v>
      </c>
      <c r="DC68" s="78">
        <v>0</v>
      </c>
      <c r="DD68" s="137">
        <v>0</v>
      </c>
      <c r="DE68" s="137">
        <v>0</v>
      </c>
      <c r="DG68" s="143" t="s">
        <v>735</v>
      </c>
      <c r="DH68" s="143" t="s">
        <v>736</v>
      </c>
      <c r="DI68" s="143" t="s">
        <v>842</v>
      </c>
      <c r="DJ68" s="143">
        <v>1797</v>
      </c>
      <c r="DK68" s="78">
        <v>0</v>
      </c>
      <c r="DL68" s="78">
        <v>1</v>
      </c>
      <c r="DM68" s="78">
        <v>0</v>
      </c>
      <c r="DN68" s="78">
        <v>4</v>
      </c>
      <c r="DO68" s="78">
        <v>0</v>
      </c>
      <c r="DP68" s="78">
        <v>3</v>
      </c>
      <c r="DQ68" s="78">
        <v>6</v>
      </c>
      <c r="DR68" s="78">
        <v>0</v>
      </c>
      <c r="DS68" s="78">
        <v>0</v>
      </c>
      <c r="DT68" s="78">
        <v>0</v>
      </c>
      <c r="DU68" s="78">
        <v>0</v>
      </c>
      <c r="DV68" s="137">
        <v>0.48275859999999998</v>
      </c>
      <c r="DX68" s="143" t="s">
        <v>735</v>
      </c>
      <c r="DY68" s="143" t="s">
        <v>736</v>
      </c>
      <c r="DZ68" s="143" t="s">
        <v>842</v>
      </c>
      <c r="EA68" s="143">
        <v>1797</v>
      </c>
      <c r="EB68" s="78">
        <v>0</v>
      </c>
      <c r="EC68" s="78">
        <v>0</v>
      </c>
      <c r="ED68" s="78">
        <v>1</v>
      </c>
      <c r="EE68" s="78">
        <v>4</v>
      </c>
      <c r="EF68" s="78">
        <v>0</v>
      </c>
      <c r="EG68" s="78">
        <v>0</v>
      </c>
      <c r="EH68" s="78">
        <v>0</v>
      </c>
      <c r="EI68" s="78">
        <v>1</v>
      </c>
      <c r="EJ68" s="78">
        <v>1</v>
      </c>
      <c r="EK68" s="78">
        <v>1</v>
      </c>
      <c r="EL68" s="78">
        <v>1</v>
      </c>
      <c r="EM68" s="78">
        <v>0</v>
      </c>
      <c r="EN68" s="78">
        <v>0</v>
      </c>
      <c r="EO68" s="78">
        <v>1</v>
      </c>
      <c r="EP68" s="78">
        <v>0</v>
      </c>
      <c r="EQ68" s="137">
        <v>0.37037039999999999</v>
      </c>
      <c r="ES68" s="143" t="s">
        <v>735</v>
      </c>
      <c r="ET68" s="143" t="s">
        <v>736</v>
      </c>
      <c r="EU68" s="143" t="s">
        <v>842</v>
      </c>
      <c r="EV68" s="143">
        <v>1797</v>
      </c>
      <c r="EW68" s="78">
        <v>0</v>
      </c>
      <c r="EX68" s="78">
        <v>0</v>
      </c>
      <c r="EY68" s="78">
        <v>0</v>
      </c>
      <c r="EZ68" s="78">
        <v>0</v>
      </c>
      <c r="FA68" s="78">
        <v>0</v>
      </c>
      <c r="FB68" s="78">
        <v>0</v>
      </c>
      <c r="FC68" s="78">
        <v>2</v>
      </c>
      <c r="FD68" s="78">
        <v>0</v>
      </c>
      <c r="FE68" s="137">
        <v>0.15384619999999999</v>
      </c>
      <c r="FG68" s="137">
        <v>0.16006100000000001</v>
      </c>
    </row>
    <row r="69" spans="1:163" x14ac:dyDescent="0.35">
      <c r="A69" s="143" t="s">
        <v>735</v>
      </c>
      <c r="B69" s="143" t="s">
        <v>736</v>
      </c>
      <c r="C69" s="143" t="s">
        <v>841</v>
      </c>
      <c r="D69" s="143">
        <v>1850</v>
      </c>
      <c r="E69" s="78">
        <v>0</v>
      </c>
      <c r="F69" s="78">
        <v>2.5</v>
      </c>
      <c r="G69" s="78">
        <v>1</v>
      </c>
      <c r="H69" s="78">
        <v>2</v>
      </c>
      <c r="I69" s="78">
        <v>1</v>
      </c>
      <c r="J69" s="78">
        <v>0</v>
      </c>
      <c r="K69" s="78">
        <v>0</v>
      </c>
      <c r="L69" s="78">
        <v>1</v>
      </c>
      <c r="M69" s="78">
        <v>2</v>
      </c>
      <c r="N69" s="137">
        <v>0.67857140000000005</v>
      </c>
      <c r="P69" s="143" t="s">
        <v>735</v>
      </c>
      <c r="Q69" s="143" t="s">
        <v>736</v>
      </c>
      <c r="R69" s="143" t="s">
        <v>841</v>
      </c>
      <c r="S69" s="143">
        <v>1850</v>
      </c>
      <c r="T69" s="78">
        <v>1</v>
      </c>
      <c r="U69" s="78">
        <v>1</v>
      </c>
      <c r="V69" s="78">
        <v>3</v>
      </c>
      <c r="W69" s="78">
        <v>2</v>
      </c>
      <c r="X69" s="78">
        <v>0</v>
      </c>
      <c r="Y69" s="78">
        <v>1</v>
      </c>
      <c r="Z69" s="78">
        <v>0</v>
      </c>
      <c r="AA69" s="78">
        <v>2</v>
      </c>
      <c r="AB69" s="78">
        <v>0</v>
      </c>
      <c r="AC69" s="78">
        <v>3</v>
      </c>
      <c r="AD69" s="137">
        <v>0.3823529</v>
      </c>
      <c r="AF69" s="143" t="s">
        <v>735</v>
      </c>
      <c r="AG69" s="143" t="s">
        <v>736</v>
      </c>
      <c r="AH69" s="143" t="s">
        <v>841</v>
      </c>
      <c r="AI69" s="143">
        <v>1850</v>
      </c>
      <c r="AJ69" s="78">
        <v>1</v>
      </c>
      <c r="AK69" s="78">
        <v>1</v>
      </c>
      <c r="AL69" s="78">
        <v>1</v>
      </c>
      <c r="AM69" s="78">
        <v>1</v>
      </c>
      <c r="AN69" s="78">
        <v>1</v>
      </c>
      <c r="AO69" s="78">
        <v>2</v>
      </c>
      <c r="AP69" s="78">
        <v>1</v>
      </c>
      <c r="AQ69" s="78">
        <v>1</v>
      </c>
      <c r="AR69" s="78">
        <v>2</v>
      </c>
      <c r="AS69" s="78">
        <v>2</v>
      </c>
      <c r="AT69" s="78">
        <v>2</v>
      </c>
      <c r="AU69" s="78">
        <v>1</v>
      </c>
      <c r="AV69" s="78">
        <v>2</v>
      </c>
      <c r="AW69" s="78">
        <v>1</v>
      </c>
      <c r="AX69" s="78">
        <v>4</v>
      </c>
      <c r="AY69" s="78">
        <v>1</v>
      </c>
      <c r="AZ69" s="78">
        <v>2</v>
      </c>
      <c r="BA69" s="78">
        <v>0.5</v>
      </c>
      <c r="BB69" s="78">
        <v>0.5</v>
      </c>
      <c r="BC69" s="78">
        <v>0.5</v>
      </c>
      <c r="BD69" s="78">
        <v>1</v>
      </c>
      <c r="BE69" s="78">
        <v>0.5</v>
      </c>
      <c r="BF69" s="78">
        <v>1</v>
      </c>
      <c r="BG69" s="78">
        <v>4</v>
      </c>
      <c r="BH69" s="137">
        <v>0.77272730000000001</v>
      </c>
      <c r="BJ69" s="143" t="s">
        <v>735</v>
      </c>
      <c r="BK69" s="143" t="s">
        <v>736</v>
      </c>
      <c r="BL69" s="143" t="s">
        <v>841</v>
      </c>
      <c r="BM69" s="143">
        <v>1850</v>
      </c>
      <c r="BN69" s="78">
        <v>1</v>
      </c>
      <c r="BO69" s="78">
        <v>4</v>
      </c>
      <c r="BP69" s="78">
        <v>7</v>
      </c>
      <c r="BQ69" s="78">
        <v>3</v>
      </c>
      <c r="BR69" s="78">
        <v>3</v>
      </c>
      <c r="BS69" s="78">
        <v>0</v>
      </c>
      <c r="BT69" s="78">
        <v>0</v>
      </c>
      <c r="BU69" s="137">
        <v>0.78260870000000005</v>
      </c>
      <c r="BW69" s="143" t="s">
        <v>735</v>
      </c>
      <c r="BX69" s="143" t="s">
        <v>736</v>
      </c>
      <c r="BY69" s="143" t="s">
        <v>841</v>
      </c>
      <c r="BZ69" s="143">
        <v>1850</v>
      </c>
      <c r="CA69" s="78">
        <v>1</v>
      </c>
      <c r="CB69" s="78">
        <v>0</v>
      </c>
      <c r="CC69" s="78">
        <v>1</v>
      </c>
      <c r="CD69" s="78">
        <v>2</v>
      </c>
      <c r="CE69" s="78">
        <v>1</v>
      </c>
      <c r="CF69" s="78">
        <v>2</v>
      </c>
      <c r="CG69" s="78">
        <v>1</v>
      </c>
      <c r="CH69" s="78">
        <v>0</v>
      </c>
      <c r="CI69" s="78">
        <v>1</v>
      </c>
      <c r="CJ69" s="78">
        <v>0</v>
      </c>
      <c r="CK69" s="137">
        <v>0.6</v>
      </c>
      <c r="CM69" s="143" t="s">
        <v>735</v>
      </c>
      <c r="CN69" s="143" t="s">
        <v>736</v>
      </c>
      <c r="CO69" s="143" t="s">
        <v>841</v>
      </c>
      <c r="CP69" s="143">
        <v>1850</v>
      </c>
      <c r="CQ69" s="78">
        <v>8</v>
      </c>
      <c r="CR69" s="78">
        <v>6</v>
      </c>
      <c r="CS69" s="78">
        <v>4</v>
      </c>
      <c r="CT69" s="78">
        <v>4</v>
      </c>
      <c r="CU69" s="78">
        <v>2</v>
      </c>
      <c r="CV69" s="78">
        <v>8</v>
      </c>
      <c r="CW69" s="137">
        <v>0.61538459999999995</v>
      </c>
      <c r="CY69" s="143" t="s">
        <v>735</v>
      </c>
      <c r="CZ69" s="143" t="s">
        <v>736</v>
      </c>
      <c r="DA69" s="143" t="s">
        <v>841</v>
      </c>
      <c r="DB69" s="143">
        <v>1850</v>
      </c>
      <c r="DC69" s="78">
        <v>2</v>
      </c>
      <c r="DD69" s="137">
        <v>0</v>
      </c>
      <c r="DE69" s="137">
        <v>0</v>
      </c>
      <c r="DG69" s="143" t="s">
        <v>735</v>
      </c>
      <c r="DH69" s="143" t="s">
        <v>736</v>
      </c>
      <c r="DI69" s="143" t="s">
        <v>841</v>
      </c>
      <c r="DJ69" s="143">
        <v>1850</v>
      </c>
      <c r="DK69" s="78">
        <v>2</v>
      </c>
      <c r="DL69" s="78">
        <v>1</v>
      </c>
      <c r="DM69" s="78">
        <v>1</v>
      </c>
      <c r="DN69" s="78">
        <v>5</v>
      </c>
      <c r="DO69" s="78">
        <v>2</v>
      </c>
      <c r="DP69" s="78">
        <v>3</v>
      </c>
      <c r="DQ69" s="78">
        <v>6</v>
      </c>
      <c r="DR69" s="78">
        <v>1</v>
      </c>
      <c r="DS69" s="78">
        <v>1</v>
      </c>
      <c r="DT69" s="78">
        <v>2</v>
      </c>
      <c r="DU69" s="78">
        <v>0</v>
      </c>
      <c r="DV69" s="137">
        <v>0.82758620000000005</v>
      </c>
      <c r="DX69" s="143" t="s">
        <v>735</v>
      </c>
      <c r="DY69" s="143" t="s">
        <v>736</v>
      </c>
      <c r="DZ69" s="143" t="s">
        <v>841</v>
      </c>
      <c r="EA69" s="143">
        <v>1850</v>
      </c>
      <c r="EB69" s="78">
        <v>1</v>
      </c>
      <c r="EC69" s="78">
        <v>8</v>
      </c>
      <c r="ED69" s="78">
        <v>1</v>
      </c>
      <c r="EE69" s="78">
        <v>4</v>
      </c>
      <c r="EF69" s="78">
        <v>3</v>
      </c>
      <c r="EG69" s="78">
        <v>1</v>
      </c>
      <c r="EH69" s="78">
        <v>1</v>
      </c>
      <c r="EI69" s="78">
        <v>1</v>
      </c>
      <c r="EJ69" s="78">
        <v>1</v>
      </c>
      <c r="EK69" s="78">
        <v>1</v>
      </c>
      <c r="EL69" s="78">
        <v>1</v>
      </c>
      <c r="EM69" s="78">
        <v>1</v>
      </c>
      <c r="EN69" s="78">
        <v>0</v>
      </c>
      <c r="EO69" s="78">
        <v>1</v>
      </c>
      <c r="EP69" s="78">
        <v>1</v>
      </c>
      <c r="EQ69" s="137">
        <v>0.96296300000000001</v>
      </c>
      <c r="ES69" s="143" t="s">
        <v>735</v>
      </c>
      <c r="ET69" s="143" t="s">
        <v>736</v>
      </c>
      <c r="EU69" s="143" t="s">
        <v>841</v>
      </c>
      <c r="EV69" s="143">
        <v>1850</v>
      </c>
      <c r="EW69" s="78">
        <v>0</v>
      </c>
      <c r="EX69" s="78">
        <v>1</v>
      </c>
      <c r="EY69" s="78">
        <v>0</v>
      </c>
      <c r="EZ69" s="78">
        <v>0</v>
      </c>
      <c r="FA69" s="78">
        <v>0</v>
      </c>
      <c r="FB69" s="78">
        <v>3</v>
      </c>
      <c r="FC69" s="78">
        <v>2</v>
      </c>
      <c r="FD69" s="78">
        <v>0</v>
      </c>
      <c r="FE69" s="137">
        <v>0.46153850000000002</v>
      </c>
      <c r="FG69" s="137">
        <v>0.5</v>
      </c>
    </row>
    <row r="70" spans="1:163" x14ac:dyDescent="0.35">
      <c r="A70" s="143" t="s">
        <v>735</v>
      </c>
      <c r="B70" s="143" t="s">
        <v>736</v>
      </c>
      <c r="C70" s="143" t="s">
        <v>842</v>
      </c>
      <c r="D70" s="143">
        <v>1855</v>
      </c>
      <c r="E70" s="78">
        <v>0.5</v>
      </c>
      <c r="F70" s="78">
        <v>1.5</v>
      </c>
      <c r="G70" s="78">
        <v>1</v>
      </c>
      <c r="H70" s="78">
        <v>0</v>
      </c>
      <c r="I70" s="78">
        <v>1</v>
      </c>
      <c r="J70" s="78">
        <v>0</v>
      </c>
      <c r="K70" s="78">
        <v>1</v>
      </c>
      <c r="L70" s="78">
        <v>0</v>
      </c>
      <c r="M70" s="78">
        <v>0</v>
      </c>
      <c r="N70" s="137">
        <v>0.35714289999999999</v>
      </c>
      <c r="P70" s="143" t="s">
        <v>735</v>
      </c>
      <c r="Q70" s="143" t="s">
        <v>736</v>
      </c>
      <c r="R70" s="143" t="s">
        <v>842</v>
      </c>
      <c r="S70" s="143">
        <v>1855</v>
      </c>
      <c r="T70" s="78">
        <v>1</v>
      </c>
      <c r="U70" s="78">
        <v>1</v>
      </c>
      <c r="V70" s="78">
        <v>0</v>
      </c>
      <c r="W70" s="78">
        <v>0</v>
      </c>
      <c r="X70" s="78">
        <v>0</v>
      </c>
      <c r="Y70" s="78">
        <v>1</v>
      </c>
      <c r="Z70" s="78">
        <v>0</v>
      </c>
      <c r="AA70" s="78">
        <v>0</v>
      </c>
      <c r="AB70" s="78">
        <v>0</v>
      </c>
      <c r="AC70" s="78">
        <v>0</v>
      </c>
      <c r="AD70" s="137">
        <v>8.8235300000000003E-2</v>
      </c>
      <c r="AF70" s="143" t="s">
        <v>735</v>
      </c>
      <c r="AG70" s="143" t="s">
        <v>736</v>
      </c>
      <c r="AH70" s="143" t="s">
        <v>842</v>
      </c>
      <c r="AI70" s="143">
        <v>1855</v>
      </c>
      <c r="AJ70" s="78">
        <v>0</v>
      </c>
      <c r="AK70" s="78">
        <v>0</v>
      </c>
      <c r="AL70" s="78">
        <v>1</v>
      </c>
      <c r="AM70" s="78">
        <v>0</v>
      </c>
      <c r="AN70" s="78">
        <v>1</v>
      </c>
      <c r="AO70" s="78">
        <v>0</v>
      </c>
      <c r="AP70" s="78">
        <v>1</v>
      </c>
      <c r="AQ70" s="78">
        <v>1</v>
      </c>
      <c r="AR70" s="78">
        <v>0</v>
      </c>
      <c r="AS70" s="78">
        <v>0</v>
      </c>
      <c r="AT70" s="78">
        <v>0</v>
      </c>
      <c r="AU70" s="78">
        <v>0</v>
      </c>
      <c r="AV70" s="78">
        <v>0</v>
      </c>
      <c r="AW70" s="78">
        <v>0</v>
      </c>
      <c r="AX70" s="78">
        <v>0</v>
      </c>
      <c r="AY70" s="78">
        <v>0</v>
      </c>
      <c r="AZ70" s="78">
        <v>0</v>
      </c>
      <c r="BA70" s="78">
        <v>0.5</v>
      </c>
      <c r="BB70" s="78">
        <v>0.5</v>
      </c>
      <c r="BC70" s="78">
        <v>0</v>
      </c>
      <c r="BD70" s="78">
        <v>1</v>
      </c>
      <c r="BE70" s="78">
        <v>0.5</v>
      </c>
      <c r="BF70" s="78">
        <v>0</v>
      </c>
      <c r="BG70" s="78">
        <v>2</v>
      </c>
      <c r="BH70" s="137">
        <v>0.19318179999999999</v>
      </c>
      <c r="BJ70" s="143" t="s">
        <v>735</v>
      </c>
      <c r="BK70" s="143" t="s">
        <v>736</v>
      </c>
      <c r="BL70" s="143" t="s">
        <v>842</v>
      </c>
      <c r="BM70" s="143">
        <v>1855</v>
      </c>
      <c r="BN70" s="78">
        <v>1</v>
      </c>
      <c r="BO70" s="78">
        <v>0</v>
      </c>
      <c r="BP70" s="78">
        <v>0</v>
      </c>
      <c r="BQ70" s="78">
        <v>0</v>
      </c>
      <c r="BR70" s="78">
        <v>0</v>
      </c>
      <c r="BS70" s="78">
        <v>0</v>
      </c>
      <c r="BT70" s="78">
        <v>0</v>
      </c>
      <c r="BU70" s="137">
        <v>4.3478299999999998E-2</v>
      </c>
      <c r="BW70" s="143" t="s">
        <v>735</v>
      </c>
      <c r="BX70" s="143" t="s">
        <v>736</v>
      </c>
      <c r="BY70" s="143" t="s">
        <v>842</v>
      </c>
      <c r="BZ70" s="143">
        <v>1855</v>
      </c>
      <c r="CM70" s="143" t="s">
        <v>735</v>
      </c>
      <c r="CN70" s="143" t="s">
        <v>736</v>
      </c>
      <c r="CO70" s="143" t="s">
        <v>842</v>
      </c>
      <c r="CP70" s="143">
        <v>1855</v>
      </c>
      <c r="CQ70" s="78">
        <v>0</v>
      </c>
      <c r="CR70" s="78">
        <v>0</v>
      </c>
      <c r="CS70" s="78">
        <v>0</v>
      </c>
      <c r="CT70" s="78">
        <v>0</v>
      </c>
      <c r="CU70" s="78">
        <v>0</v>
      </c>
      <c r="CV70" s="78">
        <v>8</v>
      </c>
      <c r="CW70" s="137">
        <v>0.15384619999999999</v>
      </c>
      <c r="CY70" s="143" t="s">
        <v>735</v>
      </c>
      <c r="CZ70" s="143" t="s">
        <v>736</v>
      </c>
      <c r="DA70" s="143" t="s">
        <v>842</v>
      </c>
      <c r="DB70" s="143">
        <v>1855</v>
      </c>
      <c r="DC70" s="78">
        <v>0</v>
      </c>
      <c r="DD70" s="137">
        <v>0</v>
      </c>
      <c r="DE70" s="137">
        <v>0</v>
      </c>
      <c r="DG70" s="143" t="s">
        <v>735</v>
      </c>
      <c r="DH70" s="143" t="s">
        <v>736</v>
      </c>
      <c r="DI70" s="143" t="s">
        <v>842</v>
      </c>
      <c r="DJ70" s="143">
        <v>1855</v>
      </c>
      <c r="DK70" s="78">
        <v>2</v>
      </c>
      <c r="DL70" s="78">
        <v>1</v>
      </c>
      <c r="DM70" s="78">
        <v>0</v>
      </c>
      <c r="DN70" s="78">
        <v>2</v>
      </c>
      <c r="DO70" s="78">
        <v>2</v>
      </c>
      <c r="DP70" s="78">
        <v>3</v>
      </c>
      <c r="DQ70" s="78">
        <v>5</v>
      </c>
      <c r="DR70" s="78">
        <v>0</v>
      </c>
      <c r="DS70" s="78">
        <v>1</v>
      </c>
      <c r="DT70" s="78">
        <v>0</v>
      </c>
      <c r="DU70" s="78">
        <v>0</v>
      </c>
      <c r="DV70" s="137">
        <v>0.55172410000000005</v>
      </c>
      <c r="DX70" s="143" t="s">
        <v>735</v>
      </c>
      <c r="DY70" s="143" t="s">
        <v>736</v>
      </c>
      <c r="DZ70" s="143" t="s">
        <v>842</v>
      </c>
      <c r="EA70" s="143">
        <v>1855</v>
      </c>
      <c r="EB70" s="78">
        <v>1</v>
      </c>
      <c r="EC70" s="78">
        <v>8</v>
      </c>
      <c r="ED70" s="78">
        <v>1</v>
      </c>
      <c r="EE70" s="78">
        <v>4</v>
      </c>
      <c r="EF70" s="78">
        <v>3</v>
      </c>
      <c r="EG70" s="78">
        <v>1</v>
      </c>
      <c r="EH70" s="78">
        <v>0</v>
      </c>
      <c r="EI70" s="78">
        <v>1</v>
      </c>
      <c r="EJ70" s="78">
        <v>1</v>
      </c>
      <c r="EK70" s="78">
        <v>0</v>
      </c>
      <c r="EL70" s="78">
        <v>1</v>
      </c>
      <c r="EM70" s="78">
        <v>1</v>
      </c>
      <c r="EN70" s="78">
        <v>0</v>
      </c>
      <c r="EO70" s="78">
        <v>1</v>
      </c>
      <c r="EP70" s="78">
        <v>0</v>
      </c>
      <c r="EQ70" s="137">
        <v>0.8518519</v>
      </c>
      <c r="ES70" s="143" t="s">
        <v>735</v>
      </c>
      <c r="ET70" s="143" t="s">
        <v>736</v>
      </c>
      <c r="EU70" s="143" t="s">
        <v>842</v>
      </c>
      <c r="EV70" s="143">
        <v>1855</v>
      </c>
      <c r="EW70" s="78">
        <v>0</v>
      </c>
      <c r="EX70" s="78">
        <v>0</v>
      </c>
      <c r="EY70" s="78">
        <v>0</v>
      </c>
      <c r="EZ70" s="78">
        <v>0</v>
      </c>
      <c r="FA70" s="78">
        <v>0.5</v>
      </c>
      <c r="FB70" s="78">
        <v>0</v>
      </c>
      <c r="FC70" s="78">
        <v>2</v>
      </c>
      <c r="FD70" s="78">
        <v>0</v>
      </c>
      <c r="FE70" s="137">
        <v>0.1923077</v>
      </c>
      <c r="FG70" s="137">
        <v>0.20426830000000001</v>
      </c>
    </row>
    <row r="71" spans="1:163" x14ac:dyDescent="0.35">
      <c r="A71" s="143" t="s">
        <v>735</v>
      </c>
      <c r="B71" s="143" t="s">
        <v>736</v>
      </c>
      <c r="C71" s="143" t="s">
        <v>842</v>
      </c>
      <c r="D71" s="143">
        <v>1856</v>
      </c>
      <c r="E71" s="78">
        <v>0</v>
      </c>
      <c r="F71" s="78">
        <v>1.5</v>
      </c>
      <c r="G71" s="78">
        <v>0</v>
      </c>
      <c r="H71" s="78">
        <v>0</v>
      </c>
      <c r="I71" s="78">
        <v>1</v>
      </c>
      <c r="J71" s="78">
        <v>0</v>
      </c>
      <c r="K71" s="78">
        <v>1</v>
      </c>
      <c r="L71" s="78">
        <v>0</v>
      </c>
      <c r="M71" s="78">
        <v>0</v>
      </c>
      <c r="N71" s="137">
        <v>0.25</v>
      </c>
      <c r="P71" s="143" t="s">
        <v>735</v>
      </c>
      <c r="Q71" s="143" t="s">
        <v>736</v>
      </c>
      <c r="R71" s="143" t="s">
        <v>842</v>
      </c>
      <c r="S71" s="143">
        <v>1856</v>
      </c>
      <c r="T71" s="78">
        <v>1</v>
      </c>
      <c r="U71" s="78">
        <v>0</v>
      </c>
      <c r="V71" s="78">
        <v>1.5</v>
      </c>
      <c r="W71" s="78">
        <v>2</v>
      </c>
      <c r="X71" s="78">
        <v>0</v>
      </c>
      <c r="Y71" s="78">
        <v>1</v>
      </c>
      <c r="Z71" s="78">
        <v>0</v>
      </c>
      <c r="AA71" s="78">
        <v>0</v>
      </c>
      <c r="AB71" s="78">
        <v>0</v>
      </c>
      <c r="AC71" s="78">
        <v>0</v>
      </c>
      <c r="AD71" s="137">
        <v>0.16176470000000001</v>
      </c>
      <c r="AF71" s="143" t="s">
        <v>735</v>
      </c>
      <c r="AG71" s="143" t="s">
        <v>736</v>
      </c>
      <c r="AH71" s="143" t="s">
        <v>842</v>
      </c>
      <c r="AI71" s="143">
        <v>1856</v>
      </c>
      <c r="AJ71" s="78">
        <v>1</v>
      </c>
      <c r="AK71" s="78">
        <v>0</v>
      </c>
      <c r="AL71" s="78">
        <v>0</v>
      </c>
      <c r="AM71" s="78">
        <v>0</v>
      </c>
      <c r="AN71" s="78">
        <v>0</v>
      </c>
      <c r="AO71" s="78">
        <v>0</v>
      </c>
      <c r="AP71" s="78">
        <v>2</v>
      </c>
      <c r="AQ71" s="78">
        <v>1</v>
      </c>
      <c r="AR71" s="78">
        <v>0</v>
      </c>
      <c r="AS71" s="78">
        <v>0</v>
      </c>
      <c r="AT71" s="78">
        <v>0</v>
      </c>
      <c r="AU71" s="78">
        <v>0</v>
      </c>
      <c r="AV71" s="78">
        <v>0</v>
      </c>
      <c r="AW71" s="78">
        <v>0</v>
      </c>
      <c r="AX71" s="78">
        <v>0</v>
      </c>
      <c r="AY71" s="78">
        <v>0</v>
      </c>
      <c r="AZ71" s="78">
        <v>2</v>
      </c>
      <c r="BA71" s="78">
        <v>0.5</v>
      </c>
      <c r="BB71" s="78">
        <v>0</v>
      </c>
      <c r="BC71" s="78">
        <v>0</v>
      </c>
      <c r="BD71" s="78">
        <v>1</v>
      </c>
      <c r="BE71" s="78">
        <v>0</v>
      </c>
      <c r="BF71" s="78">
        <v>0</v>
      </c>
      <c r="BG71" s="78">
        <v>2</v>
      </c>
      <c r="BH71" s="137">
        <v>0.21590909999999999</v>
      </c>
      <c r="BJ71" s="143" t="s">
        <v>735</v>
      </c>
      <c r="BK71" s="143" t="s">
        <v>736</v>
      </c>
      <c r="BL71" s="143" t="s">
        <v>842</v>
      </c>
      <c r="BM71" s="143">
        <v>1856</v>
      </c>
      <c r="BN71" s="78">
        <v>0</v>
      </c>
      <c r="BO71" s="78">
        <v>4</v>
      </c>
      <c r="BP71" s="78">
        <v>0</v>
      </c>
      <c r="BQ71" s="78">
        <v>0</v>
      </c>
      <c r="BR71" s="78">
        <v>0</v>
      </c>
      <c r="BS71" s="78">
        <v>0</v>
      </c>
      <c r="BT71" s="78">
        <v>0</v>
      </c>
      <c r="BU71" s="137">
        <v>0.17391300000000001</v>
      </c>
      <c r="BW71" s="143" t="s">
        <v>735</v>
      </c>
      <c r="BX71" s="143" t="s">
        <v>736</v>
      </c>
      <c r="BY71" s="143" t="s">
        <v>842</v>
      </c>
      <c r="BZ71" s="143">
        <v>1856</v>
      </c>
      <c r="CM71" s="143" t="s">
        <v>735</v>
      </c>
      <c r="CN71" s="143" t="s">
        <v>736</v>
      </c>
      <c r="CO71" s="143" t="s">
        <v>842</v>
      </c>
      <c r="CP71" s="143">
        <v>1856</v>
      </c>
      <c r="CQ71" s="78">
        <v>0</v>
      </c>
      <c r="CR71" s="78">
        <v>0</v>
      </c>
      <c r="CS71" s="78">
        <v>0</v>
      </c>
      <c r="CT71" s="78">
        <v>0</v>
      </c>
      <c r="CU71" s="78">
        <v>0</v>
      </c>
      <c r="CV71" s="78">
        <v>8</v>
      </c>
      <c r="CW71" s="137">
        <v>0.15384619999999999</v>
      </c>
      <c r="CY71" s="143" t="s">
        <v>735</v>
      </c>
      <c r="CZ71" s="143" t="s">
        <v>736</v>
      </c>
      <c r="DA71" s="143" t="s">
        <v>842</v>
      </c>
      <c r="DB71" s="143">
        <v>1856</v>
      </c>
      <c r="DC71" s="78">
        <v>0</v>
      </c>
      <c r="DD71" s="137">
        <v>0</v>
      </c>
      <c r="DE71" s="137">
        <v>0</v>
      </c>
      <c r="DG71" s="143" t="s">
        <v>735</v>
      </c>
      <c r="DH71" s="143" t="s">
        <v>736</v>
      </c>
      <c r="DI71" s="143" t="s">
        <v>842</v>
      </c>
      <c r="DJ71" s="143">
        <v>1856</v>
      </c>
      <c r="DK71" s="78">
        <v>2</v>
      </c>
      <c r="DL71" s="78">
        <v>1</v>
      </c>
      <c r="DM71" s="78">
        <v>0</v>
      </c>
      <c r="DN71" s="78">
        <v>5</v>
      </c>
      <c r="DO71" s="78">
        <v>0</v>
      </c>
      <c r="DP71" s="78">
        <v>3</v>
      </c>
      <c r="DQ71" s="78">
        <v>3</v>
      </c>
      <c r="DR71" s="78">
        <v>0</v>
      </c>
      <c r="DS71" s="78">
        <v>0</v>
      </c>
      <c r="DT71" s="78">
        <v>0</v>
      </c>
      <c r="DU71" s="78">
        <v>0</v>
      </c>
      <c r="DV71" s="137">
        <v>0.48275859999999998</v>
      </c>
      <c r="DX71" s="143" t="s">
        <v>735</v>
      </c>
      <c r="DY71" s="143" t="s">
        <v>736</v>
      </c>
      <c r="DZ71" s="143" t="s">
        <v>842</v>
      </c>
      <c r="EA71" s="143">
        <v>1856</v>
      </c>
      <c r="EB71" s="78">
        <v>0</v>
      </c>
      <c r="EC71" s="78">
        <v>0</v>
      </c>
      <c r="ED71" s="78">
        <v>1</v>
      </c>
      <c r="EE71" s="78">
        <v>4</v>
      </c>
      <c r="EF71" s="78">
        <v>3</v>
      </c>
      <c r="EG71" s="78">
        <v>1</v>
      </c>
      <c r="EH71" s="78">
        <v>0</v>
      </c>
      <c r="EI71" s="78">
        <v>1</v>
      </c>
      <c r="EJ71" s="78">
        <v>1</v>
      </c>
      <c r="EK71" s="78">
        <v>1</v>
      </c>
      <c r="EL71" s="78">
        <v>1</v>
      </c>
      <c r="EM71" s="78">
        <v>1</v>
      </c>
      <c r="EN71" s="78">
        <v>0</v>
      </c>
      <c r="EO71" s="78">
        <v>0</v>
      </c>
      <c r="EP71" s="78">
        <v>0</v>
      </c>
      <c r="EQ71" s="137">
        <v>0.51851849999999999</v>
      </c>
      <c r="ES71" s="143" t="s">
        <v>735</v>
      </c>
      <c r="ET71" s="143" t="s">
        <v>736</v>
      </c>
      <c r="EU71" s="143" t="s">
        <v>842</v>
      </c>
      <c r="EV71" s="143">
        <v>1856</v>
      </c>
      <c r="EW71" s="78">
        <v>0</v>
      </c>
      <c r="EX71" s="78">
        <v>0</v>
      </c>
      <c r="EY71" s="78">
        <v>0</v>
      </c>
      <c r="EZ71" s="78">
        <v>0</v>
      </c>
      <c r="FA71" s="78">
        <v>0</v>
      </c>
      <c r="FB71" s="78">
        <v>3</v>
      </c>
      <c r="FC71" s="78">
        <v>2</v>
      </c>
      <c r="FD71" s="78">
        <v>1</v>
      </c>
      <c r="FE71" s="137">
        <v>0.46153850000000002</v>
      </c>
      <c r="FG71" s="137">
        <v>0.1966463</v>
      </c>
    </row>
    <row r="72" spans="1:163" x14ac:dyDescent="0.35">
      <c r="A72" s="143" t="s">
        <v>735</v>
      </c>
      <c r="B72" s="143" t="s">
        <v>736</v>
      </c>
      <c r="C72" s="143" t="s">
        <v>842</v>
      </c>
      <c r="D72" s="143">
        <v>2444</v>
      </c>
      <c r="E72" s="78">
        <v>0</v>
      </c>
      <c r="F72" s="78">
        <v>2</v>
      </c>
      <c r="G72" s="78">
        <v>1</v>
      </c>
      <c r="H72" s="78">
        <v>1</v>
      </c>
      <c r="I72" s="78">
        <v>1</v>
      </c>
      <c r="J72" s="78">
        <v>0</v>
      </c>
      <c r="K72" s="78">
        <v>1</v>
      </c>
      <c r="L72" s="78">
        <v>0</v>
      </c>
      <c r="M72" s="78">
        <v>2</v>
      </c>
      <c r="N72" s="137">
        <v>0.57142859999999995</v>
      </c>
      <c r="P72" s="143" t="s">
        <v>735</v>
      </c>
      <c r="Q72" s="143" t="s">
        <v>736</v>
      </c>
      <c r="R72" s="143" t="s">
        <v>842</v>
      </c>
      <c r="S72" s="143">
        <v>2444</v>
      </c>
      <c r="T72" s="78">
        <v>1</v>
      </c>
      <c r="U72" s="78">
        <v>1</v>
      </c>
      <c r="V72" s="78">
        <v>0.5</v>
      </c>
      <c r="W72" s="78">
        <v>0.5</v>
      </c>
      <c r="X72" s="78">
        <v>0</v>
      </c>
      <c r="Y72" s="78">
        <v>1</v>
      </c>
      <c r="Z72" s="78">
        <v>3</v>
      </c>
      <c r="AA72" s="78">
        <v>0</v>
      </c>
      <c r="AB72" s="78">
        <v>6</v>
      </c>
      <c r="AC72" s="78">
        <v>0</v>
      </c>
      <c r="AD72" s="137">
        <v>0.3823529</v>
      </c>
      <c r="AF72" s="143" t="s">
        <v>735</v>
      </c>
      <c r="AG72" s="143" t="s">
        <v>736</v>
      </c>
      <c r="AH72" s="143" t="s">
        <v>842</v>
      </c>
      <c r="AI72" s="143">
        <v>2444</v>
      </c>
      <c r="AJ72" s="78">
        <v>1</v>
      </c>
      <c r="AK72" s="78">
        <v>1</v>
      </c>
      <c r="AL72" s="78">
        <v>1</v>
      </c>
      <c r="AM72" s="78">
        <v>1</v>
      </c>
      <c r="AN72" s="78">
        <v>1</v>
      </c>
      <c r="AO72" s="78">
        <v>2</v>
      </c>
      <c r="AP72" s="78">
        <v>2</v>
      </c>
      <c r="AQ72" s="78">
        <v>1</v>
      </c>
      <c r="AR72" s="78">
        <v>0</v>
      </c>
      <c r="AS72" s="78">
        <v>0</v>
      </c>
      <c r="AT72" s="78">
        <v>2</v>
      </c>
      <c r="AU72" s="78">
        <v>1</v>
      </c>
      <c r="AV72" s="78">
        <v>2</v>
      </c>
      <c r="AW72" s="78">
        <v>1</v>
      </c>
      <c r="AX72" s="78">
        <v>4</v>
      </c>
      <c r="AY72" s="78">
        <v>1</v>
      </c>
      <c r="AZ72" s="78">
        <v>0</v>
      </c>
      <c r="BA72" s="78">
        <v>0.5</v>
      </c>
      <c r="BB72" s="78">
        <v>0.5</v>
      </c>
      <c r="BC72" s="78">
        <v>0.5</v>
      </c>
      <c r="BD72" s="78">
        <v>1</v>
      </c>
      <c r="BE72" s="78">
        <v>0.5</v>
      </c>
      <c r="BF72" s="78">
        <v>1</v>
      </c>
      <c r="BG72" s="78">
        <v>8</v>
      </c>
      <c r="BH72" s="137">
        <v>0.75</v>
      </c>
      <c r="BJ72" s="143" t="s">
        <v>735</v>
      </c>
      <c r="BK72" s="143" t="s">
        <v>736</v>
      </c>
      <c r="BL72" s="143" t="s">
        <v>842</v>
      </c>
      <c r="BM72" s="143">
        <v>2444</v>
      </c>
      <c r="BN72" s="78">
        <v>0</v>
      </c>
      <c r="BO72" s="78">
        <v>4</v>
      </c>
      <c r="BP72" s="78">
        <v>0</v>
      </c>
      <c r="BQ72" s="78">
        <v>0</v>
      </c>
      <c r="BR72" s="78">
        <v>0</v>
      </c>
      <c r="BS72" s="78">
        <v>0</v>
      </c>
      <c r="BT72" s="78">
        <v>0</v>
      </c>
      <c r="BU72" s="137">
        <v>0.17391300000000001</v>
      </c>
      <c r="BW72" s="143" t="s">
        <v>735</v>
      </c>
      <c r="BX72" s="143" t="s">
        <v>736</v>
      </c>
      <c r="BY72" s="143" t="s">
        <v>842</v>
      </c>
      <c r="BZ72" s="143">
        <v>2444</v>
      </c>
      <c r="CM72" s="143" t="s">
        <v>735</v>
      </c>
      <c r="CN72" s="143" t="s">
        <v>736</v>
      </c>
      <c r="CO72" s="143" t="s">
        <v>842</v>
      </c>
      <c r="CP72" s="143">
        <v>2444</v>
      </c>
      <c r="CQ72" s="78">
        <v>8</v>
      </c>
      <c r="CR72" s="78">
        <v>0</v>
      </c>
      <c r="CS72" s="78">
        <v>12</v>
      </c>
      <c r="CT72" s="78">
        <v>4</v>
      </c>
      <c r="CU72" s="78">
        <v>2</v>
      </c>
      <c r="CV72" s="78">
        <v>8</v>
      </c>
      <c r="CW72" s="137">
        <v>0.65384609999999999</v>
      </c>
      <c r="CY72" s="143" t="s">
        <v>735</v>
      </c>
      <c r="CZ72" s="143" t="s">
        <v>736</v>
      </c>
      <c r="DA72" s="143" t="s">
        <v>842</v>
      </c>
      <c r="DB72" s="143">
        <v>2444</v>
      </c>
      <c r="DC72" s="78">
        <v>0</v>
      </c>
      <c r="DD72" s="137">
        <v>0</v>
      </c>
      <c r="DE72" s="137">
        <v>0</v>
      </c>
      <c r="DG72" s="143" t="s">
        <v>735</v>
      </c>
      <c r="DH72" s="143" t="s">
        <v>736</v>
      </c>
      <c r="DI72" s="143" t="s">
        <v>842</v>
      </c>
      <c r="DJ72" s="143">
        <v>2444</v>
      </c>
      <c r="DK72" s="78">
        <v>0</v>
      </c>
      <c r="DL72" s="78">
        <v>1</v>
      </c>
      <c r="DM72" s="78">
        <v>0</v>
      </c>
      <c r="DN72" s="78">
        <v>5</v>
      </c>
      <c r="DO72" s="78">
        <v>0</v>
      </c>
      <c r="DP72" s="78">
        <v>3</v>
      </c>
      <c r="DQ72" s="78">
        <v>5</v>
      </c>
      <c r="DR72" s="78">
        <v>1</v>
      </c>
      <c r="DS72" s="78">
        <v>1</v>
      </c>
      <c r="DT72" s="78">
        <v>0</v>
      </c>
      <c r="DU72" s="78">
        <v>0</v>
      </c>
      <c r="DV72" s="137">
        <v>0.55172410000000005</v>
      </c>
      <c r="DX72" s="143" t="s">
        <v>735</v>
      </c>
      <c r="DY72" s="143" t="s">
        <v>736</v>
      </c>
      <c r="DZ72" s="143" t="s">
        <v>842</v>
      </c>
      <c r="EA72" s="143">
        <v>2444</v>
      </c>
      <c r="EB72" s="78">
        <v>0</v>
      </c>
      <c r="EC72" s="78">
        <v>8</v>
      </c>
      <c r="ED72" s="78">
        <v>0</v>
      </c>
      <c r="EE72" s="78">
        <v>4</v>
      </c>
      <c r="EF72" s="78">
        <v>3</v>
      </c>
      <c r="EG72" s="78">
        <v>0</v>
      </c>
      <c r="EH72" s="78">
        <v>0</v>
      </c>
      <c r="EI72" s="78">
        <v>1</v>
      </c>
      <c r="EJ72" s="78">
        <v>1</v>
      </c>
      <c r="EK72" s="78">
        <v>1</v>
      </c>
      <c r="EL72" s="78">
        <v>1</v>
      </c>
      <c r="EM72" s="78">
        <v>1</v>
      </c>
      <c r="EN72" s="78">
        <v>0</v>
      </c>
      <c r="EO72" s="78">
        <v>1</v>
      </c>
      <c r="EP72" s="78">
        <v>0</v>
      </c>
      <c r="EQ72" s="137">
        <v>0.77777779999999996</v>
      </c>
      <c r="ES72" s="143" t="s">
        <v>735</v>
      </c>
      <c r="ET72" s="143" t="s">
        <v>736</v>
      </c>
      <c r="EU72" s="143" t="s">
        <v>842</v>
      </c>
      <c r="EV72" s="143">
        <v>2444</v>
      </c>
      <c r="EW72" s="78">
        <v>0</v>
      </c>
      <c r="EX72" s="78">
        <v>0</v>
      </c>
      <c r="EY72" s="78">
        <v>0</v>
      </c>
      <c r="EZ72" s="78">
        <v>0</v>
      </c>
      <c r="FA72" s="78">
        <v>0</v>
      </c>
      <c r="FB72" s="78">
        <v>3</v>
      </c>
      <c r="FC72" s="78">
        <v>2</v>
      </c>
      <c r="FD72" s="78">
        <v>0</v>
      </c>
      <c r="FE72" s="137">
        <v>0.3846154</v>
      </c>
      <c r="FG72" s="137">
        <v>0.40853660000000003</v>
      </c>
    </row>
    <row r="73" spans="1:163" x14ac:dyDescent="0.35">
      <c r="A73" s="143" t="s">
        <v>735</v>
      </c>
      <c r="B73" s="143" t="s">
        <v>736</v>
      </c>
      <c r="C73" s="143" t="s">
        <v>842</v>
      </c>
      <c r="D73" s="143">
        <v>3722</v>
      </c>
      <c r="E73" s="78">
        <v>0</v>
      </c>
      <c r="F73" s="78">
        <v>1</v>
      </c>
      <c r="G73" s="78">
        <v>0</v>
      </c>
      <c r="H73" s="78">
        <v>0</v>
      </c>
      <c r="I73" s="78">
        <v>1</v>
      </c>
      <c r="J73" s="78">
        <v>0</v>
      </c>
      <c r="K73" s="78">
        <v>0</v>
      </c>
      <c r="L73" s="78">
        <v>0</v>
      </c>
      <c r="M73" s="78">
        <v>0</v>
      </c>
      <c r="N73" s="137">
        <v>0.14285709999999999</v>
      </c>
      <c r="P73" s="143" t="s">
        <v>735</v>
      </c>
      <c r="Q73" s="143" t="s">
        <v>736</v>
      </c>
      <c r="R73" s="143" t="s">
        <v>842</v>
      </c>
      <c r="S73" s="143">
        <v>3722</v>
      </c>
      <c r="T73" s="78">
        <v>1</v>
      </c>
      <c r="U73" s="78">
        <v>1</v>
      </c>
      <c r="V73" s="78">
        <v>0</v>
      </c>
      <c r="W73" s="78">
        <v>0</v>
      </c>
      <c r="X73" s="78">
        <v>0</v>
      </c>
      <c r="Y73" s="78">
        <v>1</v>
      </c>
      <c r="Z73" s="78">
        <v>0</v>
      </c>
      <c r="AA73" s="78">
        <v>0</v>
      </c>
      <c r="AB73" s="78">
        <v>0</v>
      </c>
      <c r="AC73" s="78">
        <v>0</v>
      </c>
      <c r="AD73" s="137">
        <v>8.8235300000000003E-2</v>
      </c>
      <c r="AF73" s="143" t="s">
        <v>735</v>
      </c>
      <c r="AG73" s="143" t="s">
        <v>736</v>
      </c>
      <c r="AH73" s="143" t="s">
        <v>842</v>
      </c>
      <c r="AI73" s="143">
        <v>3722</v>
      </c>
      <c r="AJ73" s="78">
        <v>0</v>
      </c>
      <c r="AK73" s="78">
        <v>0</v>
      </c>
      <c r="AL73" s="78">
        <v>0</v>
      </c>
      <c r="AM73" s="78">
        <v>0</v>
      </c>
      <c r="AN73" s="78">
        <v>1</v>
      </c>
      <c r="AO73" s="78">
        <v>0</v>
      </c>
      <c r="AP73" s="78">
        <v>1</v>
      </c>
      <c r="AQ73" s="78">
        <v>0</v>
      </c>
      <c r="AR73" s="78">
        <v>0</v>
      </c>
      <c r="AS73" s="78">
        <v>0</v>
      </c>
      <c r="AT73" s="78">
        <v>0</v>
      </c>
      <c r="AU73" s="78">
        <v>0</v>
      </c>
      <c r="AV73" s="78">
        <v>0</v>
      </c>
      <c r="AW73" s="78">
        <v>0</v>
      </c>
      <c r="AX73" s="78">
        <v>0</v>
      </c>
      <c r="AY73" s="78">
        <v>0</v>
      </c>
      <c r="AZ73" s="78">
        <v>0</v>
      </c>
      <c r="BA73" s="78">
        <v>0</v>
      </c>
      <c r="BB73" s="78">
        <v>0.5</v>
      </c>
      <c r="BC73" s="78">
        <v>0</v>
      </c>
      <c r="BD73" s="78">
        <v>1</v>
      </c>
      <c r="BE73" s="78">
        <v>0.5</v>
      </c>
      <c r="BF73" s="78">
        <v>0</v>
      </c>
      <c r="BG73" s="78">
        <v>2</v>
      </c>
      <c r="BH73" s="137">
        <v>0.1363636</v>
      </c>
      <c r="BJ73" s="143" t="s">
        <v>735</v>
      </c>
      <c r="BK73" s="143" t="s">
        <v>736</v>
      </c>
      <c r="BL73" s="143" t="s">
        <v>842</v>
      </c>
      <c r="BM73" s="143">
        <v>3722</v>
      </c>
      <c r="BN73" s="78">
        <v>0</v>
      </c>
      <c r="BO73" s="78">
        <v>0</v>
      </c>
      <c r="BP73" s="78">
        <v>0</v>
      </c>
      <c r="BQ73" s="78">
        <v>0</v>
      </c>
      <c r="BR73" s="78">
        <v>0</v>
      </c>
      <c r="BS73" s="78">
        <v>0</v>
      </c>
      <c r="BT73" s="78">
        <v>0</v>
      </c>
      <c r="BU73" s="137">
        <v>0</v>
      </c>
      <c r="BW73" s="143" t="s">
        <v>735</v>
      </c>
      <c r="BX73" s="143" t="s">
        <v>736</v>
      </c>
      <c r="BY73" s="143" t="s">
        <v>842</v>
      </c>
      <c r="BZ73" s="143">
        <v>3722</v>
      </c>
      <c r="CM73" s="143" t="s">
        <v>735</v>
      </c>
      <c r="CN73" s="143" t="s">
        <v>736</v>
      </c>
      <c r="CO73" s="143" t="s">
        <v>842</v>
      </c>
      <c r="CP73" s="143">
        <v>3722</v>
      </c>
      <c r="CQ73" s="78">
        <v>8</v>
      </c>
      <c r="CR73" s="78">
        <v>0</v>
      </c>
      <c r="CS73" s="78">
        <v>0</v>
      </c>
      <c r="CT73" s="78">
        <v>4</v>
      </c>
      <c r="CU73" s="78">
        <v>0</v>
      </c>
      <c r="CV73" s="78">
        <v>8</v>
      </c>
      <c r="CW73" s="137">
        <v>0.3846154</v>
      </c>
      <c r="CY73" s="143" t="s">
        <v>735</v>
      </c>
      <c r="CZ73" s="143" t="s">
        <v>736</v>
      </c>
      <c r="DA73" s="143" t="s">
        <v>842</v>
      </c>
      <c r="DB73" s="143">
        <v>3722</v>
      </c>
      <c r="DC73" s="78">
        <v>0</v>
      </c>
      <c r="DD73" s="137">
        <v>0</v>
      </c>
      <c r="DE73" s="137">
        <v>0</v>
      </c>
      <c r="DG73" s="143" t="s">
        <v>735</v>
      </c>
      <c r="DH73" s="143" t="s">
        <v>736</v>
      </c>
      <c r="DI73" s="143" t="s">
        <v>842</v>
      </c>
      <c r="DJ73" s="143">
        <v>3722</v>
      </c>
      <c r="DK73" s="78">
        <v>2</v>
      </c>
      <c r="DL73" s="78">
        <v>0</v>
      </c>
      <c r="DM73" s="78">
        <v>0</v>
      </c>
      <c r="DN73" s="78">
        <v>1</v>
      </c>
      <c r="DO73" s="78">
        <v>2</v>
      </c>
      <c r="DP73" s="78">
        <v>3</v>
      </c>
      <c r="DQ73" s="78">
        <v>4</v>
      </c>
      <c r="DR73" s="78">
        <v>0</v>
      </c>
      <c r="DS73" s="78">
        <v>0</v>
      </c>
      <c r="DT73" s="78">
        <v>0</v>
      </c>
      <c r="DU73" s="78">
        <v>0</v>
      </c>
      <c r="DV73" s="137">
        <v>0.41379310000000002</v>
      </c>
      <c r="DX73" s="143" t="s">
        <v>735</v>
      </c>
      <c r="DY73" s="143" t="s">
        <v>736</v>
      </c>
      <c r="DZ73" s="143" t="s">
        <v>842</v>
      </c>
      <c r="EA73" s="143">
        <v>3722</v>
      </c>
      <c r="EB73" s="78">
        <v>0</v>
      </c>
      <c r="EC73" s="78">
        <v>8</v>
      </c>
      <c r="ED73" s="78">
        <v>1</v>
      </c>
      <c r="EE73" s="78">
        <v>4</v>
      </c>
      <c r="EF73" s="78">
        <v>0</v>
      </c>
      <c r="EG73" s="78">
        <v>0</v>
      </c>
      <c r="EH73" s="78">
        <v>0</v>
      </c>
      <c r="EI73" s="78">
        <v>1</v>
      </c>
      <c r="EJ73" s="78">
        <v>1</v>
      </c>
      <c r="EK73" s="78">
        <v>1</v>
      </c>
      <c r="EL73" s="78">
        <v>1</v>
      </c>
      <c r="EM73" s="78">
        <v>1</v>
      </c>
      <c r="EN73" s="78">
        <v>0</v>
      </c>
      <c r="EO73" s="78">
        <v>1</v>
      </c>
      <c r="EP73" s="78">
        <v>0</v>
      </c>
      <c r="EQ73" s="137">
        <v>0.70370370000000004</v>
      </c>
      <c r="ES73" s="143" t="s">
        <v>735</v>
      </c>
      <c r="ET73" s="143" t="s">
        <v>736</v>
      </c>
      <c r="EU73" s="143" t="s">
        <v>842</v>
      </c>
      <c r="EV73" s="143">
        <v>3722</v>
      </c>
      <c r="EW73" s="78">
        <v>0</v>
      </c>
      <c r="EX73" s="78">
        <v>0</v>
      </c>
      <c r="EY73" s="78">
        <v>0</v>
      </c>
      <c r="EZ73" s="78">
        <v>0</v>
      </c>
      <c r="FA73" s="78">
        <v>0</v>
      </c>
      <c r="FB73" s="78">
        <v>0</v>
      </c>
      <c r="FC73" s="78">
        <v>2</v>
      </c>
      <c r="FD73" s="78">
        <v>0</v>
      </c>
      <c r="FE73" s="137">
        <v>0.15384619999999999</v>
      </c>
      <c r="FG73" s="137">
        <v>0.19512189999999999</v>
      </c>
    </row>
    <row r="74" spans="1:163" x14ac:dyDescent="0.35">
      <c r="A74" s="143" t="s">
        <v>737</v>
      </c>
      <c r="B74" s="143" t="s">
        <v>736</v>
      </c>
      <c r="C74" s="143" t="s">
        <v>841</v>
      </c>
      <c r="D74" s="143">
        <v>626</v>
      </c>
      <c r="E74" s="78">
        <v>0</v>
      </c>
      <c r="F74" s="78">
        <v>2.5</v>
      </c>
      <c r="G74" s="78">
        <v>1</v>
      </c>
      <c r="H74" s="78">
        <v>2</v>
      </c>
      <c r="I74" s="78">
        <v>1</v>
      </c>
      <c r="J74" s="78">
        <v>0</v>
      </c>
      <c r="K74" s="78">
        <v>1</v>
      </c>
      <c r="L74" s="78">
        <v>0</v>
      </c>
      <c r="M74" s="78">
        <v>2</v>
      </c>
      <c r="N74" s="137">
        <v>0.67857140000000005</v>
      </c>
      <c r="P74" s="143" t="s">
        <v>737</v>
      </c>
      <c r="Q74" s="143" t="s">
        <v>736</v>
      </c>
      <c r="R74" s="143" t="s">
        <v>841</v>
      </c>
      <c r="S74" s="143">
        <v>626</v>
      </c>
      <c r="T74" s="78">
        <v>1</v>
      </c>
      <c r="U74" s="78">
        <v>1</v>
      </c>
      <c r="V74" s="78">
        <v>3</v>
      </c>
      <c r="W74" s="78">
        <v>1</v>
      </c>
      <c r="X74" s="78">
        <v>0</v>
      </c>
      <c r="Y74" s="78">
        <v>1</v>
      </c>
      <c r="Z74" s="78">
        <v>3</v>
      </c>
      <c r="AA74" s="78">
        <v>2</v>
      </c>
      <c r="AB74" s="78">
        <v>6</v>
      </c>
      <c r="AC74" s="78">
        <v>3</v>
      </c>
      <c r="AD74" s="137">
        <v>0.6176471</v>
      </c>
      <c r="AF74" s="143" t="s">
        <v>737</v>
      </c>
      <c r="AG74" s="143" t="s">
        <v>736</v>
      </c>
      <c r="AH74" s="143" t="s">
        <v>841</v>
      </c>
      <c r="AI74" s="143">
        <v>626</v>
      </c>
      <c r="AJ74" s="78">
        <v>0</v>
      </c>
      <c r="AK74" s="78">
        <v>1</v>
      </c>
      <c r="AL74" s="78">
        <v>1</v>
      </c>
      <c r="AM74" s="78">
        <v>5</v>
      </c>
      <c r="AN74" s="78">
        <v>1</v>
      </c>
      <c r="AO74" s="78">
        <v>2</v>
      </c>
      <c r="AP74" s="78">
        <v>2</v>
      </c>
      <c r="AQ74" s="78">
        <v>1</v>
      </c>
      <c r="AR74" s="78">
        <v>2</v>
      </c>
      <c r="AS74" s="78">
        <v>2</v>
      </c>
      <c r="AT74" s="78">
        <v>2</v>
      </c>
      <c r="AU74" s="78">
        <v>0</v>
      </c>
      <c r="AV74" s="78">
        <v>2</v>
      </c>
      <c r="AW74" s="78">
        <v>0</v>
      </c>
      <c r="AX74" s="78">
        <v>0</v>
      </c>
      <c r="AY74" s="78">
        <v>1</v>
      </c>
      <c r="AZ74" s="78">
        <v>2</v>
      </c>
      <c r="BA74" s="78">
        <v>0.5</v>
      </c>
      <c r="BB74" s="78">
        <v>0.5</v>
      </c>
      <c r="BC74" s="78">
        <v>0.5</v>
      </c>
      <c r="BD74" s="78">
        <v>1</v>
      </c>
      <c r="BE74" s="78">
        <v>0.5</v>
      </c>
      <c r="BF74" s="78">
        <v>0</v>
      </c>
      <c r="BG74" s="78">
        <v>2</v>
      </c>
      <c r="BH74" s="137">
        <v>0.65909090000000004</v>
      </c>
      <c r="BJ74" s="143" t="s">
        <v>737</v>
      </c>
      <c r="BK74" s="143" t="s">
        <v>736</v>
      </c>
      <c r="BL74" s="143" t="s">
        <v>841</v>
      </c>
      <c r="BM74" s="143">
        <v>626</v>
      </c>
      <c r="BN74" s="78">
        <v>0</v>
      </c>
      <c r="BO74" s="78">
        <v>4</v>
      </c>
      <c r="BP74" s="78">
        <v>0</v>
      </c>
      <c r="BQ74" s="78">
        <v>0</v>
      </c>
      <c r="BR74" s="78">
        <v>0</v>
      </c>
      <c r="BS74" s="78">
        <v>0</v>
      </c>
      <c r="BT74" s="78">
        <v>0</v>
      </c>
      <c r="BU74" s="137">
        <v>0.17391300000000001</v>
      </c>
      <c r="BW74" s="143" t="s">
        <v>737</v>
      </c>
      <c r="BX74" s="143" t="s">
        <v>736</v>
      </c>
      <c r="BY74" s="143" t="s">
        <v>841</v>
      </c>
      <c r="BZ74" s="143">
        <v>626</v>
      </c>
      <c r="CA74" s="78">
        <v>1</v>
      </c>
      <c r="CB74" s="78">
        <v>0</v>
      </c>
      <c r="CC74" s="78">
        <v>1</v>
      </c>
      <c r="CD74" s="78">
        <v>2</v>
      </c>
      <c r="CE74" s="78">
        <v>1</v>
      </c>
      <c r="CF74" s="78">
        <v>2</v>
      </c>
      <c r="CG74" s="78">
        <v>1</v>
      </c>
      <c r="CH74" s="78">
        <v>2</v>
      </c>
      <c r="CI74" s="78">
        <v>1</v>
      </c>
      <c r="CJ74" s="78">
        <v>3</v>
      </c>
      <c r="CK74" s="137">
        <v>0.93333330000000003</v>
      </c>
      <c r="CM74" s="143" t="s">
        <v>737</v>
      </c>
      <c r="CN74" s="143" t="s">
        <v>736</v>
      </c>
      <c r="CO74" s="143" t="s">
        <v>841</v>
      </c>
      <c r="CP74" s="143">
        <v>626</v>
      </c>
      <c r="CQ74" s="78">
        <v>8</v>
      </c>
      <c r="CR74" s="78">
        <v>0</v>
      </c>
      <c r="CS74" s="78">
        <v>4</v>
      </c>
      <c r="CT74" s="78">
        <v>4</v>
      </c>
      <c r="CU74" s="78">
        <v>0</v>
      </c>
      <c r="CV74" s="78">
        <v>8</v>
      </c>
      <c r="CW74" s="137">
        <v>0.46153850000000002</v>
      </c>
      <c r="CY74" s="143" t="s">
        <v>737</v>
      </c>
      <c r="CZ74" s="143" t="s">
        <v>736</v>
      </c>
      <c r="DA74" s="143" t="s">
        <v>841</v>
      </c>
      <c r="DB74" s="143">
        <v>626</v>
      </c>
      <c r="DC74" s="78">
        <v>30</v>
      </c>
      <c r="DD74" s="137">
        <v>0</v>
      </c>
      <c r="DE74" s="137">
        <v>0</v>
      </c>
      <c r="DG74" s="143" t="s">
        <v>737</v>
      </c>
      <c r="DH74" s="143" t="s">
        <v>736</v>
      </c>
      <c r="DI74" s="143" t="s">
        <v>841</v>
      </c>
      <c r="DJ74" s="143">
        <v>626</v>
      </c>
      <c r="DK74" s="78">
        <v>2</v>
      </c>
      <c r="DL74" s="78">
        <v>1</v>
      </c>
      <c r="DM74" s="78">
        <v>0</v>
      </c>
      <c r="DN74" s="78">
        <v>5</v>
      </c>
      <c r="DO74" s="78">
        <v>2</v>
      </c>
      <c r="DP74" s="78">
        <v>3</v>
      </c>
      <c r="DQ74" s="78">
        <v>7</v>
      </c>
      <c r="DR74" s="78">
        <v>0</v>
      </c>
      <c r="DS74" s="78">
        <v>1</v>
      </c>
      <c r="DT74" s="78">
        <v>0</v>
      </c>
      <c r="DU74" s="78">
        <v>0</v>
      </c>
      <c r="DV74" s="137">
        <v>0.7241379</v>
      </c>
      <c r="DX74" s="143" t="s">
        <v>737</v>
      </c>
      <c r="DY74" s="143" t="s">
        <v>736</v>
      </c>
      <c r="DZ74" s="143" t="s">
        <v>841</v>
      </c>
      <c r="EA74" s="143">
        <v>626</v>
      </c>
      <c r="EB74" s="78">
        <v>0</v>
      </c>
      <c r="EC74" s="78">
        <v>8</v>
      </c>
      <c r="ED74" s="78">
        <v>1</v>
      </c>
      <c r="EE74" s="78">
        <v>4</v>
      </c>
      <c r="EF74" s="78">
        <v>3</v>
      </c>
      <c r="EG74" s="78">
        <v>1</v>
      </c>
      <c r="EH74" s="78">
        <v>0</v>
      </c>
      <c r="EI74" s="78">
        <v>1</v>
      </c>
      <c r="EJ74" s="78">
        <v>1</v>
      </c>
      <c r="EK74" s="78">
        <v>1</v>
      </c>
      <c r="EL74" s="78">
        <v>0</v>
      </c>
      <c r="EM74" s="78">
        <v>0</v>
      </c>
      <c r="EN74" s="78">
        <v>1</v>
      </c>
      <c r="EO74" s="78">
        <v>1</v>
      </c>
      <c r="EP74" s="78">
        <v>0</v>
      </c>
      <c r="EQ74" s="137">
        <v>0.81481479999999995</v>
      </c>
      <c r="ES74" s="143" t="s">
        <v>737</v>
      </c>
      <c r="ET74" s="143" t="s">
        <v>736</v>
      </c>
      <c r="EU74" s="143" t="s">
        <v>841</v>
      </c>
      <c r="EV74" s="143">
        <v>626</v>
      </c>
      <c r="EW74" s="78">
        <v>0</v>
      </c>
      <c r="EX74" s="78">
        <v>1</v>
      </c>
      <c r="EY74" s="78">
        <v>0</v>
      </c>
      <c r="EZ74" s="78">
        <v>0</v>
      </c>
      <c r="FA74" s="78">
        <v>0.5</v>
      </c>
      <c r="FB74" s="78">
        <v>3</v>
      </c>
      <c r="FC74" s="78">
        <v>2</v>
      </c>
      <c r="FD74" s="78">
        <v>1</v>
      </c>
      <c r="FE74" s="137">
        <v>0.57692310000000002</v>
      </c>
      <c r="FG74" s="137">
        <v>0.44314870000000001</v>
      </c>
    </row>
    <row r="75" spans="1:163" x14ac:dyDescent="0.35">
      <c r="A75" s="143" t="s">
        <v>737</v>
      </c>
      <c r="B75" s="143" t="s">
        <v>736</v>
      </c>
      <c r="C75" s="143" t="s">
        <v>842</v>
      </c>
      <c r="D75" s="143">
        <v>634</v>
      </c>
      <c r="E75" s="78">
        <v>0</v>
      </c>
      <c r="F75" s="78">
        <v>2.5</v>
      </c>
      <c r="G75" s="78">
        <v>1</v>
      </c>
      <c r="H75" s="78">
        <v>0</v>
      </c>
      <c r="I75" s="78">
        <v>0</v>
      </c>
      <c r="J75" s="78">
        <v>0</v>
      </c>
      <c r="K75" s="78">
        <v>1</v>
      </c>
      <c r="L75" s="78">
        <v>1</v>
      </c>
      <c r="M75" s="78">
        <v>2</v>
      </c>
      <c r="N75" s="137">
        <v>0.53571429999999998</v>
      </c>
      <c r="P75" s="143" t="s">
        <v>737</v>
      </c>
      <c r="Q75" s="143" t="s">
        <v>736</v>
      </c>
      <c r="R75" s="143" t="s">
        <v>842</v>
      </c>
      <c r="S75" s="143">
        <v>634</v>
      </c>
      <c r="T75" s="78">
        <v>1</v>
      </c>
      <c r="U75" s="78">
        <v>1</v>
      </c>
      <c r="V75" s="78">
        <v>0</v>
      </c>
      <c r="W75" s="78">
        <v>0.5</v>
      </c>
      <c r="X75" s="78">
        <v>0</v>
      </c>
      <c r="Y75" s="78">
        <v>1</v>
      </c>
      <c r="Z75" s="78">
        <v>0</v>
      </c>
      <c r="AA75" s="78">
        <v>2</v>
      </c>
      <c r="AB75" s="78">
        <v>0</v>
      </c>
      <c r="AC75" s="78">
        <v>3</v>
      </c>
      <c r="AD75" s="137">
        <v>0.25</v>
      </c>
      <c r="AF75" s="143" t="s">
        <v>737</v>
      </c>
      <c r="AG75" s="143" t="s">
        <v>736</v>
      </c>
      <c r="AH75" s="143" t="s">
        <v>842</v>
      </c>
      <c r="AI75" s="143">
        <v>634</v>
      </c>
      <c r="AJ75" s="78">
        <v>0</v>
      </c>
      <c r="AK75" s="78">
        <v>0</v>
      </c>
      <c r="AL75" s="78">
        <v>1</v>
      </c>
      <c r="AM75" s="78">
        <v>5</v>
      </c>
      <c r="AN75" s="78">
        <v>0</v>
      </c>
      <c r="AO75" s="78">
        <v>0</v>
      </c>
      <c r="AP75" s="78">
        <v>2</v>
      </c>
      <c r="AQ75" s="78">
        <v>1</v>
      </c>
      <c r="AR75" s="78">
        <v>0</v>
      </c>
      <c r="AS75" s="78">
        <v>2</v>
      </c>
      <c r="AT75" s="78">
        <v>2</v>
      </c>
      <c r="AU75" s="78">
        <v>0</v>
      </c>
      <c r="AV75" s="78">
        <v>2</v>
      </c>
      <c r="AW75" s="78">
        <v>0</v>
      </c>
      <c r="AX75" s="78">
        <v>4</v>
      </c>
      <c r="AY75" s="78">
        <v>1</v>
      </c>
      <c r="AZ75" s="78">
        <v>2</v>
      </c>
      <c r="BA75" s="78">
        <v>0.5</v>
      </c>
      <c r="BB75" s="78">
        <v>0.5</v>
      </c>
      <c r="BC75" s="78">
        <v>0.5</v>
      </c>
      <c r="BD75" s="78">
        <v>1</v>
      </c>
      <c r="BE75" s="78">
        <v>0.5</v>
      </c>
      <c r="BF75" s="78">
        <v>0</v>
      </c>
      <c r="BG75" s="78">
        <v>2</v>
      </c>
      <c r="BH75" s="137">
        <v>0.61363639999999997</v>
      </c>
      <c r="BJ75" s="143" t="s">
        <v>737</v>
      </c>
      <c r="BK75" s="143" t="s">
        <v>736</v>
      </c>
      <c r="BL75" s="143" t="s">
        <v>842</v>
      </c>
      <c r="BM75" s="143">
        <v>634</v>
      </c>
      <c r="BN75" s="78">
        <v>1</v>
      </c>
      <c r="BO75" s="78">
        <v>4</v>
      </c>
      <c r="BP75" s="78">
        <v>0</v>
      </c>
      <c r="BQ75" s="78">
        <v>3</v>
      </c>
      <c r="BR75" s="78">
        <v>3</v>
      </c>
      <c r="BS75" s="78">
        <v>3</v>
      </c>
      <c r="BT75" s="78">
        <v>2</v>
      </c>
      <c r="BU75" s="137">
        <v>0.69565220000000005</v>
      </c>
      <c r="BW75" s="143" t="s">
        <v>737</v>
      </c>
      <c r="BX75" s="143" t="s">
        <v>736</v>
      </c>
      <c r="BY75" s="143" t="s">
        <v>842</v>
      </c>
      <c r="BZ75" s="143">
        <v>634</v>
      </c>
      <c r="CA75" s="78">
        <v>1</v>
      </c>
      <c r="CB75" s="78">
        <v>0</v>
      </c>
      <c r="CC75" s="78">
        <v>1</v>
      </c>
      <c r="CD75" s="78">
        <v>2</v>
      </c>
      <c r="CE75" s="78">
        <v>0</v>
      </c>
      <c r="CF75" s="78">
        <v>0</v>
      </c>
      <c r="CG75" s="78">
        <v>1</v>
      </c>
      <c r="CH75" s="78">
        <v>2</v>
      </c>
      <c r="CI75" s="78">
        <v>1</v>
      </c>
      <c r="CJ75" s="78">
        <v>0</v>
      </c>
      <c r="CK75" s="137">
        <v>0.53333339999999996</v>
      </c>
      <c r="CM75" s="143" t="s">
        <v>737</v>
      </c>
      <c r="CN75" s="143" t="s">
        <v>736</v>
      </c>
      <c r="CO75" s="143" t="s">
        <v>842</v>
      </c>
      <c r="CP75" s="143">
        <v>634</v>
      </c>
      <c r="CQ75" s="78">
        <v>0</v>
      </c>
      <c r="CR75" s="78">
        <v>0</v>
      </c>
      <c r="CS75" s="78">
        <v>4</v>
      </c>
      <c r="CT75" s="78">
        <v>4</v>
      </c>
      <c r="CU75" s="78">
        <v>2</v>
      </c>
      <c r="CV75" s="78">
        <v>8</v>
      </c>
      <c r="CW75" s="137">
        <v>0.34615390000000001</v>
      </c>
      <c r="CY75" s="143" t="s">
        <v>737</v>
      </c>
      <c r="CZ75" s="143" t="s">
        <v>736</v>
      </c>
      <c r="DA75" s="143" t="s">
        <v>842</v>
      </c>
      <c r="DB75" s="143">
        <v>634</v>
      </c>
      <c r="DC75" s="78">
        <v>46</v>
      </c>
      <c r="DD75" s="137">
        <v>0.2</v>
      </c>
      <c r="DE75" s="137">
        <v>0.1</v>
      </c>
      <c r="DG75" s="143" t="s">
        <v>737</v>
      </c>
      <c r="DH75" s="143" t="s">
        <v>736</v>
      </c>
      <c r="DI75" s="143" t="s">
        <v>842</v>
      </c>
      <c r="DJ75" s="143">
        <v>634</v>
      </c>
      <c r="DK75" s="78">
        <v>2</v>
      </c>
      <c r="DL75" s="78">
        <v>0</v>
      </c>
      <c r="DM75" s="78">
        <v>1</v>
      </c>
      <c r="DN75" s="78">
        <v>5</v>
      </c>
      <c r="DO75" s="78">
        <v>2</v>
      </c>
      <c r="DP75" s="78">
        <v>3</v>
      </c>
      <c r="DQ75" s="78">
        <v>8</v>
      </c>
      <c r="DR75" s="78">
        <v>1</v>
      </c>
      <c r="DS75" s="78">
        <v>1</v>
      </c>
      <c r="DT75" s="78">
        <v>2</v>
      </c>
      <c r="DU75" s="78">
        <v>0</v>
      </c>
      <c r="DV75" s="137">
        <v>0.86206899999999997</v>
      </c>
      <c r="DX75" s="143" t="s">
        <v>737</v>
      </c>
      <c r="DY75" s="143" t="s">
        <v>736</v>
      </c>
      <c r="DZ75" s="143" t="s">
        <v>842</v>
      </c>
      <c r="EA75" s="143">
        <v>634</v>
      </c>
      <c r="EB75" s="78">
        <v>0</v>
      </c>
      <c r="EC75" s="78">
        <v>8</v>
      </c>
      <c r="ED75" s="78">
        <v>1</v>
      </c>
      <c r="EE75" s="78">
        <v>4</v>
      </c>
      <c r="EF75" s="78">
        <v>3</v>
      </c>
      <c r="EG75" s="78">
        <v>1</v>
      </c>
      <c r="EH75" s="78">
        <v>0</v>
      </c>
      <c r="EI75" s="78">
        <v>1</v>
      </c>
      <c r="EJ75" s="78">
        <v>1</v>
      </c>
      <c r="EK75" s="78">
        <v>1</v>
      </c>
      <c r="EL75" s="78">
        <v>1</v>
      </c>
      <c r="EM75" s="78">
        <v>1</v>
      </c>
      <c r="EN75" s="78">
        <v>1</v>
      </c>
      <c r="EO75" s="78">
        <v>1</v>
      </c>
      <c r="EP75" s="78">
        <v>1</v>
      </c>
      <c r="EQ75" s="137">
        <v>0.92592589999999997</v>
      </c>
      <c r="ES75" s="143" t="s">
        <v>737</v>
      </c>
      <c r="ET75" s="143" t="s">
        <v>736</v>
      </c>
      <c r="EU75" s="143" t="s">
        <v>842</v>
      </c>
      <c r="EV75" s="143">
        <v>634</v>
      </c>
      <c r="EW75" s="78">
        <v>0</v>
      </c>
      <c r="EX75" s="78">
        <v>1</v>
      </c>
      <c r="EY75" s="78">
        <v>0</v>
      </c>
      <c r="EZ75" s="78">
        <v>0</v>
      </c>
      <c r="FA75" s="78">
        <v>0.5</v>
      </c>
      <c r="FB75" s="78">
        <v>0</v>
      </c>
      <c r="FC75" s="78">
        <v>2</v>
      </c>
      <c r="FD75" s="78">
        <v>1</v>
      </c>
      <c r="FE75" s="137">
        <v>0.34615390000000001</v>
      </c>
      <c r="FG75" s="137">
        <v>0.43352770000000002</v>
      </c>
    </row>
    <row r="76" spans="1:163" x14ac:dyDescent="0.35">
      <c r="A76" s="143" t="s">
        <v>737</v>
      </c>
      <c r="B76" s="143" t="s">
        <v>736</v>
      </c>
      <c r="C76" s="143" t="s">
        <v>841</v>
      </c>
      <c r="D76" s="143">
        <v>639</v>
      </c>
      <c r="E76" s="78">
        <v>0</v>
      </c>
      <c r="F76" s="78">
        <v>2</v>
      </c>
      <c r="G76" s="78">
        <v>1</v>
      </c>
      <c r="H76" s="78">
        <v>0</v>
      </c>
      <c r="I76" s="78">
        <v>1</v>
      </c>
      <c r="J76" s="78">
        <v>0</v>
      </c>
      <c r="K76" s="78">
        <v>1</v>
      </c>
      <c r="L76" s="78">
        <v>0</v>
      </c>
      <c r="M76" s="78">
        <v>2</v>
      </c>
      <c r="N76" s="137">
        <v>0.5</v>
      </c>
      <c r="P76" s="143" t="s">
        <v>737</v>
      </c>
      <c r="Q76" s="143" t="s">
        <v>736</v>
      </c>
      <c r="R76" s="143" t="s">
        <v>841</v>
      </c>
      <c r="S76" s="143">
        <v>639</v>
      </c>
      <c r="T76" s="78">
        <v>1</v>
      </c>
      <c r="U76" s="78">
        <v>1</v>
      </c>
      <c r="V76" s="78">
        <v>1.5</v>
      </c>
      <c r="W76" s="78">
        <v>2</v>
      </c>
      <c r="X76" s="78">
        <v>0</v>
      </c>
      <c r="Y76" s="78">
        <v>1</v>
      </c>
      <c r="Z76" s="78">
        <v>0</v>
      </c>
      <c r="AA76" s="78">
        <v>0</v>
      </c>
      <c r="AB76" s="78">
        <v>0</v>
      </c>
      <c r="AC76" s="78">
        <v>3</v>
      </c>
      <c r="AD76" s="137">
        <v>0.27941179999999999</v>
      </c>
      <c r="AF76" s="143" t="s">
        <v>737</v>
      </c>
      <c r="AG76" s="143" t="s">
        <v>736</v>
      </c>
      <c r="AH76" s="143" t="s">
        <v>841</v>
      </c>
      <c r="AI76" s="143">
        <v>639</v>
      </c>
      <c r="AJ76" s="78">
        <v>1</v>
      </c>
      <c r="AK76" s="78">
        <v>0</v>
      </c>
      <c r="AL76" s="78">
        <v>1</v>
      </c>
      <c r="AM76" s="78">
        <v>5</v>
      </c>
      <c r="AN76" s="78">
        <v>1</v>
      </c>
      <c r="AO76" s="78">
        <v>2</v>
      </c>
      <c r="AP76" s="78">
        <v>2</v>
      </c>
      <c r="AQ76" s="78">
        <v>1</v>
      </c>
      <c r="AR76" s="78">
        <v>2</v>
      </c>
      <c r="AS76" s="78">
        <v>2</v>
      </c>
      <c r="AT76" s="78">
        <v>2</v>
      </c>
      <c r="AU76" s="78">
        <v>0</v>
      </c>
      <c r="AV76" s="78">
        <v>2</v>
      </c>
      <c r="AW76" s="78">
        <v>0</v>
      </c>
      <c r="AX76" s="78">
        <v>0</v>
      </c>
      <c r="AY76" s="78">
        <v>1</v>
      </c>
      <c r="AZ76" s="78">
        <v>2</v>
      </c>
      <c r="BA76" s="78">
        <v>0.5</v>
      </c>
      <c r="BB76" s="78">
        <v>0.5</v>
      </c>
      <c r="BC76" s="78">
        <v>0.5</v>
      </c>
      <c r="BD76" s="78">
        <v>1</v>
      </c>
      <c r="BE76" s="78">
        <v>0.5</v>
      </c>
      <c r="BF76" s="78">
        <v>0</v>
      </c>
      <c r="BG76" s="78">
        <v>2</v>
      </c>
      <c r="BH76" s="137">
        <v>0.65909090000000004</v>
      </c>
      <c r="BJ76" s="143" t="s">
        <v>737</v>
      </c>
      <c r="BK76" s="143" t="s">
        <v>736</v>
      </c>
      <c r="BL76" s="143" t="s">
        <v>841</v>
      </c>
      <c r="BM76" s="143">
        <v>639</v>
      </c>
      <c r="BN76" s="78">
        <v>1</v>
      </c>
      <c r="BO76" s="78">
        <v>4</v>
      </c>
      <c r="BP76" s="78">
        <v>0</v>
      </c>
      <c r="BQ76" s="78">
        <v>0</v>
      </c>
      <c r="BR76" s="78">
        <v>3</v>
      </c>
      <c r="BS76" s="78">
        <v>3</v>
      </c>
      <c r="BT76" s="78">
        <v>0</v>
      </c>
      <c r="BU76" s="137">
        <v>0.47826089999999999</v>
      </c>
      <c r="BW76" s="143" t="s">
        <v>737</v>
      </c>
      <c r="BX76" s="143" t="s">
        <v>736</v>
      </c>
      <c r="BY76" s="143" t="s">
        <v>841</v>
      </c>
      <c r="BZ76" s="143">
        <v>639</v>
      </c>
      <c r="CA76" s="78">
        <v>1</v>
      </c>
      <c r="CB76" s="78">
        <v>0</v>
      </c>
      <c r="CC76" s="78">
        <v>1</v>
      </c>
      <c r="CD76" s="78">
        <v>2</v>
      </c>
      <c r="CE76" s="78">
        <v>1</v>
      </c>
      <c r="CF76" s="78">
        <v>2</v>
      </c>
      <c r="CG76" s="78">
        <v>1</v>
      </c>
      <c r="CH76" s="78">
        <v>2</v>
      </c>
      <c r="CI76" s="78">
        <v>1</v>
      </c>
      <c r="CJ76" s="78">
        <v>0</v>
      </c>
      <c r="CK76" s="137">
        <v>0.73333329999999997</v>
      </c>
      <c r="CM76" s="143" t="s">
        <v>737</v>
      </c>
      <c r="CN76" s="143" t="s">
        <v>736</v>
      </c>
      <c r="CO76" s="143" t="s">
        <v>841</v>
      </c>
      <c r="CP76" s="143">
        <v>639</v>
      </c>
      <c r="CQ76" s="78">
        <v>8</v>
      </c>
      <c r="CR76" s="78">
        <v>0</v>
      </c>
      <c r="CS76" s="78">
        <v>12</v>
      </c>
      <c r="CT76" s="78">
        <v>4</v>
      </c>
      <c r="CU76" s="78">
        <v>2</v>
      </c>
      <c r="CV76" s="78">
        <v>8</v>
      </c>
      <c r="CW76" s="137">
        <v>0.65384609999999999</v>
      </c>
      <c r="CY76" s="143" t="s">
        <v>737</v>
      </c>
      <c r="CZ76" s="143" t="s">
        <v>736</v>
      </c>
      <c r="DA76" s="143" t="s">
        <v>841</v>
      </c>
      <c r="DB76" s="143">
        <v>639</v>
      </c>
      <c r="DC76" s="78">
        <v>0</v>
      </c>
      <c r="DD76" s="137">
        <v>0</v>
      </c>
      <c r="DE76" s="137">
        <v>0</v>
      </c>
      <c r="DG76" s="143" t="s">
        <v>737</v>
      </c>
      <c r="DH76" s="143" t="s">
        <v>736</v>
      </c>
      <c r="DI76" s="143" t="s">
        <v>841</v>
      </c>
      <c r="DJ76" s="143">
        <v>639</v>
      </c>
      <c r="DK76" s="78">
        <v>0</v>
      </c>
      <c r="DL76" s="78">
        <v>1</v>
      </c>
      <c r="DM76" s="78">
        <v>0</v>
      </c>
      <c r="DN76" s="78">
        <v>5</v>
      </c>
      <c r="DO76" s="78">
        <v>2</v>
      </c>
      <c r="DP76" s="78">
        <v>3</v>
      </c>
      <c r="DQ76" s="78">
        <v>8</v>
      </c>
      <c r="DR76" s="78">
        <v>0</v>
      </c>
      <c r="DS76" s="78">
        <v>1</v>
      </c>
      <c r="DT76" s="78">
        <v>2</v>
      </c>
      <c r="DU76" s="78">
        <v>0</v>
      </c>
      <c r="DV76" s="137">
        <v>0.75862070000000004</v>
      </c>
      <c r="DX76" s="143" t="s">
        <v>737</v>
      </c>
      <c r="DY76" s="143" t="s">
        <v>736</v>
      </c>
      <c r="DZ76" s="143" t="s">
        <v>841</v>
      </c>
      <c r="EA76" s="143">
        <v>639</v>
      </c>
      <c r="EB76" s="78">
        <v>0</v>
      </c>
      <c r="EC76" s="78">
        <v>8</v>
      </c>
      <c r="ED76" s="78">
        <v>1</v>
      </c>
      <c r="EE76" s="78">
        <v>4</v>
      </c>
      <c r="EF76" s="78">
        <v>3</v>
      </c>
      <c r="EG76" s="78">
        <v>1</v>
      </c>
      <c r="EH76" s="78">
        <v>0</v>
      </c>
      <c r="EI76" s="78">
        <v>1</v>
      </c>
      <c r="EJ76" s="78">
        <v>1</v>
      </c>
      <c r="EK76" s="78">
        <v>1</v>
      </c>
      <c r="EL76" s="78">
        <v>1</v>
      </c>
      <c r="EM76" s="78">
        <v>1</v>
      </c>
      <c r="EN76" s="78">
        <v>1</v>
      </c>
      <c r="EO76" s="78">
        <v>1</v>
      </c>
      <c r="EP76" s="78">
        <v>0</v>
      </c>
      <c r="EQ76" s="137">
        <v>0.88888889999999998</v>
      </c>
      <c r="ES76" s="143" t="s">
        <v>737</v>
      </c>
      <c r="ET76" s="143" t="s">
        <v>736</v>
      </c>
      <c r="EU76" s="143" t="s">
        <v>841</v>
      </c>
      <c r="EV76" s="143">
        <v>639</v>
      </c>
      <c r="EW76" s="78">
        <v>0</v>
      </c>
      <c r="EX76" s="78">
        <v>1</v>
      </c>
      <c r="EY76" s="78">
        <v>0</v>
      </c>
      <c r="EZ76" s="78">
        <v>0</v>
      </c>
      <c r="FA76" s="78">
        <v>0.5</v>
      </c>
      <c r="FB76" s="78">
        <v>3</v>
      </c>
      <c r="FC76" s="78">
        <v>2</v>
      </c>
      <c r="FD76" s="78">
        <v>1</v>
      </c>
      <c r="FE76" s="137">
        <v>0.57692310000000002</v>
      </c>
      <c r="FG76" s="137">
        <v>0.45189509999999999</v>
      </c>
    </row>
    <row r="77" spans="1:163" x14ac:dyDescent="0.35">
      <c r="A77" s="143" t="s">
        <v>737</v>
      </c>
      <c r="B77" s="143" t="s">
        <v>736</v>
      </c>
      <c r="C77" s="143" t="s">
        <v>843</v>
      </c>
      <c r="D77" s="143">
        <v>648</v>
      </c>
      <c r="E77" s="78">
        <v>0</v>
      </c>
      <c r="F77" s="78">
        <v>2.5</v>
      </c>
      <c r="G77" s="78">
        <v>1</v>
      </c>
      <c r="H77" s="78">
        <v>3</v>
      </c>
      <c r="I77" s="78">
        <v>1</v>
      </c>
      <c r="J77" s="78">
        <v>0</v>
      </c>
      <c r="K77" s="78">
        <v>1</v>
      </c>
      <c r="L77" s="78">
        <v>0</v>
      </c>
      <c r="M77" s="78">
        <v>2</v>
      </c>
      <c r="N77" s="137">
        <v>0.75</v>
      </c>
      <c r="P77" s="143" t="s">
        <v>737</v>
      </c>
      <c r="Q77" s="143" t="s">
        <v>736</v>
      </c>
      <c r="R77" s="143" t="s">
        <v>843</v>
      </c>
      <c r="S77" s="143">
        <v>648</v>
      </c>
      <c r="T77" s="78">
        <v>1</v>
      </c>
      <c r="U77" s="78">
        <v>1</v>
      </c>
      <c r="V77" s="78">
        <v>0</v>
      </c>
      <c r="W77" s="78">
        <v>2</v>
      </c>
      <c r="X77" s="78">
        <v>0</v>
      </c>
      <c r="Y77" s="78">
        <v>1</v>
      </c>
      <c r="Z77" s="78">
        <v>3</v>
      </c>
      <c r="AA77" s="78">
        <v>2</v>
      </c>
      <c r="AB77" s="78">
        <v>6</v>
      </c>
      <c r="AC77" s="78">
        <v>3</v>
      </c>
      <c r="AD77" s="137">
        <v>0.55882350000000003</v>
      </c>
      <c r="AF77" s="143" t="s">
        <v>737</v>
      </c>
      <c r="AG77" s="143" t="s">
        <v>736</v>
      </c>
      <c r="AH77" s="143" t="s">
        <v>843</v>
      </c>
      <c r="AI77" s="143">
        <v>648</v>
      </c>
      <c r="AJ77" s="78">
        <v>1</v>
      </c>
      <c r="AK77" s="78">
        <v>0</v>
      </c>
      <c r="AL77" s="78">
        <v>0</v>
      </c>
      <c r="AM77" s="78">
        <v>6</v>
      </c>
      <c r="AN77" s="78">
        <v>1</v>
      </c>
      <c r="AO77" s="78">
        <v>2</v>
      </c>
      <c r="AP77" s="78">
        <v>2</v>
      </c>
      <c r="AQ77" s="78">
        <v>1</v>
      </c>
      <c r="AR77" s="78">
        <v>2</v>
      </c>
      <c r="AS77" s="78">
        <v>2</v>
      </c>
      <c r="AT77" s="78">
        <v>2</v>
      </c>
      <c r="AU77" s="78">
        <v>0</v>
      </c>
      <c r="AV77" s="78">
        <v>2</v>
      </c>
      <c r="AW77" s="78">
        <v>0</v>
      </c>
      <c r="AX77" s="78">
        <v>4</v>
      </c>
      <c r="AY77" s="78">
        <v>1</v>
      </c>
      <c r="AZ77" s="78">
        <v>2</v>
      </c>
      <c r="BA77" s="78">
        <v>0.5</v>
      </c>
      <c r="BB77" s="78">
        <v>0.5</v>
      </c>
      <c r="BC77" s="78">
        <v>0.5</v>
      </c>
      <c r="BD77" s="78">
        <v>1</v>
      </c>
      <c r="BE77" s="78">
        <v>0.5</v>
      </c>
      <c r="BF77" s="78">
        <v>0</v>
      </c>
      <c r="BG77" s="78">
        <v>2</v>
      </c>
      <c r="BH77" s="137">
        <v>0.75</v>
      </c>
      <c r="BJ77" s="143" t="s">
        <v>737</v>
      </c>
      <c r="BK77" s="143" t="s">
        <v>736</v>
      </c>
      <c r="BL77" s="143" t="s">
        <v>843</v>
      </c>
      <c r="BM77" s="143">
        <v>648</v>
      </c>
      <c r="BN77" s="78">
        <v>1</v>
      </c>
      <c r="BO77" s="78">
        <v>0</v>
      </c>
      <c r="BP77" s="78">
        <v>0</v>
      </c>
      <c r="BQ77" s="78">
        <v>0</v>
      </c>
      <c r="BR77" s="78">
        <v>0</v>
      </c>
      <c r="BS77" s="78">
        <v>3</v>
      </c>
      <c r="BT77" s="78">
        <v>0</v>
      </c>
      <c r="BU77" s="137">
        <v>0.17391300000000001</v>
      </c>
      <c r="BW77" s="143" t="s">
        <v>737</v>
      </c>
      <c r="BX77" s="143" t="s">
        <v>736</v>
      </c>
      <c r="BY77" s="143" t="s">
        <v>843</v>
      </c>
      <c r="BZ77" s="143">
        <v>648</v>
      </c>
      <c r="CA77" s="78">
        <v>1</v>
      </c>
      <c r="CB77" s="78">
        <v>1</v>
      </c>
      <c r="CC77" s="78">
        <v>1</v>
      </c>
      <c r="CD77" s="78">
        <v>2</v>
      </c>
      <c r="CE77" s="78">
        <v>1</v>
      </c>
      <c r="CF77" s="78">
        <v>2</v>
      </c>
      <c r="CG77" s="78">
        <v>1</v>
      </c>
      <c r="CH77" s="78">
        <v>2</v>
      </c>
      <c r="CI77" s="78">
        <v>1</v>
      </c>
      <c r="CJ77" s="78">
        <v>3</v>
      </c>
      <c r="CK77" s="137">
        <v>1</v>
      </c>
      <c r="CM77" s="143" t="s">
        <v>737</v>
      </c>
      <c r="CN77" s="143" t="s">
        <v>736</v>
      </c>
      <c r="CO77" s="143" t="s">
        <v>843</v>
      </c>
      <c r="CP77" s="143">
        <v>648</v>
      </c>
      <c r="CQ77" s="78">
        <v>8</v>
      </c>
      <c r="CR77" s="78">
        <v>0</v>
      </c>
      <c r="CS77" s="78">
        <v>4</v>
      </c>
      <c r="CT77" s="78">
        <v>4</v>
      </c>
      <c r="CU77" s="78">
        <v>2</v>
      </c>
      <c r="CV77" s="78">
        <v>8</v>
      </c>
      <c r="CW77" s="137">
        <v>0.5</v>
      </c>
      <c r="CY77" s="143" t="s">
        <v>737</v>
      </c>
      <c r="CZ77" s="143" t="s">
        <v>736</v>
      </c>
      <c r="DA77" s="143" t="s">
        <v>843</v>
      </c>
      <c r="DB77" s="143">
        <v>648</v>
      </c>
      <c r="DC77" s="78">
        <v>26</v>
      </c>
      <c r="DD77" s="137">
        <v>0</v>
      </c>
      <c r="DE77" s="137">
        <v>0</v>
      </c>
      <c r="DG77" s="143" t="s">
        <v>737</v>
      </c>
      <c r="DH77" s="143" t="s">
        <v>736</v>
      </c>
      <c r="DI77" s="143" t="s">
        <v>843</v>
      </c>
      <c r="DJ77" s="143">
        <v>648</v>
      </c>
      <c r="DK77" s="78">
        <v>0</v>
      </c>
      <c r="DL77" s="78">
        <v>1</v>
      </c>
      <c r="DM77" s="78">
        <v>1</v>
      </c>
      <c r="DN77" s="78">
        <v>6</v>
      </c>
      <c r="DO77" s="78">
        <v>2</v>
      </c>
      <c r="DP77" s="78">
        <v>3</v>
      </c>
      <c r="DQ77" s="78">
        <v>7</v>
      </c>
      <c r="DR77" s="78">
        <v>0</v>
      </c>
      <c r="DS77" s="78">
        <v>1</v>
      </c>
      <c r="DT77" s="78">
        <v>2</v>
      </c>
      <c r="DU77" s="78">
        <v>0</v>
      </c>
      <c r="DV77" s="137">
        <v>0.79310349999999996</v>
      </c>
      <c r="DX77" s="143" t="s">
        <v>737</v>
      </c>
      <c r="DY77" s="143" t="s">
        <v>736</v>
      </c>
      <c r="DZ77" s="143" t="s">
        <v>843</v>
      </c>
      <c r="EA77" s="143">
        <v>648</v>
      </c>
      <c r="EB77" s="78">
        <v>1</v>
      </c>
      <c r="EC77" s="78">
        <v>8</v>
      </c>
      <c r="ED77" s="78">
        <v>1</v>
      </c>
      <c r="EE77" s="78">
        <v>4</v>
      </c>
      <c r="EF77" s="78">
        <v>3</v>
      </c>
      <c r="EG77" s="78">
        <v>1</v>
      </c>
      <c r="EH77" s="78">
        <v>0</v>
      </c>
      <c r="EI77" s="78">
        <v>1</v>
      </c>
      <c r="EJ77" s="78">
        <v>1</v>
      </c>
      <c r="EK77" s="78">
        <v>1</v>
      </c>
      <c r="EL77" s="78">
        <v>0</v>
      </c>
      <c r="EM77" s="78">
        <v>1</v>
      </c>
      <c r="EN77" s="78">
        <v>1</v>
      </c>
      <c r="EO77" s="78">
        <v>1</v>
      </c>
      <c r="EP77" s="78">
        <v>1</v>
      </c>
      <c r="EQ77" s="137">
        <v>0.92592589999999997</v>
      </c>
      <c r="ES77" s="143" t="s">
        <v>737</v>
      </c>
      <c r="ET77" s="143" t="s">
        <v>736</v>
      </c>
      <c r="EU77" s="143" t="s">
        <v>843</v>
      </c>
      <c r="EV77" s="143">
        <v>648</v>
      </c>
      <c r="EW77" s="78">
        <v>0</v>
      </c>
      <c r="EX77" s="78">
        <v>1</v>
      </c>
      <c r="EY77" s="78">
        <v>0</v>
      </c>
      <c r="EZ77" s="78">
        <v>0</v>
      </c>
      <c r="FA77" s="78">
        <v>0.5</v>
      </c>
      <c r="FB77" s="78">
        <v>3</v>
      </c>
      <c r="FC77" s="78">
        <v>2</v>
      </c>
      <c r="FD77" s="78">
        <v>1</v>
      </c>
      <c r="FE77" s="137">
        <v>0.57692310000000002</v>
      </c>
      <c r="FG77" s="137">
        <v>0.47521869999999999</v>
      </c>
    </row>
    <row r="78" spans="1:163" x14ac:dyDescent="0.35">
      <c r="A78" s="143" t="s">
        <v>737</v>
      </c>
      <c r="B78" s="143" t="s">
        <v>736</v>
      </c>
      <c r="C78" s="143" t="s">
        <v>842</v>
      </c>
      <c r="D78" s="143">
        <v>650</v>
      </c>
      <c r="E78" s="78">
        <v>0</v>
      </c>
      <c r="F78" s="78">
        <v>2</v>
      </c>
      <c r="G78" s="78">
        <v>0</v>
      </c>
      <c r="H78" s="78">
        <v>3</v>
      </c>
      <c r="I78" s="78">
        <v>1</v>
      </c>
      <c r="J78" s="78">
        <v>0</v>
      </c>
      <c r="K78" s="78">
        <v>1</v>
      </c>
      <c r="L78" s="78">
        <v>0</v>
      </c>
      <c r="M78" s="78">
        <v>0</v>
      </c>
      <c r="N78" s="137">
        <v>0.5</v>
      </c>
      <c r="P78" s="143" t="s">
        <v>737</v>
      </c>
      <c r="Q78" s="143" t="s">
        <v>736</v>
      </c>
      <c r="R78" s="143" t="s">
        <v>842</v>
      </c>
      <c r="S78" s="143">
        <v>650</v>
      </c>
      <c r="T78" s="78">
        <v>1</v>
      </c>
      <c r="U78" s="78">
        <v>1</v>
      </c>
      <c r="V78" s="78">
        <v>0</v>
      </c>
      <c r="W78" s="78">
        <v>2</v>
      </c>
      <c r="X78" s="78">
        <v>0</v>
      </c>
      <c r="Y78" s="78">
        <v>1</v>
      </c>
      <c r="Z78" s="78">
        <v>0</v>
      </c>
      <c r="AA78" s="78">
        <v>0</v>
      </c>
      <c r="AB78" s="78">
        <v>0</v>
      </c>
      <c r="AC78" s="78">
        <v>0</v>
      </c>
      <c r="AD78" s="137">
        <v>0.14705879999999999</v>
      </c>
      <c r="AF78" s="143" t="s">
        <v>737</v>
      </c>
      <c r="AG78" s="143" t="s">
        <v>736</v>
      </c>
      <c r="AH78" s="143" t="s">
        <v>842</v>
      </c>
      <c r="AI78" s="143">
        <v>650</v>
      </c>
      <c r="AJ78" s="78">
        <v>0</v>
      </c>
      <c r="AK78" s="78">
        <v>0</v>
      </c>
      <c r="AL78" s="78">
        <v>1</v>
      </c>
      <c r="AM78" s="78">
        <v>0</v>
      </c>
      <c r="AN78" s="78">
        <v>1</v>
      </c>
      <c r="AO78" s="78">
        <v>0</v>
      </c>
      <c r="AP78" s="78">
        <v>2</v>
      </c>
      <c r="AQ78" s="78">
        <v>1</v>
      </c>
      <c r="AR78" s="78">
        <v>0</v>
      </c>
      <c r="AS78" s="78">
        <v>0</v>
      </c>
      <c r="AT78" s="78">
        <v>2</v>
      </c>
      <c r="AU78" s="78">
        <v>0</v>
      </c>
      <c r="AV78" s="78">
        <v>2</v>
      </c>
      <c r="AW78" s="78">
        <v>0</v>
      </c>
      <c r="AX78" s="78">
        <v>0</v>
      </c>
      <c r="AY78" s="78">
        <v>1</v>
      </c>
      <c r="AZ78" s="78">
        <v>2</v>
      </c>
      <c r="BA78" s="78">
        <v>0.5</v>
      </c>
      <c r="BB78" s="78">
        <v>0.5</v>
      </c>
      <c r="BC78" s="78">
        <v>0</v>
      </c>
      <c r="BD78" s="78">
        <v>1</v>
      </c>
      <c r="BE78" s="78">
        <v>0</v>
      </c>
      <c r="BF78" s="78">
        <v>0</v>
      </c>
      <c r="BG78" s="78">
        <v>2</v>
      </c>
      <c r="BH78" s="137">
        <v>0.36363640000000003</v>
      </c>
      <c r="BJ78" s="143" t="s">
        <v>737</v>
      </c>
      <c r="BK78" s="143" t="s">
        <v>736</v>
      </c>
      <c r="BL78" s="143" t="s">
        <v>842</v>
      </c>
      <c r="BM78" s="143">
        <v>650</v>
      </c>
      <c r="BN78" s="78">
        <v>0</v>
      </c>
      <c r="BO78" s="78">
        <v>0</v>
      </c>
      <c r="BP78" s="78">
        <v>0</v>
      </c>
      <c r="BQ78" s="78">
        <v>0</v>
      </c>
      <c r="BR78" s="78">
        <v>0</v>
      </c>
      <c r="BS78" s="78">
        <v>0</v>
      </c>
      <c r="BT78" s="78">
        <v>0</v>
      </c>
      <c r="BU78" s="137">
        <v>0</v>
      </c>
      <c r="BW78" s="143" t="s">
        <v>737</v>
      </c>
      <c r="BX78" s="143" t="s">
        <v>736</v>
      </c>
      <c r="BY78" s="143" t="s">
        <v>842</v>
      </c>
      <c r="BZ78" s="143">
        <v>650</v>
      </c>
      <c r="CM78" s="143" t="s">
        <v>737</v>
      </c>
      <c r="CN78" s="143" t="s">
        <v>736</v>
      </c>
      <c r="CO78" s="143" t="s">
        <v>842</v>
      </c>
      <c r="CP78" s="143">
        <v>650</v>
      </c>
      <c r="CQ78" s="78">
        <v>0</v>
      </c>
      <c r="CR78" s="78">
        <v>0</v>
      </c>
      <c r="CS78" s="78">
        <v>8</v>
      </c>
      <c r="CT78" s="78">
        <v>4</v>
      </c>
      <c r="CU78" s="78">
        <v>0</v>
      </c>
      <c r="CV78" s="78">
        <v>8</v>
      </c>
      <c r="CW78" s="137">
        <v>0.3846154</v>
      </c>
      <c r="CY78" s="143" t="s">
        <v>737</v>
      </c>
      <c r="CZ78" s="143" t="s">
        <v>736</v>
      </c>
      <c r="DA78" s="143" t="s">
        <v>842</v>
      </c>
      <c r="DB78" s="143">
        <v>650</v>
      </c>
      <c r="DC78" s="78">
        <v>14</v>
      </c>
      <c r="DD78" s="137">
        <v>0.2</v>
      </c>
      <c r="DE78" s="137">
        <v>3.0434800000000001E-2</v>
      </c>
      <c r="DG78" s="143" t="s">
        <v>737</v>
      </c>
      <c r="DH78" s="143" t="s">
        <v>736</v>
      </c>
      <c r="DI78" s="143" t="s">
        <v>842</v>
      </c>
      <c r="DJ78" s="143">
        <v>650</v>
      </c>
      <c r="DK78" s="78">
        <v>2</v>
      </c>
      <c r="DL78" s="78">
        <v>1</v>
      </c>
      <c r="DM78" s="78">
        <v>1</v>
      </c>
      <c r="DN78" s="78">
        <v>5</v>
      </c>
      <c r="DO78" s="78">
        <v>2</v>
      </c>
      <c r="DP78" s="78">
        <v>3</v>
      </c>
      <c r="DQ78" s="78">
        <v>7</v>
      </c>
      <c r="DR78" s="78">
        <v>0</v>
      </c>
      <c r="DS78" s="78">
        <v>1</v>
      </c>
      <c r="DT78" s="78">
        <v>2</v>
      </c>
      <c r="DU78" s="78">
        <v>0</v>
      </c>
      <c r="DV78" s="137">
        <v>0.82758620000000005</v>
      </c>
      <c r="DX78" s="143" t="s">
        <v>737</v>
      </c>
      <c r="DY78" s="143" t="s">
        <v>736</v>
      </c>
      <c r="DZ78" s="143" t="s">
        <v>842</v>
      </c>
      <c r="EA78" s="143">
        <v>650</v>
      </c>
      <c r="EB78" s="78">
        <v>0</v>
      </c>
      <c r="EC78" s="78">
        <v>0</v>
      </c>
      <c r="ED78" s="78">
        <v>1</v>
      </c>
      <c r="EE78" s="78">
        <v>4</v>
      </c>
      <c r="EF78" s="78">
        <v>0</v>
      </c>
      <c r="EG78" s="78">
        <v>1</v>
      </c>
      <c r="EH78" s="78">
        <v>0</v>
      </c>
      <c r="EI78" s="78">
        <v>1</v>
      </c>
      <c r="EJ78" s="78">
        <v>1</v>
      </c>
      <c r="EK78" s="78">
        <v>1</v>
      </c>
      <c r="EL78" s="78">
        <v>0</v>
      </c>
      <c r="EM78" s="78">
        <v>1</v>
      </c>
      <c r="EN78" s="78">
        <v>1</v>
      </c>
      <c r="EO78" s="78">
        <v>0</v>
      </c>
      <c r="EP78" s="78">
        <v>1</v>
      </c>
      <c r="EQ78" s="137">
        <v>0.44444440000000002</v>
      </c>
      <c r="ES78" s="143" t="s">
        <v>737</v>
      </c>
      <c r="ET78" s="143" t="s">
        <v>736</v>
      </c>
      <c r="EU78" s="143" t="s">
        <v>842</v>
      </c>
      <c r="EV78" s="143">
        <v>650</v>
      </c>
      <c r="EW78" s="78">
        <v>0</v>
      </c>
      <c r="EX78" s="78">
        <v>1</v>
      </c>
      <c r="EY78" s="78">
        <v>0</v>
      </c>
      <c r="EZ78" s="78">
        <v>0</v>
      </c>
      <c r="FA78" s="78">
        <v>0.5</v>
      </c>
      <c r="FB78" s="78">
        <v>3</v>
      </c>
      <c r="FC78" s="78">
        <v>2</v>
      </c>
      <c r="FD78" s="78">
        <v>1</v>
      </c>
      <c r="FE78" s="137">
        <v>0.57692310000000002</v>
      </c>
      <c r="FG78" s="137">
        <v>0.28749999999999998</v>
      </c>
    </row>
    <row r="79" spans="1:163" x14ac:dyDescent="0.35">
      <c r="A79" s="143" t="s">
        <v>737</v>
      </c>
      <c r="B79" s="143" t="s">
        <v>736</v>
      </c>
      <c r="C79" s="143" t="s">
        <v>842</v>
      </c>
      <c r="D79" s="143">
        <v>659</v>
      </c>
      <c r="E79" s="78">
        <v>0</v>
      </c>
      <c r="F79" s="78">
        <v>2.5</v>
      </c>
      <c r="G79" s="78">
        <v>1</v>
      </c>
      <c r="H79" s="78">
        <v>0</v>
      </c>
      <c r="I79" s="78">
        <v>1</v>
      </c>
      <c r="J79" s="78">
        <v>0</v>
      </c>
      <c r="K79" s="78">
        <v>1</v>
      </c>
      <c r="L79" s="78">
        <v>0</v>
      </c>
      <c r="M79" s="78">
        <v>2</v>
      </c>
      <c r="N79" s="137">
        <v>0.53571429999999998</v>
      </c>
      <c r="P79" s="143" t="s">
        <v>737</v>
      </c>
      <c r="Q79" s="143" t="s">
        <v>736</v>
      </c>
      <c r="R79" s="143" t="s">
        <v>842</v>
      </c>
      <c r="S79" s="143">
        <v>659</v>
      </c>
      <c r="T79" s="78">
        <v>1</v>
      </c>
      <c r="U79" s="78">
        <v>0</v>
      </c>
      <c r="V79" s="78">
        <v>2</v>
      </c>
      <c r="W79" s="78">
        <v>1</v>
      </c>
      <c r="X79" s="78">
        <v>0</v>
      </c>
      <c r="Y79" s="78">
        <v>1</v>
      </c>
      <c r="Z79" s="78">
        <v>3</v>
      </c>
      <c r="AA79" s="78">
        <v>2</v>
      </c>
      <c r="AB79" s="78">
        <v>6</v>
      </c>
      <c r="AC79" s="78">
        <v>3</v>
      </c>
      <c r="AD79" s="137">
        <v>0.55882350000000003</v>
      </c>
      <c r="AF79" s="143" t="s">
        <v>737</v>
      </c>
      <c r="AG79" s="143" t="s">
        <v>736</v>
      </c>
      <c r="AH79" s="143" t="s">
        <v>842</v>
      </c>
      <c r="AI79" s="143">
        <v>659</v>
      </c>
      <c r="AJ79" s="78">
        <v>1</v>
      </c>
      <c r="AK79" s="78">
        <v>0</v>
      </c>
      <c r="AL79" s="78">
        <v>1</v>
      </c>
      <c r="AM79" s="78">
        <v>0</v>
      </c>
      <c r="AN79" s="78">
        <v>1</v>
      </c>
      <c r="AO79" s="78">
        <v>0</v>
      </c>
      <c r="AP79" s="78">
        <v>2</v>
      </c>
      <c r="AQ79" s="78">
        <v>0</v>
      </c>
      <c r="AR79" s="78">
        <v>0</v>
      </c>
      <c r="AS79" s="78">
        <v>2</v>
      </c>
      <c r="AT79" s="78">
        <v>2</v>
      </c>
      <c r="AU79" s="78">
        <v>0</v>
      </c>
      <c r="AV79" s="78">
        <v>2</v>
      </c>
      <c r="AW79" s="78">
        <v>0</v>
      </c>
      <c r="AX79" s="78">
        <v>0</v>
      </c>
      <c r="AY79" s="78">
        <v>1</v>
      </c>
      <c r="AZ79" s="78">
        <v>2</v>
      </c>
      <c r="BA79" s="78">
        <v>0.5</v>
      </c>
      <c r="BB79" s="78">
        <v>0.5</v>
      </c>
      <c r="BC79" s="78">
        <v>0.5</v>
      </c>
      <c r="BD79" s="78">
        <v>1</v>
      </c>
      <c r="BE79" s="78">
        <v>0.5</v>
      </c>
      <c r="BF79" s="78">
        <v>0</v>
      </c>
      <c r="BG79" s="78">
        <v>6</v>
      </c>
      <c r="BH79" s="137">
        <v>0.52272730000000001</v>
      </c>
      <c r="BJ79" s="143" t="s">
        <v>737</v>
      </c>
      <c r="BK79" s="143" t="s">
        <v>736</v>
      </c>
      <c r="BL79" s="143" t="s">
        <v>842</v>
      </c>
      <c r="BM79" s="143">
        <v>659</v>
      </c>
      <c r="BN79" s="78">
        <v>0</v>
      </c>
      <c r="BO79" s="78">
        <v>0</v>
      </c>
      <c r="BP79" s="78">
        <v>0</v>
      </c>
      <c r="BQ79" s="78">
        <v>0</v>
      </c>
      <c r="BR79" s="78">
        <v>0</v>
      </c>
      <c r="BS79" s="78">
        <v>0</v>
      </c>
      <c r="BT79" s="78">
        <v>0</v>
      </c>
      <c r="BU79" s="137">
        <v>0</v>
      </c>
      <c r="BW79" s="143" t="s">
        <v>737</v>
      </c>
      <c r="BX79" s="143" t="s">
        <v>736</v>
      </c>
      <c r="BY79" s="143" t="s">
        <v>842</v>
      </c>
      <c r="BZ79" s="143">
        <v>659</v>
      </c>
      <c r="CA79" s="78">
        <v>1</v>
      </c>
      <c r="CB79" s="78">
        <v>0</v>
      </c>
      <c r="CC79" s="78">
        <v>1</v>
      </c>
      <c r="CD79" s="78">
        <v>2</v>
      </c>
      <c r="CE79" s="78">
        <v>0</v>
      </c>
      <c r="CF79" s="78">
        <v>0</v>
      </c>
      <c r="CG79" s="78">
        <v>1</v>
      </c>
      <c r="CH79" s="78">
        <v>2</v>
      </c>
      <c r="CI79" s="78">
        <v>1</v>
      </c>
      <c r="CJ79" s="78">
        <v>3</v>
      </c>
      <c r="CK79" s="137">
        <v>0.73333329999999997</v>
      </c>
      <c r="CM79" s="143" t="s">
        <v>737</v>
      </c>
      <c r="CN79" s="143" t="s">
        <v>736</v>
      </c>
      <c r="CO79" s="143" t="s">
        <v>842</v>
      </c>
      <c r="CP79" s="143">
        <v>659</v>
      </c>
      <c r="CQ79" s="78">
        <v>0</v>
      </c>
      <c r="CR79" s="78">
        <v>6</v>
      </c>
      <c r="CS79" s="78">
        <v>20</v>
      </c>
      <c r="CT79" s="78">
        <v>4</v>
      </c>
      <c r="CU79" s="78">
        <v>0</v>
      </c>
      <c r="CV79" s="78">
        <v>8</v>
      </c>
      <c r="CW79" s="137">
        <v>0.73076920000000001</v>
      </c>
      <c r="CY79" s="143" t="s">
        <v>737</v>
      </c>
      <c r="CZ79" s="143" t="s">
        <v>736</v>
      </c>
      <c r="DA79" s="143" t="s">
        <v>842</v>
      </c>
      <c r="DB79" s="143">
        <v>659</v>
      </c>
      <c r="DC79" s="78">
        <v>26</v>
      </c>
      <c r="DD79" s="137">
        <v>0.2</v>
      </c>
      <c r="DE79" s="137">
        <v>5.6521700000000001E-2</v>
      </c>
      <c r="DG79" s="143" t="s">
        <v>737</v>
      </c>
      <c r="DH79" s="143" t="s">
        <v>736</v>
      </c>
      <c r="DI79" s="143" t="s">
        <v>842</v>
      </c>
      <c r="DJ79" s="143">
        <v>659</v>
      </c>
      <c r="DK79" s="78">
        <v>2</v>
      </c>
      <c r="DL79" s="78">
        <v>1</v>
      </c>
      <c r="DM79" s="78">
        <v>0</v>
      </c>
      <c r="DN79" s="78">
        <v>4</v>
      </c>
      <c r="DO79" s="78">
        <v>2</v>
      </c>
      <c r="DP79" s="78">
        <v>3</v>
      </c>
      <c r="DQ79" s="78">
        <v>8</v>
      </c>
      <c r="DR79" s="78">
        <v>0</v>
      </c>
      <c r="DS79" s="78">
        <v>0</v>
      </c>
      <c r="DT79" s="78">
        <v>0</v>
      </c>
      <c r="DU79" s="78">
        <v>0</v>
      </c>
      <c r="DV79" s="137">
        <v>0.68965520000000002</v>
      </c>
      <c r="DX79" s="143" t="s">
        <v>737</v>
      </c>
      <c r="DY79" s="143" t="s">
        <v>736</v>
      </c>
      <c r="DZ79" s="143" t="s">
        <v>842</v>
      </c>
      <c r="EA79" s="143">
        <v>659</v>
      </c>
      <c r="EB79" s="78">
        <v>0</v>
      </c>
      <c r="EC79" s="78">
        <v>0</v>
      </c>
      <c r="ED79" s="78">
        <v>1</v>
      </c>
      <c r="EE79" s="78">
        <v>4</v>
      </c>
      <c r="EF79" s="78">
        <v>0</v>
      </c>
      <c r="EG79" s="78">
        <v>1</v>
      </c>
      <c r="EH79" s="78">
        <v>0</v>
      </c>
      <c r="EI79" s="78">
        <v>1</v>
      </c>
      <c r="EJ79" s="78">
        <v>1</v>
      </c>
      <c r="EK79" s="78">
        <v>1</v>
      </c>
      <c r="EL79" s="78">
        <v>0</v>
      </c>
      <c r="EM79" s="78">
        <v>1</v>
      </c>
      <c r="EN79" s="78">
        <v>1</v>
      </c>
      <c r="EO79" s="78">
        <v>0</v>
      </c>
      <c r="EP79" s="78">
        <v>1</v>
      </c>
      <c r="EQ79" s="137">
        <v>0.44444440000000002</v>
      </c>
      <c r="ES79" s="143" t="s">
        <v>737</v>
      </c>
      <c r="ET79" s="143" t="s">
        <v>736</v>
      </c>
      <c r="EU79" s="143" t="s">
        <v>842</v>
      </c>
      <c r="EV79" s="143">
        <v>659</v>
      </c>
      <c r="EW79" s="78">
        <v>0</v>
      </c>
      <c r="EX79" s="78">
        <v>1</v>
      </c>
      <c r="EY79" s="78">
        <v>0</v>
      </c>
      <c r="EZ79" s="78">
        <v>0</v>
      </c>
      <c r="FA79" s="78">
        <v>0.5</v>
      </c>
      <c r="FB79" s="78">
        <v>3</v>
      </c>
      <c r="FC79" s="78">
        <v>2</v>
      </c>
      <c r="FD79" s="78">
        <v>1</v>
      </c>
      <c r="FE79" s="137">
        <v>0.57692310000000002</v>
      </c>
      <c r="FG79" s="137">
        <v>0.41749269999999999</v>
      </c>
    </row>
    <row r="80" spans="1:163" x14ac:dyDescent="0.35">
      <c r="A80" s="143" t="s">
        <v>737</v>
      </c>
      <c r="B80" s="143" t="s">
        <v>736</v>
      </c>
      <c r="C80" s="143" t="s">
        <v>841</v>
      </c>
      <c r="D80" s="143">
        <v>666</v>
      </c>
      <c r="E80" s="78">
        <v>0</v>
      </c>
      <c r="F80" s="78">
        <v>2.5</v>
      </c>
      <c r="G80" s="78">
        <v>1</v>
      </c>
      <c r="H80" s="78">
        <v>0</v>
      </c>
      <c r="I80" s="78">
        <v>1</v>
      </c>
      <c r="J80" s="78">
        <v>0</v>
      </c>
      <c r="K80" s="78">
        <v>0</v>
      </c>
      <c r="L80" s="78">
        <v>1</v>
      </c>
      <c r="M80" s="78">
        <v>2</v>
      </c>
      <c r="N80" s="137">
        <v>0.53571429999999998</v>
      </c>
      <c r="P80" s="143" t="s">
        <v>737</v>
      </c>
      <c r="Q80" s="143" t="s">
        <v>736</v>
      </c>
      <c r="R80" s="143" t="s">
        <v>841</v>
      </c>
      <c r="S80" s="143">
        <v>666</v>
      </c>
      <c r="T80" s="78">
        <v>1</v>
      </c>
      <c r="U80" s="78">
        <v>1</v>
      </c>
      <c r="V80" s="78">
        <v>2</v>
      </c>
      <c r="W80" s="78">
        <v>2</v>
      </c>
      <c r="X80" s="78">
        <v>0</v>
      </c>
      <c r="Y80" s="78">
        <v>1</v>
      </c>
      <c r="Z80" s="78">
        <v>3</v>
      </c>
      <c r="AA80" s="78">
        <v>0</v>
      </c>
      <c r="AB80" s="78">
        <v>0</v>
      </c>
      <c r="AC80" s="78">
        <v>3</v>
      </c>
      <c r="AD80" s="137">
        <v>0.3823529</v>
      </c>
      <c r="AF80" s="143" t="s">
        <v>737</v>
      </c>
      <c r="AG80" s="143" t="s">
        <v>736</v>
      </c>
      <c r="AH80" s="143" t="s">
        <v>841</v>
      </c>
      <c r="AI80" s="143">
        <v>666</v>
      </c>
      <c r="AJ80" s="78">
        <v>1</v>
      </c>
      <c r="AK80" s="78">
        <v>0</v>
      </c>
      <c r="AL80" s="78">
        <v>1</v>
      </c>
      <c r="AM80" s="78">
        <v>6</v>
      </c>
      <c r="AN80" s="78">
        <v>1</v>
      </c>
      <c r="AO80" s="78">
        <v>2</v>
      </c>
      <c r="AP80" s="78">
        <v>2</v>
      </c>
      <c r="AQ80" s="78">
        <v>1</v>
      </c>
      <c r="AR80" s="78">
        <v>2</v>
      </c>
      <c r="AS80" s="78">
        <v>2</v>
      </c>
      <c r="AT80" s="78">
        <v>2</v>
      </c>
      <c r="AU80" s="78">
        <v>1</v>
      </c>
      <c r="AV80" s="78">
        <v>2</v>
      </c>
      <c r="AW80" s="78">
        <v>1</v>
      </c>
      <c r="AX80" s="78">
        <v>4</v>
      </c>
      <c r="AY80" s="78">
        <v>0</v>
      </c>
      <c r="AZ80" s="78">
        <v>2</v>
      </c>
      <c r="BA80" s="78">
        <v>0.5</v>
      </c>
      <c r="BB80" s="78">
        <v>0.5</v>
      </c>
      <c r="BC80" s="78">
        <v>0.5</v>
      </c>
      <c r="BD80" s="78">
        <v>1</v>
      </c>
      <c r="BE80" s="78">
        <v>0.5</v>
      </c>
      <c r="BF80" s="78">
        <v>1</v>
      </c>
      <c r="BG80" s="78">
        <v>2</v>
      </c>
      <c r="BH80" s="137">
        <v>0.81818179999999996</v>
      </c>
      <c r="BJ80" s="143" t="s">
        <v>737</v>
      </c>
      <c r="BK80" s="143" t="s">
        <v>736</v>
      </c>
      <c r="BL80" s="143" t="s">
        <v>841</v>
      </c>
      <c r="BM80" s="143">
        <v>666</v>
      </c>
      <c r="BN80" s="78">
        <v>1</v>
      </c>
      <c r="BO80" s="78">
        <v>4</v>
      </c>
      <c r="BP80" s="78">
        <v>0</v>
      </c>
      <c r="BQ80" s="78">
        <v>3</v>
      </c>
      <c r="BR80" s="78">
        <v>3</v>
      </c>
      <c r="BS80" s="78">
        <v>3</v>
      </c>
      <c r="BT80" s="78">
        <v>2</v>
      </c>
      <c r="BU80" s="137">
        <v>0.69565220000000005</v>
      </c>
      <c r="BW80" s="143" t="s">
        <v>737</v>
      </c>
      <c r="BX80" s="143" t="s">
        <v>736</v>
      </c>
      <c r="BY80" s="143" t="s">
        <v>841</v>
      </c>
      <c r="BZ80" s="143">
        <v>666</v>
      </c>
      <c r="CA80" s="78">
        <v>1</v>
      </c>
      <c r="CB80" s="78">
        <v>1</v>
      </c>
      <c r="CC80" s="78">
        <v>1</v>
      </c>
      <c r="CD80" s="78">
        <v>2</v>
      </c>
      <c r="CE80" s="78">
        <v>1</v>
      </c>
      <c r="CF80" s="78">
        <v>2</v>
      </c>
      <c r="CG80" s="78">
        <v>1</v>
      </c>
      <c r="CH80" s="78">
        <v>2</v>
      </c>
      <c r="CI80" s="78">
        <v>1</v>
      </c>
      <c r="CJ80" s="78">
        <v>0</v>
      </c>
      <c r="CK80" s="137">
        <v>0.8</v>
      </c>
      <c r="CM80" s="143" t="s">
        <v>737</v>
      </c>
      <c r="CN80" s="143" t="s">
        <v>736</v>
      </c>
      <c r="CO80" s="143" t="s">
        <v>841</v>
      </c>
      <c r="CP80" s="143">
        <v>666</v>
      </c>
      <c r="CQ80" s="78">
        <v>8</v>
      </c>
      <c r="CR80" s="78">
        <v>0</v>
      </c>
      <c r="CS80" s="78">
        <v>4</v>
      </c>
      <c r="CT80" s="78">
        <v>4</v>
      </c>
      <c r="CU80" s="78">
        <v>0</v>
      </c>
      <c r="CV80" s="78">
        <v>8</v>
      </c>
      <c r="CW80" s="137">
        <v>0.46153850000000002</v>
      </c>
      <c r="CY80" s="143" t="s">
        <v>737</v>
      </c>
      <c r="CZ80" s="143" t="s">
        <v>736</v>
      </c>
      <c r="DA80" s="143" t="s">
        <v>841</v>
      </c>
      <c r="DB80" s="143">
        <v>666</v>
      </c>
      <c r="DC80" s="78">
        <v>0</v>
      </c>
      <c r="DD80" s="137">
        <v>0</v>
      </c>
      <c r="DE80" s="137">
        <v>0</v>
      </c>
      <c r="DG80" s="143" t="s">
        <v>737</v>
      </c>
      <c r="DH80" s="143" t="s">
        <v>736</v>
      </c>
      <c r="DI80" s="143" t="s">
        <v>841</v>
      </c>
      <c r="DJ80" s="143">
        <v>666</v>
      </c>
      <c r="DK80" s="78">
        <v>2</v>
      </c>
      <c r="DL80" s="78">
        <v>1</v>
      </c>
      <c r="DM80" s="78">
        <v>1</v>
      </c>
      <c r="DN80" s="78">
        <v>4</v>
      </c>
      <c r="DO80" s="78">
        <v>2</v>
      </c>
      <c r="DP80" s="78">
        <v>3</v>
      </c>
      <c r="DQ80" s="78">
        <v>7</v>
      </c>
      <c r="DR80" s="78">
        <v>0</v>
      </c>
      <c r="DS80" s="78">
        <v>1</v>
      </c>
      <c r="DT80" s="78">
        <v>2</v>
      </c>
      <c r="DU80" s="78">
        <v>0</v>
      </c>
      <c r="DV80" s="137">
        <v>0.79310349999999996</v>
      </c>
      <c r="DX80" s="143" t="s">
        <v>737</v>
      </c>
      <c r="DY80" s="143" t="s">
        <v>736</v>
      </c>
      <c r="DZ80" s="143" t="s">
        <v>841</v>
      </c>
      <c r="EA80" s="143">
        <v>666</v>
      </c>
      <c r="EB80" s="78">
        <v>1</v>
      </c>
      <c r="EC80" s="78">
        <v>8</v>
      </c>
      <c r="ED80" s="78">
        <v>1</v>
      </c>
      <c r="EE80" s="78">
        <v>4</v>
      </c>
      <c r="EF80" s="78">
        <v>3</v>
      </c>
      <c r="EG80" s="78">
        <v>1</v>
      </c>
      <c r="EH80" s="78">
        <v>0</v>
      </c>
      <c r="EI80" s="78">
        <v>1</v>
      </c>
      <c r="EJ80" s="78">
        <v>1</v>
      </c>
      <c r="EK80" s="78">
        <v>1</v>
      </c>
      <c r="EL80" s="78">
        <v>1</v>
      </c>
      <c r="EM80" s="78">
        <v>1</v>
      </c>
      <c r="EN80" s="78">
        <v>1</v>
      </c>
      <c r="EO80" s="78">
        <v>1</v>
      </c>
      <c r="EP80" s="78">
        <v>1</v>
      </c>
      <c r="EQ80" s="137">
        <v>0.96296300000000001</v>
      </c>
      <c r="ES80" s="143" t="s">
        <v>737</v>
      </c>
      <c r="ET80" s="143" t="s">
        <v>736</v>
      </c>
      <c r="EU80" s="143" t="s">
        <v>841</v>
      </c>
      <c r="EV80" s="143">
        <v>666</v>
      </c>
      <c r="EW80" s="78">
        <v>0</v>
      </c>
      <c r="EX80" s="78">
        <v>0</v>
      </c>
      <c r="EY80" s="78">
        <v>0</v>
      </c>
      <c r="EZ80" s="78">
        <v>0</v>
      </c>
      <c r="FA80" s="78">
        <v>0.5</v>
      </c>
      <c r="FB80" s="78">
        <v>3</v>
      </c>
      <c r="FC80" s="78">
        <v>2</v>
      </c>
      <c r="FD80" s="78">
        <v>1</v>
      </c>
      <c r="FE80" s="137">
        <v>0.5</v>
      </c>
      <c r="FG80" s="137">
        <v>0.47813410000000001</v>
      </c>
    </row>
    <row r="81" spans="1:163" x14ac:dyDescent="0.35">
      <c r="A81" s="143" t="s">
        <v>737</v>
      </c>
      <c r="B81" s="143" t="s">
        <v>736</v>
      </c>
      <c r="C81" s="143" t="s">
        <v>841</v>
      </c>
      <c r="D81" s="143">
        <v>1737</v>
      </c>
      <c r="E81" s="78">
        <v>0</v>
      </c>
      <c r="F81" s="78">
        <v>2.5</v>
      </c>
      <c r="G81" s="78">
        <v>0</v>
      </c>
      <c r="H81" s="78">
        <v>3</v>
      </c>
      <c r="I81" s="78">
        <v>1</v>
      </c>
      <c r="J81" s="78">
        <v>0</v>
      </c>
      <c r="K81" s="78">
        <v>1</v>
      </c>
      <c r="L81" s="78">
        <v>0</v>
      </c>
      <c r="M81" s="78">
        <v>2</v>
      </c>
      <c r="N81" s="137">
        <v>0.67857140000000005</v>
      </c>
      <c r="P81" s="143" t="s">
        <v>737</v>
      </c>
      <c r="Q81" s="143" t="s">
        <v>736</v>
      </c>
      <c r="R81" s="143" t="s">
        <v>841</v>
      </c>
      <c r="S81" s="143">
        <v>1737</v>
      </c>
      <c r="T81" s="78">
        <v>1</v>
      </c>
      <c r="U81" s="78">
        <v>0</v>
      </c>
      <c r="V81" s="78">
        <v>1.5</v>
      </c>
      <c r="W81" s="78">
        <v>1</v>
      </c>
      <c r="X81" s="78">
        <v>0</v>
      </c>
      <c r="Y81" s="78">
        <v>1</v>
      </c>
      <c r="Z81" s="78">
        <v>3</v>
      </c>
      <c r="AA81" s="78">
        <v>2</v>
      </c>
      <c r="AB81" s="78">
        <v>6</v>
      </c>
      <c r="AC81" s="78">
        <v>0</v>
      </c>
      <c r="AD81" s="137">
        <v>0.45588230000000002</v>
      </c>
      <c r="AF81" s="143" t="s">
        <v>737</v>
      </c>
      <c r="AG81" s="143" t="s">
        <v>736</v>
      </c>
      <c r="AH81" s="143" t="s">
        <v>841</v>
      </c>
      <c r="AI81" s="143">
        <v>1737</v>
      </c>
      <c r="AJ81" s="78">
        <v>1</v>
      </c>
      <c r="AK81" s="78">
        <v>0</v>
      </c>
      <c r="AL81" s="78">
        <v>1</v>
      </c>
      <c r="AM81" s="78">
        <v>5</v>
      </c>
      <c r="AN81" s="78">
        <v>1</v>
      </c>
      <c r="AO81" s="78">
        <v>2</v>
      </c>
      <c r="AP81" s="78">
        <v>2</v>
      </c>
      <c r="AQ81" s="78">
        <v>1</v>
      </c>
      <c r="AR81" s="78">
        <v>2</v>
      </c>
      <c r="AS81" s="78">
        <v>2</v>
      </c>
      <c r="AT81" s="78">
        <v>2</v>
      </c>
      <c r="AU81" s="78">
        <v>0</v>
      </c>
      <c r="AV81" s="78">
        <v>2</v>
      </c>
      <c r="AW81" s="78">
        <v>0</v>
      </c>
      <c r="AX81" s="78">
        <v>0</v>
      </c>
      <c r="AY81" s="78">
        <v>1</v>
      </c>
      <c r="AZ81" s="78">
        <v>2</v>
      </c>
      <c r="BA81" s="78">
        <v>0.5</v>
      </c>
      <c r="BB81" s="78">
        <v>0.5</v>
      </c>
      <c r="BC81" s="78">
        <v>0.5</v>
      </c>
      <c r="BD81" s="78">
        <v>1</v>
      </c>
      <c r="BE81" s="78">
        <v>0.5</v>
      </c>
      <c r="BF81" s="78">
        <v>0</v>
      </c>
      <c r="BG81" s="78">
        <v>2</v>
      </c>
      <c r="BH81" s="137">
        <v>0.65909090000000004</v>
      </c>
      <c r="BJ81" s="143" t="s">
        <v>737</v>
      </c>
      <c r="BK81" s="143" t="s">
        <v>736</v>
      </c>
      <c r="BL81" s="143" t="s">
        <v>841</v>
      </c>
      <c r="BM81" s="143">
        <v>1737</v>
      </c>
      <c r="BN81" s="78">
        <v>1</v>
      </c>
      <c r="BO81" s="78">
        <v>0</v>
      </c>
      <c r="BP81" s="78">
        <v>0</v>
      </c>
      <c r="BQ81" s="78">
        <v>0</v>
      </c>
      <c r="BR81" s="78">
        <v>3</v>
      </c>
      <c r="BS81" s="78">
        <v>3</v>
      </c>
      <c r="BT81" s="78">
        <v>2</v>
      </c>
      <c r="BU81" s="137">
        <v>0.39130429999999999</v>
      </c>
      <c r="BW81" s="143" t="s">
        <v>737</v>
      </c>
      <c r="BX81" s="143" t="s">
        <v>736</v>
      </c>
      <c r="BY81" s="143" t="s">
        <v>841</v>
      </c>
      <c r="BZ81" s="143">
        <v>1737</v>
      </c>
      <c r="CA81" s="78">
        <v>1</v>
      </c>
      <c r="CB81" s="78">
        <v>1</v>
      </c>
      <c r="CC81" s="78">
        <v>1</v>
      </c>
      <c r="CD81" s="78">
        <v>2</v>
      </c>
      <c r="CE81" s="78">
        <v>1</v>
      </c>
      <c r="CF81" s="78">
        <v>2</v>
      </c>
      <c r="CG81" s="78">
        <v>1</v>
      </c>
      <c r="CH81" s="78">
        <v>2</v>
      </c>
      <c r="CI81" s="78">
        <v>1</v>
      </c>
      <c r="CJ81" s="78">
        <v>3</v>
      </c>
      <c r="CK81" s="137">
        <v>1</v>
      </c>
      <c r="CM81" s="143" t="s">
        <v>737</v>
      </c>
      <c r="CN81" s="143" t="s">
        <v>736</v>
      </c>
      <c r="CO81" s="143" t="s">
        <v>841</v>
      </c>
      <c r="CP81" s="143">
        <v>1737</v>
      </c>
      <c r="CQ81" s="78">
        <v>8</v>
      </c>
      <c r="CR81" s="78">
        <v>0</v>
      </c>
      <c r="CS81" s="78">
        <v>12</v>
      </c>
      <c r="CT81" s="78">
        <v>4</v>
      </c>
      <c r="CU81" s="78">
        <v>0</v>
      </c>
      <c r="CV81" s="78">
        <v>8</v>
      </c>
      <c r="CW81" s="137">
        <v>0.61538459999999995</v>
      </c>
      <c r="CY81" s="143" t="s">
        <v>737</v>
      </c>
      <c r="CZ81" s="143" t="s">
        <v>736</v>
      </c>
      <c r="DA81" s="143" t="s">
        <v>841</v>
      </c>
      <c r="DB81" s="143">
        <v>1737</v>
      </c>
      <c r="DC81" s="78">
        <v>34</v>
      </c>
      <c r="DD81" s="137">
        <v>0</v>
      </c>
      <c r="DE81" s="137">
        <v>0</v>
      </c>
      <c r="DG81" s="143" t="s">
        <v>737</v>
      </c>
      <c r="DH81" s="143" t="s">
        <v>736</v>
      </c>
      <c r="DI81" s="143" t="s">
        <v>841</v>
      </c>
      <c r="DJ81" s="143">
        <v>1737</v>
      </c>
      <c r="DK81" s="78">
        <v>2</v>
      </c>
      <c r="DL81" s="78">
        <v>1</v>
      </c>
      <c r="DM81" s="78">
        <v>0</v>
      </c>
      <c r="DN81" s="78">
        <v>5</v>
      </c>
      <c r="DO81" s="78">
        <v>2</v>
      </c>
      <c r="DP81" s="78">
        <v>3</v>
      </c>
      <c r="DQ81" s="78">
        <v>8</v>
      </c>
      <c r="DR81" s="78">
        <v>0</v>
      </c>
      <c r="DS81" s="78">
        <v>1</v>
      </c>
      <c r="DT81" s="78">
        <v>2</v>
      </c>
      <c r="DU81" s="78">
        <v>0</v>
      </c>
      <c r="DV81" s="137">
        <v>0.82758620000000005</v>
      </c>
      <c r="DX81" s="143" t="s">
        <v>737</v>
      </c>
      <c r="DY81" s="143" t="s">
        <v>736</v>
      </c>
      <c r="DZ81" s="143" t="s">
        <v>841</v>
      </c>
      <c r="EA81" s="143">
        <v>1737</v>
      </c>
      <c r="EB81" s="78">
        <v>0</v>
      </c>
      <c r="EC81" s="78">
        <v>8</v>
      </c>
      <c r="ED81" s="78">
        <v>1</v>
      </c>
      <c r="EE81" s="78">
        <v>4</v>
      </c>
      <c r="EF81" s="78">
        <v>0</v>
      </c>
      <c r="EG81" s="78">
        <v>1</v>
      </c>
      <c r="EH81" s="78">
        <v>0</v>
      </c>
      <c r="EI81" s="78">
        <v>1</v>
      </c>
      <c r="EJ81" s="78">
        <v>1</v>
      </c>
      <c r="EK81" s="78">
        <v>1</v>
      </c>
      <c r="EL81" s="78">
        <v>0</v>
      </c>
      <c r="EM81" s="78">
        <v>1</v>
      </c>
      <c r="EN81" s="78">
        <v>1</v>
      </c>
      <c r="EO81" s="78">
        <v>0</v>
      </c>
      <c r="EP81" s="78">
        <v>1</v>
      </c>
      <c r="EQ81" s="137">
        <v>0.74074070000000003</v>
      </c>
      <c r="ES81" s="143" t="s">
        <v>737</v>
      </c>
      <c r="ET81" s="143" t="s">
        <v>736</v>
      </c>
      <c r="EU81" s="143" t="s">
        <v>841</v>
      </c>
      <c r="EV81" s="143">
        <v>1737</v>
      </c>
      <c r="EW81" s="78">
        <v>0</v>
      </c>
      <c r="EX81" s="78">
        <v>1</v>
      </c>
      <c r="EY81" s="78">
        <v>0</v>
      </c>
      <c r="EZ81" s="78">
        <v>0</v>
      </c>
      <c r="FA81" s="78">
        <v>0.5</v>
      </c>
      <c r="FB81" s="78">
        <v>3</v>
      </c>
      <c r="FC81" s="78">
        <v>2</v>
      </c>
      <c r="FD81" s="78">
        <v>1</v>
      </c>
      <c r="FE81" s="137">
        <v>0.57692310000000002</v>
      </c>
      <c r="FG81" s="137">
        <v>0.47084549999999997</v>
      </c>
    </row>
    <row r="82" spans="1:163" x14ac:dyDescent="0.35">
      <c r="A82" s="143" t="s">
        <v>737</v>
      </c>
      <c r="B82" s="143" t="s">
        <v>736</v>
      </c>
      <c r="C82" s="143" t="s">
        <v>842</v>
      </c>
      <c r="D82" s="143">
        <v>1746</v>
      </c>
      <c r="E82" s="78">
        <v>0</v>
      </c>
      <c r="F82" s="78">
        <v>2.5</v>
      </c>
      <c r="G82" s="78">
        <v>1</v>
      </c>
      <c r="H82" s="78">
        <v>0</v>
      </c>
      <c r="I82" s="78">
        <v>1</v>
      </c>
      <c r="J82" s="78">
        <v>0</v>
      </c>
      <c r="K82" s="78">
        <v>1</v>
      </c>
      <c r="L82" s="78">
        <v>0</v>
      </c>
      <c r="M82" s="78">
        <v>0</v>
      </c>
      <c r="N82" s="137">
        <v>0.39285710000000001</v>
      </c>
      <c r="P82" s="143" t="s">
        <v>737</v>
      </c>
      <c r="Q82" s="143" t="s">
        <v>736</v>
      </c>
      <c r="R82" s="143" t="s">
        <v>842</v>
      </c>
      <c r="S82" s="143">
        <v>1746</v>
      </c>
      <c r="T82" s="78">
        <v>1</v>
      </c>
      <c r="U82" s="78">
        <v>1</v>
      </c>
      <c r="V82" s="78">
        <v>2.5</v>
      </c>
      <c r="W82" s="78">
        <v>2</v>
      </c>
      <c r="X82" s="78">
        <v>0</v>
      </c>
      <c r="Y82" s="78">
        <v>1</v>
      </c>
      <c r="Z82" s="78">
        <v>3</v>
      </c>
      <c r="AA82" s="78">
        <v>0</v>
      </c>
      <c r="AB82" s="78">
        <v>6</v>
      </c>
      <c r="AC82" s="78">
        <v>3</v>
      </c>
      <c r="AD82" s="137">
        <v>0.57352939999999997</v>
      </c>
      <c r="AF82" s="143" t="s">
        <v>737</v>
      </c>
      <c r="AG82" s="143" t="s">
        <v>736</v>
      </c>
      <c r="AH82" s="143" t="s">
        <v>842</v>
      </c>
      <c r="AI82" s="143">
        <v>1746</v>
      </c>
      <c r="AJ82" s="78">
        <v>1</v>
      </c>
      <c r="AK82" s="78">
        <v>0</v>
      </c>
      <c r="AL82" s="78">
        <v>1</v>
      </c>
      <c r="AM82" s="78">
        <v>0</v>
      </c>
      <c r="AN82" s="78">
        <v>1</v>
      </c>
      <c r="AO82" s="78">
        <v>0</v>
      </c>
      <c r="AP82" s="78">
        <v>2</v>
      </c>
      <c r="AQ82" s="78">
        <v>1</v>
      </c>
      <c r="AR82" s="78">
        <v>0</v>
      </c>
      <c r="AS82" s="78">
        <v>2</v>
      </c>
      <c r="AT82" s="78">
        <v>2</v>
      </c>
      <c r="AU82" s="78">
        <v>0</v>
      </c>
      <c r="AV82" s="78">
        <v>2</v>
      </c>
      <c r="AW82" s="78">
        <v>0</v>
      </c>
      <c r="AX82" s="78">
        <v>0</v>
      </c>
      <c r="AY82" s="78">
        <v>1</v>
      </c>
      <c r="AZ82" s="78">
        <v>2</v>
      </c>
      <c r="BA82" s="78">
        <v>0.5</v>
      </c>
      <c r="BB82" s="78">
        <v>0.5</v>
      </c>
      <c r="BC82" s="78">
        <v>0.5</v>
      </c>
      <c r="BD82" s="78">
        <v>0</v>
      </c>
      <c r="BE82" s="78">
        <v>0.5</v>
      </c>
      <c r="BF82" s="78">
        <v>0</v>
      </c>
      <c r="BG82" s="78">
        <v>2</v>
      </c>
      <c r="BH82" s="137">
        <v>0.43181819999999999</v>
      </c>
      <c r="BJ82" s="143" t="s">
        <v>737</v>
      </c>
      <c r="BK82" s="143" t="s">
        <v>736</v>
      </c>
      <c r="BL82" s="143" t="s">
        <v>842</v>
      </c>
      <c r="BM82" s="143">
        <v>1746</v>
      </c>
      <c r="BN82" s="78">
        <v>1</v>
      </c>
      <c r="BO82" s="78">
        <v>0</v>
      </c>
      <c r="BP82" s="78">
        <v>0</v>
      </c>
      <c r="BQ82" s="78">
        <v>0</v>
      </c>
      <c r="BR82" s="78">
        <v>0</v>
      </c>
      <c r="BS82" s="78">
        <v>0</v>
      </c>
      <c r="BT82" s="78">
        <v>0</v>
      </c>
      <c r="BU82" s="137">
        <v>4.3478299999999998E-2</v>
      </c>
      <c r="BW82" s="143" t="s">
        <v>737</v>
      </c>
      <c r="BX82" s="143" t="s">
        <v>736</v>
      </c>
      <c r="BY82" s="143" t="s">
        <v>842</v>
      </c>
      <c r="BZ82" s="143">
        <v>1746</v>
      </c>
      <c r="CM82" s="143" t="s">
        <v>737</v>
      </c>
      <c r="CN82" s="143" t="s">
        <v>736</v>
      </c>
      <c r="CO82" s="143" t="s">
        <v>842</v>
      </c>
      <c r="CP82" s="143">
        <v>1746</v>
      </c>
      <c r="CQ82" s="78">
        <v>0</v>
      </c>
      <c r="CR82" s="78">
        <v>0</v>
      </c>
      <c r="CS82" s="78">
        <v>20</v>
      </c>
      <c r="CT82" s="78">
        <v>4</v>
      </c>
      <c r="CU82" s="78">
        <v>2</v>
      </c>
      <c r="CV82" s="78">
        <v>8</v>
      </c>
      <c r="CW82" s="137">
        <v>0.65384609999999999</v>
      </c>
      <c r="CY82" s="143" t="s">
        <v>737</v>
      </c>
      <c r="CZ82" s="143" t="s">
        <v>736</v>
      </c>
      <c r="DA82" s="143" t="s">
        <v>842</v>
      </c>
      <c r="DB82" s="143">
        <v>1746</v>
      </c>
      <c r="DC82" s="78">
        <v>0</v>
      </c>
      <c r="DD82" s="137">
        <v>0</v>
      </c>
      <c r="DE82" s="137">
        <v>0</v>
      </c>
      <c r="DG82" s="143" t="s">
        <v>737</v>
      </c>
      <c r="DH82" s="143" t="s">
        <v>736</v>
      </c>
      <c r="DI82" s="143" t="s">
        <v>842</v>
      </c>
      <c r="DJ82" s="143">
        <v>1746</v>
      </c>
      <c r="DK82" s="78">
        <v>2</v>
      </c>
      <c r="DL82" s="78">
        <v>1</v>
      </c>
      <c r="DM82" s="78">
        <v>0</v>
      </c>
      <c r="DN82" s="78">
        <v>4</v>
      </c>
      <c r="DO82" s="78">
        <v>0</v>
      </c>
      <c r="DP82" s="78">
        <v>3</v>
      </c>
      <c r="DQ82" s="78">
        <v>7</v>
      </c>
      <c r="DR82" s="78">
        <v>0</v>
      </c>
      <c r="DS82" s="78">
        <v>1</v>
      </c>
      <c r="DT82" s="78">
        <v>0</v>
      </c>
      <c r="DU82" s="78">
        <v>0</v>
      </c>
      <c r="DV82" s="137">
        <v>0.62068959999999995</v>
      </c>
      <c r="DX82" s="143" t="s">
        <v>737</v>
      </c>
      <c r="DY82" s="143" t="s">
        <v>736</v>
      </c>
      <c r="DZ82" s="143" t="s">
        <v>842</v>
      </c>
      <c r="EA82" s="143">
        <v>1746</v>
      </c>
      <c r="EB82" s="78">
        <v>1</v>
      </c>
      <c r="EC82" s="78">
        <v>0</v>
      </c>
      <c r="ED82" s="78">
        <v>1</v>
      </c>
      <c r="EE82" s="78">
        <v>4</v>
      </c>
      <c r="EF82" s="78">
        <v>0</v>
      </c>
      <c r="EG82" s="78">
        <v>1</v>
      </c>
      <c r="EH82" s="78">
        <v>0</v>
      </c>
      <c r="EI82" s="78">
        <v>1</v>
      </c>
      <c r="EJ82" s="78">
        <v>1</v>
      </c>
      <c r="EK82" s="78">
        <v>1</v>
      </c>
      <c r="EL82" s="78">
        <v>0</v>
      </c>
      <c r="EM82" s="78">
        <v>1</v>
      </c>
      <c r="EN82" s="78">
        <v>1</v>
      </c>
      <c r="EO82" s="78">
        <v>0</v>
      </c>
      <c r="EP82" s="78">
        <v>1</v>
      </c>
      <c r="EQ82" s="137">
        <v>0.48148150000000001</v>
      </c>
      <c r="ES82" s="143" t="s">
        <v>737</v>
      </c>
      <c r="ET82" s="143" t="s">
        <v>736</v>
      </c>
      <c r="EU82" s="143" t="s">
        <v>842</v>
      </c>
      <c r="EV82" s="143">
        <v>1746</v>
      </c>
      <c r="EW82" s="78">
        <v>0</v>
      </c>
      <c r="EX82" s="78">
        <v>0</v>
      </c>
      <c r="EY82" s="78">
        <v>0</v>
      </c>
      <c r="EZ82" s="78">
        <v>0</v>
      </c>
      <c r="FA82" s="78">
        <v>0.5</v>
      </c>
      <c r="FB82" s="78">
        <v>3</v>
      </c>
      <c r="FC82" s="78">
        <v>2</v>
      </c>
      <c r="FD82" s="78">
        <v>1</v>
      </c>
      <c r="FE82" s="137">
        <v>0.5</v>
      </c>
      <c r="FG82" s="137">
        <v>0.35518290000000002</v>
      </c>
    </row>
    <row r="83" spans="1:163" x14ac:dyDescent="0.35">
      <c r="A83" s="143" t="s">
        <v>737</v>
      </c>
      <c r="B83" s="143" t="s">
        <v>736</v>
      </c>
      <c r="C83" s="143" t="s">
        <v>842</v>
      </c>
      <c r="D83" s="143">
        <v>2181</v>
      </c>
      <c r="E83" s="78">
        <v>0</v>
      </c>
      <c r="F83" s="78">
        <v>2.5</v>
      </c>
      <c r="G83" s="78">
        <v>1</v>
      </c>
      <c r="H83" s="78">
        <v>0</v>
      </c>
      <c r="I83" s="78">
        <v>1</v>
      </c>
      <c r="J83" s="78">
        <v>0</v>
      </c>
      <c r="K83" s="78">
        <v>1</v>
      </c>
      <c r="L83" s="78">
        <v>1</v>
      </c>
      <c r="M83" s="78">
        <v>2</v>
      </c>
      <c r="N83" s="137">
        <v>0.60714290000000004</v>
      </c>
      <c r="P83" s="143" t="s">
        <v>737</v>
      </c>
      <c r="Q83" s="143" t="s">
        <v>736</v>
      </c>
      <c r="R83" s="143" t="s">
        <v>842</v>
      </c>
      <c r="S83" s="143">
        <v>2181</v>
      </c>
      <c r="T83" s="78">
        <v>1</v>
      </c>
      <c r="U83" s="78">
        <v>1</v>
      </c>
      <c r="V83" s="78">
        <v>0.5</v>
      </c>
      <c r="W83" s="78">
        <v>0</v>
      </c>
      <c r="X83" s="78">
        <v>0</v>
      </c>
      <c r="Y83" s="78">
        <v>1</v>
      </c>
      <c r="Z83" s="78">
        <v>0</v>
      </c>
      <c r="AA83" s="78">
        <v>2</v>
      </c>
      <c r="AB83" s="78">
        <v>6</v>
      </c>
      <c r="AC83" s="78">
        <v>3</v>
      </c>
      <c r="AD83" s="137">
        <v>0.42647059999999998</v>
      </c>
      <c r="AF83" s="143" t="s">
        <v>737</v>
      </c>
      <c r="AG83" s="143" t="s">
        <v>736</v>
      </c>
      <c r="AH83" s="143" t="s">
        <v>842</v>
      </c>
      <c r="AI83" s="143">
        <v>2181</v>
      </c>
      <c r="AJ83" s="78">
        <v>1</v>
      </c>
      <c r="AK83" s="78">
        <v>0</v>
      </c>
      <c r="AL83" s="78">
        <v>1</v>
      </c>
      <c r="AM83" s="78">
        <v>0</v>
      </c>
      <c r="AN83" s="78">
        <v>1</v>
      </c>
      <c r="AO83" s="78">
        <v>0</v>
      </c>
      <c r="AP83" s="78">
        <v>2</v>
      </c>
      <c r="AQ83" s="78">
        <v>1</v>
      </c>
      <c r="AR83" s="78">
        <v>0</v>
      </c>
      <c r="AS83" s="78">
        <v>2</v>
      </c>
      <c r="AT83" s="78">
        <v>2</v>
      </c>
      <c r="AU83" s="78">
        <v>0</v>
      </c>
      <c r="AV83" s="78">
        <v>2</v>
      </c>
      <c r="AW83" s="78">
        <v>0</v>
      </c>
      <c r="AX83" s="78">
        <v>4</v>
      </c>
      <c r="AY83" s="78">
        <v>1</v>
      </c>
      <c r="AZ83" s="78">
        <v>2</v>
      </c>
      <c r="BA83" s="78">
        <v>0.5</v>
      </c>
      <c r="BB83" s="78">
        <v>0</v>
      </c>
      <c r="BC83" s="78">
        <v>0.5</v>
      </c>
      <c r="BD83" s="78">
        <v>1</v>
      </c>
      <c r="BE83" s="78">
        <v>0</v>
      </c>
      <c r="BF83" s="78">
        <v>0</v>
      </c>
      <c r="BG83" s="78">
        <v>2</v>
      </c>
      <c r="BH83" s="137">
        <v>0.52272730000000001</v>
      </c>
      <c r="BJ83" s="143" t="s">
        <v>737</v>
      </c>
      <c r="BK83" s="143" t="s">
        <v>736</v>
      </c>
      <c r="BL83" s="143" t="s">
        <v>842</v>
      </c>
      <c r="BM83" s="143">
        <v>2181</v>
      </c>
      <c r="BN83" s="78">
        <v>0</v>
      </c>
      <c r="BO83" s="78">
        <v>4</v>
      </c>
      <c r="BP83" s="78">
        <v>7</v>
      </c>
      <c r="BQ83" s="78">
        <v>3</v>
      </c>
      <c r="BR83" s="78">
        <v>3</v>
      </c>
      <c r="BS83" s="78">
        <v>0</v>
      </c>
      <c r="BT83" s="78">
        <v>0</v>
      </c>
      <c r="BU83" s="137">
        <v>0.73913039999999997</v>
      </c>
      <c r="BW83" s="143" t="s">
        <v>737</v>
      </c>
      <c r="BX83" s="143" t="s">
        <v>736</v>
      </c>
      <c r="BY83" s="143" t="s">
        <v>842</v>
      </c>
      <c r="BZ83" s="143">
        <v>2181</v>
      </c>
      <c r="CA83" s="78">
        <v>1</v>
      </c>
      <c r="CB83" s="78">
        <v>0</v>
      </c>
      <c r="CC83" s="78">
        <v>1</v>
      </c>
      <c r="CD83" s="78">
        <v>2</v>
      </c>
      <c r="CE83" s="78">
        <v>0</v>
      </c>
      <c r="CF83" s="78">
        <v>0</v>
      </c>
      <c r="CG83" s="78">
        <v>1</v>
      </c>
      <c r="CH83" s="78">
        <v>2</v>
      </c>
      <c r="CI83" s="78">
        <v>0</v>
      </c>
      <c r="CJ83" s="78">
        <v>0</v>
      </c>
      <c r="CK83" s="137">
        <v>0.46666669999999999</v>
      </c>
      <c r="CM83" s="143" t="s">
        <v>737</v>
      </c>
      <c r="CN83" s="143" t="s">
        <v>736</v>
      </c>
      <c r="CO83" s="143" t="s">
        <v>842</v>
      </c>
      <c r="CP83" s="143">
        <v>2181</v>
      </c>
      <c r="CQ83" s="78">
        <v>2</v>
      </c>
      <c r="CR83" s="78">
        <v>0</v>
      </c>
      <c r="CS83" s="78">
        <v>4</v>
      </c>
      <c r="CT83" s="78">
        <v>4</v>
      </c>
      <c r="CU83" s="78">
        <v>2</v>
      </c>
      <c r="CV83" s="78">
        <v>8</v>
      </c>
      <c r="CW83" s="137">
        <v>0.3846154</v>
      </c>
      <c r="CY83" s="143" t="s">
        <v>737</v>
      </c>
      <c r="CZ83" s="143" t="s">
        <v>736</v>
      </c>
      <c r="DA83" s="143" t="s">
        <v>842</v>
      </c>
      <c r="DB83" s="143">
        <v>2181</v>
      </c>
      <c r="DC83" s="78">
        <v>36</v>
      </c>
      <c r="DD83" s="137">
        <v>0</v>
      </c>
      <c r="DE83" s="137">
        <v>0</v>
      </c>
      <c r="DG83" s="143" t="s">
        <v>737</v>
      </c>
      <c r="DH83" s="143" t="s">
        <v>736</v>
      </c>
      <c r="DI83" s="143" t="s">
        <v>842</v>
      </c>
      <c r="DJ83" s="143">
        <v>2181</v>
      </c>
      <c r="DK83" s="78">
        <v>2</v>
      </c>
      <c r="DL83" s="78">
        <v>1</v>
      </c>
      <c r="DM83" s="78">
        <v>1</v>
      </c>
      <c r="DN83" s="78">
        <v>5</v>
      </c>
      <c r="DO83" s="78">
        <v>2</v>
      </c>
      <c r="DP83" s="78">
        <v>3</v>
      </c>
      <c r="DQ83" s="78">
        <v>8</v>
      </c>
      <c r="DR83" s="78">
        <v>0</v>
      </c>
      <c r="DS83" s="78">
        <v>1</v>
      </c>
      <c r="DT83" s="78">
        <v>0</v>
      </c>
      <c r="DU83" s="78">
        <v>0</v>
      </c>
      <c r="DV83" s="137">
        <v>0.79310349999999996</v>
      </c>
      <c r="DX83" s="143" t="s">
        <v>737</v>
      </c>
      <c r="DY83" s="143" t="s">
        <v>736</v>
      </c>
      <c r="DZ83" s="143" t="s">
        <v>842</v>
      </c>
      <c r="EA83" s="143">
        <v>2181</v>
      </c>
      <c r="EB83" s="78">
        <v>0</v>
      </c>
      <c r="EC83" s="78">
        <v>8</v>
      </c>
      <c r="ED83" s="78">
        <v>1</v>
      </c>
      <c r="EE83" s="78">
        <v>4</v>
      </c>
      <c r="EF83" s="78">
        <v>3</v>
      </c>
      <c r="EG83" s="78">
        <v>1</v>
      </c>
      <c r="EH83" s="78">
        <v>0</v>
      </c>
      <c r="EI83" s="78">
        <v>1</v>
      </c>
      <c r="EJ83" s="78">
        <v>1</v>
      </c>
      <c r="EK83" s="78">
        <v>1</v>
      </c>
      <c r="EL83" s="78">
        <v>1</v>
      </c>
      <c r="EM83" s="78">
        <v>1</v>
      </c>
      <c r="EN83" s="78">
        <v>1</v>
      </c>
      <c r="EO83" s="78">
        <v>1</v>
      </c>
      <c r="EP83" s="78">
        <v>1</v>
      </c>
      <c r="EQ83" s="137">
        <v>0.92592589999999997</v>
      </c>
      <c r="ES83" s="143" t="s">
        <v>737</v>
      </c>
      <c r="ET83" s="143" t="s">
        <v>736</v>
      </c>
      <c r="EU83" s="143" t="s">
        <v>842</v>
      </c>
      <c r="EV83" s="143">
        <v>2181</v>
      </c>
      <c r="EW83" s="78">
        <v>0</v>
      </c>
      <c r="EX83" s="78">
        <v>0</v>
      </c>
      <c r="EY83" s="78">
        <v>0</v>
      </c>
      <c r="EZ83" s="78">
        <v>0</v>
      </c>
      <c r="FA83" s="78">
        <v>0.5</v>
      </c>
      <c r="FB83" s="78">
        <v>3</v>
      </c>
      <c r="FC83" s="78">
        <v>2</v>
      </c>
      <c r="FD83" s="78">
        <v>1</v>
      </c>
      <c r="FE83" s="137">
        <v>0.5</v>
      </c>
      <c r="FG83" s="137">
        <v>0.42128280000000001</v>
      </c>
    </row>
    <row r="84" spans="1:163" x14ac:dyDescent="0.35">
      <c r="A84" s="143" t="s">
        <v>738</v>
      </c>
      <c r="B84" s="143" t="s">
        <v>722</v>
      </c>
      <c r="C84" s="143" t="s">
        <v>841</v>
      </c>
      <c r="D84" s="143">
        <v>587</v>
      </c>
      <c r="E84" s="78">
        <v>0.5</v>
      </c>
      <c r="F84" s="78">
        <v>1.5</v>
      </c>
      <c r="G84" s="78">
        <v>1</v>
      </c>
      <c r="H84" s="78">
        <v>4</v>
      </c>
      <c r="I84" s="78">
        <v>1</v>
      </c>
      <c r="J84" s="78">
        <v>0</v>
      </c>
      <c r="K84" s="78">
        <v>0</v>
      </c>
      <c r="L84" s="78">
        <v>1</v>
      </c>
      <c r="M84" s="78">
        <v>2</v>
      </c>
      <c r="N84" s="137">
        <v>0.78571429999999998</v>
      </c>
      <c r="P84" s="143" t="s">
        <v>738</v>
      </c>
      <c r="Q84" s="143" t="s">
        <v>722</v>
      </c>
      <c r="R84" s="143" t="s">
        <v>841</v>
      </c>
      <c r="S84" s="143">
        <v>587</v>
      </c>
      <c r="T84" s="78">
        <v>0</v>
      </c>
      <c r="U84" s="78">
        <v>0</v>
      </c>
      <c r="V84" s="78">
        <v>2</v>
      </c>
      <c r="W84" s="78">
        <v>0</v>
      </c>
      <c r="X84" s="78">
        <v>0</v>
      </c>
      <c r="Y84" s="78">
        <v>1</v>
      </c>
      <c r="Z84" s="78">
        <v>0</v>
      </c>
      <c r="AA84" s="78">
        <v>0</v>
      </c>
      <c r="AB84" s="78">
        <v>0</v>
      </c>
      <c r="AC84" s="78">
        <v>0</v>
      </c>
      <c r="AD84" s="137">
        <v>8.8235300000000003E-2</v>
      </c>
      <c r="AF84" s="143" t="s">
        <v>738</v>
      </c>
      <c r="AG84" s="143" t="s">
        <v>722</v>
      </c>
      <c r="AH84" s="143" t="s">
        <v>841</v>
      </c>
      <c r="AI84" s="143">
        <v>587</v>
      </c>
      <c r="AJ84" s="78">
        <v>1</v>
      </c>
      <c r="AK84" s="78">
        <v>1</v>
      </c>
      <c r="AL84" s="78">
        <v>1</v>
      </c>
      <c r="AM84" s="78">
        <v>1</v>
      </c>
      <c r="AN84" s="78">
        <v>0</v>
      </c>
      <c r="AO84" s="78">
        <v>2</v>
      </c>
      <c r="AP84" s="78">
        <v>2</v>
      </c>
      <c r="AQ84" s="78">
        <v>1</v>
      </c>
      <c r="AR84" s="78">
        <v>2</v>
      </c>
      <c r="AS84" s="78">
        <v>2</v>
      </c>
      <c r="AT84" s="78">
        <v>2</v>
      </c>
      <c r="AU84" s="78">
        <v>1</v>
      </c>
      <c r="AV84" s="78">
        <v>2</v>
      </c>
      <c r="AW84" s="78">
        <v>1</v>
      </c>
      <c r="AX84" s="78">
        <v>0</v>
      </c>
      <c r="AY84" s="78">
        <v>1</v>
      </c>
      <c r="AZ84" s="78">
        <v>0</v>
      </c>
      <c r="BA84" s="78">
        <v>0.5</v>
      </c>
      <c r="BB84" s="78">
        <v>0.5</v>
      </c>
      <c r="BC84" s="78">
        <v>0.5</v>
      </c>
      <c r="BD84" s="78">
        <v>0</v>
      </c>
      <c r="BE84" s="78">
        <v>0.5</v>
      </c>
      <c r="BF84" s="78">
        <v>1</v>
      </c>
      <c r="BG84" s="78">
        <v>8</v>
      </c>
      <c r="BH84" s="137">
        <v>0.70454539999999999</v>
      </c>
      <c r="BJ84" s="143" t="s">
        <v>738</v>
      </c>
      <c r="BK84" s="143" t="s">
        <v>722</v>
      </c>
      <c r="BL84" s="143" t="s">
        <v>841</v>
      </c>
      <c r="BM84" s="143">
        <v>587</v>
      </c>
      <c r="BN84" s="78">
        <v>1</v>
      </c>
      <c r="BO84" s="78">
        <v>4</v>
      </c>
      <c r="BP84" s="78">
        <v>0</v>
      </c>
      <c r="BQ84" s="78">
        <v>3</v>
      </c>
      <c r="BR84" s="78">
        <v>0</v>
      </c>
      <c r="BS84" s="78">
        <v>3</v>
      </c>
      <c r="BT84" s="78">
        <v>0</v>
      </c>
      <c r="BU84" s="137">
        <v>0.47826089999999999</v>
      </c>
      <c r="BW84" s="143" t="s">
        <v>738</v>
      </c>
      <c r="BX84" s="143" t="s">
        <v>722</v>
      </c>
      <c r="BY84" s="143" t="s">
        <v>841</v>
      </c>
      <c r="BZ84" s="143">
        <v>587</v>
      </c>
      <c r="CA84" s="78">
        <v>1</v>
      </c>
      <c r="CB84" s="78">
        <v>1</v>
      </c>
      <c r="CC84" s="78">
        <v>1</v>
      </c>
      <c r="CD84" s="78">
        <v>0</v>
      </c>
      <c r="CE84" s="78">
        <v>1</v>
      </c>
      <c r="CF84" s="78">
        <v>2</v>
      </c>
      <c r="CG84" s="78">
        <v>1</v>
      </c>
      <c r="CH84" s="78">
        <v>0</v>
      </c>
      <c r="CI84" s="78">
        <v>0</v>
      </c>
      <c r="CJ84" s="78">
        <v>0</v>
      </c>
      <c r="CK84" s="137">
        <v>0.46666669999999999</v>
      </c>
      <c r="CM84" s="143" t="s">
        <v>738</v>
      </c>
      <c r="CN84" s="143" t="s">
        <v>722</v>
      </c>
      <c r="CO84" s="143" t="s">
        <v>841</v>
      </c>
      <c r="CP84" s="143">
        <v>587</v>
      </c>
      <c r="CQ84" s="78">
        <v>2</v>
      </c>
      <c r="CR84" s="78">
        <v>0</v>
      </c>
      <c r="CS84" s="78">
        <v>8</v>
      </c>
      <c r="CT84" s="78">
        <v>0</v>
      </c>
      <c r="CU84" s="78">
        <v>0</v>
      </c>
      <c r="CV84" s="78">
        <v>8</v>
      </c>
      <c r="CW84" s="137">
        <v>0.34615390000000001</v>
      </c>
      <c r="CY84" s="143" t="s">
        <v>738</v>
      </c>
      <c r="CZ84" s="143" t="s">
        <v>722</v>
      </c>
      <c r="DA84" s="143" t="s">
        <v>841</v>
      </c>
      <c r="DB84" s="143">
        <v>587</v>
      </c>
      <c r="DC84" s="78">
        <v>26</v>
      </c>
      <c r="DD84" s="137">
        <v>0.8</v>
      </c>
      <c r="DE84" s="137">
        <v>0.22608700000000001</v>
      </c>
      <c r="DG84" s="143" t="s">
        <v>738</v>
      </c>
      <c r="DH84" s="143" t="s">
        <v>722</v>
      </c>
      <c r="DI84" s="143" t="s">
        <v>841</v>
      </c>
      <c r="DJ84" s="143">
        <v>587</v>
      </c>
      <c r="DK84" s="78">
        <v>2</v>
      </c>
      <c r="DL84" s="78">
        <v>0</v>
      </c>
      <c r="DM84" s="78">
        <v>0</v>
      </c>
      <c r="DN84" s="78">
        <v>7</v>
      </c>
      <c r="DO84" s="78">
        <v>2</v>
      </c>
      <c r="DP84" s="78">
        <v>3</v>
      </c>
      <c r="DQ84" s="78">
        <v>8</v>
      </c>
      <c r="DR84" s="78">
        <v>1</v>
      </c>
      <c r="DS84" s="78">
        <v>1</v>
      </c>
      <c r="DT84" s="78">
        <v>0</v>
      </c>
      <c r="DU84" s="78">
        <v>1</v>
      </c>
      <c r="DV84" s="137">
        <v>0.86206899999999997</v>
      </c>
      <c r="DX84" s="143" t="s">
        <v>738</v>
      </c>
      <c r="DY84" s="143" t="s">
        <v>722</v>
      </c>
      <c r="DZ84" s="143" t="s">
        <v>841</v>
      </c>
      <c r="EA84" s="143">
        <v>587</v>
      </c>
      <c r="EB84" s="78">
        <v>1</v>
      </c>
      <c r="EC84" s="78">
        <v>8</v>
      </c>
      <c r="ED84" s="78">
        <v>1</v>
      </c>
      <c r="EE84" s="78">
        <v>4</v>
      </c>
      <c r="EF84" s="78">
        <v>3</v>
      </c>
      <c r="EG84" s="78">
        <v>1</v>
      </c>
      <c r="EH84" s="78">
        <v>1</v>
      </c>
      <c r="EI84" s="78">
        <v>1</v>
      </c>
      <c r="EJ84" s="78">
        <v>1</v>
      </c>
      <c r="EK84" s="78">
        <v>1</v>
      </c>
      <c r="EL84" s="78">
        <v>1</v>
      </c>
      <c r="EM84" s="78">
        <v>1</v>
      </c>
      <c r="EN84" s="78">
        <v>1</v>
      </c>
      <c r="EO84" s="78">
        <v>1</v>
      </c>
      <c r="EP84" s="78">
        <v>1</v>
      </c>
      <c r="EQ84" s="137">
        <v>1</v>
      </c>
      <c r="ES84" s="143" t="s">
        <v>738</v>
      </c>
      <c r="ET84" s="143" t="s">
        <v>722</v>
      </c>
      <c r="EU84" s="143" t="s">
        <v>841</v>
      </c>
      <c r="EV84" s="143">
        <v>587</v>
      </c>
      <c r="EW84" s="78">
        <v>0.5</v>
      </c>
      <c r="EX84" s="78">
        <v>1</v>
      </c>
      <c r="EY84" s="78">
        <v>3</v>
      </c>
      <c r="EZ84" s="78">
        <v>0</v>
      </c>
      <c r="FA84" s="78">
        <v>0.5</v>
      </c>
      <c r="FB84" s="78">
        <v>3</v>
      </c>
      <c r="FC84" s="78">
        <v>2</v>
      </c>
      <c r="FD84" s="78">
        <v>1</v>
      </c>
      <c r="FE84" s="137">
        <v>0.84615390000000001</v>
      </c>
      <c r="FG84" s="137">
        <v>0.48046650000000002</v>
      </c>
    </row>
    <row r="85" spans="1:163" x14ac:dyDescent="0.35">
      <c r="A85" s="143" t="s">
        <v>738</v>
      </c>
      <c r="B85" s="143" t="s">
        <v>722</v>
      </c>
      <c r="C85" s="143" t="s">
        <v>843</v>
      </c>
      <c r="D85" s="143">
        <v>590</v>
      </c>
      <c r="E85" s="78">
        <v>0</v>
      </c>
      <c r="F85" s="78">
        <v>2.5</v>
      </c>
      <c r="G85" s="78">
        <v>0</v>
      </c>
      <c r="H85" s="78">
        <v>3</v>
      </c>
      <c r="I85" s="78">
        <v>1</v>
      </c>
      <c r="J85" s="78">
        <v>0</v>
      </c>
      <c r="K85" s="78">
        <v>1</v>
      </c>
      <c r="L85" s="78">
        <v>0</v>
      </c>
      <c r="M85" s="78">
        <v>2</v>
      </c>
      <c r="N85" s="137">
        <v>0.67857140000000005</v>
      </c>
      <c r="P85" s="143" t="s">
        <v>738</v>
      </c>
      <c r="Q85" s="143" t="s">
        <v>722</v>
      </c>
      <c r="R85" s="143" t="s">
        <v>843</v>
      </c>
      <c r="S85" s="143">
        <v>590</v>
      </c>
      <c r="T85" s="78">
        <v>0</v>
      </c>
      <c r="U85" s="78">
        <v>0</v>
      </c>
      <c r="V85" s="78">
        <v>0.5</v>
      </c>
      <c r="W85" s="78">
        <v>2</v>
      </c>
      <c r="X85" s="78">
        <v>0</v>
      </c>
      <c r="Y85" s="78">
        <v>0</v>
      </c>
      <c r="Z85" s="78">
        <v>3</v>
      </c>
      <c r="AA85" s="78">
        <v>0</v>
      </c>
      <c r="AB85" s="78">
        <v>0</v>
      </c>
      <c r="AC85" s="78">
        <v>0</v>
      </c>
      <c r="AD85" s="137">
        <v>0.16176470000000001</v>
      </c>
      <c r="AF85" s="143" t="s">
        <v>738</v>
      </c>
      <c r="AG85" s="143" t="s">
        <v>722</v>
      </c>
      <c r="AH85" s="143" t="s">
        <v>843</v>
      </c>
      <c r="AI85" s="143">
        <v>590</v>
      </c>
      <c r="AJ85" s="78">
        <v>1</v>
      </c>
      <c r="AK85" s="78">
        <v>1</v>
      </c>
      <c r="AL85" s="78">
        <v>1</v>
      </c>
      <c r="AM85" s="78">
        <v>0</v>
      </c>
      <c r="AN85" s="78">
        <v>0</v>
      </c>
      <c r="AO85" s="78">
        <v>0</v>
      </c>
      <c r="AP85" s="78">
        <v>1</v>
      </c>
      <c r="AQ85" s="78">
        <v>1</v>
      </c>
      <c r="AR85" s="78">
        <v>0</v>
      </c>
      <c r="AS85" s="78">
        <v>0</v>
      </c>
      <c r="AT85" s="78">
        <v>0</v>
      </c>
      <c r="AU85" s="78">
        <v>0</v>
      </c>
      <c r="AV85" s="78">
        <v>2</v>
      </c>
      <c r="AW85" s="78">
        <v>1</v>
      </c>
      <c r="AX85" s="78">
        <v>4</v>
      </c>
      <c r="AY85" s="78">
        <v>1</v>
      </c>
      <c r="AZ85" s="78">
        <v>2</v>
      </c>
      <c r="BA85" s="78">
        <v>0</v>
      </c>
      <c r="BB85" s="78">
        <v>0.5</v>
      </c>
      <c r="BC85" s="78">
        <v>0.5</v>
      </c>
      <c r="BD85" s="78">
        <v>1</v>
      </c>
      <c r="BE85" s="78">
        <v>0.5</v>
      </c>
      <c r="BF85" s="78">
        <v>0</v>
      </c>
      <c r="BG85" s="78">
        <v>0</v>
      </c>
      <c r="BH85" s="137">
        <v>0.39772730000000001</v>
      </c>
      <c r="BJ85" s="143" t="s">
        <v>738</v>
      </c>
      <c r="BK85" s="143" t="s">
        <v>722</v>
      </c>
      <c r="BL85" s="143" t="s">
        <v>843</v>
      </c>
      <c r="BM85" s="143">
        <v>590</v>
      </c>
      <c r="BN85" s="78">
        <v>1</v>
      </c>
      <c r="BO85" s="78">
        <v>4</v>
      </c>
      <c r="BP85" s="78">
        <v>0</v>
      </c>
      <c r="BQ85" s="78">
        <v>0</v>
      </c>
      <c r="BR85" s="78">
        <v>0</v>
      </c>
      <c r="BS85" s="78">
        <v>3</v>
      </c>
      <c r="BT85" s="78">
        <v>0</v>
      </c>
      <c r="BU85" s="137">
        <v>0.34782610000000003</v>
      </c>
      <c r="BW85" s="143" t="s">
        <v>738</v>
      </c>
      <c r="BX85" s="143" t="s">
        <v>722</v>
      </c>
      <c r="BY85" s="143" t="s">
        <v>843</v>
      </c>
      <c r="BZ85" s="143">
        <v>590</v>
      </c>
      <c r="CA85" s="78">
        <v>1</v>
      </c>
      <c r="CB85" s="78">
        <v>1</v>
      </c>
      <c r="CC85" s="78">
        <v>0</v>
      </c>
      <c r="CD85" s="78">
        <v>2</v>
      </c>
      <c r="CE85" s="78">
        <v>1</v>
      </c>
      <c r="CF85" s="78">
        <v>2</v>
      </c>
      <c r="CG85" s="78">
        <v>1</v>
      </c>
      <c r="CH85" s="78">
        <v>0</v>
      </c>
      <c r="CI85" s="78">
        <v>1</v>
      </c>
      <c r="CJ85" s="78">
        <v>0</v>
      </c>
      <c r="CK85" s="137">
        <v>0.6</v>
      </c>
      <c r="CM85" s="143" t="s">
        <v>738</v>
      </c>
      <c r="CN85" s="143" t="s">
        <v>722</v>
      </c>
      <c r="CO85" s="143" t="s">
        <v>843</v>
      </c>
      <c r="CP85" s="143">
        <v>590</v>
      </c>
      <c r="CQ85" s="78">
        <v>2</v>
      </c>
      <c r="CR85" s="78">
        <v>6</v>
      </c>
      <c r="CS85" s="78">
        <v>4</v>
      </c>
      <c r="CT85" s="78">
        <v>0</v>
      </c>
      <c r="CU85" s="78">
        <v>2</v>
      </c>
      <c r="CV85" s="78">
        <v>8</v>
      </c>
      <c r="CW85" s="137">
        <v>0.42307689999999998</v>
      </c>
      <c r="CY85" s="143" t="s">
        <v>738</v>
      </c>
      <c r="CZ85" s="143" t="s">
        <v>722</v>
      </c>
      <c r="DA85" s="143" t="s">
        <v>843</v>
      </c>
      <c r="DB85" s="143">
        <v>590</v>
      </c>
      <c r="DC85" s="78">
        <v>28</v>
      </c>
      <c r="DD85" s="137">
        <v>0</v>
      </c>
      <c r="DE85" s="137">
        <v>0</v>
      </c>
      <c r="DG85" s="143" t="s">
        <v>738</v>
      </c>
      <c r="DH85" s="143" t="s">
        <v>722</v>
      </c>
      <c r="DI85" s="143" t="s">
        <v>843</v>
      </c>
      <c r="DJ85" s="143">
        <v>590</v>
      </c>
      <c r="DK85" s="78">
        <v>0</v>
      </c>
      <c r="DL85" s="78">
        <v>1</v>
      </c>
      <c r="DM85" s="78">
        <v>0</v>
      </c>
      <c r="DN85" s="78">
        <v>6</v>
      </c>
      <c r="DO85" s="78">
        <v>2</v>
      </c>
      <c r="DP85" s="78">
        <v>3</v>
      </c>
      <c r="DQ85" s="78">
        <v>8</v>
      </c>
      <c r="DR85" s="78">
        <v>1</v>
      </c>
      <c r="DS85" s="78">
        <v>0</v>
      </c>
      <c r="DT85" s="78">
        <v>2</v>
      </c>
      <c r="DU85" s="78">
        <v>0</v>
      </c>
      <c r="DV85" s="137">
        <v>0.79310349999999996</v>
      </c>
      <c r="DX85" s="143" t="s">
        <v>738</v>
      </c>
      <c r="DY85" s="143" t="s">
        <v>722</v>
      </c>
      <c r="DZ85" s="143" t="s">
        <v>843</v>
      </c>
      <c r="EA85" s="143">
        <v>590</v>
      </c>
      <c r="EB85" s="78">
        <v>1</v>
      </c>
      <c r="EC85" s="78">
        <v>8</v>
      </c>
      <c r="ED85" s="78">
        <v>1</v>
      </c>
      <c r="EE85" s="78">
        <v>4</v>
      </c>
      <c r="EF85" s="78">
        <v>3</v>
      </c>
      <c r="EG85" s="78">
        <v>1</v>
      </c>
      <c r="EH85" s="78">
        <v>0</v>
      </c>
      <c r="EI85" s="78">
        <v>1</v>
      </c>
      <c r="EJ85" s="78">
        <v>0</v>
      </c>
      <c r="EK85" s="78">
        <v>1</v>
      </c>
      <c r="EL85" s="78">
        <v>1</v>
      </c>
      <c r="EM85" s="78">
        <v>1</v>
      </c>
      <c r="EN85" s="78">
        <v>1</v>
      </c>
      <c r="EO85" s="78">
        <v>0</v>
      </c>
      <c r="EP85" s="78">
        <v>0</v>
      </c>
      <c r="EQ85" s="137">
        <v>0.8518519</v>
      </c>
      <c r="ES85" s="143" t="s">
        <v>738</v>
      </c>
      <c r="ET85" s="143" t="s">
        <v>722</v>
      </c>
      <c r="EU85" s="143" t="s">
        <v>843</v>
      </c>
      <c r="EV85" s="143">
        <v>590</v>
      </c>
      <c r="EW85" s="78">
        <v>0</v>
      </c>
      <c r="EX85" s="78">
        <v>1</v>
      </c>
      <c r="EY85" s="78">
        <v>0</v>
      </c>
      <c r="EZ85" s="78">
        <v>0</v>
      </c>
      <c r="FA85" s="78">
        <v>0.5</v>
      </c>
      <c r="FB85" s="78">
        <v>3</v>
      </c>
      <c r="FC85" s="78">
        <v>2</v>
      </c>
      <c r="FD85" s="78">
        <v>0</v>
      </c>
      <c r="FE85" s="137">
        <v>0.5</v>
      </c>
      <c r="FG85" s="137">
        <v>0.361516</v>
      </c>
    </row>
    <row r="86" spans="1:163" x14ac:dyDescent="0.35">
      <c r="A86" s="143" t="s">
        <v>738</v>
      </c>
      <c r="B86" s="143" t="s">
        <v>722</v>
      </c>
      <c r="C86" s="143" t="s">
        <v>842</v>
      </c>
      <c r="D86" s="143">
        <v>594</v>
      </c>
      <c r="E86" s="78">
        <v>0</v>
      </c>
      <c r="F86" s="78">
        <v>2.5</v>
      </c>
      <c r="G86" s="78">
        <v>1</v>
      </c>
      <c r="H86" s="78">
        <v>4</v>
      </c>
      <c r="I86" s="78">
        <v>1</v>
      </c>
      <c r="J86" s="78">
        <v>1</v>
      </c>
      <c r="K86" s="78">
        <v>1</v>
      </c>
      <c r="L86" s="78">
        <v>1</v>
      </c>
      <c r="M86" s="78">
        <v>2</v>
      </c>
      <c r="N86" s="137">
        <v>0.96428570000000002</v>
      </c>
      <c r="P86" s="143" t="s">
        <v>738</v>
      </c>
      <c r="Q86" s="143" t="s">
        <v>722</v>
      </c>
      <c r="R86" s="143" t="s">
        <v>842</v>
      </c>
      <c r="S86" s="143">
        <v>594</v>
      </c>
      <c r="T86" s="78">
        <v>1</v>
      </c>
      <c r="U86" s="78">
        <v>0</v>
      </c>
      <c r="V86" s="78">
        <v>0</v>
      </c>
      <c r="W86" s="78">
        <v>0</v>
      </c>
      <c r="X86" s="78">
        <v>0</v>
      </c>
      <c r="Y86" s="78">
        <v>1</v>
      </c>
      <c r="Z86" s="78">
        <v>0</v>
      </c>
      <c r="AA86" s="78">
        <v>0</v>
      </c>
      <c r="AB86" s="78">
        <v>0</v>
      </c>
      <c r="AC86" s="78">
        <v>3</v>
      </c>
      <c r="AD86" s="137">
        <v>0.14705879999999999</v>
      </c>
      <c r="AF86" s="143" t="s">
        <v>738</v>
      </c>
      <c r="AG86" s="143" t="s">
        <v>722</v>
      </c>
      <c r="AH86" s="143" t="s">
        <v>842</v>
      </c>
      <c r="AI86" s="143">
        <v>594</v>
      </c>
      <c r="AJ86" s="78">
        <v>0</v>
      </c>
      <c r="AK86" s="78">
        <v>0</v>
      </c>
      <c r="AL86" s="78">
        <v>1</v>
      </c>
      <c r="AM86" s="78">
        <v>6</v>
      </c>
      <c r="AN86" s="78">
        <v>1</v>
      </c>
      <c r="AO86" s="78">
        <v>2</v>
      </c>
      <c r="AP86" s="78">
        <v>2</v>
      </c>
      <c r="AQ86" s="78">
        <v>1</v>
      </c>
      <c r="AR86" s="78">
        <v>0</v>
      </c>
      <c r="AS86" s="78">
        <v>2</v>
      </c>
      <c r="AT86" s="78">
        <v>0</v>
      </c>
      <c r="AU86" s="78">
        <v>0</v>
      </c>
      <c r="AV86" s="78">
        <v>2</v>
      </c>
      <c r="AW86" s="78">
        <v>1</v>
      </c>
      <c r="AX86" s="78">
        <v>0</v>
      </c>
      <c r="AY86" s="78">
        <v>1</v>
      </c>
      <c r="AZ86" s="78">
        <v>2</v>
      </c>
      <c r="BA86" s="78">
        <v>0.5</v>
      </c>
      <c r="BB86" s="78">
        <v>0.5</v>
      </c>
      <c r="BC86" s="78">
        <v>0.5</v>
      </c>
      <c r="BD86" s="78">
        <v>1</v>
      </c>
      <c r="BE86" s="78">
        <v>0.5</v>
      </c>
      <c r="BF86" s="78">
        <v>1</v>
      </c>
      <c r="BG86" s="78">
        <v>2</v>
      </c>
      <c r="BH86" s="137">
        <v>0.61363639999999997</v>
      </c>
      <c r="BJ86" s="143" t="s">
        <v>738</v>
      </c>
      <c r="BK86" s="143" t="s">
        <v>722</v>
      </c>
      <c r="BL86" s="143" t="s">
        <v>842</v>
      </c>
      <c r="BM86" s="143">
        <v>594</v>
      </c>
      <c r="BN86" s="78">
        <v>0</v>
      </c>
      <c r="BO86" s="78">
        <v>4</v>
      </c>
      <c r="BP86" s="78">
        <v>0</v>
      </c>
      <c r="BQ86" s="78">
        <v>0</v>
      </c>
      <c r="BR86" s="78">
        <v>0</v>
      </c>
      <c r="BS86" s="78">
        <v>0</v>
      </c>
      <c r="BT86" s="78">
        <v>0</v>
      </c>
      <c r="BU86" s="137">
        <v>0.17391300000000001</v>
      </c>
      <c r="BW86" s="143" t="s">
        <v>738</v>
      </c>
      <c r="BX86" s="143" t="s">
        <v>722</v>
      </c>
      <c r="BY86" s="143" t="s">
        <v>842</v>
      </c>
      <c r="BZ86" s="143">
        <v>594</v>
      </c>
      <c r="CA86" s="78">
        <v>1</v>
      </c>
      <c r="CB86" s="78">
        <v>1</v>
      </c>
      <c r="CC86" s="78">
        <v>1</v>
      </c>
      <c r="CD86" s="78">
        <v>0</v>
      </c>
      <c r="CE86" s="78">
        <v>0</v>
      </c>
      <c r="CF86" s="78">
        <v>2</v>
      </c>
      <c r="CG86" s="78">
        <v>0</v>
      </c>
      <c r="CH86" s="78">
        <v>2</v>
      </c>
      <c r="CI86" s="78">
        <v>1</v>
      </c>
      <c r="CJ86" s="78">
        <v>0</v>
      </c>
      <c r="CK86" s="137">
        <v>0.53333339999999996</v>
      </c>
      <c r="CM86" s="143" t="s">
        <v>738</v>
      </c>
      <c r="CN86" s="143" t="s">
        <v>722</v>
      </c>
      <c r="CO86" s="143" t="s">
        <v>842</v>
      </c>
      <c r="CP86" s="143">
        <v>594</v>
      </c>
      <c r="CQ86" s="78">
        <v>2</v>
      </c>
      <c r="CR86" s="78">
        <v>0</v>
      </c>
      <c r="CS86" s="78">
        <v>8</v>
      </c>
      <c r="CT86" s="78">
        <v>4</v>
      </c>
      <c r="CU86" s="78">
        <v>0</v>
      </c>
      <c r="CV86" s="78">
        <v>8</v>
      </c>
      <c r="CW86" s="137">
        <v>0.42307689999999998</v>
      </c>
      <c r="CY86" s="143" t="s">
        <v>738</v>
      </c>
      <c r="CZ86" s="143" t="s">
        <v>722</v>
      </c>
      <c r="DA86" s="143" t="s">
        <v>842</v>
      </c>
      <c r="DB86" s="143">
        <v>594</v>
      </c>
      <c r="DC86" s="78">
        <v>22</v>
      </c>
      <c r="DD86" s="137">
        <v>0.6</v>
      </c>
      <c r="DE86" s="137">
        <v>0.1434783</v>
      </c>
      <c r="DG86" s="143" t="s">
        <v>738</v>
      </c>
      <c r="DH86" s="143" t="s">
        <v>722</v>
      </c>
      <c r="DI86" s="143" t="s">
        <v>842</v>
      </c>
      <c r="DJ86" s="143">
        <v>594</v>
      </c>
      <c r="DK86" s="78">
        <v>2</v>
      </c>
      <c r="DL86" s="78">
        <v>1</v>
      </c>
      <c r="DM86" s="78">
        <v>0</v>
      </c>
      <c r="DN86" s="78">
        <v>4</v>
      </c>
      <c r="DO86" s="78">
        <v>0</v>
      </c>
      <c r="DP86" s="78">
        <v>3</v>
      </c>
      <c r="DQ86" s="78">
        <v>8</v>
      </c>
      <c r="DR86" s="78">
        <v>1</v>
      </c>
      <c r="DS86" s="78">
        <v>1</v>
      </c>
      <c r="DT86" s="78">
        <v>2</v>
      </c>
      <c r="DU86" s="78">
        <v>1</v>
      </c>
      <c r="DV86" s="137">
        <v>0.79310349999999996</v>
      </c>
      <c r="DX86" s="143" t="s">
        <v>738</v>
      </c>
      <c r="DY86" s="143" t="s">
        <v>722</v>
      </c>
      <c r="DZ86" s="143" t="s">
        <v>842</v>
      </c>
      <c r="EA86" s="143">
        <v>594</v>
      </c>
      <c r="EB86" s="78">
        <v>0</v>
      </c>
      <c r="EC86" s="78">
        <v>8</v>
      </c>
      <c r="ED86" s="78">
        <v>1</v>
      </c>
      <c r="EE86" s="78">
        <v>4</v>
      </c>
      <c r="EF86" s="78">
        <v>0</v>
      </c>
      <c r="EG86" s="78">
        <v>1</v>
      </c>
      <c r="EH86" s="78">
        <v>0</v>
      </c>
      <c r="EI86" s="78">
        <v>1</v>
      </c>
      <c r="EJ86" s="78">
        <v>1</v>
      </c>
      <c r="EK86" s="78">
        <v>1</v>
      </c>
      <c r="EL86" s="78">
        <v>1</v>
      </c>
      <c r="EM86" s="78">
        <v>1</v>
      </c>
      <c r="EN86" s="78">
        <v>1</v>
      </c>
      <c r="EO86" s="78">
        <v>1</v>
      </c>
      <c r="EP86" s="78">
        <v>1</v>
      </c>
      <c r="EQ86" s="137">
        <v>0.81481479999999995</v>
      </c>
      <c r="ES86" s="143" t="s">
        <v>738</v>
      </c>
      <c r="ET86" s="143" t="s">
        <v>722</v>
      </c>
      <c r="EU86" s="143" t="s">
        <v>842</v>
      </c>
      <c r="EV86" s="143">
        <v>594</v>
      </c>
      <c r="EW86" s="78">
        <v>0</v>
      </c>
      <c r="EX86" s="78">
        <v>1</v>
      </c>
      <c r="EY86" s="78">
        <v>3</v>
      </c>
      <c r="EZ86" s="78">
        <v>2</v>
      </c>
      <c r="FA86" s="78">
        <v>0.5</v>
      </c>
      <c r="FB86" s="78">
        <v>3</v>
      </c>
      <c r="FC86" s="78">
        <v>2</v>
      </c>
      <c r="FD86" s="78">
        <v>0</v>
      </c>
      <c r="FE86" s="137">
        <v>0.88461540000000005</v>
      </c>
      <c r="FG86" s="137">
        <v>0.43498540000000002</v>
      </c>
    </row>
    <row r="87" spans="1:163" x14ac:dyDescent="0.35">
      <c r="A87" s="143" t="s">
        <v>738</v>
      </c>
      <c r="B87" s="143" t="s">
        <v>722</v>
      </c>
      <c r="C87" s="143" t="s">
        <v>842</v>
      </c>
      <c r="D87" s="143">
        <v>1558</v>
      </c>
      <c r="E87" s="78">
        <v>0</v>
      </c>
      <c r="F87" s="78">
        <v>2</v>
      </c>
      <c r="G87" s="78">
        <v>1</v>
      </c>
      <c r="H87" s="78">
        <v>3</v>
      </c>
      <c r="I87" s="78">
        <v>1</v>
      </c>
      <c r="J87" s="78">
        <v>1</v>
      </c>
      <c r="K87" s="78">
        <v>1</v>
      </c>
      <c r="L87" s="78">
        <v>0</v>
      </c>
      <c r="M87" s="78">
        <v>2</v>
      </c>
      <c r="N87" s="137">
        <v>0.78571429999999998</v>
      </c>
      <c r="P87" s="143" t="s">
        <v>738</v>
      </c>
      <c r="Q87" s="143" t="s">
        <v>722</v>
      </c>
      <c r="R87" s="143" t="s">
        <v>842</v>
      </c>
      <c r="S87" s="143">
        <v>1558</v>
      </c>
      <c r="T87" s="78">
        <v>1</v>
      </c>
      <c r="U87" s="78">
        <v>0</v>
      </c>
      <c r="V87" s="78">
        <v>2</v>
      </c>
      <c r="W87" s="78">
        <v>0</v>
      </c>
      <c r="X87" s="78">
        <v>0</v>
      </c>
      <c r="Y87" s="78">
        <v>1</v>
      </c>
      <c r="Z87" s="78">
        <v>0</v>
      </c>
      <c r="AA87" s="78">
        <v>0</v>
      </c>
      <c r="AB87" s="78">
        <v>6</v>
      </c>
      <c r="AC87" s="78">
        <v>3</v>
      </c>
      <c r="AD87" s="137">
        <v>0.3823529</v>
      </c>
      <c r="AF87" s="143" t="s">
        <v>738</v>
      </c>
      <c r="AG87" s="143" t="s">
        <v>722</v>
      </c>
      <c r="AH87" s="143" t="s">
        <v>842</v>
      </c>
      <c r="AI87" s="143">
        <v>1558</v>
      </c>
      <c r="AJ87" s="78">
        <v>1</v>
      </c>
      <c r="AK87" s="78">
        <v>1</v>
      </c>
      <c r="AL87" s="78">
        <v>1</v>
      </c>
      <c r="AM87" s="78">
        <v>5</v>
      </c>
      <c r="AN87" s="78">
        <v>0</v>
      </c>
      <c r="AO87" s="78">
        <v>0</v>
      </c>
      <c r="AP87" s="78">
        <v>1</v>
      </c>
      <c r="AQ87" s="78">
        <v>1</v>
      </c>
      <c r="AR87" s="78">
        <v>0</v>
      </c>
      <c r="AS87" s="78">
        <v>2</v>
      </c>
      <c r="AT87" s="78">
        <v>0</v>
      </c>
      <c r="AU87" s="78">
        <v>1</v>
      </c>
      <c r="AV87" s="78">
        <v>0</v>
      </c>
      <c r="AW87" s="78">
        <v>1</v>
      </c>
      <c r="AX87" s="78">
        <v>0</v>
      </c>
      <c r="AY87" s="78">
        <v>1</v>
      </c>
      <c r="AZ87" s="78">
        <v>2</v>
      </c>
      <c r="BA87" s="78">
        <v>0.5</v>
      </c>
      <c r="BB87" s="78">
        <v>0.5</v>
      </c>
      <c r="BC87" s="78">
        <v>0.5</v>
      </c>
      <c r="BD87" s="78">
        <v>0</v>
      </c>
      <c r="BE87" s="78">
        <v>0.5</v>
      </c>
      <c r="BF87" s="78">
        <v>1</v>
      </c>
      <c r="BG87" s="78">
        <v>8</v>
      </c>
      <c r="BH87" s="137">
        <v>0.63636360000000003</v>
      </c>
      <c r="BJ87" s="143" t="s">
        <v>738</v>
      </c>
      <c r="BK87" s="143" t="s">
        <v>722</v>
      </c>
      <c r="BL87" s="143" t="s">
        <v>842</v>
      </c>
      <c r="BM87" s="143">
        <v>1558</v>
      </c>
      <c r="BN87" s="78">
        <v>1</v>
      </c>
      <c r="BO87" s="78">
        <v>4</v>
      </c>
      <c r="BP87" s="78">
        <v>0</v>
      </c>
      <c r="BQ87" s="78">
        <v>0</v>
      </c>
      <c r="BR87" s="78">
        <v>0</v>
      </c>
      <c r="BS87" s="78">
        <v>3</v>
      </c>
      <c r="BT87" s="78">
        <v>0</v>
      </c>
      <c r="BU87" s="137">
        <v>0.34782610000000003</v>
      </c>
      <c r="BW87" s="143" t="s">
        <v>738</v>
      </c>
      <c r="BX87" s="143" t="s">
        <v>722</v>
      </c>
      <c r="BY87" s="143" t="s">
        <v>842</v>
      </c>
      <c r="BZ87" s="143">
        <v>1558</v>
      </c>
      <c r="CM87" s="143" t="s">
        <v>738</v>
      </c>
      <c r="CN87" s="143" t="s">
        <v>722</v>
      </c>
      <c r="CO87" s="143" t="s">
        <v>842</v>
      </c>
      <c r="CP87" s="143">
        <v>1558</v>
      </c>
      <c r="CQ87" s="78">
        <v>8</v>
      </c>
      <c r="CR87" s="78">
        <v>0</v>
      </c>
      <c r="CS87" s="78">
        <v>12</v>
      </c>
      <c r="CT87" s="78">
        <v>4</v>
      </c>
      <c r="CU87" s="78">
        <v>2</v>
      </c>
      <c r="CV87" s="78">
        <v>8</v>
      </c>
      <c r="CW87" s="137">
        <v>0.65384609999999999</v>
      </c>
      <c r="CY87" s="143" t="s">
        <v>738</v>
      </c>
      <c r="CZ87" s="143" t="s">
        <v>722</v>
      </c>
      <c r="DA87" s="143" t="s">
        <v>842</v>
      </c>
      <c r="DB87" s="143">
        <v>1558</v>
      </c>
      <c r="DC87" s="78">
        <v>4</v>
      </c>
      <c r="DD87" s="137">
        <v>0</v>
      </c>
      <c r="DE87" s="137">
        <v>0</v>
      </c>
      <c r="DG87" s="143" t="s">
        <v>738</v>
      </c>
      <c r="DH87" s="143" t="s">
        <v>722</v>
      </c>
      <c r="DI87" s="143" t="s">
        <v>842</v>
      </c>
      <c r="DJ87" s="143">
        <v>1558</v>
      </c>
      <c r="DK87" s="78">
        <v>2</v>
      </c>
      <c r="DL87" s="78">
        <v>1</v>
      </c>
      <c r="DM87" s="78">
        <v>1</v>
      </c>
      <c r="DN87" s="78">
        <v>4</v>
      </c>
      <c r="DO87" s="78">
        <v>2</v>
      </c>
      <c r="DP87" s="78">
        <v>3</v>
      </c>
      <c r="DQ87" s="78">
        <v>8</v>
      </c>
      <c r="DR87" s="78">
        <v>1</v>
      </c>
      <c r="DS87" s="78">
        <v>1</v>
      </c>
      <c r="DT87" s="78">
        <v>0</v>
      </c>
      <c r="DU87" s="78">
        <v>0</v>
      </c>
      <c r="DV87" s="137">
        <v>0.79310349999999996</v>
      </c>
      <c r="DX87" s="143" t="s">
        <v>738</v>
      </c>
      <c r="DY87" s="143" t="s">
        <v>722</v>
      </c>
      <c r="DZ87" s="143" t="s">
        <v>842</v>
      </c>
      <c r="EA87" s="143">
        <v>1558</v>
      </c>
      <c r="EB87" s="78">
        <v>0</v>
      </c>
      <c r="EC87" s="78">
        <v>8</v>
      </c>
      <c r="ED87" s="78">
        <v>1</v>
      </c>
      <c r="EE87" s="78">
        <v>4</v>
      </c>
      <c r="EF87" s="78">
        <v>3</v>
      </c>
      <c r="EG87" s="78">
        <v>1</v>
      </c>
      <c r="EH87" s="78">
        <v>0</v>
      </c>
      <c r="EI87" s="78">
        <v>1</v>
      </c>
      <c r="EJ87" s="78">
        <v>1</v>
      </c>
      <c r="EK87" s="78">
        <v>1</v>
      </c>
      <c r="EL87" s="78">
        <v>1</v>
      </c>
      <c r="EM87" s="78">
        <v>1</v>
      </c>
      <c r="EN87" s="78">
        <v>1</v>
      </c>
      <c r="EO87" s="78">
        <v>1</v>
      </c>
      <c r="EP87" s="78">
        <v>0</v>
      </c>
      <c r="EQ87" s="137">
        <v>0.88888889999999998</v>
      </c>
      <c r="ES87" s="143" t="s">
        <v>738</v>
      </c>
      <c r="ET87" s="143" t="s">
        <v>722</v>
      </c>
      <c r="EU87" s="143" t="s">
        <v>842</v>
      </c>
      <c r="EV87" s="143">
        <v>1558</v>
      </c>
      <c r="EW87" s="78">
        <v>0</v>
      </c>
      <c r="EX87" s="78">
        <v>1</v>
      </c>
      <c r="EY87" s="78">
        <v>0</v>
      </c>
      <c r="EZ87" s="78">
        <v>0</v>
      </c>
      <c r="FA87" s="78">
        <v>0.5</v>
      </c>
      <c r="FB87" s="78">
        <v>3</v>
      </c>
      <c r="FC87" s="78">
        <v>2</v>
      </c>
      <c r="FD87" s="78">
        <v>1</v>
      </c>
      <c r="FE87" s="137">
        <v>0.57692310000000002</v>
      </c>
      <c r="FG87" s="137">
        <v>0.45274389999999998</v>
      </c>
    </row>
    <row r="88" spans="1:163" x14ac:dyDescent="0.35">
      <c r="A88" s="143" t="s">
        <v>738</v>
      </c>
      <c r="B88" s="143" t="s">
        <v>722</v>
      </c>
      <c r="C88" s="143" t="s">
        <v>842</v>
      </c>
      <c r="D88" s="143">
        <v>2034</v>
      </c>
      <c r="E88" s="78">
        <v>0</v>
      </c>
      <c r="F88" s="78">
        <v>1</v>
      </c>
      <c r="G88" s="78">
        <v>0</v>
      </c>
      <c r="H88" s="78">
        <v>3</v>
      </c>
      <c r="I88" s="78">
        <v>1</v>
      </c>
      <c r="J88" s="78">
        <v>0</v>
      </c>
      <c r="K88" s="78">
        <v>0</v>
      </c>
      <c r="L88" s="78">
        <v>0</v>
      </c>
      <c r="M88" s="78">
        <v>2</v>
      </c>
      <c r="N88" s="137">
        <v>0.5</v>
      </c>
      <c r="P88" s="143" t="s">
        <v>738</v>
      </c>
      <c r="Q88" s="143" t="s">
        <v>722</v>
      </c>
      <c r="R88" s="143" t="s">
        <v>842</v>
      </c>
      <c r="S88" s="143">
        <v>2034</v>
      </c>
      <c r="T88" s="78">
        <v>1</v>
      </c>
      <c r="U88" s="78">
        <v>0</v>
      </c>
      <c r="V88" s="78">
        <v>0</v>
      </c>
      <c r="W88" s="78">
        <v>0</v>
      </c>
      <c r="X88" s="78">
        <v>0</v>
      </c>
      <c r="Y88" s="78">
        <v>0</v>
      </c>
      <c r="Z88" s="78">
        <v>3</v>
      </c>
      <c r="AA88" s="78">
        <v>0</v>
      </c>
      <c r="AB88" s="78">
        <v>0</v>
      </c>
      <c r="AC88" s="78">
        <v>0</v>
      </c>
      <c r="AD88" s="137">
        <v>0.1176471</v>
      </c>
      <c r="AF88" s="143" t="s">
        <v>738</v>
      </c>
      <c r="AG88" s="143" t="s">
        <v>722</v>
      </c>
      <c r="AH88" s="143" t="s">
        <v>842</v>
      </c>
      <c r="AI88" s="143">
        <v>2034</v>
      </c>
      <c r="AJ88" s="78">
        <v>1</v>
      </c>
      <c r="AK88" s="78">
        <v>0</v>
      </c>
      <c r="AL88" s="78">
        <v>0</v>
      </c>
      <c r="AM88" s="78">
        <v>0</v>
      </c>
      <c r="AN88" s="78">
        <v>1</v>
      </c>
      <c r="AO88" s="78">
        <v>0</v>
      </c>
      <c r="AP88" s="78">
        <v>1</v>
      </c>
      <c r="AQ88" s="78">
        <v>1</v>
      </c>
      <c r="AR88" s="78">
        <v>0</v>
      </c>
      <c r="AS88" s="78">
        <v>2</v>
      </c>
      <c r="AT88" s="78">
        <v>2</v>
      </c>
      <c r="AU88" s="78">
        <v>1</v>
      </c>
      <c r="AV88" s="78">
        <v>2</v>
      </c>
      <c r="AW88" s="78">
        <v>1</v>
      </c>
      <c r="AX88" s="78">
        <v>4</v>
      </c>
      <c r="AY88" s="78">
        <v>1</v>
      </c>
      <c r="AZ88" s="78">
        <v>2</v>
      </c>
      <c r="BA88" s="78">
        <v>0.5</v>
      </c>
      <c r="BB88" s="78">
        <v>0.5</v>
      </c>
      <c r="BC88" s="78">
        <v>0.5</v>
      </c>
      <c r="BD88" s="78">
        <v>0</v>
      </c>
      <c r="BE88" s="78">
        <v>0.5</v>
      </c>
      <c r="BF88" s="78">
        <v>1</v>
      </c>
      <c r="BG88" s="78">
        <v>8</v>
      </c>
      <c r="BH88" s="137">
        <v>0.68181820000000004</v>
      </c>
      <c r="BJ88" s="143" t="s">
        <v>738</v>
      </c>
      <c r="BK88" s="143" t="s">
        <v>722</v>
      </c>
      <c r="BL88" s="143" t="s">
        <v>842</v>
      </c>
      <c r="BM88" s="143">
        <v>2034</v>
      </c>
      <c r="BN88" s="78">
        <v>1</v>
      </c>
      <c r="BO88" s="78">
        <v>4</v>
      </c>
      <c r="BP88" s="78">
        <v>0</v>
      </c>
      <c r="BQ88" s="78">
        <v>0</v>
      </c>
      <c r="BR88" s="78">
        <v>0</v>
      </c>
      <c r="BS88" s="78">
        <v>3</v>
      </c>
      <c r="BT88" s="78">
        <v>2</v>
      </c>
      <c r="BU88" s="137">
        <v>0.43478260000000002</v>
      </c>
      <c r="BW88" s="143" t="s">
        <v>738</v>
      </c>
      <c r="BX88" s="143" t="s">
        <v>722</v>
      </c>
      <c r="BY88" s="143" t="s">
        <v>842</v>
      </c>
      <c r="BZ88" s="143">
        <v>2034</v>
      </c>
      <c r="CM88" s="143" t="s">
        <v>738</v>
      </c>
      <c r="CN88" s="143" t="s">
        <v>722</v>
      </c>
      <c r="CO88" s="143" t="s">
        <v>842</v>
      </c>
      <c r="CP88" s="143">
        <v>2034</v>
      </c>
      <c r="CQ88" s="78">
        <v>6</v>
      </c>
      <c r="CR88" s="78">
        <v>6</v>
      </c>
      <c r="CS88" s="78">
        <v>4</v>
      </c>
      <c r="CT88" s="78">
        <v>4</v>
      </c>
      <c r="CU88" s="78">
        <v>2</v>
      </c>
      <c r="CV88" s="78">
        <v>8</v>
      </c>
      <c r="CW88" s="137">
        <v>0.57692310000000002</v>
      </c>
      <c r="CY88" s="143" t="s">
        <v>738</v>
      </c>
      <c r="CZ88" s="143" t="s">
        <v>722</v>
      </c>
      <c r="DA88" s="143" t="s">
        <v>842</v>
      </c>
      <c r="DB88" s="143">
        <v>2034</v>
      </c>
      <c r="DC88" s="78">
        <v>0</v>
      </c>
      <c r="DD88" s="137">
        <v>0</v>
      </c>
      <c r="DE88" s="137">
        <v>0</v>
      </c>
      <c r="DG88" s="143" t="s">
        <v>738</v>
      </c>
      <c r="DH88" s="143" t="s">
        <v>722</v>
      </c>
      <c r="DI88" s="143" t="s">
        <v>842</v>
      </c>
      <c r="DJ88" s="143">
        <v>2034</v>
      </c>
      <c r="DK88" s="78">
        <v>2</v>
      </c>
      <c r="DL88" s="78">
        <v>1</v>
      </c>
      <c r="DM88" s="78">
        <v>1</v>
      </c>
      <c r="DN88" s="78">
        <v>6</v>
      </c>
      <c r="DO88" s="78">
        <v>2</v>
      </c>
      <c r="DP88" s="78">
        <v>3</v>
      </c>
      <c r="DQ88" s="78">
        <v>8</v>
      </c>
      <c r="DR88" s="78">
        <v>1</v>
      </c>
      <c r="DS88" s="78">
        <v>1</v>
      </c>
      <c r="DT88" s="78">
        <v>0</v>
      </c>
      <c r="DU88" s="78">
        <v>0</v>
      </c>
      <c r="DV88" s="137">
        <v>0.86206899999999997</v>
      </c>
      <c r="DX88" s="143" t="s">
        <v>738</v>
      </c>
      <c r="DY88" s="143" t="s">
        <v>722</v>
      </c>
      <c r="DZ88" s="143" t="s">
        <v>842</v>
      </c>
      <c r="EA88" s="143">
        <v>2034</v>
      </c>
      <c r="EB88" s="78">
        <v>1</v>
      </c>
      <c r="EC88" s="78">
        <v>8</v>
      </c>
      <c r="ED88" s="78">
        <v>1</v>
      </c>
      <c r="EE88" s="78">
        <v>4</v>
      </c>
      <c r="EF88" s="78">
        <v>0</v>
      </c>
      <c r="EG88" s="78">
        <v>1</v>
      </c>
      <c r="EH88" s="78">
        <v>0</v>
      </c>
      <c r="EI88" s="78">
        <v>1</v>
      </c>
      <c r="EJ88" s="78">
        <v>0</v>
      </c>
      <c r="EK88" s="78">
        <v>1</v>
      </c>
      <c r="EL88" s="78">
        <v>1</v>
      </c>
      <c r="EM88" s="78">
        <v>1</v>
      </c>
      <c r="EN88" s="78">
        <v>0</v>
      </c>
      <c r="EO88" s="78">
        <v>0</v>
      </c>
      <c r="EP88" s="78">
        <v>0</v>
      </c>
      <c r="EQ88" s="137">
        <v>0.70370370000000004</v>
      </c>
      <c r="ES88" s="143" t="s">
        <v>738</v>
      </c>
      <c r="ET88" s="143" t="s">
        <v>722</v>
      </c>
      <c r="EU88" s="143" t="s">
        <v>842</v>
      </c>
      <c r="EV88" s="143">
        <v>2034</v>
      </c>
      <c r="EW88" s="78">
        <v>0.5</v>
      </c>
      <c r="EX88" s="78">
        <v>1</v>
      </c>
      <c r="EY88" s="78">
        <v>0</v>
      </c>
      <c r="EZ88" s="78">
        <v>0</v>
      </c>
      <c r="FA88" s="78">
        <v>0.5</v>
      </c>
      <c r="FB88" s="78">
        <v>3</v>
      </c>
      <c r="FC88" s="78">
        <v>2</v>
      </c>
      <c r="FD88" s="78">
        <v>1</v>
      </c>
      <c r="FE88" s="137">
        <v>0.61538459999999995</v>
      </c>
      <c r="FG88" s="137">
        <v>0.40548780000000001</v>
      </c>
    </row>
    <row r="89" spans="1:163" x14ac:dyDescent="0.35">
      <c r="A89" s="143" t="s">
        <v>738</v>
      </c>
      <c r="B89" s="143" t="s">
        <v>722</v>
      </c>
      <c r="C89" s="143" t="s">
        <v>842</v>
      </c>
      <c r="D89" s="143">
        <v>2990</v>
      </c>
      <c r="E89" s="78">
        <v>0</v>
      </c>
      <c r="F89" s="78">
        <v>2.5</v>
      </c>
      <c r="G89" s="78">
        <v>0</v>
      </c>
      <c r="H89" s="78">
        <v>4</v>
      </c>
      <c r="I89" s="78">
        <v>1</v>
      </c>
      <c r="J89" s="78">
        <v>0</v>
      </c>
      <c r="K89" s="78">
        <v>1</v>
      </c>
      <c r="L89" s="78">
        <v>1</v>
      </c>
      <c r="M89" s="78">
        <v>2</v>
      </c>
      <c r="N89" s="137">
        <v>0.82142859999999995</v>
      </c>
      <c r="P89" s="143" t="s">
        <v>738</v>
      </c>
      <c r="Q89" s="143" t="s">
        <v>722</v>
      </c>
      <c r="R89" s="143" t="s">
        <v>842</v>
      </c>
      <c r="S89" s="143">
        <v>2990</v>
      </c>
      <c r="T89" s="78">
        <v>1</v>
      </c>
      <c r="U89" s="78">
        <v>0</v>
      </c>
      <c r="V89" s="78">
        <v>0</v>
      </c>
      <c r="W89" s="78">
        <v>0</v>
      </c>
      <c r="X89" s="78">
        <v>0</v>
      </c>
      <c r="Y89" s="78">
        <v>1</v>
      </c>
      <c r="Z89" s="78">
        <v>0</v>
      </c>
      <c r="AA89" s="78">
        <v>0</v>
      </c>
      <c r="AB89" s="78">
        <v>0</v>
      </c>
      <c r="AC89" s="78">
        <v>0</v>
      </c>
      <c r="AD89" s="137">
        <v>5.8823500000000001E-2</v>
      </c>
      <c r="AF89" s="143" t="s">
        <v>738</v>
      </c>
      <c r="AG89" s="143" t="s">
        <v>722</v>
      </c>
      <c r="AH89" s="143" t="s">
        <v>842</v>
      </c>
      <c r="AI89" s="143">
        <v>2990</v>
      </c>
      <c r="AJ89" s="78">
        <v>1</v>
      </c>
      <c r="AK89" s="78">
        <v>1</v>
      </c>
      <c r="AL89" s="78">
        <v>0</v>
      </c>
      <c r="AM89" s="78">
        <v>6</v>
      </c>
      <c r="AN89" s="78">
        <v>1</v>
      </c>
      <c r="AO89" s="78">
        <v>2</v>
      </c>
      <c r="AP89" s="78">
        <v>1</v>
      </c>
      <c r="AQ89" s="78">
        <v>1</v>
      </c>
      <c r="AR89" s="78">
        <v>0</v>
      </c>
      <c r="AS89" s="78">
        <v>0</v>
      </c>
      <c r="AT89" s="78">
        <v>0</v>
      </c>
      <c r="AU89" s="78">
        <v>0</v>
      </c>
      <c r="AV89" s="78">
        <v>2</v>
      </c>
      <c r="AW89" s="78">
        <v>1</v>
      </c>
      <c r="AX89" s="78">
        <v>0</v>
      </c>
      <c r="AY89" s="78">
        <v>0</v>
      </c>
      <c r="AZ89" s="78">
        <v>2</v>
      </c>
      <c r="BA89" s="78">
        <v>0.5</v>
      </c>
      <c r="BB89" s="78">
        <v>0.5</v>
      </c>
      <c r="BC89" s="78">
        <v>0.5</v>
      </c>
      <c r="BD89" s="78">
        <v>0</v>
      </c>
      <c r="BE89" s="78">
        <v>0.5</v>
      </c>
      <c r="BF89" s="78">
        <v>0</v>
      </c>
      <c r="BG89" s="78">
        <v>8</v>
      </c>
      <c r="BH89" s="137">
        <v>0.63636360000000003</v>
      </c>
      <c r="BJ89" s="143" t="s">
        <v>738</v>
      </c>
      <c r="BK89" s="143" t="s">
        <v>722</v>
      </c>
      <c r="BL89" s="143" t="s">
        <v>842</v>
      </c>
      <c r="BM89" s="143">
        <v>2990</v>
      </c>
      <c r="BN89" s="78">
        <v>1</v>
      </c>
      <c r="BO89" s="78">
        <v>4</v>
      </c>
      <c r="BP89" s="78">
        <v>0</v>
      </c>
      <c r="BQ89" s="78">
        <v>3</v>
      </c>
      <c r="BR89" s="78">
        <v>0</v>
      </c>
      <c r="BS89" s="78">
        <v>0</v>
      </c>
      <c r="BT89" s="78">
        <v>2</v>
      </c>
      <c r="BU89" s="137">
        <v>0.43478260000000002</v>
      </c>
      <c r="BW89" s="143" t="s">
        <v>738</v>
      </c>
      <c r="BX89" s="143" t="s">
        <v>722</v>
      </c>
      <c r="BY89" s="143" t="s">
        <v>842</v>
      </c>
      <c r="BZ89" s="143">
        <v>2990</v>
      </c>
      <c r="CM89" s="143" t="s">
        <v>738</v>
      </c>
      <c r="CN89" s="143" t="s">
        <v>722</v>
      </c>
      <c r="CO89" s="143" t="s">
        <v>842</v>
      </c>
      <c r="CP89" s="143">
        <v>2990</v>
      </c>
      <c r="CQ89" s="78">
        <v>8</v>
      </c>
      <c r="CR89" s="78">
        <v>0</v>
      </c>
      <c r="CS89" s="78">
        <v>0</v>
      </c>
      <c r="CT89" s="78">
        <v>0</v>
      </c>
      <c r="CU89" s="78">
        <v>0</v>
      </c>
      <c r="CV89" s="78">
        <v>4</v>
      </c>
      <c r="CW89" s="137">
        <v>0.23076920000000001</v>
      </c>
      <c r="CY89" s="143" t="s">
        <v>738</v>
      </c>
      <c r="CZ89" s="143" t="s">
        <v>722</v>
      </c>
      <c r="DA89" s="143" t="s">
        <v>842</v>
      </c>
      <c r="DB89" s="143">
        <v>2990</v>
      </c>
      <c r="DC89" s="78">
        <v>2</v>
      </c>
      <c r="DD89" s="137">
        <v>0</v>
      </c>
      <c r="DE89" s="137">
        <v>0</v>
      </c>
      <c r="DG89" s="143" t="s">
        <v>738</v>
      </c>
      <c r="DH89" s="143" t="s">
        <v>722</v>
      </c>
      <c r="DI89" s="143" t="s">
        <v>842</v>
      </c>
      <c r="DJ89" s="143">
        <v>2990</v>
      </c>
      <c r="DK89" s="78">
        <v>2</v>
      </c>
      <c r="DL89" s="78">
        <v>1</v>
      </c>
      <c r="DM89" s="78">
        <v>0</v>
      </c>
      <c r="DN89" s="78">
        <v>4</v>
      </c>
      <c r="DO89" s="78">
        <v>2</v>
      </c>
      <c r="DP89" s="78">
        <v>3</v>
      </c>
      <c r="DQ89" s="78">
        <v>8</v>
      </c>
      <c r="DR89" s="78">
        <v>1</v>
      </c>
      <c r="DS89" s="78">
        <v>1</v>
      </c>
      <c r="DT89" s="78">
        <v>0</v>
      </c>
      <c r="DU89" s="78">
        <v>1</v>
      </c>
      <c r="DV89" s="137">
        <v>0.79310349999999996</v>
      </c>
      <c r="DX89" s="143" t="s">
        <v>738</v>
      </c>
      <c r="DY89" s="143" t="s">
        <v>722</v>
      </c>
      <c r="DZ89" s="143" t="s">
        <v>842</v>
      </c>
      <c r="EA89" s="143">
        <v>2990</v>
      </c>
      <c r="EB89" s="78">
        <v>1</v>
      </c>
      <c r="EC89" s="78">
        <v>8</v>
      </c>
      <c r="ED89" s="78">
        <v>1</v>
      </c>
      <c r="EE89" s="78">
        <v>4</v>
      </c>
      <c r="EF89" s="78">
        <v>0</v>
      </c>
      <c r="EG89" s="78">
        <v>1</v>
      </c>
      <c r="EH89" s="78">
        <v>0</v>
      </c>
      <c r="EI89" s="78">
        <v>1</v>
      </c>
      <c r="EJ89" s="78">
        <v>1</v>
      </c>
      <c r="EK89" s="78">
        <v>0</v>
      </c>
      <c r="EL89" s="78">
        <v>1</v>
      </c>
      <c r="EM89" s="78">
        <v>0</v>
      </c>
      <c r="EN89" s="78">
        <v>0</v>
      </c>
      <c r="EO89" s="78">
        <v>1</v>
      </c>
      <c r="EP89" s="78">
        <v>0</v>
      </c>
      <c r="EQ89" s="137">
        <v>0.70370370000000004</v>
      </c>
      <c r="ES89" s="143" t="s">
        <v>738</v>
      </c>
      <c r="ET89" s="143" t="s">
        <v>722</v>
      </c>
      <c r="EU89" s="143" t="s">
        <v>842</v>
      </c>
      <c r="EV89" s="143">
        <v>2990</v>
      </c>
      <c r="EW89" s="78">
        <v>0</v>
      </c>
      <c r="EX89" s="78">
        <v>1</v>
      </c>
      <c r="EY89" s="78">
        <v>0</v>
      </c>
      <c r="EZ89" s="78">
        <v>0</v>
      </c>
      <c r="FA89" s="78">
        <v>0</v>
      </c>
      <c r="FB89" s="78">
        <v>3</v>
      </c>
      <c r="FC89" s="78">
        <v>2</v>
      </c>
      <c r="FD89" s="78">
        <v>1</v>
      </c>
      <c r="FE89" s="137">
        <v>0.53846159999999998</v>
      </c>
      <c r="FG89" s="137">
        <v>0.34298780000000001</v>
      </c>
    </row>
    <row r="90" spans="1:163" x14ac:dyDescent="0.35">
      <c r="A90" s="143" t="s">
        <v>739</v>
      </c>
      <c r="B90" s="143" t="s">
        <v>720</v>
      </c>
      <c r="C90" s="143" t="s">
        <v>842</v>
      </c>
      <c r="D90" s="143">
        <v>2</v>
      </c>
      <c r="E90" s="78">
        <v>0.5</v>
      </c>
      <c r="F90" s="78">
        <v>2.5</v>
      </c>
      <c r="G90" s="78">
        <v>1</v>
      </c>
      <c r="H90" s="78">
        <v>3</v>
      </c>
      <c r="I90" s="78">
        <v>1</v>
      </c>
      <c r="J90" s="78">
        <v>1</v>
      </c>
      <c r="K90" s="78">
        <v>1</v>
      </c>
      <c r="L90" s="78">
        <v>1</v>
      </c>
      <c r="M90" s="78">
        <v>2</v>
      </c>
      <c r="N90" s="137">
        <v>0.92857140000000005</v>
      </c>
      <c r="P90" s="143" t="s">
        <v>739</v>
      </c>
      <c r="Q90" s="143" t="s">
        <v>720</v>
      </c>
      <c r="R90" s="143" t="s">
        <v>842</v>
      </c>
      <c r="S90" s="143">
        <v>2</v>
      </c>
      <c r="T90" s="78">
        <v>1</v>
      </c>
      <c r="U90" s="78">
        <v>1</v>
      </c>
      <c r="V90" s="78">
        <v>1.5</v>
      </c>
      <c r="W90" s="78">
        <v>2</v>
      </c>
      <c r="X90" s="78">
        <v>0</v>
      </c>
      <c r="Y90" s="78">
        <v>1</v>
      </c>
      <c r="Z90" s="78">
        <v>0</v>
      </c>
      <c r="AA90" s="78">
        <v>2</v>
      </c>
      <c r="AB90" s="78">
        <v>6</v>
      </c>
      <c r="AC90" s="78">
        <v>3</v>
      </c>
      <c r="AD90" s="137">
        <v>0.51470590000000005</v>
      </c>
      <c r="AF90" s="143" t="s">
        <v>739</v>
      </c>
      <c r="AG90" s="143" t="s">
        <v>720</v>
      </c>
      <c r="AH90" s="143" t="s">
        <v>842</v>
      </c>
      <c r="AI90" s="143">
        <v>2</v>
      </c>
      <c r="AJ90" s="78">
        <v>1</v>
      </c>
      <c r="AK90" s="78">
        <v>0</v>
      </c>
      <c r="AL90" s="78">
        <v>1</v>
      </c>
      <c r="AM90" s="78">
        <v>0</v>
      </c>
      <c r="AN90" s="78">
        <v>1</v>
      </c>
      <c r="AO90" s="78">
        <v>2</v>
      </c>
      <c r="AP90" s="78">
        <v>2</v>
      </c>
      <c r="AQ90" s="78">
        <v>1</v>
      </c>
      <c r="AR90" s="78">
        <v>2</v>
      </c>
      <c r="AS90" s="78">
        <v>2</v>
      </c>
      <c r="AT90" s="78">
        <v>2</v>
      </c>
      <c r="AU90" s="78">
        <v>0</v>
      </c>
      <c r="AV90" s="78">
        <v>2</v>
      </c>
      <c r="AW90" s="78">
        <v>0</v>
      </c>
      <c r="AX90" s="78">
        <v>0</v>
      </c>
      <c r="AY90" s="78">
        <v>1</v>
      </c>
      <c r="AZ90" s="78">
        <v>2</v>
      </c>
      <c r="BA90" s="78">
        <v>0.5</v>
      </c>
      <c r="BB90" s="78">
        <v>0.5</v>
      </c>
      <c r="BC90" s="78">
        <v>0.5</v>
      </c>
      <c r="BD90" s="78">
        <v>1</v>
      </c>
      <c r="BE90" s="78">
        <v>0.5</v>
      </c>
      <c r="BF90" s="78">
        <v>0</v>
      </c>
      <c r="BG90" s="78">
        <v>8</v>
      </c>
      <c r="BH90" s="137">
        <v>0.68181820000000004</v>
      </c>
      <c r="BJ90" s="143" t="s">
        <v>739</v>
      </c>
      <c r="BK90" s="143" t="s">
        <v>720</v>
      </c>
      <c r="BL90" s="143" t="s">
        <v>842</v>
      </c>
      <c r="BM90" s="143">
        <v>2</v>
      </c>
      <c r="BN90" s="78">
        <v>1</v>
      </c>
      <c r="BO90" s="78">
        <v>4</v>
      </c>
      <c r="BP90" s="78">
        <v>7</v>
      </c>
      <c r="BQ90" s="78">
        <v>0</v>
      </c>
      <c r="BR90" s="78">
        <v>0</v>
      </c>
      <c r="BS90" s="78">
        <v>0</v>
      </c>
      <c r="BT90" s="78">
        <v>2</v>
      </c>
      <c r="BU90" s="137">
        <v>0.6086956</v>
      </c>
      <c r="BW90" s="143" t="s">
        <v>739</v>
      </c>
      <c r="BX90" s="143" t="s">
        <v>720</v>
      </c>
      <c r="BY90" s="143" t="s">
        <v>842</v>
      </c>
      <c r="BZ90" s="143">
        <v>2</v>
      </c>
      <c r="CM90" s="143" t="s">
        <v>739</v>
      </c>
      <c r="CN90" s="143" t="s">
        <v>720</v>
      </c>
      <c r="CO90" s="143" t="s">
        <v>842</v>
      </c>
      <c r="CP90" s="143">
        <v>2</v>
      </c>
      <c r="CQ90" s="78">
        <v>6</v>
      </c>
      <c r="CR90" s="78">
        <v>0</v>
      </c>
      <c r="CS90" s="78">
        <v>12</v>
      </c>
      <c r="CT90" s="78">
        <v>4</v>
      </c>
      <c r="CU90" s="78">
        <v>2</v>
      </c>
      <c r="CV90" s="78">
        <v>8</v>
      </c>
      <c r="CW90" s="137">
        <v>0.61538459999999995</v>
      </c>
      <c r="CY90" s="143" t="s">
        <v>739</v>
      </c>
      <c r="CZ90" s="143" t="s">
        <v>720</v>
      </c>
      <c r="DA90" s="143" t="s">
        <v>842</v>
      </c>
      <c r="DB90" s="143">
        <v>2</v>
      </c>
      <c r="DC90" s="78">
        <v>66</v>
      </c>
      <c r="DD90" s="137">
        <v>0.4</v>
      </c>
      <c r="DE90" s="137">
        <v>0.2869565</v>
      </c>
      <c r="DG90" s="143" t="s">
        <v>739</v>
      </c>
      <c r="DH90" s="143" t="s">
        <v>720</v>
      </c>
      <c r="DI90" s="143" t="s">
        <v>842</v>
      </c>
      <c r="DJ90" s="143">
        <v>2</v>
      </c>
      <c r="DK90" s="78">
        <v>2</v>
      </c>
      <c r="DL90" s="78">
        <v>1</v>
      </c>
      <c r="DM90" s="78">
        <v>1</v>
      </c>
      <c r="DN90" s="78">
        <v>4</v>
      </c>
      <c r="DO90" s="78">
        <v>2</v>
      </c>
      <c r="DP90" s="78">
        <v>3</v>
      </c>
      <c r="DQ90" s="78">
        <v>8</v>
      </c>
      <c r="DR90" s="78">
        <v>1</v>
      </c>
      <c r="DS90" s="78">
        <v>1</v>
      </c>
      <c r="DT90" s="78">
        <v>2</v>
      </c>
      <c r="DU90" s="78">
        <v>1</v>
      </c>
      <c r="DV90" s="137">
        <v>0.89655169999999995</v>
      </c>
      <c r="DX90" s="143" t="s">
        <v>739</v>
      </c>
      <c r="DY90" s="143" t="s">
        <v>720</v>
      </c>
      <c r="DZ90" s="143" t="s">
        <v>842</v>
      </c>
      <c r="EA90" s="143">
        <v>2</v>
      </c>
      <c r="EB90" s="78">
        <v>1</v>
      </c>
      <c r="EC90" s="78">
        <v>8</v>
      </c>
      <c r="ED90" s="78">
        <v>1</v>
      </c>
      <c r="EE90" s="78">
        <v>4</v>
      </c>
      <c r="EF90" s="78">
        <v>3</v>
      </c>
      <c r="EG90" s="78">
        <v>1</v>
      </c>
      <c r="EH90" s="78">
        <v>0</v>
      </c>
      <c r="EI90" s="78">
        <v>1</v>
      </c>
      <c r="EJ90" s="78">
        <v>1</v>
      </c>
      <c r="EK90" s="78">
        <v>1</v>
      </c>
      <c r="EL90" s="78">
        <v>1</v>
      </c>
      <c r="EM90" s="78">
        <v>1</v>
      </c>
      <c r="EN90" s="78">
        <v>1</v>
      </c>
      <c r="EO90" s="78">
        <v>1</v>
      </c>
      <c r="EP90" s="78">
        <v>0</v>
      </c>
      <c r="EQ90" s="137">
        <v>0.92592589999999997</v>
      </c>
      <c r="ES90" s="143" t="s">
        <v>739</v>
      </c>
      <c r="ET90" s="143" t="s">
        <v>720</v>
      </c>
      <c r="EU90" s="143" t="s">
        <v>842</v>
      </c>
      <c r="EV90" s="143">
        <v>2</v>
      </c>
      <c r="EW90" s="78">
        <v>0.5</v>
      </c>
      <c r="EX90" s="78">
        <v>1</v>
      </c>
      <c r="EY90" s="78">
        <v>0</v>
      </c>
      <c r="EZ90" s="78">
        <v>0</v>
      </c>
      <c r="FA90" s="78">
        <v>0.5</v>
      </c>
      <c r="FB90" s="78">
        <v>3</v>
      </c>
      <c r="FC90" s="78">
        <v>2</v>
      </c>
      <c r="FD90" s="78">
        <v>0</v>
      </c>
      <c r="FE90" s="137">
        <v>0.53846159999999998</v>
      </c>
      <c r="FG90" s="137">
        <v>0.58201219999999998</v>
      </c>
    </row>
    <row r="91" spans="1:163" x14ac:dyDescent="0.35">
      <c r="A91" s="143" t="s">
        <v>739</v>
      </c>
      <c r="B91" s="143" t="s">
        <v>720</v>
      </c>
      <c r="C91" s="143" t="s">
        <v>842</v>
      </c>
      <c r="D91" s="143">
        <v>9</v>
      </c>
      <c r="E91" s="78">
        <v>0.5</v>
      </c>
      <c r="F91" s="78">
        <v>2.5</v>
      </c>
      <c r="G91" s="78">
        <v>1</v>
      </c>
      <c r="H91" s="78">
        <v>4</v>
      </c>
      <c r="I91" s="78">
        <v>1</v>
      </c>
      <c r="J91" s="78">
        <v>1</v>
      </c>
      <c r="K91" s="78">
        <v>1</v>
      </c>
      <c r="L91" s="78">
        <v>1</v>
      </c>
      <c r="M91" s="78">
        <v>2</v>
      </c>
      <c r="N91" s="137">
        <v>1</v>
      </c>
      <c r="P91" s="143" t="s">
        <v>739</v>
      </c>
      <c r="Q91" s="143" t="s">
        <v>720</v>
      </c>
      <c r="R91" s="143" t="s">
        <v>842</v>
      </c>
      <c r="S91" s="143">
        <v>9</v>
      </c>
      <c r="T91" s="78">
        <v>1</v>
      </c>
      <c r="U91" s="78">
        <v>1</v>
      </c>
      <c r="V91" s="78">
        <v>2.5</v>
      </c>
      <c r="W91" s="78">
        <v>2</v>
      </c>
      <c r="X91" s="78">
        <v>0</v>
      </c>
      <c r="Y91" s="78">
        <v>1</v>
      </c>
      <c r="Z91" s="78">
        <v>3</v>
      </c>
      <c r="AA91" s="78">
        <v>2</v>
      </c>
      <c r="AB91" s="78">
        <v>6</v>
      </c>
      <c r="AC91" s="78">
        <v>3</v>
      </c>
      <c r="AD91" s="137">
        <v>0.6323529</v>
      </c>
      <c r="AF91" s="143" t="s">
        <v>739</v>
      </c>
      <c r="AG91" s="143" t="s">
        <v>720</v>
      </c>
      <c r="AH91" s="143" t="s">
        <v>842</v>
      </c>
      <c r="AI91" s="143">
        <v>9</v>
      </c>
      <c r="AJ91" s="78">
        <v>1</v>
      </c>
      <c r="AK91" s="78">
        <v>1</v>
      </c>
      <c r="AL91" s="78">
        <v>1</v>
      </c>
      <c r="AM91" s="78">
        <v>5</v>
      </c>
      <c r="AN91" s="78">
        <v>1</v>
      </c>
      <c r="AO91" s="78">
        <v>2</v>
      </c>
      <c r="AP91" s="78">
        <v>2</v>
      </c>
      <c r="AQ91" s="78">
        <v>1</v>
      </c>
      <c r="AR91" s="78">
        <v>2</v>
      </c>
      <c r="AS91" s="78">
        <v>2</v>
      </c>
      <c r="AT91" s="78">
        <v>2</v>
      </c>
      <c r="AU91" s="78">
        <v>0</v>
      </c>
      <c r="AV91" s="78">
        <v>2</v>
      </c>
      <c r="AW91" s="78">
        <v>0</v>
      </c>
      <c r="AX91" s="78">
        <v>0</v>
      </c>
      <c r="AY91" s="78">
        <v>1</v>
      </c>
      <c r="AZ91" s="78">
        <v>2</v>
      </c>
      <c r="BA91" s="78">
        <v>0.5</v>
      </c>
      <c r="BB91" s="78">
        <v>0.5</v>
      </c>
      <c r="BC91" s="78">
        <v>0.5</v>
      </c>
      <c r="BD91" s="78">
        <v>1</v>
      </c>
      <c r="BE91" s="78">
        <v>0.5</v>
      </c>
      <c r="BF91" s="78">
        <v>0</v>
      </c>
      <c r="BG91" s="78">
        <v>8</v>
      </c>
      <c r="BH91" s="137">
        <v>0.81818179999999996</v>
      </c>
      <c r="BJ91" s="143" t="s">
        <v>739</v>
      </c>
      <c r="BK91" s="143" t="s">
        <v>720</v>
      </c>
      <c r="BL91" s="143" t="s">
        <v>842</v>
      </c>
      <c r="BM91" s="143">
        <v>9</v>
      </c>
      <c r="BN91" s="78">
        <v>0</v>
      </c>
      <c r="BO91" s="78">
        <v>4</v>
      </c>
      <c r="BP91" s="78">
        <v>7</v>
      </c>
      <c r="BQ91" s="78">
        <v>0</v>
      </c>
      <c r="BR91" s="78">
        <v>0</v>
      </c>
      <c r="BS91" s="78">
        <v>0</v>
      </c>
      <c r="BT91" s="78">
        <v>2</v>
      </c>
      <c r="BU91" s="137">
        <v>0.56521739999999998</v>
      </c>
      <c r="BW91" s="143" t="s">
        <v>739</v>
      </c>
      <c r="BX91" s="143" t="s">
        <v>720</v>
      </c>
      <c r="BY91" s="143" t="s">
        <v>842</v>
      </c>
      <c r="BZ91" s="143">
        <v>9</v>
      </c>
      <c r="CA91" s="78">
        <v>1</v>
      </c>
      <c r="CB91" s="78">
        <v>1</v>
      </c>
      <c r="CC91" s="78">
        <v>1</v>
      </c>
      <c r="CD91" s="78">
        <v>2</v>
      </c>
      <c r="CE91" s="78">
        <v>1</v>
      </c>
      <c r="CF91" s="78">
        <v>2</v>
      </c>
      <c r="CG91" s="78">
        <v>1</v>
      </c>
      <c r="CH91" s="78">
        <v>2</v>
      </c>
      <c r="CI91" s="78">
        <v>1</v>
      </c>
      <c r="CJ91" s="78">
        <v>3</v>
      </c>
      <c r="CK91" s="137">
        <v>1</v>
      </c>
      <c r="CM91" s="143" t="s">
        <v>739</v>
      </c>
      <c r="CN91" s="143" t="s">
        <v>720</v>
      </c>
      <c r="CO91" s="143" t="s">
        <v>842</v>
      </c>
      <c r="CP91" s="143">
        <v>9</v>
      </c>
      <c r="CQ91" s="78">
        <v>6</v>
      </c>
      <c r="CR91" s="78">
        <v>0</v>
      </c>
      <c r="CS91" s="78">
        <v>20</v>
      </c>
      <c r="CT91" s="78">
        <v>4</v>
      </c>
      <c r="CU91" s="78">
        <v>2</v>
      </c>
      <c r="CV91" s="78">
        <v>8</v>
      </c>
      <c r="CW91" s="137">
        <v>0.76923079999999999</v>
      </c>
      <c r="CY91" s="143" t="s">
        <v>739</v>
      </c>
      <c r="CZ91" s="143" t="s">
        <v>720</v>
      </c>
      <c r="DA91" s="143" t="s">
        <v>842</v>
      </c>
      <c r="DB91" s="143">
        <v>9</v>
      </c>
      <c r="DC91" s="78">
        <v>10</v>
      </c>
      <c r="DD91" s="137">
        <v>0.2</v>
      </c>
      <c r="DE91" s="137">
        <v>2.1739100000000001E-2</v>
      </c>
      <c r="DG91" s="143" t="s">
        <v>739</v>
      </c>
      <c r="DH91" s="143" t="s">
        <v>720</v>
      </c>
      <c r="DI91" s="143" t="s">
        <v>842</v>
      </c>
      <c r="DJ91" s="143">
        <v>9</v>
      </c>
      <c r="DK91" s="78">
        <v>2</v>
      </c>
      <c r="DL91" s="78">
        <v>1</v>
      </c>
      <c r="DM91" s="78">
        <v>1</v>
      </c>
      <c r="DN91" s="78">
        <v>4</v>
      </c>
      <c r="DO91" s="78">
        <v>2</v>
      </c>
      <c r="DP91" s="78">
        <v>3</v>
      </c>
      <c r="DQ91" s="78">
        <v>8</v>
      </c>
      <c r="DR91" s="78">
        <v>1</v>
      </c>
      <c r="DS91" s="78">
        <v>1</v>
      </c>
      <c r="DT91" s="78">
        <v>2</v>
      </c>
      <c r="DU91" s="78">
        <v>1</v>
      </c>
      <c r="DV91" s="137">
        <v>0.89655169999999995</v>
      </c>
      <c r="DX91" s="143" t="s">
        <v>739</v>
      </c>
      <c r="DY91" s="143" t="s">
        <v>720</v>
      </c>
      <c r="DZ91" s="143" t="s">
        <v>842</v>
      </c>
      <c r="EA91" s="143">
        <v>9</v>
      </c>
      <c r="EB91" s="78">
        <v>1</v>
      </c>
      <c r="EC91" s="78">
        <v>8</v>
      </c>
      <c r="ED91" s="78">
        <v>1</v>
      </c>
      <c r="EE91" s="78">
        <v>4</v>
      </c>
      <c r="EF91" s="78">
        <v>3</v>
      </c>
      <c r="EG91" s="78">
        <v>1</v>
      </c>
      <c r="EH91" s="78">
        <v>0</v>
      </c>
      <c r="EI91" s="78">
        <v>1</v>
      </c>
      <c r="EJ91" s="78">
        <v>1</v>
      </c>
      <c r="EK91" s="78">
        <v>1</v>
      </c>
      <c r="EL91" s="78">
        <v>1</v>
      </c>
      <c r="EM91" s="78">
        <v>1</v>
      </c>
      <c r="EN91" s="78">
        <v>1</v>
      </c>
      <c r="EO91" s="78">
        <v>1</v>
      </c>
      <c r="EP91" s="78">
        <v>1</v>
      </c>
      <c r="EQ91" s="137">
        <v>0.96296300000000001</v>
      </c>
      <c r="ES91" s="143" t="s">
        <v>739</v>
      </c>
      <c r="ET91" s="143" t="s">
        <v>720</v>
      </c>
      <c r="EU91" s="143" t="s">
        <v>842</v>
      </c>
      <c r="EV91" s="143">
        <v>9</v>
      </c>
      <c r="EW91" s="78">
        <v>0.5</v>
      </c>
      <c r="EX91" s="78">
        <v>1</v>
      </c>
      <c r="EY91" s="78">
        <v>0</v>
      </c>
      <c r="EZ91" s="78">
        <v>0</v>
      </c>
      <c r="FA91" s="78">
        <v>0.5</v>
      </c>
      <c r="FB91" s="78">
        <v>3</v>
      </c>
      <c r="FC91" s="78">
        <v>2</v>
      </c>
      <c r="FD91" s="78">
        <v>1</v>
      </c>
      <c r="FE91" s="137">
        <v>0.61538459999999995</v>
      </c>
      <c r="FG91" s="137">
        <v>0.58746359999999997</v>
      </c>
    </row>
    <row r="92" spans="1:163" x14ac:dyDescent="0.35">
      <c r="A92" s="143" t="s">
        <v>739</v>
      </c>
      <c r="B92" s="143" t="s">
        <v>720</v>
      </c>
      <c r="C92" s="143" t="s">
        <v>843</v>
      </c>
      <c r="D92" s="143">
        <v>40</v>
      </c>
      <c r="E92" s="78">
        <v>0</v>
      </c>
      <c r="F92" s="78">
        <v>2.5</v>
      </c>
      <c r="G92" s="78">
        <v>1</v>
      </c>
      <c r="H92" s="78">
        <v>0</v>
      </c>
      <c r="I92" s="78">
        <v>1</v>
      </c>
      <c r="J92" s="78">
        <v>1</v>
      </c>
      <c r="K92" s="78">
        <v>1</v>
      </c>
      <c r="L92" s="78">
        <v>1</v>
      </c>
      <c r="M92" s="78">
        <v>2</v>
      </c>
      <c r="N92" s="137">
        <v>0.67857140000000005</v>
      </c>
      <c r="P92" s="143" t="s">
        <v>739</v>
      </c>
      <c r="Q92" s="143" t="s">
        <v>720</v>
      </c>
      <c r="R92" s="143" t="s">
        <v>843</v>
      </c>
      <c r="S92" s="143">
        <v>40</v>
      </c>
      <c r="T92" s="78">
        <v>1</v>
      </c>
      <c r="U92" s="78">
        <v>1</v>
      </c>
      <c r="V92" s="78">
        <v>2</v>
      </c>
      <c r="W92" s="78">
        <v>2</v>
      </c>
      <c r="X92" s="78">
        <v>0</v>
      </c>
      <c r="Y92" s="78">
        <v>1</v>
      </c>
      <c r="Z92" s="78">
        <v>0</v>
      </c>
      <c r="AA92" s="78">
        <v>0</v>
      </c>
      <c r="AB92" s="78">
        <v>6</v>
      </c>
      <c r="AC92" s="78">
        <v>3</v>
      </c>
      <c r="AD92" s="137">
        <v>0.47058820000000001</v>
      </c>
      <c r="AF92" s="143" t="s">
        <v>739</v>
      </c>
      <c r="AG92" s="143" t="s">
        <v>720</v>
      </c>
      <c r="AH92" s="143" t="s">
        <v>843</v>
      </c>
      <c r="AI92" s="143">
        <v>40</v>
      </c>
      <c r="AJ92" s="78">
        <v>1</v>
      </c>
      <c r="AK92" s="78">
        <v>0</v>
      </c>
      <c r="AL92" s="78">
        <v>1</v>
      </c>
      <c r="AM92" s="78">
        <v>1</v>
      </c>
      <c r="AN92" s="78">
        <v>1</v>
      </c>
      <c r="AO92" s="78">
        <v>2</v>
      </c>
      <c r="AP92" s="78">
        <v>2</v>
      </c>
      <c r="AQ92" s="78">
        <v>1</v>
      </c>
      <c r="AR92" s="78">
        <v>2</v>
      </c>
      <c r="AS92" s="78">
        <v>2</v>
      </c>
      <c r="AT92" s="78">
        <v>2</v>
      </c>
      <c r="AU92" s="78">
        <v>0</v>
      </c>
      <c r="AV92" s="78">
        <v>2</v>
      </c>
      <c r="AW92" s="78">
        <v>0</v>
      </c>
      <c r="AX92" s="78">
        <v>0</v>
      </c>
      <c r="AY92" s="78">
        <v>1</v>
      </c>
      <c r="AZ92" s="78">
        <v>0</v>
      </c>
      <c r="BA92" s="78">
        <v>0.5</v>
      </c>
      <c r="BB92" s="78">
        <v>0.5</v>
      </c>
      <c r="BC92" s="78">
        <v>0.5</v>
      </c>
      <c r="BD92" s="78">
        <v>1</v>
      </c>
      <c r="BE92" s="78">
        <v>0</v>
      </c>
      <c r="BF92" s="78">
        <v>0</v>
      </c>
      <c r="BG92" s="78">
        <v>2</v>
      </c>
      <c r="BH92" s="137">
        <v>0.51136360000000003</v>
      </c>
      <c r="BJ92" s="143" t="s">
        <v>739</v>
      </c>
      <c r="BK92" s="143" t="s">
        <v>720</v>
      </c>
      <c r="BL92" s="143" t="s">
        <v>843</v>
      </c>
      <c r="BM92" s="143">
        <v>40</v>
      </c>
      <c r="BN92" s="78">
        <v>1</v>
      </c>
      <c r="BO92" s="78">
        <v>4</v>
      </c>
      <c r="BP92" s="78">
        <v>7</v>
      </c>
      <c r="BQ92" s="78">
        <v>0</v>
      </c>
      <c r="BR92" s="78">
        <v>0</v>
      </c>
      <c r="BS92" s="78">
        <v>0</v>
      </c>
      <c r="BT92" s="78">
        <v>2</v>
      </c>
      <c r="BU92" s="137">
        <v>0.6086956</v>
      </c>
      <c r="BW92" s="143" t="s">
        <v>739</v>
      </c>
      <c r="BX92" s="143" t="s">
        <v>720</v>
      </c>
      <c r="BY92" s="143" t="s">
        <v>843</v>
      </c>
      <c r="BZ92" s="143">
        <v>40</v>
      </c>
      <c r="CA92" s="78">
        <v>1</v>
      </c>
      <c r="CB92" s="78">
        <v>1</v>
      </c>
      <c r="CC92" s="78">
        <v>1</v>
      </c>
      <c r="CD92" s="78">
        <v>0</v>
      </c>
      <c r="CE92" s="78">
        <v>1</v>
      </c>
      <c r="CF92" s="78">
        <v>2</v>
      </c>
      <c r="CG92" s="78">
        <v>1</v>
      </c>
      <c r="CH92" s="78">
        <v>2</v>
      </c>
      <c r="CI92" s="78">
        <v>1</v>
      </c>
      <c r="CJ92" s="78">
        <v>0</v>
      </c>
      <c r="CK92" s="137">
        <v>0.66666669999999995</v>
      </c>
      <c r="CM92" s="143" t="s">
        <v>739</v>
      </c>
      <c r="CN92" s="143" t="s">
        <v>720</v>
      </c>
      <c r="CO92" s="143" t="s">
        <v>843</v>
      </c>
      <c r="CP92" s="143">
        <v>40</v>
      </c>
      <c r="CQ92" s="78">
        <v>8</v>
      </c>
      <c r="CR92" s="78">
        <v>0</v>
      </c>
      <c r="CS92" s="78">
        <v>8</v>
      </c>
      <c r="CT92" s="78">
        <v>4</v>
      </c>
      <c r="CU92" s="78">
        <v>2</v>
      </c>
      <c r="CV92" s="78">
        <v>8</v>
      </c>
      <c r="CW92" s="137">
        <v>0.57692310000000002</v>
      </c>
      <c r="CY92" s="143" t="s">
        <v>739</v>
      </c>
      <c r="CZ92" s="143" t="s">
        <v>720</v>
      </c>
      <c r="DA92" s="143" t="s">
        <v>843</v>
      </c>
      <c r="DB92" s="143">
        <v>40</v>
      </c>
      <c r="DC92" s="78">
        <v>44</v>
      </c>
      <c r="DD92" s="137">
        <v>0</v>
      </c>
      <c r="DE92" s="137">
        <v>0</v>
      </c>
      <c r="DG92" s="143" t="s">
        <v>739</v>
      </c>
      <c r="DH92" s="143" t="s">
        <v>720</v>
      </c>
      <c r="DI92" s="143" t="s">
        <v>843</v>
      </c>
      <c r="DJ92" s="143">
        <v>40</v>
      </c>
      <c r="DK92" s="78">
        <v>0</v>
      </c>
      <c r="DL92" s="78">
        <v>1</v>
      </c>
      <c r="DM92" s="78">
        <v>1</v>
      </c>
      <c r="DN92" s="78">
        <v>7</v>
      </c>
      <c r="DO92" s="78">
        <v>2</v>
      </c>
      <c r="DP92" s="78">
        <v>3</v>
      </c>
      <c r="DQ92" s="78">
        <v>8</v>
      </c>
      <c r="DR92" s="78">
        <v>1</v>
      </c>
      <c r="DS92" s="78">
        <v>1</v>
      </c>
      <c r="DT92" s="78">
        <v>2</v>
      </c>
      <c r="DU92" s="78">
        <v>0</v>
      </c>
      <c r="DV92" s="137">
        <v>0.89655169999999995</v>
      </c>
      <c r="DX92" s="143" t="s">
        <v>739</v>
      </c>
      <c r="DY92" s="143" t="s">
        <v>720</v>
      </c>
      <c r="DZ92" s="143" t="s">
        <v>843</v>
      </c>
      <c r="EA92" s="143">
        <v>40</v>
      </c>
      <c r="EB92" s="78">
        <v>1</v>
      </c>
      <c r="EC92" s="78">
        <v>8</v>
      </c>
      <c r="ED92" s="78">
        <v>1</v>
      </c>
      <c r="EE92" s="78">
        <v>4</v>
      </c>
      <c r="EF92" s="78">
        <v>0</v>
      </c>
      <c r="EG92" s="78">
        <v>1</v>
      </c>
      <c r="EH92" s="78">
        <v>0</v>
      </c>
      <c r="EI92" s="78">
        <v>1</v>
      </c>
      <c r="EJ92" s="78">
        <v>1</v>
      </c>
      <c r="EK92" s="78">
        <v>1</v>
      </c>
      <c r="EL92" s="78">
        <v>1</v>
      </c>
      <c r="EM92" s="78">
        <v>1</v>
      </c>
      <c r="EN92" s="78">
        <v>1</v>
      </c>
      <c r="EO92" s="78">
        <v>1</v>
      </c>
      <c r="EP92" s="78">
        <v>0</v>
      </c>
      <c r="EQ92" s="137">
        <v>0.81481479999999995</v>
      </c>
      <c r="ES92" s="143" t="s">
        <v>739</v>
      </c>
      <c r="ET92" s="143" t="s">
        <v>720</v>
      </c>
      <c r="EU92" s="143" t="s">
        <v>843</v>
      </c>
      <c r="EV92" s="143">
        <v>40</v>
      </c>
      <c r="EW92" s="78">
        <v>0.5</v>
      </c>
      <c r="EX92" s="78">
        <v>1</v>
      </c>
      <c r="EY92" s="78">
        <v>0</v>
      </c>
      <c r="EZ92" s="78">
        <v>0</v>
      </c>
      <c r="FA92" s="78">
        <v>0.5</v>
      </c>
      <c r="FB92" s="78">
        <v>3</v>
      </c>
      <c r="FC92" s="78">
        <v>2</v>
      </c>
      <c r="FD92" s="78">
        <v>1</v>
      </c>
      <c r="FE92" s="137">
        <v>0.61538459999999995</v>
      </c>
      <c r="FG92" s="137">
        <v>0.46064139999999998</v>
      </c>
    </row>
    <row r="93" spans="1:163" x14ac:dyDescent="0.35">
      <c r="A93" s="143" t="s">
        <v>739</v>
      </c>
      <c r="B93" s="143" t="s">
        <v>720</v>
      </c>
      <c r="C93" s="143" t="s">
        <v>842</v>
      </c>
      <c r="D93" s="143">
        <v>1104</v>
      </c>
      <c r="E93" s="78">
        <v>0.5</v>
      </c>
      <c r="F93" s="78">
        <v>2.5</v>
      </c>
      <c r="G93" s="78">
        <v>1</v>
      </c>
      <c r="H93" s="78">
        <v>0</v>
      </c>
      <c r="I93" s="78">
        <v>1</v>
      </c>
      <c r="J93" s="78">
        <v>1</v>
      </c>
      <c r="K93" s="78">
        <v>1</v>
      </c>
      <c r="L93" s="78">
        <v>1</v>
      </c>
      <c r="M93" s="78">
        <v>2</v>
      </c>
      <c r="N93" s="137">
        <v>0.71428570000000002</v>
      </c>
      <c r="P93" s="143" t="s">
        <v>739</v>
      </c>
      <c r="Q93" s="143" t="s">
        <v>720</v>
      </c>
      <c r="R93" s="143" t="s">
        <v>842</v>
      </c>
      <c r="S93" s="143">
        <v>1104</v>
      </c>
      <c r="T93" s="78">
        <v>1</v>
      </c>
      <c r="U93" s="78">
        <v>1</v>
      </c>
      <c r="V93" s="78">
        <v>2</v>
      </c>
      <c r="W93" s="78">
        <v>0</v>
      </c>
      <c r="X93" s="78">
        <v>0</v>
      </c>
      <c r="Y93" s="78">
        <v>1</v>
      </c>
      <c r="Z93" s="78">
        <v>3</v>
      </c>
      <c r="AA93" s="78">
        <v>2</v>
      </c>
      <c r="AB93" s="78">
        <v>6</v>
      </c>
      <c r="AC93" s="78">
        <v>3</v>
      </c>
      <c r="AD93" s="137">
        <v>0.55882350000000003</v>
      </c>
      <c r="AF93" s="143" t="s">
        <v>739</v>
      </c>
      <c r="AG93" s="143" t="s">
        <v>720</v>
      </c>
      <c r="AH93" s="143" t="s">
        <v>842</v>
      </c>
      <c r="AI93" s="143">
        <v>1104</v>
      </c>
      <c r="AJ93" s="78">
        <v>1</v>
      </c>
      <c r="AK93" s="78">
        <v>0</v>
      </c>
      <c r="AL93" s="78">
        <v>1</v>
      </c>
      <c r="AM93" s="78">
        <v>0</v>
      </c>
      <c r="AN93" s="78">
        <v>1</v>
      </c>
      <c r="AO93" s="78">
        <v>2</v>
      </c>
      <c r="AP93" s="78">
        <v>2</v>
      </c>
      <c r="AQ93" s="78">
        <v>1</v>
      </c>
      <c r="AR93" s="78">
        <v>2</v>
      </c>
      <c r="AS93" s="78">
        <v>2</v>
      </c>
      <c r="AT93" s="78">
        <v>2</v>
      </c>
      <c r="AU93" s="78">
        <v>0</v>
      </c>
      <c r="AV93" s="78">
        <v>2</v>
      </c>
      <c r="AW93" s="78">
        <v>0</v>
      </c>
      <c r="AX93" s="78">
        <v>0</v>
      </c>
      <c r="AY93" s="78">
        <v>1</v>
      </c>
      <c r="AZ93" s="78">
        <v>2</v>
      </c>
      <c r="BA93" s="78">
        <v>0.5</v>
      </c>
      <c r="BB93" s="78">
        <v>0.5</v>
      </c>
      <c r="BC93" s="78">
        <v>0.5</v>
      </c>
      <c r="BD93" s="78">
        <v>1</v>
      </c>
      <c r="BE93" s="78">
        <v>0.5</v>
      </c>
      <c r="BF93" s="78">
        <v>0</v>
      </c>
      <c r="BG93" s="78">
        <v>6</v>
      </c>
      <c r="BH93" s="137">
        <v>0.63636360000000003</v>
      </c>
      <c r="BJ93" s="143" t="s">
        <v>739</v>
      </c>
      <c r="BK93" s="143" t="s">
        <v>720</v>
      </c>
      <c r="BL93" s="143" t="s">
        <v>842</v>
      </c>
      <c r="BM93" s="143">
        <v>1104</v>
      </c>
      <c r="BN93" s="78">
        <v>0</v>
      </c>
      <c r="BO93" s="78">
        <v>4</v>
      </c>
      <c r="BP93" s="78">
        <v>7</v>
      </c>
      <c r="BQ93" s="78">
        <v>0</v>
      </c>
      <c r="BR93" s="78">
        <v>0</v>
      </c>
      <c r="BS93" s="78">
        <v>0</v>
      </c>
      <c r="BT93" s="78">
        <v>0</v>
      </c>
      <c r="BU93" s="137">
        <v>0.47826089999999999</v>
      </c>
      <c r="BW93" s="143" t="s">
        <v>739</v>
      </c>
      <c r="BX93" s="143" t="s">
        <v>720</v>
      </c>
      <c r="BY93" s="143" t="s">
        <v>842</v>
      </c>
      <c r="BZ93" s="143">
        <v>1104</v>
      </c>
      <c r="CM93" s="143" t="s">
        <v>739</v>
      </c>
      <c r="CN93" s="143" t="s">
        <v>720</v>
      </c>
      <c r="CO93" s="143" t="s">
        <v>842</v>
      </c>
      <c r="CP93" s="143">
        <v>1104</v>
      </c>
      <c r="CQ93" s="78">
        <v>6</v>
      </c>
      <c r="CR93" s="78">
        <v>0</v>
      </c>
      <c r="CS93" s="78">
        <v>0</v>
      </c>
      <c r="CT93" s="78">
        <v>4</v>
      </c>
      <c r="CU93" s="78">
        <v>0</v>
      </c>
      <c r="CV93" s="78">
        <v>8</v>
      </c>
      <c r="CW93" s="137">
        <v>0.34615390000000001</v>
      </c>
      <c r="CY93" s="143" t="s">
        <v>739</v>
      </c>
      <c r="CZ93" s="143" t="s">
        <v>720</v>
      </c>
      <c r="DA93" s="143" t="s">
        <v>842</v>
      </c>
      <c r="DB93" s="143">
        <v>1104</v>
      </c>
      <c r="DC93" s="78">
        <v>46</v>
      </c>
      <c r="DD93" s="137">
        <v>0</v>
      </c>
      <c r="DE93" s="137">
        <v>0</v>
      </c>
      <c r="DG93" s="143" t="s">
        <v>739</v>
      </c>
      <c r="DH93" s="143" t="s">
        <v>720</v>
      </c>
      <c r="DI93" s="143" t="s">
        <v>842</v>
      </c>
      <c r="DJ93" s="143">
        <v>1104</v>
      </c>
      <c r="DK93" s="78">
        <v>2</v>
      </c>
      <c r="DL93" s="78">
        <v>1</v>
      </c>
      <c r="DM93" s="78">
        <v>1</v>
      </c>
      <c r="DN93" s="78">
        <v>5</v>
      </c>
      <c r="DO93" s="78">
        <v>2</v>
      </c>
      <c r="DP93" s="78">
        <v>3</v>
      </c>
      <c r="DQ93" s="78">
        <v>8</v>
      </c>
      <c r="DR93" s="78">
        <v>1</v>
      </c>
      <c r="DS93" s="78">
        <v>1</v>
      </c>
      <c r="DT93" s="78">
        <v>0</v>
      </c>
      <c r="DU93" s="78">
        <v>0</v>
      </c>
      <c r="DV93" s="137">
        <v>0.82758620000000005</v>
      </c>
      <c r="DX93" s="143" t="s">
        <v>739</v>
      </c>
      <c r="DY93" s="143" t="s">
        <v>720</v>
      </c>
      <c r="DZ93" s="143" t="s">
        <v>842</v>
      </c>
      <c r="EA93" s="143">
        <v>1104</v>
      </c>
      <c r="EB93" s="78">
        <v>1</v>
      </c>
      <c r="EC93" s="78">
        <v>8</v>
      </c>
      <c r="ED93" s="78">
        <v>1</v>
      </c>
      <c r="EE93" s="78">
        <v>4</v>
      </c>
      <c r="EF93" s="78">
        <v>3</v>
      </c>
      <c r="EG93" s="78">
        <v>1</v>
      </c>
      <c r="EH93" s="78">
        <v>0</v>
      </c>
      <c r="EI93" s="78">
        <v>1</v>
      </c>
      <c r="EJ93" s="78">
        <v>1</v>
      </c>
      <c r="EK93" s="78">
        <v>1</v>
      </c>
      <c r="EL93" s="78">
        <v>1</v>
      </c>
      <c r="EM93" s="78">
        <v>1</v>
      </c>
      <c r="EN93" s="78">
        <v>1</v>
      </c>
      <c r="EO93" s="78">
        <v>1</v>
      </c>
      <c r="EP93" s="78">
        <v>1</v>
      </c>
      <c r="EQ93" s="137">
        <v>0.96296300000000001</v>
      </c>
      <c r="ES93" s="143" t="s">
        <v>739</v>
      </c>
      <c r="ET93" s="143" t="s">
        <v>720</v>
      </c>
      <c r="EU93" s="143" t="s">
        <v>842</v>
      </c>
      <c r="EV93" s="143">
        <v>1104</v>
      </c>
      <c r="EW93" s="78">
        <v>0.5</v>
      </c>
      <c r="EX93" s="78">
        <v>0</v>
      </c>
      <c r="EY93" s="78">
        <v>0</v>
      </c>
      <c r="EZ93" s="78">
        <v>0</v>
      </c>
      <c r="FA93" s="78">
        <v>0.5</v>
      </c>
      <c r="FB93" s="78">
        <v>3</v>
      </c>
      <c r="FC93" s="78">
        <v>2</v>
      </c>
      <c r="FD93" s="78">
        <v>1</v>
      </c>
      <c r="FE93" s="137">
        <v>0.53846159999999998</v>
      </c>
      <c r="FG93" s="137">
        <v>0.43597560000000002</v>
      </c>
    </row>
    <row r="94" spans="1:163" x14ac:dyDescent="0.35">
      <c r="A94" s="143" t="s">
        <v>739</v>
      </c>
      <c r="B94" s="143" t="s">
        <v>720</v>
      </c>
      <c r="C94" s="143" t="s">
        <v>841</v>
      </c>
      <c r="D94" s="143">
        <v>1671</v>
      </c>
      <c r="E94" s="78">
        <v>0.5</v>
      </c>
      <c r="F94" s="78">
        <v>2.5</v>
      </c>
      <c r="G94" s="78">
        <v>1</v>
      </c>
      <c r="H94" s="78">
        <v>3</v>
      </c>
      <c r="I94" s="78">
        <v>1</v>
      </c>
      <c r="J94" s="78">
        <v>1</v>
      </c>
      <c r="K94" s="78">
        <v>1</v>
      </c>
      <c r="L94" s="78">
        <v>1</v>
      </c>
      <c r="M94" s="78">
        <v>2</v>
      </c>
      <c r="N94" s="137">
        <v>0.92857140000000005</v>
      </c>
      <c r="P94" s="143" t="s">
        <v>739</v>
      </c>
      <c r="Q94" s="143" t="s">
        <v>720</v>
      </c>
      <c r="R94" s="143" t="s">
        <v>841</v>
      </c>
      <c r="S94" s="143">
        <v>1671</v>
      </c>
      <c r="T94" s="78">
        <v>0</v>
      </c>
      <c r="U94" s="78">
        <v>1</v>
      </c>
      <c r="V94" s="78">
        <v>1</v>
      </c>
      <c r="W94" s="78">
        <v>0</v>
      </c>
      <c r="X94" s="78">
        <v>0</v>
      </c>
      <c r="Y94" s="78">
        <v>1</v>
      </c>
      <c r="Z94" s="78">
        <v>3</v>
      </c>
      <c r="AA94" s="78">
        <v>0</v>
      </c>
      <c r="AB94" s="78">
        <v>6</v>
      </c>
      <c r="AC94" s="78">
        <v>0</v>
      </c>
      <c r="AD94" s="137">
        <v>0.35294120000000001</v>
      </c>
      <c r="AF94" s="143" t="s">
        <v>739</v>
      </c>
      <c r="AG94" s="143" t="s">
        <v>720</v>
      </c>
      <c r="AH94" s="143" t="s">
        <v>841</v>
      </c>
      <c r="AI94" s="143">
        <v>1671</v>
      </c>
      <c r="AJ94" s="78">
        <v>0</v>
      </c>
      <c r="AK94" s="78">
        <v>1</v>
      </c>
      <c r="AL94" s="78">
        <v>1</v>
      </c>
      <c r="AM94" s="78">
        <v>0</v>
      </c>
      <c r="AN94" s="78">
        <v>1</v>
      </c>
      <c r="AO94" s="78">
        <v>2</v>
      </c>
      <c r="AP94" s="78">
        <v>2</v>
      </c>
      <c r="AQ94" s="78">
        <v>1</v>
      </c>
      <c r="AR94" s="78">
        <v>2</v>
      </c>
      <c r="AS94" s="78">
        <v>2</v>
      </c>
      <c r="AT94" s="78">
        <v>2</v>
      </c>
      <c r="AU94" s="78">
        <v>1</v>
      </c>
      <c r="AV94" s="78">
        <v>2</v>
      </c>
      <c r="AW94" s="78">
        <v>1</v>
      </c>
      <c r="AX94" s="78">
        <v>4</v>
      </c>
      <c r="AY94" s="78">
        <v>1</v>
      </c>
      <c r="AZ94" s="78">
        <v>2</v>
      </c>
      <c r="BA94" s="78">
        <v>0.5</v>
      </c>
      <c r="BB94" s="78">
        <v>0.5</v>
      </c>
      <c r="BC94" s="78">
        <v>0.5</v>
      </c>
      <c r="BD94" s="78">
        <v>1</v>
      </c>
      <c r="BE94" s="78">
        <v>0.5</v>
      </c>
      <c r="BF94" s="78">
        <v>1</v>
      </c>
      <c r="BG94" s="78">
        <v>2</v>
      </c>
      <c r="BH94" s="137">
        <v>0.70454539999999999</v>
      </c>
      <c r="BJ94" s="143" t="s">
        <v>739</v>
      </c>
      <c r="BK94" s="143" t="s">
        <v>720</v>
      </c>
      <c r="BL94" s="143" t="s">
        <v>841</v>
      </c>
      <c r="BM94" s="143">
        <v>1671</v>
      </c>
      <c r="BN94" s="78">
        <v>1</v>
      </c>
      <c r="BO94" s="78">
        <v>4</v>
      </c>
      <c r="BP94" s="78">
        <v>7</v>
      </c>
      <c r="BQ94" s="78">
        <v>3</v>
      </c>
      <c r="BR94" s="78">
        <v>3</v>
      </c>
      <c r="BS94" s="78">
        <v>0</v>
      </c>
      <c r="BT94" s="78">
        <v>2</v>
      </c>
      <c r="BU94" s="137">
        <v>0.86956520000000004</v>
      </c>
      <c r="BW94" s="143" t="s">
        <v>739</v>
      </c>
      <c r="BX94" s="143" t="s">
        <v>720</v>
      </c>
      <c r="BY94" s="143" t="s">
        <v>841</v>
      </c>
      <c r="BZ94" s="143">
        <v>1671</v>
      </c>
      <c r="CA94" s="78">
        <v>1</v>
      </c>
      <c r="CB94" s="78">
        <v>1</v>
      </c>
      <c r="CC94" s="78">
        <v>1</v>
      </c>
      <c r="CD94" s="78">
        <v>2</v>
      </c>
      <c r="CE94" s="78">
        <v>1</v>
      </c>
      <c r="CF94" s="78">
        <v>2</v>
      </c>
      <c r="CG94" s="78">
        <v>1</v>
      </c>
      <c r="CH94" s="78">
        <v>2</v>
      </c>
      <c r="CI94" s="78">
        <v>1</v>
      </c>
      <c r="CJ94" s="78">
        <v>0</v>
      </c>
      <c r="CK94" s="137">
        <v>0.8</v>
      </c>
      <c r="CM94" s="143" t="s">
        <v>739</v>
      </c>
      <c r="CN94" s="143" t="s">
        <v>720</v>
      </c>
      <c r="CO94" s="143" t="s">
        <v>841</v>
      </c>
      <c r="CP94" s="143">
        <v>1671</v>
      </c>
      <c r="CQ94" s="78">
        <v>8</v>
      </c>
      <c r="CR94" s="78">
        <v>6</v>
      </c>
      <c r="CS94" s="78">
        <v>20</v>
      </c>
      <c r="CT94" s="78">
        <v>4</v>
      </c>
      <c r="CU94" s="78">
        <v>2</v>
      </c>
      <c r="CV94" s="78">
        <v>8</v>
      </c>
      <c r="CW94" s="137">
        <v>0.92307689999999998</v>
      </c>
      <c r="CY94" s="143" t="s">
        <v>739</v>
      </c>
      <c r="CZ94" s="143" t="s">
        <v>720</v>
      </c>
      <c r="DA94" s="143" t="s">
        <v>841</v>
      </c>
      <c r="DB94" s="143">
        <v>1671</v>
      </c>
      <c r="DC94" s="78">
        <v>60</v>
      </c>
      <c r="DD94" s="137">
        <v>0</v>
      </c>
      <c r="DE94" s="137">
        <v>0</v>
      </c>
      <c r="DG94" s="143" t="s">
        <v>739</v>
      </c>
      <c r="DH94" s="143" t="s">
        <v>720</v>
      </c>
      <c r="DI94" s="143" t="s">
        <v>841</v>
      </c>
      <c r="DJ94" s="143">
        <v>1671</v>
      </c>
      <c r="DK94" s="78">
        <v>2</v>
      </c>
      <c r="DL94" s="78">
        <v>1</v>
      </c>
      <c r="DM94" s="78">
        <v>0</v>
      </c>
      <c r="DN94" s="78">
        <v>6</v>
      </c>
      <c r="DO94" s="78">
        <v>2</v>
      </c>
      <c r="DP94" s="78">
        <v>3</v>
      </c>
      <c r="DQ94" s="78">
        <v>8</v>
      </c>
      <c r="DR94" s="78">
        <v>0</v>
      </c>
      <c r="DS94" s="78">
        <v>0</v>
      </c>
      <c r="DT94" s="78">
        <v>2</v>
      </c>
      <c r="DU94" s="78">
        <v>1</v>
      </c>
      <c r="DV94" s="137">
        <v>0.86206899999999997</v>
      </c>
      <c r="DX94" s="143" t="s">
        <v>739</v>
      </c>
      <c r="DY94" s="143" t="s">
        <v>720</v>
      </c>
      <c r="DZ94" s="143" t="s">
        <v>841</v>
      </c>
      <c r="EA94" s="143">
        <v>1671</v>
      </c>
      <c r="EB94" s="78">
        <v>1</v>
      </c>
      <c r="EC94" s="78">
        <v>8</v>
      </c>
      <c r="ED94" s="78">
        <v>1</v>
      </c>
      <c r="EE94" s="78">
        <v>4</v>
      </c>
      <c r="EF94" s="78">
        <v>3</v>
      </c>
      <c r="EG94" s="78">
        <v>1</v>
      </c>
      <c r="EH94" s="78">
        <v>0</v>
      </c>
      <c r="EI94" s="78">
        <v>1</v>
      </c>
      <c r="EJ94" s="78">
        <v>1</v>
      </c>
      <c r="EK94" s="78">
        <v>1</v>
      </c>
      <c r="EL94" s="78">
        <v>1</v>
      </c>
      <c r="EM94" s="78">
        <v>0</v>
      </c>
      <c r="EN94" s="78">
        <v>0</v>
      </c>
      <c r="EO94" s="78">
        <v>0</v>
      </c>
      <c r="EP94" s="78">
        <v>0</v>
      </c>
      <c r="EQ94" s="137">
        <v>0.81481479999999995</v>
      </c>
      <c r="ES94" s="143" t="s">
        <v>739</v>
      </c>
      <c r="ET94" s="143" t="s">
        <v>720</v>
      </c>
      <c r="EU94" s="143" t="s">
        <v>841</v>
      </c>
      <c r="EV94" s="143">
        <v>1671</v>
      </c>
      <c r="EW94" s="78">
        <v>0.5</v>
      </c>
      <c r="EX94" s="78">
        <v>1</v>
      </c>
      <c r="EY94" s="78">
        <v>0</v>
      </c>
      <c r="EZ94" s="78">
        <v>0</v>
      </c>
      <c r="FA94" s="78">
        <v>0.5</v>
      </c>
      <c r="FB94" s="78">
        <v>3</v>
      </c>
      <c r="FC94" s="78">
        <v>2</v>
      </c>
      <c r="FD94" s="78">
        <v>1</v>
      </c>
      <c r="FE94" s="137">
        <v>0.61538459999999995</v>
      </c>
      <c r="FG94" s="137">
        <v>0.55685130000000005</v>
      </c>
    </row>
    <row r="95" spans="1:163" x14ac:dyDescent="0.35">
      <c r="A95" s="143" t="s">
        <v>739</v>
      </c>
      <c r="B95" s="143" t="s">
        <v>720</v>
      </c>
      <c r="C95" s="143" t="s">
        <v>842</v>
      </c>
      <c r="D95" s="143">
        <v>1714</v>
      </c>
      <c r="E95" s="78">
        <v>0.5</v>
      </c>
      <c r="F95" s="78">
        <v>2.5</v>
      </c>
      <c r="G95" s="78">
        <v>1</v>
      </c>
      <c r="H95" s="78">
        <v>1</v>
      </c>
      <c r="I95" s="78">
        <v>1</v>
      </c>
      <c r="J95" s="78">
        <v>1</v>
      </c>
      <c r="K95" s="78">
        <v>1</v>
      </c>
      <c r="L95" s="78">
        <v>1</v>
      </c>
      <c r="M95" s="78">
        <v>2</v>
      </c>
      <c r="N95" s="137">
        <v>0.78571429999999998</v>
      </c>
      <c r="P95" s="143" t="s">
        <v>739</v>
      </c>
      <c r="Q95" s="143" t="s">
        <v>720</v>
      </c>
      <c r="R95" s="143" t="s">
        <v>842</v>
      </c>
      <c r="S95" s="143">
        <v>1714</v>
      </c>
      <c r="T95" s="78">
        <v>1</v>
      </c>
      <c r="U95" s="78">
        <v>1</v>
      </c>
      <c r="V95" s="78">
        <v>0</v>
      </c>
      <c r="W95" s="78">
        <v>0</v>
      </c>
      <c r="X95" s="78">
        <v>0</v>
      </c>
      <c r="Y95" s="78">
        <v>1</v>
      </c>
      <c r="Z95" s="78">
        <v>3</v>
      </c>
      <c r="AA95" s="78">
        <v>2</v>
      </c>
      <c r="AB95" s="78">
        <v>6</v>
      </c>
      <c r="AC95" s="78">
        <v>0</v>
      </c>
      <c r="AD95" s="137">
        <v>0.41176469999999998</v>
      </c>
      <c r="AF95" s="143" t="s">
        <v>739</v>
      </c>
      <c r="AG95" s="143" t="s">
        <v>720</v>
      </c>
      <c r="AH95" s="143" t="s">
        <v>842</v>
      </c>
      <c r="AI95" s="143">
        <v>1714</v>
      </c>
      <c r="AJ95" s="78">
        <v>0</v>
      </c>
      <c r="AK95" s="78">
        <v>1</v>
      </c>
      <c r="AL95" s="78">
        <v>1</v>
      </c>
      <c r="AM95" s="78">
        <v>5</v>
      </c>
      <c r="AN95" s="78">
        <v>1</v>
      </c>
      <c r="AO95" s="78">
        <v>2</v>
      </c>
      <c r="AP95" s="78">
        <v>1</v>
      </c>
      <c r="AQ95" s="78">
        <v>1</v>
      </c>
      <c r="AR95" s="78">
        <v>2</v>
      </c>
      <c r="AS95" s="78">
        <v>2</v>
      </c>
      <c r="AT95" s="78">
        <v>2</v>
      </c>
      <c r="AU95" s="78">
        <v>1</v>
      </c>
      <c r="AV95" s="78">
        <v>2</v>
      </c>
      <c r="AW95" s="78">
        <v>1</v>
      </c>
      <c r="AX95" s="78">
        <v>0</v>
      </c>
      <c r="AY95" s="78">
        <v>1</v>
      </c>
      <c r="AZ95" s="78">
        <v>0</v>
      </c>
      <c r="BA95" s="78">
        <v>0.5</v>
      </c>
      <c r="BB95" s="78">
        <v>0.5</v>
      </c>
      <c r="BC95" s="78">
        <v>0.5</v>
      </c>
      <c r="BD95" s="78">
        <v>1</v>
      </c>
      <c r="BE95" s="78">
        <v>0.5</v>
      </c>
      <c r="BF95" s="78">
        <v>1</v>
      </c>
      <c r="BG95" s="78">
        <v>4</v>
      </c>
      <c r="BH95" s="137">
        <v>0.70454539999999999</v>
      </c>
      <c r="BJ95" s="143" t="s">
        <v>739</v>
      </c>
      <c r="BK95" s="143" t="s">
        <v>720</v>
      </c>
      <c r="BL95" s="143" t="s">
        <v>842</v>
      </c>
      <c r="BM95" s="143">
        <v>1714</v>
      </c>
      <c r="BN95" s="78">
        <v>0</v>
      </c>
      <c r="BO95" s="78">
        <v>4</v>
      </c>
      <c r="BP95" s="78">
        <v>7</v>
      </c>
      <c r="BQ95" s="78">
        <v>0</v>
      </c>
      <c r="BR95" s="78">
        <v>0</v>
      </c>
      <c r="BS95" s="78">
        <v>0</v>
      </c>
      <c r="BT95" s="78">
        <v>0</v>
      </c>
      <c r="BU95" s="137">
        <v>0.47826089999999999</v>
      </c>
      <c r="BW95" s="143" t="s">
        <v>739</v>
      </c>
      <c r="BX95" s="143" t="s">
        <v>720</v>
      </c>
      <c r="BY95" s="143" t="s">
        <v>842</v>
      </c>
      <c r="BZ95" s="143">
        <v>1714</v>
      </c>
      <c r="CM95" s="143" t="s">
        <v>739</v>
      </c>
      <c r="CN95" s="143" t="s">
        <v>720</v>
      </c>
      <c r="CO95" s="143" t="s">
        <v>842</v>
      </c>
      <c r="CP95" s="143">
        <v>1714</v>
      </c>
      <c r="CQ95" s="78">
        <v>0</v>
      </c>
      <c r="CR95" s="78">
        <v>6</v>
      </c>
      <c r="CS95" s="78">
        <v>16</v>
      </c>
      <c r="CT95" s="78">
        <v>4</v>
      </c>
      <c r="CU95" s="78">
        <v>0</v>
      </c>
      <c r="CV95" s="78">
        <v>8</v>
      </c>
      <c r="CW95" s="137">
        <v>0.65384609999999999</v>
      </c>
      <c r="CY95" s="143" t="s">
        <v>739</v>
      </c>
      <c r="CZ95" s="143" t="s">
        <v>720</v>
      </c>
      <c r="DA95" s="143" t="s">
        <v>842</v>
      </c>
      <c r="DB95" s="143">
        <v>1714</v>
      </c>
      <c r="DC95" s="78">
        <v>28</v>
      </c>
      <c r="DD95" s="137">
        <v>0</v>
      </c>
      <c r="DE95" s="137">
        <v>0</v>
      </c>
      <c r="DG95" s="143" t="s">
        <v>739</v>
      </c>
      <c r="DH95" s="143" t="s">
        <v>720</v>
      </c>
      <c r="DI95" s="143" t="s">
        <v>842</v>
      </c>
      <c r="DJ95" s="143">
        <v>1714</v>
      </c>
      <c r="DK95" s="78">
        <v>2</v>
      </c>
      <c r="DL95" s="78">
        <v>1</v>
      </c>
      <c r="DM95" s="78">
        <v>1</v>
      </c>
      <c r="DN95" s="78">
        <v>5</v>
      </c>
      <c r="DO95" s="78">
        <v>2</v>
      </c>
      <c r="DP95" s="78">
        <v>3</v>
      </c>
      <c r="DQ95" s="78">
        <v>8</v>
      </c>
      <c r="DR95" s="78">
        <v>0</v>
      </c>
      <c r="DS95" s="78">
        <v>1</v>
      </c>
      <c r="DT95" s="78">
        <v>0</v>
      </c>
      <c r="DU95" s="78">
        <v>0</v>
      </c>
      <c r="DV95" s="137">
        <v>0.79310349999999996</v>
      </c>
      <c r="DX95" s="143" t="s">
        <v>739</v>
      </c>
      <c r="DY95" s="143" t="s">
        <v>720</v>
      </c>
      <c r="DZ95" s="143" t="s">
        <v>842</v>
      </c>
      <c r="EA95" s="143">
        <v>1714</v>
      </c>
      <c r="EB95" s="78">
        <v>1</v>
      </c>
      <c r="EC95" s="78">
        <v>8</v>
      </c>
      <c r="ED95" s="78">
        <v>1</v>
      </c>
      <c r="EE95" s="78">
        <v>4</v>
      </c>
      <c r="EF95" s="78">
        <v>3</v>
      </c>
      <c r="EG95" s="78">
        <v>1</v>
      </c>
      <c r="EH95" s="78">
        <v>0</v>
      </c>
      <c r="EI95" s="78">
        <v>1</v>
      </c>
      <c r="EJ95" s="78">
        <v>1</v>
      </c>
      <c r="EK95" s="78">
        <v>1</v>
      </c>
      <c r="EL95" s="78">
        <v>1</v>
      </c>
      <c r="EM95" s="78">
        <v>1</v>
      </c>
      <c r="EN95" s="78">
        <v>1</v>
      </c>
      <c r="EO95" s="78">
        <v>0</v>
      </c>
      <c r="EP95" s="78">
        <v>0</v>
      </c>
      <c r="EQ95" s="137">
        <v>0.88888889999999998</v>
      </c>
      <c r="ES95" s="143" t="s">
        <v>739</v>
      </c>
      <c r="ET95" s="143" t="s">
        <v>720</v>
      </c>
      <c r="EU95" s="143" t="s">
        <v>842</v>
      </c>
      <c r="EV95" s="143">
        <v>1714</v>
      </c>
      <c r="EW95" s="78">
        <v>0</v>
      </c>
      <c r="EX95" s="78">
        <v>1</v>
      </c>
      <c r="EY95" s="78">
        <v>0</v>
      </c>
      <c r="EZ95" s="78">
        <v>0</v>
      </c>
      <c r="FA95" s="78">
        <v>0.5</v>
      </c>
      <c r="FB95" s="78">
        <v>3</v>
      </c>
      <c r="FC95" s="78">
        <v>2</v>
      </c>
      <c r="FD95" s="78">
        <v>1</v>
      </c>
      <c r="FE95" s="137">
        <v>0.57692310000000002</v>
      </c>
      <c r="FG95" s="137">
        <v>0.47408539999999999</v>
      </c>
    </row>
    <row r="96" spans="1:163" x14ac:dyDescent="0.35">
      <c r="A96" s="143" t="s">
        <v>739</v>
      </c>
      <c r="B96" s="143" t="s">
        <v>720</v>
      </c>
      <c r="C96" s="143" t="s">
        <v>842</v>
      </c>
      <c r="D96" s="143">
        <v>1743</v>
      </c>
      <c r="E96" s="78">
        <v>0.5</v>
      </c>
      <c r="F96" s="78">
        <v>2.5</v>
      </c>
      <c r="G96" s="78">
        <v>1</v>
      </c>
      <c r="H96" s="78">
        <v>3</v>
      </c>
      <c r="I96" s="78">
        <v>1</v>
      </c>
      <c r="J96" s="78">
        <v>1</v>
      </c>
      <c r="K96" s="78">
        <v>1</v>
      </c>
      <c r="L96" s="78">
        <v>1</v>
      </c>
      <c r="M96" s="78">
        <v>2</v>
      </c>
      <c r="N96" s="137">
        <v>0.92857140000000005</v>
      </c>
      <c r="P96" s="143" t="s">
        <v>739</v>
      </c>
      <c r="Q96" s="143" t="s">
        <v>720</v>
      </c>
      <c r="R96" s="143" t="s">
        <v>842</v>
      </c>
      <c r="S96" s="143">
        <v>1743</v>
      </c>
      <c r="T96" s="78">
        <v>0</v>
      </c>
      <c r="U96" s="78">
        <v>1</v>
      </c>
      <c r="V96" s="78">
        <v>2</v>
      </c>
      <c r="W96" s="78">
        <v>1</v>
      </c>
      <c r="X96" s="78">
        <v>0</v>
      </c>
      <c r="Y96" s="78">
        <v>1</v>
      </c>
      <c r="Z96" s="78">
        <v>3</v>
      </c>
      <c r="AA96" s="78">
        <v>2</v>
      </c>
      <c r="AB96" s="78">
        <v>6</v>
      </c>
      <c r="AC96" s="78">
        <v>0</v>
      </c>
      <c r="AD96" s="137">
        <v>0.47058820000000001</v>
      </c>
      <c r="AF96" s="143" t="s">
        <v>739</v>
      </c>
      <c r="AG96" s="143" t="s">
        <v>720</v>
      </c>
      <c r="AH96" s="143" t="s">
        <v>842</v>
      </c>
      <c r="AI96" s="143">
        <v>1743</v>
      </c>
      <c r="AJ96" s="78">
        <v>1</v>
      </c>
      <c r="AK96" s="78">
        <v>1</v>
      </c>
      <c r="AL96" s="78">
        <v>1</v>
      </c>
      <c r="AM96" s="78">
        <v>5</v>
      </c>
      <c r="AN96" s="78">
        <v>1</v>
      </c>
      <c r="AO96" s="78">
        <v>2</v>
      </c>
      <c r="AP96" s="78">
        <v>2</v>
      </c>
      <c r="AQ96" s="78">
        <v>1</v>
      </c>
      <c r="AR96" s="78">
        <v>2</v>
      </c>
      <c r="AS96" s="78">
        <v>2</v>
      </c>
      <c r="AT96" s="78">
        <v>2</v>
      </c>
      <c r="AU96" s="78">
        <v>1</v>
      </c>
      <c r="AV96" s="78">
        <v>2</v>
      </c>
      <c r="AW96" s="78">
        <v>1</v>
      </c>
      <c r="AX96" s="78">
        <v>4</v>
      </c>
      <c r="AY96" s="78">
        <v>1</v>
      </c>
      <c r="AZ96" s="78">
        <v>2</v>
      </c>
      <c r="BA96" s="78">
        <v>0.5</v>
      </c>
      <c r="BB96" s="78">
        <v>0.5</v>
      </c>
      <c r="BC96" s="78">
        <v>0.5</v>
      </c>
      <c r="BD96" s="78">
        <v>1</v>
      </c>
      <c r="BE96" s="78">
        <v>0.5</v>
      </c>
      <c r="BF96" s="78">
        <v>1</v>
      </c>
      <c r="BG96" s="78">
        <v>8</v>
      </c>
      <c r="BH96" s="137">
        <v>0.97727269999999999</v>
      </c>
      <c r="BJ96" s="143" t="s">
        <v>739</v>
      </c>
      <c r="BK96" s="143" t="s">
        <v>720</v>
      </c>
      <c r="BL96" s="143" t="s">
        <v>842</v>
      </c>
      <c r="BM96" s="143">
        <v>1743</v>
      </c>
      <c r="BN96" s="78">
        <v>0</v>
      </c>
      <c r="BO96" s="78">
        <v>4</v>
      </c>
      <c r="BP96" s="78">
        <v>7</v>
      </c>
      <c r="BQ96" s="78">
        <v>3</v>
      </c>
      <c r="BR96" s="78">
        <v>0</v>
      </c>
      <c r="BS96" s="78">
        <v>0</v>
      </c>
      <c r="BT96" s="78">
        <v>2</v>
      </c>
      <c r="BU96" s="137">
        <v>0.69565220000000005</v>
      </c>
      <c r="BW96" s="143" t="s">
        <v>739</v>
      </c>
      <c r="BX96" s="143" t="s">
        <v>720</v>
      </c>
      <c r="BY96" s="143" t="s">
        <v>842</v>
      </c>
      <c r="BZ96" s="143">
        <v>1743</v>
      </c>
      <c r="CM96" s="143" t="s">
        <v>739</v>
      </c>
      <c r="CN96" s="143" t="s">
        <v>720</v>
      </c>
      <c r="CO96" s="143" t="s">
        <v>842</v>
      </c>
      <c r="CP96" s="143">
        <v>1743</v>
      </c>
      <c r="CQ96" s="78">
        <v>6</v>
      </c>
      <c r="CR96" s="78">
        <v>6</v>
      </c>
      <c r="CS96" s="78">
        <v>20</v>
      </c>
      <c r="CT96" s="78">
        <v>4</v>
      </c>
      <c r="CU96" s="78">
        <v>0</v>
      </c>
      <c r="CV96" s="78">
        <v>8</v>
      </c>
      <c r="CW96" s="137">
        <v>0.84615390000000001</v>
      </c>
      <c r="CY96" s="143" t="s">
        <v>739</v>
      </c>
      <c r="CZ96" s="143" t="s">
        <v>720</v>
      </c>
      <c r="DA96" s="143" t="s">
        <v>842</v>
      </c>
      <c r="DB96" s="143">
        <v>1743</v>
      </c>
      <c r="DC96" s="78">
        <v>56</v>
      </c>
      <c r="DD96" s="137">
        <v>0</v>
      </c>
      <c r="DE96" s="137">
        <v>0</v>
      </c>
      <c r="DG96" s="143" t="s">
        <v>739</v>
      </c>
      <c r="DH96" s="143" t="s">
        <v>720</v>
      </c>
      <c r="DI96" s="143" t="s">
        <v>842</v>
      </c>
      <c r="DJ96" s="143">
        <v>1743</v>
      </c>
      <c r="DK96" s="78">
        <v>2</v>
      </c>
      <c r="DL96" s="78">
        <v>1</v>
      </c>
      <c r="DM96" s="78">
        <v>1</v>
      </c>
      <c r="DN96" s="78">
        <v>3</v>
      </c>
      <c r="DO96" s="78">
        <v>2</v>
      </c>
      <c r="DP96" s="78">
        <v>3</v>
      </c>
      <c r="DQ96" s="78">
        <v>8</v>
      </c>
      <c r="DR96" s="78">
        <v>1</v>
      </c>
      <c r="DS96" s="78">
        <v>1</v>
      </c>
      <c r="DT96" s="78">
        <v>2</v>
      </c>
      <c r="DU96" s="78">
        <v>0</v>
      </c>
      <c r="DV96" s="137">
        <v>0.82758620000000005</v>
      </c>
      <c r="DX96" s="143" t="s">
        <v>739</v>
      </c>
      <c r="DY96" s="143" t="s">
        <v>720</v>
      </c>
      <c r="DZ96" s="143" t="s">
        <v>842</v>
      </c>
      <c r="EA96" s="143">
        <v>1743</v>
      </c>
      <c r="EB96" s="78">
        <v>1</v>
      </c>
      <c r="EC96" s="78">
        <v>8</v>
      </c>
      <c r="ED96" s="78">
        <v>1</v>
      </c>
      <c r="EE96" s="78">
        <v>4</v>
      </c>
      <c r="EF96" s="78">
        <v>3</v>
      </c>
      <c r="EG96" s="78">
        <v>1</v>
      </c>
      <c r="EH96" s="78">
        <v>0</v>
      </c>
      <c r="EI96" s="78">
        <v>1</v>
      </c>
      <c r="EJ96" s="78">
        <v>1</v>
      </c>
      <c r="EK96" s="78">
        <v>1</v>
      </c>
      <c r="EL96" s="78">
        <v>1</v>
      </c>
      <c r="EM96" s="78">
        <v>1</v>
      </c>
      <c r="EN96" s="78">
        <v>1</v>
      </c>
      <c r="EO96" s="78">
        <v>1</v>
      </c>
      <c r="EP96" s="78">
        <v>0</v>
      </c>
      <c r="EQ96" s="137">
        <v>0.92592589999999997</v>
      </c>
      <c r="ES96" s="143" t="s">
        <v>739</v>
      </c>
      <c r="ET96" s="143" t="s">
        <v>720</v>
      </c>
      <c r="EU96" s="143" t="s">
        <v>842</v>
      </c>
      <c r="EV96" s="143">
        <v>1743</v>
      </c>
      <c r="EW96" s="78">
        <v>0</v>
      </c>
      <c r="EX96" s="78">
        <v>1</v>
      </c>
      <c r="EY96" s="78">
        <v>0</v>
      </c>
      <c r="EZ96" s="78">
        <v>0</v>
      </c>
      <c r="FA96" s="78">
        <v>0.5</v>
      </c>
      <c r="FB96" s="78">
        <v>0</v>
      </c>
      <c r="FC96" s="78">
        <v>2</v>
      </c>
      <c r="FD96" s="78">
        <v>1</v>
      </c>
      <c r="FE96" s="137">
        <v>0.34615390000000001</v>
      </c>
      <c r="FG96" s="137">
        <v>0.56554879999999996</v>
      </c>
    </row>
    <row r="97" spans="1:163" x14ac:dyDescent="0.35">
      <c r="A97" s="143" t="s">
        <v>739</v>
      </c>
      <c r="B97" s="143" t="s">
        <v>720</v>
      </c>
      <c r="C97" s="143" t="s">
        <v>841</v>
      </c>
      <c r="D97" s="143">
        <v>2150</v>
      </c>
      <c r="E97" s="78">
        <v>0</v>
      </c>
      <c r="F97" s="78">
        <v>2.5</v>
      </c>
      <c r="G97" s="78">
        <v>1</v>
      </c>
      <c r="H97" s="78">
        <v>0</v>
      </c>
      <c r="I97" s="78">
        <v>1</v>
      </c>
      <c r="J97" s="78">
        <v>1</v>
      </c>
      <c r="K97" s="78">
        <v>1</v>
      </c>
      <c r="L97" s="78">
        <v>1</v>
      </c>
      <c r="M97" s="78">
        <v>2</v>
      </c>
      <c r="N97" s="137">
        <v>0.67857140000000005</v>
      </c>
      <c r="P97" s="143" t="s">
        <v>739</v>
      </c>
      <c r="Q97" s="143" t="s">
        <v>720</v>
      </c>
      <c r="R97" s="143" t="s">
        <v>841</v>
      </c>
      <c r="S97" s="143">
        <v>2150</v>
      </c>
      <c r="T97" s="78">
        <v>0</v>
      </c>
      <c r="U97" s="78">
        <v>1</v>
      </c>
      <c r="V97" s="78">
        <v>2.5</v>
      </c>
      <c r="W97" s="78">
        <v>2</v>
      </c>
      <c r="X97" s="78">
        <v>0</v>
      </c>
      <c r="Y97" s="78">
        <v>1</v>
      </c>
      <c r="Z97" s="78">
        <v>3</v>
      </c>
      <c r="AA97" s="78">
        <v>0</v>
      </c>
      <c r="AB97" s="78">
        <v>6</v>
      </c>
      <c r="AC97" s="78">
        <v>3</v>
      </c>
      <c r="AD97" s="137">
        <v>0.54411759999999998</v>
      </c>
      <c r="AF97" s="143" t="s">
        <v>739</v>
      </c>
      <c r="AG97" s="143" t="s">
        <v>720</v>
      </c>
      <c r="AH97" s="143" t="s">
        <v>841</v>
      </c>
      <c r="AI97" s="143">
        <v>2150</v>
      </c>
      <c r="AJ97" s="78">
        <v>1</v>
      </c>
      <c r="AK97" s="78">
        <v>0</v>
      </c>
      <c r="AL97" s="78">
        <v>1</v>
      </c>
      <c r="AM97" s="78">
        <v>0</v>
      </c>
      <c r="AN97" s="78">
        <v>1</v>
      </c>
      <c r="AO97" s="78">
        <v>2</v>
      </c>
      <c r="AP97" s="78">
        <v>2</v>
      </c>
      <c r="AQ97" s="78">
        <v>1</v>
      </c>
      <c r="AR97" s="78">
        <v>2</v>
      </c>
      <c r="AS97" s="78">
        <v>2</v>
      </c>
      <c r="AT97" s="78">
        <v>2</v>
      </c>
      <c r="AU97" s="78">
        <v>0</v>
      </c>
      <c r="AV97" s="78">
        <v>0</v>
      </c>
      <c r="AW97" s="78">
        <v>0</v>
      </c>
      <c r="AX97" s="78">
        <v>0</v>
      </c>
      <c r="AY97" s="78">
        <v>1</v>
      </c>
      <c r="AZ97" s="78">
        <v>2</v>
      </c>
      <c r="BA97" s="78">
        <v>0.5</v>
      </c>
      <c r="BB97" s="78">
        <v>0.5</v>
      </c>
      <c r="BC97" s="78">
        <v>0.5</v>
      </c>
      <c r="BD97" s="78">
        <v>1</v>
      </c>
      <c r="BE97" s="78">
        <v>0.5</v>
      </c>
      <c r="BF97" s="78">
        <v>0</v>
      </c>
      <c r="BG97" s="78">
        <v>8</v>
      </c>
      <c r="BH97" s="137">
        <v>0.63636360000000003</v>
      </c>
      <c r="BJ97" s="143" t="s">
        <v>739</v>
      </c>
      <c r="BK97" s="143" t="s">
        <v>720</v>
      </c>
      <c r="BL97" s="143" t="s">
        <v>841</v>
      </c>
      <c r="BM97" s="143">
        <v>2150</v>
      </c>
      <c r="BN97" s="78">
        <v>0</v>
      </c>
      <c r="BO97" s="78">
        <v>0</v>
      </c>
      <c r="BP97" s="78">
        <v>7</v>
      </c>
      <c r="BQ97" s="78">
        <v>0</v>
      </c>
      <c r="BR97" s="78">
        <v>0</v>
      </c>
      <c r="BS97" s="78">
        <v>0</v>
      </c>
      <c r="BT97" s="78">
        <v>2</v>
      </c>
      <c r="BU97" s="137">
        <v>0.39130429999999999</v>
      </c>
      <c r="BW97" s="143" t="s">
        <v>739</v>
      </c>
      <c r="BX97" s="143" t="s">
        <v>720</v>
      </c>
      <c r="BY97" s="143" t="s">
        <v>841</v>
      </c>
      <c r="BZ97" s="143">
        <v>2150</v>
      </c>
      <c r="CA97" s="78">
        <v>1</v>
      </c>
      <c r="CB97" s="78">
        <v>1</v>
      </c>
      <c r="CC97" s="78">
        <v>1</v>
      </c>
      <c r="CD97" s="78">
        <v>0</v>
      </c>
      <c r="CE97" s="78">
        <v>1</v>
      </c>
      <c r="CF97" s="78">
        <v>2</v>
      </c>
      <c r="CG97" s="78">
        <v>1</v>
      </c>
      <c r="CH97" s="78">
        <v>2</v>
      </c>
      <c r="CI97" s="78">
        <v>1</v>
      </c>
      <c r="CJ97" s="78">
        <v>0</v>
      </c>
      <c r="CK97" s="137">
        <v>0.66666669999999995</v>
      </c>
      <c r="CM97" s="143" t="s">
        <v>739</v>
      </c>
      <c r="CN97" s="143" t="s">
        <v>720</v>
      </c>
      <c r="CO97" s="143" t="s">
        <v>841</v>
      </c>
      <c r="CP97" s="143">
        <v>2150</v>
      </c>
      <c r="CQ97" s="78">
        <v>0</v>
      </c>
      <c r="CR97" s="78">
        <v>0</v>
      </c>
      <c r="CS97" s="78">
        <v>0</v>
      </c>
      <c r="CT97" s="78">
        <v>0</v>
      </c>
      <c r="CU97" s="78">
        <v>0</v>
      </c>
      <c r="CV97" s="78">
        <v>8</v>
      </c>
      <c r="CW97" s="137">
        <v>0.15384619999999999</v>
      </c>
      <c r="CY97" s="143" t="s">
        <v>739</v>
      </c>
      <c r="CZ97" s="143" t="s">
        <v>720</v>
      </c>
      <c r="DA97" s="143" t="s">
        <v>841</v>
      </c>
      <c r="DB97" s="143">
        <v>2150</v>
      </c>
      <c r="DC97" s="78">
        <v>0</v>
      </c>
      <c r="DD97" s="137">
        <v>0</v>
      </c>
      <c r="DE97" s="137">
        <v>0</v>
      </c>
      <c r="DG97" s="143" t="s">
        <v>739</v>
      </c>
      <c r="DH97" s="143" t="s">
        <v>720</v>
      </c>
      <c r="DI97" s="143" t="s">
        <v>841</v>
      </c>
      <c r="DJ97" s="143">
        <v>2150</v>
      </c>
      <c r="DK97" s="78">
        <v>0</v>
      </c>
      <c r="DL97" s="78">
        <v>1</v>
      </c>
      <c r="DM97" s="78">
        <v>1</v>
      </c>
      <c r="DN97" s="78">
        <v>5</v>
      </c>
      <c r="DO97" s="78">
        <v>2</v>
      </c>
      <c r="DP97" s="78">
        <v>3</v>
      </c>
      <c r="DQ97" s="78">
        <v>8</v>
      </c>
      <c r="DR97" s="78">
        <v>1</v>
      </c>
      <c r="DS97" s="78">
        <v>1</v>
      </c>
      <c r="DT97" s="78">
        <v>0</v>
      </c>
      <c r="DU97" s="78">
        <v>1</v>
      </c>
      <c r="DV97" s="137">
        <v>0.79310349999999996</v>
      </c>
      <c r="DX97" s="143" t="s">
        <v>739</v>
      </c>
      <c r="DY97" s="143" t="s">
        <v>720</v>
      </c>
      <c r="DZ97" s="143" t="s">
        <v>841</v>
      </c>
      <c r="EA97" s="143">
        <v>2150</v>
      </c>
      <c r="EB97" s="78">
        <v>1</v>
      </c>
      <c r="EC97" s="78">
        <v>8</v>
      </c>
      <c r="ED97" s="78">
        <v>1</v>
      </c>
      <c r="EE97" s="78">
        <v>4</v>
      </c>
      <c r="EF97" s="78">
        <v>3</v>
      </c>
      <c r="EG97" s="78">
        <v>1</v>
      </c>
      <c r="EH97" s="78">
        <v>0</v>
      </c>
      <c r="EI97" s="78">
        <v>1</v>
      </c>
      <c r="EJ97" s="78">
        <v>1</v>
      </c>
      <c r="EK97" s="78">
        <v>1</v>
      </c>
      <c r="EL97" s="78">
        <v>1</v>
      </c>
      <c r="EM97" s="78">
        <v>1</v>
      </c>
      <c r="EN97" s="78">
        <v>1</v>
      </c>
      <c r="EO97" s="78">
        <v>1</v>
      </c>
      <c r="EP97" s="78">
        <v>1</v>
      </c>
      <c r="EQ97" s="137">
        <v>0.96296300000000001</v>
      </c>
      <c r="ES97" s="143" t="s">
        <v>739</v>
      </c>
      <c r="ET97" s="143" t="s">
        <v>720</v>
      </c>
      <c r="EU97" s="143" t="s">
        <v>841</v>
      </c>
      <c r="EV97" s="143">
        <v>2150</v>
      </c>
      <c r="EW97" s="78">
        <v>0</v>
      </c>
      <c r="EX97" s="78">
        <v>1</v>
      </c>
      <c r="EY97" s="78">
        <v>0</v>
      </c>
      <c r="EZ97" s="78">
        <v>0</v>
      </c>
      <c r="FA97" s="78">
        <v>0.5</v>
      </c>
      <c r="FB97" s="78">
        <v>3</v>
      </c>
      <c r="FC97" s="78">
        <v>2</v>
      </c>
      <c r="FD97" s="78">
        <v>1</v>
      </c>
      <c r="FE97" s="137">
        <v>0.57692310000000002</v>
      </c>
      <c r="FG97" s="137">
        <v>0.4067055</v>
      </c>
    </row>
    <row r="98" spans="1:163" x14ac:dyDescent="0.35">
      <c r="A98" s="143" t="s">
        <v>739</v>
      </c>
      <c r="B98" s="143" t="s">
        <v>720</v>
      </c>
      <c r="C98" s="143" t="s">
        <v>842</v>
      </c>
      <c r="D98" s="143">
        <v>2153</v>
      </c>
      <c r="E98" s="78">
        <v>0.5</v>
      </c>
      <c r="F98" s="78">
        <v>2.5</v>
      </c>
      <c r="G98" s="78">
        <v>1</v>
      </c>
      <c r="H98" s="78">
        <v>1</v>
      </c>
      <c r="I98" s="78">
        <v>1</v>
      </c>
      <c r="J98" s="78">
        <v>1</v>
      </c>
      <c r="K98" s="78">
        <v>1</v>
      </c>
      <c r="L98" s="78">
        <v>1</v>
      </c>
      <c r="M98" s="78">
        <v>2</v>
      </c>
      <c r="N98" s="137">
        <v>0.78571429999999998</v>
      </c>
      <c r="P98" s="143" t="s">
        <v>739</v>
      </c>
      <c r="Q98" s="143" t="s">
        <v>720</v>
      </c>
      <c r="R98" s="143" t="s">
        <v>842</v>
      </c>
      <c r="S98" s="143">
        <v>2153</v>
      </c>
      <c r="T98" s="78">
        <v>1</v>
      </c>
      <c r="U98" s="78">
        <v>1</v>
      </c>
      <c r="V98" s="78">
        <v>1</v>
      </c>
      <c r="W98" s="78">
        <v>1.5</v>
      </c>
      <c r="X98" s="78">
        <v>0</v>
      </c>
      <c r="Y98" s="78">
        <v>1</v>
      </c>
      <c r="Z98" s="78">
        <v>3</v>
      </c>
      <c r="AA98" s="78">
        <v>2</v>
      </c>
      <c r="AB98" s="78">
        <v>0</v>
      </c>
      <c r="AC98" s="78">
        <v>3</v>
      </c>
      <c r="AD98" s="137">
        <v>0.39705879999999999</v>
      </c>
      <c r="AF98" s="143" t="s">
        <v>739</v>
      </c>
      <c r="AG98" s="143" t="s">
        <v>720</v>
      </c>
      <c r="AH98" s="143" t="s">
        <v>842</v>
      </c>
      <c r="AI98" s="143">
        <v>2153</v>
      </c>
      <c r="AJ98" s="78">
        <v>1</v>
      </c>
      <c r="AK98" s="78">
        <v>1</v>
      </c>
      <c r="AL98" s="78">
        <v>1</v>
      </c>
      <c r="AM98" s="78">
        <v>6</v>
      </c>
      <c r="AN98" s="78">
        <v>1</v>
      </c>
      <c r="AO98" s="78">
        <v>2</v>
      </c>
      <c r="AP98" s="78">
        <v>2</v>
      </c>
      <c r="AQ98" s="78">
        <v>1</v>
      </c>
      <c r="AR98" s="78">
        <v>2</v>
      </c>
      <c r="AS98" s="78">
        <v>2</v>
      </c>
      <c r="AT98" s="78">
        <v>2</v>
      </c>
      <c r="AU98" s="78">
        <v>1</v>
      </c>
      <c r="AV98" s="78">
        <v>2</v>
      </c>
      <c r="AW98" s="78">
        <v>1</v>
      </c>
      <c r="AX98" s="78">
        <v>0</v>
      </c>
      <c r="AY98" s="78">
        <v>1</v>
      </c>
      <c r="AZ98" s="78">
        <v>2</v>
      </c>
      <c r="BA98" s="78">
        <v>0.5</v>
      </c>
      <c r="BB98" s="78">
        <v>0.5</v>
      </c>
      <c r="BC98" s="78">
        <v>0.5</v>
      </c>
      <c r="BD98" s="78">
        <v>1</v>
      </c>
      <c r="BE98" s="78">
        <v>0.5</v>
      </c>
      <c r="BF98" s="78">
        <v>1</v>
      </c>
      <c r="BG98" s="78">
        <v>6</v>
      </c>
      <c r="BH98" s="137">
        <v>0.86363639999999997</v>
      </c>
      <c r="BJ98" s="143" t="s">
        <v>739</v>
      </c>
      <c r="BK98" s="143" t="s">
        <v>720</v>
      </c>
      <c r="BL98" s="143" t="s">
        <v>842</v>
      </c>
      <c r="BM98" s="143">
        <v>2153</v>
      </c>
      <c r="BN98" s="78">
        <v>1</v>
      </c>
      <c r="BO98" s="78">
        <v>4</v>
      </c>
      <c r="BP98" s="78">
        <v>7</v>
      </c>
      <c r="BQ98" s="78">
        <v>0</v>
      </c>
      <c r="BR98" s="78">
        <v>0</v>
      </c>
      <c r="BS98" s="78">
        <v>3</v>
      </c>
      <c r="BT98" s="78">
        <v>2</v>
      </c>
      <c r="BU98" s="137">
        <v>0.73913039999999997</v>
      </c>
      <c r="BW98" s="143" t="s">
        <v>739</v>
      </c>
      <c r="BX98" s="143" t="s">
        <v>720</v>
      </c>
      <c r="BY98" s="143" t="s">
        <v>842</v>
      </c>
      <c r="BZ98" s="143">
        <v>2153</v>
      </c>
      <c r="CM98" s="143" t="s">
        <v>739</v>
      </c>
      <c r="CN98" s="143" t="s">
        <v>720</v>
      </c>
      <c r="CO98" s="143" t="s">
        <v>842</v>
      </c>
      <c r="CP98" s="143">
        <v>2153</v>
      </c>
      <c r="CQ98" s="78">
        <v>6</v>
      </c>
      <c r="CR98" s="78">
        <v>6</v>
      </c>
      <c r="CS98" s="78">
        <v>16</v>
      </c>
      <c r="CT98" s="78">
        <v>4</v>
      </c>
      <c r="CU98" s="78">
        <v>2</v>
      </c>
      <c r="CV98" s="78">
        <v>8</v>
      </c>
      <c r="CW98" s="137">
        <v>0.80769230000000003</v>
      </c>
      <c r="CY98" s="143" t="s">
        <v>739</v>
      </c>
      <c r="CZ98" s="143" t="s">
        <v>720</v>
      </c>
      <c r="DA98" s="143" t="s">
        <v>842</v>
      </c>
      <c r="DB98" s="143">
        <v>2153</v>
      </c>
      <c r="DC98" s="78">
        <v>14</v>
      </c>
      <c r="DD98" s="137">
        <v>0</v>
      </c>
      <c r="DE98" s="137">
        <v>0</v>
      </c>
      <c r="DG98" s="143" t="s">
        <v>739</v>
      </c>
      <c r="DH98" s="143" t="s">
        <v>720</v>
      </c>
      <c r="DI98" s="143" t="s">
        <v>842</v>
      </c>
      <c r="DJ98" s="143">
        <v>2153</v>
      </c>
      <c r="DK98" s="78">
        <v>2</v>
      </c>
      <c r="DL98" s="78">
        <v>1</v>
      </c>
      <c r="DM98" s="78">
        <v>1</v>
      </c>
      <c r="DN98" s="78">
        <v>7</v>
      </c>
      <c r="DO98" s="78">
        <v>2</v>
      </c>
      <c r="DP98" s="78">
        <v>2</v>
      </c>
      <c r="DQ98" s="78">
        <v>8</v>
      </c>
      <c r="DR98" s="78">
        <v>1</v>
      </c>
      <c r="DS98" s="78">
        <v>1</v>
      </c>
      <c r="DT98" s="78">
        <v>0</v>
      </c>
      <c r="DU98" s="78">
        <v>1</v>
      </c>
      <c r="DV98" s="137">
        <v>0.89655169999999995</v>
      </c>
      <c r="DX98" s="143" t="s">
        <v>739</v>
      </c>
      <c r="DY98" s="143" t="s">
        <v>720</v>
      </c>
      <c r="DZ98" s="143" t="s">
        <v>842</v>
      </c>
      <c r="EA98" s="143">
        <v>2153</v>
      </c>
      <c r="EB98" s="78">
        <v>1</v>
      </c>
      <c r="EC98" s="78">
        <v>8</v>
      </c>
      <c r="ED98" s="78">
        <v>1</v>
      </c>
      <c r="EE98" s="78">
        <v>0</v>
      </c>
      <c r="EF98" s="78">
        <v>3</v>
      </c>
      <c r="EG98" s="78">
        <v>1</v>
      </c>
      <c r="EH98" s="78">
        <v>0</v>
      </c>
      <c r="EI98" s="78">
        <v>1</v>
      </c>
      <c r="EJ98" s="78">
        <v>1</v>
      </c>
      <c r="EK98" s="78">
        <v>1</v>
      </c>
      <c r="EL98" s="78">
        <v>1</v>
      </c>
      <c r="EM98" s="78">
        <v>1</v>
      </c>
      <c r="EN98" s="78">
        <v>1</v>
      </c>
      <c r="EO98" s="78">
        <v>0</v>
      </c>
      <c r="EP98" s="78">
        <v>1</v>
      </c>
      <c r="EQ98" s="137">
        <v>0.77777779999999996</v>
      </c>
      <c r="ES98" s="143" t="s">
        <v>739</v>
      </c>
      <c r="ET98" s="143" t="s">
        <v>720</v>
      </c>
      <c r="EU98" s="143" t="s">
        <v>842</v>
      </c>
      <c r="EV98" s="143">
        <v>2153</v>
      </c>
      <c r="EW98" s="78">
        <v>0.5</v>
      </c>
      <c r="EX98" s="78">
        <v>1</v>
      </c>
      <c r="EY98" s="78">
        <v>0</v>
      </c>
      <c r="EZ98" s="78">
        <v>2</v>
      </c>
      <c r="FA98" s="78">
        <v>0.5</v>
      </c>
      <c r="FB98" s="78">
        <v>3</v>
      </c>
      <c r="FC98" s="78">
        <v>2</v>
      </c>
      <c r="FD98" s="78">
        <v>0</v>
      </c>
      <c r="FE98" s="137">
        <v>0.69230769999999997</v>
      </c>
      <c r="FG98" s="137">
        <v>0.54115860000000005</v>
      </c>
    </row>
    <row r="99" spans="1:163" x14ac:dyDescent="0.35">
      <c r="A99" s="143" t="s">
        <v>740</v>
      </c>
      <c r="B99" s="143" t="s">
        <v>730</v>
      </c>
      <c r="C99" s="143" t="s">
        <v>841</v>
      </c>
      <c r="D99" s="143">
        <v>747</v>
      </c>
      <c r="E99" s="78">
        <v>0</v>
      </c>
      <c r="F99" s="78">
        <v>2</v>
      </c>
      <c r="G99" s="78">
        <v>0</v>
      </c>
      <c r="H99" s="78">
        <v>3</v>
      </c>
      <c r="I99" s="78">
        <v>1</v>
      </c>
      <c r="J99" s="78">
        <v>0</v>
      </c>
      <c r="K99" s="78">
        <v>0</v>
      </c>
      <c r="L99" s="78">
        <v>0</v>
      </c>
      <c r="M99" s="78">
        <v>2</v>
      </c>
      <c r="N99" s="137">
        <v>0.57142859999999995</v>
      </c>
      <c r="P99" s="143" t="s">
        <v>740</v>
      </c>
      <c r="Q99" s="143" t="s">
        <v>730</v>
      </c>
      <c r="R99" s="143" t="s">
        <v>841</v>
      </c>
      <c r="S99" s="143">
        <v>747</v>
      </c>
      <c r="T99" s="78">
        <v>1</v>
      </c>
      <c r="U99" s="78">
        <v>1</v>
      </c>
      <c r="V99" s="78">
        <v>1.5</v>
      </c>
      <c r="W99" s="78">
        <v>0</v>
      </c>
      <c r="X99" s="78">
        <v>0</v>
      </c>
      <c r="Y99" s="78">
        <v>1</v>
      </c>
      <c r="Z99" s="78">
        <v>0</v>
      </c>
      <c r="AA99" s="78">
        <v>0</v>
      </c>
      <c r="AB99" s="78">
        <v>6</v>
      </c>
      <c r="AC99" s="78">
        <v>0</v>
      </c>
      <c r="AD99" s="137">
        <v>0.30882349999999997</v>
      </c>
      <c r="AF99" s="143" t="s">
        <v>740</v>
      </c>
      <c r="AG99" s="143" t="s">
        <v>730</v>
      </c>
      <c r="AH99" s="143" t="s">
        <v>841</v>
      </c>
      <c r="AI99" s="143">
        <v>747</v>
      </c>
      <c r="AJ99" s="78">
        <v>1</v>
      </c>
      <c r="AK99" s="78">
        <v>1</v>
      </c>
      <c r="AL99" s="78">
        <v>0</v>
      </c>
      <c r="AM99" s="78">
        <v>1</v>
      </c>
      <c r="AN99" s="78">
        <v>1</v>
      </c>
      <c r="AO99" s="78">
        <v>0</v>
      </c>
      <c r="AP99" s="78">
        <v>2</v>
      </c>
      <c r="AQ99" s="78">
        <v>1</v>
      </c>
      <c r="AR99" s="78">
        <v>2</v>
      </c>
      <c r="AS99" s="78">
        <v>0</v>
      </c>
      <c r="AT99" s="78">
        <v>0</v>
      </c>
      <c r="AU99" s="78">
        <v>1</v>
      </c>
      <c r="AV99" s="78">
        <v>0</v>
      </c>
      <c r="AW99" s="78">
        <v>0</v>
      </c>
      <c r="AX99" s="78">
        <v>0</v>
      </c>
      <c r="AY99" s="78">
        <v>1</v>
      </c>
      <c r="AZ99" s="78">
        <v>0</v>
      </c>
      <c r="BA99" s="78">
        <v>0.5</v>
      </c>
      <c r="BB99" s="78">
        <v>0.5</v>
      </c>
      <c r="BC99" s="78">
        <v>0.5</v>
      </c>
      <c r="BD99" s="78">
        <v>1</v>
      </c>
      <c r="BE99" s="78">
        <v>0.5</v>
      </c>
      <c r="BF99" s="78">
        <v>0</v>
      </c>
      <c r="BG99" s="78">
        <v>8</v>
      </c>
      <c r="BH99" s="137">
        <v>0.5</v>
      </c>
      <c r="BJ99" s="143" t="s">
        <v>740</v>
      </c>
      <c r="BK99" s="143" t="s">
        <v>730</v>
      </c>
      <c r="BL99" s="143" t="s">
        <v>841</v>
      </c>
      <c r="BM99" s="143">
        <v>747</v>
      </c>
      <c r="BN99" s="78">
        <v>1</v>
      </c>
      <c r="BO99" s="78">
        <v>4</v>
      </c>
      <c r="BP99" s="78">
        <v>0</v>
      </c>
      <c r="BQ99" s="78">
        <v>3</v>
      </c>
      <c r="BR99" s="78">
        <v>3</v>
      </c>
      <c r="BS99" s="78">
        <v>0</v>
      </c>
      <c r="BT99" s="78">
        <v>0</v>
      </c>
      <c r="BU99" s="137">
        <v>0.47826089999999999</v>
      </c>
      <c r="BW99" s="143" t="s">
        <v>740</v>
      </c>
      <c r="BX99" s="143" t="s">
        <v>730</v>
      </c>
      <c r="BY99" s="143" t="s">
        <v>841</v>
      </c>
      <c r="BZ99" s="143">
        <v>747</v>
      </c>
      <c r="CA99" s="78">
        <v>1</v>
      </c>
      <c r="CB99" s="78">
        <v>0</v>
      </c>
      <c r="CC99" s="78">
        <v>1</v>
      </c>
      <c r="CD99" s="78">
        <v>2</v>
      </c>
      <c r="CE99" s="78">
        <v>1</v>
      </c>
      <c r="CF99" s="78">
        <v>2</v>
      </c>
      <c r="CG99" s="78">
        <v>1</v>
      </c>
      <c r="CH99" s="78">
        <v>2</v>
      </c>
      <c r="CI99" s="78">
        <v>0</v>
      </c>
      <c r="CJ99" s="78">
        <v>3</v>
      </c>
      <c r="CK99" s="137">
        <v>0.86666670000000001</v>
      </c>
      <c r="CM99" s="143" t="s">
        <v>740</v>
      </c>
      <c r="CN99" s="143" t="s">
        <v>730</v>
      </c>
      <c r="CO99" s="143" t="s">
        <v>841</v>
      </c>
      <c r="CP99" s="143">
        <v>747</v>
      </c>
      <c r="CQ99" s="78">
        <v>2</v>
      </c>
      <c r="CR99" s="78">
        <v>0</v>
      </c>
      <c r="CS99" s="78">
        <v>0</v>
      </c>
      <c r="CT99" s="78">
        <v>4</v>
      </c>
      <c r="CU99" s="78">
        <v>2</v>
      </c>
      <c r="CV99" s="78">
        <v>8</v>
      </c>
      <c r="CW99" s="137">
        <v>0.30769229999999997</v>
      </c>
      <c r="CY99" s="143" t="s">
        <v>740</v>
      </c>
      <c r="CZ99" s="143" t="s">
        <v>730</v>
      </c>
      <c r="DA99" s="143" t="s">
        <v>841</v>
      </c>
      <c r="DB99" s="143">
        <v>747</v>
      </c>
      <c r="DC99" s="78">
        <v>0</v>
      </c>
      <c r="DD99" s="137">
        <v>0</v>
      </c>
      <c r="DE99" s="137">
        <v>0</v>
      </c>
      <c r="DG99" s="143" t="s">
        <v>740</v>
      </c>
      <c r="DH99" s="143" t="s">
        <v>730</v>
      </c>
      <c r="DI99" s="143" t="s">
        <v>841</v>
      </c>
      <c r="DJ99" s="143">
        <v>747</v>
      </c>
      <c r="DK99" s="78">
        <v>2</v>
      </c>
      <c r="DL99" s="78">
        <v>1</v>
      </c>
      <c r="DM99" s="78">
        <v>1</v>
      </c>
      <c r="DN99" s="78">
        <v>7</v>
      </c>
      <c r="DO99" s="78">
        <v>2</v>
      </c>
      <c r="DP99" s="78">
        <v>3</v>
      </c>
      <c r="DQ99" s="78">
        <v>6</v>
      </c>
      <c r="DR99" s="78">
        <v>1</v>
      </c>
      <c r="DS99" s="78">
        <v>1</v>
      </c>
      <c r="DT99" s="78">
        <v>0</v>
      </c>
      <c r="DU99" s="78">
        <v>1</v>
      </c>
      <c r="DV99" s="137">
        <v>0.86206899999999997</v>
      </c>
      <c r="DX99" s="143" t="s">
        <v>740</v>
      </c>
      <c r="DY99" s="143" t="s">
        <v>730</v>
      </c>
      <c r="DZ99" s="143" t="s">
        <v>841</v>
      </c>
      <c r="EA99" s="143">
        <v>747</v>
      </c>
      <c r="EB99" s="78">
        <v>0</v>
      </c>
      <c r="EC99" s="78">
        <v>8</v>
      </c>
      <c r="ED99" s="78">
        <v>0</v>
      </c>
      <c r="EE99" s="78">
        <v>4</v>
      </c>
      <c r="EF99" s="78">
        <v>0</v>
      </c>
      <c r="EG99" s="78">
        <v>1</v>
      </c>
      <c r="EH99" s="78">
        <v>1</v>
      </c>
      <c r="EI99" s="78">
        <v>1</v>
      </c>
      <c r="EJ99" s="78">
        <v>1</v>
      </c>
      <c r="EK99" s="78">
        <v>1</v>
      </c>
      <c r="EL99" s="78">
        <v>1</v>
      </c>
      <c r="EM99" s="78">
        <v>1</v>
      </c>
      <c r="EN99" s="78">
        <v>1</v>
      </c>
      <c r="EO99" s="78">
        <v>1</v>
      </c>
      <c r="EP99" s="78">
        <v>0</v>
      </c>
      <c r="EQ99" s="137">
        <v>0.77777779999999996</v>
      </c>
      <c r="ES99" s="143" t="s">
        <v>740</v>
      </c>
      <c r="ET99" s="143" t="s">
        <v>730</v>
      </c>
      <c r="EU99" s="143" t="s">
        <v>841</v>
      </c>
      <c r="EV99" s="143">
        <v>747</v>
      </c>
      <c r="EW99" s="78">
        <v>0</v>
      </c>
      <c r="EX99" s="78">
        <v>0</v>
      </c>
      <c r="EY99" s="78">
        <v>3</v>
      </c>
      <c r="EZ99" s="78">
        <v>0</v>
      </c>
      <c r="FA99" s="78">
        <v>0.5</v>
      </c>
      <c r="FB99" s="78">
        <v>3</v>
      </c>
      <c r="FC99" s="78">
        <v>2</v>
      </c>
      <c r="FD99" s="78">
        <v>1</v>
      </c>
      <c r="FE99" s="137">
        <v>0.73076920000000001</v>
      </c>
      <c r="FG99" s="137">
        <v>0.39650150000000001</v>
      </c>
    </row>
    <row r="100" spans="1:163" x14ac:dyDescent="0.35">
      <c r="A100" s="143" t="s">
        <v>740</v>
      </c>
      <c r="B100" s="143" t="s">
        <v>730</v>
      </c>
      <c r="C100" s="143" t="s">
        <v>843</v>
      </c>
      <c r="D100" s="143">
        <v>751</v>
      </c>
      <c r="E100" s="78">
        <v>0</v>
      </c>
      <c r="F100" s="78">
        <v>2.5</v>
      </c>
      <c r="G100" s="78">
        <v>0</v>
      </c>
      <c r="H100" s="78">
        <v>3</v>
      </c>
      <c r="I100" s="78">
        <v>1</v>
      </c>
      <c r="J100" s="78">
        <v>0</v>
      </c>
      <c r="K100" s="78">
        <v>0</v>
      </c>
      <c r="L100" s="78">
        <v>0</v>
      </c>
      <c r="M100" s="78">
        <v>2</v>
      </c>
      <c r="N100" s="137">
        <v>0.60714290000000004</v>
      </c>
      <c r="P100" s="143" t="s">
        <v>740</v>
      </c>
      <c r="Q100" s="143" t="s">
        <v>730</v>
      </c>
      <c r="R100" s="143" t="s">
        <v>843</v>
      </c>
      <c r="S100" s="143">
        <v>751</v>
      </c>
      <c r="T100" s="78">
        <v>1</v>
      </c>
      <c r="U100" s="78">
        <v>1</v>
      </c>
      <c r="V100" s="78">
        <v>1.5</v>
      </c>
      <c r="W100" s="78">
        <v>1</v>
      </c>
      <c r="X100" s="78">
        <v>0</v>
      </c>
      <c r="Y100" s="78">
        <v>1</v>
      </c>
      <c r="Z100" s="78">
        <v>0</v>
      </c>
      <c r="AA100" s="78">
        <v>0</v>
      </c>
      <c r="AB100" s="78">
        <v>0</v>
      </c>
      <c r="AC100" s="78">
        <v>0</v>
      </c>
      <c r="AD100" s="137">
        <v>0.16176470000000001</v>
      </c>
      <c r="AF100" s="143" t="s">
        <v>740</v>
      </c>
      <c r="AG100" s="143" t="s">
        <v>730</v>
      </c>
      <c r="AH100" s="143" t="s">
        <v>843</v>
      </c>
      <c r="AI100" s="143">
        <v>751</v>
      </c>
      <c r="AJ100" s="78">
        <v>1</v>
      </c>
      <c r="AK100" s="78">
        <v>0</v>
      </c>
      <c r="AL100" s="78">
        <v>0</v>
      </c>
      <c r="AM100" s="78">
        <v>0</v>
      </c>
      <c r="AN100" s="78">
        <v>1</v>
      </c>
      <c r="AO100" s="78">
        <v>0</v>
      </c>
      <c r="AP100" s="78">
        <v>1</v>
      </c>
      <c r="AQ100" s="78">
        <v>1</v>
      </c>
      <c r="AR100" s="78">
        <v>2</v>
      </c>
      <c r="AS100" s="78">
        <v>2</v>
      </c>
      <c r="AT100" s="78">
        <v>2</v>
      </c>
      <c r="AU100" s="78">
        <v>1</v>
      </c>
      <c r="AV100" s="78">
        <v>2</v>
      </c>
      <c r="AW100" s="78">
        <v>1</v>
      </c>
      <c r="AX100" s="78">
        <v>4</v>
      </c>
      <c r="AY100" s="78">
        <v>1</v>
      </c>
      <c r="AZ100" s="78">
        <v>2</v>
      </c>
      <c r="BA100" s="78">
        <v>0.5</v>
      </c>
      <c r="BB100" s="78">
        <v>0.5</v>
      </c>
      <c r="BC100" s="78">
        <v>0.5</v>
      </c>
      <c r="BD100" s="78">
        <v>0</v>
      </c>
      <c r="BE100" s="78">
        <v>0.5</v>
      </c>
      <c r="BF100" s="78">
        <v>0</v>
      </c>
      <c r="BG100" s="78">
        <v>0</v>
      </c>
      <c r="BH100" s="137">
        <v>0.52272730000000001</v>
      </c>
      <c r="BJ100" s="143" t="s">
        <v>740</v>
      </c>
      <c r="BK100" s="143" t="s">
        <v>730</v>
      </c>
      <c r="BL100" s="143" t="s">
        <v>843</v>
      </c>
      <c r="BM100" s="143">
        <v>751</v>
      </c>
      <c r="BN100" s="78">
        <v>1</v>
      </c>
      <c r="BO100" s="78">
        <v>0</v>
      </c>
      <c r="BP100" s="78">
        <v>0</v>
      </c>
      <c r="BQ100" s="78">
        <v>3</v>
      </c>
      <c r="BR100" s="78">
        <v>3</v>
      </c>
      <c r="BS100" s="78">
        <v>3</v>
      </c>
      <c r="BT100" s="78">
        <v>0</v>
      </c>
      <c r="BU100" s="137">
        <v>0.43478260000000002</v>
      </c>
      <c r="BW100" s="143" t="s">
        <v>740</v>
      </c>
      <c r="BX100" s="143" t="s">
        <v>730</v>
      </c>
      <c r="BY100" s="143" t="s">
        <v>843</v>
      </c>
      <c r="BZ100" s="143">
        <v>751</v>
      </c>
      <c r="CA100" s="78">
        <v>1</v>
      </c>
      <c r="CB100" s="78">
        <v>1</v>
      </c>
      <c r="CC100" s="78">
        <v>1</v>
      </c>
      <c r="CD100" s="78">
        <v>2</v>
      </c>
      <c r="CE100" s="78">
        <v>1</v>
      </c>
      <c r="CF100" s="78">
        <v>2</v>
      </c>
      <c r="CG100" s="78">
        <v>1</v>
      </c>
      <c r="CH100" s="78">
        <v>2</v>
      </c>
      <c r="CI100" s="78">
        <v>1</v>
      </c>
      <c r="CJ100" s="78">
        <v>3</v>
      </c>
      <c r="CK100" s="137">
        <v>1</v>
      </c>
      <c r="CM100" s="143" t="s">
        <v>740</v>
      </c>
      <c r="CN100" s="143" t="s">
        <v>730</v>
      </c>
      <c r="CO100" s="143" t="s">
        <v>843</v>
      </c>
      <c r="CP100" s="143">
        <v>751</v>
      </c>
      <c r="CQ100" s="78">
        <v>8</v>
      </c>
      <c r="CR100" s="78">
        <v>0</v>
      </c>
      <c r="CS100" s="78">
        <v>4</v>
      </c>
      <c r="CT100" s="78">
        <v>4</v>
      </c>
      <c r="CU100" s="78">
        <v>2</v>
      </c>
      <c r="CV100" s="78">
        <v>8</v>
      </c>
      <c r="CW100" s="137">
        <v>0.5</v>
      </c>
      <c r="CY100" s="143" t="s">
        <v>740</v>
      </c>
      <c r="CZ100" s="143" t="s">
        <v>730</v>
      </c>
      <c r="DA100" s="143" t="s">
        <v>843</v>
      </c>
      <c r="DB100" s="143">
        <v>751</v>
      </c>
      <c r="DC100" s="78">
        <v>50</v>
      </c>
      <c r="DD100" s="137">
        <v>0</v>
      </c>
      <c r="DE100" s="137">
        <v>0</v>
      </c>
      <c r="DG100" s="143" t="s">
        <v>740</v>
      </c>
      <c r="DH100" s="143" t="s">
        <v>730</v>
      </c>
      <c r="DI100" s="143" t="s">
        <v>843</v>
      </c>
      <c r="DJ100" s="143">
        <v>751</v>
      </c>
      <c r="DK100" s="78">
        <v>2</v>
      </c>
      <c r="DL100" s="78">
        <v>1</v>
      </c>
      <c r="DM100" s="78">
        <v>1</v>
      </c>
      <c r="DN100" s="78">
        <v>3</v>
      </c>
      <c r="DO100" s="78">
        <v>2</v>
      </c>
      <c r="DP100" s="78">
        <v>3</v>
      </c>
      <c r="DQ100" s="78">
        <v>7</v>
      </c>
      <c r="DR100" s="78">
        <v>1</v>
      </c>
      <c r="DS100" s="78">
        <v>0</v>
      </c>
      <c r="DT100" s="78">
        <v>0</v>
      </c>
      <c r="DU100" s="78">
        <v>0</v>
      </c>
      <c r="DV100" s="137">
        <v>0.68965520000000002</v>
      </c>
      <c r="DX100" s="143" t="s">
        <v>740</v>
      </c>
      <c r="DY100" s="143" t="s">
        <v>730</v>
      </c>
      <c r="DZ100" s="143" t="s">
        <v>843</v>
      </c>
      <c r="EA100" s="143">
        <v>751</v>
      </c>
      <c r="EB100" s="78">
        <v>0</v>
      </c>
      <c r="EC100" s="78">
        <v>8</v>
      </c>
      <c r="ED100" s="78">
        <v>1</v>
      </c>
      <c r="EE100" s="78">
        <v>4</v>
      </c>
      <c r="EF100" s="78">
        <v>3</v>
      </c>
      <c r="EG100" s="78">
        <v>1</v>
      </c>
      <c r="EH100" s="78">
        <v>1</v>
      </c>
      <c r="EI100" s="78">
        <v>1</v>
      </c>
      <c r="EJ100" s="78">
        <v>1</v>
      </c>
      <c r="EK100" s="78">
        <v>0</v>
      </c>
      <c r="EL100" s="78">
        <v>1</v>
      </c>
      <c r="EM100" s="78">
        <v>1</v>
      </c>
      <c r="EN100" s="78">
        <v>0</v>
      </c>
      <c r="EO100" s="78">
        <v>1</v>
      </c>
      <c r="EP100" s="78">
        <v>1</v>
      </c>
      <c r="EQ100" s="137">
        <v>0.88888889999999998</v>
      </c>
      <c r="ES100" s="143" t="s">
        <v>740</v>
      </c>
      <c r="ET100" s="143" t="s">
        <v>730</v>
      </c>
      <c r="EU100" s="143" t="s">
        <v>843</v>
      </c>
      <c r="EV100" s="143">
        <v>751</v>
      </c>
      <c r="EW100" s="78">
        <v>0</v>
      </c>
      <c r="EX100" s="78">
        <v>0</v>
      </c>
      <c r="EY100" s="78">
        <v>0</v>
      </c>
      <c r="EZ100" s="78">
        <v>0</v>
      </c>
      <c r="FA100" s="78">
        <v>0.5</v>
      </c>
      <c r="FB100" s="78">
        <v>3</v>
      </c>
      <c r="FC100" s="78">
        <v>2</v>
      </c>
      <c r="FD100" s="78">
        <v>1</v>
      </c>
      <c r="FE100" s="137">
        <v>0.5</v>
      </c>
      <c r="FG100" s="137">
        <v>0.40379009999999999</v>
      </c>
    </row>
    <row r="101" spans="1:163" x14ac:dyDescent="0.35">
      <c r="A101" s="143" t="s">
        <v>740</v>
      </c>
      <c r="B101" s="143" t="s">
        <v>730</v>
      </c>
      <c r="C101" s="143" t="s">
        <v>842</v>
      </c>
      <c r="D101" s="143">
        <v>2092</v>
      </c>
      <c r="E101" s="78">
        <v>0</v>
      </c>
      <c r="F101" s="78">
        <v>2</v>
      </c>
      <c r="G101" s="78">
        <v>1</v>
      </c>
      <c r="H101" s="78">
        <v>3</v>
      </c>
      <c r="I101" s="78">
        <v>1</v>
      </c>
      <c r="J101" s="78">
        <v>0</v>
      </c>
      <c r="K101" s="78">
        <v>1</v>
      </c>
      <c r="L101" s="78">
        <v>0</v>
      </c>
      <c r="M101" s="78">
        <v>2</v>
      </c>
      <c r="N101" s="137">
        <v>0.71428570000000002</v>
      </c>
      <c r="P101" s="143" t="s">
        <v>740</v>
      </c>
      <c r="Q101" s="143" t="s">
        <v>730</v>
      </c>
      <c r="R101" s="143" t="s">
        <v>842</v>
      </c>
      <c r="S101" s="143">
        <v>2092</v>
      </c>
      <c r="T101" s="78">
        <v>1</v>
      </c>
      <c r="U101" s="78">
        <v>1</v>
      </c>
      <c r="V101" s="78">
        <v>2</v>
      </c>
      <c r="W101" s="78">
        <v>0</v>
      </c>
      <c r="X101" s="78">
        <v>0</v>
      </c>
      <c r="Y101" s="78">
        <v>1</v>
      </c>
      <c r="Z101" s="78">
        <v>0</v>
      </c>
      <c r="AA101" s="78">
        <v>0</v>
      </c>
      <c r="AB101" s="78">
        <v>0</v>
      </c>
      <c r="AC101" s="78">
        <v>0</v>
      </c>
      <c r="AD101" s="137">
        <v>0.14705879999999999</v>
      </c>
      <c r="AF101" s="143" t="s">
        <v>740</v>
      </c>
      <c r="AG101" s="143" t="s">
        <v>730</v>
      </c>
      <c r="AH101" s="143" t="s">
        <v>842</v>
      </c>
      <c r="AI101" s="143">
        <v>2092</v>
      </c>
      <c r="AJ101" s="78">
        <v>0</v>
      </c>
      <c r="AK101" s="78">
        <v>0</v>
      </c>
      <c r="AL101" s="78">
        <v>1</v>
      </c>
      <c r="AM101" s="78">
        <v>5</v>
      </c>
      <c r="AN101" s="78">
        <v>0</v>
      </c>
      <c r="AO101" s="78">
        <v>2</v>
      </c>
      <c r="AP101" s="78">
        <v>2</v>
      </c>
      <c r="AQ101" s="78">
        <v>1</v>
      </c>
      <c r="AR101" s="78">
        <v>0</v>
      </c>
      <c r="AS101" s="78">
        <v>0</v>
      </c>
      <c r="AT101" s="78">
        <v>0</v>
      </c>
      <c r="AU101" s="78">
        <v>0</v>
      </c>
      <c r="AV101" s="78">
        <v>2</v>
      </c>
      <c r="AW101" s="78">
        <v>0</v>
      </c>
      <c r="AX101" s="78">
        <v>4</v>
      </c>
      <c r="AY101" s="78">
        <v>0</v>
      </c>
      <c r="AZ101" s="78">
        <v>2</v>
      </c>
      <c r="BA101" s="78">
        <v>0.5</v>
      </c>
      <c r="BB101" s="78">
        <v>0.5</v>
      </c>
      <c r="BC101" s="78">
        <v>0</v>
      </c>
      <c r="BD101" s="78">
        <v>1</v>
      </c>
      <c r="BE101" s="78">
        <v>0</v>
      </c>
      <c r="BF101" s="78">
        <v>0</v>
      </c>
      <c r="BG101" s="78">
        <v>4</v>
      </c>
      <c r="BH101" s="137">
        <v>0.56818179999999996</v>
      </c>
      <c r="BJ101" s="143" t="s">
        <v>740</v>
      </c>
      <c r="BK101" s="143" t="s">
        <v>730</v>
      </c>
      <c r="BL101" s="143" t="s">
        <v>842</v>
      </c>
      <c r="BM101" s="143">
        <v>2092</v>
      </c>
      <c r="BN101" s="78">
        <v>1</v>
      </c>
      <c r="BO101" s="78">
        <v>4</v>
      </c>
      <c r="BP101" s="78">
        <v>0</v>
      </c>
      <c r="BQ101" s="78">
        <v>3</v>
      </c>
      <c r="BR101" s="78">
        <v>3</v>
      </c>
      <c r="BS101" s="78">
        <v>3</v>
      </c>
      <c r="BT101" s="78">
        <v>0</v>
      </c>
      <c r="BU101" s="137">
        <v>0.6086956</v>
      </c>
      <c r="BW101" s="143" t="s">
        <v>740</v>
      </c>
      <c r="BX101" s="143" t="s">
        <v>730</v>
      </c>
      <c r="BY101" s="143" t="s">
        <v>842</v>
      </c>
      <c r="BZ101" s="143">
        <v>2092</v>
      </c>
      <c r="CM101" s="143" t="s">
        <v>740</v>
      </c>
      <c r="CN101" s="143" t="s">
        <v>730</v>
      </c>
      <c r="CO101" s="143" t="s">
        <v>842</v>
      </c>
      <c r="CP101" s="143">
        <v>2092</v>
      </c>
      <c r="CQ101" s="78">
        <v>0</v>
      </c>
      <c r="CR101" s="78">
        <v>0</v>
      </c>
      <c r="CS101" s="78">
        <v>4</v>
      </c>
      <c r="CT101" s="78">
        <v>4</v>
      </c>
      <c r="CU101" s="78">
        <v>0</v>
      </c>
      <c r="CV101" s="78">
        <v>8</v>
      </c>
      <c r="CW101" s="137">
        <v>0.30769229999999997</v>
      </c>
      <c r="CY101" s="143" t="s">
        <v>740</v>
      </c>
      <c r="CZ101" s="143" t="s">
        <v>730</v>
      </c>
      <c r="DA101" s="143" t="s">
        <v>842</v>
      </c>
      <c r="DB101" s="143">
        <v>2092</v>
      </c>
      <c r="DC101" s="78">
        <v>0</v>
      </c>
      <c r="DD101" s="137">
        <v>0</v>
      </c>
      <c r="DE101" s="137">
        <v>0</v>
      </c>
      <c r="DG101" s="143" t="s">
        <v>740</v>
      </c>
      <c r="DH101" s="143" t="s">
        <v>730</v>
      </c>
      <c r="DI101" s="143" t="s">
        <v>842</v>
      </c>
      <c r="DJ101" s="143">
        <v>2092</v>
      </c>
      <c r="DK101" s="78">
        <v>2</v>
      </c>
      <c r="DL101" s="78">
        <v>1</v>
      </c>
      <c r="DM101" s="78">
        <v>0</v>
      </c>
      <c r="DN101" s="78">
        <v>5</v>
      </c>
      <c r="DO101" s="78">
        <v>2</v>
      </c>
      <c r="DP101" s="78">
        <v>3</v>
      </c>
      <c r="DQ101" s="78">
        <v>5</v>
      </c>
      <c r="DR101" s="78">
        <v>1</v>
      </c>
      <c r="DS101" s="78">
        <v>1</v>
      </c>
      <c r="DT101" s="78">
        <v>2</v>
      </c>
      <c r="DU101" s="78">
        <v>0</v>
      </c>
      <c r="DV101" s="137">
        <v>0.75862070000000004</v>
      </c>
      <c r="DX101" s="143" t="s">
        <v>740</v>
      </c>
      <c r="DY101" s="143" t="s">
        <v>730</v>
      </c>
      <c r="DZ101" s="143" t="s">
        <v>842</v>
      </c>
      <c r="EA101" s="143">
        <v>2092</v>
      </c>
      <c r="EB101" s="78">
        <v>1</v>
      </c>
      <c r="EC101" s="78">
        <v>8</v>
      </c>
      <c r="ED101" s="78">
        <v>1</v>
      </c>
      <c r="EE101" s="78">
        <v>4</v>
      </c>
      <c r="EF101" s="78">
        <v>3</v>
      </c>
      <c r="EG101" s="78">
        <v>1</v>
      </c>
      <c r="EH101" s="78">
        <v>0</v>
      </c>
      <c r="EI101" s="78">
        <v>1</v>
      </c>
      <c r="EJ101" s="78">
        <v>1</v>
      </c>
      <c r="EK101" s="78">
        <v>1</v>
      </c>
      <c r="EL101" s="78">
        <v>1</v>
      </c>
      <c r="EM101" s="78">
        <v>0</v>
      </c>
      <c r="EN101" s="78">
        <v>1</v>
      </c>
      <c r="EO101" s="78">
        <v>1</v>
      </c>
      <c r="EP101" s="78">
        <v>0</v>
      </c>
      <c r="EQ101" s="137">
        <v>0.88888889999999998</v>
      </c>
      <c r="ES101" s="143" t="s">
        <v>740</v>
      </c>
      <c r="ET101" s="143" t="s">
        <v>730</v>
      </c>
      <c r="EU101" s="143" t="s">
        <v>842</v>
      </c>
      <c r="EV101" s="143">
        <v>2092</v>
      </c>
      <c r="EW101" s="78">
        <v>0</v>
      </c>
      <c r="EX101" s="78">
        <v>0</v>
      </c>
      <c r="EY101" s="78">
        <v>3</v>
      </c>
      <c r="EZ101" s="78">
        <v>0</v>
      </c>
      <c r="FA101" s="78">
        <v>0.5</v>
      </c>
      <c r="FB101" s="78">
        <v>3</v>
      </c>
      <c r="FC101" s="78">
        <v>2</v>
      </c>
      <c r="FD101" s="78">
        <v>1</v>
      </c>
      <c r="FE101" s="137">
        <v>0.73076920000000001</v>
      </c>
      <c r="FG101" s="137">
        <v>0.38262190000000001</v>
      </c>
    </row>
    <row r="102" spans="1:163" x14ac:dyDescent="0.35">
      <c r="A102" s="143" t="s">
        <v>740</v>
      </c>
      <c r="B102" s="143" t="s">
        <v>730</v>
      </c>
      <c r="C102" s="143" t="s">
        <v>842</v>
      </c>
      <c r="D102" s="143">
        <v>2093</v>
      </c>
      <c r="E102" s="78">
        <v>0</v>
      </c>
      <c r="F102" s="78">
        <v>2</v>
      </c>
      <c r="G102" s="78">
        <v>1</v>
      </c>
      <c r="H102" s="78">
        <v>2</v>
      </c>
      <c r="I102" s="78">
        <v>1</v>
      </c>
      <c r="J102" s="78">
        <v>0</v>
      </c>
      <c r="K102" s="78">
        <v>0</v>
      </c>
      <c r="L102" s="78">
        <v>0</v>
      </c>
      <c r="M102" s="78">
        <v>2</v>
      </c>
      <c r="N102" s="137">
        <v>0.57142859999999995</v>
      </c>
      <c r="P102" s="143" t="s">
        <v>740</v>
      </c>
      <c r="Q102" s="143" t="s">
        <v>730</v>
      </c>
      <c r="R102" s="143" t="s">
        <v>842</v>
      </c>
      <c r="S102" s="143">
        <v>2093</v>
      </c>
      <c r="T102" s="78">
        <v>1</v>
      </c>
      <c r="U102" s="78">
        <v>1</v>
      </c>
      <c r="V102" s="78">
        <v>3</v>
      </c>
      <c r="W102" s="78">
        <v>2</v>
      </c>
      <c r="X102" s="78">
        <v>0</v>
      </c>
      <c r="Y102" s="78">
        <v>1</v>
      </c>
      <c r="Z102" s="78">
        <v>0</v>
      </c>
      <c r="AA102" s="78">
        <v>2</v>
      </c>
      <c r="AB102" s="78">
        <v>6</v>
      </c>
      <c r="AC102" s="78">
        <v>0</v>
      </c>
      <c r="AD102" s="137">
        <v>0.47058820000000001</v>
      </c>
      <c r="AF102" s="143" t="s">
        <v>740</v>
      </c>
      <c r="AG102" s="143" t="s">
        <v>730</v>
      </c>
      <c r="AH102" s="143" t="s">
        <v>842</v>
      </c>
      <c r="AI102" s="143">
        <v>2093</v>
      </c>
      <c r="AJ102" s="78">
        <v>0</v>
      </c>
      <c r="AK102" s="78">
        <v>1</v>
      </c>
      <c r="AL102" s="78">
        <v>1</v>
      </c>
      <c r="AM102" s="78">
        <v>0</v>
      </c>
      <c r="AN102" s="78">
        <v>1</v>
      </c>
      <c r="AO102" s="78">
        <v>2</v>
      </c>
      <c r="AP102" s="78">
        <v>2</v>
      </c>
      <c r="AQ102" s="78">
        <v>1</v>
      </c>
      <c r="AR102" s="78">
        <v>0</v>
      </c>
      <c r="AS102" s="78">
        <v>0</v>
      </c>
      <c r="AT102" s="78">
        <v>0</v>
      </c>
      <c r="AU102" s="78">
        <v>1</v>
      </c>
      <c r="AV102" s="78">
        <v>2</v>
      </c>
      <c r="AW102" s="78">
        <v>0</v>
      </c>
      <c r="AX102" s="78">
        <v>0</v>
      </c>
      <c r="AY102" s="78">
        <v>1</v>
      </c>
      <c r="AZ102" s="78">
        <v>2</v>
      </c>
      <c r="BA102" s="78">
        <v>0.5</v>
      </c>
      <c r="BB102" s="78">
        <v>0.5</v>
      </c>
      <c r="BC102" s="78">
        <v>0.5</v>
      </c>
      <c r="BD102" s="78">
        <v>1</v>
      </c>
      <c r="BE102" s="78">
        <v>0.5</v>
      </c>
      <c r="BF102" s="78">
        <v>1</v>
      </c>
      <c r="BG102" s="78">
        <v>8</v>
      </c>
      <c r="BH102" s="137">
        <v>0.59090909999999996</v>
      </c>
      <c r="BJ102" s="143" t="s">
        <v>740</v>
      </c>
      <c r="BK102" s="143" t="s">
        <v>730</v>
      </c>
      <c r="BL102" s="143" t="s">
        <v>842</v>
      </c>
      <c r="BM102" s="143">
        <v>2093</v>
      </c>
      <c r="BN102" s="78">
        <v>0</v>
      </c>
      <c r="BO102" s="78">
        <v>4</v>
      </c>
      <c r="BP102" s="78">
        <v>0</v>
      </c>
      <c r="BQ102" s="78">
        <v>0</v>
      </c>
      <c r="BR102" s="78">
        <v>0</v>
      </c>
      <c r="BS102" s="78">
        <v>0</v>
      </c>
      <c r="BT102" s="78">
        <v>0</v>
      </c>
      <c r="BU102" s="137">
        <v>0.17391300000000001</v>
      </c>
      <c r="BW102" s="143" t="s">
        <v>740</v>
      </c>
      <c r="BX102" s="143" t="s">
        <v>730</v>
      </c>
      <c r="BY102" s="143" t="s">
        <v>842</v>
      </c>
      <c r="BZ102" s="143">
        <v>2093</v>
      </c>
      <c r="CM102" s="143" t="s">
        <v>740</v>
      </c>
      <c r="CN102" s="143" t="s">
        <v>730</v>
      </c>
      <c r="CO102" s="143" t="s">
        <v>842</v>
      </c>
      <c r="CP102" s="143">
        <v>2093</v>
      </c>
      <c r="CQ102" s="78">
        <v>8</v>
      </c>
      <c r="CR102" s="78">
        <v>0</v>
      </c>
      <c r="CS102" s="78">
        <v>0</v>
      </c>
      <c r="CT102" s="78">
        <v>4</v>
      </c>
      <c r="CU102" s="78">
        <v>2</v>
      </c>
      <c r="CV102" s="78">
        <v>8</v>
      </c>
      <c r="CW102" s="137">
        <v>0.42307689999999998</v>
      </c>
      <c r="CY102" s="143" t="s">
        <v>740</v>
      </c>
      <c r="CZ102" s="143" t="s">
        <v>730</v>
      </c>
      <c r="DA102" s="143" t="s">
        <v>842</v>
      </c>
      <c r="DB102" s="143">
        <v>2093</v>
      </c>
      <c r="DC102" s="78">
        <v>0</v>
      </c>
      <c r="DD102" s="137">
        <v>0</v>
      </c>
      <c r="DE102" s="137">
        <v>0</v>
      </c>
      <c r="DG102" s="143" t="s">
        <v>740</v>
      </c>
      <c r="DH102" s="143" t="s">
        <v>730</v>
      </c>
      <c r="DI102" s="143" t="s">
        <v>842</v>
      </c>
      <c r="DJ102" s="143">
        <v>2093</v>
      </c>
      <c r="DK102" s="78">
        <v>0</v>
      </c>
      <c r="DL102" s="78">
        <v>1</v>
      </c>
      <c r="DM102" s="78">
        <v>1</v>
      </c>
      <c r="DN102" s="78">
        <v>5</v>
      </c>
      <c r="DO102" s="78">
        <v>2</v>
      </c>
      <c r="DP102" s="78">
        <v>3</v>
      </c>
      <c r="DQ102" s="78">
        <v>7</v>
      </c>
      <c r="DR102" s="78">
        <v>1</v>
      </c>
      <c r="DS102" s="78">
        <v>1</v>
      </c>
      <c r="DT102" s="78">
        <v>2</v>
      </c>
      <c r="DU102" s="78">
        <v>1</v>
      </c>
      <c r="DV102" s="137">
        <v>0.82758620000000005</v>
      </c>
      <c r="DX102" s="143" t="s">
        <v>740</v>
      </c>
      <c r="DY102" s="143" t="s">
        <v>730</v>
      </c>
      <c r="DZ102" s="143" t="s">
        <v>842</v>
      </c>
      <c r="EA102" s="143">
        <v>2093</v>
      </c>
      <c r="EB102" s="78">
        <v>0</v>
      </c>
      <c r="EC102" s="78">
        <v>8</v>
      </c>
      <c r="ED102" s="78">
        <v>0</v>
      </c>
      <c r="EE102" s="78">
        <v>4</v>
      </c>
      <c r="EF102" s="78">
        <v>3</v>
      </c>
      <c r="EG102" s="78">
        <v>1</v>
      </c>
      <c r="EH102" s="78">
        <v>0</v>
      </c>
      <c r="EI102" s="78">
        <v>1</v>
      </c>
      <c r="EJ102" s="78">
        <v>1</v>
      </c>
      <c r="EK102" s="78">
        <v>1</v>
      </c>
      <c r="EL102" s="78">
        <v>0</v>
      </c>
      <c r="EM102" s="78">
        <v>1</v>
      </c>
      <c r="EN102" s="78">
        <v>1</v>
      </c>
      <c r="EO102" s="78">
        <v>1</v>
      </c>
      <c r="EP102" s="78">
        <v>0</v>
      </c>
      <c r="EQ102" s="137">
        <v>0.81481479999999995</v>
      </c>
      <c r="ES102" s="143" t="s">
        <v>740</v>
      </c>
      <c r="ET102" s="143" t="s">
        <v>730</v>
      </c>
      <c r="EU102" s="143" t="s">
        <v>842</v>
      </c>
      <c r="EV102" s="143">
        <v>2093</v>
      </c>
      <c r="EW102" s="78">
        <v>0</v>
      </c>
      <c r="EX102" s="78">
        <v>1</v>
      </c>
      <c r="EY102" s="78">
        <v>0</v>
      </c>
      <c r="EZ102" s="78">
        <v>0</v>
      </c>
      <c r="FA102" s="78">
        <v>0</v>
      </c>
      <c r="FB102" s="78">
        <v>3</v>
      </c>
      <c r="FC102" s="78">
        <v>2</v>
      </c>
      <c r="FD102" s="78">
        <v>1</v>
      </c>
      <c r="FE102" s="137">
        <v>0.53846159999999998</v>
      </c>
      <c r="FG102" s="137">
        <v>0.3932927</v>
      </c>
    </row>
    <row r="103" spans="1:163" x14ac:dyDescent="0.35">
      <c r="A103" s="143" t="s">
        <v>740</v>
      </c>
      <c r="B103" s="143" t="s">
        <v>730</v>
      </c>
      <c r="C103" s="143" t="s">
        <v>841</v>
      </c>
      <c r="D103" s="143">
        <v>2185</v>
      </c>
      <c r="E103" s="78">
        <v>0.5</v>
      </c>
      <c r="F103" s="78">
        <v>2.5</v>
      </c>
      <c r="G103" s="78">
        <v>1</v>
      </c>
      <c r="H103" s="78">
        <v>1</v>
      </c>
      <c r="I103" s="78">
        <v>1</v>
      </c>
      <c r="J103" s="78">
        <v>0</v>
      </c>
      <c r="K103" s="78">
        <v>1</v>
      </c>
      <c r="L103" s="78">
        <v>0</v>
      </c>
      <c r="M103" s="78">
        <v>2</v>
      </c>
      <c r="N103" s="137">
        <v>0.64285709999999996</v>
      </c>
      <c r="P103" s="143" t="s">
        <v>740</v>
      </c>
      <c r="Q103" s="143" t="s">
        <v>730</v>
      </c>
      <c r="R103" s="143" t="s">
        <v>841</v>
      </c>
      <c r="S103" s="143">
        <v>2185</v>
      </c>
      <c r="T103" s="78">
        <v>1</v>
      </c>
      <c r="U103" s="78">
        <v>1</v>
      </c>
      <c r="V103" s="78">
        <v>3</v>
      </c>
      <c r="W103" s="78">
        <v>2</v>
      </c>
      <c r="X103" s="78">
        <v>0</v>
      </c>
      <c r="Y103" s="78">
        <v>1</v>
      </c>
      <c r="Z103" s="78">
        <v>0</v>
      </c>
      <c r="AA103" s="78">
        <v>0</v>
      </c>
      <c r="AB103" s="78">
        <v>0</v>
      </c>
      <c r="AC103" s="78">
        <v>3</v>
      </c>
      <c r="AD103" s="137">
        <v>0.32352940000000002</v>
      </c>
      <c r="AF103" s="143" t="s">
        <v>740</v>
      </c>
      <c r="AG103" s="143" t="s">
        <v>730</v>
      </c>
      <c r="AH103" s="143" t="s">
        <v>841</v>
      </c>
      <c r="AI103" s="143">
        <v>2185</v>
      </c>
      <c r="AJ103" s="78">
        <v>1</v>
      </c>
      <c r="AK103" s="78">
        <v>1</v>
      </c>
      <c r="AL103" s="78">
        <v>0</v>
      </c>
      <c r="AM103" s="78">
        <v>1</v>
      </c>
      <c r="AN103" s="78">
        <v>1</v>
      </c>
      <c r="AO103" s="78">
        <v>0</v>
      </c>
      <c r="AP103" s="78">
        <v>2</v>
      </c>
      <c r="AQ103" s="78">
        <v>1</v>
      </c>
      <c r="AR103" s="78">
        <v>2</v>
      </c>
      <c r="AS103" s="78">
        <v>0</v>
      </c>
      <c r="AT103" s="78">
        <v>0</v>
      </c>
      <c r="AU103" s="78">
        <v>0</v>
      </c>
      <c r="AV103" s="78">
        <v>2</v>
      </c>
      <c r="AW103" s="78">
        <v>1</v>
      </c>
      <c r="AX103" s="78">
        <v>0</v>
      </c>
      <c r="AY103" s="78">
        <v>1</v>
      </c>
      <c r="AZ103" s="78">
        <v>2</v>
      </c>
      <c r="BA103" s="78">
        <v>0.5</v>
      </c>
      <c r="BB103" s="78">
        <v>0.5</v>
      </c>
      <c r="BC103" s="78">
        <v>0.5</v>
      </c>
      <c r="BD103" s="78">
        <v>1</v>
      </c>
      <c r="BE103" s="78">
        <v>0.5</v>
      </c>
      <c r="BF103" s="78">
        <v>1</v>
      </c>
      <c r="BG103" s="78">
        <v>2</v>
      </c>
      <c r="BH103" s="137">
        <v>0.47727269999999999</v>
      </c>
      <c r="BJ103" s="143" t="s">
        <v>740</v>
      </c>
      <c r="BK103" s="143" t="s">
        <v>730</v>
      </c>
      <c r="BL103" s="143" t="s">
        <v>841</v>
      </c>
      <c r="BM103" s="143">
        <v>2185</v>
      </c>
      <c r="BN103" s="78">
        <v>0</v>
      </c>
      <c r="BO103" s="78">
        <v>4</v>
      </c>
      <c r="BP103" s="78">
        <v>0</v>
      </c>
      <c r="BQ103" s="78">
        <v>0</v>
      </c>
      <c r="BR103" s="78">
        <v>0</v>
      </c>
      <c r="BS103" s="78">
        <v>0</v>
      </c>
      <c r="BT103" s="78">
        <v>0</v>
      </c>
      <c r="BU103" s="137">
        <v>0.17391300000000001</v>
      </c>
      <c r="BW103" s="143" t="s">
        <v>740</v>
      </c>
      <c r="BX103" s="143" t="s">
        <v>730</v>
      </c>
      <c r="BY103" s="143" t="s">
        <v>841</v>
      </c>
      <c r="BZ103" s="143">
        <v>2185</v>
      </c>
      <c r="CA103" s="78">
        <v>0</v>
      </c>
      <c r="CB103" s="78">
        <v>0</v>
      </c>
      <c r="CC103" s="78">
        <v>1</v>
      </c>
      <c r="CD103" s="78">
        <v>2</v>
      </c>
      <c r="CE103" s="78">
        <v>1</v>
      </c>
      <c r="CF103" s="78">
        <v>2</v>
      </c>
      <c r="CG103" s="78">
        <v>1</v>
      </c>
      <c r="CH103" s="78">
        <v>2</v>
      </c>
      <c r="CI103" s="78">
        <v>0</v>
      </c>
      <c r="CJ103" s="78">
        <v>0</v>
      </c>
      <c r="CK103" s="137">
        <v>0.6</v>
      </c>
      <c r="CM103" s="143" t="s">
        <v>740</v>
      </c>
      <c r="CN103" s="143" t="s">
        <v>730</v>
      </c>
      <c r="CO103" s="143" t="s">
        <v>841</v>
      </c>
      <c r="CP103" s="143">
        <v>2185</v>
      </c>
      <c r="CQ103" s="78">
        <v>8</v>
      </c>
      <c r="CR103" s="78">
        <v>0</v>
      </c>
      <c r="CS103" s="78">
        <v>0</v>
      </c>
      <c r="CT103" s="78">
        <v>4</v>
      </c>
      <c r="CU103" s="78">
        <v>0</v>
      </c>
      <c r="CV103" s="78">
        <v>8</v>
      </c>
      <c r="CW103" s="137">
        <v>0.3846154</v>
      </c>
      <c r="CY103" s="143" t="s">
        <v>740</v>
      </c>
      <c r="CZ103" s="143" t="s">
        <v>730</v>
      </c>
      <c r="DA103" s="143" t="s">
        <v>841</v>
      </c>
      <c r="DB103" s="143">
        <v>2185</v>
      </c>
      <c r="DC103" s="78">
        <v>0</v>
      </c>
      <c r="DD103" s="137">
        <v>0</v>
      </c>
      <c r="DE103" s="137">
        <v>0</v>
      </c>
      <c r="DG103" s="143" t="s">
        <v>740</v>
      </c>
      <c r="DH103" s="143" t="s">
        <v>730</v>
      </c>
      <c r="DI103" s="143" t="s">
        <v>841</v>
      </c>
      <c r="DJ103" s="143">
        <v>2185</v>
      </c>
      <c r="DK103" s="78">
        <v>2</v>
      </c>
      <c r="DL103" s="78">
        <v>1</v>
      </c>
      <c r="DM103" s="78">
        <v>0</v>
      </c>
      <c r="DN103" s="78">
        <v>7</v>
      </c>
      <c r="DO103" s="78">
        <v>2</v>
      </c>
      <c r="DP103" s="78">
        <v>3</v>
      </c>
      <c r="DQ103" s="78">
        <v>8</v>
      </c>
      <c r="DR103" s="78">
        <v>1</v>
      </c>
      <c r="DS103" s="78">
        <v>1</v>
      </c>
      <c r="DT103" s="78">
        <v>2</v>
      </c>
      <c r="DU103" s="78">
        <v>0</v>
      </c>
      <c r="DV103" s="137">
        <v>0.93103449999999999</v>
      </c>
      <c r="DX103" s="143" t="s">
        <v>740</v>
      </c>
      <c r="DY103" s="143" t="s">
        <v>730</v>
      </c>
      <c r="DZ103" s="143" t="s">
        <v>841</v>
      </c>
      <c r="EA103" s="143">
        <v>2185</v>
      </c>
      <c r="EB103" s="78">
        <v>0</v>
      </c>
      <c r="EC103" s="78">
        <v>8</v>
      </c>
      <c r="ED103" s="78">
        <v>1</v>
      </c>
      <c r="EE103" s="78">
        <v>4</v>
      </c>
      <c r="EF103" s="78">
        <v>3</v>
      </c>
      <c r="EG103" s="78">
        <v>1</v>
      </c>
      <c r="EH103" s="78">
        <v>1</v>
      </c>
      <c r="EI103" s="78">
        <v>1</v>
      </c>
      <c r="EJ103" s="78">
        <v>1</v>
      </c>
      <c r="EK103" s="78">
        <v>1</v>
      </c>
      <c r="EL103" s="78">
        <v>1</v>
      </c>
      <c r="EM103" s="78">
        <v>1</v>
      </c>
      <c r="EN103" s="78">
        <v>0</v>
      </c>
      <c r="EO103" s="78">
        <v>1</v>
      </c>
      <c r="EP103" s="78">
        <v>1</v>
      </c>
      <c r="EQ103" s="137">
        <v>0.92592589999999997</v>
      </c>
      <c r="ES103" s="143" t="s">
        <v>740</v>
      </c>
      <c r="ET103" s="143" t="s">
        <v>730</v>
      </c>
      <c r="EU103" s="143" t="s">
        <v>841</v>
      </c>
      <c r="EV103" s="143">
        <v>2185</v>
      </c>
      <c r="EW103" s="78">
        <v>0</v>
      </c>
      <c r="EX103" s="78">
        <v>0</v>
      </c>
      <c r="EY103" s="78">
        <v>3</v>
      </c>
      <c r="EZ103" s="78">
        <v>2</v>
      </c>
      <c r="FA103" s="78">
        <v>0.5</v>
      </c>
      <c r="FB103" s="78">
        <v>3</v>
      </c>
      <c r="FC103" s="78">
        <v>2</v>
      </c>
      <c r="FD103" s="78">
        <v>1</v>
      </c>
      <c r="FE103" s="137">
        <v>0.88461540000000005</v>
      </c>
      <c r="FG103" s="137">
        <v>0.40087460000000003</v>
      </c>
    </row>
    <row r="104" spans="1:163" x14ac:dyDescent="0.35">
      <c r="A104" s="143" t="s">
        <v>740</v>
      </c>
      <c r="B104" s="143" t="s">
        <v>730</v>
      </c>
      <c r="C104" s="143" t="s">
        <v>841</v>
      </c>
      <c r="D104" s="143">
        <v>2544</v>
      </c>
      <c r="E104" s="78">
        <v>0</v>
      </c>
      <c r="F104" s="78">
        <v>1</v>
      </c>
      <c r="G104" s="78">
        <v>0</v>
      </c>
      <c r="H104" s="78">
        <v>0</v>
      </c>
      <c r="I104" s="78">
        <v>1</v>
      </c>
      <c r="J104" s="78">
        <v>0</v>
      </c>
      <c r="K104" s="78">
        <v>1</v>
      </c>
      <c r="L104" s="78">
        <v>0</v>
      </c>
      <c r="M104" s="78">
        <v>0</v>
      </c>
      <c r="N104" s="137">
        <v>0.2142857</v>
      </c>
      <c r="P104" s="143" t="s">
        <v>740</v>
      </c>
      <c r="Q104" s="143" t="s">
        <v>730</v>
      </c>
      <c r="R104" s="143" t="s">
        <v>841</v>
      </c>
      <c r="S104" s="143">
        <v>2544</v>
      </c>
      <c r="T104" s="78">
        <v>1</v>
      </c>
      <c r="U104" s="78">
        <v>1</v>
      </c>
      <c r="V104" s="78">
        <v>0</v>
      </c>
      <c r="W104" s="78">
        <v>0</v>
      </c>
      <c r="X104" s="78">
        <v>0</v>
      </c>
      <c r="Y104" s="78">
        <v>1</v>
      </c>
      <c r="Z104" s="78">
        <v>0</v>
      </c>
      <c r="AA104" s="78">
        <v>0</v>
      </c>
      <c r="AB104" s="78">
        <v>0</v>
      </c>
      <c r="AC104" s="78">
        <v>0</v>
      </c>
      <c r="AD104" s="137">
        <v>8.8235300000000003E-2</v>
      </c>
      <c r="AF104" s="143" t="s">
        <v>740</v>
      </c>
      <c r="AG104" s="143" t="s">
        <v>730</v>
      </c>
      <c r="AH104" s="143" t="s">
        <v>841</v>
      </c>
      <c r="AI104" s="143">
        <v>2544</v>
      </c>
      <c r="AJ104" s="78">
        <v>0</v>
      </c>
      <c r="AK104" s="78">
        <v>1</v>
      </c>
      <c r="AL104" s="78">
        <v>1</v>
      </c>
      <c r="AM104" s="78">
        <v>0</v>
      </c>
      <c r="AN104" s="78">
        <v>1</v>
      </c>
      <c r="AO104" s="78">
        <v>0</v>
      </c>
      <c r="AP104" s="78">
        <v>2</v>
      </c>
      <c r="AQ104" s="78">
        <v>1</v>
      </c>
      <c r="AR104" s="78">
        <v>2</v>
      </c>
      <c r="AS104" s="78">
        <v>0</v>
      </c>
      <c r="AT104" s="78">
        <v>0</v>
      </c>
      <c r="AU104" s="78">
        <v>0</v>
      </c>
      <c r="AV104" s="78">
        <v>0</v>
      </c>
      <c r="AW104" s="78">
        <v>0</v>
      </c>
      <c r="AX104" s="78">
        <v>4</v>
      </c>
      <c r="AY104" s="78">
        <v>1</v>
      </c>
      <c r="AZ104" s="78">
        <v>2</v>
      </c>
      <c r="BA104" s="78">
        <v>0.5</v>
      </c>
      <c r="BB104" s="78">
        <v>0.5</v>
      </c>
      <c r="BC104" s="78">
        <v>0.5</v>
      </c>
      <c r="BD104" s="78">
        <v>1</v>
      </c>
      <c r="BE104" s="78">
        <v>0.5</v>
      </c>
      <c r="BF104" s="78">
        <v>0</v>
      </c>
      <c r="BG104" s="78">
        <v>2</v>
      </c>
      <c r="BH104" s="137">
        <v>0.45454549999999999</v>
      </c>
      <c r="BJ104" s="143" t="s">
        <v>740</v>
      </c>
      <c r="BK104" s="143" t="s">
        <v>730</v>
      </c>
      <c r="BL104" s="143" t="s">
        <v>841</v>
      </c>
      <c r="BM104" s="143">
        <v>2544</v>
      </c>
      <c r="BN104" s="78">
        <v>1</v>
      </c>
      <c r="BO104" s="78">
        <v>4</v>
      </c>
      <c r="BP104" s="78">
        <v>0</v>
      </c>
      <c r="BQ104" s="78">
        <v>3</v>
      </c>
      <c r="BR104" s="78">
        <v>3</v>
      </c>
      <c r="BS104" s="78">
        <v>0</v>
      </c>
      <c r="BT104" s="78">
        <v>0</v>
      </c>
      <c r="BU104" s="137">
        <v>0.47826089999999999</v>
      </c>
      <c r="BW104" s="143" t="s">
        <v>740</v>
      </c>
      <c r="BX104" s="143" t="s">
        <v>730</v>
      </c>
      <c r="BY104" s="143" t="s">
        <v>841</v>
      </c>
      <c r="BZ104" s="143">
        <v>2544</v>
      </c>
      <c r="CA104" s="78">
        <v>1</v>
      </c>
      <c r="CB104" s="78">
        <v>1</v>
      </c>
      <c r="CC104" s="78">
        <v>1</v>
      </c>
      <c r="CD104" s="78">
        <v>2</v>
      </c>
      <c r="CE104" s="78">
        <v>0</v>
      </c>
      <c r="CF104" s="78">
        <v>2</v>
      </c>
      <c r="CG104" s="78">
        <v>1</v>
      </c>
      <c r="CH104" s="78">
        <v>2</v>
      </c>
      <c r="CI104" s="78">
        <v>1</v>
      </c>
      <c r="CJ104" s="78">
        <v>3</v>
      </c>
      <c r="CK104" s="137">
        <v>0.93333330000000003</v>
      </c>
      <c r="CM104" s="143" t="s">
        <v>740</v>
      </c>
      <c r="CN104" s="143" t="s">
        <v>730</v>
      </c>
      <c r="CO104" s="143" t="s">
        <v>841</v>
      </c>
      <c r="CP104" s="143">
        <v>2544</v>
      </c>
      <c r="CQ104" s="78">
        <v>0</v>
      </c>
      <c r="CR104" s="78">
        <v>0</v>
      </c>
      <c r="CS104" s="78">
        <v>16</v>
      </c>
      <c r="CT104" s="78">
        <v>4</v>
      </c>
      <c r="CU104" s="78">
        <v>2</v>
      </c>
      <c r="CV104" s="78">
        <v>8</v>
      </c>
      <c r="CW104" s="137">
        <v>0.57692310000000002</v>
      </c>
      <c r="CY104" s="143" t="s">
        <v>740</v>
      </c>
      <c r="CZ104" s="143" t="s">
        <v>730</v>
      </c>
      <c r="DA104" s="143" t="s">
        <v>841</v>
      </c>
      <c r="DB104" s="143">
        <v>2544</v>
      </c>
      <c r="DC104" s="78">
        <v>2</v>
      </c>
      <c r="DD104" s="137">
        <v>0</v>
      </c>
      <c r="DE104" s="137">
        <v>0</v>
      </c>
      <c r="DG104" s="143" t="s">
        <v>740</v>
      </c>
      <c r="DH104" s="143" t="s">
        <v>730</v>
      </c>
      <c r="DI104" s="143" t="s">
        <v>841</v>
      </c>
      <c r="DJ104" s="143">
        <v>2544</v>
      </c>
      <c r="DK104" s="78">
        <v>2</v>
      </c>
      <c r="DL104" s="78">
        <v>0</v>
      </c>
      <c r="DM104" s="78">
        <v>0</v>
      </c>
      <c r="DN104" s="78">
        <v>2</v>
      </c>
      <c r="DO104" s="78">
        <v>2</v>
      </c>
      <c r="DP104" s="78">
        <v>3</v>
      </c>
      <c r="DQ104" s="78">
        <v>7</v>
      </c>
      <c r="DR104" s="78">
        <v>1</v>
      </c>
      <c r="DS104" s="78">
        <v>1</v>
      </c>
      <c r="DT104" s="78">
        <v>0</v>
      </c>
      <c r="DU104" s="78">
        <v>0</v>
      </c>
      <c r="DV104" s="137">
        <v>0.62068959999999995</v>
      </c>
      <c r="DX104" s="143" t="s">
        <v>740</v>
      </c>
      <c r="DY104" s="143" t="s">
        <v>730</v>
      </c>
      <c r="DZ104" s="143" t="s">
        <v>841</v>
      </c>
      <c r="EA104" s="143">
        <v>2544</v>
      </c>
      <c r="EB104" s="78">
        <v>0</v>
      </c>
      <c r="EC104" s="78">
        <v>8</v>
      </c>
      <c r="ED104" s="78">
        <v>0</v>
      </c>
      <c r="EE104" s="78">
        <v>4</v>
      </c>
      <c r="EF104" s="78">
        <v>0</v>
      </c>
      <c r="EG104" s="78">
        <v>1</v>
      </c>
      <c r="EH104" s="78">
        <v>0</v>
      </c>
      <c r="EI104" s="78">
        <v>1</v>
      </c>
      <c r="EJ104" s="78">
        <v>1</v>
      </c>
      <c r="EK104" s="78">
        <v>0</v>
      </c>
      <c r="EL104" s="78">
        <v>0</v>
      </c>
      <c r="EM104" s="78">
        <v>0</v>
      </c>
      <c r="EN104" s="78">
        <v>1</v>
      </c>
      <c r="EO104" s="78">
        <v>1</v>
      </c>
      <c r="EP104" s="78">
        <v>0</v>
      </c>
      <c r="EQ104" s="137">
        <v>0.62962960000000001</v>
      </c>
      <c r="ES104" s="143" t="s">
        <v>740</v>
      </c>
      <c r="ET104" s="143" t="s">
        <v>730</v>
      </c>
      <c r="EU104" s="143" t="s">
        <v>841</v>
      </c>
      <c r="EV104" s="143">
        <v>2544</v>
      </c>
      <c r="EW104" s="78">
        <v>0</v>
      </c>
      <c r="EX104" s="78">
        <v>0</v>
      </c>
      <c r="EY104" s="78">
        <v>3</v>
      </c>
      <c r="EZ104" s="78">
        <v>0</v>
      </c>
      <c r="FA104" s="78">
        <v>0.5</v>
      </c>
      <c r="FB104" s="78">
        <v>3</v>
      </c>
      <c r="FC104" s="78">
        <v>2</v>
      </c>
      <c r="FD104" s="78">
        <v>1</v>
      </c>
      <c r="FE104" s="137">
        <v>0.73076920000000001</v>
      </c>
      <c r="FG104" s="137">
        <v>0.36588920000000003</v>
      </c>
    </row>
    <row r="105" spans="1:163" x14ac:dyDescent="0.35">
      <c r="A105" s="143" t="s">
        <v>740</v>
      </c>
      <c r="B105" s="143" t="s">
        <v>730</v>
      </c>
      <c r="C105" s="143" t="s">
        <v>842</v>
      </c>
      <c r="D105" s="143">
        <v>10315</v>
      </c>
      <c r="E105" s="78">
        <v>0</v>
      </c>
      <c r="F105" s="78">
        <v>0.5</v>
      </c>
      <c r="G105" s="78">
        <v>0</v>
      </c>
      <c r="H105" s="78">
        <v>2</v>
      </c>
      <c r="I105" s="78">
        <v>1</v>
      </c>
      <c r="J105" s="78">
        <v>0</v>
      </c>
      <c r="K105" s="78">
        <v>0</v>
      </c>
      <c r="L105" s="78">
        <v>1</v>
      </c>
      <c r="M105" s="78">
        <v>0</v>
      </c>
      <c r="N105" s="137">
        <v>0.32142860000000001</v>
      </c>
      <c r="P105" s="143" t="s">
        <v>740</v>
      </c>
      <c r="Q105" s="143" t="s">
        <v>730</v>
      </c>
      <c r="R105" s="143" t="s">
        <v>842</v>
      </c>
      <c r="S105" s="143">
        <v>10315</v>
      </c>
      <c r="T105" s="78">
        <v>1</v>
      </c>
      <c r="U105" s="78">
        <v>1</v>
      </c>
      <c r="V105" s="78">
        <v>0</v>
      </c>
      <c r="W105" s="78">
        <v>0</v>
      </c>
      <c r="X105" s="78">
        <v>0</v>
      </c>
      <c r="Y105" s="78">
        <v>1</v>
      </c>
      <c r="Z105" s="78">
        <v>0</v>
      </c>
      <c r="AA105" s="78">
        <v>0</v>
      </c>
      <c r="AB105" s="78">
        <v>0</v>
      </c>
      <c r="AC105" s="78">
        <v>0</v>
      </c>
      <c r="AD105" s="137">
        <v>8.8235300000000003E-2</v>
      </c>
      <c r="AF105" s="143" t="s">
        <v>740</v>
      </c>
      <c r="AG105" s="143" t="s">
        <v>730</v>
      </c>
      <c r="AH105" s="143" t="s">
        <v>842</v>
      </c>
      <c r="AI105" s="143">
        <v>10315</v>
      </c>
      <c r="AJ105" s="78">
        <v>0</v>
      </c>
      <c r="AK105" s="78">
        <v>0</v>
      </c>
      <c r="AL105" s="78">
        <v>0</v>
      </c>
      <c r="AM105" s="78">
        <v>0</v>
      </c>
      <c r="AN105" s="78">
        <v>0</v>
      </c>
      <c r="AO105" s="78">
        <v>0</v>
      </c>
      <c r="AP105" s="78">
        <v>2</v>
      </c>
      <c r="AQ105" s="78">
        <v>1</v>
      </c>
      <c r="AR105" s="78">
        <v>0</v>
      </c>
      <c r="AS105" s="78">
        <v>0</v>
      </c>
      <c r="AT105" s="78">
        <v>0</v>
      </c>
      <c r="AU105" s="78">
        <v>0</v>
      </c>
      <c r="AV105" s="78">
        <v>0</v>
      </c>
      <c r="AW105" s="78">
        <v>0</v>
      </c>
      <c r="AX105" s="78">
        <v>4</v>
      </c>
      <c r="AY105" s="78">
        <v>0</v>
      </c>
      <c r="AZ105" s="78">
        <v>0</v>
      </c>
      <c r="BA105" s="78">
        <v>0.5</v>
      </c>
      <c r="BB105" s="78">
        <v>0.5</v>
      </c>
      <c r="BC105" s="78">
        <v>0</v>
      </c>
      <c r="BD105" s="78">
        <v>1</v>
      </c>
      <c r="BE105" s="78">
        <v>0.5</v>
      </c>
      <c r="BF105" s="78">
        <v>0</v>
      </c>
      <c r="BG105" s="78">
        <v>8</v>
      </c>
      <c r="BH105" s="137">
        <v>0.39772730000000001</v>
      </c>
      <c r="BJ105" s="143" t="s">
        <v>740</v>
      </c>
      <c r="BK105" s="143" t="s">
        <v>730</v>
      </c>
      <c r="BL105" s="143" t="s">
        <v>842</v>
      </c>
      <c r="BM105" s="143">
        <v>10315</v>
      </c>
      <c r="BN105" s="78">
        <v>1</v>
      </c>
      <c r="BO105" s="78">
        <v>4</v>
      </c>
      <c r="BP105" s="78">
        <v>0</v>
      </c>
      <c r="BQ105" s="78">
        <v>3</v>
      </c>
      <c r="BR105" s="78">
        <v>0</v>
      </c>
      <c r="BS105" s="78">
        <v>0</v>
      </c>
      <c r="BT105" s="78">
        <v>0</v>
      </c>
      <c r="BU105" s="137">
        <v>0.34782610000000003</v>
      </c>
      <c r="BW105" s="143" t="s">
        <v>740</v>
      </c>
      <c r="BX105" s="143" t="s">
        <v>730</v>
      </c>
      <c r="BY105" s="143" t="s">
        <v>842</v>
      </c>
      <c r="BZ105" s="143">
        <v>10315</v>
      </c>
      <c r="CM105" s="143" t="s">
        <v>740</v>
      </c>
      <c r="CN105" s="143" t="s">
        <v>730</v>
      </c>
      <c r="CO105" s="143" t="s">
        <v>842</v>
      </c>
      <c r="CP105" s="143">
        <v>10315</v>
      </c>
      <c r="CQ105" s="78">
        <v>2</v>
      </c>
      <c r="CR105" s="78">
        <v>0</v>
      </c>
      <c r="CS105" s="78">
        <v>0</v>
      </c>
      <c r="CT105" s="78">
        <v>4</v>
      </c>
      <c r="CU105" s="78">
        <v>0</v>
      </c>
      <c r="CV105" s="78">
        <v>8</v>
      </c>
      <c r="CW105" s="137">
        <v>0.26923079999999999</v>
      </c>
      <c r="CY105" s="143" t="s">
        <v>740</v>
      </c>
      <c r="CZ105" s="143" t="s">
        <v>730</v>
      </c>
      <c r="DA105" s="143" t="s">
        <v>842</v>
      </c>
      <c r="DB105" s="143">
        <v>10315</v>
      </c>
      <c r="DC105" s="78">
        <v>0</v>
      </c>
      <c r="DD105" s="137">
        <v>0</v>
      </c>
      <c r="DE105" s="137">
        <v>0</v>
      </c>
      <c r="DG105" s="143" t="s">
        <v>740</v>
      </c>
      <c r="DH105" s="143" t="s">
        <v>730</v>
      </c>
      <c r="DI105" s="143" t="s">
        <v>842</v>
      </c>
      <c r="DJ105" s="143">
        <v>10315</v>
      </c>
      <c r="DK105" s="78">
        <v>2</v>
      </c>
      <c r="DL105" s="78">
        <v>0</v>
      </c>
      <c r="DM105" s="78">
        <v>1</v>
      </c>
      <c r="DN105" s="78">
        <v>1</v>
      </c>
      <c r="DO105" s="78">
        <v>2</v>
      </c>
      <c r="DP105" s="78">
        <v>3</v>
      </c>
      <c r="DQ105" s="78">
        <v>5</v>
      </c>
      <c r="DR105" s="78">
        <v>1</v>
      </c>
      <c r="DS105" s="78">
        <v>1</v>
      </c>
      <c r="DT105" s="78">
        <v>0</v>
      </c>
      <c r="DU105" s="78">
        <v>0</v>
      </c>
      <c r="DV105" s="137">
        <v>0.55172410000000005</v>
      </c>
      <c r="DX105" s="143" t="s">
        <v>740</v>
      </c>
      <c r="DY105" s="143" t="s">
        <v>730</v>
      </c>
      <c r="DZ105" s="143" t="s">
        <v>842</v>
      </c>
      <c r="EA105" s="143">
        <v>10315</v>
      </c>
      <c r="EB105" s="78">
        <v>0</v>
      </c>
      <c r="EC105" s="78">
        <v>8</v>
      </c>
      <c r="ED105" s="78">
        <v>0</v>
      </c>
      <c r="EE105" s="78">
        <v>4</v>
      </c>
      <c r="EF105" s="78">
        <v>3</v>
      </c>
      <c r="EG105" s="78">
        <v>1</v>
      </c>
      <c r="EH105" s="78">
        <v>0</v>
      </c>
      <c r="EI105" s="78">
        <v>1</v>
      </c>
      <c r="EJ105" s="78">
        <v>1</v>
      </c>
      <c r="EK105" s="78">
        <v>1</v>
      </c>
      <c r="EL105" s="78">
        <v>1</v>
      </c>
      <c r="EM105" s="78">
        <v>1</v>
      </c>
      <c r="EN105" s="78">
        <v>0</v>
      </c>
      <c r="EO105" s="78">
        <v>1</v>
      </c>
      <c r="EP105" s="78">
        <v>0</v>
      </c>
      <c r="EQ105" s="137">
        <v>0.81481479999999995</v>
      </c>
      <c r="ES105" s="143" t="s">
        <v>740</v>
      </c>
      <c r="ET105" s="143" t="s">
        <v>730</v>
      </c>
      <c r="EU105" s="143" t="s">
        <v>842</v>
      </c>
      <c r="EV105" s="143">
        <v>10315</v>
      </c>
      <c r="EW105" s="78">
        <v>0</v>
      </c>
      <c r="EX105" s="78">
        <v>0</v>
      </c>
      <c r="EY105" s="78">
        <v>0</v>
      </c>
      <c r="EZ105" s="78">
        <v>0</v>
      </c>
      <c r="FA105" s="78">
        <v>0.5</v>
      </c>
      <c r="FB105" s="78">
        <v>3</v>
      </c>
      <c r="FC105" s="78">
        <v>2</v>
      </c>
      <c r="FD105" s="78">
        <v>1</v>
      </c>
      <c r="FE105" s="137">
        <v>0.5</v>
      </c>
      <c r="FG105" s="137">
        <v>0.27896339999999997</v>
      </c>
    </row>
    <row r="106" spans="1:163" x14ac:dyDescent="0.35">
      <c r="A106" s="143" t="s">
        <v>740</v>
      </c>
      <c r="B106" s="143" t="s">
        <v>730</v>
      </c>
      <c r="C106" s="143" t="s">
        <v>842</v>
      </c>
      <c r="D106" s="143">
        <v>10317</v>
      </c>
      <c r="E106" s="78">
        <v>0</v>
      </c>
      <c r="F106" s="78">
        <v>2</v>
      </c>
      <c r="G106" s="78">
        <v>1</v>
      </c>
      <c r="H106" s="78">
        <v>0</v>
      </c>
      <c r="I106" s="78">
        <v>1</v>
      </c>
      <c r="J106" s="78">
        <v>0</v>
      </c>
      <c r="K106" s="78">
        <v>1</v>
      </c>
      <c r="L106" s="78">
        <v>0</v>
      </c>
      <c r="M106" s="78">
        <v>0</v>
      </c>
      <c r="N106" s="137">
        <v>0.35714289999999999</v>
      </c>
      <c r="P106" s="143" t="s">
        <v>740</v>
      </c>
      <c r="Q106" s="143" t="s">
        <v>730</v>
      </c>
      <c r="R106" s="143" t="s">
        <v>842</v>
      </c>
      <c r="S106" s="143">
        <v>10317</v>
      </c>
      <c r="T106" s="78">
        <v>1</v>
      </c>
      <c r="U106" s="78">
        <v>1</v>
      </c>
      <c r="V106" s="78">
        <v>0</v>
      </c>
      <c r="W106" s="78">
        <v>0.5</v>
      </c>
      <c r="X106" s="78">
        <v>0</v>
      </c>
      <c r="Y106" s="78">
        <v>1</v>
      </c>
      <c r="Z106" s="78">
        <v>0</v>
      </c>
      <c r="AA106" s="78">
        <v>0</v>
      </c>
      <c r="AB106" s="78">
        <v>0</v>
      </c>
      <c r="AC106" s="78">
        <v>0</v>
      </c>
      <c r="AD106" s="137">
        <v>0.1029412</v>
      </c>
      <c r="AF106" s="143" t="s">
        <v>740</v>
      </c>
      <c r="AG106" s="143" t="s">
        <v>730</v>
      </c>
      <c r="AH106" s="143" t="s">
        <v>842</v>
      </c>
      <c r="AI106" s="143">
        <v>10317</v>
      </c>
      <c r="AJ106" s="78">
        <v>1</v>
      </c>
      <c r="AK106" s="78">
        <v>0</v>
      </c>
      <c r="AL106" s="78">
        <v>1</v>
      </c>
      <c r="AM106" s="78">
        <v>0</v>
      </c>
      <c r="AN106" s="78">
        <v>1</v>
      </c>
      <c r="AO106" s="78">
        <v>2</v>
      </c>
      <c r="AP106" s="78">
        <v>2</v>
      </c>
      <c r="AQ106" s="78">
        <v>1</v>
      </c>
      <c r="AR106" s="78">
        <v>2</v>
      </c>
      <c r="AS106" s="78">
        <v>0</v>
      </c>
      <c r="AT106" s="78">
        <v>0</v>
      </c>
      <c r="AU106" s="78">
        <v>0</v>
      </c>
      <c r="AV106" s="78">
        <v>0</v>
      </c>
      <c r="AW106" s="78">
        <v>0</v>
      </c>
      <c r="AX106" s="78">
        <v>0</v>
      </c>
      <c r="AY106" s="78">
        <v>1</v>
      </c>
      <c r="AZ106" s="78">
        <v>2</v>
      </c>
      <c r="BA106" s="78">
        <v>0.5</v>
      </c>
      <c r="BB106" s="78">
        <v>0.5</v>
      </c>
      <c r="BC106" s="78">
        <v>0.5</v>
      </c>
      <c r="BD106" s="78">
        <v>1</v>
      </c>
      <c r="BE106" s="78">
        <v>0.5</v>
      </c>
      <c r="BF106" s="78">
        <v>0</v>
      </c>
      <c r="BG106" s="78">
        <v>2</v>
      </c>
      <c r="BH106" s="137">
        <v>0.40909089999999998</v>
      </c>
      <c r="BJ106" s="143" t="s">
        <v>740</v>
      </c>
      <c r="BK106" s="143" t="s">
        <v>730</v>
      </c>
      <c r="BL106" s="143" t="s">
        <v>842</v>
      </c>
      <c r="BM106" s="143">
        <v>10317</v>
      </c>
      <c r="BN106" s="78">
        <v>1</v>
      </c>
      <c r="BO106" s="78">
        <v>0</v>
      </c>
      <c r="BP106" s="78">
        <v>0</v>
      </c>
      <c r="BQ106" s="78">
        <v>3</v>
      </c>
      <c r="BR106" s="78">
        <v>3</v>
      </c>
      <c r="BS106" s="78">
        <v>0</v>
      </c>
      <c r="BT106" s="78">
        <v>0</v>
      </c>
      <c r="BU106" s="137">
        <v>0.3043478</v>
      </c>
      <c r="BW106" s="143" t="s">
        <v>740</v>
      </c>
      <c r="BX106" s="143" t="s">
        <v>730</v>
      </c>
      <c r="BY106" s="143" t="s">
        <v>842</v>
      </c>
      <c r="BZ106" s="143">
        <v>10317</v>
      </c>
      <c r="CM106" s="143" t="s">
        <v>740</v>
      </c>
      <c r="CN106" s="143" t="s">
        <v>730</v>
      </c>
      <c r="CO106" s="143" t="s">
        <v>842</v>
      </c>
      <c r="CP106" s="143">
        <v>10317</v>
      </c>
      <c r="CQ106" s="78">
        <v>8</v>
      </c>
      <c r="CR106" s="78">
        <v>0</v>
      </c>
      <c r="CS106" s="78">
        <v>4</v>
      </c>
      <c r="CT106" s="78">
        <v>4</v>
      </c>
      <c r="CU106" s="78">
        <v>2</v>
      </c>
      <c r="CV106" s="78">
        <v>8</v>
      </c>
      <c r="CW106" s="137">
        <v>0.5</v>
      </c>
      <c r="CY106" s="143" t="s">
        <v>740</v>
      </c>
      <c r="CZ106" s="143" t="s">
        <v>730</v>
      </c>
      <c r="DA106" s="143" t="s">
        <v>842</v>
      </c>
      <c r="DB106" s="143">
        <v>10317</v>
      </c>
      <c r="DC106" s="78">
        <v>0</v>
      </c>
      <c r="DD106" s="137">
        <v>0</v>
      </c>
      <c r="DE106" s="137">
        <v>0</v>
      </c>
      <c r="DG106" s="143" t="s">
        <v>740</v>
      </c>
      <c r="DH106" s="143" t="s">
        <v>730</v>
      </c>
      <c r="DI106" s="143" t="s">
        <v>842</v>
      </c>
      <c r="DJ106" s="143">
        <v>10317</v>
      </c>
      <c r="DK106" s="78">
        <v>0</v>
      </c>
      <c r="DL106" s="78">
        <v>1</v>
      </c>
      <c r="DM106" s="78">
        <v>0</v>
      </c>
      <c r="DN106" s="78">
        <v>4</v>
      </c>
      <c r="DO106" s="78">
        <v>2</v>
      </c>
      <c r="DP106" s="78">
        <v>3</v>
      </c>
      <c r="DQ106" s="78">
        <v>7</v>
      </c>
      <c r="DR106" s="78">
        <v>1</v>
      </c>
      <c r="DS106" s="78">
        <v>1</v>
      </c>
      <c r="DT106" s="78">
        <v>0</v>
      </c>
      <c r="DU106" s="78">
        <v>0</v>
      </c>
      <c r="DV106" s="137">
        <v>0.65517239999999999</v>
      </c>
      <c r="DX106" s="143" t="s">
        <v>740</v>
      </c>
      <c r="DY106" s="143" t="s">
        <v>730</v>
      </c>
      <c r="DZ106" s="143" t="s">
        <v>842</v>
      </c>
      <c r="EA106" s="143">
        <v>10317</v>
      </c>
      <c r="EB106" s="78">
        <v>0</v>
      </c>
      <c r="EC106" s="78">
        <v>0</v>
      </c>
      <c r="ED106" s="78">
        <v>1</v>
      </c>
      <c r="EE106" s="78">
        <v>4</v>
      </c>
      <c r="EF106" s="78">
        <v>0</v>
      </c>
      <c r="EG106" s="78">
        <v>1</v>
      </c>
      <c r="EH106" s="78">
        <v>1</v>
      </c>
      <c r="EI106" s="78">
        <v>1</v>
      </c>
      <c r="EJ106" s="78">
        <v>1</v>
      </c>
      <c r="EK106" s="78">
        <v>1</v>
      </c>
      <c r="EL106" s="78">
        <v>1</v>
      </c>
      <c r="EM106" s="78">
        <v>1</v>
      </c>
      <c r="EN106" s="78">
        <v>1</v>
      </c>
      <c r="EO106" s="78">
        <v>1</v>
      </c>
      <c r="EP106" s="78">
        <v>1</v>
      </c>
      <c r="EQ106" s="137">
        <v>0.55555560000000004</v>
      </c>
      <c r="ES106" s="143" t="s">
        <v>740</v>
      </c>
      <c r="ET106" s="143" t="s">
        <v>730</v>
      </c>
      <c r="EU106" s="143" t="s">
        <v>842</v>
      </c>
      <c r="EV106" s="143">
        <v>10317</v>
      </c>
      <c r="EW106" s="78">
        <v>0</v>
      </c>
      <c r="EX106" s="78">
        <v>1</v>
      </c>
      <c r="EY106" s="78">
        <v>0</v>
      </c>
      <c r="EZ106" s="78">
        <v>0</v>
      </c>
      <c r="FA106" s="78">
        <v>0.5</v>
      </c>
      <c r="FB106" s="78">
        <v>3</v>
      </c>
      <c r="FC106" s="78">
        <v>2</v>
      </c>
      <c r="FD106" s="78">
        <v>1</v>
      </c>
      <c r="FE106" s="137">
        <v>0.57692310000000002</v>
      </c>
      <c r="FG106" s="137">
        <v>0.3079268</v>
      </c>
    </row>
    <row r="107" spans="1:163" x14ac:dyDescent="0.35">
      <c r="A107" s="143" t="s">
        <v>741</v>
      </c>
      <c r="B107" s="143" t="s">
        <v>736</v>
      </c>
      <c r="C107" s="143" t="s">
        <v>841</v>
      </c>
      <c r="D107" s="143">
        <v>58</v>
      </c>
      <c r="E107" s="78">
        <v>0</v>
      </c>
      <c r="F107" s="78">
        <v>1.5</v>
      </c>
      <c r="G107" s="78">
        <v>1</v>
      </c>
      <c r="H107" s="78">
        <v>2</v>
      </c>
      <c r="I107" s="78">
        <v>1</v>
      </c>
      <c r="J107" s="78">
        <v>0</v>
      </c>
      <c r="K107" s="78">
        <v>1</v>
      </c>
      <c r="L107" s="78">
        <v>1</v>
      </c>
      <c r="M107" s="78">
        <v>0</v>
      </c>
      <c r="N107" s="137">
        <v>0.53571429999999998</v>
      </c>
      <c r="P107" s="143" t="s">
        <v>741</v>
      </c>
      <c r="Q107" s="143" t="s">
        <v>736</v>
      </c>
      <c r="R107" s="143" t="s">
        <v>841</v>
      </c>
      <c r="S107" s="143">
        <v>58</v>
      </c>
      <c r="T107" s="78">
        <v>1</v>
      </c>
      <c r="U107" s="78">
        <v>1</v>
      </c>
      <c r="V107" s="78">
        <v>2</v>
      </c>
      <c r="W107" s="78">
        <v>2</v>
      </c>
      <c r="X107" s="78">
        <v>0</v>
      </c>
      <c r="Y107" s="78">
        <v>1</v>
      </c>
      <c r="Z107" s="78">
        <v>0</v>
      </c>
      <c r="AA107" s="78">
        <v>0</v>
      </c>
      <c r="AB107" s="78">
        <v>0</v>
      </c>
      <c r="AC107" s="78">
        <v>0</v>
      </c>
      <c r="AD107" s="137">
        <v>0.20588239999999999</v>
      </c>
      <c r="AF107" s="143" t="s">
        <v>741</v>
      </c>
      <c r="AG107" s="143" t="s">
        <v>736</v>
      </c>
      <c r="AH107" s="143" t="s">
        <v>841</v>
      </c>
      <c r="AI107" s="143">
        <v>58</v>
      </c>
      <c r="AJ107" s="78">
        <v>1</v>
      </c>
      <c r="AK107" s="78">
        <v>0</v>
      </c>
      <c r="AL107" s="78">
        <v>1</v>
      </c>
      <c r="AM107" s="78">
        <v>6</v>
      </c>
      <c r="AN107" s="78">
        <v>1</v>
      </c>
      <c r="AO107" s="78">
        <v>0</v>
      </c>
      <c r="AP107" s="78">
        <v>2</v>
      </c>
      <c r="AQ107" s="78">
        <v>1</v>
      </c>
      <c r="AR107" s="78">
        <v>2</v>
      </c>
      <c r="AS107" s="78">
        <v>2</v>
      </c>
      <c r="AT107" s="78">
        <v>2</v>
      </c>
      <c r="AU107" s="78">
        <v>1</v>
      </c>
      <c r="AV107" s="78">
        <v>2</v>
      </c>
      <c r="AW107" s="78">
        <v>1</v>
      </c>
      <c r="AX107" s="78">
        <v>4</v>
      </c>
      <c r="AY107" s="78">
        <v>1</v>
      </c>
      <c r="AZ107" s="78">
        <v>2</v>
      </c>
      <c r="BA107" s="78">
        <v>0.5</v>
      </c>
      <c r="BB107" s="78">
        <v>0.5</v>
      </c>
      <c r="BC107" s="78">
        <v>0.5</v>
      </c>
      <c r="BD107" s="78">
        <v>1</v>
      </c>
      <c r="BE107" s="78">
        <v>0.5</v>
      </c>
      <c r="BF107" s="78">
        <v>0</v>
      </c>
      <c r="BG107" s="78">
        <v>4</v>
      </c>
      <c r="BH107" s="137">
        <v>0.81818179999999996</v>
      </c>
      <c r="BJ107" s="143" t="s">
        <v>741</v>
      </c>
      <c r="BK107" s="143" t="s">
        <v>736</v>
      </c>
      <c r="BL107" s="143" t="s">
        <v>841</v>
      </c>
      <c r="BM107" s="143">
        <v>58</v>
      </c>
      <c r="BN107" s="78">
        <v>1</v>
      </c>
      <c r="BO107" s="78">
        <v>4</v>
      </c>
      <c r="BP107" s="78">
        <v>0</v>
      </c>
      <c r="BQ107" s="78">
        <v>3</v>
      </c>
      <c r="BR107" s="78">
        <v>3</v>
      </c>
      <c r="BS107" s="78">
        <v>3</v>
      </c>
      <c r="BT107" s="78">
        <v>2</v>
      </c>
      <c r="BU107" s="137">
        <v>0.69565220000000005</v>
      </c>
      <c r="BW107" s="143" t="s">
        <v>741</v>
      </c>
      <c r="BX107" s="143" t="s">
        <v>736</v>
      </c>
      <c r="BY107" s="143" t="s">
        <v>841</v>
      </c>
      <c r="BZ107" s="143">
        <v>58</v>
      </c>
      <c r="CA107" s="78">
        <v>1</v>
      </c>
      <c r="CB107" s="78">
        <v>0</v>
      </c>
      <c r="CC107" s="78">
        <v>1</v>
      </c>
      <c r="CD107" s="78">
        <v>2</v>
      </c>
      <c r="CE107" s="78">
        <v>1</v>
      </c>
      <c r="CF107" s="78">
        <v>2</v>
      </c>
      <c r="CG107" s="78">
        <v>1</v>
      </c>
      <c r="CH107" s="78">
        <v>2</v>
      </c>
      <c r="CI107" s="78">
        <v>1</v>
      </c>
      <c r="CJ107" s="78">
        <v>3</v>
      </c>
      <c r="CK107" s="137">
        <v>0.93333330000000003</v>
      </c>
      <c r="CM107" s="143" t="s">
        <v>741</v>
      </c>
      <c r="CN107" s="143" t="s">
        <v>736</v>
      </c>
      <c r="CO107" s="143" t="s">
        <v>841</v>
      </c>
      <c r="CP107" s="143">
        <v>58</v>
      </c>
      <c r="CQ107" s="78">
        <v>8</v>
      </c>
      <c r="CR107" s="78">
        <v>0</v>
      </c>
      <c r="CS107" s="78">
        <v>4</v>
      </c>
      <c r="CT107" s="78">
        <v>4</v>
      </c>
      <c r="CU107" s="78">
        <v>0</v>
      </c>
      <c r="CV107" s="78">
        <v>8</v>
      </c>
      <c r="CW107" s="137">
        <v>0.46153850000000002</v>
      </c>
      <c r="CY107" s="143" t="s">
        <v>741</v>
      </c>
      <c r="CZ107" s="143" t="s">
        <v>736</v>
      </c>
      <c r="DA107" s="143" t="s">
        <v>841</v>
      </c>
      <c r="DB107" s="143">
        <v>58</v>
      </c>
      <c r="DC107" s="78">
        <v>0</v>
      </c>
      <c r="DD107" s="137">
        <v>0</v>
      </c>
      <c r="DE107" s="137">
        <v>0</v>
      </c>
      <c r="DG107" s="143" t="s">
        <v>741</v>
      </c>
      <c r="DH107" s="143" t="s">
        <v>736</v>
      </c>
      <c r="DI107" s="143" t="s">
        <v>841</v>
      </c>
      <c r="DJ107" s="143">
        <v>58</v>
      </c>
      <c r="DK107" s="78">
        <v>2</v>
      </c>
      <c r="DL107" s="78">
        <v>1</v>
      </c>
      <c r="DM107" s="78">
        <v>1</v>
      </c>
      <c r="DN107" s="78">
        <v>7</v>
      </c>
      <c r="DO107" s="78">
        <v>2</v>
      </c>
      <c r="DP107" s="78">
        <v>3</v>
      </c>
      <c r="DQ107" s="78">
        <v>8</v>
      </c>
      <c r="DR107" s="78">
        <v>1</v>
      </c>
      <c r="DS107" s="78">
        <v>1</v>
      </c>
      <c r="DT107" s="78">
        <v>2</v>
      </c>
      <c r="DU107" s="78">
        <v>1</v>
      </c>
      <c r="DV107" s="137">
        <v>1</v>
      </c>
      <c r="DX107" s="143" t="s">
        <v>741</v>
      </c>
      <c r="DY107" s="143" t="s">
        <v>736</v>
      </c>
      <c r="DZ107" s="143" t="s">
        <v>841</v>
      </c>
      <c r="EA107" s="143">
        <v>58</v>
      </c>
      <c r="EB107" s="78">
        <v>1</v>
      </c>
      <c r="EC107" s="78">
        <v>8</v>
      </c>
      <c r="ED107" s="78">
        <v>1</v>
      </c>
      <c r="EE107" s="78">
        <v>4</v>
      </c>
      <c r="EF107" s="78">
        <v>3</v>
      </c>
      <c r="EG107" s="78">
        <v>1</v>
      </c>
      <c r="EH107" s="78">
        <v>0</v>
      </c>
      <c r="EI107" s="78">
        <v>1</v>
      </c>
      <c r="EJ107" s="78">
        <v>1</v>
      </c>
      <c r="EK107" s="78">
        <v>1</v>
      </c>
      <c r="EL107" s="78">
        <v>1</v>
      </c>
      <c r="EM107" s="78">
        <v>1</v>
      </c>
      <c r="EN107" s="78">
        <v>0</v>
      </c>
      <c r="EO107" s="78">
        <v>1</v>
      </c>
      <c r="EP107" s="78">
        <v>0</v>
      </c>
      <c r="EQ107" s="137">
        <v>0.88888889999999998</v>
      </c>
      <c r="ES107" s="143" t="s">
        <v>741</v>
      </c>
      <c r="ET107" s="143" t="s">
        <v>736</v>
      </c>
      <c r="EU107" s="143" t="s">
        <v>841</v>
      </c>
      <c r="EV107" s="143">
        <v>58</v>
      </c>
      <c r="EW107" s="78">
        <v>0</v>
      </c>
      <c r="EX107" s="78">
        <v>0</v>
      </c>
      <c r="EY107" s="78">
        <v>0</v>
      </c>
      <c r="EZ107" s="78">
        <v>0</v>
      </c>
      <c r="FA107" s="78">
        <v>0.5</v>
      </c>
      <c r="FB107" s="78">
        <v>3</v>
      </c>
      <c r="FC107" s="78">
        <v>2</v>
      </c>
      <c r="FD107" s="78">
        <v>1</v>
      </c>
      <c r="FE107" s="137">
        <v>0.5</v>
      </c>
      <c r="FG107" s="137">
        <v>0.47813410000000001</v>
      </c>
    </row>
    <row r="108" spans="1:163" x14ac:dyDescent="0.35">
      <c r="A108" s="143" t="s">
        <v>741</v>
      </c>
      <c r="B108" s="143" t="s">
        <v>736</v>
      </c>
      <c r="C108" s="143" t="s">
        <v>842</v>
      </c>
      <c r="D108" s="143">
        <v>1025</v>
      </c>
      <c r="E108" s="78">
        <v>0.5</v>
      </c>
      <c r="F108" s="78">
        <v>1.5</v>
      </c>
      <c r="G108" s="78">
        <v>0</v>
      </c>
      <c r="H108" s="78">
        <v>2</v>
      </c>
      <c r="I108" s="78">
        <v>0</v>
      </c>
      <c r="J108" s="78">
        <v>0</v>
      </c>
      <c r="K108" s="78">
        <v>1</v>
      </c>
      <c r="L108" s="78">
        <v>1</v>
      </c>
      <c r="M108" s="78">
        <v>0</v>
      </c>
      <c r="N108" s="137">
        <v>0.42857139999999999</v>
      </c>
      <c r="P108" s="143" t="s">
        <v>741</v>
      </c>
      <c r="Q108" s="143" t="s">
        <v>736</v>
      </c>
      <c r="R108" s="143" t="s">
        <v>842</v>
      </c>
      <c r="S108" s="143">
        <v>1025</v>
      </c>
      <c r="T108" s="78">
        <v>1</v>
      </c>
      <c r="U108" s="78">
        <v>1</v>
      </c>
      <c r="V108" s="78">
        <v>1.5</v>
      </c>
      <c r="W108" s="78">
        <v>1</v>
      </c>
      <c r="X108" s="78">
        <v>12</v>
      </c>
      <c r="Y108" s="78">
        <v>1</v>
      </c>
      <c r="Z108" s="78">
        <v>0</v>
      </c>
      <c r="AA108" s="78">
        <v>0</v>
      </c>
      <c r="AB108" s="78">
        <v>0</v>
      </c>
      <c r="AC108" s="78">
        <v>0</v>
      </c>
      <c r="AD108" s="137">
        <v>0.51470590000000005</v>
      </c>
      <c r="AF108" s="143" t="s">
        <v>741</v>
      </c>
      <c r="AG108" s="143" t="s">
        <v>736</v>
      </c>
      <c r="AH108" s="143" t="s">
        <v>842</v>
      </c>
      <c r="AI108" s="143">
        <v>1025</v>
      </c>
      <c r="AJ108" s="78">
        <v>1</v>
      </c>
      <c r="AK108" s="78">
        <v>0</v>
      </c>
      <c r="AL108" s="78">
        <v>0</v>
      </c>
      <c r="AM108" s="78">
        <v>5</v>
      </c>
      <c r="AN108" s="78">
        <v>1</v>
      </c>
      <c r="AO108" s="78">
        <v>2</v>
      </c>
      <c r="AP108" s="78">
        <v>1</v>
      </c>
      <c r="AQ108" s="78">
        <v>1</v>
      </c>
      <c r="AR108" s="78">
        <v>0</v>
      </c>
      <c r="AS108" s="78">
        <v>2</v>
      </c>
      <c r="AT108" s="78">
        <v>0</v>
      </c>
      <c r="AU108" s="78">
        <v>0</v>
      </c>
      <c r="AV108" s="78">
        <v>2</v>
      </c>
      <c r="AW108" s="78">
        <v>1</v>
      </c>
      <c r="AX108" s="78">
        <v>0</v>
      </c>
      <c r="AY108" s="78">
        <v>1</v>
      </c>
      <c r="AZ108" s="78">
        <v>2</v>
      </c>
      <c r="BA108" s="78">
        <v>0.5</v>
      </c>
      <c r="BB108" s="78">
        <v>0.5</v>
      </c>
      <c r="BC108" s="78">
        <v>0.5</v>
      </c>
      <c r="BD108" s="78">
        <v>1</v>
      </c>
      <c r="BE108" s="78">
        <v>0.5</v>
      </c>
      <c r="BF108" s="78">
        <v>0</v>
      </c>
      <c r="BG108" s="78">
        <v>2</v>
      </c>
      <c r="BH108" s="137">
        <v>0.54545460000000001</v>
      </c>
      <c r="BJ108" s="143" t="s">
        <v>741</v>
      </c>
      <c r="BK108" s="143" t="s">
        <v>736</v>
      </c>
      <c r="BL108" s="143" t="s">
        <v>842</v>
      </c>
      <c r="BM108" s="143">
        <v>1025</v>
      </c>
      <c r="BN108" s="78">
        <v>0</v>
      </c>
      <c r="BO108" s="78">
        <v>4</v>
      </c>
      <c r="BP108" s="78">
        <v>0</v>
      </c>
      <c r="BQ108" s="78">
        <v>3</v>
      </c>
      <c r="BR108" s="78">
        <v>0</v>
      </c>
      <c r="BS108" s="78">
        <v>3</v>
      </c>
      <c r="BT108" s="78">
        <v>0</v>
      </c>
      <c r="BU108" s="137">
        <v>0.43478260000000002</v>
      </c>
      <c r="BW108" s="143" t="s">
        <v>741</v>
      </c>
      <c r="BX108" s="143" t="s">
        <v>736</v>
      </c>
      <c r="BY108" s="143" t="s">
        <v>842</v>
      </c>
      <c r="BZ108" s="143">
        <v>1025</v>
      </c>
      <c r="CA108" s="78">
        <v>1</v>
      </c>
      <c r="CB108" s="78">
        <v>1</v>
      </c>
      <c r="CC108" s="78">
        <v>1</v>
      </c>
      <c r="CD108" s="78">
        <v>2</v>
      </c>
      <c r="CE108" s="78">
        <v>0</v>
      </c>
      <c r="CF108" s="78">
        <v>2</v>
      </c>
      <c r="CG108" s="78">
        <v>1</v>
      </c>
      <c r="CH108" s="78">
        <v>2</v>
      </c>
      <c r="CI108" s="78">
        <v>1</v>
      </c>
      <c r="CJ108" s="78">
        <v>0</v>
      </c>
      <c r="CK108" s="137">
        <v>0.73333329999999997</v>
      </c>
      <c r="CM108" s="143" t="s">
        <v>741</v>
      </c>
      <c r="CN108" s="143" t="s">
        <v>736</v>
      </c>
      <c r="CO108" s="143" t="s">
        <v>842</v>
      </c>
      <c r="CP108" s="143">
        <v>1025</v>
      </c>
      <c r="CQ108" s="78">
        <v>8</v>
      </c>
      <c r="CR108" s="78">
        <v>0</v>
      </c>
      <c r="CS108" s="78">
        <v>0</v>
      </c>
      <c r="CT108" s="78">
        <v>4</v>
      </c>
      <c r="CU108" s="78">
        <v>0</v>
      </c>
      <c r="CV108" s="78">
        <v>8</v>
      </c>
      <c r="CW108" s="137">
        <v>0.3846154</v>
      </c>
      <c r="CY108" s="143" t="s">
        <v>741</v>
      </c>
      <c r="CZ108" s="143" t="s">
        <v>736</v>
      </c>
      <c r="DA108" s="143" t="s">
        <v>842</v>
      </c>
      <c r="DB108" s="143">
        <v>1025</v>
      </c>
      <c r="DC108" s="78">
        <v>0</v>
      </c>
      <c r="DD108" s="137">
        <v>0</v>
      </c>
      <c r="DE108" s="137">
        <v>0</v>
      </c>
      <c r="DG108" s="143" t="s">
        <v>741</v>
      </c>
      <c r="DH108" s="143" t="s">
        <v>736</v>
      </c>
      <c r="DI108" s="143" t="s">
        <v>842</v>
      </c>
      <c r="DJ108" s="143">
        <v>1025</v>
      </c>
      <c r="DK108" s="78">
        <v>2</v>
      </c>
      <c r="DL108" s="78">
        <v>1</v>
      </c>
      <c r="DM108" s="78">
        <v>0</v>
      </c>
      <c r="DN108" s="78">
        <v>5</v>
      </c>
      <c r="DO108" s="78">
        <v>2</v>
      </c>
      <c r="DP108" s="78">
        <v>3</v>
      </c>
      <c r="DQ108" s="78">
        <v>7</v>
      </c>
      <c r="DR108" s="78">
        <v>0</v>
      </c>
      <c r="DS108" s="78">
        <v>1</v>
      </c>
      <c r="DT108" s="78">
        <v>0</v>
      </c>
      <c r="DU108" s="78">
        <v>0</v>
      </c>
      <c r="DV108" s="137">
        <v>0.7241379</v>
      </c>
      <c r="DX108" s="143" t="s">
        <v>741</v>
      </c>
      <c r="DY108" s="143" t="s">
        <v>736</v>
      </c>
      <c r="DZ108" s="143" t="s">
        <v>842</v>
      </c>
      <c r="EA108" s="143">
        <v>1025</v>
      </c>
      <c r="EB108" s="78">
        <v>1</v>
      </c>
      <c r="EC108" s="78">
        <v>8</v>
      </c>
      <c r="ED108" s="78">
        <v>1</v>
      </c>
      <c r="EE108" s="78">
        <v>4</v>
      </c>
      <c r="EF108" s="78">
        <v>0</v>
      </c>
      <c r="EG108" s="78">
        <v>1</v>
      </c>
      <c r="EH108" s="78">
        <v>1</v>
      </c>
      <c r="EI108" s="78">
        <v>1</v>
      </c>
      <c r="EJ108" s="78">
        <v>1</v>
      </c>
      <c r="EK108" s="78">
        <v>1</v>
      </c>
      <c r="EL108" s="78">
        <v>1</v>
      </c>
      <c r="EM108" s="78">
        <v>1</v>
      </c>
      <c r="EN108" s="78">
        <v>0</v>
      </c>
      <c r="EO108" s="78">
        <v>1</v>
      </c>
      <c r="EP108" s="78">
        <v>1</v>
      </c>
      <c r="EQ108" s="137">
        <v>0.8518519</v>
      </c>
      <c r="ES108" s="143" t="s">
        <v>741</v>
      </c>
      <c r="ET108" s="143" t="s">
        <v>736</v>
      </c>
      <c r="EU108" s="143" t="s">
        <v>842</v>
      </c>
      <c r="EV108" s="143">
        <v>1025</v>
      </c>
      <c r="EW108" s="78">
        <v>0</v>
      </c>
      <c r="EX108" s="78">
        <v>0</v>
      </c>
      <c r="EY108" s="78">
        <v>0</v>
      </c>
      <c r="EZ108" s="78">
        <v>0</v>
      </c>
      <c r="FA108" s="78">
        <v>0.5</v>
      </c>
      <c r="FB108" s="78">
        <v>3</v>
      </c>
      <c r="FC108" s="78">
        <v>2</v>
      </c>
      <c r="FD108" s="78">
        <v>1</v>
      </c>
      <c r="FE108" s="137">
        <v>0.5</v>
      </c>
      <c r="FG108" s="137">
        <v>0.40524779999999999</v>
      </c>
    </row>
    <row r="109" spans="1:163" x14ac:dyDescent="0.35">
      <c r="A109" s="143" t="s">
        <v>741</v>
      </c>
      <c r="B109" s="143" t="s">
        <v>736</v>
      </c>
      <c r="C109" s="143" t="s">
        <v>841</v>
      </c>
      <c r="D109" s="143">
        <v>1545</v>
      </c>
      <c r="E109" s="78">
        <v>0</v>
      </c>
      <c r="F109" s="78">
        <v>2</v>
      </c>
      <c r="G109" s="78">
        <v>1</v>
      </c>
      <c r="H109" s="78">
        <v>4</v>
      </c>
      <c r="I109" s="78">
        <v>1</v>
      </c>
      <c r="J109" s="78">
        <v>0</v>
      </c>
      <c r="K109" s="78">
        <v>1</v>
      </c>
      <c r="L109" s="78">
        <v>1</v>
      </c>
      <c r="M109" s="78">
        <v>2</v>
      </c>
      <c r="N109" s="137">
        <v>0.85714290000000004</v>
      </c>
      <c r="P109" s="143" t="s">
        <v>741</v>
      </c>
      <c r="Q109" s="143" t="s">
        <v>736</v>
      </c>
      <c r="R109" s="143" t="s">
        <v>841</v>
      </c>
      <c r="S109" s="143">
        <v>1545</v>
      </c>
      <c r="T109" s="78">
        <v>1</v>
      </c>
      <c r="U109" s="78">
        <v>1</v>
      </c>
      <c r="V109" s="78">
        <v>0.5</v>
      </c>
      <c r="W109" s="78">
        <v>1</v>
      </c>
      <c r="X109" s="78">
        <v>0</v>
      </c>
      <c r="Y109" s="78">
        <v>1</v>
      </c>
      <c r="Z109" s="78">
        <v>0</v>
      </c>
      <c r="AA109" s="78">
        <v>0</v>
      </c>
      <c r="AB109" s="78">
        <v>0</v>
      </c>
      <c r="AC109" s="78">
        <v>3</v>
      </c>
      <c r="AD109" s="137">
        <v>0.22058820000000001</v>
      </c>
      <c r="AF109" s="143" t="s">
        <v>741</v>
      </c>
      <c r="AG109" s="143" t="s">
        <v>736</v>
      </c>
      <c r="AH109" s="143" t="s">
        <v>841</v>
      </c>
      <c r="AI109" s="143">
        <v>1545</v>
      </c>
      <c r="AJ109" s="78">
        <v>1</v>
      </c>
      <c r="AK109" s="78">
        <v>1</v>
      </c>
      <c r="AL109" s="78">
        <v>0</v>
      </c>
      <c r="AM109" s="78">
        <v>1</v>
      </c>
      <c r="AN109" s="78">
        <v>1</v>
      </c>
      <c r="AO109" s="78">
        <v>2</v>
      </c>
      <c r="AP109" s="78">
        <v>2</v>
      </c>
      <c r="AQ109" s="78">
        <v>1</v>
      </c>
      <c r="AR109" s="78">
        <v>2</v>
      </c>
      <c r="AS109" s="78">
        <v>2</v>
      </c>
      <c r="AT109" s="78">
        <v>2</v>
      </c>
      <c r="AU109" s="78">
        <v>0</v>
      </c>
      <c r="AV109" s="78">
        <v>2</v>
      </c>
      <c r="AW109" s="78">
        <v>1</v>
      </c>
      <c r="AX109" s="78">
        <v>0</v>
      </c>
      <c r="AY109" s="78">
        <v>1</v>
      </c>
      <c r="AZ109" s="78">
        <v>2</v>
      </c>
      <c r="BA109" s="78">
        <v>0.5</v>
      </c>
      <c r="BB109" s="78">
        <v>0.5</v>
      </c>
      <c r="BC109" s="78">
        <v>0.5</v>
      </c>
      <c r="BD109" s="78">
        <v>1</v>
      </c>
      <c r="BE109" s="78">
        <v>0.5</v>
      </c>
      <c r="BF109" s="78">
        <v>0</v>
      </c>
      <c r="BG109" s="78">
        <v>2</v>
      </c>
      <c r="BH109" s="137">
        <v>0.59090909999999996</v>
      </c>
      <c r="BJ109" s="143" t="s">
        <v>741</v>
      </c>
      <c r="BK109" s="143" t="s">
        <v>736</v>
      </c>
      <c r="BL109" s="143" t="s">
        <v>841</v>
      </c>
      <c r="BM109" s="143">
        <v>1545</v>
      </c>
      <c r="BN109" s="78">
        <v>0</v>
      </c>
      <c r="BO109" s="78">
        <v>4</v>
      </c>
      <c r="BP109" s="78">
        <v>0</v>
      </c>
      <c r="BQ109" s="78">
        <v>3</v>
      </c>
      <c r="BR109" s="78">
        <v>0</v>
      </c>
      <c r="BS109" s="78">
        <v>3</v>
      </c>
      <c r="BT109" s="78">
        <v>0</v>
      </c>
      <c r="BU109" s="137">
        <v>0.43478260000000002</v>
      </c>
      <c r="BW109" s="143" t="s">
        <v>741</v>
      </c>
      <c r="BX109" s="143" t="s">
        <v>736</v>
      </c>
      <c r="BY109" s="143" t="s">
        <v>841</v>
      </c>
      <c r="BZ109" s="143">
        <v>1545</v>
      </c>
      <c r="CA109" s="78">
        <v>1</v>
      </c>
      <c r="CB109" s="78">
        <v>1</v>
      </c>
      <c r="CC109" s="78">
        <v>1</v>
      </c>
      <c r="CD109" s="78">
        <v>2</v>
      </c>
      <c r="CE109" s="78">
        <v>1</v>
      </c>
      <c r="CF109" s="78">
        <v>2</v>
      </c>
      <c r="CG109" s="78">
        <v>1</v>
      </c>
      <c r="CH109" s="78">
        <v>2</v>
      </c>
      <c r="CI109" s="78">
        <v>1</v>
      </c>
      <c r="CJ109" s="78">
        <v>0</v>
      </c>
      <c r="CK109" s="137">
        <v>0.8</v>
      </c>
      <c r="CM109" s="143" t="s">
        <v>741</v>
      </c>
      <c r="CN109" s="143" t="s">
        <v>736</v>
      </c>
      <c r="CO109" s="143" t="s">
        <v>841</v>
      </c>
      <c r="CP109" s="143">
        <v>1545</v>
      </c>
      <c r="CQ109" s="78">
        <v>8</v>
      </c>
      <c r="CR109" s="78">
        <v>0</v>
      </c>
      <c r="CS109" s="78">
        <v>8</v>
      </c>
      <c r="CT109" s="78">
        <v>4</v>
      </c>
      <c r="CU109" s="78">
        <v>2</v>
      </c>
      <c r="CV109" s="78">
        <v>8</v>
      </c>
      <c r="CW109" s="137">
        <v>0.57692310000000002</v>
      </c>
      <c r="CY109" s="143" t="s">
        <v>741</v>
      </c>
      <c r="CZ109" s="143" t="s">
        <v>736</v>
      </c>
      <c r="DA109" s="143" t="s">
        <v>841</v>
      </c>
      <c r="DB109" s="143">
        <v>1545</v>
      </c>
      <c r="DC109" s="78">
        <v>0</v>
      </c>
      <c r="DD109" s="137">
        <v>0</v>
      </c>
      <c r="DE109" s="137">
        <v>0</v>
      </c>
      <c r="DG109" s="143" t="s">
        <v>741</v>
      </c>
      <c r="DH109" s="143" t="s">
        <v>736</v>
      </c>
      <c r="DI109" s="143" t="s">
        <v>841</v>
      </c>
      <c r="DJ109" s="143">
        <v>1545</v>
      </c>
      <c r="DK109" s="78">
        <v>0</v>
      </c>
      <c r="DL109" s="78">
        <v>1</v>
      </c>
      <c r="DM109" s="78">
        <v>0</v>
      </c>
      <c r="DN109" s="78">
        <v>5</v>
      </c>
      <c r="DO109" s="78">
        <v>2</v>
      </c>
      <c r="DP109" s="78">
        <v>3</v>
      </c>
      <c r="DQ109" s="78">
        <v>5</v>
      </c>
      <c r="DR109" s="78">
        <v>0</v>
      </c>
      <c r="DS109" s="78">
        <v>1</v>
      </c>
      <c r="DT109" s="78">
        <v>0</v>
      </c>
      <c r="DU109" s="78">
        <v>0</v>
      </c>
      <c r="DV109" s="137">
        <v>0.58620689999999998</v>
      </c>
      <c r="DX109" s="143" t="s">
        <v>741</v>
      </c>
      <c r="DY109" s="143" t="s">
        <v>736</v>
      </c>
      <c r="DZ109" s="143" t="s">
        <v>841</v>
      </c>
      <c r="EA109" s="143">
        <v>1545</v>
      </c>
      <c r="EB109" s="78">
        <v>0</v>
      </c>
      <c r="EC109" s="78">
        <v>8</v>
      </c>
      <c r="ED109" s="78">
        <v>1</v>
      </c>
      <c r="EE109" s="78">
        <v>4</v>
      </c>
      <c r="EF109" s="78">
        <v>0</v>
      </c>
      <c r="EG109" s="78">
        <v>1</v>
      </c>
      <c r="EH109" s="78">
        <v>1</v>
      </c>
      <c r="EI109" s="78">
        <v>1</v>
      </c>
      <c r="EJ109" s="78">
        <v>0</v>
      </c>
      <c r="EK109" s="78">
        <v>1</v>
      </c>
      <c r="EL109" s="78">
        <v>1</v>
      </c>
      <c r="EM109" s="78">
        <v>1</v>
      </c>
      <c r="EN109" s="78">
        <v>0</v>
      </c>
      <c r="EO109" s="78">
        <v>1</v>
      </c>
      <c r="EP109" s="78">
        <v>0</v>
      </c>
      <c r="EQ109" s="137">
        <v>0.74074070000000003</v>
      </c>
      <c r="ES109" s="143" t="s">
        <v>741</v>
      </c>
      <c r="ET109" s="143" t="s">
        <v>736</v>
      </c>
      <c r="EU109" s="143" t="s">
        <v>841</v>
      </c>
      <c r="EV109" s="143">
        <v>1545</v>
      </c>
      <c r="EW109" s="78">
        <v>0</v>
      </c>
      <c r="EX109" s="78">
        <v>0</v>
      </c>
      <c r="EY109" s="78">
        <v>0</v>
      </c>
      <c r="EZ109" s="78">
        <v>0</v>
      </c>
      <c r="FA109" s="78">
        <v>0.5</v>
      </c>
      <c r="FB109" s="78">
        <v>3</v>
      </c>
      <c r="FC109" s="78">
        <v>2</v>
      </c>
      <c r="FD109" s="78">
        <v>1</v>
      </c>
      <c r="FE109" s="137">
        <v>0.5</v>
      </c>
      <c r="FG109" s="137">
        <v>0.41107870000000002</v>
      </c>
    </row>
    <row r="110" spans="1:163" x14ac:dyDescent="0.35">
      <c r="A110" s="143" t="s">
        <v>741</v>
      </c>
      <c r="B110" s="143" t="s">
        <v>736</v>
      </c>
      <c r="C110" s="143" t="s">
        <v>842</v>
      </c>
      <c r="D110" s="143">
        <v>1548</v>
      </c>
      <c r="E110" s="78">
        <v>0</v>
      </c>
      <c r="F110" s="78">
        <v>1.5</v>
      </c>
      <c r="G110" s="78">
        <v>0</v>
      </c>
      <c r="H110" s="78">
        <v>3</v>
      </c>
      <c r="I110" s="78">
        <v>1</v>
      </c>
      <c r="J110" s="78">
        <v>0</v>
      </c>
      <c r="K110" s="78">
        <v>0</v>
      </c>
      <c r="L110" s="78">
        <v>0</v>
      </c>
      <c r="M110" s="78">
        <v>2</v>
      </c>
      <c r="N110" s="137">
        <v>0.53571429999999998</v>
      </c>
      <c r="P110" s="143" t="s">
        <v>741</v>
      </c>
      <c r="Q110" s="143" t="s">
        <v>736</v>
      </c>
      <c r="R110" s="143" t="s">
        <v>842</v>
      </c>
      <c r="S110" s="143">
        <v>1548</v>
      </c>
      <c r="T110" s="78">
        <v>1</v>
      </c>
      <c r="U110" s="78">
        <v>1</v>
      </c>
      <c r="V110" s="78">
        <v>0</v>
      </c>
      <c r="W110" s="78">
        <v>0</v>
      </c>
      <c r="X110" s="78">
        <v>0</v>
      </c>
      <c r="Y110" s="78">
        <v>1</v>
      </c>
      <c r="Z110" s="78">
        <v>3</v>
      </c>
      <c r="AA110" s="78">
        <v>0</v>
      </c>
      <c r="AB110" s="78">
        <v>0</v>
      </c>
      <c r="AC110" s="78">
        <v>0</v>
      </c>
      <c r="AD110" s="137">
        <v>0.17647060000000001</v>
      </c>
      <c r="AF110" s="143" t="s">
        <v>741</v>
      </c>
      <c r="AG110" s="143" t="s">
        <v>736</v>
      </c>
      <c r="AH110" s="143" t="s">
        <v>842</v>
      </c>
      <c r="AI110" s="143">
        <v>1548</v>
      </c>
      <c r="AJ110" s="78">
        <v>1</v>
      </c>
      <c r="AK110" s="78">
        <v>0</v>
      </c>
      <c r="AL110" s="78">
        <v>1</v>
      </c>
      <c r="AM110" s="78">
        <v>0</v>
      </c>
      <c r="AN110" s="78">
        <v>1</v>
      </c>
      <c r="AO110" s="78">
        <v>2</v>
      </c>
      <c r="AP110" s="78">
        <v>2</v>
      </c>
      <c r="AQ110" s="78">
        <v>1</v>
      </c>
      <c r="AR110" s="78">
        <v>0</v>
      </c>
      <c r="AS110" s="78">
        <v>2</v>
      </c>
      <c r="AT110" s="78">
        <v>2</v>
      </c>
      <c r="AU110" s="78">
        <v>0</v>
      </c>
      <c r="AV110" s="78">
        <v>2</v>
      </c>
      <c r="AW110" s="78">
        <v>0</v>
      </c>
      <c r="AX110" s="78">
        <v>0</v>
      </c>
      <c r="AY110" s="78">
        <v>1</v>
      </c>
      <c r="AZ110" s="78">
        <v>2</v>
      </c>
      <c r="BA110" s="78">
        <v>0.5</v>
      </c>
      <c r="BB110" s="78">
        <v>0.5</v>
      </c>
      <c r="BC110" s="78">
        <v>0.5</v>
      </c>
      <c r="BD110" s="78">
        <v>1</v>
      </c>
      <c r="BE110" s="78">
        <v>0.5</v>
      </c>
      <c r="BF110" s="78">
        <v>0</v>
      </c>
      <c r="BG110" s="78">
        <v>4</v>
      </c>
      <c r="BH110" s="137">
        <v>0.54545460000000001</v>
      </c>
      <c r="BJ110" s="143" t="s">
        <v>741</v>
      </c>
      <c r="BK110" s="143" t="s">
        <v>736</v>
      </c>
      <c r="BL110" s="143" t="s">
        <v>842</v>
      </c>
      <c r="BM110" s="143">
        <v>1548</v>
      </c>
      <c r="BN110" s="78">
        <v>0</v>
      </c>
      <c r="BO110" s="78">
        <v>4</v>
      </c>
      <c r="BP110" s="78">
        <v>0</v>
      </c>
      <c r="BQ110" s="78">
        <v>0</v>
      </c>
      <c r="BR110" s="78">
        <v>0</v>
      </c>
      <c r="BS110" s="78">
        <v>0</v>
      </c>
      <c r="BT110" s="78">
        <v>2</v>
      </c>
      <c r="BU110" s="137">
        <v>0.26086959999999998</v>
      </c>
      <c r="BW110" s="143" t="s">
        <v>741</v>
      </c>
      <c r="BX110" s="143" t="s">
        <v>736</v>
      </c>
      <c r="BY110" s="143" t="s">
        <v>842</v>
      </c>
      <c r="BZ110" s="143">
        <v>1548</v>
      </c>
      <c r="CA110" s="78">
        <v>1</v>
      </c>
      <c r="CB110" s="78">
        <v>0</v>
      </c>
      <c r="CC110" s="78">
        <v>0</v>
      </c>
      <c r="CD110" s="78">
        <v>2</v>
      </c>
      <c r="CE110" s="78">
        <v>0</v>
      </c>
      <c r="CF110" s="78">
        <v>2</v>
      </c>
      <c r="CG110" s="78">
        <v>1</v>
      </c>
      <c r="CH110" s="78">
        <v>2</v>
      </c>
      <c r="CI110" s="78">
        <v>1</v>
      </c>
      <c r="CJ110" s="78">
        <v>3</v>
      </c>
      <c r="CK110" s="137">
        <v>0.8</v>
      </c>
      <c r="CM110" s="143" t="s">
        <v>741</v>
      </c>
      <c r="CN110" s="143" t="s">
        <v>736</v>
      </c>
      <c r="CO110" s="143" t="s">
        <v>842</v>
      </c>
      <c r="CP110" s="143">
        <v>1548</v>
      </c>
      <c r="CQ110" s="78">
        <v>0</v>
      </c>
      <c r="CR110" s="78">
        <v>0</v>
      </c>
      <c r="CS110" s="78">
        <v>0</v>
      </c>
      <c r="CT110" s="78">
        <v>4</v>
      </c>
      <c r="CU110" s="78">
        <v>0</v>
      </c>
      <c r="CV110" s="78">
        <v>8</v>
      </c>
      <c r="CW110" s="137">
        <v>0.23076920000000001</v>
      </c>
      <c r="CY110" s="143" t="s">
        <v>741</v>
      </c>
      <c r="CZ110" s="143" t="s">
        <v>736</v>
      </c>
      <c r="DA110" s="143" t="s">
        <v>842</v>
      </c>
      <c r="DB110" s="143">
        <v>1548</v>
      </c>
      <c r="DC110" s="78">
        <v>0</v>
      </c>
      <c r="DD110" s="137">
        <v>0</v>
      </c>
      <c r="DE110" s="137">
        <v>0</v>
      </c>
      <c r="DG110" s="143" t="s">
        <v>741</v>
      </c>
      <c r="DH110" s="143" t="s">
        <v>736</v>
      </c>
      <c r="DI110" s="143" t="s">
        <v>842</v>
      </c>
      <c r="DJ110" s="143">
        <v>1548</v>
      </c>
      <c r="DK110" s="78">
        <v>0</v>
      </c>
      <c r="DL110" s="78">
        <v>1</v>
      </c>
      <c r="DM110" s="78">
        <v>0</v>
      </c>
      <c r="DN110" s="78">
        <v>5</v>
      </c>
      <c r="DO110" s="78">
        <v>2</v>
      </c>
      <c r="DP110" s="78">
        <v>3</v>
      </c>
      <c r="DQ110" s="78">
        <v>3</v>
      </c>
      <c r="DR110" s="78">
        <v>1</v>
      </c>
      <c r="DS110" s="78">
        <v>1</v>
      </c>
      <c r="DT110" s="78">
        <v>0</v>
      </c>
      <c r="DU110" s="78">
        <v>1</v>
      </c>
      <c r="DV110" s="137">
        <v>0.58620689999999998</v>
      </c>
      <c r="DX110" s="143" t="s">
        <v>741</v>
      </c>
      <c r="DY110" s="143" t="s">
        <v>736</v>
      </c>
      <c r="DZ110" s="143" t="s">
        <v>842</v>
      </c>
      <c r="EA110" s="143">
        <v>1548</v>
      </c>
      <c r="EB110" s="78">
        <v>1</v>
      </c>
      <c r="EC110" s="78">
        <v>8</v>
      </c>
      <c r="ED110" s="78">
        <v>1</v>
      </c>
      <c r="EE110" s="78">
        <v>4</v>
      </c>
      <c r="EF110" s="78">
        <v>3</v>
      </c>
      <c r="EG110" s="78">
        <v>1</v>
      </c>
      <c r="EH110" s="78">
        <v>0</v>
      </c>
      <c r="EI110" s="78">
        <v>1</v>
      </c>
      <c r="EJ110" s="78">
        <v>1</v>
      </c>
      <c r="EK110" s="78">
        <v>0</v>
      </c>
      <c r="EL110" s="78">
        <v>1</v>
      </c>
      <c r="EM110" s="78">
        <v>1</v>
      </c>
      <c r="EN110" s="78">
        <v>1</v>
      </c>
      <c r="EO110" s="78">
        <v>1</v>
      </c>
      <c r="EP110" s="78">
        <v>0</v>
      </c>
      <c r="EQ110" s="137">
        <v>0.88888889999999998</v>
      </c>
      <c r="ES110" s="143" t="s">
        <v>741</v>
      </c>
      <c r="ET110" s="143" t="s">
        <v>736</v>
      </c>
      <c r="EU110" s="143" t="s">
        <v>842</v>
      </c>
      <c r="EV110" s="143">
        <v>1548</v>
      </c>
      <c r="EW110" s="78">
        <v>0</v>
      </c>
      <c r="EX110" s="78">
        <v>0</v>
      </c>
      <c r="EY110" s="78">
        <v>0</v>
      </c>
      <c r="EZ110" s="78">
        <v>0</v>
      </c>
      <c r="FA110" s="78">
        <v>0.5</v>
      </c>
      <c r="FB110" s="78">
        <v>3</v>
      </c>
      <c r="FC110" s="78">
        <v>2</v>
      </c>
      <c r="FD110" s="78">
        <v>1</v>
      </c>
      <c r="FE110" s="137">
        <v>0.5</v>
      </c>
      <c r="FG110" s="137">
        <v>0.33527699999999999</v>
      </c>
    </row>
    <row r="111" spans="1:163" x14ac:dyDescent="0.35">
      <c r="A111" s="143" t="s">
        <v>741</v>
      </c>
      <c r="B111" s="143" t="s">
        <v>736</v>
      </c>
      <c r="C111" s="143" t="s">
        <v>842</v>
      </c>
      <c r="D111" s="143">
        <v>1961</v>
      </c>
      <c r="E111" s="78">
        <v>0</v>
      </c>
      <c r="F111" s="78">
        <v>2</v>
      </c>
      <c r="G111" s="78">
        <v>1</v>
      </c>
      <c r="H111" s="78">
        <v>4</v>
      </c>
      <c r="I111" s="78">
        <v>1</v>
      </c>
      <c r="J111" s="78">
        <v>0</v>
      </c>
      <c r="K111" s="78">
        <v>1</v>
      </c>
      <c r="L111" s="78">
        <v>1</v>
      </c>
      <c r="M111" s="78">
        <v>2</v>
      </c>
      <c r="N111" s="137">
        <v>0.85714290000000004</v>
      </c>
      <c r="P111" s="143" t="s">
        <v>741</v>
      </c>
      <c r="Q111" s="143" t="s">
        <v>736</v>
      </c>
      <c r="R111" s="143" t="s">
        <v>842</v>
      </c>
      <c r="S111" s="143">
        <v>1961</v>
      </c>
      <c r="T111" s="78">
        <v>1</v>
      </c>
      <c r="U111" s="78">
        <v>1</v>
      </c>
      <c r="V111" s="78">
        <v>1</v>
      </c>
      <c r="W111" s="78">
        <v>0</v>
      </c>
      <c r="X111" s="78">
        <v>0</v>
      </c>
      <c r="Y111" s="78">
        <v>1</v>
      </c>
      <c r="Z111" s="78">
        <v>3</v>
      </c>
      <c r="AA111" s="78">
        <v>0</v>
      </c>
      <c r="AB111" s="78">
        <v>6</v>
      </c>
      <c r="AC111" s="78">
        <v>3</v>
      </c>
      <c r="AD111" s="137">
        <v>0.47058820000000001</v>
      </c>
      <c r="AF111" s="143" t="s">
        <v>741</v>
      </c>
      <c r="AG111" s="143" t="s">
        <v>736</v>
      </c>
      <c r="AH111" s="143" t="s">
        <v>842</v>
      </c>
      <c r="AI111" s="143">
        <v>1961</v>
      </c>
      <c r="AJ111" s="78">
        <v>1</v>
      </c>
      <c r="AK111" s="78">
        <v>1</v>
      </c>
      <c r="AL111" s="78">
        <v>1</v>
      </c>
      <c r="AM111" s="78">
        <v>5</v>
      </c>
      <c r="AN111" s="78">
        <v>1</v>
      </c>
      <c r="AO111" s="78">
        <v>2</v>
      </c>
      <c r="AP111" s="78">
        <v>2</v>
      </c>
      <c r="AQ111" s="78">
        <v>1</v>
      </c>
      <c r="AR111" s="78">
        <v>2</v>
      </c>
      <c r="AS111" s="78">
        <v>2</v>
      </c>
      <c r="AT111" s="78">
        <v>2</v>
      </c>
      <c r="AU111" s="78">
        <v>1</v>
      </c>
      <c r="AV111" s="78">
        <v>2</v>
      </c>
      <c r="AW111" s="78">
        <v>1</v>
      </c>
      <c r="AX111" s="78">
        <v>0</v>
      </c>
      <c r="AY111" s="78">
        <v>1</v>
      </c>
      <c r="AZ111" s="78">
        <v>2</v>
      </c>
      <c r="BA111" s="78">
        <v>0.5</v>
      </c>
      <c r="BB111" s="78">
        <v>0.5</v>
      </c>
      <c r="BC111" s="78">
        <v>0.5</v>
      </c>
      <c r="BD111" s="78">
        <v>1</v>
      </c>
      <c r="BE111" s="78">
        <v>0.5</v>
      </c>
      <c r="BF111" s="78">
        <v>1</v>
      </c>
      <c r="BG111" s="78">
        <v>8</v>
      </c>
      <c r="BH111" s="137">
        <v>0.88636360000000003</v>
      </c>
      <c r="BJ111" s="143" t="s">
        <v>741</v>
      </c>
      <c r="BK111" s="143" t="s">
        <v>736</v>
      </c>
      <c r="BL111" s="143" t="s">
        <v>842</v>
      </c>
      <c r="BM111" s="143">
        <v>1961</v>
      </c>
      <c r="BN111" s="78">
        <v>1</v>
      </c>
      <c r="BO111" s="78">
        <v>0</v>
      </c>
      <c r="BP111" s="78">
        <v>0</v>
      </c>
      <c r="BQ111" s="78">
        <v>3</v>
      </c>
      <c r="BR111" s="78">
        <v>0</v>
      </c>
      <c r="BS111" s="78">
        <v>0</v>
      </c>
      <c r="BT111" s="78">
        <v>2</v>
      </c>
      <c r="BU111" s="137">
        <v>0.26086959999999998</v>
      </c>
      <c r="BW111" s="143" t="s">
        <v>741</v>
      </c>
      <c r="BX111" s="143" t="s">
        <v>736</v>
      </c>
      <c r="BY111" s="143" t="s">
        <v>842</v>
      </c>
      <c r="BZ111" s="143">
        <v>1961</v>
      </c>
      <c r="CA111" s="78">
        <v>1</v>
      </c>
      <c r="CB111" s="78">
        <v>1</v>
      </c>
      <c r="CC111" s="78">
        <v>1</v>
      </c>
      <c r="CD111" s="78">
        <v>2</v>
      </c>
      <c r="CE111" s="78">
        <v>1</v>
      </c>
      <c r="CF111" s="78">
        <v>2</v>
      </c>
      <c r="CG111" s="78">
        <v>0</v>
      </c>
      <c r="CH111" s="78">
        <v>2</v>
      </c>
      <c r="CI111" s="78">
        <v>1</v>
      </c>
      <c r="CJ111" s="78">
        <v>3</v>
      </c>
      <c r="CK111" s="137">
        <v>0.93333330000000003</v>
      </c>
      <c r="CM111" s="143" t="s">
        <v>741</v>
      </c>
      <c r="CN111" s="143" t="s">
        <v>736</v>
      </c>
      <c r="CO111" s="143" t="s">
        <v>842</v>
      </c>
      <c r="CP111" s="143">
        <v>1961</v>
      </c>
      <c r="CQ111" s="78">
        <v>8</v>
      </c>
      <c r="CR111" s="78">
        <v>0</v>
      </c>
      <c r="CS111" s="78">
        <v>0</v>
      </c>
      <c r="CT111" s="78">
        <v>4</v>
      </c>
      <c r="CU111" s="78">
        <v>0</v>
      </c>
      <c r="CV111" s="78">
        <v>8</v>
      </c>
      <c r="CW111" s="137">
        <v>0.3846154</v>
      </c>
      <c r="CY111" s="143" t="s">
        <v>741</v>
      </c>
      <c r="CZ111" s="143" t="s">
        <v>736</v>
      </c>
      <c r="DA111" s="143" t="s">
        <v>842</v>
      </c>
      <c r="DB111" s="143">
        <v>1961</v>
      </c>
      <c r="DC111" s="78">
        <v>0</v>
      </c>
      <c r="DD111" s="137">
        <v>0</v>
      </c>
      <c r="DE111" s="137">
        <v>0</v>
      </c>
      <c r="DG111" s="143" t="s">
        <v>741</v>
      </c>
      <c r="DH111" s="143" t="s">
        <v>736</v>
      </c>
      <c r="DI111" s="143" t="s">
        <v>842</v>
      </c>
      <c r="DJ111" s="143">
        <v>1961</v>
      </c>
      <c r="DK111" s="78">
        <v>2</v>
      </c>
      <c r="DL111" s="78">
        <v>1</v>
      </c>
      <c r="DM111" s="78">
        <v>1</v>
      </c>
      <c r="DN111" s="78">
        <v>4</v>
      </c>
      <c r="DO111" s="78">
        <v>2</v>
      </c>
      <c r="DP111" s="78">
        <v>3</v>
      </c>
      <c r="DQ111" s="78">
        <v>8</v>
      </c>
      <c r="DR111" s="78">
        <v>1</v>
      </c>
      <c r="DS111" s="78">
        <v>1</v>
      </c>
      <c r="DT111" s="78">
        <v>0</v>
      </c>
      <c r="DU111" s="78">
        <v>1</v>
      </c>
      <c r="DV111" s="137">
        <v>0.82758620000000005</v>
      </c>
      <c r="DX111" s="143" t="s">
        <v>741</v>
      </c>
      <c r="DY111" s="143" t="s">
        <v>736</v>
      </c>
      <c r="DZ111" s="143" t="s">
        <v>842</v>
      </c>
      <c r="EA111" s="143">
        <v>1961</v>
      </c>
      <c r="EB111" s="78">
        <v>1</v>
      </c>
      <c r="EC111" s="78">
        <v>8</v>
      </c>
      <c r="ED111" s="78">
        <v>1</v>
      </c>
      <c r="EE111" s="78">
        <v>4</v>
      </c>
      <c r="EF111" s="78">
        <v>3</v>
      </c>
      <c r="EG111" s="78">
        <v>1</v>
      </c>
      <c r="EH111" s="78">
        <v>0</v>
      </c>
      <c r="EI111" s="78">
        <v>1</v>
      </c>
      <c r="EJ111" s="78">
        <v>1</v>
      </c>
      <c r="EK111" s="78">
        <v>0</v>
      </c>
      <c r="EL111" s="78">
        <v>1</v>
      </c>
      <c r="EM111" s="78">
        <v>1</v>
      </c>
      <c r="EN111" s="78">
        <v>1</v>
      </c>
      <c r="EO111" s="78">
        <v>1</v>
      </c>
      <c r="EP111" s="78">
        <v>0</v>
      </c>
      <c r="EQ111" s="137">
        <v>0.88888889999999998</v>
      </c>
      <c r="ES111" s="143" t="s">
        <v>741</v>
      </c>
      <c r="ET111" s="143" t="s">
        <v>736</v>
      </c>
      <c r="EU111" s="143" t="s">
        <v>842</v>
      </c>
      <c r="EV111" s="143">
        <v>1961</v>
      </c>
      <c r="EW111" s="78">
        <v>0</v>
      </c>
      <c r="EX111" s="78">
        <v>0</v>
      </c>
      <c r="EY111" s="78">
        <v>0</v>
      </c>
      <c r="EZ111" s="78">
        <v>0</v>
      </c>
      <c r="FA111" s="78">
        <v>0</v>
      </c>
      <c r="FB111" s="78">
        <v>3</v>
      </c>
      <c r="FC111" s="78">
        <v>2</v>
      </c>
      <c r="FD111" s="78">
        <v>1</v>
      </c>
      <c r="FE111" s="137">
        <v>0.46153850000000002</v>
      </c>
      <c r="FG111" s="137">
        <v>0.46938780000000002</v>
      </c>
    </row>
    <row r="112" spans="1:163" x14ac:dyDescent="0.35">
      <c r="A112" s="143" t="s">
        <v>741</v>
      </c>
      <c r="B112" s="143" t="s">
        <v>736</v>
      </c>
      <c r="C112" s="143" t="s">
        <v>842</v>
      </c>
      <c r="D112" s="143">
        <v>1962</v>
      </c>
      <c r="E112" s="78">
        <v>0.5</v>
      </c>
      <c r="F112" s="78">
        <v>2</v>
      </c>
      <c r="G112" s="78">
        <v>0</v>
      </c>
      <c r="H112" s="78">
        <v>3</v>
      </c>
      <c r="I112" s="78">
        <v>1</v>
      </c>
      <c r="J112" s="78">
        <v>0</v>
      </c>
      <c r="K112" s="78">
        <v>1</v>
      </c>
      <c r="L112" s="78">
        <v>1</v>
      </c>
      <c r="M112" s="78">
        <v>2</v>
      </c>
      <c r="N112" s="137">
        <v>0.75</v>
      </c>
      <c r="P112" s="143" t="s">
        <v>741</v>
      </c>
      <c r="Q112" s="143" t="s">
        <v>736</v>
      </c>
      <c r="R112" s="143" t="s">
        <v>842</v>
      </c>
      <c r="S112" s="143">
        <v>1962</v>
      </c>
      <c r="T112" s="78">
        <v>1</v>
      </c>
      <c r="U112" s="78">
        <v>0</v>
      </c>
      <c r="V112" s="78">
        <v>0</v>
      </c>
      <c r="W112" s="78">
        <v>1</v>
      </c>
      <c r="X112" s="78">
        <v>0</v>
      </c>
      <c r="Y112" s="78">
        <v>0</v>
      </c>
      <c r="Z112" s="78">
        <v>3</v>
      </c>
      <c r="AA112" s="78">
        <v>0</v>
      </c>
      <c r="AB112" s="78">
        <v>0</v>
      </c>
      <c r="AC112" s="78">
        <v>0</v>
      </c>
      <c r="AD112" s="137">
        <v>0.14705879999999999</v>
      </c>
      <c r="AF112" s="143" t="s">
        <v>741</v>
      </c>
      <c r="AG112" s="143" t="s">
        <v>736</v>
      </c>
      <c r="AH112" s="143" t="s">
        <v>842</v>
      </c>
      <c r="AI112" s="143">
        <v>1962</v>
      </c>
      <c r="AJ112" s="78">
        <v>0</v>
      </c>
      <c r="AK112" s="78">
        <v>1</v>
      </c>
      <c r="AL112" s="78">
        <v>0</v>
      </c>
      <c r="AM112" s="78">
        <v>5</v>
      </c>
      <c r="AN112" s="78">
        <v>1</v>
      </c>
      <c r="AO112" s="78">
        <v>2</v>
      </c>
      <c r="AP112" s="78">
        <v>1</v>
      </c>
      <c r="AQ112" s="78">
        <v>1</v>
      </c>
      <c r="AR112" s="78">
        <v>0</v>
      </c>
      <c r="AS112" s="78">
        <v>2</v>
      </c>
      <c r="AT112" s="78">
        <v>2</v>
      </c>
      <c r="AU112" s="78">
        <v>0</v>
      </c>
      <c r="AV112" s="78">
        <v>2</v>
      </c>
      <c r="AW112" s="78">
        <v>1</v>
      </c>
      <c r="AX112" s="78">
        <v>0</v>
      </c>
      <c r="AY112" s="78">
        <v>1</v>
      </c>
      <c r="AZ112" s="78">
        <v>2</v>
      </c>
      <c r="BA112" s="78">
        <v>0.5</v>
      </c>
      <c r="BB112" s="78">
        <v>0.5</v>
      </c>
      <c r="BC112" s="78">
        <v>0.5</v>
      </c>
      <c r="BD112" s="78">
        <v>1</v>
      </c>
      <c r="BE112" s="78">
        <v>0.5</v>
      </c>
      <c r="BF112" s="78">
        <v>0</v>
      </c>
      <c r="BG112" s="78">
        <v>2</v>
      </c>
      <c r="BH112" s="137">
        <v>0.59090909999999996</v>
      </c>
      <c r="BJ112" s="143" t="s">
        <v>741</v>
      </c>
      <c r="BK112" s="143" t="s">
        <v>736</v>
      </c>
      <c r="BL112" s="143" t="s">
        <v>842</v>
      </c>
      <c r="BM112" s="143">
        <v>1962</v>
      </c>
      <c r="BN112" s="78">
        <v>0</v>
      </c>
      <c r="BO112" s="78">
        <v>4</v>
      </c>
      <c r="BP112" s="78">
        <v>0</v>
      </c>
      <c r="BQ112" s="78">
        <v>3</v>
      </c>
      <c r="BR112" s="78">
        <v>0</v>
      </c>
      <c r="BS112" s="78">
        <v>3</v>
      </c>
      <c r="BT112" s="78">
        <v>0</v>
      </c>
      <c r="BU112" s="137">
        <v>0.43478260000000002</v>
      </c>
      <c r="BW112" s="143" t="s">
        <v>741</v>
      </c>
      <c r="BX112" s="143" t="s">
        <v>736</v>
      </c>
      <c r="BY112" s="143" t="s">
        <v>842</v>
      </c>
      <c r="BZ112" s="143">
        <v>1962</v>
      </c>
      <c r="CA112" s="78">
        <v>1</v>
      </c>
      <c r="CB112" s="78">
        <v>0</v>
      </c>
      <c r="CC112" s="78">
        <v>0</v>
      </c>
      <c r="CD112" s="78">
        <v>0</v>
      </c>
      <c r="CE112" s="78">
        <v>0</v>
      </c>
      <c r="CF112" s="78">
        <v>2</v>
      </c>
      <c r="CG112" s="78">
        <v>1</v>
      </c>
      <c r="CH112" s="78">
        <v>2</v>
      </c>
      <c r="CI112" s="78">
        <v>1</v>
      </c>
      <c r="CJ112" s="78">
        <v>0</v>
      </c>
      <c r="CK112" s="137">
        <v>0.46666669999999999</v>
      </c>
      <c r="CM112" s="143" t="s">
        <v>741</v>
      </c>
      <c r="CN112" s="143" t="s">
        <v>736</v>
      </c>
      <c r="CO112" s="143" t="s">
        <v>842</v>
      </c>
      <c r="CP112" s="143">
        <v>1962</v>
      </c>
      <c r="CQ112" s="78">
        <v>2</v>
      </c>
      <c r="CR112" s="78">
        <v>0</v>
      </c>
      <c r="CS112" s="78">
        <v>0</v>
      </c>
      <c r="CT112" s="78">
        <v>4</v>
      </c>
      <c r="CU112" s="78">
        <v>0</v>
      </c>
      <c r="CV112" s="78">
        <v>8</v>
      </c>
      <c r="CW112" s="137">
        <v>0.26923079999999999</v>
      </c>
      <c r="CY112" s="143" t="s">
        <v>741</v>
      </c>
      <c r="CZ112" s="143" t="s">
        <v>736</v>
      </c>
      <c r="DA112" s="143" t="s">
        <v>842</v>
      </c>
      <c r="DB112" s="143">
        <v>1962</v>
      </c>
      <c r="DC112" s="78">
        <v>0</v>
      </c>
      <c r="DD112" s="137">
        <v>0</v>
      </c>
      <c r="DE112" s="137">
        <v>0</v>
      </c>
      <c r="DG112" s="143" t="s">
        <v>741</v>
      </c>
      <c r="DH112" s="143" t="s">
        <v>736</v>
      </c>
      <c r="DI112" s="143" t="s">
        <v>842</v>
      </c>
      <c r="DJ112" s="143">
        <v>1962</v>
      </c>
      <c r="DK112" s="78">
        <v>2</v>
      </c>
      <c r="DL112" s="78">
        <v>1</v>
      </c>
      <c r="DM112" s="78">
        <v>0</v>
      </c>
      <c r="DN112" s="78">
        <v>4</v>
      </c>
      <c r="DO112" s="78">
        <v>0</v>
      </c>
      <c r="DP112" s="78">
        <v>3</v>
      </c>
      <c r="DQ112" s="78">
        <v>5</v>
      </c>
      <c r="DR112" s="78">
        <v>0</v>
      </c>
      <c r="DS112" s="78">
        <v>1</v>
      </c>
      <c r="DT112" s="78">
        <v>0</v>
      </c>
      <c r="DU112" s="78">
        <v>0</v>
      </c>
      <c r="DV112" s="137">
        <v>0.55172410000000005</v>
      </c>
      <c r="DX112" s="143" t="s">
        <v>741</v>
      </c>
      <c r="DY112" s="143" t="s">
        <v>736</v>
      </c>
      <c r="DZ112" s="143" t="s">
        <v>842</v>
      </c>
      <c r="EA112" s="143">
        <v>1962</v>
      </c>
      <c r="EB112" s="78">
        <v>0</v>
      </c>
      <c r="EC112" s="78">
        <v>8</v>
      </c>
      <c r="ED112" s="78">
        <v>1</v>
      </c>
      <c r="EE112" s="78">
        <v>4</v>
      </c>
      <c r="EF112" s="78">
        <v>0</v>
      </c>
      <c r="EG112" s="78">
        <v>1</v>
      </c>
      <c r="EH112" s="78">
        <v>1</v>
      </c>
      <c r="EI112" s="78">
        <v>1</v>
      </c>
      <c r="EJ112" s="78">
        <v>1</v>
      </c>
      <c r="EK112" s="78">
        <v>1</v>
      </c>
      <c r="EL112" s="78">
        <v>0</v>
      </c>
      <c r="EM112" s="78">
        <v>0</v>
      </c>
      <c r="EN112" s="78">
        <v>0</v>
      </c>
      <c r="EO112" s="78">
        <v>1</v>
      </c>
      <c r="EP112" s="78">
        <v>1</v>
      </c>
      <c r="EQ112" s="137">
        <v>0.74074070000000003</v>
      </c>
      <c r="ES112" s="143" t="s">
        <v>741</v>
      </c>
      <c r="ET112" s="143" t="s">
        <v>736</v>
      </c>
      <c r="EU112" s="143" t="s">
        <v>842</v>
      </c>
      <c r="EV112" s="143">
        <v>1962</v>
      </c>
      <c r="EW112" s="78">
        <v>0</v>
      </c>
      <c r="EX112" s="78">
        <v>0</v>
      </c>
      <c r="EY112" s="78">
        <v>0</v>
      </c>
      <c r="EZ112" s="78">
        <v>0</v>
      </c>
      <c r="FA112" s="78">
        <v>0.5</v>
      </c>
      <c r="FB112" s="78">
        <v>3</v>
      </c>
      <c r="FC112" s="78">
        <v>2</v>
      </c>
      <c r="FD112" s="78">
        <v>1</v>
      </c>
      <c r="FE112" s="137">
        <v>0.5</v>
      </c>
      <c r="FG112" s="137">
        <v>0.33527699999999999</v>
      </c>
    </row>
    <row r="113" spans="1:163" x14ac:dyDescent="0.35">
      <c r="A113" s="143" t="s">
        <v>742</v>
      </c>
      <c r="B113" s="143" t="s">
        <v>743</v>
      </c>
      <c r="C113" s="143" t="s">
        <v>841</v>
      </c>
      <c r="D113" s="143">
        <v>864</v>
      </c>
      <c r="E113" s="78">
        <v>0.5</v>
      </c>
      <c r="F113" s="78">
        <v>2.5</v>
      </c>
      <c r="G113" s="78">
        <v>1</v>
      </c>
      <c r="H113" s="78">
        <v>4</v>
      </c>
      <c r="I113" s="78">
        <v>1</v>
      </c>
      <c r="J113" s="78">
        <v>1</v>
      </c>
      <c r="K113" s="78">
        <v>1</v>
      </c>
      <c r="L113" s="78">
        <v>1</v>
      </c>
      <c r="M113" s="78">
        <v>2</v>
      </c>
      <c r="N113" s="137">
        <v>1</v>
      </c>
      <c r="P113" s="143" t="s">
        <v>742</v>
      </c>
      <c r="Q113" s="143" t="s">
        <v>743</v>
      </c>
      <c r="R113" s="143" t="s">
        <v>841</v>
      </c>
      <c r="S113" s="143">
        <v>864</v>
      </c>
      <c r="T113" s="78">
        <v>1</v>
      </c>
      <c r="U113" s="78">
        <v>1</v>
      </c>
      <c r="V113" s="78">
        <v>1.5</v>
      </c>
      <c r="W113" s="78">
        <v>1.5</v>
      </c>
      <c r="X113" s="78">
        <v>12</v>
      </c>
      <c r="Y113" s="78">
        <v>1</v>
      </c>
      <c r="Z113" s="78">
        <v>3</v>
      </c>
      <c r="AA113" s="78">
        <v>2</v>
      </c>
      <c r="AB113" s="78">
        <v>6</v>
      </c>
      <c r="AC113" s="78">
        <v>0</v>
      </c>
      <c r="AD113" s="137">
        <v>0.85294119999999995</v>
      </c>
      <c r="AF113" s="143" t="s">
        <v>742</v>
      </c>
      <c r="AG113" s="143" t="s">
        <v>743</v>
      </c>
      <c r="AH113" s="143" t="s">
        <v>841</v>
      </c>
      <c r="AI113" s="143">
        <v>864</v>
      </c>
      <c r="AJ113" s="78">
        <v>0</v>
      </c>
      <c r="AK113" s="78">
        <v>0</v>
      </c>
      <c r="AL113" s="78">
        <v>1</v>
      </c>
      <c r="AM113" s="78">
        <v>0</v>
      </c>
      <c r="AN113" s="78">
        <v>1</v>
      </c>
      <c r="AO113" s="78">
        <v>2</v>
      </c>
      <c r="AP113" s="78">
        <v>2</v>
      </c>
      <c r="AQ113" s="78">
        <v>1</v>
      </c>
      <c r="AR113" s="78">
        <v>0</v>
      </c>
      <c r="AS113" s="78">
        <v>2</v>
      </c>
      <c r="AT113" s="78">
        <v>2</v>
      </c>
      <c r="AU113" s="78">
        <v>1</v>
      </c>
      <c r="AV113" s="78">
        <v>2</v>
      </c>
      <c r="AW113" s="78">
        <v>1</v>
      </c>
      <c r="AX113" s="78">
        <v>0</v>
      </c>
      <c r="AY113" s="78">
        <v>1</v>
      </c>
      <c r="AZ113" s="78">
        <v>2</v>
      </c>
      <c r="BA113" s="78">
        <v>0.5</v>
      </c>
      <c r="BB113" s="78">
        <v>0.5</v>
      </c>
      <c r="BC113" s="78">
        <v>0.5</v>
      </c>
      <c r="BD113" s="78">
        <v>1</v>
      </c>
      <c r="BE113" s="78">
        <v>0.5</v>
      </c>
      <c r="BF113" s="78">
        <v>0</v>
      </c>
      <c r="BG113" s="78">
        <v>8</v>
      </c>
      <c r="BH113" s="137">
        <v>0.65909090000000004</v>
      </c>
      <c r="BJ113" s="143" t="s">
        <v>742</v>
      </c>
      <c r="BK113" s="143" t="s">
        <v>743</v>
      </c>
      <c r="BL113" s="143" t="s">
        <v>841</v>
      </c>
      <c r="BM113" s="143">
        <v>864</v>
      </c>
      <c r="BN113" s="78">
        <v>1</v>
      </c>
      <c r="BO113" s="78">
        <v>4</v>
      </c>
      <c r="BP113" s="78">
        <v>7</v>
      </c>
      <c r="BQ113" s="78">
        <v>3</v>
      </c>
      <c r="BR113" s="78">
        <v>3</v>
      </c>
      <c r="BS113" s="78">
        <v>3</v>
      </c>
      <c r="BT113" s="78">
        <v>0</v>
      </c>
      <c r="BU113" s="137">
        <v>0.91304350000000001</v>
      </c>
      <c r="BW113" s="143" t="s">
        <v>742</v>
      </c>
      <c r="BX113" s="143" t="s">
        <v>743</v>
      </c>
      <c r="BY113" s="143" t="s">
        <v>841</v>
      </c>
      <c r="BZ113" s="143">
        <v>864</v>
      </c>
      <c r="CA113" s="78">
        <v>1</v>
      </c>
      <c r="CB113" s="78">
        <v>1</v>
      </c>
      <c r="CC113" s="78">
        <v>1</v>
      </c>
      <c r="CD113" s="78">
        <v>2</v>
      </c>
      <c r="CE113" s="78">
        <v>0</v>
      </c>
      <c r="CF113" s="78">
        <v>2</v>
      </c>
      <c r="CG113" s="78">
        <v>1</v>
      </c>
      <c r="CH113" s="78">
        <v>2</v>
      </c>
      <c r="CI113" s="78">
        <v>1</v>
      </c>
      <c r="CJ113" s="78">
        <v>3</v>
      </c>
      <c r="CK113" s="137">
        <v>0.93333330000000003</v>
      </c>
      <c r="CM113" s="143" t="s">
        <v>742</v>
      </c>
      <c r="CN113" s="143" t="s">
        <v>743</v>
      </c>
      <c r="CO113" s="143" t="s">
        <v>841</v>
      </c>
      <c r="CP113" s="143">
        <v>864</v>
      </c>
      <c r="CQ113" s="78">
        <v>0</v>
      </c>
      <c r="CR113" s="78">
        <v>0</v>
      </c>
      <c r="CS113" s="78">
        <v>16</v>
      </c>
      <c r="CT113" s="78">
        <v>4</v>
      </c>
      <c r="CU113" s="78">
        <v>0</v>
      </c>
      <c r="CV113" s="78">
        <v>8</v>
      </c>
      <c r="CW113" s="137">
        <v>0.53846159999999998</v>
      </c>
      <c r="CY113" s="143" t="s">
        <v>742</v>
      </c>
      <c r="CZ113" s="143" t="s">
        <v>743</v>
      </c>
      <c r="DA113" s="143" t="s">
        <v>841</v>
      </c>
      <c r="DB113" s="143">
        <v>864</v>
      </c>
      <c r="DC113" s="78">
        <v>50</v>
      </c>
      <c r="DD113" s="137">
        <v>0</v>
      </c>
      <c r="DE113" s="137">
        <v>0</v>
      </c>
      <c r="DG113" s="143" t="s">
        <v>742</v>
      </c>
      <c r="DH113" s="143" t="s">
        <v>743</v>
      </c>
      <c r="DI113" s="143" t="s">
        <v>841</v>
      </c>
      <c r="DJ113" s="143">
        <v>864</v>
      </c>
      <c r="DK113" s="78">
        <v>0</v>
      </c>
      <c r="DL113" s="78">
        <v>1</v>
      </c>
      <c r="DM113" s="78">
        <v>0</v>
      </c>
      <c r="DN113" s="78">
        <v>5</v>
      </c>
      <c r="DO113" s="78">
        <v>2</v>
      </c>
      <c r="DP113" s="78">
        <v>3</v>
      </c>
      <c r="DQ113" s="78">
        <v>5</v>
      </c>
      <c r="DR113" s="78">
        <v>1</v>
      </c>
      <c r="DS113" s="78">
        <v>0</v>
      </c>
      <c r="DT113" s="78">
        <v>2</v>
      </c>
      <c r="DU113" s="78">
        <v>1</v>
      </c>
      <c r="DV113" s="137">
        <v>0.68965520000000002</v>
      </c>
      <c r="DX113" s="143" t="s">
        <v>742</v>
      </c>
      <c r="DY113" s="143" t="s">
        <v>743</v>
      </c>
      <c r="DZ113" s="143" t="s">
        <v>841</v>
      </c>
      <c r="EA113" s="143">
        <v>864</v>
      </c>
      <c r="EB113" s="78">
        <v>1</v>
      </c>
      <c r="EC113" s="78">
        <v>8</v>
      </c>
      <c r="ED113" s="78">
        <v>1</v>
      </c>
      <c r="EE113" s="78">
        <v>4</v>
      </c>
      <c r="EF113" s="78">
        <v>3</v>
      </c>
      <c r="EG113" s="78">
        <v>1</v>
      </c>
      <c r="EH113" s="78">
        <v>1</v>
      </c>
      <c r="EI113" s="78">
        <v>1</v>
      </c>
      <c r="EJ113" s="78">
        <v>1</v>
      </c>
      <c r="EK113" s="78">
        <v>1</v>
      </c>
      <c r="EL113" s="78">
        <v>1</v>
      </c>
      <c r="EM113" s="78">
        <v>0</v>
      </c>
      <c r="EN113" s="78">
        <v>1</v>
      </c>
      <c r="EO113" s="78">
        <v>1</v>
      </c>
      <c r="EP113" s="78">
        <v>0</v>
      </c>
      <c r="EQ113" s="137">
        <v>0.92592589999999997</v>
      </c>
      <c r="ES113" s="143" t="s">
        <v>742</v>
      </c>
      <c r="ET113" s="143" t="s">
        <v>743</v>
      </c>
      <c r="EU113" s="143" t="s">
        <v>841</v>
      </c>
      <c r="EV113" s="143">
        <v>864</v>
      </c>
      <c r="EW113" s="78">
        <v>0</v>
      </c>
      <c r="EX113" s="78">
        <v>1</v>
      </c>
      <c r="EY113" s="78">
        <v>3</v>
      </c>
      <c r="EZ113" s="78">
        <v>0</v>
      </c>
      <c r="FA113" s="78">
        <v>0.5</v>
      </c>
      <c r="FB113" s="78">
        <v>3</v>
      </c>
      <c r="FC113" s="78">
        <v>2</v>
      </c>
      <c r="FD113" s="78">
        <v>1</v>
      </c>
      <c r="FE113" s="137">
        <v>0.80769230000000003</v>
      </c>
      <c r="FG113" s="137">
        <v>0.55539360000000004</v>
      </c>
    </row>
    <row r="114" spans="1:163" x14ac:dyDescent="0.35">
      <c r="A114" s="143" t="s">
        <v>742</v>
      </c>
      <c r="B114" s="143" t="s">
        <v>743</v>
      </c>
      <c r="C114" s="143" t="s">
        <v>841</v>
      </c>
      <c r="D114" s="143">
        <v>867</v>
      </c>
      <c r="E114" s="78">
        <v>0</v>
      </c>
      <c r="F114" s="78">
        <v>2</v>
      </c>
      <c r="G114" s="78">
        <v>1</v>
      </c>
      <c r="H114" s="78">
        <v>0</v>
      </c>
      <c r="I114" s="78">
        <v>1</v>
      </c>
      <c r="J114" s="78">
        <v>1</v>
      </c>
      <c r="K114" s="78">
        <v>1</v>
      </c>
      <c r="L114" s="78">
        <v>1</v>
      </c>
      <c r="M114" s="78">
        <v>2</v>
      </c>
      <c r="N114" s="137">
        <v>0.64285709999999996</v>
      </c>
      <c r="P114" s="143" t="s">
        <v>742</v>
      </c>
      <c r="Q114" s="143" t="s">
        <v>743</v>
      </c>
      <c r="R114" s="143" t="s">
        <v>841</v>
      </c>
      <c r="S114" s="143">
        <v>867</v>
      </c>
      <c r="T114" s="78">
        <v>0</v>
      </c>
      <c r="U114" s="78">
        <v>0</v>
      </c>
      <c r="V114" s="78">
        <v>0</v>
      </c>
      <c r="W114" s="78">
        <v>0</v>
      </c>
      <c r="X114" s="78">
        <v>12</v>
      </c>
      <c r="Y114" s="78">
        <v>1</v>
      </c>
      <c r="Z114" s="78">
        <v>3</v>
      </c>
      <c r="AA114" s="78">
        <v>0</v>
      </c>
      <c r="AB114" s="78">
        <v>0</v>
      </c>
      <c r="AC114" s="78">
        <v>0</v>
      </c>
      <c r="AD114" s="137">
        <v>0.47058820000000001</v>
      </c>
      <c r="AF114" s="143" t="s">
        <v>742</v>
      </c>
      <c r="AG114" s="143" t="s">
        <v>743</v>
      </c>
      <c r="AH114" s="143" t="s">
        <v>841</v>
      </c>
      <c r="AI114" s="143">
        <v>867</v>
      </c>
      <c r="AJ114" s="78">
        <v>0</v>
      </c>
      <c r="AK114" s="78">
        <v>0</v>
      </c>
      <c r="AL114" s="78">
        <v>1</v>
      </c>
      <c r="AM114" s="78">
        <v>0</v>
      </c>
      <c r="AN114" s="78">
        <v>1</v>
      </c>
      <c r="AO114" s="78">
        <v>0</v>
      </c>
      <c r="AP114" s="78">
        <v>2</v>
      </c>
      <c r="AQ114" s="78">
        <v>1</v>
      </c>
      <c r="AR114" s="78">
        <v>2</v>
      </c>
      <c r="AS114" s="78">
        <v>2</v>
      </c>
      <c r="AT114" s="78">
        <v>2</v>
      </c>
      <c r="AU114" s="78">
        <v>1</v>
      </c>
      <c r="AV114" s="78">
        <v>2</v>
      </c>
      <c r="AW114" s="78">
        <v>1</v>
      </c>
      <c r="AX114" s="78">
        <v>0</v>
      </c>
      <c r="AY114" s="78">
        <v>1</v>
      </c>
      <c r="AZ114" s="78">
        <v>2</v>
      </c>
      <c r="BA114" s="78">
        <v>0.5</v>
      </c>
      <c r="BB114" s="78">
        <v>0.5</v>
      </c>
      <c r="BC114" s="78">
        <v>0.5</v>
      </c>
      <c r="BD114" s="78">
        <v>1</v>
      </c>
      <c r="BE114" s="78">
        <v>0.5</v>
      </c>
      <c r="BF114" s="78">
        <v>0</v>
      </c>
      <c r="BG114" s="78">
        <v>2</v>
      </c>
      <c r="BH114" s="137">
        <v>0.52272730000000001</v>
      </c>
      <c r="BJ114" s="143" t="s">
        <v>742</v>
      </c>
      <c r="BK114" s="143" t="s">
        <v>743</v>
      </c>
      <c r="BL114" s="143" t="s">
        <v>841</v>
      </c>
      <c r="BM114" s="143">
        <v>867</v>
      </c>
      <c r="BN114" s="78">
        <v>1</v>
      </c>
      <c r="BO114" s="78">
        <v>4</v>
      </c>
      <c r="BP114" s="78">
        <v>0</v>
      </c>
      <c r="BQ114" s="78">
        <v>0</v>
      </c>
      <c r="BR114" s="78">
        <v>0</v>
      </c>
      <c r="BS114" s="78">
        <v>0</v>
      </c>
      <c r="BT114" s="78">
        <v>0</v>
      </c>
      <c r="BU114" s="137">
        <v>0.21739130000000001</v>
      </c>
      <c r="BW114" s="143" t="s">
        <v>742</v>
      </c>
      <c r="BX114" s="143" t="s">
        <v>743</v>
      </c>
      <c r="BY114" s="143" t="s">
        <v>841</v>
      </c>
      <c r="BZ114" s="143">
        <v>867</v>
      </c>
      <c r="CA114" s="78">
        <v>1</v>
      </c>
      <c r="CB114" s="78">
        <v>1</v>
      </c>
      <c r="CC114" s="78">
        <v>1</v>
      </c>
      <c r="CD114" s="78">
        <v>2</v>
      </c>
      <c r="CE114" s="78">
        <v>1</v>
      </c>
      <c r="CF114" s="78">
        <v>2</v>
      </c>
      <c r="CG114" s="78">
        <v>1</v>
      </c>
      <c r="CH114" s="78">
        <v>2</v>
      </c>
      <c r="CI114" s="78">
        <v>1</v>
      </c>
      <c r="CJ114" s="78">
        <v>3</v>
      </c>
      <c r="CK114" s="137">
        <v>1</v>
      </c>
      <c r="CM114" s="143" t="s">
        <v>742</v>
      </c>
      <c r="CN114" s="143" t="s">
        <v>743</v>
      </c>
      <c r="CO114" s="143" t="s">
        <v>841</v>
      </c>
      <c r="CP114" s="143">
        <v>867</v>
      </c>
      <c r="CQ114" s="78">
        <v>0</v>
      </c>
      <c r="CR114" s="78">
        <v>6</v>
      </c>
      <c r="CS114" s="78">
        <v>16</v>
      </c>
      <c r="CT114" s="78">
        <v>4</v>
      </c>
      <c r="CU114" s="78">
        <v>0</v>
      </c>
      <c r="CV114" s="78">
        <v>8</v>
      </c>
      <c r="CW114" s="137">
        <v>0.65384609999999999</v>
      </c>
      <c r="CY114" s="143" t="s">
        <v>742</v>
      </c>
      <c r="CZ114" s="143" t="s">
        <v>743</v>
      </c>
      <c r="DA114" s="143" t="s">
        <v>841</v>
      </c>
      <c r="DB114" s="143">
        <v>867</v>
      </c>
      <c r="DC114" s="78">
        <v>54</v>
      </c>
      <c r="DD114" s="137">
        <v>0.8</v>
      </c>
      <c r="DE114" s="137">
        <v>0.46956520000000002</v>
      </c>
      <c r="DG114" s="143" t="s">
        <v>742</v>
      </c>
      <c r="DH114" s="143" t="s">
        <v>743</v>
      </c>
      <c r="DI114" s="143" t="s">
        <v>841</v>
      </c>
      <c r="DJ114" s="143">
        <v>867</v>
      </c>
      <c r="DK114" s="78">
        <v>2</v>
      </c>
      <c r="DL114" s="78">
        <v>1</v>
      </c>
      <c r="DM114" s="78">
        <v>0</v>
      </c>
      <c r="DN114" s="78">
        <v>5</v>
      </c>
      <c r="DO114" s="78">
        <v>2</v>
      </c>
      <c r="DP114" s="78">
        <v>3</v>
      </c>
      <c r="DQ114" s="78">
        <v>8</v>
      </c>
      <c r="DR114" s="78">
        <v>1</v>
      </c>
      <c r="DS114" s="78">
        <v>1</v>
      </c>
      <c r="DT114" s="78">
        <v>2</v>
      </c>
      <c r="DU114" s="78">
        <v>0</v>
      </c>
      <c r="DV114" s="137">
        <v>0.86206899999999997</v>
      </c>
      <c r="DX114" s="143" t="s">
        <v>742</v>
      </c>
      <c r="DY114" s="143" t="s">
        <v>743</v>
      </c>
      <c r="DZ114" s="143" t="s">
        <v>841</v>
      </c>
      <c r="EA114" s="143">
        <v>867</v>
      </c>
      <c r="EB114" s="78">
        <v>1</v>
      </c>
      <c r="EC114" s="78">
        <v>8</v>
      </c>
      <c r="ED114" s="78">
        <v>1</v>
      </c>
      <c r="EE114" s="78">
        <v>4</v>
      </c>
      <c r="EF114" s="78">
        <v>0</v>
      </c>
      <c r="EG114" s="78">
        <v>1</v>
      </c>
      <c r="EH114" s="78">
        <v>1</v>
      </c>
      <c r="EI114" s="78">
        <v>1</v>
      </c>
      <c r="EJ114" s="78">
        <v>1</v>
      </c>
      <c r="EK114" s="78">
        <v>1</v>
      </c>
      <c r="EL114" s="78">
        <v>1</v>
      </c>
      <c r="EM114" s="78">
        <v>0</v>
      </c>
      <c r="EN114" s="78">
        <v>1</v>
      </c>
      <c r="EO114" s="78">
        <v>1</v>
      </c>
      <c r="EP114" s="78">
        <v>0</v>
      </c>
      <c r="EQ114" s="137">
        <v>0.81481479999999995</v>
      </c>
      <c r="ES114" s="143" t="s">
        <v>742</v>
      </c>
      <c r="ET114" s="143" t="s">
        <v>743</v>
      </c>
      <c r="EU114" s="143" t="s">
        <v>841</v>
      </c>
      <c r="EV114" s="143">
        <v>867</v>
      </c>
      <c r="EW114" s="78">
        <v>0</v>
      </c>
      <c r="EX114" s="78">
        <v>0</v>
      </c>
      <c r="EY114" s="78">
        <v>0</v>
      </c>
      <c r="EZ114" s="78">
        <v>0</v>
      </c>
      <c r="FA114" s="78">
        <v>0.5</v>
      </c>
      <c r="FB114" s="78">
        <v>3</v>
      </c>
      <c r="FC114" s="78">
        <v>2</v>
      </c>
      <c r="FD114" s="78">
        <v>0</v>
      </c>
      <c r="FE114" s="137">
        <v>0.42307689999999998</v>
      </c>
      <c r="FG114" s="137">
        <v>0.57638480000000003</v>
      </c>
    </row>
    <row r="115" spans="1:163" x14ac:dyDescent="0.35">
      <c r="A115" s="143" t="s">
        <v>742</v>
      </c>
      <c r="B115" s="143" t="s">
        <v>743</v>
      </c>
      <c r="C115" s="143" t="s">
        <v>841</v>
      </c>
      <c r="D115" s="143">
        <v>870</v>
      </c>
      <c r="E115" s="78">
        <v>0.5</v>
      </c>
      <c r="F115" s="78">
        <v>2.5</v>
      </c>
      <c r="G115" s="78">
        <v>1</v>
      </c>
      <c r="H115" s="78">
        <v>4</v>
      </c>
      <c r="I115" s="78">
        <v>1</v>
      </c>
      <c r="J115" s="78">
        <v>1</v>
      </c>
      <c r="K115" s="78">
        <v>1</v>
      </c>
      <c r="L115" s="78">
        <v>1</v>
      </c>
      <c r="M115" s="78">
        <v>2</v>
      </c>
      <c r="N115" s="137">
        <v>1</v>
      </c>
      <c r="P115" s="143" t="s">
        <v>742</v>
      </c>
      <c r="Q115" s="143" t="s">
        <v>743</v>
      </c>
      <c r="R115" s="143" t="s">
        <v>841</v>
      </c>
      <c r="S115" s="143">
        <v>870</v>
      </c>
      <c r="T115" s="78">
        <v>1</v>
      </c>
      <c r="U115" s="78">
        <v>1</v>
      </c>
      <c r="V115" s="78">
        <v>2</v>
      </c>
      <c r="W115" s="78">
        <v>2</v>
      </c>
      <c r="X115" s="78">
        <v>0</v>
      </c>
      <c r="Y115" s="78">
        <v>1</v>
      </c>
      <c r="Z115" s="78">
        <v>3</v>
      </c>
      <c r="AA115" s="78">
        <v>2</v>
      </c>
      <c r="AB115" s="78">
        <v>6</v>
      </c>
      <c r="AC115" s="78">
        <v>3</v>
      </c>
      <c r="AD115" s="137">
        <v>0.6176471</v>
      </c>
      <c r="AF115" s="143" t="s">
        <v>742</v>
      </c>
      <c r="AG115" s="143" t="s">
        <v>743</v>
      </c>
      <c r="AH115" s="143" t="s">
        <v>841</v>
      </c>
      <c r="AI115" s="143">
        <v>870</v>
      </c>
      <c r="AJ115" s="78">
        <v>1</v>
      </c>
      <c r="AK115" s="78">
        <v>1</v>
      </c>
      <c r="AL115" s="78">
        <v>1</v>
      </c>
      <c r="AM115" s="78">
        <v>6</v>
      </c>
      <c r="AN115" s="78">
        <v>1</v>
      </c>
      <c r="AO115" s="78">
        <v>2</v>
      </c>
      <c r="AP115" s="78">
        <v>2</v>
      </c>
      <c r="AQ115" s="78">
        <v>1</v>
      </c>
      <c r="AR115" s="78">
        <v>2</v>
      </c>
      <c r="AS115" s="78">
        <v>2</v>
      </c>
      <c r="AT115" s="78">
        <v>2</v>
      </c>
      <c r="AU115" s="78">
        <v>1</v>
      </c>
      <c r="AV115" s="78">
        <v>2</v>
      </c>
      <c r="AW115" s="78">
        <v>1</v>
      </c>
      <c r="AX115" s="78">
        <v>4</v>
      </c>
      <c r="AY115" s="78">
        <v>1</v>
      </c>
      <c r="AZ115" s="78">
        <v>2</v>
      </c>
      <c r="BA115" s="78">
        <v>0.5</v>
      </c>
      <c r="BB115" s="78">
        <v>0.5</v>
      </c>
      <c r="BC115" s="78">
        <v>0.5</v>
      </c>
      <c r="BD115" s="78">
        <v>1</v>
      </c>
      <c r="BE115" s="78">
        <v>0.5</v>
      </c>
      <c r="BF115" s="78">
        <v>1</v>
      </c>
      <c r="BG115" s="78">
        <v>8</v>
      </c>
      <c r="BH115" s="137">
        <v>1</v>
      </c>
      <c r="BJ115" s="143" t="s">
        <v>742</v>
      </c>
      <c r="BK115" s="143" t="s">
        <v>743</v>
      </c>
      <c r="BL115" s="143" t="s">
        <v>841</v>
      </c>
      <c r="BM115" s="143">
        <v>870</v>
      </c>
      <c r="BN115" s="78">
        <v>1</v>
      </c>
      <c r="BO115" s="78">
        <v>4</v>
      </c>
      <c r="BP115" s="78">
        <v>7</v>
      </c>
      <c r="BQ115" s="78">
        <v>3</v>
      </c>
      <c r="BR115" s="78">
        <v>3</v>
      </c>
      <c r="BS115" s="78">
        <v>0</v>
      </c>
      <c r="BT115" s="78">
        <v>0</v>
      </c>
      <c r="BU115" s="137">
        <v>0.78260870000000005</v>
      </c>
      <c r="BW115" s="143" t="s">
        <v>742</v>
      </c>
      <c r="BX115" s="143" t="s">
        <v>743</v>
      </c>
      <c r="BY115" s="143" t="s">
        <v>841</v>
      </c>
      <c r="BZ115" s="143">
        <v>870</v>
      </c>
      <c r="CA115" s="78">
        <v>1</v>
      </c>
      <c r="CB115" s="78">
        <v>1</v>
      </c>
      <c r="CC115" s="78">
        <v>1</v>
      </c>
      <c r="CD115" s="78">
        <v>2</v>
      </c>
      <c r="CE115" s="78">
        <v>1</v>
      </c>
      <c r="CF115" s="78">
        <v>2</v>
      </c>
      <c r="CG115" s="78">
        <v>1</v>
      </c>
      <c r="CH115" s="78">
        <v>2</v>
      </c>
      <c r="CI115" s="78">
        <v>1</v>
      </c>
      <c r="CJ115" s="78">
        <v>3</v>
      </c>
      <c r="CK115" s="137">
        <v>1</v>
      </c>
      <c r="CM115" s="143" t="s">
        <v>742</v>
      </c>
      <c r="CN115" s="143" t="s">
        <v>743</v>
      </c>
      <c r="CO115" s="143" t="s">
        <v>841</v>
      </c>
      <c r="CP115" s="143">
        <v>870</v>
      </c>
      <c r="CQ115" s="78">
        <v>8</v>
      </c>
      <c r="CR115" s="78">
        <v>6</v>
      </c>
      <c r="CS115" s="78">
        <v>24</v>
      </c>
      <c r="CT115" s="78">
        <v>4</v>
      </c>
      <c r="CU115" s="78">
        <v>2</v>
      </c>
      <c r="CV115" s="78">
        <v>4</v>
      </c>
      <c r="CW115" s="137">
        <v>0.92307689999999998</v>
      </c>
      <c r="CY115" s="143" t="s">
        <v>742</v>
      </c>
      <c r="CZ115" s="143" t="s">
        <v>743</v>
      </c>
      <c r="DA115" s="143" t="s">
        <v>841</v>
      </c>
      <c r="DB115" s="143">
        <v>870</v>
      </c>
      <c r="DC115" s="78">
        <v>70</v>
      </c>
      <c r="DD115" s="137">
        <v>0</v>
      </c>
      <c r="DE115" s="137">
        <v>0</v>
      </c>
      <c r="DG115" s="143" t="s">
        <v>742</v>
      </c>
      <c r="DH115" s="143" t="s">
        <v>743</v>
      </c>
      <c r="DI115" s="143" t="s">
        <v>841</v>
      </c>
      <c r="DJ115" s="143">
        <v>870</v>
      </c>
      <c r="DK115" s="78">
        <v>0</v>
      </c>
      <c r="DL115" s="78">
        <v>1</v>
      </c>
      <c r="DM115" s="78">
        <v>0</v>
      </c>
      <c r="DN115" s="78">
        <v>5</v>
      </c>
      <c r="DO115" s="78">
        <v>2</v>
      </c>
      <c r="DP115" s="78">
        <v>1</v>
      </c>
      <c r="DQ115" s="78">
        <v>6</v>
      </c>
      <c r="DR115" s="78">
        <v>1</v>
      </c>
      <c r="DS115" s="78">
        <v>1</v>
      </c>
      <c r="DT115" s="78">
        <v>2</v>
      </c>
      <c r="DU115" s="78">
        <v>1</v>
      </c>
      <c r="DV115" s="137">
        <v>0.68965520000000002</v>
      </c>
      <c r="DX115" s="143" t="s">
        <v>742</v>
      </c>
      <c r="DY115" s="143" t="s">
        <v>743</v>
      </c>
      <c r="DZ115" s="143" t="s">
        <v>841</v>
      </c>
      <c r="EA115" s="143">
        <v>870</v>
      </c>
      <c r="EB115" s="78">
        <v>1</v>
      </c>
      <c r="EC115" s="78">
        <v>8</v>
      </c>
      <c r="ED115" s="78">
        <v>1</v>
      </c>
      <c r="EE115" s="78">
        <v>4</v>
      </c>
      <c r="EF115" s="78">
        <v>3</v>
      </c>
      <c r="EG115" s="78">
        <v>1</v>
      </c>
      <c r="EH115" s="78">
        <v>0</v>
      </c>
      <c r="EI115" s="78">
        <v>1</v>
      </c>
      <c r="EJ115" s="78">
        <v>1</v>
      </c>
      <c r="EK115" s="78">
        <v>0</v>
      </c>
      <c r="EL115" s="78">
        <v>0</v>
      </c>
      <c r="EM115" s="78">
        <v>1</v>
      </c>
      <c r="EN115" s="78">
        <v>1</v>
      </c>
      <c r="EO115" s="78">
        <v>1</v>
      </c>
      <c r="EP115" s="78">
        <v>1</v>
      </c>
      <c r="EQ115" s="137">
        <v>0.88888889999999998</v>
      </c>
      <c r="ES115" s="143" t="s">
        <v>742</v>
      </c>
      <c r="ET115" s="143" t="s">
        <v>743</v>
      </c>
      <c r="EU115" s="143" t="s">
        <v>841</v>
      </c>
      <c r="EV115" s="143">
        <v>870</v>
      </c>
      <c r="EW115" s="78">
        <v>0</v>
      </c>
      <c r="EX115" s="78">
        <v>1</v>
      </c>
      <c r="EY115" s="78">
        <v>0</v>
      </c>
      <c r="EZ115" s="78">
        <v>0</v>
      </c>
      <c r="FA115" s="78">
        <v>0</v>
      </c>
      <c r="FB115" s="78">
        <v>3</v>
      </c>
      <c r="FC115" s="78">
        <v>2</v>
      </c>
      <c r="FD115" s="78">
        <v>1</v>
      </c>
      <c r="FE115" s="137">
        <v>0.53846159999999998</v>
      </c>
      <c r="FG115" s="137">
        <v>0.61516029999999999</v>
      </c>
    </row>
    <row r="116" spans="1:163" x14ac:dyDescent="0.35">
      <c r="A116" s="143" t="s">
        <v>742</v>
      </c>
      <c r="B116" s="143" t="s">
        <v>743</v>
      </c>
      <c r="C116" s="143" t="s">
        <v>842</v>
      </c>
      <c r="D116" s="143">
        <v>2131</v>
      </c>
      <c r="E116" s="78">
        <v>0.5</v>
      </c>
      <c r="F116" s="78">
        <v>2.5</v>
      </c>
      <c r="G116" s="78">
        <v>0</v>
      </c>
      <c r="H116" s="78">
        <v>3</v>
      </c>
      <c r="I116" s="78">
        <v>1</v>
      </c>
      <c r="J116" s="78">
        <v>0</v>
      </c>
      <c r="K116" s="78">
        <v>1</v>
      </c>
      <c r="L116" s="78">
        <v>1</v>
      </c>
      <c r="M116" s="78">
        <v>2</v>
      </c>
      <c r="N116" s="137">
        <v>0.78571429999999998</v>
      </c>
      <c r="P116" s="143" t="s">
        <v>742</v>
      </c>
      <c r="Q116" s="143" t="s">
        <v>743</v>
      </c>
      <c r="R116" s="143" t="s">
        <v>842</v>
      </c>
      <c r="S116" s="143">
        <v>2131</v>
      </c>
      <c r="T116" s="78">
        <v>1</v>
      </c>
      <c r="U116" s="78">
        <v>1</v>
      </c>
      <c r="V116" s="78">
        <v>0</v>
      </c>
      <c r="W116" s="78">
        <v>0</v>
      </c>
      <c r="X116" s="78">
        <v>12</v>
      </c>
      <c r="Y116" s="78">
        <v>1</v>
      </c>
      <c r="Z116" s="78">
        <v>3</v>
      </c>
      <c r="AA116" s="78">
        <v>2</v>
      </c>
      <c r="AB116" s="78">
        <v>6</v>
      </c>
      <c r="AC116" s="78">
        <v>3</v>
      </c>
      <c r="AD116" s="137">
        <v>0.85294119999999995</v>
      </c>
      <c r="AF116" s="143" t="s">
        <v>742</v>
      </c>
      <c r="AG116" s="143" t="s">
        <v>743</v>
      </c>
      <c r="AH116" s="143" t="s">
        <v>842</v>
      </c>
      <c r="AI116" s="143">
        <v>2131</v>
      </c>
      <c r="AJ116" s="78">
        <v>1</v>
      </c>
      <c r="AK116" s="78">
        <v>1</v>
      </c>
      <c r="AL116" s="78">
        <v>1</v>
      </c>
      <c r="AM116" s="78">
        <v>5</v>
      </c>
      <c r="AN116" s="78">
        <v>0</v>
      </c>
      <c r="AO116" s="78">
        <v>2</v>
      </c>
      <c r="AP116" s="78">
        <v>2</v>
      </c>
      <c r="AQ116" s="78">
        <v>1</v>
      </c>
      <c r="AR116" s="78">
        <v>2</v>
      </c>
      <c r="AS116" s="78">
        <v>2</v>
      </c>
      <c r="AT116" s="78">
        <v>2</v>
      </c>
      <c r="AU116" s="78">
        <v>1</v>
      </c>
      <c r="AV116" s="78">
        <v>2</v>
      </c>
      <c r="AW116" s="78">
        <v>1</v>
      </c>
      <c r="AX116" s="78">
        <v>0</v>
      </c>
      <c r="AY116" s="78">
        <v>1</v>
      </c>
      <c r="AZ116" s="78">
        <v>2</v>
      </c>
      <c r="BA116" s="78">
        <v>0.5</v>
      </c>
      <c r="BB116" s="78">
        <v>0.5</v>
      </c>
      <c r="BC116" s="78">
        <v>0.5</v>
      </c>
      <c r="BD116" s="78">
        <v>1</v>
      </c>
      <c r="BE116" s="78">
        <v>0.5</v>
      </c>
      <c r="BF116" s="78">
        <v>1</v>
      </c>
      <c r="BG116" s="78">
        <v>8</v>
      </c>
      <c r="BH116" s="137">
        <v>0.86363639999999997</v>
      </c>
      <c r="BJ116" s="143" t="s">
        <v>742</v>
      </c>
      <c r="BK116" s="143" t="s">
        <v>743</v>
      </c>
      <c r="BL116" s="143" t="s">
        <v>842</v>
      </c>
      <c r="BM116" s="143">
        <v>2131</v>
      </c>
      <c r="BN116" s="78">
        <v>1</v>
      </c>
      <c r="BO116" s="78">
        <v>4</v>
      </c>
      <c r="BP116" s="78">
        <v>7</v>
      </c>
      <c r="BQ116" s="78">
        <v>3</v>
      </c>
      <c r="BR116" s="78">
        <v>3</v>
      </c>
      <c r="BS116" s="78">
        <v>0</v>
      </c>
      <c r="BT116" s="78">
        <v>0</v>
      </c>
      <c r="BU116" s="137">
        <v>0.78260870000000005</v>
      </c>
      <c r="BW116" s="143" t="s">
        <v>742</v>
      </c>
      <c r="BX116" s="143" t="s">
        <v>743</v>
      </c>
      <c r="BY116" s="143" t="s">
        <v>842</v>
      </c>
      <c r="BZ116" s="143">
        <v>2131</v>
      </c>
      <c r="CM116" s="143" t="s">
        <v>742</v>
      </c>
      <c r="CN116" s="143" t="s">
        <v>743</v>
      </c>
      <c r="CO116" s="143" t="s">
        <v>842</v>
      </c>
      <c r="CP116" s="143">
        <v>2131</v>
      </c>
      <c r="CQ116" s="78">
        <v>6</v>
      </c>
      <c r="CR116" s="78">
        <v>6</v>
      </c>
      <c r="CS116" s="78">
        <v>20</v>
      </c>
      <c r="CT116" s="78">
        <v>4</v>
      </c>
      <c r="CU116" s="78">
        <v>2</v>
      </c>
      <c r="CV116" s="78">
        <v>8</v>
      </c>
      <c r="CW116" s="137">
        <v>0.88461540000000005</v>
      </c>
      <c r="CY116" s="143" t="s">
        <v>742</v>
      </c>
      <c r="CZ116" s="143" t="s">
        <v>743</v>
      </c>
      <c r="DA116" s="143" t="s">
        <v>842</v>
      </c>
      <c r="DB116" s="143">
        <v>2131</v>
      </c>
      <c r="DC116" s="78">
        <v>52</v>
      </c>
      <c r="DD116" s="137">
        <v>0</v>
      </c>
      <c r="DE116" s="137">
        <v>0</v>
      </c>
      <c r="DG116" s="143" t="s">
        <v>742</v>
      </c>
      <c r="DH116" s="143" t="s">
        <v>743</v>
      </c>
      <c r="DI116" s="143" t="s">
        <v>842</v>
      </c>
      <c r="DJ116" s="143">
        <v>2131</v>
      </c>
      <c r="DK116" s="78">
        <v>2</v>
      </c>
      <c r="DL116" s="78">
        <v>1</v>
      </c>
      <c r="DM116" s="78">
        <v>1</v>
      </c>
      <c r="DN116" s="78">
        <v>5</v>
      </c>
      <c r="DO116" s="78">
        <v>2</v>
      </c>
      <c r="DP116" s="78">
        <v>3</v>
      </c>
      <c r="DQ116" s="78">
        <v>7</v>
      </c>
      <c r="DR116" s="78">
        <v>1</v>
      </c>
      <c r="DS116" s="78">
        <v>1</v>
      </c>
      <c r="DT116" s="78">
        <v>2</v>
      </c>
      <c r="DU116" s="78">
        <v>0</v>
      </c>
      <c r="DV116" s="137">
        <v>0.86206899999999997</v>
      </c>
      <c r="DX116" s="143" t="s">
        <v>742</v>
      </c>
      <c r="DY116" s="143" t="s">
        <v>743</v>
      </c>
      <c r="DZ116" s="143" t="s">
        <v>842</v>
      </c>
      <c r="EA116" s="143">
        <v>2131</v>
      </c>
      <c r="EB116" s="78">
        <v>1</v>
      </c>
      <c r="EC116" s="78">
        <v>8</v>
      </c>
      <c r="ED116" s="78">
        <v>1</v>
      </c>
      <c r="EE116" s="78">
        <v>0</v>
      </c>
      <c r="EF116" s="78">
        <v>3</v>
      </c>
      <c r="EG116" s="78">
        <v>0</v>
      </c>
      <c r="EH116" s="78">
        <v>1</v>
      </c>
      <c r="EI116" s="78">
        <v>1</v>
      </c>
      <c r="EJ116" s="78">
        <v>1</v>
      </c>
      <c r="EK116" s="78">
        <v>1</v>
      </c>
      <c r="EL116" s="78">
        <v>1</v>
      </c>
      <c r="EM116" s="78">
        <v>1</v>
      </c>
      <c r="EN116" s="78">
        <v>1</v>
      </c>
      <c r="EO116" s="78">
        <v>1</v>
      </c>
      <c r="EP116" s="78">
        <v>1</v>
      </c>
      <c r="EQ116" s="137">
        <v>0.81481479999999995</v>
      </c>
      <c r="ES116" s="143" t="s">
        <v>742</v>
      </c>
      <c r="ET116" s="143" t="s">
        <v>743</v>
      </c>
      <c r="EU116" s="143" t="s">
        <v>842</v>
      </c>
      <c r="EV116" s="143">
        <v>2131</v>
      </c>
      <c r="EW116" s="78">
        <v>0.5</v>
      </c>
      <c r="EX116" s="78">
        <v>0</v>
      </c>
      <c r="EY116" s="78">
        <v>0</v>
      </c>
      <c r="EZ116" s="78">
        <v>0</v>
      </c>
      <c r="FA116" s="78">
        <v>0</v>
      </c>
      <c r="FB116" s="78">
        <v>3</v>
      </c>
      <c r="FC116" s="78">
        <v>2</v>
      </c>
      <c r="FD116" s="78">
        <v>1</v>
      </c>
      <c r="FE116" s="137">
        <v>0.5</v>
      </c>
      <c r="FG116" s="137">
        <v>0.59603660000000003</v>
      </c>
    </row>
    <row r="117" spans="1:163" x14ac:dyDescent="0.35">
      <c r="A117" s="143" t="s">
        <v>742</v>
      </c>
      <c r="B117" s="143" t="s">
        <v>743</v>
      </c>
      <c r="C117" s="143" t="s">
        <v>842</v>
      </c>
      <c r="D117" s="143">
        <v>2136</v>
      </c>
      <c r="E117" s="78">
        <v>0.5</v>
      </c>
      <c r="F117" s="78">
        <v>2.5</v>
      </c>
      <c r="G117" s="78">
        <v>1</v>
      </c>
      <c r="H117" s="78">
        <v>4</v>
      </c>
      <c r="I117" s="78">
        <v>1</v>
      </c>
      <c r="J117" s="78">
        <v>0</v>
      </c>
      <c r="K117" s="78">
        <v>1</v>
      </c>
      <c r="L117" s="78">
        <v>1</v>
      </c>
      <c r="M117" s="78">
        <v>2</v>
      </c>
      <c r="N117" s="137">
        <v>0.92857140000000005</v>
      </c>
      <c r="P117" s="143" t="s">
        <v>742</v>
      </c>
      <c r="Q117" s="143" t="s">
        <v>743</v>
      </c>
      <c r="R117" s="143" t="s">
        <v>842</v>
      </c>
      <c r="S117" s="143">
        <v>2136</v>
      </c>
      <c r="T117" s="78">
        <v>1</v>
      </c>
      <c r="U117" s="78">
        <v>1</v>
      </c>
      <c r="V117" s="78">
        <v>2</v>
      </c>
      <c r="W117" s="78">
        <v>2</v>
      </c>
      <c r="X117" s="78">
        <v>12</v>
      </c>
      <c r="Y117" s="78">
        <v>1</v>
      </c>
      <c r="Z117" s="78">
        <v>3</v>
      </c>
      <c r="AA117" s="78">
        <v>2</v>
      </c>
      <c r="AB117" s="78">
        <v>6</v>
      </c>
      <c r="AC117" s="78">
        <v>0</v>
      </c>
      <c r="AD117" s="137">
        <v>0.8823529</v>
      </c>
      <c r="AF117" s="143" t="s">
        <v>742</v>
      </c>
      <c r="AG117" s="143" t="s">
        <v>743</v>
      </c>
      <c r="AH117" s="143" t="s">
        <v>842</v>
      </c>
      <c r="AI117" s="143">
        <v>2136</v>
      </c>
      <c r="AJ117" s="78">
        <v>1</v>
      </c>
      <c r="AK117" s="78">
        <v>1</v>
      </c>
      <c r="AL117" s="78">
        <v>1</v>
      </c>
      <c r="AM117" s="78">
        <v>6</v>
      </c>
      <c r="AN117" s="78">
        <v>0</v>
      </c>
      <c r="AO117" s="78">
        <v>2</v>
      </c>
      <c r="AP117" s="78">
        <v>1</v>
      </c>
      <c r="AQ117" s="78">
        <v>1</v>
      </c>
      <c r="AR117" s="78">
        <v>2</v>
      </c>
      <c r="AS117" s="78">
        <v>2</v>
      </c>
      <c r="AT117" s="78">
        <v>2</v>
      </c>
      <c r="AU117" s="78">
        <v>1</v>
      </c>
      <c r="AV117" s="78">
        <v>2</v>
      </c>
      <c r="AW117" s="78">
        <v>1</v>
      </c>
      <c r="AX117" s="78">
        <v>4</v>
      </c>
      <c r="AY117" s="78">
        <v>1</v>
      </c>
      <c r="AZ117" s="78">
        <v>2</v>
      </c>
      <c r="BA117" s="78">
        <v>0.5</v>
      </c>
      <c r="BB117" s="78">
        <v>0</v>
      </c>
      <c r="BC117" s="78">
        <v>0.5</v>
      </c>
      <c r="BD117" s="78">
        <v>1</v>
      </c>
      <c r="BE117" s="78">
        <v>0.5</v>
      </c>
      <c r="BF117" s="78">
        <v>1</v>
      </c>
      <c r="BG117" s="78">
        <v>8</v>
      </c>
      <c r="BH117" s="137">
        <v>0.94318179999999996</v>
      </c>
      <c r="BJ117" s="143" t="s">
        <v>742</v>
      </c>
      <c r="BK117" s="143" t="s">
        <v>743</v>
      </c>
      <c r="BL117" s="143" t="s">
        <v>842</v>
      </c>
      <c r="BM117" s="143">
        <v>2136</v>
      </c>
      <c r="BN117" s="78">
        <v>0</v>
      </c>
      <c r="BO117" s="78">
        <v>4</v>
      </c>
      <c r="BP117" s="78">
        <v>0</v>
      </c>
      <c r="BQ117" s="78">
        <v>3</v>
      </c>
      <c r="BR117" s="78">
        <v>0</v>
      </c>
      <c r="BS117" s="78">
        <v>3</v>
      </c>
      <c r="BT117" s="78">
        <v>0</v>
      </c>
      <c r="BU117" s="137">
        <v>0.43478260000000002</v>
      </c>
      <c r="BW117" s="143" t="s">
        <v>742</v>
      </c>
      <c r="BX117" s="143" t="s">
        <v>743</v>
      </c>
      <c r="BY117" s="143" t="s">
        <v>842</v>
      </c>
      <c r="BZ117" s="143">
        <v>2136</v>
      </c>
      <c r="CM117" s="143" t="s">
        <v>742</v>
      </c>
      <c r="CN117" s="143" t="s">
        <v>743</v>
      </c>
      <c r="CO117" s="143" t="s">
        <v>842</v>
      </c>
      <c r="CP117" s="143">
        <v>2136</v>
      </c>
      <c r="CQ117" s="78">
        <v>8</v>
      </c>
      <c r="CR117" s="78">
        <v>6</v>
      </c>
      <c r="CS117" s="78">
        <v>24</v>
      </c>
      <c r="CT117" s="78">
        <v>4</v>
      </c>
      <c r="CU117" s="78">
        <v>2</v>
      </c>
      <c r="CV117" s="78">
        <v>8</v>
      </c>
      <c r="CW117" s="137">
        <v>1</v>
      </c>
      <c r="CY117" s="143" t="s">
        <v>742</v>
      </c>
      <c r="CZ117" s="143" t="s">
        <v>743</v>
      </c>
      <c r="DA117" s="143" t="s">
        <v>842</v>
      </c>
      <c r="DB117" s="143">
        <v>2136</v>
      </c>
      <c r="DC117" s="78">
        <v>64</v>
      </c>
      <c r="DD117" s="137">
        <v>0.2</v>
      </c>
      <c r="DE117" s="137">
        <v>0.13913039999999999</v>
      </c>
      <c r="DG117" s="143" t="s">
        <v>742</v>
      </c>
      <c r="DH117" s="143" t="s">
        <v>743</v>
      </c>
      <c r="DI117" s="143" t="s">
        <v>842</v>
      </c>
      <c r="DJ117" s="143">
        <v>2136</v>
      </c>
      <c r="DK117" s="78">
        <v>2</v>
      </c>
      <c r="DL117" s="78">
        <v>0</v>
      </c>
      <c r="DM117" s="78">
        <v>1</v>
      </c>
      <c r="DN117" s="78">
        <v>5</v>
      </c>
      <c r="DO117" s="78">
        <v>2</v>
      </c>
      <c r="DP117" s="78">
        <v>3</v>
      </c>
      <c r="DQ117" s="78">
        <v>8</v>
      </c>
      <c r="DR117" s="78">
        <v>1</v>
      </c>
      <c r="DS117" s="78">
        <v>1</v>
      </c>
      <c r="DT117" s="78">
        <v>0</v>
      </c>
      <c r="DU117" s="78">
        <v>0</v>
      </c>
      <c r="DV117" s="137">
        <v>0.79310349999999996</v>
      </c>
      <c r="DX117" s="143" t="s">
        <v>742</v>
      </c>
      <c r="DY117" s="143" t="s">
        <v>743</v>
      </c>
      <c r="DZ117" s="143" t="s">
        <v>842</v>
      </c>
      <c r="EA117" s="143">
        <v>2136</v>
      </c>
      <c r="EB117" s="78">
        <v>1</v>
      </c>
      <c r="EC117" s="78">
        <v>0</v>
      </c>
      <c r="ED117" s="78">
        <v>1</v>
      </c>
      <c r="EE117" s="78">
        <v>4</v>
      </c>
      <c r="EF117" s="78">
        <v>3</v>
      </c>
      <c r="EG117" s="78">
        <v>1</v>
      </c>
      <c r="EH117" s="78">
        <v>1</v>
      </c>
      <c r="EI117" s="78">
        <v>1</v>
      </c>
      <c r="EJ117" s="78">
        <v>1</v>
      </c>
      <c r="EK117" s="78">
        <v>1</v>
      </c>
      <c r="EL117" s="78">
        <v>1</v>
      </c>
      <c r="EM117" s="78">
        <v>1</v>
      </c>
      <c r="EN117" s="78">
        <v>1</v>
      </c>
      <c r="EO117" s="78">
        <v>1</v>
      </c>
      <c r="EP117" s="78">
        <v>1</v>
      </c>
      <c r="EQ117" s="137">
        <v>0.70370370000000004</v>
      </c>
      <c r="ES117" s="143" t="s">
        <v>742</v>
      </c>
      <c r="ET117" s="143" t="s">
        <v>743</v>
      </c>
      <c r="EU117" s="143" t="s">
        <v>842</v>
      </c>
      <c r="EV117" s="143">
        <v>2136</v>
      </c>
      <c r="EW117" s="78">
        <v>0.5</v>
      </c>
      <c r="EX117" s="78">
        <v>1</v>
      </c>
      <c r="EY117" s="78">
        <v>3</v>
      </c>
      <c r="EZ117" s="78">
        <v>2</v>
      </c>
      <c r="FA117" s="78">
        <v>0.5</v>
      </c>
      <c r="FB117" s="78">
        <v>3</v>
      </c>
      <c r="FC117" s="78">
        <v>2</v>
      </c>
      <c r="FD117" s="78">
        <v>1</v>
      </c>
      <c r="FE117" s="137">
        <v>1</v>
      </c>
      <c r="FG117" s="137">
        <v>0.65335370000000004</v>
      </c>
    </row>
    <row r="118" spans="1:163" x14ac:dyDescent="0.35">
      <c r="A118" s="143" t="s">
        <v>744</v>
      </c>
      <c r="B118" s="143" t="s">
        <v>743</v>
      </c>
      <c r="C118" s="143" t="s">
        <v>841</v>
      </c>
      <c r="D118" s="143">
        <v>396</v>
      </c>
      <c r="E118" s="78">
        <v>0.5</v>
      </c>
      <c r="F118" s="78">
        <v>2.5</v>
      </c>
      <c r="G118" s="78">
        <v>1</v>
      </c>
      <c r="H118" s="78">
        <v>4</v>
      </c>
      <c r="I118" s="78">
        <v>1</v>
      </c>
      <c r="J118" s="78">
        <v>1</v>
      </c>
      <c r="K118" s="78">
        <v>1</v>
      </c>
      <c r="L118" s="78">
        <v>1</v>
      </c>
      <c r="M118" s="78">
        <v>2</v>
      </c>
      <c r="N118" s="137">
        <v>1</v>
      </c>
      <c r="P118" s="143" t="s">
        <v>744</v>
      </c>
      <c r="Q118" s="143" t="s">
        <v>743</v>
      </c>
      <c r="R118" s="143" t="s">
        <v>841</v>
      </c>
      <c r="S118" s="143">
        <v>396</v>
      </c>
      <c r="T118" s="78">
        <v>1</v>
      </c>
      <c r="U118" s="78">
        <v>1</v>
      </c>
      <c r="V118" s="78">
        <v>3</v>
      </c>
      <c r="W118" s="78">
        <v>2</v>
      </c>
      <c r="X118" s="78">
        <v>12</v>
      </c>
      <c r="Y118" s="78">
        <v>1</v>
      </c>
      <c r="Z118" s="78">
        <v>3</v>
      </c>
      <c r="AA118" s="78">
        <v>2</v>
      </c>
      <c r="AB118" s="78">
        <v>6</v>
      </c>
      <c r="AC118" s="78">
        <v>3</v>
      </c>
      <c r="AD118" s="137">
        <v>1</v>
      </c>
      <c r="AF118" s="143" t="s">
        <v>744</v>
      </c>
      <c r="AG118" s="143" t="s">
        <v>743</v>
      </c>
      <c r="AH118" s="143" t="s">
        <v>841</v>
      </c>
      <c r="AI118" s="143">
        <v>396</v>
      </c>
      <c r="AJ118" s="78">
        <v>1</v>
      </c>
      <c r="AK118" s="78">
        <v>0</v>
      </c>
      <c r="AL118" s="78">
        <v>1</v>
      </c>
      <c r="AM118" s="78">
        <v>1</v>
      </c>
      <c r="AN118" s="78">
        <v>1</v>
      </c>
      <c r="AO118" s="78">
        <v>2</v>
      </c>
      <c r="AP118" s="78">
        <v>2</v>
      </c>
      <c r="AQ118" s="78">
        <v>1</v>
      </c>
      <c r="AR118" s="78">
        <v>2</v>
      </c>
      <c r="AS118" s="78">
        <v>2</v>
      </c>
      <c r="AT118" s="78">
        <v>2</v>
      </c>
      <c r="AU118" s="78">
        <v>1</v>
      </c>
      <c r="AV118" s="78">
        <v>2</v>
      </c>
      <c r="AW118" s="78">
        <v>1</v>
      </c>
      <c r="AX118" s="78">
        <v>0</v>
      </c>
      <c r="AY118" s="78">
        <v>1</v>
      </c>
      <c r="AZ118" s="78">
        <v>2</v>
      </c>
      <c r="BA118" s="78">
        <v>0.5</v>
      </c>
      <c r="BB118" s="78">
        <v>0.5</v>
      </c>
      <c r="BC118" s="78">
        <v>0.5</v>
      </c>
      <c r="BD118" s="78">
        <v>1</v>
      </c>
      <c r="BE118" s="78">
        <v>0.5</v>
      </c>
      <c r="BF118" s="78">
        <v>1</v>
      </c>
      <c r="BG118" s="78">
        <v>8</v>
      </c>
      <c r="BH118" s="137">
        <v>0.77272730000000001</v>
      </c>
      <c r="BJ118" s="143" t="s">
        <v>744</v>
      </c>
      <c r="BK118" s="143" t="s">
        <v>743</v>
      </c>
      <c r="BL118" s="143" t="s">
        <v>841</v>
      </c>
      <c r="BM118" s="143">
        <v>396</v>
      </c>
      <c r="BN118" s="78">
        <v>1</v>
      </c>
      <c r="BO118" s="78">
        <v>4</v>
      </c>
      <c r="BP118" s="78">
        <v>7</v>
      </c>
      <c r="BQ118" s="78">
        <v>3</v>
      </c>
      <c r="BR118" s="78">
        <v>3</v>
      </c>
      <c r="BS118" s="78">
        <v>3</v>
      </c>
      <c r="BT118" s="78">
        <v>2</v>
      </c>
      <c r="BU118" s="137">
        <v>1</v>
      </c>
      <c r="BW118" s="143" t="s">
        <v>744</v>
      </c>
      <c r="BX118" s="143" t="s">
        <v>743</v>
      </c>
      <c r="BY118" s="143" t="s">
        <v>841</v>
      </c>
      <c r="BZ118" s="143">
        <v>396</v>
      </c>
      <c r="CA118" s="78">
        <v>1</v>
      </c>
      <c r="CB118" s="78">
        <v>0</v>
      </c>
      <c r="CC118" s="78">
        <v>1</v>
      </c>
      <c r="CD118" s="78">
        <v>2</v>
      </c>
      <c r="CE118" s="78">
        <v>1</v>
      </c>
      <c r="CF118" s="78">
        <v>2</v>
      </c>
      <c r="CG118" s="78">
        <v>1</v>
      </c>
      <c r="CH118" s="78">
        <v>2</v>
      </c>
      <c r="CI118" s="78">
        <v>1</v>
      </c>
      <c r="CJ118" s="78">
        <v>0</v>
      </c>
      <c r="CK118" s="137">
        <v>0.73333329999999997</v>
      </c>
      <c r="CM118" s="143" t="s">
        <v>744</v>
      </c>
      <c r="CN118" s="143" t="s">
        <v>743</v>
      </c>
      <c r="CO118" s="143" t="s">
        <v>841</v>
      </c>
      <c r="CP118" s="143">
        <v>396</v>
      </c>
      <c r="CQ118" s="78">
        <v>2</v>
      </c>
      <c r="CR118" s="78">
        <v>0</v>
      </c>
      <c r="CS118" s="78">
        <v>20</v>
      </c>
      <c r="CT118" s="78">
        <v>4</v>
      </c>
      <c r="CU118" s="78">
        <v>0</v>
      </c>
      <c r="CV118" s="78">
        <v>8</v>
      </c>
      <c r="CW118" s="137">
        <v>0.65384609999999999</v>
      </c>
      <c r="CY118" s="143" t="s">
        <v>744</v>
      </c>
      <c r="CZ118" s="143" t="s">
        <v>743</v>
      </c>
      <c r="DA118" s="143" t="s">
        <v>841</v>
      </c>
      <c r="DB118" s="143">
        <v>396</v>
      </c>
      <c r="DC118" s="78">
        <v>58</v>
      </c>
      <c r="DD118" s="137">
        <v>0.2</v>
      </c>
      <c r="DE118" s="137">
        <v>0.126087</v>
      </c>
      <c r="DG118" s="143" t="s">
        <v>744</v>
      </c>
      <c r="DH118" s="143" t="s">
        <v>743</v>
      </c>
      <c r="DI118" s="143" t="s">
        <v>841</v>
      </c>
      <c r="DJ118" s="143">
        <v>396</v>
      </c>
      <c r="DK118" s="78">
        <v>2</v>
      </c>
      <c r="DL118" s="78">
        <v>1</v>
      </c>
      <c r="DM118" s="78">
        <v>1</v>
      </c>
      <c r="DN118" s="78">
        <v>5</v>
      </c>
      <c r="DO118" s="78">
        <v>2</v>
      </c>
      <c r="DP118" s="78">
        <v>3</v>
      </c>
      <c r="DQ118" s="78">
        <v>8</v>
      </c>
      <c r="DR118" s="78">
        <v>1</v>
      </c>
      <c r="DS118" s="78">
        <v>1</v>
      </c>
      <c r="DT118" s="78">
        <v>0</v>
      </c>
      <c r="DU118" s="78">
        <v>1</v>
      </c>
      <c r="DV118" s="137">
        <v>0.86206899999999997</v>
      </c>
      <c r="DX118" s="143" t="s">
        <v>744</v>
      </c>
      <c r="DY118" s="143" t="s">
        <v>743</v>
      </c>
      <c r="DZ118" s="143" t="s">
        <v>841</v>
      </c>
      <c r="EA118" s="143">
        <v>396</v>
      </c>
      <c r="EB118" s="78">
        <v>1</v>
      </c>
      <c r="EC118" s="78">
        <v>8</v>
      </c>
      <c r="ED118" s="78">
        <v>1</v>
      </c>
      <c r="EE118" s="78">
        <v>0</v>
      </c>
      <c r="EF118" s="78">
        <v>3</v>
      </c>
      <c r="EG118" s="78">
        <v>1</v>
      </c>
      <c r="EH118" s="78">
        <v>1</v>
      </c>
      <c r="EI118" s="78">
        <v>1</v>
      </c>
      <c r="EJ118" s="78">
        <v>1</v>
      </c>
      <c r="EK118" s="78">
        <v>1</v>
      </c>
      <c r="EL118" s="78">
        <v>1</v>
      </c>
      <c r="EM118" s="78">
        <v>1</v>
      </c>
      <c r="EN118" s="78">
        <v>1</v>
      </c>
      <c r="EO118" s="78">
        <v>1</v>
      </c>
      <c r="EP118" s="78">
        <v>1</v>
      </c>
      <c r="EQ118" s="137">
        <v>0.8518519</v>
      </c>
      <c r="ES118" s="143" t="s">
        <v>744</v>
      </c>
      <c r="ET118" s="143" t="s">
        <v>743</v>
      </c>
      <c r="EU118" s="143" t="s">
        <v>841</v>
      </c>
      <c r="EV118" s="143">
        <v>396</v>
      </c>
      <c r="EW118" s="78">
        <v>0.5</v>
      </c>
      <c r="EX118" s="78">
        <v>1</v>
      </c>
      <c r="EY118" s="78">
        <v>3</v>
      </c>
      <c r="EZ118" s="78">
        <v>2</v>
      </c>
      <c r="FA118" s="78">
        <v>0.5</v>
      </c>
      <c r="FB118" s="78">
        <v>3</v>
      </c>
      <c r="FC118" s="78">
        <v>2</v>
      </c>
      <c r="FD118" s="78">
        <v>1</v>
      </c>
      <c r="FE118" s="137">
        <v>1</v>
      </c>
      <c r="FG118" s="137">
        <v>0.64897959999999999</v>
      </c>
    </row>
    <row r="119" spans="1:163" x14ac:dyDescent="0.35">
      <c r="A119" s="143" t="s">
        <v>744</v>
      </c>
      <c r="B119" s="143" t="s">
        <v>743</v>
      </c>
      <c r="C119" s="143" t="s">
        <v>843</v>
      </c>
      <c r="D119" s="143">
        <v>1590</v>
      </c>
      <c r="E119" s="78">
        <v>0</v>
      </c>
      <c r="F119" s="78">
        <v>2.5</v>
      </c>
      <c r="G119" s="78">
        <v>1</v>
      </c>
      <c r="H119" s="78">
        <v>4</v>
      </c>
      <c r="I119" s="78">
        <v>1</v>
      </c>
      <c r="J119" s="78">
        <v>1</v>
      </c>
      <c r="K119" s="78">
        <v>1</v>
      </c>
      <c r="L119" s="78">
        <v>1</v>
      </c>
      <c r="M119" s="78">
        <v>2</v>
      </c>
      <c r="N119" s="137">
        <v>0.96428570000000002</v>
      </c>
      <c r="P119" s="143" t="s">
        <v>744</v>
      </c>
      <c r="Q119" s="143" t="s">
        <v>743</v>
      </c>
      <c r="R119" s="143" t="s">
        <v>843</v>
      </c>
      <c r="S119" s="143">
        <v>1590</v>
      </c>
      <c r="T119" s="78">
        <v>1</v>
      </c>
      <c r="U119" s="78">
        <v>1</v>
      </c>
      <c r="V119" s="78">
        <v>3</v>
      </c>
      <c r="W119" s="78">
        <v>2</v>
      </c>
      <c r="X119" s="78">
        <v>12</v>
      </c>
      <c r="Y119" s="78">
        <v>1</v>
      </c>
      <c r="Z119" s="78">
        <v>3</v>
      </c>
      <c r="AA119" s="78">
        <v>2</v>
      </c>
      <c r="AB119" s="78">
        <v>6</v>
      </c>
      <c r="AC119" s="78">
        <v>3</v>
      </c>
      <c r="AD119" s="137">
        <v>1</v>
      </c>
      <c r="AF119" s="143" t="s">
        <v>744</v>
      </c>
      <c r="AG119" s="143" t="s">
        <v>743</v>
      </c>
      <c r="AH119" s="143" t="s">
        <v>843</v>
      </c>
      <c r="AI119" s="143">
        <v>1590</v>
      </c>
      <c r="AJ119" s="78">
        <v>1</v>
      </c>
      <c r="AK119" s="78">
        <v>0</v>
      </c>
      <c r="AL119" s="78">
        <v>1</v>
      </c>
      <c r="AM119" s="78">
        <v>1</v>
      </c>
      <c r="AN119" s="78">
        <v>1</v>
      </c>
      <c r="AO119" s="78">
        <v>2</v>
      </c>
      <c r="AP119" s="78">
        <v>2</v>
      </c>
      <c r="AQ119" s="78">
        <v>1</v>
      </c>
      <c r="AR119" s="78">
        <v>2</v>
      </c>
      <c r="AS119" s="78">
        <v>2</v>
      </c>
      <c r="AT119" s="78">
        <v>2</v>
      </c>
      <c r="AU119" s="78">
        <v>1</v>
      </c>
      <c r="AV119" s="78">
        <v>2</v>
      </c>
      <c r="AW119" s="78">
        <v>1</v>
      </c>
      <c r="AX119" s="78">
        <v>0</v>
      </c>
      <c r="AY119" s="78">
        <v>1</v>
      </c>
      <c r="AZ119" s="78">
        <v>2</v>
      </c>
      <c r="BA119" s="78">
        <v>0.5</v>
      </c>
      <c r="BB119" s="78">
        <v>0.5</v>
      </c>
      <c r="BC119" s="78">
        <v>0.5</v>
      </c>
      <c r="BD119" s="78">
        <v>1</v>
      </c>
      <c r="BE119" s="78">
        <v>0.5</v>
      </c>
      <c r="BF119" s="78">
        <v>0</v>
      </c>
      <c r="BG119" s="78">
        <v>6</v>
      </c>
      <c r="BH119" s="137">
        <v>0.70454539999999999</v>
      </c>
      <c r="BJ119" s="143" t="s">
        <v>744</v>
      </c>
      <c r="BK119" s="143" t="s">
        <v>743</v>
      </c>
      <c r="BL119" s="143" t="s">
        <v>843</v>
      </c>
      <c r="BM119" s="143">
        <v>1590</v>
      </c>
      <c r="BN119" s="78">
        <v>1</v>
      </c>
      <c r="BO119" s="78">
        <v>4</v>
      </c>
      <c r="BP119" s="78">
        <v>7</v>
      </c>
      <c r="BQ119" s="78">
        <v>3</v>
      </c>
      <c r="BR119" s="78">
        <v>3</v>
      </c>
      <c r="BS119" s="78">
        <v>0</v>
      </c>
      <c r="BT119" s="78">
        <v>2</v>
      </c>
      <c r="BU119" s="137">
        <v>0.86956520000000004</v>
      </c>
      <c r="BW119" s="143" t="s">
        <v>744</v>
      </c>
      <c r="BX119" s="143" t="s">
        <v>743</v>
      </c>
      <c r="BY119" s="143" t="s">
        <v>843</v>
      </c>
      <c r="BZ119" s="143">
        <v>1590</v>
      </c>
      <c r="CA119" s="78">
        <v>1</v>
      </c>
      <c r="CB119" s="78">
        <v>1</v>
      </c>
      <c r="CC119" s="78">
        <v>1</v>
      </c>
      <c r="CD119" s="78">
        <v>2</v>
      </c>
      <c r="CE119" s="78">
        <v>1</v>
      </c>
      <c r="CF119" s="78">
        <v>2</v>
      </c>
      <c r="CG119" s="78">
        <v>1</v>
      </c>
      <c r="CH119" s="78">
        <v>2</v>
      </c>
      <c r="CI119" s="78">
        <v>1</v>
      </c>
      <c r="CJ119" s="78">
        <v>0</v>
      </c>
      <c r="CK119" s="137">
        <v>0.8</v>
      </c>
      <c r="CM119" s="143" t="s">
        <v>744</v>
      </c>
      <c r="CN119" s="143" t="s">
        <v>743</v>
      </c>
      <c r="CO119" s="143" t="s">
        <v>843</v>
      </c>
      <c r="CP119" s="143">
        <v>1590</v>
      </c>
      <c r="CQ119" s="78">
        <v>8</v>
      </c>
      <c r="CR119" s="78">
        <v>0</v>
      </c>
      <c r="CS119" s="78">
        <v>16</v>
      </c>
      <c r="CT119" s="78">
        <v>4</v>
      </c>
      <c r="CU119" s="78">
        <v>0</v>
      </c>
      <c r="CV119" s="78">
        <v>8</v>
      </c>
      <c r="CW119" s="137">
        <v>0.69230769999999997</v>
      </c>
      <c r="CY119" s="143" t="s">
        <v>744</v>
      </c>
      <c r="CZ119" s="143" t="s">
        <v>743</v>
      </c>
      <c r="DA119" s="143" t="s">
        <v>843</v>
      </c>
      <c r="DB119" s="143">
        <v>1590</v>
      </c>
      <c r="DC119" s="78">
        <v>40</v>
      </c>
      <c r="DD119" s="137">
        <v>0</v>
      </c>
      <c r="DE119" s="137">
        <v>0</v>
      </c>
      <c r="DG119" s="143" t="s">
        <v>744</v>
      </c>
      <c r="DH119" s="143" t="s">
        <v>743</v>
      </c>
      <c r="DI119" s="143" t="s">
        <v>843</v>
      </c>
      <c r="DJ119" s="143">
        <v>1590</v>
      </c>
      <c r="DK119" s="78">
        <v>2</v>
      </c>
      <c r="DL119" s="78">
        <v>1</v>
      </c>
      <c r="DM119" s="78">
        <v>1</v>
      </c>
      <c r="DN119" s="78">
        <v>7</v>
      </c>
      <c r="DO119" s="78">
        <v>2</v>
      </c>
      <c r="DP119" s="78">
        <v>3</v>
      </c>
      <c r="DQ119" s="78">
        <v>7</v>
      </c>
      <c r="DR119" s="78">
        <v>1</v>
      </c>
      <c r="DS119" s="78">
        <v>1</v>
      </c>
      <c r="DT119" s="78">
        <v>0</v>
      </c>
      <c r="DU119" s="78">
        <v>1</v>
      </c>
      <c r="DV119" s="137">
        <v>0.89655169999999995</v>
      </c>
      <c r="DX119" s="143" t="s">
        <v>744</v>
      </c>
      <c r="DY119" s="143" t="s">
        <v>743</v>
      </c>
      <c r="DZ119" s="143" t="s">
        <v>843</v>
      </c>
      <c r="EA119" s="143">
        <v>1590</v>
      </c>
      <c r="EB119" s="78">
        <v>1</v>
      </c>
      <c r="EC119" s="78">
        <v>8</v>
      </c>
      <c r="ED119" s="78">
        <v>1</v>
      </c>
      <c r="EE119" s="78">
        <v>4</v>
      </c>
      <c r="EF119" s="78">
        <v>3</v>
      </c>
      <c r="EG119" s="78">
        <v>1</v>
      </c>
      <c r="EH119" s="78">
        <v>1</v>
      </c>
      <c r="EI119" s="78">
        <v>1</v>
      </c>
      <c r="EJ119" s="78">
        <v>1</v>
      </c>
      <c r="EK119" s="78">
        <v>1</v>
      </c>
      <c r="EL119" s="78">
        <v>1</v>
      </c>
      <c r="EM119" s="78">
        <v>1</v>
      </c>
      <c r="EN119" s="78">
        <v>1</v>
      </c>
      <c r="EO119" s="78">
        <v>1</v>
      </c>
      <c r="EP119" s="78">
        <v>1</v>
      </c>
      <c r="EQ119" s="137">
        <v>1</v>
      </c>
      <c r="ES119" s="143" t="s">
        <v>744</v>
      </c>
      <c r="ET119" s="143" t="s">
        <v>743</v>
      </c>
      <c r="EU119" s="143" t="s">
        <v>843</v>
      </c>
      <c r="EV119" s="143">
        <v>1590</v>
      </c>
      <c r="EW119" s="78">
        <v>0.5</v>
      </c>
      <c r="EX119" s="78">
        <v>1</v>
      </c>
      <c r="EY119" s="78">
        <v>3</v>
      </c>
      <c r="EZ119" s="78">
        <v>2</v>
      </c>
      <c r="FA119" s="78">
        <v>0.5</v>
      </c>
      <c r="FB119" s="78">
        <v>3</v>
      </c>
      <c r="FC119" s="78">
        <v>2</v>
      </c>
      <c r="FD119" s="78">
        <v>1</v>
      </c>
      <c r="FE119" s="137">
        <v>1</v>
      </c>
      <c r="FG119" s="137">
        <v>0.61953349999999996</v>
      </c>
    </row>
    <row r="120" spans="1:163" x14ac:dyDescent="0.35">
      <c r="A120" s="143" t="s">
        <v>744</v>
      </c>
      <c r="B120" s="143" t="s">
        <v>743</v>
      </c>
      <c r="C120" s="143" t="s">
        <v>842</v>
      </c>
      <c r="D120" s="143">
        <v>1891</v>
      </c>
      <c r="E120" s="78">
        <v>0.5</v>
      </c>
      <c r="F120" s="78">
        <v>2.5</v>
      </c>
      <c r="G120" s="78">
        <v>1</v>
      </c>
      <c r="H120" s="78">
        <v>4</v>
      </c>
      <c r="I120" s="78">
        <v>1</v>
      </c>
      <c r="J120" s="78">
        <v>0</v>
      </c>
      <c r="K120" s="78">
        <v>1</v>
      </c>
      <c r="L120" s="78">
        <v>1</v>
      </c>
      <c r="M120" s="78">
        <v>2</v>
      </c>
      <c r="N120" s="137">
        <v>0.92857140000000005</v>
      </c>
      <c r="P120" s="143" t="s">
        <v>744</v>
      </c>
      <c r="Q120" s="143" t="s">
        <v>743</v>
      </c>
      <c r="R120" s="143" t="s">
        <v>842</v>
      </c>
      <c r="S120" s="143">
        <v>1891</v>
      </c>
      <c r="T120" s="78">
        <v>1</v>
      </c>
      <c r="U120" s="78">
        <v>1</v>
      </c>
      <c r="V120" s="78">
        <v>0</v>
      </c>
      <c r="W120" s="78">
        <v>0</v>
      </c>
      <c r="X120" s="78">
        <v>0</v>
      </c>
      <c r="Y120" s="78">
        <v>1</v>
      </c>
      <c r="Z120" s="78">
        <v>3</v>
      </c>
      <c r="AA120" s="78">
        <v>0</v>
      </c>
      <c r="AB120" s="78">
        <v>0</v>
      </c>
      <c r="AC120" s="78">
        <v>3</v>
      </c>
      <c r="AD120" s="137">
        <v>0.26470589999999999</v>
      </c>
      <c r="AF120" s="143" t="s">
        <v>744</v>
      </c>
      <c r="AG120" s="143" t="s">
        <v>743</v>
      </c>
      <c r="AH120" s="143" t="s">
        <v>842</v>
      </c>
      <c r="AI120" s="143">
        <v>1891</v>
      </c>
      <c r="AJ120" s="78">
        <v>1</v>
      </c>
      <c r="AK120" s="78">
        <v>0</v>
      </c>
      <c r="AL120" s="78">
        <v>1</v>
      </c>
      <c r="AM120" s="78">
        <v>5</v>
      </c>
      <c r="AN120" s="78">
        <v>1</v>
      </c>
      <c r="AO120" s="78">
        <v>2</v>
      </c>
      <c r="AP120" s="78">
        <v>2</v>
      </c>
      <c r="AQ120" s="78">
        <v>1</v>
      </c>
      <c r="AR120" s="78">
        <v>0</v>
      </c>
      <c r="AS120" s="78">
        <v>2</v>
      </c>
      <c r="AT120" s="78">
        <v>2</v>
      </c>
      <c r="AU120" s="78">
        <v>1</v>
      </c>
      <c r="AV120" s="78">
        <v>2</v>
      </c>
      <c r="AW120" s="78">
        <v>1</v>
      </c>
      <c r="AX120" s="78">
        <v>4</v>
      </c>
      <c r="AY120" s="78">
        <v>1</v>
      </c>
      <c r="AZ120" s="78">
        <v>2</v>
      </c>
      <c r="BA120" s="78">
        <v>0.5</v>
      </c>
      <c r="BB120" s="78">
        <v>0.5</v>
      </c>
      <c r="BC120" s="78">
        <v>0.5</v>
      </c>
      <c r="BD120" s="78">
        <v>1</v>
      </c>
      <c r="BE120" s="78">
        <v>0.5</v>
      </c>
      <c r="BF120" s="78">
        <v>1</v>
      </c>
      <c r="BG120" s="78">
        <v>8</v>
      </c>
      <c r="BH120" s="137">
        <v>0.90909090000000004</v>
      </c>
      <c r="BJ120" s="143" t="s">
        <v>744</v>
      </c>
      <c r="BK120" s="143" t="s">
        <v>743</v>
      </c>
      <c r="BL120" s="143" t="s">
        <v>842</v>
      </c>
      <c r="BM120" s="143">
        <v>1891</v>
      </c>
      <c r="BN120" s="78">
        <v>1</v>
      </c>
      <c r="BO120" s="78">
        <v>4</v>
      </c>
      <c r="BP120" s="78">
        <v>7</v>
      </c>
      <c r="BQ120" s="78">
        <v>3</v>
      </c>
      <c r="BR120" s="78">
        <v>3</v>
      </c>
      <c r="BS120" s="78">
        <v>0</v>
      </c>
      <c r="BT120" s="78">
        <v>0</v>
      </c>
      <c r="BU120" s="137">
        <v>0.78260870000000005</v>
      </c>
      <c r="BW120" s="143" t="s">
        <v>744</v>
      </c>
      <c r="BX120" s="143" t="s">
        <v>743</v>
      </c>
      <c r="BY120" s="143" t="s">
        <v>842</v>
      </c>
      <c r="BZ120" s="143">
        <v>1891</v>
      </c>
      <c r="CM120" s="143" t="s">
        <v>744</v>
      </c>
      <c r="CN120" s="143" t="s">
        <v>743</v>
      </c>
      <c r="CO120" s="143" t="s">
        <v>842</v>
      </c>
      <c r="CP120" s="143">
        <v>1891</v>
      </c>
      <c r="CQ120" s="78">
        <v>8</v>
      </c>
      <c r="CR120" s="78">
        <v>0</v>
      </c>
      <c r="CS120" s="78">
        <v>24</v>
      </c>
      <c r="CT120" s="78">
        <v>4</v>
      </c>
      <c r="CU120" s="78">
        <v>2</v>
      </c>
      <c r="CV120" s="78">
        <v>8</v>
      </c>
      <c r="CW120" s="137">
        <v>0.88461540000000005</v>
      </c>
      <c r="CY120" s="143" t="s">
        <v>744</v>
      </c>
      <c r="CZ120" s="143" t="s">
        <v>743</v>
      </c>
      <c r="DA120" s="143" t="s">
        <v>842</v>
      </c>
      <c r="DB120" s="143">
        <v>1891</v>
      </c>
      <c r="DC120" s="78">
        <v>30</v>
      </c>
      <c r="DD120" s="137">
        <v>0</v>
      </c>
      <c r="DE120" s="137">
        <v>0</v>
      </c>
      <c r="DG120" s="143" t="s">
        <v>744</v>
      </c>
      <c r="DH120" s="143" t="s">
        <v>743</v>
      </c>
      <c r="DI120" s="143" t="s">
        <v>842</v>
      </c>
      <c r="DJ120" s="143">
        <v>1891</v>
      </c>
      <c r="DK120" s="78">
        <v>2</v>
      </c>
      <c r="DL120" s="78">
        <v>1</v>
      </c>
      <c r="DM120" s="78">
        <v>1</v>
      </c>
      <c r="DN120" s="78">
        <v>7</v>
      </c>
      <c r="DO120" s="78">
        <v>2</v>
      </c>
      <c r="DP120" s="78">
        <v>3</v>
      </c>
      <c r="DQ120" s="78">
        <v>7</v>
      </c>
      <c r="DR120" s="78">
        <v>1</v>
      </c>
      <c r="DS120" s="78">
        <v>1</v>
      </c>
      <c r="DT120" s="78">
        <v>0</v>
      </c>
      <c r="DU120" s="78">
        <v>1</v>
      </c>
      <c r="DV120" s="137">
        <v>0.89655169999999995</v>
      </c>
      <c r="DX120" s="143" t="s">
        <v>744</v>
      </c>
      <c r="DY120" s="143" t="s">
        <v>743</v>
      </c>
      <c r="DZ120" s="143" t="s">
        <v>842</v>
      </c>
      <c r="EA120" s="143">
        <v>1891</v>
      </c>
      <c r="EB120" s="78">
        <v>1</v>
      </c>
      <c r="EC120" s="78">
        <v>8</v>
      </c>
      <c r="ED120" s="78">
        <v>1</v>
      </c>
      <c r="EE120" s="78">
        <v>4</v>
      </c>
      <c r="EF120" s="78">
        <v>3</v>
      </c>
      <c r="EG120" s="78">
        <v>1</v>
      </c>
      <c r="EH120" s="78">
        <v>1</v>
      </c>
      <c r="EI120" s="78">
        <v>1</v>
      </c>
      <c r="EJ120" s="78">
        <v>1</v>
      </c>
      <c r="EK120" s="78">
        <v>1</v>
      </c>
      <c r="EL120" s="78">
        <v>1</v>
      </c>
      <c r="EM120" s="78">
        <v>1</v>
      </c>
      <c r="EN120" s="78">
        <v>1</v>
      </c>
      <c r="EO120" s="78">
        <v>1</v>
      </c>
      <c r="EP120" s="78">
        <v>1</v>
      </c>
      <c r="EQ120" s="137">
        <v>1</v>
      </c>
      <c r="ES120" s="143" t="s">
        <v>744</v>
      </c>
      <c r="ET120" s="143" t="s">
        <v>743</v>
      </c>
      <c r="EU120" s="143" t="s">
        <v>842</v>
      </c>
      <c r="EV120" s="143">
        <v>1891</v>
      </c>
      <c r="EW120" s="78">
        <v>0.5</v>
      </c>
      <c r="EX120" s="78">
        <v>1</v>
      </c>
      <c r="EY120" s="78">
        <v>3</v>
      </c>
      <c r="EZ120" s="78">
        <v>2</v>
      </c>
      <c r="FA120" s="78">
        <v>0.5</v>
      </c>
      <c r="FB120" s="78">
        <v>3</v>
      </c>
      <c r="FC120" s="78">
        <v>2</v>
      </c>
      <c r="FD120" s="78">
        <v>1</v>
      </c>
      <c r="FE120" s="137">
        <v>1</v>
      </c>
      <c r="FG120" s="137">
        <v>0.58536580000000005</v>
      </c>
    </row>
    <row r="121" spans="1:163" x14ac:dyDescent="0.35">
      <c r="A121" s="143" t="s">
        <v>744</v>
      </c>
      <c r="B121" s="143" t="s">
        <v>743</v>
      </c>
      <c r="C121" s="143" t="s">
        <v>842</v>
      </c>
      <c r="D121" s="143">
        <v>1945</v>
      </c>
      <c r="E121" s="78">
        <v>0.5</v>
      </c>
      <c r="F121" s="78">
        <v>2.5</v>
      </c>
      <c r="G121" s="78">
        <v>1</v>
      </c>
      <c r="H121" s="78">
        <v>4</v>
      </c>
      <c r="I121" s="78">
        <v>1</v>
      </c>
      <c r="J121" s="78">
        <v>0</v>
      </c>
      <c r="K121" s="78">
        <v>1</v>
      </c>
      <c r="L121" s="78">
        <v>1</v>
      </c>
      <c r="M121" s="78">
        <v>2</v>
      </c>
      <c r="N121" s="137">
        <v>0.92857140000000005</v>
      </c>
      <c r="P121" s="143" t="s">
        <v>744</v>
      </c>
      <c r="Q121" s="143" t="s">
        <v>743</v>
      </c>
      <c r="R121" s="143" t="s">
        <v>842</v>
      </c>
      <c r="S121" s="143">
        <v>1945</v>
      </c>
      <c r="T121" s="78">
        <v>1</v>
      </c>
      <c r="U121" s="78">
        <v>1</v>
      </c>
      <c r="V121" s="78">
        <v>2.5</v>
      </c>
      <c r="W121" s="78">
        <v>0</v>
      </c>
      <c r="X121" s="78">
        <v>0</v>
      </c>
      <c r="Y121" s="78">
        <v>1</v>
      </c>
      <c r="Z121" s="78">
        <v>3</v>
      </c>
      <c r="AA121" s="78">
        <v>2</v>
      </c>
      <c r="AB121" s="78">
        <v>6</v>
      </c>
      <c r="AC121" s="78">
        <v>3</v>
      </c>
      <c r="AD121" s="137">
        <v>0.57352939999999997</v>
      </c>
      <c r="AF121" s="143" t="s">
        <v>744</v>
      </c>
      <c r="AG121" s="143" t="s">
        <v>743</v>
      </c>
      <c r="AH121" s="143" t="s">
        <v>842</v>
      </c>
      <c r="AI121" s="143">
        <v>1945</v>
      </c>
      <c r="AJ121" s="78">
        <v>1</v>
      </c>
      <c r="AK121" s="78">
        <v>0</v>
      </c>
      <c r="AL121" s="78">
        <v>1</v>
      </c>
      <c r="AM121" s="78">
        <v>5</v>
      </c>
      <c r="AN121" s="78">
        <v>1</v>
      </c>
      <c r="AO121" s="78">
        <v>2</v>
      </c>
      <c r="AP121" s="78">
        <v>2</v>
      </c>
      <c r="AQ121" s="78">
        <v>1</v>
      </c>
      <c r="AR121" s="78">
        <v>0</v>
      </c>
      <c r="AS121" s="78">
        <v>2</v>
      </c>
      <c r="AT121" s="78">
        <v>2</v>
      </c>
      <c r="AU121" s="78">
        <v>1</v>
      </c>
      <c r="AV121" s="78">
        <v>2</v>
      </c>
      <c r="AW121" s="78">
        <v>1</v>
      </c>
      <c r="AX121" s="78">
        <v>4</v>
      </c>
      <c r="AY121" s="78">
        <v>1</v>
      </c>
      <c r="AZ121" s="78">
        <v>2</v>
      </c>
      <c r="BA121" s="78">
        <v>0.5</v>
      </c>
      <c r="BB121" s="78">
        <v>0.5</v>
      </c>
      <c r="BC121" s="78">
        <v>0.5</v>
      </c>
      <c r="BD121" s="78">
        <v>1</v>
      </c>
      <c r="BE121" s="78">
        <v>0.5</v>
      </c>
      <c r="BF121" s="78">
        <v>1</v>
      </c>
      <c r="BG121" s="78">
        <v>6</v>
      </c>
      <c r="BH121" s="137">
        <v>0.86363639999999997</v>
      </c>
      <c r="BJ121" s="143" t="s">
        <v>744</v>
      </c>
      <c r="BK121" s="143" t="s">
        <v>743</v>
      </c>
      <c r="BL121" s="143" t="s">
        <v>842</v>
      </c>
      <c r="BM121" s="143">
        <v>1945</v>
      </c>
      <c r="BN121" s="78">
        <v>1</v>
      </c>
      <c r="BO121" s="78">
        <v>4</v>
      </c>
      <c r="BP121" s="78">
        <v>7</v>
      </c>
      <c r="BQ121" s="78">
        <v>3</v>
      </c>
      <c r="BR121" s="78">
        <v>3</v>
      </c>
      <c r="BS121" s="78">
        <v>3</v>
      </c>
      <c r="BT121" s="78">
        <v>2</v>
      </c>
      <c r="BU121" s="137">
        <v>1</v>
      </c>
      <c r="BW121" s="143" t="s">
        <v>744</v>
      </c>
      <c r="BX121" s="143" t="s">
        <v>743</v>
      </c>
      <c r="BY121" s="143" t="s">
        <v>842</v>
      </c>
      <c r="BZ121" s="143">
        <v>1945</v>
      </c>
      <c r="CA121" s="78">
        <v>1</v>
      </c>
      <c r="CB121" s="78">
        <v>0</v>
      </c>
      <c r="CC121" s="78">
        <v>1</v>
      </c>
      <c r="CD121" s="78">
        <v>2</v>
      </c>
      <c r="CE121" s="78">
        <v>1</v>
      </c>
      <c r="CF121" s="78">
        <v>2</v>
      </c>
      <c r="CG121" s="78">
        <v>1</v>
      </c>
      <c r="CH121" s="78">
        <v>2</v>
      </c>
      <c r="CI121" s="78">
        <v>1</v>
      </c>
      <c r="CJ121" s="78">
        <v>3</v>
      </c>
      <c r="CK121" s="137">
        <v>0.93333330000000003</v>
      </c>
      <c r="CM121" s="143" t="s">
        <v>744</v>
      </c>
      <c r="CN121" s="143" t="s">
        <v>743</v>
      </c>
      <c r="CO121" s="143" t="s">
        <v>842</v>
      </c>
      <c r="CP121" s="143">
        <v>1945</v>
      </c>
      <c r="CQ121" s="78">
        <v>8</v>
      </c>
      <c r="CR121" s="78">
        <v>0</v>
      </c>
      <c r="CS121" s="78">
        <v>20</v>
      </c>
      <c r="CT121" s="78">
        <v>4</v>
      </c>
      <c r="CU121" s="78">
        <v>0</v>
      </c>
      <c r="CV121" s="78">
        <v>4</v>
      </c>
      <c r="CW121" s="137">
        <v>0.69230769999999997</v>
      </c>
      <c r="CY121" s="143" t="s">
        <v>744</v>
      </c>
      <c r="CZ121" s="143" t="s">
        <v>743</v>
      </c>
      <c r="DA121" s="143" t="s">
        <v>842</v>
      </c>
      <c r="DB121" s="143">
        <v>1945</v>
      </c>
      <c r="DC121" s="78">
        <v>50</v>
      </c>
      <c r="DD121" s="137">
        <v>0</v>
      </c>
      <c r="DE121" s="137">
        <v>0</v>
      </c>
      <c r="DG121" s="143" t="s">
        <v>744</v>
      </c>
      <c r="DH121" s="143" t="s">
        <v>743</v>
      </c>
      <c r="DI121" s="143" t="s">
        <v>842</v>
      </c>
      <c r="DJ121" s="143">
        <v>1945</v>
      </c>
      <c r="DK121" s="78">
        <v>0</v>
      </c>
      <c r="DL121" s="78">
        <v>0</v>
      </c>
      <c r="DM121" s="78">
        <v>0</v>
      </c>
      <c r="DN121" s="78">
        <v>5</v>
      </c>
      <c r="DO121" s="78">
        <v>2</v>
      </c>
      <c r="DP121" s="78">
        <v>3</v>
      </c>
      <c r="DQ121" s="78">
        <v>8</v>
      </c>
      <c r="DR121" s="78">
        <v>1</v>
      </c>
      <c r="DS121" s="78">
        <v>1</v>
      </c>
      <c r="DT121" s="78">
        <v>2</v>
      </c>
      <c r="DU121" s="78">
        <v>1</v>
      </c>
      <c r="DV121" s="137">
        <v>0.79310349999999996</v>
      </c>
      <c r="DX121" s="143" t="s">
        <v>744</v>
      </c>
      <c r="DY121" s="143" t="s">
        <v>743</v>
      </c>
      <c r="DZ121" s="143" t="s">
        <v>842</v>
      </c>
      <c r="EA121" s="143">
        <v>1945</v>
      </c>
      <c r="EB121" s="78">
        <v>1</v>
      </c>
      <c r="EC121" s="78">
        <v>0</v>
      </c>
      <c r="ED121" s="78">
        <v>0</v>
      </c>
      <c r="EE121" s="78">
        <v>4</v>
      </c>
      <c r="EF121" s="78">
        <v>3</v>
      </c>
      <c r="EG121" s="78">
        <v>1</v>
      </c>
      <c r="EH121" s="78">
        <v>1</v>
      </c>
      <c r="EI121" s="78">
        <v>1</v>
      </c>
      <c r="EJ121" s="78">
        <v>1</v>
      </c>
      <c r="EK121" s="78">
        <v>1</v>
      </c>
      <c r="EL121" s="78">
        <v>1</v>
      </c>
      <c r="EM121" s="78">
        <v>1</v>
      </c>
      <c r="EN121" s="78">
        <v>1</v>
      </c>
      <c r="EO121" s="78">
        <v>1</v>
      </c>
      <c r="EP121" s="78">
        <v>1</v>
      </c>
      <c r="EQ121" s="137">
        <v>0.66666669999999995</v>
      </c>
      <c r="ES121" s="143" t="s">
        <v>744</v>
      </c>
      <c r="ET121" s="143" t="s">
        <v>743</v>
      </c>
      <c r="EU121" s="143" t="s">
        <v>842</v>
      </c>
      <c r="EV121" s="143">
        <v>1945</v>
      </c>
      <c r="EW121" s="78">
        <v>0.5</v>
      </c>
      <c r="EX121" s="78">
        <v>1</v>
      </c>
      <c r="EY121" s="78">
        <v>3</v>
      </c>
      <c r="EZ121" s="78">
        <v>2</v>
      </c>
      <c r="FA121" s="78">
        <v>0.5</v>
      </c>
      <c r="FB121" s="78">
        <v>3</v>
      </c>
      <c r="FC121" s="78">
        <v>2</v>
      </c>
      <c r="FD121" s="78">
        <v>1</v>
      </c>
      <c r="FE121" s="137">
        <v>1</v>
      </c>
      <c r="FG121" s="137">
        <v>0.57580169999999997</v>
      </c>
    </row>
    <row r="122" spans="1:163" x14ac:dyDescent="0.35">
      <c r="A122" s="143" t="s">
        <v>744</v>
      </c>
      <c r="B122" s="143" t="s">
        <v>743</v>
      </c>
      <c r="C122" s="143" t="s">
        <v>842</v>
      </c>
      <c r="D122" s="143">
        <v>2022</v>
      </c>
      <c r="E122" s="78">
        <v>0.5</v>
      </c>
      <c r="F122" s="78">
        <v>2.5</v>
      </c>
      <c r="G122" s="78">
        <v>1</v>
      </c>
      <c r="H122" s="78">
        <v>4</v>
      </c>
      <c r="I122" s="78">
        <v>1</v>
      </c>
      <c r="J122" s="78">
        <v>1</v>
      </c>
      <c r="K122" s="78">
        <v>1</v>
      </c>
      <c r="L122" s="78">
        <v>1</v>
      </c>
      <c r="M122" s="78">
        <v>2</v>
      </c>
      <c r="N122" s="137">
        <v>1</v>
      </c>
      <c r="P122" s="143" t="s">
        <v>744</v>
      </c>
      <c r="Q122" s="143" t="s">
        <v>743</v>
      </c>
      <c r="R122" s="143" t="s">
        <v>842</v>
      </c>
      <c r="S122" s="143">
        <v>2022</v>
      </c>
      <c r="T122" s="78">
        <v>1</v>
      </c>
      <c r="U122" s="78">
        <v>1</v>
      </c>
      <c r="V122" s="78">
        <v>0</v>
      </c>
      <c r="W122" s="78">
        <v>0</v>
      </c>
      <c r="X122" s="78">
        <v>12</v>
      </c>
      <c r="Y122" s="78">
        <v>1</v>
      </c>
      <c r="Z122" s="78">
        <v>3</v>
      </c>
      <c r="AA122" s="78">
        <v>2</v>
      </c>
      <c r="AB122" s="78">
        <v>6</v>
      </c>
      <c r="AC122" s="78">
        <v>3</v>
      </c>
      <c r="AD122" s="137">
        <v>0.85294119999999995</v>
      </c>
      <c r="AF122" s="143" t="s">
        <v>744</v>
      </c>
      <c r="AG122" s="143" t="s">
        <v>743</v>
      </c>
      <c r="AH122" s="143" t="s">
        <v>842</v>
      </c>
      <c r="AI122" s="143">
        <v>2022</v>
      </c>
      <c r="AJ122" s="78">
        <v>1</v>
      </c>
      <c r="AK122" s="78">
        <v>0</v>
      </c>
      <c r="AL122" s="78">
        <v>1</v>
      </c>
      <c r="AM122" s="78">
        <v>5</v>
      </c>
      <c r="AN122" s="78">
        <v>1</v>
      </c>
      <c r="AO122" s="78">
        <v>2</v>
      </c>
      <c r="AP122" s="78">
        <v>2</v>
      </c>
      <c r="AQ122" s="78">
        <v>1</v>
      </c>
      <c r="AR122" s="78">
        <v>2</v>
      </c>
      <c r="AS122" s="78">
        <v>2</v>
      </c>
      <c r="AT122" s="78">
        <v>2</v>
      </c>
      <c r="AU122" s="78">
        <v>1</v>
      </c>
      <c r="AV122" s="78">
        <v>2</v>
      </c>
      <c r="AW122" s="78">
        <v>1</v>
      </c>
      <c r="AX122" s="78">
        <v>4</v>
      </c>
      <c r="AY122" s="78">
        <v>1</v>
      </c>
      <c r="AZ122" s="78">
        <v>2</v>
      </c>
      <c r="BA122" s="78">
        <v>0.5</v>
      </c>
      <c r="BB122" s="78">
        <v>0.5</v>
      </c>
      <c r="BC122" s="78">
        <v>0.5</v>
      </c>
      <c r="BD122" s="78">
        <v>1</v>
      </c>
      <c r="BE122" s="78">
        <v>0.5</v>
      </c>
      <c r="BF122" s="78">
        <v>1</v>
      </c>
      <c r="BG122" s="78">
        <v>8</v>
      </c>
      <c r="BH122" s="137">
        <v>0.95454539999999999</v>
      </c>
      <c r="BJ122" s="143" t="s">
        <v>744</v>
      </c>
      <c r="BK122" s="143" t="s">
        <v>743</v>
      </c>
      <c r="BL122" s="143" t="s">
        <v>842</v>
      </c>
      <c r="BM122" s="143">
        <v>2022</v>
      </c>
      <c r="BN122" s="78">
        <v>1</v>
      </c>
      <c r="BO122" s="78">
        <v>4</v>
      </c>
      <c r="BP122" s="78">
        <v>7</v>
      </c>
      <c r="BQ122" s="78">
        <v>3</v>
      </c>
      <c r="BR122" s="78">
        <v>3</v>
      </c>
      <c r="BS122" s="78">
        <v>3</v>
      </c>
      <c r="BT122" s="78">
        <v>2</v>
      </c>
      <c r="BU122" s="137">
        <v>1</v>
      </c>
      <c r="BW122" s="143" t="s">
        <v>744</v>
      </c>
      <c r="BX122" s="143" t="s">
        <v>743</v>
      </c>
      <c r="BY122" s="143" t="s">
        <v>842</v>
      </c>
      <c r="BZ122" s="143">
        <v>2022</v>
      </c>
      <c r="CM122" s="143" t="s">
        <v>744</v>
      </c>
      <c r="CN122" s="143" t="s">
        <v>743</v>
      </c>
      <c r="CO122" s="143" t="s">
        <v>842</v>
      </c>
      <c r="CP122" s="143">
        <v>2022</v>
      </c>
      <c r="CQ122" s="78">
        <v>8</v>
      </c>
      <c r="CR122" s="78">
        <v>0</v>
      </c>
      <c r="CS122" s="78">
        <v>16</v>
      </c>
      <c r="CT122" s="78">
        <v>4</v>
      </c>
      <c r="CU122" s="78">
        <v>2</v>
      </c>
      <c r="CV122" s="78">
        <v>8</v>
      </c>
      <c r="CW122" s="137">
        <v>0.73076920000000001</v>
      </c>
      <c r="CY122" s="143" t="s">
        <v>744</v>
      </c>
      <c r="CZ122" s="143" t="s">
        <v>743</v>
      </c>
      <c r="DA122" s="143" t="s">
        <v>842</v>
      </c>
      <c r="DB122" s="143">
        <v>2022</v>
      </c>
      <c r="DC122" s="78">
        <v>66</v>
      </c>
      <c r="DD122" s="137">
        <v>0.4</v>
      </c>
      <c r="DE122" s="137">
        <v>0.2869565</v>
      </c>
      <c r="DG122" s="143" t="s">
        <v>744</v>
      </c>
      <c r="DH122" s="143" t="s">
        <v>743</v>
      </c>
      <c r="DI122" s="143" t="s">
        <v>842</v>
      </c>
      <c r="DJ122" s="143">
        <v>2022</v>
      </c>
      <c r="DK122" s="78">
        <v>2</v>
      </c>
      <c r="DL122" s="78">
        <v>1</v>
      </c>
      <c r="DM122" s="78">
        <v>1</v>
      </c>
      <c r="DN122" s="78">
        <v>7</v>
      </c>
      <c r="DO122" s="78">
        <v>2</v>
      </c>
      <c r="DP122" s="78">
        <v>3</v>
      </c>
      <c r="DQ122" s="78">
        <v>8</v>
      </c>
      <c r="DR122" s="78">
        <v>1</v>
      </c>
      <c r="DS122" s="78">
        <v>1</v>
      </c>
      <c r="DT122" s="78">
        <v>2</v>
      </c>
      <c r="DU122" s="78">
        <v>1</v>
      </c>
      <c r="DV122" s="137">
        <v>1</v>
      </c>
      <c r="DX122" s="143" t="s">
        <v>744</v>
      </c>
      <c r="DY122" s="143" t="s">
        <v>743</v>
      </c>
      <c r="DZ122" s="143" t="s">
        <v>842</v>
      </c>
      <c r="EA122" s="143">
        <v>2022</v>
      </c>
      <c r="EB122" s="78">
        <v>1</v>
      </c>
      <c r="EC122" s="78">
        <v>8</v>
      </c>
      <c r="ED122" s="78">
        <v>1</v>
      </c>
      <c r="EE122" s="78">
        <v>4</v>
      </c>
      <c r="EF122" s="78">
        <v>3</v>
      </c>
      <c r="EG122" s="78">
        <v>1</v>
      </c>
      <c r="EH122" s="78">
        <v>1</v>
      </c>
      <c r="EI122" s="78">
        <v>1</v>
      </c>
      <c r="EJ122" s="78">
        <v>1</v>
      </c>
      <c r="EK122" s="78">
        <v>1</v>
      </c>
      <c r="EL122" s="78">
        <v>1</v>
      </c>
      <c r="EM122" s="78">
        <v>1</v>
      </c>
      <c r="EN122" s="78">
        <v>1</v>
      </c>
      <c r="EO122" s="78">
        <v>1</v>
      </c>
      <c r="EP122" s="78">
        <v>1</v>
      </c>
      <c r="EQ122" s="137">
        <v>1</v>
      </c>
      <c r="ES122" s="143" t="s">
        <v>744</v>
      </c>
      <c r="ET122" s="143" t="s">
        <v>743</v>
      </c>
      <c r="EU122" s="143" t="s">
        <v>842</v>
      </c>
      <c r="EV122" s="143">
        <v>2022</v>
      </c>
      <c r="EW122" s="78">
        <v>0.5</v>
      </c>
      <c r="EX122" s="78">
        <v>1</v>
      </c>
      <c r="EY122" s="78">
        <v>3</v>
      </c>
      <c r="EZ122" s="78">
        <v>2</v>
      </c>
      <c r="FA122" s="78">
        <v>0.5</v>
      </c>
      <c r="FB122" s="78">
        <v>3</v>
      </c>
      <c r="FC122" s="78">
        <v>2</v>
      </c>
      <c r="FD122" s="78">
        <v>1</v>
      </c>
      <c r="FE122" s="137">
        <v>1</v>
      </c>
      <c r="FG122" s="137">
        <v>0.73597559999999995</v>
      </c>
    </row>
    <row r="123" spans="1:163" x14ac:dyDescent="0.35">
      <c r="A123" s="143" t="s">
        <v>745</v>
      </c>
      <c r="B123" s="143" t="s">
        <v>730</v>
      </c>
      <c r="C123" s="143" t="s">
        <v>841</v>
      </c>
      <c r="D123" s="143">
        <v>510</v>
      </c>
      <c r="E123" s="78">
        <v>0.5</v>
      </c>
      <c r="F123" s="78">
        <v>2.5</v>
      </c>
      <c r="G123" s="78">
        <v>1</v>
      </c>
      <c r="H123" s="78">
        <v>4</v>
      </c>
      <c r="I123" s="78">
        <v>1</v>
      </c>
      <c r="J123" s="78">
        <v>0</v>
      </c>
      <c r="K123" s="78">
        <v>1</v>
      </c>
      <c r="L123" s="78">
        <v>0</v>
      </c>
      <c r="M123" s="78">
        <v>2</v>
      </c>
      <c r="N123" s="137">
        <v>0.85714290000000004</v>
      </c>
      <c r="P123" s="143" t="s">
        <v>745</v>
      </c>
      <c r="Q123" s="143" t="s">
        <v>730</v>
      </c>
      <c r="R123" s="143" t="s">
        <v>841</v>
      </c>
      <c r="S123" s="143">
        <v>510</v>
      </c>
      <c r="T123" s="78">
        <v>1</v>
      </c>
      <c r="U123" s="78">
        <v>1</v>
      </c>
      <c r="V123" s="78">
        <v>0</v>
      </c>
      <c r="W123" s="78">
        <v>2</v>
      </c>
      <c r="X123" s="78">
        <v>0</v>
      </c>
      <c r="Y123" s="78">
        <v>1</v>
      </c>
      <c r="Z123" s="78">
        <v>3</v>
      </c>
      <c r="AA123" s="78">
        <v>2</v>
      </c>
      <c r="AB123" s="78">
        <v>6</v>
      </c>
      <c r="AC123" s="78">
        <v>0</v>
      </c>
      <c r="AD123" s="137">
        <v>0.47058820000000001</v>
      </c>
      <c r="AF123" s="143" t="s">
        <v>745</v>
      </c>
      <c r="AG123" s="143" t="s">
        <v>730</v>
      </c>
      <c r="AH123" s="143" t="s">
        <v>841</v>
      </c>
      <c r="AI123" s="143">
        <v>510</v>
      </c>
      <c r="AJ123" s="78">
        <v>1</v>
      </c>
      <c r="AK123" s="78">
        <v>1</v>
      </c>
      <c r="AL123" s="78">
        <v>1</v>
      </c>
      <c r="AM123" s="78">
        <v>6</v>
      </c>
      <c r="AN123" s="78">
        <v>1</v>
      </c>
      <c r="AO123" s="78">
        <v>0</v>
      </c>
      <c r="AP123" s="78">
        <v>1</v>
      </c>
      <c r="AQ123" s="78">
        <v>1</v>
      </c>
      <c r="AR123" s="78">
        <v>2</v>
      </c>
      <c r="AS123" s="78">
        <v>0</v>
      </c>
      <c r="AT123" s="78">
        <v>0</v>
      </c>
      <c r="AU123" s="78">
        <v>0</v>
      </c>
      <c r="AV123" s="78">
        <v>2</v>
      </c>
      <c r="AW123" s="78">
        <v>0</v>
      </c>
      <c r="AX123" s="78">
        <v>0</v>
      </c>
      <c r="AY123" s="78">
        <v>0</v>
      </c>
      <c r="AZ123" s="78">
        <v>2</v>
      </c>
      <c r="BA123" s="78">
        <v>0.5</v>
      </c>
      <c r="BB123" s="78">
        <v>0.5</v>
      </c>
      <c r="BC123" s="78">
        <v>0</v>
      </c>
      <c r="BD123" s="78">
        <v>1</v>
      </c>
      <c r="BE123" s="78">
        <v>0.5</v>
      </c>
      <c r="BF123" s="78">
        <v>0</v>
      </c>
      <c r="BG123" s="78">
        <v>4</v>
      </c>
      <c r="BH123" s="137">
        <v>0.55681820000000004</v>
      </c>
      <c r="BJ123" s="143" t="s">
        <v>745</v>
      </c>
      <c r="BK123" s="143" t="s">
        <v>730</v>
      </c>
      <c r="BL123" s="143" t="s">
        <v>841</v>
      </c>
      <c r="BM123" s="143">
        <v>510</v>
      </c>
      <c r="BN123" s="78">
        <v>1</v>
      </c>
      <c r="BO123" s="78">
        <v>4</v>
      </c>
      <c r="BP123" s="78">
        <v>7</v>
      </c>
      <c r="BQ123" s="78">
        <v>3</v>
      </c>
      <c r="BR123" s="78">
        <v>3</v>
      </c>
      <c r="BS123" s="78">
        <v>0</v>
      </c>
      <c r="BT123" s="78">
        <v>2</v>
      </c>
      <c r="BU123" s="137">
        <v>0.86956520000000004</v>
      </c>
      <c r="BW123" s="143" t="s">
        <v>745</v>
      </c>
      <c r="BX123" s="143" t="s">
        <v>730</v>
      </c>
      <c r="BY123" s="143" t="s">
        <v>841</v>
      </c>
      <c r="BZ123" s="143">
        <v>510</v>
      </c>
      <c r="CA123" s="78">
        <v>1</v>
      </c>
      <c r="CB123" s="78">
        <v>0</v>
      </c>
      <c r="CC123" s="78">
        <v>1</v>
      </c>
      <c r="CD123" s="78">
        <v>2</v>
      </c>
      <c r="CE123" s="78">
        <v>1</v>
      </c>
      <c r="CF123" s="78">
        <v>2</v>
      </c>
      <c r="CG123" s="78">
        <v>1</v>
      </c>
      <c r="CH123" s="78">
        <v>2</v>
      </c>
      <c r="CI123" s="78">
        <v>1</v>
      </c>
      <c r="CJ123" s="78">
        <v>0</v>
      </c>
      <c r="CK123" s="137">
        <v>0.73333329999999997</v>
      </c>
      <c r="CM123" s="143" t="s">
        <v>745</v>
      </c>
      <c r="CN123" s="143" t="s">
        <v>730</v>
      </c>
      <c r="CO123" s="143" t="s">
        <v>841</v>
      </c>
      <c r="CP123" s="143">
        <v>510</v>
      </c>
      <c r="CQ123" s="78">
        <v>8</v>
      </c>
      <c r="CR123" s="78">
        <v>0</v>
      </c>
      <c r="CS123" s="78">
        <v>20</v>
      </c>
      <c r="CT123" s="78">
        <v>4</v>
      </c>
      <c r="CU123" s="78">
        <v>2</v>
      </c>
      <c r="CV123" s="78">
        <v>8</v>
      </c>
      <c r="CW123" s="137">
        <v>0.80769230000000003</v>
      </c>
      <c r="CY123" s="143" t="s">
        <v>745</v>
      </c>
      <c r="CZ123" s="143" t="s">
        <v>730</v>
      </c>
      <c r="DA123" s="143" t="s">
        <v>841</v>
      </c>
      <c r="DB123" s="143">
        <v>510</v>
      </c>
      <c r="DC123" s="78">
        <v>38</v>
      </c>
      <c r="DD123" s="137">
        <v>0.2</v>
      </c>
      <c r="DE123" s="137">
        <v>8.2608699999999993E-2</v>
      </c>
      <c r="DG123" s="143" t="s">
        <v>745</v>
      </c>
      <c r="DH123" s="143" t="s">
        <v>730</v>
      </c>
      <c r="DI123" s="143" t="s">
        <v>841</v>
      </c>
      <c r="DJ123" s="143">
        <v>510</v>
      </c>
      <c r="DK123" s="78">
        <v>2</v>
      </c>
      <c r="DL123" s="78">
        <v>1</v>
      </c>
      <c r="DM123" s="78">
        <v>1</v>
      </c>
      <c r="DN123" s="78">
        <v>5</v>
      </c>
      <c r="DO123" s="78">
        <v>2</v>
      </c>
      <c r="DP123" s="78">
        <v>3</v>
      </c>
      <c r="DQ123" s="78">
        <v>8</v>
      </c>
      <c r="DR123" s="78">
        <v>1</v>
      </c>
      <c r="DS123" s="78">
        <v>0</v>
      </c>
      <c r="DT123" s="78">
        <v>0</v>
      </c>
      <c r="DU123" s="78">
        <v>1</v>
      </c>
      <c r="DV123" s="137">
        <v>0.82758620000000005</v>
      </c>
      <c r="DX123" s="143" t="s">
        <v>745</v>
      </c>
      <c r="DY123" s="143" t="s">
        <v>730</v>
      </c>
      <c r="DZ123" s="143" t="s">
        <v>841</v>
      </c>
      <c r="EA123" s="143">
        <v>510</v>
      </c>
      <c r="EB123" s="78">
        <v>1</v>
      </c>
      <c r="EC123" s="78">
        <v>8</v>
      </c>
      <c r="ED123" s="78">
        <v>1</v>
      </c>
      <c r="EE123" s="78">
        <v>4</v>
      </c>
      <c r="EF123" s="78">
        <v>0</v>
      </c>
      <c r="EG123" s="78">
        <v>1</v>
      </c>
      <c r="EH123" s="78">
        <v>0</v>
      </c>
      <c r="EI123" s="78">
        <v>1</v>
      </c>
      <c r="EJ123" s="78">
        <v>1</v>
      </c>
      <c r="EK123" s="78">
        <v>1</v>
      </c>
      <c r="EL123" s="78">
        <v>1</v>
      </c>
      <c r="EM123" s="78">
        <v>1</v>
      </c>
      <c r="EN123" s="78">
        <v>0</v>
      </c>
      <c r="EO123" s="78">
        <v>1</v>
      </c>
      <c r="EP123" s="78">
        <v>0</v>
      </c>
      <c r="EQ123" s="137">
        <v>0.77777779999999996</v>
      </c>
      <c r="ES123" s="143" t="s">
        <v>745</v>
      </c>
      <c r="ET123" s="143" t="s">
        <v>730</v>
      </c>
      <c r="EU123" s="143" t="s">
        <v>841</v>
      </c>
      <c r="EV123" s="143">
        <v>510</v>
      </c>
      <c r="EW123" s="78">
        <v>0</v>
      </c>
      <c r="EX123" s="78">
        <v>0</v>
      </c>
      <c r="EY123" s="78">
        <v>0</v>
      </c>
      <c r="EZ123" s="78">
        <v>0</v>
      </c>
      <c r="FA123" s="78">
        <v>0.5</v>
      </c>
      <c r="FB123" s="78">
        <v>3</v>
      </c>
      <c r="FC123" s="78">
        <v>2</v>
      </c>
      <c r="FD123" s="78">
        <v>0</v>
      </c>
      <c r="FE123" s="137">
        <v>0.42307689999999998</v>
      </c>
      <c r="FG123" s="137">
        <v>0.535277</v>
      </c>
    </row>
    <row r="124" spans="1:163" x14ac:dyDescent="0.35">
      <c r="A124" s="143" t="s">
        <v>745</v>
      </c>
      <c r="B124" s="143" t="s">
        <v>730</v>
      </c>
      <c r="C124" s="143" t="s">
        <v>843</v>
      </c>
      <c r="D124" s="143">
        <v>518</v>
      </c>
      <c r="E124" s="78">
        <v>0.5</v>
      </c>
      <c r="F124" s="78">
        <v>2</v>
      </c>
      <c r="G124" s="78">
        <v>0</v>
      </c>
      <c r="H124" s="78">
        <v>0</v>
      </c>
      <c r="I124" s="78">
        <v>1</v>
      </c>
      <c r="J124" s="78">
        <v>0</v>
      </c>
      <c r="K124" s="78">
        <v>1</v>
      </c>
      <c r="L124" s="78">
        <v>0</v>
      </c>
      <c r="M124" s="78">
        <v>0</v>
      </c>
      <c r="N124" s="137">
        <v>0.32142860000000001</v>
      </c>
      <c r="P124" s="143" t="s">
        <v>745</v>
      </c>
      <c r="Q124" s="143" t="s">
        <v>730</v>
      </c>
      <c r="R124" s="143" t="s">
        <v>843</v>
      </c>
      <c r="S124" s="143">
        <v>518</v>
      </c>
      <c r="T124" s="78">
        <v>1</v>
      </c>
      <c r="U124" s="78">
        <v>0</v>
      </c>
      <c r="V124" s="78">
        <v>1</v>
      </c>
      <c r="W124" s="78">
        <v>2</v>
      </c>
      <c r="X124" s="78">
        <v>0</v>
      </c>
      <c r="Y124" s="78">
        <v>1</v>
      </c>
      <c r="Z124" s="78">
        <v>3</v>
      </c>
      <c r="AA124" s="78">
        <v>0</v>
      </c>
      <c r="AB124" s="78">
        <v>6</v>
      </c>
      <c r="AC124" s="78">
        <v>0</v>
      </c>
      <c r="AD124" s="137">
        <v>0.41176469999999998</v>
      </c>
      <c r="AF124" s="143" t="s">
        <v>745</v>
      </c>
      <c r="AG124" s="143" t="s">
        <v>730</v>
      </c>
      <c r="AH124" s="143" t="s">
        <v>843</v>
      </c>
      <c r="AI124" s="143">
        <v>518</v>
      </c>
      <c r="AJ124" s="78">
        <v>1</v>
      </c>
      <c r="AK124" s="78">
        <v>1</v>
      </c>
      <c r="AL124" s="78">
        <v>1</v>
      </c>
      <c r="AM124" s="78">
        <v>1</v>
      </c>
      <c r="AN124" s="78">
        <v>1</v>
      </c>
      <c r="AO124" s="78">
        <v>0</v>
      </c>
      <c r="AP124" s="78">
        <v>2</v>
      </c>
      <c r="AQ124" s="78">
        <v>0</v>
      </c>
      <c r="AR124" s="78">
        <v>2</v>
      </c>
      <c r="AS124" s="78">
        <v>0</v>
      </c>
      <c r="AT124" s="78">
        <v>0</v>
      </c>
      <c r="AU124" s="78">
        <v>0</v>
      </c>
      <c r="AV124" s="78">
        <v>2</v>
      </c>
      <c r="AW124" s="78">
        <v>0</v>
      </c>
      <c r="AX124" s="78">
        <v>0</v>
      </c>
      <c r="AY124" s="78">
        <v>0</v>
      </c>
      <c r="AZ124" s="78">
        <v>2</v>
      </c>
      <c r="BA124" s="78">
        <v>0.5</v>
      </c>
      <c r="BB124" s="78">
        <v>0.5</v>
      </c>
      <c r="BC124" s="78">
        <v>0</v>
      </c>
      <c r="BD124" s="78">
        <v>0</v>
      </c>
      <c r="BE124" s="78">
        <v>0.5</v>
      </c>
      <c r="BF124" s="78">
        <v>1</v>
      </c>
      <c r="BG124" s="78">
        <v>2</v>
      </c>
      <c r="BH124" s="137">
        <v>0.39772730000000001</v>
      </c>
      <c r="BJ124" s="143" t="s">
        <v>745</v>
      </c>
      <c r="BK124" s="143" t="s">
        <v>730</v>
      </c>
      <c r="BL124" s="143" t="s">
        <v>843</v>
      </c>
      <c r="BM124" s="143">
        <v>518</v>
      </c>
      <c r="BN124" s="78">
        <v>1</v>
      </c>
      <c r="BO124" s="78">
        <v>4</v>
      </c>
      <c r="BP124" s="78">
        <v>7</v>
      </c>
      <c r="BQ124" s="78">
        <v>0</v>
      </c>
      <c r="BR124" s="78">
        <v>3</v>
      </c>
      <c r="BS124" s="78">
        <v>0</v>
      </c>
      <c r="BT124" s="78">
        <v>2</v>
      </c>
      <c r="BU124" s="137">
        <v>0.73913039999999997</v>
      </c>
      <c r="BW124" s="143" t="s">
        <v>745</v>
      </c>
      <c r="BX124" s="143" t="s">
        <v>730</v>
      </c>
      <c r="BY124" s="143" t="s">
        <v>843</v>
      </c>
      <c r="BZ124" s="143">
        <v>518</v>
      </c>
      <c r="CA124" s="78">
        <v>1</v>
      </c>
      <c r="CB124" s="78">
        <v>1</v>
      </c>
      <c r="CC124" s="78">
        <v>1</v>
      </c>
      <c r="CD124" s="78">
        <v>2</v>
      </c>
      <c r="CE124" s="78">
        <v>1</v>
      </c>
      <c r="CF124" s="78">
        <v>2</v>
      </c>
      <c r="CG124" s="78">
        <v>1</v>
      </c>
      <c r="CH124" s="78">
        <v>2</v>
      </c>
      <c r="CI124" s="78">
        <v>1</v>
      </c>
      <c r="CJ124" s="78">
        <v>0</v>
      </c>
      <c r="CK124" s="137">
        <v>0.8</v>
      </c>
      <c r="CM124" s="143" t="s">
        <v>745</v>
      </c>
      <c r="CN124" s="143" t="s">
        <v>730</v>
      </c>
      <c r="CO124" s="143" t="s">
        <v>843</v>
      </c>
      <c r="CP124" s="143">
        <v>518</v>
      </c>
      <c r="CQ124" s="78">
        <v>8</v>
      </c>
      <c r="CR124" s="78">
        <v>0</v>
      </c>
      <c r="CS124" s="78">
        <v>24</v>
      </c>
      <c r="CT124" s="78">
        <v>4</v>
      </c>
      <c r="CU124" s="78">
        <v>2</v>
      </c>
      <c r="CV124" s="78">
        <v>8</v>
      </c>
      <c r="CW124" s="137">
        <v>0.88461540000000005</v>
      </c>
      <c r="CY124" s="143" t="s">
        <v>745</v>
      </c>
      <c r="CZ124" s="143" t="s">
        <v>730</v>
      </c>
      <c r="DA124" s="143" t="s">
        <v>843</v>
      </c>
      <c r="DB124" s="143">
        <v>518</v>
      </c>
      <c r="DC124" s="78">
        <v>48</v>
      </c>
      <c r="DD124" s="137">
        <v>0</v>
      </c>
      <c r="DE124" s="137">
        <v>0</v>
      </c>
      <c r="DG124" s="143" t="s">
        <v>745</v>
      </c>
      <c r="DH124" s="143" t="s">
        <v>730</v>
      </c>
      <c r="DI124" s="143" t="s">
        <v>843</v>
      </c>
      <c r="DJ124" s="143">
        <v>518</v>
      </c>
      <c r="DK124" s="78">
        <v>0</v>
      </c>
      <c r="DL124" s="78">
        <v>1</v>
      </c>
      <c r="DM124" s="78">
        <v>0</v>
      </c>
      <c r="DN124" s="78">
        <v>4</v>
      </c>
      <c r="DO124" s="78">
        <v>2</v>
      </c>
      <c r="DP124" s="78">
        <v>3</v>
      </c>
      <c r="DQ124" s="78">
        <v>6</v>
      </c>
      <c r="DR124" s="78">
        <v>1</v>
      </c>
      <c r="DS124" s="78">
        <v>0</v>
      </c>
      <c r="DT124" s="78">
        <v>0</v>
      </c>
      <c r="DU124" s="78">
        <v>1</v>
      </c>
      <c r="DV124" s="137">
        <v>0.62068959999999995</v>
      </c>
      <c r="DX124" s="143" t="s">
        <v>745</v>
      </c>
      <c r="DY124" s="143" t="s">
        <v>730</v>
      </c>
      <c r="DZ124" s="143" t="s">
        <v>843</v>
      </c>
      <c r="EA124" s="143">
        <v>518</v>
      </c>
      <c r="EB124" s="78">
        <v>1</v>
      </c>
      <c r="EC124" s="78">
        <v>8</v>
      </c>
      <c r="ED124" s="78">
        <v>1</v>
      </c>
      <c r="EE124" s="78">
        <v>4</v>
      </c>
      <c r="EF124" s="78">
        <v>0</v>
      </c>
      <c r="EG124" s="78">
        <v>1</v>
      </c>
      <c r="EH124" s="78">
        <v>1</v>
      </c>
      <c r="EI124" s="78">
        <v>1</v>
      </c>
      <c r="EJ124" s="78">
        <v>1</v>
      </c>
      <c r="EK124" s="78">
        <v>0</v>
      </c>
      <c r="EL124" s="78">
        <v>1</v>
      </c>
      <c r="EM124" s="78">
        <v>1</v>
      </c>
      <c r="EN124" s="78">
        <v>1</v>
      </c>
      <c r="EO124" s="78">
        <v>1</v>
      </c>
      <c r="EP124" s="78">
        <v>1</v>
      </c>
      <c r="EQ124" s="137">
        <v>0.8518519</v>
      </c>
      <c r="ES124" s="143" t="s">
        <v>745</v>
      </c>
      <c r="ET124" s="143" t="s">
        <v>730</v>
      </c>
      <c r="EU124" s="143" t="s">
        <v>843</v>
      </c>
      <c r="EV124" s="143">
        <v>518</v>
      </c>
      <c r="EW124" s="78">
        <v>0.5</v>
      </c>
      <c r="EX124" s="78">
        <v>0</v>
      </c>
      <c r="EY124" s="78">
        <v>3</v>
      </c>
      <c r="EZ124" s="78">
        <v>2</v>
      </c>
      <c r="FA124" s="78">
        <v>0</v>
      </c>
      <c r="FB124" s="78">
        <v>0</v>
      </c>
      <c r="FC124" s="78">
        <v>2</v>
      </c>
      <c r="FD124" s="78">
        <v>0</v>
      </c>
      <c r="FE124" s="137">
        <v>0.57692310000000002</v>
      </c>
      <c r="FG124" s="137">
        <v>0.4650146</v>
      </c>
    </row>
    <row r="125" spans="1:163" x14ac:dyDescent="0.35">
      <c r="A125" s="143" t="s">
        <v>745</v>
      </c>
      <c r="B125" s="143" t="s">
        <v>730</v>
      </c>
      <c r="C125" s="143" t="s">
        <v>842</v>
      </c>
      <c r="D125" s="143">
        <v>526</v>
      </c>
      <c r="E125" s="78">
        <v>0.5</v>
      </c>
      <c r="F125" s="78">
        <v>1.5</v>
      </c>
      <c r="G125" s="78">
        <v>1</v>
      </c>
      <c r="H125" s="78">
        <v>3</v>
      </c>
      <c r="I125" s="78">
        <v>1</v>
      </c>
      <c r="J125" s="78">
        <v>0</v>
      </c>
      <c r="K125" s="78">
        <v>1</v>
      </c>
      <c r="L125" s="78">
        <v>0</v>
      </c>
      <c r="M125" s="78">
        <v>2</v>
      </c>
      <c r="N125" s="137">
        <v>0.71428570000000002</v>
      </c>
      <c r="P125" s="143" t="s">
        <v>745</v>
      </c>
      <c r="Q125" s="143" t="s">
        <v>730</v>
      </c>
      <c r="R125" s="143" t="s">
        <v>842</v>
      </c>
      <c r="S125" s="143">
        <v>526</v>
      </c>
      <c r="T125" s="78">
        <v>1</v>
      </c>
      <c r="U125" s="78">
        <v>0</v>
      </c>
      <c r="V125" s="78">
        <v>0</v>
      </c>
      <c r="W125" s="78">
        <v>0.5</v>
      </c>
      <c r="X125" s="78">
        <v>0</v>
      </c>
      <c r="Y125" s="78">
        <v>1</v>
      </c>
      <c r="Z125" s="78">
        <v>0</v>
      </c>
      <c r="AA125" s="78">
        <v>0</v>
      </c>
      <c r="AB125" s="78">
        <v>6</v>
      </c>
      <c r="AC125" s="78">
        <v>0</v>
      </c>
      <c r="AD125" s="137">
        <v>0.25</v>
      </c>
      <c r="AF125" s="143" t="s">
        <v>745</v>
      </c>
      <c r="AG125" s="143" t="s">
        <v>730</v>
      </c>
      <c r="AH125" s="143" t="s">
        <v>842</v>
      </c>
      <c r="AI125" s="143">
        <v>526</v>
      </c>
      <c r="AJ125" s="78">
        <v>1</v>
      </c>
      <c r="AK125" s="78">
        <v>1</v>
      </c>
      <c r="AL125" s="78">
        <v>0</v>
      </c>
      <c r="AM125" s="78">
        <v>0</v>
      </c>
      <c r="AN125" s="78">
        <v>1</v>
      </c>
      <c r="AO125" s="78">
        <v>0</v>
      </c>
      <c r="AP125" s="78">
        <v>1</v>
      </c>
      <c r="AQ125" s="78">
        <v>1</v>
      </c>
      <c r="AR125" s="78">
        <v>0</v>
      </c>
      <c r="AS125" s="78">
        <v>0</v>
      </c>
      <c r="AT125" s="78">
        <v>0</v>
      </c>
      <c r="AU125" s="78">
        <v>0</v>
      </c>
      <c r="AV125" s="78">
        <v>0</v>
      </c>
      <c r="AW125" s="78">
        <v>1</v>
      </c>
      <c r="AX125" s="78">
        <v>4</v>
      </c>
      <c r="AY125" s="78">
        <v>0</v>
      </c>
      <c r="AZ125" s="78">
        <v>0</v>
      </c>
      <c r="BA125" s="78">
        <v>0.5</v>
      </c>
      <c r="BB125" s="78">
        <v>0.5</v>
      </c>
      <c r="BC125" s="78">
        <v>0.5</v>
      </c>
      <c r="BD125" s="78">
        <v>1</v>
      </c>
      <c r="BE125" s="78">
        <v>0</v>
      </c>
      <c r="BF125" s="78">
        <v>1</v>
      </c>
      <c r="BG125" s="78">
        <v>8</v>
      </c>
      <c r="BH125" s="137">
        <v>0.48863640000000003</v>
      </c>
      <c r="BJ125" s="143" t="s">
        <v>745</v>
      </c>
      <c r="BK125" s="143" t="s">
        <v>730</v>
      </c>
      <c r="BL125" s="143" t="s">
        <v>842</v>
      </c>
      <c r="BM125" s="143">
        <v>526</v>
      </c>
      <c r="BN125" s="78">
        <v>1</v>
      </c>
      <c r="BO125" s="78">
        <v>4</v>
      </c>
      <c r="BP125" s="78">
        <v>7</v>
      </c>
      <c r="BQ125" s="78">
        <v>0</v>
      </c>
      <c r="BR125" s="78">
        <v>0</v>
      </c>
      <c r="BS125" s="78">
        <v>0</v>
      </c>
      <c r="BT125" s="78">
        <v>2</v>
      </c>
      <c r="BU125" s="137">
        <v>0.6086956</v>
      </c>
      <c r="BW125" s="143" t="s">
        <v>745</v>
      </c>
      <c r="BX125" s="143" t="s">
        <v>730</v>
      </c>
      <c r="BY125" s="143" t="s">
        <v>842</v>
      </c>
      <c r="BZ125" s="143">
        <v>526</v>
      </c>
      <c r="CM125" s="143" t="s">
        <v>745</v>
      </c>
      <c r="CN125" s="143" t="s">
        <v>730</v>
      </c>
      <c r="CO125" s="143" t="s">
        <v>842</v>
      </c>
      <c r="CP125" s="143">
        <v>526</v>
      </c>
      <c r="CQ125" s="78">
        <v>8</v>
      </c>
      <c r="CR125" s="78">
        <v>0</v>
      </c>
      <c r="CS125" s="78">
        <v>8</v>
      </c>
      <c r="CT125" s="78">
        <v>4</v>
      </c>
      <c r="CU125" s="78">
        <v>0</v>
      </c>
      <c r="CV125" s="78">
        <v>8</v>
      </c>
      <c r="CW125" s="137">
        <v>0.53846159999999998</v>
      </c>
      <c r="CY125" s="143" t="s">
        <v>745</v>
      </c>
      <c r="CZ125" s="143" t="s">
        <v>730</v>
      </c>
      <c r="DA125" s="143" t="s">
        <v>842</v>
      </c>
      <c r="DB125" s="143">
        <v>526</v>
      </c>
      <c r="DC125" s="78">
        <v>22</v>
      </c>
      <c r="DD125" s="137">
        <v>0</v>
      </c>
      <c r="DE125" s="137">
        <v>0</v>
      </c>
      <c r="DG125" s="143" t="s">
        <v>745</v>
      </c>
      <c r="DH125" s="143" t="s">
        <v>730</v>
      </c>
      <c r="DI125" s="143" t="s">
        <v>842</v>
      </c>
      <c r="DJ125" s="143">
        <v>526</v>
      </c>
      <c r="DK125" s="78">
        <v>2</v>
      </c>
      <c r="DL125" s="78">
        <v>1</v>
      </c>
      <c r="DM125" s="78">
        <v>1</v>
      </c>
      <c r="DN125" s="78">
        <v>5</v>
      </c>
      <c r="DO125" s="78">
        <v>2</v>
      </c>
      <c r="DP125" s="78">
        <v>3</v>
      </c>
      <c r="DQ125" s="78">
        <v>6</v>
      </c>
      <c r="DR125" s="78">
        <v>1</v>
      </c>
      <c r="DS125" s="78">
        <v>1</v>
      </c>
      <c r="DT125" s="78">
        <v>0</v>
      </c>
      <c r="DU125" s="78">
        <v>0</v>
      </c>
      <c r="DV125" s="137">
        <v>0.75862070000000004</v>
      </c>
      <c r="DX125" s="143" t="s">
        <v>745</v>
      </c>
      <c r="DY125" s="143" t="s">
        <v>730</v>
      </c>
      <c r="DZ125" s="143" t="s">
        <v>842</v>
      </c>
      <c r="EA125" s="143">
        <v>526</v>
      </c>
      <c r="EB125" s="78">
        <v>1</v>
      </c>
      <c r="EC125" s="78">
        <v>8</v>
      </c>
      <c r="ED125" s="78">
        <v>1</v>
      </c>
      <c r="EE125" s="78">
        <v>4</v>
      </c>
      <c r="EF125" s="78">
        <v>0</v>
      </c>
      <c r="EG125" s="78">
        <v>1</v>
      </c>
      <c r="EH125" s="78">
        <v>0</v>
      </c>
      <c r="EI125" s="78">
        <v>1</v>
      </c>
      <c r="EJ125" s="78">
        <v>1</v>
      </c>
      <c r="EK125" s="78">
        <v>1</v>
      </c>
      <c r="EL125" s="78">
        <v>1</v>
      </c>
      <c r="EM125" s="78">
        <v>0</v>
      </c>
      <c r="EN125" s="78">
        <v>0</v>
      </c>
      <c r="EO125" s="78">
        <v>1</v>
      </c>
      <c r="EP125" s="78">
        <v>0</v>
      </c>
      <c r="EQ125" s="137">
        <v>0.74074070000000003</v>
      </c>
      <c r="ES125" s="143" t="s">
        <v>745</v>
      </c>
      <c r="ET125" s="143" t="s">
        <v>730</v>
      </c>
      <c r="EU125" s="143" t="s">
        <v>842</v>
      </c>
      <c r="EV125" s="143">
        <v>526</v>
      </c>
      <c r="EW125" s="78">
        <v>0</v>
      </c>
      <c r="EX125" s="78">
        <v>0</v>
      </c>
      <c r="EY125" s="78">
        <v>3</v>
      </c>
      <c r="EZ125" s="78">
        <v>2</v>
      </c>
      <c r="FA125" s="78">
        <v>0.5</v>
      </c>
      <c r="FB125" s="78">
        <v>3</v>
      </c>
      <c r="FC125" s="78">
        <v>2</v>
      </c>
      <c r="FD125" s="78">
        <v>0</v>
      </c>
      <c r="FE125" s="137">
        <v>0.80769230000000003</v>
      </c>
      <c r="FG125" s="137">
        <v>0.41006100000000001</v>
      </c>
    </row>
    <row r="126" spans="1:163" x14ac:dyDescent="0.35">
      <c r="A126" s="143" t="s">
        <v>745</v>
      </c>
      <c r="B126" s="143" t="s">
        <v>730</v>
      </c>
      <c r="C126" s="143" t="s">
        <v>841</v>
      </c>
      <c r="D126" s="143">
        <v>1155</v>
      </c>
      <c r="E126" s="78">
        <v>0.5</v>
      </c>
      <c r="F126" s="78">
        <v>2.5</v>
      </c>
      <c r="G126" s="78">
        <v>1</v>
      </c>
      <c r="H126" s="78">
        <v>0</v>
      </c>
      <c r="I126" s="78">
        <v>1</v>
      </c>
      <c r="J126" s="78">
        <v>0</v>
      </c>
      <c r="K126" s="78">
        <v>1</v>
      </c>
      <c r="L126" s="78">
        <v>0</v>
      </c>
      <c r="M126" s="78">
        <v>2</v>
      </c>
      <c r="N126" s="137">
        <v>0.57142859999999995</v>
      </c>
      <c r="P126" s="143" t="s">
        <v>745</v>
      </c>
      <c r="Q126" s="143" t="s">
        <v>730</v>
      </c>
      <c r="R126" s="143" t="s">
        <v>841</v>
      </c>
      <c r="S126" s="143">
        <v>1155</v>
      </c>
      <c r="T126" s="78">
        <v>0</v>
      </c>
      <c r="U126" s="78">
        <v>1</v>
      </c>
      <c r="V126" s="78">
        <v>0</v>
      </c>
      <c r="W126" s="78">
        <v>2</v>
      </c>
      <c r="X126" s="78">
        <v>0</v>
      </c>
      <c r="Y126" s="78">
        <v>1</v>
      </c>
      <c r="Z126" s="78">
        <v>3</v>
      </c>
      <c r="AA126" s="78">
        <v>0</v>
      </c>
      <c r="AB126" s="78">
        <v>6</v>
      </c>
      <c r="AC126" s="78">
        <v>3</v>
      </c>
      <c r="AD126" s="137">
        <v>0.47058820000000001</v>
      </c>
      <c r="AF126" s="143" t="s">
        <v>745</v>
      </c>
      <c r="AG126" s="143" t="s">
        <v>730</v>
      </c>
      <c r="AH126" s="143" t="s">
        <v>841</v>
      </c>
      <c r="AI126" s="143">
        <v>1155</v>
      </c>
      <c r="AJ126" s="78">
        <v>0</v>
      </c>
      <c r="AK126" s="78">
        <v>1</v>
      </c>
      <c r="AL126" s="78">
        <v>1</v>
      </c>
      <c r="AM126" s="78">
        <v>1</v>
      </c>
      <c r="AN126" s="78">
        <v>0</v>
      </c>
      <c r="AO126" s="78">
        <v>2</v>
      </c>
      <c r="AP126" s="78">
        <v>2</v>
      </c>
      <c r="AQ126" s="78">
        <v>1</v>
      </c>
      <c r="AR126" s="78">
        <v>2</v>
      </c>
      <c r="AS126" s="78">
        <v>2</v>
      </c>
      <c r="AT126" s="78">
        <v>0</v>
      </c>
      <c r="AU126" s="78">
        <v>1</v>
      </c>
      <c r="AV126" s="78">
        <v>2</v>
      </c>
      <c r="AW126" s="78">
        <v>1</v>
      </c>
      <c r="AX126" s="78">
        <v>0</v>
      </c>
      <c r="AY126" s="78">
        <v>0</v>
      </c>
      <c r="AZ126" s="78">
        <v>2</v>
      </c>
      <c r="BA126" s="78">
        <v>0.5</v>
      </c>
      <c r="BB126" s="78">
        <v>0.5</v>
      </c>
      <c r="BC126" s="78">
        <v>0.5</v>
      </c>
      <c r="BD126" s="78">
        <v>1</v>
      </c>
      <c r="BE126" s="78">
        <v>0.5</v>
      </c>
      <c r="BF126" s="78">
        <v>1</v>
      </c>
      <c r="BG126" s="78">
        <v>2</v>
      </c>
      <c r="BH126" s="137">
        <v>0.54545460000000001</v>
      </c>
      <c r="BJ126" s="143" t="s">
        <v>745</v>
      </c>
      <c r="BK126" s="143" t="s">
        <v>730</v>
      </c>
      <c r="BL126" s="143" t="s">
        <v>841</v>
      </c>
      <c r="BM126" s="143">
        <v>1155</v>
      </c>
      <c r="BN126" s="78">
        <v>1</v>
      </c>
      <c r="BO126" s="78">
        <v>4</v>
      </c>
      <c r="BP126" s="78">
        <v>7</v>
      </c>
      <c r="BQ126" s="78">
        <v>0</v>
      </c>
      <c r="BR126" s="78">
        <v>3</v>
      </c>
      <c r="BS126" s="78">
        <v>0</v>
      </c>
      <c r="BT126" s="78">
        <v>2</v>
      </c>
      <c r="BU126" s="137">
        <v>0.73913039999999997</v>
      </c>
      <c r="BW126" s="143" t="s">
        <v>745</v>
      </c>
      <c r="BX126" s="143" t="s">
        <v>730</v>
      </c>
      <c r="BY126" s="143" t="s">
        <v>841</v>
      </c>
      <c r="BZ126" s="143">
        <v>1155</v>
      </c>
      <c r="CA126" s="78">
        <v>1</v>
      </c>
      <c r="CB126" s="78">
        <v>0</v>
      </c>
      <c r="CC126" s="78">
        <v>1</v>
      </c>
      <c r="CD126" s="78">
        <v>2</v>
      </c>
      <c r="CE126" s="78">
        <v>1</v>
      </c>
      <c r="CF126" s="78">
        <v>2</v>
      </c>
      <c r="CG126" s="78">
        <v>1</v>
      </c>
      <c r="CH126" s="78">
        <v>0</v>
      </c>
      <c r="CI126" s="78">
        <v>0</v>
      </c>
      <c r="CJ126" s="78">
        <v>3</v>
      </c>
      <c r="CK126" s="137">
        <v>0.73333329999999997</v>
      </c>
      <c r="CM126" s="143" t="s">
        <v>745</v>
      </c>
      <c r="CN126" s="143" t="s">
        <v>730</v>
      </c>
      <c r="CO126" s="143" t="s">
        <v>841</v>
      </c>
      <c r="CP126" s="143">
        <v>1155</v>
      </c>
      <c r="CQ126" s="78">
        <v>8</v>
      </c>
      <c r="CR126" s="78">
        <v>0</v>
      </c>
      <c r="CS126" s="78">
        <v>24</v>
      </c>
      <c r="CT126" s="78">
        <v>0</v>
      </c>
      <c r="CU126" s="78">
        <v>0</v>
      </c>
      <c r="CV126" s="78">
        <v>8</v>
      </c>
      <c r="CW126" s="137">
        <v>0.76923079999999999</v>
      </c>
      <c r="CY126" s="143" t="s">
        <v>745</v>
      </c>
      <c r="CZ126" s="143" t="s">
        <v>730</v>
      </c>
      <c r="DA126" s="143" t="s">
        <v>841</v>
      </c>
      <c r="DB126" s="143">
        <v>1155</v>
      </c>
      <c r="DC126" s="78">
        <v>26</v>
      </c>
      <c r="DD126" s="137">
        <v>0.2</v>
      </c>
      <c r="DE126" s="137">
        <v>5.6521700000000001E-2</v>
      </c>
      <c r="DG126" s="143" t="s">
        <v>745</v>
      </c>
      <c r="DH126" s="143" t="s">
        <v>730</v>
      </c>
      <c r="DI126" s="143" t="s">
        <v>841</v>
      </c>
      <c r="DJ126" s="143">
        <v>1155</v>
      </c>
      <c r="DK126" s="78">
        <v>0</v>
      </c>
      <c r="DL126" s="78">
        <v>1</v>
      </c>
      <c r="DM126" s="78">
        <v>1</v>
      </c>
      <c r="DN126" s="78">
        <v>7</v>
      </c>
      <c r="DO126" s="78">
        <v>2</v>
      </c>
      <c r="DP126" s="78">
        <v>3</v>
      </c>
      <c r="DQ126" s="78">
        <v>8</v>
      </c>
      <c r="DR126" s="78">
        <v>1</v>
      </c>
      <c r="DS126" s="78">
        <v>1</v>
      </c>
      <c r="DT126" s="78">
        <v>2</v>
      </c>
      <c r="DU126" s="78">
        <v>1</v>
      </c>
      <c r="DV126" s="137">
        <v>0.93103449999999999</v>
      </c>
      <c r="DX126" s="143" t="s">
        <v>745</v>
      </c>
      <c r="DY126" s="143" t="s">
        <v>730</v>
      </c>
      <c r="DZ126" s="143" t="s">
        <v>841</v>
      </c>
      <c r="EA126" s="143">
        <v>1155</v>
      </c>
      <c r="EB126" s="78">
        <v>1</v>
      </c>
      <c r="EC126" s="78">
        <v>8</v>
      </c>
      <c r="ED126" s="78">
        <v>1</v>
      </c>
      <c r="EE126" s="78">
        <v>4</v>
      </c>
      <c r="EF126" s="78">
        <v>0</v>
      </c>
      <c r="EG126" s="78">
        <v>1</v>
      </c>
      <c r="EH126" s="78">
        <v>1</v>
      </c>
      <c r="EI126" s="78">
        <v>1</v>
      </c>
      <c r="EJ126" s="78">
        <v>1</v>
      </c>
      <c r="EK126" s="78">
        <v>0</v>
      </c>
      <c r="EL126" s="78">
        <v>1</v>
      </c>
      <c r="EM126" s="78">
        <v>1</v>
      </c>
      <c r="EN126" s="78">
        <v>1</v>
      </c>
      <c r="EO126" s="78">
        <v>1</v>
      </c>
      <c r="EP126" s="78">
        <v>0</v>
      </c>
      <c r="EQ126" s="137">
        <v>0.81481479999999995</v>
      </c>
      <c r="ES126" s="143" t="s">
        <v>745</v>
      </c>
      <c r="ET126" s="143" t="s">
        <v>730</v>
      </c>
      <c r="EU126" s="143" t="s">
        <v>841</v>
      </c>
      <c r="EV126" s="143">
        <v>1155</v>
      </c>
      <c r="EW126" s="78">
        <v>0</v>
      </c>
      <c r="EX126" s="78">
        <v>0</v>
      </c>
      <c r="EY126" s="78">
        <v>3</v>
      </c>
      <c r="EZ126" s="78">
        <v>2</v>
      </c>
      <c r="FA126" s="78">
        <v>0</v>
      </c>
      <c r="FB126" s="78">
        <v>3</v>
      </c>
      <c r="FC126" s="78">
        <v>2</v>
      </c>
      <c r="FD126" s="78">
        <v>1</v>
      </c>
      <c r="FE126" s="137">
        <v>0.84615390000000001</v>
      </c>
      <c r="FG126" s="137">
        <v>0.52827990000000002</v>
      </c>
    </row>
    <row r="127" spans="1:163" x14ac:dyDescent="0.35">
      <c r="A127" s="143" t="s">
        <v>745</v>
      </c>
      <c r="B127" s="143" t="s">
        <v>730</v>
      </c>
      <c r="C127" s="143" t="s">
        <v>842</v>
      </c>
      <c r="D127" s="143">
        <v>1938</v>
      </c>
      <c r="E127" s="78">
        <v>0.5</v>
      </c>
      <c r="F127" s="78">
        <v>2</v>
      </c>
      <c r="G127" s="78">
        <v>1</v>
      </c>
      <c r="H127" s="78">
        <v>4</v>
      </c>
      <c r="I127" s="78">
        <v>1</v>
      </c>
      <c r="J127" s="78">
        <v>0</v>
      </c>
      <c r="K127" s="78">
        <v>1</v>
      </c>
      <c r="L127" s="78">
        <v>0</v>
      </c>
      <c r="M127" s="78">
        <v>2</v>
      </c>
      <c r="N127" s="137">
        <v>0.82142859999999995</v>
      </c>
      <c r="P127" s="143" t="s">
        <v>745</v>
      </c>
      <c r="Q127" s="143" t="s">
        <v>730</v>
      </c>
      <c r="R127" s="143" t="s">
        <v>842</v>
      </c>
      <c r="S127" s="143">
        <v>1938</v>
      </c>
      <c r="T127" s="78">
        <v>1</v>
      </c>
      <c r="U127" s="78">
        <v>1</v>
      </c>
      <c r="V127" s="78">
        <v>0</v>
      </c>
      <c r="W127" s="78">
        <v>0.5</v>
      </c>
      <c r="X127" s="78">
        <v>0</v>
      </c>
      <c r="Y127" s="78">
        <v>1</v>
      </c>
      <c r="Z127" s="78">
        <v>3</v>
      </c>
      <c r="AA127" s="78">
        <v>2</v>
      </c>
      <c r="AB127" s="78">
        <v>6</v>
      </c>
      <c r="AC127" s="78">
        <v>0</v>
      </c>
      <c r="AD127" s="137">
        <v>0.42647059999999998</v>
      </c>
      <c r="AF127" s="143" t="s">
        <v>745</v>
      </c>
      <c r="AG127" s="143" t="s">
        <v>730</v>
      </c>
      <c r="AH127" s="143" t="s">
        <v>842</v>
      </c>
      <c r="AI127" s="143">
        <v>1938</v>
      </c>
      <c r="AJ127" s="78">
        <v>1</v>
      </c>
      <c r="AK127" s="78">
        <v>1</v>
      </c>
      <c r="AL127" s="78">
        <v>0</v>
      </c>
      <c r="AM127" s="78">
        <v>5</v>
      </c>
      <c r="AN127" s="78">
        <v>1</v>
      </c>
      <c r="AO127" s="78">
        <v>0</v>
      </c>
      <c r="AP127" s="78">
        <v>1</v>
      </c>
      <c r="AQ127" s="78">
        <v>1</v>
      </c>
      <c r="AR127" s="78">
        <v>0</v>
      </c>
      <c r="AS127" s="78">
        <v>2</v>
      </c>
      <c r="AT127" s="78">
        <v>2</v>
      </c>
      <c r="AU127" s="78">
        <v>1</v>
      </c>
      <c r="AV127" s="78">
        <v>2</v>
      </c>
      <c r="AW127" s="78">
        <v>1</v>
      </c>
      <c r="AX127" s="78">
        <v>0</v>
      </c>
      <c r="AY127" s="78">
        <v>0</v>
      </c>
      <c r="AZ127" s="78">
        <v>2</v>
      </c>
      <c r="BA127" s="78">
        <v>0.5</v>
      </c>
      <c r="BB127" s="78">
        <v>0.5</v>
      </c>
      <c r="BC127" s="78">
        <v>0.5</v>
      </c>
      <c r="BD127" s="78">
        <v>1</v>
      </c>
      <c r="BE127" s="78">
        <v>0.5</v>
      </c>
      <c r="BF127" s="78">
        <v>1</v>
      </c>
      <c r="BG127" s="78">
        <v>8</v>
      </c>
      <c r="BH127" s="137">
        <v>0.72727269999999999</v>
      </c>
      <c r="BJ127" s="143" t="s">
        <v>745</v>
      </c>
      <c r="BK127" s="143" t="s">
        <v>730</v>
      </c>
      <c r="BL127" s="143" t="s">
        <v>842</v>
      </c>
      <c r="BM127" s="143">
        <v>1938</v>
      </c>
      <c r="BN127" s="78">
        <v>1</v>
      </c>
      <c r="BO127" s="78">
        <v>4</v>
      </c>
      <c r="BP127" s="78">
        <v>0</v>
      </c>
      <c r="BQ127" s="78">
        <v>3</v>
      </c>
      <c r="BR127" s="78">
        <v>0</v>
      </c>
      <c r="BS127" s="78">
        <v>0</v>
      </c>
      <c r="BT127" s="78">
        <v>2</v>
      </c>
      <c r="BU127" s="137">
        <v>0.43478260000000002</v>
      </c>
      <c r="BW127" s="143" t="s">
        <v>745</v>
      </c>
      <c r="BX127" s="143" t="s">
        <v>730</v>
      </c>
      <c r="BY127" s="143" t="s">
        <v>842</v>
      </c>
      <c r="BZ127" s="143">
        <v>1938</v>
      </c>
      <c r="CM127" s="143" t="s">
        <v>745</v>
      </c>
      <c r="CN127" s="143" t="s">
        <v>730</v>
      </c>
      <c r="CO127" s="143" t="s">
        <v>842</v>
      </c>
      <c r="CP127" s="143">
        <v>1938</v>
      </c>
      <c r="CQ127" s="78">
        <v>8</v>
      </c>
      <c r="CR127" s="78">
        <v>0</v>
      </c>
      <c r="CS127" s="78">
        <v>20</v>
      </c>
      <c r="CT127" s="78">
        <v>4</v>
      </c>
      <c r="CU127" s="78">
        <v>0</v>
      </c>
      <c r="CV127" s="78">
        <v>8</v>
      </c>
      <c r="CW127" s="137">
        <v>0.76923079999999999</v>
      </c>
      <c r="CY127" s="143" t="s">
        <v>745</v>
      </c>
      <c r="CZ127" s="143" t="s">
        <v>730</v>
      </c>
      <c r="DA127" s="143" t="s">
        <v>842</v>
      </c>
      <c r="DB127" s="143">
        <v>1938</v>
      </c>
      <c r="DC127" s="78">
        <v>40</v>
      </c>
      <c r="DD127" s="137">
        <v>0.4</v>
      </c>
      <c r="DE127" s="137">
        <v>0.17391300000000001</v>
      </c>
      <c r="DG127" s="143" t="s">
        <v>745</v>
      </c>
      <c r="DH127" s="143" t="s">
        <v>730</v>
      </c>
      <c r="DI127" s="143" t="s">
        <v>842</v>
      </c>
      <c r="DJ127" s="143">
        <v>1938</v>
      </c>
      <c r="DK127" s="78">
        <v>2</v>
      </c>
      <c r="DL127" s="78">
        <v>1</v>
      </c>
      <c r="DM127" s="78">
        <v>1</v>
      </c>
      <c r="DN127" s="78">
        <v>4</v>
      </c>
      <c r="DO127" s="78">
        <v>2</v>
      </c>
      <c r="DP127" s="78">
        <v>3</v>
      </c>
      <c r="DQ127" s="78">
        <v>6</v>
      </c>
      <c r="DR127" s="78">
        <v>1</v>
      </c>
      <c r="DS127" s="78">
        <v>1</v>
      </c>
      <c r="DT127" s="78">
        <v>0</v>
      </c>
      <c r="DU127" s="78">
        <v>1</v>
      </c>
      <c r="DV127" s="137">
        <v>0.75862070000000004</v>
      </c>
      <c r="DX127" s="143" t="s">
        <v>745</v>
      </c>
      <c r="DY127" s="143" t="s">
        <v>730</v>
      </c>
      <c r="DZ127" s="143" t="s">
        <v>842</v>
      </c>
      <c r="EA127" s="143">
        <v>1938</v>
      </c>
      <c r="EB127" s="78">
        <v>1</v>
      </c>
      <c r="EC127" s="78">
        <v>8</v>
      </c>
      <c r="ED127" s="78">
        <v>1</v>
      </c>
      <c r="EE127" s="78">
        <v>4</v>
      </c>
      <c r="EF127" s="78">
        <v>0</v>
      </c>
      <c r="EG127" s="78">
        <v>1</v>
      </c>
      <c r="EH127" s="78">
        <v>0</v>
      </c>
      <c r="EI127" s="78">
        <v>1</v>
      </c>
      <c r="EJ127" s="78">
        <v>1</v>
      </c>
      <c r="EK127" s="78">
        <v>1</v>
      </c>
      <c r="EL127" s="78">
        <v>1</v>
      </c>
      <c r="EM127" s="78">
        <v>1</v>
      </c>
      <c r="EN127" s="78">
        <v>0</v>
      </c>
      <c r="EO127" s="78">
        <v>1</v>
      </c>
      <c r="EP127" s="78">
        <v>0</v>
      </c>
      <c r="EQ127" s="137">
        <v>0.77777779999999996</v>
      </c>
      <c r="ES127" s="143" t="s">
        <v>745</v>
      </c>
      <c r="ET127" s="143" t="s">
        <v>730</v>
      </c>
      <c r="EU127" s="143" t="s">
        <v>842</v>
      </c>
      <c r="EV127" s="143">
        <v>1938</v>
      </c>
      <c r="EW127" s="78">
        <v>0.5</v>
      </c>
      <c r="EX127" s="78">
        <v>0</v>
      </c>
      <c r="EY127" s="78">
        <v>3</v>
      </c>
      <c r="EZ127" s="78">
        <v>0</v>
      </c>
      <c r="FA127" s="78">
        <v>0.5</v>
      </c>
      <c r="FB127" s="78">
        <v>3</v>
      </c>
      <c r="FC127" s="78">
        <v>2</v>
      </c>
      <c r="FD127" s="78">
        <v>0</v>
      </c>
      <c r="FE127" s="137">
        <v>0.69230769999999997</v>
      </c>
      <c r="FG127" s="137">
        <v>0.53658539999999999</v>
      </c>
    </row>
    <row r="128" spans="1:163" x14ac:dyDescent="0.35">
      <c r="A128" s="143" t="s">
        <v>745</v>
      </c>
      <c r="B128" s="143" t="s">
        <v>730</v>
      </c>
      <c r="C128" s="143" t="s">
        <v>842</v>
      </c>
      <c r="D128" s="143">
        <v>1941</v>
      </c>
      <c r="E128" s="78">
        <v>0.5</v>
      </c>
      <c r="F128" s="78">
        <v>2.5</v>
      </c>
      <c r="G128" s="78">
        <v>1</v>
      </c>
      <c r="H128" s="78">
        <v>0</v>
      </c>
      <c r="I128" s="78">
        <v>1</v>
      </c>
      <c r="J128" s="78">
        <v>0</v>
      </c>
      <c r="K128" s="78">
        <v>1</v>
      </c>
      <c r="L128" s="78">
        <v>0</v>
      </c>
      <c r="M128" s="78">
        <v>0</v>
      </c>
      <c r="N128" s="137">
        <v>0.42857139999999999</v>
      </c>
      <c r="P128" s="143" t="s">
        <v>745</v>
      </c>
      <c r="Q128" s="143" t="s">
        <v>730</v>
      </c>
      <c r="R128" s="143" t="s">
        <v>842</v>
      </c>
      <c r="S128" s="143">
        <v>1941</v>
      </c>
      <c r="T128" s="78">
        <v>1</v>
      </c>
      <c r="U128" s="78">
        <v>0</v>
      </c>
      <c r="V128" s="78">
        <v>0</v>
      </c>
      <c r="W128" s="78">
        <v>2</v>
      </c>
      <c r="X128" s="78">
        <v>0</v>
      </c>
      <c r="Y128" s="78">
        <v>1</v>
      </c>
      <c r="Z128" s="78">
        <v>3</v>
      </c>
      <c r="AA128" s="78">
        <v>0</v>
      </c>
      <c r="AB128" s="78">
        <v>6</v>
      </c>
      <c r="AC128" s="78">
        <v>0</v>
      </c>
      <c r="AD128" s="137">
        <v>0.3823529</v>
      </c>
      <c r="AF128" s="143" t="s">
        <v>745</v>
      </c>
      <c r="AG128" s="143" t="s">
        <v>730</v>
      </c>
      <c r="AH128" s="143" t="s">
        <v>842</v>
      </c>
      <c r="AI128" s="143">
        <v>1941</v>
      </c>
      <c r="AJ128" s="78">
        <v>1</v>
      </c>
      <c r="AK128" s="78">
        <v>1</v>
      </c>
      <c r="AL128" s="78">
        <v>1</v>
      </c>
      <c r="AM128" s="78">
        <v>5</v>
      </c>
      <c r="AN128" s="78">
        <v>1</v>
      </c>
      <c r="AO128" s="78">
        <v>2</v>
      </c>
      <c r="AP128" s="78">
        <v>2</v>
      </c>
      <c r="AQ128" s="78">
        <v>1</v>
      </c>
      <c r="AR128" s="78">
        <v>0</v>
      </c>
      <c r="AS128" s="78">
        <v>2</v>
      </c>
      <c r="AT128" s="78">
        <v>0</v>
      </c>
      <c r="AU128" s="78">
        <v>1</v>
      </c>
      <c r="AV128" s="78">
        <v>0</v>
      </c>
      <c r="AW128" s="78">
        <v>0</v>
      </c>
      <c r="AX128" s="78">
        <v>0</v>
      </c>
      <c r="AY128" s="78">
        <v>0</v>
      </c>
      <c r="AZ128" s="78">
        <v>2</v>
      </c>
      <c r="BA128" s="78">
        <v>0.5</v>
      </c>
      <c r="BB128" s="78">
        <v>0.5</v>
      </c>
      <c r="BC128" s="78">
        <v>0.5</v>
      </c>
      <c r="BD128" s="78">
        <v>1</v>
      </c>
      <c r="BE128" s="78">
        <v>0</v>
      </c>
      <c r="BF128" s="78">
        <v>1</v>
      </c>
      <c r="BG128" s="78">
        <v>2</v>
      </c>
      <c r="BH128" s="137">
        <v>0.55681820000000004</v>
      </c>
      <c r="BJ128" s="143" t="s">
        <v>745</v>
      </c>
      <c r="BK128" s="143" t="s">
        <v>730</v>
      </c>
      <c r="BL128" s="143" t="s">
        <v>842</v>
      </c>
      <c r="BM128" s="143">
        <v>1941</v>
      </c>
      <c r="BN128" s="78">
        <v>1</v>
      </c>
      <c r="BO128" s="78">
        <v>4</v>
      </c>
      <c r="BP128" s="78">
        <v>0</v>
      </c>
      <c r="BQ128" s="78">
        <v>0</v>
      </c>
      <c r="BR128" s="78">
        <v>0</v>
      </c>
      <c r="BS128" s="78">
        <v>0</v>
      </c>
      <c r="BT128" s="78">
        <v>2</v>
      </c>
      <c r="BU128" s="137">
        <v>0.3043478</v>
      </c>
      <c r="BW128" s="143" t="s">
        <v>745</v>
      </c>
      <c r="BX128" s="143" t="s">
        <v>730</v>
      </c>
      <c r="BY128" s="143" t="s">
        <v>842</v>
      </c>
      <c r="BZ128" s="143">
        <v>1941</v>
      </c>
      <c r="CM128" s="143" t="s">
        <v>745</v>
      </c>
      <c r="CN128" s="143" t="s">
        <v>730</v>
      </c>
      <c r="CO128" s="143" t="s">
        <v>842</v>
      </c>
      <c r="CP128" s="143">
        <v>1941</v>
      </c>
      <c r="CQ128" s="78">
        <v>8</v>
      </c>
      <c r="CR128" s="78">
        <v>0</v>
      </c>
      <c r="CS128" s="78">
        <v>20</v>
      </c>
      <c r="CT128" s="78">
        <v>4</v>
      </c>
      <c r="CU128" s="78">
        <v>2</v>
      </c>
      <c r="CV128" s="78">
        <v>8</v>
      </c>
      <c r="CW128" s="137">
        <v>0.80769230000000003</v>
      </c>
      <c r="CY128" s="143" t="s">
        <v>745</v>
      </c>
      <c r="CZ128" s="143" t="s">
        <v>730</v>
      </c>
      <c r="DA128" s="143" t="s">
        <v>842</v>
      </c>
      <c r="DB128" s="143">
        <v>1941</v>
      </c>
      <c r="DC128" s="78">
        <v>22</v>
      </c>
      <c r="DD128" s="137">
        <v>0</v>
      </c>
      <c r="DE128" s="137">
        <v>0</v>
      </c>
      <c r="DG128" s="143" t="s">
        <v>745</v>
      </c>
      <c r="DH128" s="143" t="s">
        <v>730</v>
      </c>
      <c r="DI128" s="143" t="s">
        <v>842</v>
      </c>
      <c r="DJ128" s="143">
        <v>1941</v>
      </c>
      <c r="DK128" s="78">
        <v>2</v>
      </c>
      <c r="DL128" s="78">
        <v>1</v>
      </c>
      <c r="DM128" s="78">
        <v>0</v>
      </c>
      <c r="DN128" s="78">
        <v>5</v>
      </c>
      <c r="DO128" s="78">
        <v>2</v>
      </c>
      <c r="DP128" s="78">
        <v>3</v>
      </c>
      <c r="DQ128" s="78">
        <v>6</v>
      </c>
      <c r="DR128" s="78">
        <v>0</v>
      </c>
      <c r="DS128" s="78">
        <v>1</v>
      </c>
      <c r="DT128" s="78">
        <v>0</v>
      </c>
      <c r="DU128" s="78">
        <v>0</v>
      </c>
      <c r="DV128" s="137">
        <v>0.68965520000000002</v>
      </c>
      <c r="DX128" s="143" t="s">
        <v>745</v>
      </c>
      <c r="DY128" s="143" t="s">
        <v>730</v>
      </c>
      <c r="DZ128" s="143" t="s">
        <v>842</v>
      </c>
      <c r="EA128" s="143">
        <v>1941</v>
      </c>
      <c r="EB128" s="78">
        <v>0</v>
      </c>
      <c r="EC128" s="78">
        <v>8</v>
      </c>
      <c r="ED128" s="78">
        <v>1</v>
      </c>
      <c r="EE128" s="78">
        <v>4</v>
      </c>
      <c r="EF128" s="78">
        <v>0</v>
      </c>
      <c r="EG128" s="78">
        <v>1</v>
      </c>
      <c r="EH128" s="78">
        <v>1</v>
      </c>
      <c r="EI128" s="78">
        <v>1</v>
      </c>
      <c r="EJ128" s="78">
        <v>1</v>
      </c>
      <c r="EK128" s="78">
        <v>0</v>
      </c>
      <c r="EL128" s="78">
        <v>1</v>
      </c>
      <c r="EM128" s="78">
        <v>1</v>
      </c>
      <c r="EN128" s="78">
        <v>0</v>
      </c>
      <c r="EO128" s="78">
        <v>1</v>
      </c>
      <c r="EP128" s="78">
        <v>0</v>
      </c>
      <c r="EQ128" s="137">
        <v>0.74074070000000003</v>
      </c>
      <c r="ES128" s="143" t="s">
        <v>745</v>
      </c>
      <c r="ET128" s="143" t="s">
        <v>730</v>
      </c>
      <c r="EU128" s="143" t="s">
        <v>842</v>
      </c>
      <c r="EV128" s="143">
        <v>1941</v>
      </c>
      <c r="EW128" s="78">
        <v>0.5</v>
      </c>
      <c r="EX128" s="78">
        <v>0</v>
      </c>
      <c r="EY128" s="78">
        <v>3</v>
      </c>
      <c r="EZ128" s="78">
        <v>0</v>
      </c>
      <c r="FA128" s="78">
        <v>0.5</v>
      </c>
      <c r="FB128" s="78">
        <v>3</v>
      </c>
      <c r="FC128" s="78">
        <v>2</v>
      </c>
      <c r="FD128" s="78">
        <v>1</v>
      </c>
      <c r="FE128" s="137">
        <v>0.76923079999999999</v>
      </c>
      <c r="FG128" s="137">
        <v>0.43445119999999998</v>
      </c>
    </row>
    <row r="129" spans="1:163" x14ac:dyDescent="0.35">
      <c r="A129" s="143" t="s">
        <v>745</v>
      </c>
      <c r="B129" s="143" t="s">
        <v>730</v>
      </c>
      <c r="C129" s="143" t="s">
        <v>842</v>
      </c>
      <c r="D129" s="143">
        <v>1999</v>
      </c>
      <c r="E129" s="78">
        <v>0.5</v>
      </c>
      <c r="F129" s="78">
        <v>2.5</v>
      </c>
      <c r="G129" s="78">
        <v>1</v>
      </c>
      <c r="H129" s="78">
        <v>4</v>
      </c>
      <c r="I129" s="78">
        <v>1</v>
      </c>
      <c r="J129" s="78">
        <v>0</v>
      </c>
      <c r="K129" s="78">
        <v>1</v>
      </c>
      <c r="L129" s="78">
        <v>0</v>
      </c>
      <c r="M129" s="78">
        <v>2</v>
      </c>
      <c r="N129" s="137">
        <v>0.85714290000000004</v>
      </c>
      <c r="P129" s="143" t="s">
        <v>745</v>
      </c>
      <c r="Q129" s="143" t="s">
        <v>730</v>
      </c>
      <c r="R129" s="143" t="s">
        <v>842</v>
      </c>
      <c r="S129" s="143">
        <v>1999</v>
      </c>
      <c r="T129" s="78">
        <v>1</v>
      </c>
      <c r="U129" s="78">
        <v>0</v>
      </c>
      <c r="V129" s="78">
        <v>0</v>
      </c>
      <c r="W129" s="78">
        <v>2</v>
      </c>
      <c r="X129" s="78">
        <v>0</v>
      </c>
      <c r="Y129" s="78">
        <v>1</v>
      </c>
      <c r="Z129" s="78">
        <v>0</v>
      </c>
      <c r="AA129" s="78">
        <v>0</v>
      </c>
      <c r="AB129" s="78">
        <v>0</v>
      </c>
      <c r="AC129" s="78">
        <v>3</v>
      </c>
      <c r="AD129" s="137">
        <v>0.20588239999999999</v>
      </c>
      <c r="AF129" s="143" t="s">
        <v>745</v>
      </c>
      <c r="AG129" s="143" t="s">
        <v>730</v>
      </c>
      <c r="AH129" s="143" t="s">
        <v>842</v>
      </c>
      <c r="AI129" s="143">
        <v>1999</v>
      </c>
      <c r="AJ129" s="78">
        <v>1</v>
      </c>
      <c r="AK129" s="78">
        <v>1</v>
      </c>
      <c r="AL129" s="78">
        <v>1</v>
      </c>
      <c r="AM129" s="78">
        <v>5</v>
      </c>
      <c r="AN129" s="78">
        <v>1</v>
      </c>
      <c r="AO129" s="78">
        <v>2</v>
      </c>
      <c r="AP129" s="78">
        <v>2</v>
      </c>
      <c r="AQ129" s="78">
        <v>1</v>
      </c>
      <c r="AR129" s="78">
        <v>2</v>
      </c>
      <c r="AS129" s="78">
        <v>0</v>
      </c>
      <c r="AT129" s="78">
        <v>0</v>
      </c>
      <c r="AU129" s="78">
        <v>0</v>
      </c>
      <c r="AV129" s="78">
        <v>0</v>
      </c>
      <c r="AW129" s="78">
        <v>0</v>
      </c>
      <c r="AX129" s="78">
        <v>0</v>
      </c>
      <c r="AY129" s="78">
        <v>0</v>
      </c>
      <c r="AZ129" s="78">
        <v>2</v>
      </c>
      <c r="BA129" s="78">
        <v>0.5</v>
      </c>
      <c r="BB129" s="78">
        <v>0.5</v>
      </c>
      <c r="BC129" s="78">
        <v>0.5</v>
      </c>
      <c r="BD129" s="78">
        <v>1</v>
      </c>
      <c r="BE129" s="78">
        <v>0</v>
      </c>
      <c r="BF129" s="78">
        <v>0</v>
      </c>
      <c r="BG129" s="78">
        <v>2</v>
      </c>
      <c r="BH129" s="137">
        <v>0.51136360000000003</v>
      </c>
      <c r="BJ129" s="143" t="s">
        <v>745</v>
      </c>
      <c r="BK129" s="143" t="s">
        <v>730</v>
      </c>
      <c r="BL129" s="143" t="s">
        <v>842</v>
      </c>
      <c r="BM129" s="143">
        <v>1999</v>
      </c>
      <c r="BN129" s="78">
        <v>1</v>
      </c>
      <c r="BO129" s="78">
        <v>4</v>
      </c>
      <c r="BP129" s="78">
        <v>7</v>
      </c>
      <c r="BQ129" s="78">
        <v>0</v>
      </c>
      <c r="BR129" s="78">
        <v>0</v>
      </c>
      <c r="BS129" s="78">
        <v>0</v>
      </c>
      <c r="BT129" s="78">
        <v>2</v>
      </c>
      <c r="BU129" s="137">
        <v>0.6086956</v>
      </c>
      <c r="BW129" s="143" t="s">
        <v>745</v>
      </c>
      <c r="BX129" s="143" t="s">
        <v>730</v>
      </c>
      <c r="BY129" s="143" t="s">
        <v>842</v>
      </c>
      <c r="BZ129" s="143">
        <v>1999</v>
      </c>
      <c r="CM129" s="143" t="s">
        <v>745</v>
      </c>
      <c r="CN129" s="143" t="s">
        <v>730</v>
      </c>
      <c r="CO129" s="143" t="s">
        <v>842</v>
      </c>
      <c r="CP129" s="143">
        <v>1999</v>
      </c>
      <c r="CQ129" s="78">
        <v>8</v>
      </c>
      <c r="CR129" s="78">
        <v>0</v>
      </c>
      <c r="CS129" s="78">
        <v>20</v>
      </c>
      <c r="CT129" s="78">
        <v>4</v>
      </c>
      <c r="CU129" s="78">
        <v>0</v>
      </c>
      <c r="CV129" s="78">
        <v>8</v>
      </c>
      <c r="CW129" s="137">
        <v>0.76923079999999999</v>
      </c>
      <c r="CY129" s="143" t="s">
        <v>745</v>
      </c>
      <c r="CZ129" s="143" t="s">
        <v>730</v>
      </c>
      <c r="DA129" s="143" t="s">
        <v>842</v>
      </c>
      <c r="DB129" s="143">
        <v>1999</v>
      </c>
      <c r="DC129" s="78">
        <v>12</v>
      </c>
      <c r="DD129" s="137">
        <v>0</v>
      </c>
      <c r="DE129" s="137">
        <v>0</v>
      </c>
      <c r="DG129" s="143" t="s">
        <v>745</v>
      </c>
      <c r="DH129" s="143" t="s">
        <v>730</v>
      </c>
      <c r="DI129" s="143" t="s">
        <v>842</v>
      </c>
      <c r="DJ129" s="143">
        <v>1999</v>
      </c>
      <c r="DK129" s="78">
        <v>2</v>
      </c>
      <c r="DL129" s="78">
        <v>1</v>
      </c>
      <c r="DM129" s="78">
        <v>0</v>
      </c>
      <c r="DN129" s="78">
        <v>6</v>
      </c>
      <c r="DO129" s="78">
        <v>2</v>
      </c>
      <c r="DP129" s="78">
        <v>3</v>
      </c>
      <c r="DQ129" s="78">
        <v>8</v>
      </c>
      <c r="DR129" s="78">
        <v>1</v>
      </c>
      <c r="DS129" s="78">
        <v>0</v>
      </c>
      <c r="DT129" s="78">
        <v>2</v>
      </c>
      <c r="DU129" s="78">
        <v>1</v>
      </c>
      <c r="DV129" s="137">
        <v>0.89655169999999995</v>
      </c>
      <c r="DX129" s="143" t="s">
        <v>745</v>
      </c>
      <c r="DY129" s="143" t="s">
        <v>730</v>
      </c>
      <c r="DZ129" s="143" t="s">
        <v>842</v>
      </c>
      <c r="EA129" s="143">
        <v>1999</v>
      </c>
      <c r="EB129" s="78">
        <v>1</v>
      </c>
      <c r="EC129" s="78">
        <v>8</v>
      </c>
      <c r="ED129" s="78">
        <v>1</v>
      </c>
      <c r="EE129" s="78">
        <v>4</v>
      </c>
      <c r="EF129" s="78">
        <v>0</v>
      </c>
      <c r="EG129" s="78">
        <v>1</v>
      </c>
      <c r="EH129" s="78">
        <v>1</v>
      </c>
      <c r="EI129" s="78">
        <v>1</v>
      </c>
      <c r="EJ129" s="78">
        <v>1</v>
      </c>
      <c r="EK129" s="78">
        <v>0</v>
      </c>
      <c r="EL129" s="78">
        <v>1</v>
      </c>
      <c r="EM129" s="78">
        <v>0</v>
      </c>
      <c r="EN129" s="78">
        <v>0</v>
      </c>
      <c r="EO129" s="78">
        <v>1</v>
      </c>
      <c r="EP129" s="78">
        <v>1</v>
      </c>
      <c r="EQ129" s="137">
        <v>0.77777779999999996</v>
      </c>
      <c r="ES129" s="143" t="s">
        <v>745</v>
      </c>
      <c r="ET129" s="143" t="s">
        <v>730</v>
      </c>
      <c r="EU129" s="143" t="s">
        <v>842</v>
      </c>
      <c r="EV129" s="143">
        <v>1999</v>
      </c>
      <c r="EW129" s="78">
        <v>0</v>
      </c>
      <c r="EX129" s="78">
        <v>0</v>
      </c>
      <c r="EY129" s="78">
        <v>0</v>
      </c>
      <c r="EZ129" s="78">
        <v>0</v>
      </c>
      <c r="FA129" s="78">
        <v>0</v>
      </c>
      <c r="FB129" s="78">
        <v>3</v>
      </c>
      <c r="FC129" s="78">
        <v>2</v>
      </c>
      <c r="FD129" s="78">
        <v>0</v>
      </c>
      <c r="FE129" s="137">
        <v>0.3846154</v>
      </c>
      <c r="FG129" s="137">
        <v>0.44969510000000001</v>
      </c>
    </row>
    <row r="130" spans="1:163" x14ac:dyDescent="0.35">
      <c r="A130" s="143" t="s">
        <v>746</v>
      </c>
      <c r="B130" s="143" t="s">
        <v>743</v>
      </c>
      <c r="C130" s="143" t="s">
        <v>841</v>
      </c>
      <c r="D130" s="143">
        <v>364</v>
      </c>
      <c r="E130" s="78">
        <v>0.5</v>
      </c>
      <c r="F130" s="78">
        <v>2.5</v>
      </c>
      <c r="G130" s="78">
        <v>1</v>
      </c>
      <c r="H130" s="78">
        <v>4</v>
      </c>
      <c r="I130" s="78">
        <v>1</v>
      </c>
      <c r="J130" s="78">
        <v>1</v>
      </c>
      <c r="K130" s="78">
        <v>1</v>
      </c>
      <c r="L130" s="78">
        <v>1</v>
      </c>
      <c r="M130" s="78">
        <v>2</v>
      </c>
      <c r="N130" s="137">
        <v>1</v>
      </c>
      <c r="P130" s="143" t="s">
        <v>746</v>
      </c>
      <c r="Q130" s="143" t="s">
        <v>743</v>
      </c>
      <c r="R130" s="143" t="s">
        <v>841</v>
      </c>
      <c r="S130" s="143">
        <v>364</v>
      </c>
      <c r="T130" s="78">
        <v>1</v>
      </c>
      <c r="U130" s="78">
        <v>1</v>
      </c>
      <c r="V130" s="78">
        <v>0</v>
      </c>
      <c r="W130" s="78">
        <v>2</v>
      </c>
      <c r="X130" s="78">
        <v>12</v>
      </c>
      <c r="Y130" s="78">
        <v>1</v>
      </c>
      <c r="Z130" s="78">
        <v>3</v>
      </c>
      <c r="AA130" s="78">
        <v>2</v>
      </c>
      <c r="AB130" s="78">
        <v>6</v>
      </c>
      <c r="AC130" s="78">
        <v>3</v>
      </c>
      <c r="AD130" s="137">
        <v>0.91176469999999998</v>
      </c>
      <c r="AF130" s="143" t="s">
        <v>746</v>
      </c>
      <c r="AG130" s="143" t="s">
        <v>743</v>
      </c>
      <c r="AH130" s="143" t="s">
        <v>841</v>
      </c>
      <c r="AI130" s="143">
        <v>364</v>
      </c>
      <c r="AJ130" s="78">
        <v>1</v>
      </c>
      <c r="AK130" s="78">
        <v>1</v>
      </c>
      <c r="AL130" s="78">
        <v>1</v>
      </c>
      <c r="AM130" s="78">
        <v>6</v>
      </c>
      <c r="AN130" s="78">
        <v>1</v>
      </c>
      <c r="AO130" s="78">
        <v>2</v>
      </c>
      <c r="AP130" s="78">
        <v>2</v>
      </c>
      <c r="AQ130" s="78">
        <v>1</v>
      </c>
      <c r="AR130" s="78">
        <v>2</v>
      </c>
      <c r="AS130" s="78">
        <v>2</v>
      </c>
      <c r="AT130" s="78">
        <v>2</v>
      </c>
      <c r="AU130" s="78">
        <v>1</v>
      </c>
      <c r="AV130" s="78">
        <v>2</v>
      </c>
      <c r="AW130" s="78">
        <v>1</v>
      </c>
      <c r="AX130" s="78">
        <v>4</v>
      </c>
      <c r="AY130" s="78">
        <v>1</v>
      </c>
      <c r="AZ130" s="78">
        <v>2</v>
      </c>
      <c r="BA130" s="78">
        <v>0.5</v>
      </c>
      <c r="BB130" s="78">
        <v>0.5</v>
      </c>
      <c r="BC130" s="78">
        <v>0.5</v>
      </c>
      <c r="BD130" s="78">
        <v>1</v>
      </c>
      <c r="BE130" s="78">
        <v>0.5</v>
      </c>
      <c r="BF130" s="78">
        <v>1</v>
      </c>
      <c r="BG130" s="78">
        <v>8</v>
      </c>
      <c r="BH130" s="137">
        <v>1</v>
      </c>
      <c r="BJ130" s="143" t="s">
        <v>746</v>
      </c>
      <c r="BK130" s="143" t="s">
        <v>743</v>
      </c>
      <c r="BL130" s="143" t="s">
        <v>841</v>
      </c>
      <c r="BM130" s="143">
        <v>364</v>
      </c>
      <c r="BN130" s="78">
        <v>1</v>
      </c>
      <c r="BO130" s="78">
        <v>4</v>
      </c>
      <c r="BP130" s="78">
        <v>7</v>
      </c>
      <c r="BQ130" s="78">
        <v>3</v>
      </c>
      <c r="BR130" s="78">
        <v>0</v>
      </c>
      <c r="BS130" s="78">
        <v>3</v>
      </c>
      <c r="BT130" s="78">
        <v>2</v>
      </c>
      <c r="BU130" s="137">
        <v>0.86956520000000004</v>
      </c>
      <c r="BW130" s="143" t="s">
        <v>746</v>
      </c>
      <c r="BX130" s="143" t="s">
        <v>743</v>
      </c>
      <c r="BY130" s="143" t="s">
        <v>841</v>
      </c>
      <c r="BZ130" s="143">
        <v>364</v>
      </c>
      <c r="CA130" s="78">
        <v>1</v>
      </c>
      <c r="CB130" s="78">
        <v>1</v>
      </c>
      <c r="CC130" s="78">
        <v>1</v>
      </c>
      <c r="CD130" s="78">
        <v>2</v>
      </c>
      <c r="CE130" s="78">
        <v>1</v>
      </c>
      <c r="CF130" s="78">
        <v>2</v>
      </c>
      <c r="CG130" s="78">
        <v>1</v>
      </c>
      <c r="CH130" s="78">
        <v>2</v>
      </c>
      <c r="CI130" s="78">
        <v>1</v>
      </c>
      <c r="CJ130" s="78">
        <v>3</v>
      </c>
      <c r="CK130" s="137">
        <v>1</v>
      </c>
      <c r="CM130" s="143" t="s">
        <v>746</v>
      </c>
      <c r="CN130" s="143" t="s">
        <v>743</v>
      </c>
      <c r="CO130" s="143" t="s">
        <v>841</v>
      </c>
      <c r="CP130" s="143">
        <v>364</v>
      </c>
      <c r="CQ130" s="78">
        <v>8</v>
      </c>
      <c r="CR130" s="78">
        <v>6</v>
      </c>
      <c r="CS130" s="78">
        <v>24</v>
      </c>
      <c r="CT130" s="78">
        <v>4</v>
      </c>
      <c r="CU130" s="78">
        <v>2</v>
      </c>
      <c r="CV130" s="78">
        <v>8</v>
      </c>
      <c r="CW130" s="137">
        <v>1</v>
      </c>
      <c r="CY130" s="143" t="s">
        <v>746</v>
      </c>
      <c r="CZ130" s="143" t="s">
        <v>743</v>
      </c>
      <c r="DA130" s="143" t="s">
        <v>841</v>
      </c>
      <c r="DB130" s="143">
        <v>364</v>
      </c>
      <c r="DC130" s="78">
        <v>38</v>
      </c>
      <c r="DD130" s="137">
        <v>1</v>
      </c>
      <c r="DE130" s="137">
        <v>0.41304350000000001</v>
      </c>
      <c r="DG130" s="143" t="s">
        <v>746</v>
      </c>
      <c r="DH130" s="143" t="s">
        <v>743</v>
      </c>
      <c r="DI130" s="143" t="s">
        <v>841</v>
      </c>
      <c r="DJ130" s="143">
        <v>364</v>
      </c>
      <c r="DK130" s="78">
        <v>2</v>
      </c>
      <c r="DL130" s="78">
        <v>1</v>
      </c>
      <c r="DM130" s="78">
        <v>1</v>
      </c>
      <c r="DN130" s="78">
        <v>6</v>
      </c>
      <c r="DO130" s="78">
        <v>2</v>
      </c>
      <c r="DP130" s="78">
        <v>3</v>
      </c>
      <c r="DQ130" s="78">
        <v>8</v>
      </c>
      <c r="DR130" s="78">
        <v>1</v>
      </c>
      <c r="DS130" s="78">
        <v>1</v>
      </c>
      <c r="DT130" s="78">
        <v>2</v>
      </c>
      <c r="DU130" s="78">
        <v>1</v>
      </c>
      <c r="DV130" s="137">
        <v>0.96551719999999996</v>
      </c>
      <c r="DX130" s="143" t="s">
        <v>746</v>
      </c>
      <c r="DY130" s="143" t="s">
        <v>743</v>
      </c>
      <c r="DZ130" s="143" t="s">
        <v>841</v>
      </c>
      <c r="EA130" s="143">
        <v>364</v>
      </c>
      <c r="EB130" s="78">
        <v>1</v>
      </c>
      <c r="EC130" s="78">
        <v>8</v>
      </c>
      <c r="ED130" s="78">
        <v>0</v>
      </c>
      <c r="EE130" s="78">
        <v>4</v>
      </c>
      <c r="EF130" s="78">
        <v>3</v>
      </c>
      <c r="EG130" s="78">
        <v>1</v>
      </c>
      <c r="EH130" s="78">
        <v>1</v>
      </c>
      <c r="EI130" s="78">
        <v>1</v>
      </c>
      <c r="EJ130" s="78">
        <v>1</v>
      </c>
      <c r="EK130" s="78">
        <v>1</v>
      </c>
      <c r="EL130" s="78">
        <v>1</v>
      </c>
      <c r="EM130" s="78">
        <v>1</v>
      </c>
      <c r="EN130" s="78">
        <v>1</v>
      </c>
      <c r="EO130" s="78">
        <v>1</v>
      </c>
      <c r="EP130" s="78">
        <v>0</v>
      </c>
      <c r="EQ130" s="137">
        <v>0.92592589999999997</v>
      </c>
      <c r="ES130" s="143" t="s">
        <v>746</v>
      </c>
      <c r="ET130" s="143" t="s">
        <v>743</v>
      </c>
      <c r="EU130" s="143" t="s">
        <v>841</v>
      </c>
      <c r="EV130" s="143">
        <v>364</v>
      </c>
      <c r="EW130" s="78">
        <v>0.5</v>
      </c>
      <c r="EX130" s="78">
        <v>1</v>
      </c>
      <c r="EY130" s="78">
        <v>3</v>
      </c>
      <c r="EZ130" s="78">
        <v>2</v>
      </c>
      <c r="FA130" s="78">
        <v>0.5</v>
      </c>
      <c r="FB130" s="78">
        <v>3</v>
      </c>
      <c r="FC130" s="78">
        <v>2</v>
      </c>
      <c r="FD130" s="78">
        <v>1</v>
      </c>
      <c r="FE130" s="137">
        <v>1</v>
      </c>
      <c r="FG130" s="137">
        <v>0.81632660000000001</v>
      </c>
    </row>
    <row r="131" spans="1:163" x14ac:dyDescent="0.35">
      <c r="A131" s="143" t="s">
        <v>746</v>
      </c>
      <c r="B131" s="143" t="s">
        <v>743</v>
      </c>
      <c r="C131" s="143" t="s">
        <v>841</v>
      </c>
      <c r="D131" s="143">
        <v>367</v>
      </c>
      <c r="E131" s="78">
        <v>0.5</v>
      </c>
      <c r="F131" s="78">
        <v>2.5</v>
      </c>
      <c r="G131" s="78">
        <v>1</v>
      </c>
      <c r="H131" s="78">
        <v>4</v>
      </c>
      <c r="I131" s="78">
        <v>1</v>
      </c>
      <c r="J131" s="78">
        <v>1</v>
      </c>
      <c r="K131" s="78">
        <v>1</v>
      </c>
      <c r="L131" s="78">
        <v>1</v>
      </c>
      <c r="M131" s="78">
        <v>2</v>
      </c>
      <c r="N131" s="137">
        <v>1</v>
      </c>
      <c r="P131" s="143" t="s">
        <v>746</v>
      </c>
      <c r="Q131" s="143" t="s">
        <v>743</v>
      </c>
      <c r="R131" s="143" t="s">
        <v>841</v>
      </c>
      <c r="S131" s="143">
        <v>367</v>
      </c>
      <c r="T131" s="78">
        <v>1</v>
      </c>
      <c r="U131" s="78">
        <v>1</v>
      </c>
      <c r="V131" s="78">
        <v>3</v>
      </c>
      <c r="W131" s="78">
        <v>2</v>
      </c>
      <c r="X131" s="78">
        <v>12</v>
      </c>
      <c r="Y131" s="78">
        <v>1</v>
      </c>
      <c r="Z131" s="78">
        <v>3</v>
      </c>
      <c r="AA131" s="78">
        <v>2</v>
      </c>
      <c r="AB131" s="78">
        <v>6</v>
      </c>
      <c r="AC131" s="78">
        <v>3</v>
      </c>
      <c r="AD131" s="137">
        <v>1</v>
      </c>
      <c r="AF131" s="143" t="s">
        <v>746</v>
      </c>
      <c r="AG131" s="143" t="s">
        <v>743</v>
      </c>
      <c r="AH131" s="143" t="s">
        <v>841</v>
      </c>
      <c r="AI131" s="143">
        <v>367</v>
      </c>
      <c r="AJ131" s="78">
        <v>1</v>
      </c>
      <c r="AK131" s="78">
        <v>1</v>
      </c>
      <c r="AL131" s="78">
        <v>1</v>
      </c>
      <c r="AM131" s="78">
        <v>6</v>
      </c>
      <c r="AN131" s="78">
        <v>1</v>
      </c>
      <c r="AO131" s="78">
        <v>2</v>
      </c>
      <c r="AP131" s="78">
        <v>2</v>
      </c>
      <c r="AQ131" s="78">
        <v>1</v>
      </c>
      <c r="AR131" s="78">
        <v>2</v>
      </c>
      <c r="AS131" s="78">
        <v>2</v>
      </c>
      <c r="AT131" s="78">
        <v>2</v>
      </c>
      <c r="AU131" s="78">
        <v>1</v>
      </c>
      <c r="AV131" s="78">
        <v>2</v>
      </c>
      <c r="AW131" s="78">
        <v>1</v>
      </c>
      <c r="AX131" s="78">
        <v>4</v>
      </c>
      <c r="AY131" s="78">
        <v>1</v>
      </c>
      <c r="AZ131" s="78">
        <v>2</v>
      </c>
      <c r="BA131" s="78">
        <v>0.5</v>
      </c>
      <c r="BB131" s="78">
        <v>0.5</v>
      </c>
      <c r="BC131" s="78">
        <v>0.5</v>
      </c>
      <c r="BD131" s="78">
        <v>1</v>
      </c>
      <c r="BE131" s="78">
        <v>0.5</v>
      </c>
      <c r="BF131" s="78">
        <v>1</v>
      </c>
      <c r="BG131" s="78">
        <v>8</v>
      </c>
      <c r="BH131" s="137">
        <v>1</v>
      </c>
      <c r="BJ131" s="143" t="s">
        <v>746</v>
      </c>
      <c r="BK131" s="143" t="s">
        <v>743</v>
      </c>
      <c r="BL131" s="143" t="s">
        <v>841</v>
      </c>
      <c r="BM131" s="143">
        <v>367</v>
      </c>
      <c r="BN131" s="78">
        <v>1</v>
      </c>
      <c r="BO131" s="78">
        <v>4</v>
      </c>
      <c r="BP131" s="78">
        <v>7</v>
      </c>
      <c r="BQ131" s="78">
        <v>0</v>
      </c>
      <c r="BR131" s="78">
        <v>3</v>
      </c>
      <c r="BS131" s="78">
        <v>3</v>
      </c>
      <c r="BT131" s="78">
        <v>2</v>
      </c>
      <c r="BU131" s="137">
        <v>0.86956520000000004</v>
      </c>
      <c r="BW131" s="143" t="s">
        <v>746</v>
      </c>
      <c r="BX131" s="143" t="s">
        <v>743</v>
      </c>
      <c r="BY131" s="143" t="s">
        <v>841</v>
      </c>
      <c r="BZ131" s="143">
        <v>367</v>
      </c>
      <c r="CA131" s="78">
        <v>1</v>
      </c>
      <c r="CB131" s="78">
        <v>1</v>
      </c>
      <c r="CC131" s="78">
        <v>1</v>
      </c>
      <c r="CD131" s="78">
        <v>2</v>
      </c>
      <c r="CE131" s="78">
        <v>1</v>
      </c>
      <c r="CF131" s="78">
        <v>2</v>
      </c>
      <c r="CG131" s="78">
        <v>1</v>
      </c>
      <c r="CH131" s="78">
        <v>2</v>
      </c>
      <c r="CI131" s="78">
        <v>1</v>
      </c>
      <c r="CJ131" s="78">
        <v>3</v>
      </c>
      <c r="CK131" s="137">
        <v>1</v>
      </c>
      <c r="CM131" s="143" t="s">
        <v>746</v>
      </c>
      <c r="CN131" s="143" t="s">
        <v>743</v>
      </c>
      <c r="CO131" s="143" t="s">
        <v>841</v>
      </c>
      <c r="CP131" s="143">
        <v>367</v>
      </c>
      <c r="CQ131" s="78">
        <v>8</v>
      </c>
      <c r="CR131" s="78">
        <v>6</v>
      </c>
      <c r="CS131" s="78">
        <v>24</v>
      </c>
      <c r="CT131" s="78">
        <v>4</v>
      </c>
      <c r="CU131" s="78">
        <v>2</v>
      </c>
      <c r="CV131" s="78">
        <v>8</v>
      </c>
      <c r="CW131" s="137">
        <v>1</v>
      </c>
      <c r="CY131" s="143" t="s">
        <v>746</v>
      </c>
      <c r="CZ131" s="143" t="s">
        <v>743</v>
      </c>
      <c r="DA131" s="143" t="s">
        <v>841</v>
      </c>
      <c r="DB131" s="143">
        <v>367</v>
      </c>
      <c r="DC131" s="78">
        <v>38</v>
      </c>
      <c r="DD131" s="137">
        <v>0.6</v>
      </c>
      <c r="DE131" s="137">
        <v>0.24782609999999999</v>
      </c>
      <c r="DG131" s="143" t="s">
        <v>746</v>
      </c>
      <c r="DH131" s="143" t="s">
        <v>743</v>
      </c>
      <c r="DI131" s="143" t="s">
        <v>841</v>
      </c>
      <c r="DJ131" s="143">
        <v>367</v>
      </c>
      <c r="DK131" s="78">
        <v>2</v>
      </c>
      <c r="DL131" s="78">
        <v>1</v>
      </c>
      <c r="DM131" s="78">
        <v>1</v>
      </c>
      <c r="DN131" s="78">
        <v>7</v>
      </c>
      <c r="DO131" s="78">
        <v>2</v>
      </c>
      <c r="DP131" s="78">
        <v>3</v>
      </c>
      <c r="DQ131" s="78">
        <v>8</v>
      </c>
      <c r="DR131" s="78">
        <v>1</v>
      </c>
      <c r="DS131" s="78">
        <v>1</v>
      </c>
      <c r="DT131" s="78">
        <v>2</v>
      </c>
      <c r="DU131" s="78">
        <v>1</v>
      </c>
      <c r="DV131" s="137">
        <v>1</v>
      </c>
      <c r="DX131" s="143" t="s">
        <v>746</v>
      </c>
      <c r="DY131" s="143" t="s">
        <v>743</v>
      </c>
      <c r="DZ131" s="143" t="s">
        <v>841</v>
      </c>
      <c r="EA131" s="143">
        <v>367</v>
      </c>
      <c r="EB131" s="78">
        <v>1</v>
      </c>
      <c r="EC131" s="78">
        <v>8</v>
      </c>
      <c r="ED131" s="78">
        <v>0</v>
      </c>
      <c r="EE131" s="78">
        <v>4</v>
      </c>
      <c r="EF131" s="78">
        <v>3</v>
      </c>
      <c r="EG131" s="78">
        <v>1</v>
      </c>
      <c r="EH131" s="78">
        <v>1</v>
      </c>
      <c r="EI131" s="78">
        <v>1</v>
      </c>
      <c r="EJ131" s="78">
        <v>1</v>
      </c>
      <c r="EK131" s="78">
        <v>1</v>
      </c>
      <c r="EL131" s="78">
        <v>1</v>
      </c>
      <c r="EM131" s="78">
        <v>1</v>
      </c>
      <c r="EN131" s="78">
        <v>1</v>
      </c>
      <c r="EO131" s="78">
        <v>1</v>
      </c>
      <c r="EP131" s="78">
        <v>1</v>
      </c>
      <c r="EQ131" s="137">
        <v>0.96296300000000001</v>
      </c>
      <c r="ES131" s="143" t="s">
        <v>746</v>
      </c>
      <c r="ET131" s="143" t="s">
        <v>743</v>
      </c>
      <c r="EU131" s="143" t="s">
        <v>841</v>
      </c>
      <c r="EV131" s="143">
        <v>367</v>
      </c>
      <c r="EW131" s="78">
        <v>0.5</v>
      </c>
      <c r="EX131" s="78">
        <v>1</v>
      </c>
      <c r="EY131" s="78">
        <v>3</v>
      </c>
      <c r="EZ131" s="78">
        <v>2</v>
      </c>
      <c r="FA131" s="78">
        <v>0.5</v>
      </c>
      <c r="FB131" s="78">
        <v>3</v>
      </c>
      <c r="FC131" s="78">
        <v>2</v>
      </c>
      <c r="FD131" s="78">
        <v>1</v>
      </c>
      <c r="FE131" s="137">
        <v>1</v>
      </c>
      <c r="FG131" s="137">
        <v>0.78658890000000004</v>
      </c>
    </row>
    <row r="132" spans="1:163" x14ac:dyDescent="0.35">
      <c r="A132" s="143" t="s">
        <v>746</v>
      </c>
      <c r="B132" s="143" t="s">
        <v>743</v>
      </c>
      <c r="C132" s="143" t="s">
        <v>842</v>
      </c>
      <c r="D132" s="143">
        <v>379</v>
      </c>
      <c r="E132" s="78">
        <v>0</v>
      </c>
      <c r="F132" s="78">
        <v>2.5</v>
      </c>
      <c r="G132" s="78">
        <v>1</v>
      </c>
      <c r="H132" s="78">
        <v>4</v>
      </c>
      <c r="I132" s="78">
        <v>1</v>
      </c>
      <c r="J132" s="78">
        <v>1</v>
      </c>
      <c r="K132" s="78">
        <v>1</v>
      </c>
      <c r="L132" s="78">
        <v>1</v>
      </c>
      <c r="M132" s="78">
        <v>2</v>
      </c>
      <c r="N132" s="137">
        <v>0.96428570000000002</v>
      </c>
      <c r="P132" s="143" t="s">
        <v>746</v>
      </c>
      <c r="Q132" s="143" t="s">
        <v>743</v>
      </c>
      <c r="R132" s="143" t="s">
        <v>842</v>
      </c>
      <c r="S132" s="143">
        <v>379</v>
      </c>
      <c r="T132" s="78">
        <v>1</v>
      </c>
      <c r="U132" s="78">
        <v>1</v>
      </c>
      <c r="V132" s="78">
        <v>2</v>
      </c>
      <c r="W132" s="78">
        <v>2</v>
      </c>
      <c r="X132" s="78">
        <v>12</v>
      </c>
      <c r="Y132" s="78">
        <v>1</v>
      </c>
      <c r="Z132" s="78">
        <v>3</v>
      </c>
      <c r="AA132" s="78">
        <v>2</v>
      </c>
      <c r="AB132" s="78">
        <v>0</v>
      </c>
      <c r="AC132" s="78">
        <v>0</v>
      </c>
      <c r="AD132" s="137">
        <v>0.70588240000000002</v>
      </c>
      <c r="AF132" s="143" t="s">
        <v>746</v>
      </c>
      <c r="AG132" s="143" t="s">
        <v>743</v>
      </c>
      <c r="AH132" s="143" t="s">
        <v>842</v>
      </c>
      <c r="AI132" s="143">
        <v>379</v>
      </c>
      <c r="AJ132" s="78">
        <v>1</v>
      </c>
      <c r="AK132" s="78">
        <v>1</v>
      </c>
      <c r="AL132" s="78">
        <v>1</v>
      </c>
      <c r="AM132" s="78">
        <v>6</v>
      </c>
      <c r="AN132" s="78">
        <v>1</v>
      </c>
      <c r="AO132" s="78">
        <v>2</v>
      </c>
      <c r="AP132" s="78">
        <v>1</v>
      </c>
      <c r="AQ132" s="78">
        <v>1</v>
      </c>
      <c r="AR132" s="78">
        <v>0</v>
      </c>
      <c r="AS132" s="78">
        <v>2</v>
      </c>
      <c r="AT132" s="78">
        <v>2</v>
      </c>
      <c r="AU132" s="78">
        <v>1</v>
      </c>
      <c r="AV132" s="78">
        <v>2</v>
      </c>
      <c r="AW132" s="78">
        <v>0</v>
      </c>
      <c r="AX132" s="78">
        <v>0</v>
      </c>
      <c r="AY132" s="78">
        <v>1</v>
      </c>
      <c r="AZ132" s="78">
        <v>0</v>
      </c>
      <c r="BA132" s="78">
        <v>0.5</v>
      </c>
      <c r="BB132" s="78">
        <v>0.5</v>
      </c>
      <c r="BC132" s="78">
        <v>0.5</v>
      </c>
      <c r="BD132" s="78">
        <v>1</v>
      </c>
      <c r="BE132" s="78">
        <v>0.5</v>
      </c>
      <c r="BF132" s="78">
        <v>1</v>
      </c>
      <c r="BG132" s="78">
        <v>2</v>
      </c>
      <c r="BH132" s="137">
        <v>0.63636360000000003</v>
      </c>
      <c r="BJ132" s="143" t="s">
        <v>746</v>
      </c>
      <c r="BK132" s="143" t="s">
        <v>743</v>
      </c>
      <c r="BL132" s="143" t="s">
        <v>842</v>
      </c>
      <c r="BM132" s="143">
        <v>379</v>
      </c>
      <c r="BN132" s="78">
        <v>1</v>
      </c>
      <c r="BO132" s="78">
        <v>4</v>
      </c>
      <c r="BP132" s="78">
        <v>7</v>
      </c>
      <c r="BQ132" s="78">
        <v>0</v>
      </c>
      <c r="BR132" s="78">
        <v>3</v>
      </c>
      <c r="BS132" s="78">
        <v>3</v>
      </c>
      <c r="BT132" s="78">
        <v>2</v>
      </c>
      <c r="BU132" s="137">
        <v>0.86956520000000004</v>
      </c>
      <c r="BW132" s="143" t="s">
        <v>746</v>
      </c>
      <c r="BX132" s="143" t="s">
        <v>743</v>
      </c>
      <c r="BY132" s="143" t="s">
        <v>842</v>
      </c>
      <c r="BZ132" s="143">
        <v>379</v>
      </c>
      <c r="CA132" s="78">
        <v>1</v>
      </c>
      <c r="CB132" s="78">
        <v>0</v>
      </c>
      <c r="CC132" s="78">
        <v>1</v>
      </c>
      <c r="CD132" s="78">
        <v>2</v>
      </c>
      <c r="CE132" s="78">
        <v>1</v>
      </c>
      <c r="CF132" s="78">
        <v>2</v>
      </c>
      <c r="CG132" s="78">
        <v>1</v>
      </c>
      <c r="CH132" s="78">
        <v>2</v>
      </c>
      <c r="CI132" s="78">
        <v>1</v>
      </c>
      <c r="CJ132" s="78">
        <v>0</v>
      </c>
      <c r="CK132" s="137">
        <v>0.73333329999999997</v>
      </c>
      <c r="CM132" s="143" t="s">
        <v>746</v>
      </c>
      <c r="CN132" s="143" t="s">
        <v>743</v>
      </c>
      <c r="CO132" s="143" t="s">
        <v>842</v>
      </c>
      <c r="CP132" s="143">
        <v>379</v>
      </c>
      <c r="CQ132" s="78">
        <v>8</v>
      </c>
      <c r="CR132" s="78">
        <v>6</v>
      </c>
      <c r="CS132" s="78">
        <v>16</v>
      </c>
      <c r="CT132" s="78">
        <v>4</v>
      </c>
      <c r="CU132" s="78">
        <v>2</v>
      </c>
      <c r="CV132" s="78">
        <v>4</v>
      </c>
      <c r="CW132" s="137">
        <v>0.76923079999999999</v>
      </c>
      <c r="CY132" s="143" t="s">
        <v>746</v>
      </c>
      <c r="CZ132" s="143" t="s">
        <v>743</v>
      </c>
      <c r="DA132" s="143" t="s">
        <v>842</v>
      </c>
      <c r="DB132" s="143">
        <v>379</v>
      </c>
      <c r="DC132" s="78">
        <v>32</v>
      </c>
      <c r="DD132" s="137">
        <v>0</v>
      </c>
      <c r="DE132" s="137">
        <v>0</v>
      </c>
      <c r="DG132" s="143" t="s">
        <v>746</v>
      </c>
      <c r="DH132" s="143" t="s">
        <v>743</v>
      </c>
      <c r="DI132" s="143" t="s">
        <v>842</v>
      </c>
      <c r="DJ132" s="143">
        <v>379</v>
      </c>
      <c r="DK132" s="78">
        <v>2</v>
      </c>
      <c r="DL132" s="78">
        <v>1</v>
      </c>
      <c r="DM132" s="78">
        <v>1</v>
      </c>
      <c r="DN132" s="78">
        <v>7</v>
      </c>
      <c r="DO132" s="78">
        <v>2</v>
      </c>
      <c r="DP132" s="78">
        <v>3</v>
      </c>
      <c r="DQ132" s="78">
        <v>8</v>
      </c>
      <c r="DR132" s="78">
        <v>1</v>
      </c>
      <c r="DS132" s="78">
        <v>1</v>
      </c>
      <c r="DT132" s="78">
        <v>0</v>
      </c>
      <c r="DU132" s="78">
        <v>1</v>
      </c>
      <c r="DV132" s="137">
        <v>0.93103449999999999</v>
      </c>
      <c r="DX132" s="143" t="s">
        <v>746</v>
      </c>
      <c r="DY132" s="143" t="s">
        <v>743</v>
      </c>
      <c r="DZ132" s="143" t="s">
        <v>842</v>
      </c>
      <c r="EA132" s="143">
        <v>379</v>
      </c>
      <c r="EB132" s="78">
        <v>1</v>
      </c>
      <c r="EC132" s="78">
        <v>0</v>
      </c>
      <c r="ED132" s="78">
        <v>0</v>
      </c>
      <c r="EE132" s="78">
        <v>4</v>
      </c>
      <c r="EF132" s="78">
        <v>3</v>
      </c>
      <c r="EG132" s="78">
        <v>1</v>
      </c>
      <c r="EH132" s="78">
        <v>1</v>
      </c>
      <c r="EI132" s="78">
        <v>1</v>
      </c>
      <c r="EJ132" s="78">
        <v>1</v>
      </c>
      <c r="EK132" s="78">
        <v>1</v>
      </c>
      <c r="EL132" s="78">
        <v>1</v>
      </c>
      <c r="EM132" s="78">
        <v>1</v>
      </c>
      <c r="EN132" s="78">
        <v>1</v>
      </c>
      <c r="EO132" s="78">
        <v>0</v>
      </c>
      <c r="EP132" s="78">
        <v>1</v>
      </c>
      <c r="EQ132" s="137">
        <v>0.62962960000000001</v>
      </c>
      <c r="ES132" s="143" t="s">
        <v>746</v>
      </c>
      <c r="ET132" s="143" t="s">
        <v>743</v>
      </c>
      <c r="EU132" s="143" t="s">
        <v>842</v>
      </c>
      <c r="EV132" s="143">
        <v>379</v>
      </c>
      <c r="EW132" s="78">
        <v>0.5</v>
      </c>
      <c r="EX132" s="78">
        <v>0</v>
      </c>
      <c r="EY132" s="78">
        <v>0</v>
      </c>
      <c r="EZ132" s="78">
        <v>0</v>
      </c>
      <c r="FA132" s="78">
        <v>0.5</v>
      </c>
      <c r="FB132" s="78">
        <v>3</v>
      </c>
      <c r="FC132" s="78">
        <v>2</v>
      </c>
      <c r="FD132" s="78">
        <v>1</v>
      </c>
      <c r="FE132" s="137">
        <v>0.53846159999999998</v>
      </c>
      <c r="FG132" s="137">
        <v>0.54664729999999995</v>
      </c>
    </row>
    <row r="133" spans="1:163" x14ac:dyDescent="0.35">
      <c r="A133" s="143" t="s">
        <v>746</v>
      </c>
      <c r="B133" s="143" t="s">
        <v>743</v>
      </c>
      <c r="C133" s="143" t="s">
        <v>842</v>
      </c>
      <c r="D133" s="143">
        <v>1152</v>
      </c>
      <c r="E133" s="78">
        <v>0.5</v>
      </c>
      <c r="F133" s="78">
        <v>2.5</v>
      </c>
      <c r="G133" s="78">
        <v>1</v>
      </c>
      <c r="H133" s="78">
        <v>4</v>
      </c>
      <c r="I133" s="78">
        <v>1</v>
      </c>
      <c r="J133" s="78">
        <v>1</v>
      </c>
      <c r="K133" s="78">
        <v>1</v>
      </c>
      <c r="L133" s="78">
        <v>1</v>
      </c>
      <c r="M133" s="78">
        <v>2</v>
      </c>
      <c r="N133" s="137">
        <v>1</v>
      </c>
      <c r="P133" s="143" t="s">
        <v>746</v>
      </c>
      <c r="Q133" s="143" t="s">
        <v>743</v>
      </c>
      <c r="R133" s="143" t="s">
        <v>842</v>
      </c>
      <c r="S133" s="143">
        <v>1152</v>
      </c>
      <c r="T133" s="78">
        <v>1</v>
      </c>
      <c r="U133" s="78">
        <v>1</v>
      </c>
      <c r="V133" s="78">
        <v>3</v>
      </c>
      <c r="W133" s="78">
        <v>2</v>
      </c>
      <c r="X133" s="78">
        <v>12</v>
      </c>
      <c r="Y133" s="78">
        <v>1</v>
      </c>
      <c r="Z133" s="78">
        <v>3</v>
      </c>
      <c r="AA133" s="78">
        <v>2</v>
      </c>
      <c r="AB133" s="78">
        <v>6</v>
      </c>
      <c r="AC133" s="78">
        <v>3</v>
      </c>
      <c r="AD133" s="137">
        <v>1</v>
      </c>
      <c r="AF133" s="143" t="s">
        <v>746</v>
      </c>
      <c r="AG133" s="143" t="s">
        <v>743</v>
      </c>
      <c r="AH133" s="143" t="s">
        <v>842</v>
      </c>
      <c r="AI133" s="143">
        <v>1152</v>
      </c>
      <c r="AJ133" s="78">
        <v>1</v>
      </c>
      <c r="AK133" s="78">
        <v>1</v>
      </c>
      <c r="AL133" s="78">
        <v>1</v>
      </c>
      <c r="AM133" s="78">
        <v>6</v>
      </c>
      <c r="AN133" s="78">
        <v>1</v>
      </c>
      <c r="AO133" s="78">
        <v>2</v>
      </c>
      <c r="AP133" s="78">
        <v>2</v>
      </c>
      <c r="AQ133" s="78">
        <v>1</v>
      </c>
      <c r="AR133" s="78">
        <v>2</v>
      </c>
      <c r="AS133" s="78">
        <v>2</v>
      </c>
      <c r="AT133" s="78">
        <v>2</v>
      </c>
      <c r="AU133" s="78">
        <v>1</v>
      </c>
      <c r="AV133" s="78">
        <v>2</v>
      </c>
      <c r="AW133" s="78">
        <v>1</v>
      </c>
      <c r="AX133" s="78">
        <v>4</v>
      </c>
      <c r="AY133" s="78">
        <v>1</v>
      </c>
      <c r="AZ133" s="78">
        <v>2</v>
      </c>
      <c r="BA133" s="78">
        <v>0.5</v>
      </c>
      <c r="BB133" s="78">
        <v>0.5</v>
      </c>
      <c r="BC133" s="78">
        <v>0.5</v>
      </c>
      <c r="BD133" s="78">
        <v>1</v>
      </c>
      <c r="BE133" s="78">
        <v>0.5</v>
      </c>
      <c r="BF133" s="78">
        <v>1</v>
      </c>
      <c r="BG133" s="78">
        <v>8</v>
      </c>
      <c r="BH133" s="137">
        <v>1</v>
      </c>
      <c r="BJ133" s="143" t="s">
        <v>746</v>
      </c>
      <c r="BK133" s="143" t="s">
        <v>743</v>
      </c>
      <c r="BL133" s="143" t="s">
        <v>842</v>
      </c>
      <c r="BM133" s="143">
        <v>1152</v>
      </c>
      <c r="BN133" s="78">
        <v>1</v>
      </c>
      <c r="BO133" s="78">
        <v>4</v>
      </c>
      <c r="BP133" s="78">
        <v>7</v>
      </c>
      <c r="BQ133" s="78">
        <v>0</v>
      </c>
      <c r="BR133" s="78">
        <v>3</v>
      </c>
      <c r="BS133" s="78">
        <v>3</v>
      </c>
      <c r="BT133" s="78">
        <v>2</v>
      </c>
      <c r="BU133" s="137">
        <v>0.86956520000000004</v>
      </c>
      <c r="BW133" s="143" t="s">
        <v>746</v>
      </c>
      <c r="BX133" s="143" t="s">
        <v>743</v>
      </c>
      <c r="BY133" s="143" t="s">
        <v>842</v>
      </c>
      <c r="BZ133" s="143">
        <v>1152</v>
      </c>
      <c r="CM133" s="143" t="s">
        <v>746</v>
      </c>
      <c r="CN133" s="143" t="s">
        <v>743</v>
      </c>
      <c r="CO133" s="143" t="s">
        <v>842</v>
      </c>
      <c r="CP133" s="143">
        <v>1152</v>
      </c>
      <c r="CQ133" s="78">
        <v>8</v>
      </c>
      <c r="CR133" s="78">
        <v>6</v>
      </c>
      <c r="CS133" s="78">
        <v>24</v>
      </c>
      <c r="CT133" s="78">
        <v>4</v>
      </c>
      <c r="CU133" s="78">
        <v>2</v>
      </c>
      <c r="CV133" s="78">
        <v>8</v>
      </c>
      <c r="CW133" s="137">
        <v>1</v>
      </c>
      <c r="CY133" s="143" t="s">
        <v>746</v>
      </c>
      <c r="CZ133" s="143" t="s">
        <v>743</v>
      </c>
      <c r="DA133" s="143" t="s">
        <v>842</v>
      </c>
      <c r="DB133" s="143">
        <v>1152</v>
      </c>
      <c r="DC133" s="78">
        <v>6</v>
      </c>
      <c r="DD133" s="137">
        <v>0.6</v>
      </c>
      <c r="DE133" s="137">
        <v>3.9130400000000003E-2</v>
      </c>
      <c r="DG133" s="143" t="s">
        <v>746</v>
      </c>
      <c r="DH133" s="143" t="s">
        <v>743</v>
      </c>
      <c r="DI133" s="143" t="s">
        <v>842</v>
      </c>
      <c r="DJ133" s="143">
        <v>1152</v>
      </c>
      <c r="DK133" s="78">
        <v>2</v>
      </c>
      <c r="DL133" s="78">
        <v>1</v>
      </c>
      <c r="DM133" s="78">
        <v>1</v>
      </c>
      <c r="DN133" s="78">
        <v>5</v>
      </c>
      <c r="DO133" s="78">
        <v>2</v>
      </c>
      <c r="DP133" s="78">
        <v>3</v>
      </c>
      <c r="DQ133" s="78">
        <v>8</v>
      </c>
      <c r="DR133" s="78">
        <v>1</v>
      </c>
      <c r="DS133" s="78">
        <v>1</v>
      </c>
      <c r="DT133" s="78">
        <v>2</v>
      </c>
      <c r="DU133" s="78">
        <v>1</v>
      </c>
      <c r="DV133" s="137">
        <v>0.93103449999999999</v>
      </c>
      <c r="DX133" s="143" t="s">
        <v>746</v>
      </c>
      <c r="DY133" s="143" t="s">
        <v>743</v>
      </c>
      <c r="DZ133" s="143" t="s">
        <v>842</v>
      </c>
      <c r="EA133" s="143">
        <v>1152</v>
      </c>
      <c r="EB133" s="78">
        <v>1</v>
      </c>
      <c r="EC133" s="78">
        <v>8</v>
      </c>
      <c r="ED133" s="78">
        <v>0</v>
      </c>
      <c r="EE133" s="78">
        <v>4</v>
      </c>
      <c r="EF133" s="78">
        <v>3</v>
      </c>
      <c r="EG133" s="78">
        <v>1</v>
      </c>
      <c r="EH133" s="78">
        <v>1</v>
      </c>
      <c r="EI133" s="78">
        <v>1</v>
      </c>
      <c r="EJ133" s="78">
        <v>1</v>
      </c>
      <c r="EK133" s="78">
        <v>1</v>
      </c>
      <c r="EL133" s="78">
        <v>1</v>
      </c>
      <c r="EM133" s="78">
        <v>1</v>
      </c>
      <c r="EN133" s="78">
        <v>1</v>
      </c>
      <c r="EO133" s="78">
        <v>1</v>
      </c>
      <c r="EP133" s="78">
        <v>1</v>
      </c>
      <c r="EQ133" s="137">
        <v>0.96296300000000001</v>
      </c>
      <c r="ES133" s="143" t="s">
        <v>746</v>
      </c>
      <c r="ET133" s="143" t="s">
        <v>743</v>
      </c>
      <c r="EU133" s="143" t="s">
        <v>842</v>
      </c>
      <c r="EV133" s="143">
        <v>1152</v>
      </c>
      <c r="EW133" s="78">
        <v>0</v>
      </c>
      <c r="EX133" s="78">
        <v>1</v>
      </c>
      <c r="EY133" s="78">
        <v>3</v>
      </c>
      <c r="EZ133" s="78">
        <v>2</v>
      </c>
      <c r="FA133" s="78">
        <v>0.5</v>
      </c>
      <c r="FB133" s="78">
        <v>3</v>
      </c>
      <c r="FC133" s="78">
        <v>2</v>
      </c>
      <c r="FD133" s="78">
        <v>1</v>
      </c>
      <c r="FE133" s="137">
        <v>0.96153840000000002</v>
      </c>
      <c r="FG133" s="137">
        <v>0.71067080000000005</v>
      </c>
    </row>
    <row r="134" spans="1:163" x14ac:dyDescent="0.35">
      <c r="A134" s="143" t="s">
        <v>746</v>
      </c>
      <c r="B134" s="143" t="s">
        <v>743</v>
      </c>
      <c r="C134" s="143" t="s">
        <v>842</v>
      </c>
      <c r="D134" s="143">
        <v>2776</v>
      </c>
      <c r="E134" s="78">
        <v>0.5</v>
      </c>
      <c r="F134" s="78">
        <v>2.5</v>
      </c>
      <c r="G134" s="78">
        <v>1</v>
      </c>
      <c r="H134" s="78">
        <v>4</v>
      </c>
      <c r="I134" s="78">
        <v>1</v>
      </c>
      <c r="J134" s="78">
        <v>1</v>
      </c>
      <c r="K134" s="78">
        <v>1</v>
      </c>
      <c r="L134" s="78">
        <v>1</v>
      </c>
      <c r="M134" s="78">
        <v>2</v>
      </c>
      <c r="N134" s="137">
        <v>1</v>
      </c>
      <c r="P134" s="143" t="s">
        <v>746</v>
      </c>
      <c r="Q134" s="143" t="s">
        <v>743</v>
      </c>
      <c r="R134" s="143" t="s">
        <v>842</v>
      </c>
      <c r="S134" s="143">
        <v>2776</v>
      </c>
      <c r="T134" s="78">
        <v>1</v>
      </c>
      <c r="U134" s="78">
        <v>1</v>
      </c>
      <c r="V134" s="78">
        <v>1.5</v>
      </c>
      <c r="W134" s="78">
        <v>2</v>
      </c>
      <c r="X134" s="78">
        <v>12</v>
      </c>
      <c r="Y134" s="78">
        <v>1</v>
      </c>
      <c r="Z134" s="78">
        <v>0</v>
      </c>
      <c r="AA134" s="78">
        <v>2</v>
      </c>
      <c r="AB134" s="78">
        <v>6</v>
      </c>
      <c r="AC134" s="78">
        <v>0</v>
      </c>
      <c r="AD134" s="137">
        <v>0.77941179999999999</v>
      </c>
      <c r="AF134" s="143" t="s">
        <v>746</v>
      </c>
      <c r="AG134" s="143" t="s">
        <v>743</v>
      </c>
      <c r="AH134" s="143" t="s">
        <v>842</v>
      </c>
      <c r="AI134" s="143">
        <v>2776</v>
      </c>
      <c r="AJ134" s="78">
        <v>0</v>
      </c>
      <c r="AK134" s="78">
        <v>1</v>
      </c>
      <c r="AL134" s="78">
        <v>1</v>
      </c>
      <c r="AM134" s="78">
        <v>0</v>
      </c>
      <c r="AN134" s="78">
        <v>1</v>
      </c>
      <c r="AO134" s="78">
        <v>2</v>
      </c>
      <c r="AP134" s="78">
        <v>2</v>
      </c>
      <c r="AQ134" s="78">
        <v>1</v>
      </c>
      <c r="AR134" s="78">
        <v>2</v>
      </c>
      <c r="AS134" s="78">
        <v>0</v>
      </c>
      <c r="AT134" s="78">
        <v>0</v>
      </c>
      <c r="AU134" s="78">
        <v>1</v>
      </c>
      <c r="AV134" s="78">
        <v>2</v>
      </c>
      <c r="AW134" s="78">
        <v>1</v>
      </c>
      <c r="AX134" s="78">
        <v>0</v>
      </c>
      <c r="AY134" s="78">
        <v>1</v>
      </c>
      <c r="AZ134" s="78">
        <v>0</v>
      </c>
      <c r="BA134" s="78">
        <v>0.5</v>
      </c>
      <c r="BB134" s="78">
        <v>0.5</v>
      </c>
      <c r="BC134" s="78">
        <v>0.5</v>
      </c>
      <c r="BD134" s="78">
        <v>1</v>
      </c>
      <c r="BE134" s="78">
        <v>0.5</v>
      </c>
      <c r="BF134" s="78">
        <v>1</v>
      </c>
      <c r="BG134" s="78">
        <v>6</v>
      </c>
      <c r="BH134" s="137">
        <v>0.56818179999999996</v>
      </c>
      <c r="BJ134" s="143" t="s">
        <v>746</v>
      </c>
      <c r="BK134" s="143" t="s">
        <v>743</v>
      </c>
      <c r="BL134" s="143" t="s">
        <v>842</v>
      </c>
      <c r="BM134" s="143">
        <v>2776</v>
      </c>
      <c r="BN134" s="78">
        <v>1</v>
      </c>
      <c r="BO134" s="78">
        <v>4</v>
      </c>
      <c r="BP134" s="78">
        <v>7</v>
      </c>
      <c r="BQ134" s="78">
        <v>3</v>
      </c>
      <c r="BR134" s="78">
        <v>0</v>
      </c>
      <c r="BS134" s="78">
        <v>3</v>
      </c>
      <c r="BT134" s="78">
        <v>2</v>
      </c>
      <c r="BU134" s="137">
        <v>0.86956520000000004</v>
      </c>
      <c r="BW134" s="143" t="s">
        <v>746</v>
      </c>
      <c r="BX134" s="143" t="s">
        <v>743</v>
      </c>
      <c r="BY134" s="143" t="s">
        <v>842</v>
      </c>
      <c r="BZ134" s="143">
        <v>2776</v>
      </c>
      <c r="CM134" s="143" t="s">
        <v>746</v>
      </c>
      <c r="CN134" s="143" t="s">
        <v>743</v>
      </c>
      <c r="CO134" s="143" t="s">
        <v>842</v>
      </c>
      <c r="CP134" s="143">
        <v>2776</v>
      </c>
      <c r="CQ134" s="78">
        <v>8</v>
      </c>
      <c r="CR134" s="78">
        <v>6</v>
      </c>
      <c r="CS134" s="78">
        <v>4</v>
      </c>
      <c r="CT134" s="78">
        <v>4</v>
      </c>
      <c r="CU134" s="78">
        <v>2</v>
      </c>
      <c r="CV134" s="78">
        <v>4</v>
      </c>
      <c r="CW134" s="137">
        <v>0.53846159999999998</v>
      </c>
      <c r="CY134" s="143" t="s">
        <v>746</v>
      </c>
      <c r="CZ134" s="143" t="s">
        <v>743</v>
      </c>
      <c r="DA134" s="143" t="s">
        <v>842</v>
      </c>
      <c r="DB134" s="143">
        <v>2776</v>
      </c>
      <c r="DC134" s="78">
        <v>58</v>
      </c>
      <c r="DD134" s="137">
        <v>0</v>
      </c>
      <c r="DE134" s="137">
        <v>0</v>
      </c>
      <c r="DG134" s="143" t="s">
        <v>746</v>
      </c>
      <c r="DH134" s="143" t="s">
        <v>743</v>
      </c>
      <c r="DI134" s="143" t="s">
        <v>842</v>
      </c>
      <c r="DJ134" s="143">
        <v>2776</v>
      </c>
      <c r="DK134" s="78">
        <v>2</v>
      </c>
      <c r="DL134" s="78">
        <v>0</v>
      </c>
      <c r="DM134" s="78">
        <v>1</v>
      </c>
      <c r="DN134" s="78">
        <v>5</v>
      </c>
      <c r="DO134" s="78">
        <v>2</v>
      </c>
      <c r="DP134" s="78">
        <v>3</v>
      </c>
      <c r="DQ134" s="78">
        <v>8</v>
      </c>
      <c r="DR134" s="78">
        <v>1</v>
      </c>
      <c r="DS134" s="78">
        <v>1</v>
      </c>
      <c r="DT134" s="78">
        <v>0</v>
      </c>
      <c r="DU134" s="78">
        <v>0</v>
      </c>
      <c r="DV134" s="137">
        <v>0.79310349999999996</v>
      </c>
      <c r="DX134" s="143" t="s">
        <v>746</v>
      </c>
      <c r="DY134" s="143" t="s">
        <v>743</v>
      </c>
      <c r="DZ134" s="143" t="s">
        <v>842</v>
      </c>
      <c r="EA134" s="143">
        <v>2776</v>
      </c>
      <c r="EB134" s="78">
        <v>0</v>
      </c>
      <c r="EC134" s="78">
        <v>8</v>
      </c>
      <c r="ED134" s="78">
        <v>1</v>
      </c>
      <c r="EE134" s="78">
        <v>4</v>
      </c>
      <c r="EF134" s="78">
        <v>0</v>
      </c>
      <c r="EG134" s="78">
        <v>1</v>
      </c>
      <c r="EH134" s="78">
        <v>0</v>
      </c>
      <c r="EI134" s="78">
        <v>1</v>
      </c>
      <c r="EJ134" s="78">
        <v>1</v>
      </c>
      <c r="EK134" s="78">
        <v>1</v>
      </c>
      <c r="EL134" s="78">
        <v>1</v>
      </c>
      <c r="EM134" s="78">
        <v>1</v>
      </c>
      <c r="EN134" s="78">
        <v>1</v>
      </c>
      <c r="EO134" s="78">
        <v>0</v>
      </c>
      <c r="EP134" s="78">
        <v>1</v>
      </c>
      <c r="EQ134" s="137">
        <v>0.77777779999999996</v>
      </c>
      <c r="ES134" s="143" t="s">
        <v>746</v>
      </c>
      <c r="ET134" s="143" t="s">
        <v>743</v>
      </c>
      <c r="EU134" s="143" t="s">
        <v>842</v>
      </c>
      <c r="EV134" s="143">
        <v>2776</v>
      </c>
      <c r="EW134" s="78">
        <v>0.5</v>
      </c>
      <c r="EX134" s="78">
        <v>1</v>
      </c>
      <c r="EY134" s="78">
        <v>3</v>
      </c>
      <c r="EZ134" s="78">
        <v>2</v>
      </c>
      <c r="FA134" s="78">
        <v>0.5</v>
      </c>
      <c r="FB134" s="78">
        <v>3</v>
      </c>
      <c r="FC134" s="78">
        <v>2</v>
      </c>
      <c r="FD134" s="78">
        <v>1</v>
      </c>
      <c r="FE134" s="137">
        <v>1</v>
      </c>
      <c r="FG134" s="137">
        <v>0.51981710000000003</v>
      </c>
    </row>
    <row r="135" spans="1:163" x14ac:dyDescent="0.35">
      <c r="A135" s="143" t="s">
        <v>747</v>
      </c>
      <c r="B135" s="143" t="s">
        <v>748</v>
      </c>
      <c r="C135" s="143" t="s">
        <v>841</v>
      </c>
      <c r="D135" s="143">
        <v>233</v>
      </c>
      <c r="E135" s="78">
        <v>0.5</v>
      </c>
      <c r="F135" s="78">
        <v>2.5</v>
      </c>
      <c r="G135" s="78">
        <v>1</v>
      </c>
      <c r="H135" s="78">
        <v>4</v>
      </c>
      <c r="I135" s="78">
        <v>1</v>
      </c>
      <c r="J135" s="78">
        <v>0</v>
      </c>
      <c r="K135" s="78">
        <v>1</v>
      </c>
      <c r="L135" s="78">
        <v>1</v>
      </c>
      <c r="M135" s="78">
        <v>2</v>
      </c>
      <c r="N135" s="137">
        <v>0.92857140000000005</v>
      </c>
      <c r="P135" s="143" t="s">
        <v>747</v>
      </c>
      <c r="Q135" s="143" t="s">
        <v>748</v>
      </c>
      <c r="R135" s="143" t="s">
        <v>841</v>
      </c>
      <c r="S135" s="143">
        <v>233</v>
      </c>
      <c r="T135" s="78">
        <v>1</v>
      </c>
      <c r="U135" s="78">
        <v>1</v>
      </c>
      <c r="V135" s="78">
        <v>1</v>
      </c>
      <c r="W135" s="78">
        <v>2</v>
      </c>
      <c r="X135" s="78">
        <v>0</v>
      </c>
      <c r="Y135" s="78">
        <v>1</v>
      </c>
      <c r="Z135" s="78">
        <v>3</v>
      </c>
      <c r="AA135" s="78">
        <v>2</v>
      </c>
      <c r="AB135" s="78">
        <v>6</v>
      </c>
      <c r="AC135" s="78">
        <v>3</v>
      </c>
      <c r="AD135" s="137">
        <v>0.58823530000000002</v>
      </c>
      <c r="AF135" s="143" t="s">
        <v>747</v>
      </c>
      <c r="AG135" s="143" t="s">
        <v>748</v>
      </c>
      <c r="AH135" s="143" t="s">
        <v>841</v>
      </c>
      <c r="AI135" s="143">
        <v>233</v>
      </c>
      <c r="AJ135" s="78">
        <v>1</v>
      </c>
      <c r="AK135" s="78">
        <v>1</v>
      </c>
      <c r="AL135" s="78">
        <v>0</v>
      </c>
      <c r="AM135" s="78">
        <v>1</v>
      </c>
      <c r="AN135" s="78">
        <v>1</v>
      </c>
      <c r="AO135" s="78">
        <v>2</v>
      </c>
      <c r="AP135" s="78">
        <v>2</v>
      </c>
      <c r="AQ135" s="78">
        <v>1</v>
      </c>
      <c r="AR135" s="78">
        <v>2</v>
      </c>
      <c r="AS135" s="78">
        <v>2</v>
      </c>
      <c r="AT135" s="78">
        <v>2</v>
      </c>
      <c r="AU135" s="78">
        <v>1</v>
      </c>
      <c r="AV135" s="78">
        <v>2</v>
      </c>
      <c r="AW135" s="78">
        <v>1</v>
      </c>
      <c r="AX135" s="78">
        <v>4</v>
      </c>
      <c r="AY135" s="78">
        <v>1</v>
      </c>
      <c r="AZ135" s="78">
        <v>0</v>
      </c>
      <c r="BA135" s="78">
        <v>0.5</v>
      </c>
      <c r="BB135" s="78">
        <v>0.5</v>
      </c>
      <c r="BC135" s="78">
        <v>0.5</v>
      </c>
      <c r="BD135" s="78">
        <v>0</v>
      </c>
      <c r="BE135" s="78">
        <v>0</v>
      </c>
      <c r="BF135" s="78">
        <v>1</v>
      </c>
      <c r="BG135" s="78">
        <v>8</v>
      </c>
      <c r="BH135" s="137">
        <v>0.78409090000000004</v>
      </c>
      <c r="BJ135" s="143" t="s">
        <v>747</v>
      </c>
      <c r="BK135" s="143" t="s">
        <v>748</v>
      </c>
      <c r="BL135" s="143" t="s">
        <v>841</v>
      </c>
      <c r="BM135" s="143">
        <v>233</v>
      </c>
      <c r="BN135" s="78">
        <v>1</v>
      </c>
      <c r="BO135" s="78">
        <v>4</v>
      </c>
      <c r="BP135" s="78">
        <v>7</v>
      </c>
      <c r="BQ135" s="78">
        <v>3</v>
      </c>
      <c r="BR135" s="78">
        <v>3</v>
      </c>
      <c r="BS135" s="78">
        <v>3</v>
      </c>
      <c r="BT135" s="78">
        <v>2</v>
      </c>
      <c r="BU135" s="137">
        <v>1</v>
      </c>
      <c r="BW135" s="143" t="s">
        <v>747</v>
      </c>
      <c r="BX135" s="143" t="s">
        <v>748</v>
      </c>
      <c r="BY135" s="143" t="s">
        <v>841</v>
      </c>
      <c r="BZ135" s="143">
        <v>233</v>
      </c>
      <c r="CA135" s="78">
        <v>1</v>
      </c>
      <c r="CB135" s="78">
        <v>1</v>
      </c>
      <c r="CC135" s="78">
        <v>1</v>
      </c>
      <c r="CD135" s="78">
        <v>2</v>
      </c>
      <c r="CE135" s="78">
        <v>1</v>
      </c>
      <c r="CF135" s="78">
        <v>2</v>
      </c>
      <c r="CG135" s="78">
        <v>1</v>
      </c>
      <c r="CH135" s="78">
        <v>2</v>
      </c>
      <c r="CI135" s="78">
        <v>1</v>
      </c>
      <c r="CJ135" s="78">
        <v>0</v>
      </c>
      <c r="CK135" s="137">
        <v>0.8</v>
      </c>
      <c r="CM135" s="143" t="s">
        <v>747</v>
      </c>
      <c r="CN135" s="143" t="s">
        <v>748</v>
      </c>
      <c r="CO135" s="143" t="s">
        <v>841</v>
      </c>
      <c r="CP135" s="143">
        <v>233</v>
      </c>
      <c r="CQ135" s="78">
        <v>8</v>
      </c>
      <c r="CR135" s="78">
        <v>6</v>
      </c>
      <c r="CS135" s="78">
        <v>8</v>
      </c>
      <c r="CT135" s="78">
        <v>4</v>
      </c>
      <c r="CU135" s="78">
        <v>2</v>
      </c>
      <c r="CV135" s="78">
        <v>8</v>
      </c>
      <c r="CW135" s="137">
        <v>0.69230769999999997</v>
      </c>
      <c r="CY135" s="143" t="s">
        <v>747</v>
      </c>
      <c r="CZ135" s="143" t="s">
        <v>748</v>
      </c>
      <c r="DA135" s="143" t="s">
        <v>841</v>
      </c>
      <c r="DB135" s="143">
        <v>233</v>
      </c>
      <c r="DC135" s="78">
        <v>40</v>
      </c>
      <c r="DD135" s="137">
        <v>0</v>
      </c>
      <c r="DE135" s="137">
        <v>0</v>
      </c>
      <c r="DG135" s="143" t="s">
        <v>747</v>
      </c>
      <c r="DH135" s="143" t="s">
        <v>748</v>
      </c>
      <c r="DI135" s="143" t="s">
        <v>841</v>
      </c>
      <c r="DJ135" s="143">
        <v>233</v>
      </c>
      <c r="DK135" s="78">
        <v>2</v>
      </c>
      <c r="DL135" s="78">
        <v>1</v>
      </c>
      <c r="DM135" s="78">
        <v>1</v>
      </c>
      <c r="DN135" s="78">
        <v>7</v>
      </c>
      <c r="DO135" s="78">
        <v>2</v>
      </c>
      <c r="DP135" s="78">
        <v>3</v>
      </c>
      <c r="DQ135" s="78">
        <v>8</v>
      </c>
      <c r="DR135" s="78">
        <v>1</v>
      </c>
      <c r="DS135" s="78">
        <v>1</v>
      </c>
      <c r="DT135" s="78">
        <v>0</v>
      </c>
      <c r="DU135" s="78">
        <v>0</v>
      </c>
      <c r="DV135" s="137">
        <v>0.89655169999999995</v>
      </c>
      <c r="DX135" s="143" t="s">
        <v>747</v>
      </c>
      <c r="DY135" s="143" t="s">
        <v>748</v>
      </c>
      <c r="DZ135" s="143" t="s">
        <v>841</v>
      </c>
      <c r="EA135" s="143">
        <v>233</v>
      </c>
      <c r="EB135" s="78">
        <v>1</v>
      </c>
      <c r="EC135" s="78">
        <v>8</v>
      </c>
      <c r="ED135" s="78">
        <v>1</v>
      </c>
      <c r="EE135" s="78">
        <v>4</v>
      </c>
      <c r="EF135" s="78">
        <v>3</v>
      </c>
      <c r="EG135" s="78">
        <v>1</v>
      </c>
      <c r="EH135" s="78">
        <v>1</v>
      </c>
      <c r="EI135" s="78">
        <v>1</v>
      </c>
      <c r="EJ135" s="78">
        <v>1</v>
      </c>
      <c r="EK135" s="78">
        <v>1</v>
      </c>
      <c r="EL135" s="78">
        <v>0</v>
      </c>
      <c r="EM135" s="78">
        <v>1</v>
      </c>
      <c r="EN135" s="78">
        <v>0</v>
      </c>
      <c r="EO135" s="78">
        <v>0</v>
      </c>
      <c r="EP135" s="78">
        <v>1</v>
      </c>
      <c r="EQ135" s="137">
        <v>0.88888889999999998</v>
      </c>
      <c r="ES135" s="143" t="s">
        <v>747</v>
      </c>
      <c r="ET135" s="143" t="s">
        <v>748</v>
      </c>
      <c r="EU135" s="143" t="s">
        <v>841</v>
      </c>
      <c r="EV135" s="143">
        <v>233</v>
      </c>
      <c r="EW135" s="78">
        <v>0</v>
      </c>
      <c r="EX135" s="78">
        <v>1</v>
      </c>
      <c r="EY135" s="78">
        <v>0</v>
      </c>
      <c r="EZ135" s="78">
        <v>0</v>
      </c>
      <c r="FA135" s="78">
        <v>0.5</v>
      </c>
      <c r="FB135" s="78">
        <v>3</v>
      </c>
      <c r="FC135" s="78">
        <v>2</v>
      </c>
      <c r="FD135" s="78">
        <v>1</v>
      </c>
      <c r="FE135" s="137">
        <v>0.57692310000000002</v>
      </c>
      <c r="FG135" s="137">
        <v>0.57142859999999995</v>
      </c>
    </row>
    <row r="136" spans="1:163" x14ac:dyDescent="0.35">
      <c r="A136" s="143" t="s">
        <v>747</v>
      </c>
      <c r="B136" s="143" t="s">
        <v>748</v>
      </c>
      <c r="C136" s="143" t="s">
        <v>842</v>
      </c>
      <c r="D136" s="143">
        <v>234</v>
      </c>
      <c r="E136" s="78">
        <v>0.5</v>
      </c>
      <c r="F136" s="78">
        <v>2.5</v>
      </c>
      <c r="G136" s="78">
        <v>1</v>
      </c>
      <c r="H136" s="78">
        <v>3</v>
      </c>
      <c r="I136" s="78">
        <v>1</v>
      </c>
      <c r="J136" s="78">
        <v>0</v>
      </c>
      <c r="K136" s="78">
        <v>1</v>
      </c>
      <c r="L136" s="78">
        <v>1</v>
      </c>
      <c r="M136" s="78">
        <v>2</v>
      </c>
      <c r="N136" s="137">
        <v>0.85714290000000004</v>
      </c>
      <c r="P136" s="143" t="s">
        <v>747</v>
      </c>
      <c r="Q136" s="143" t="s">
        <v>748</v>
      </c>
      <c r="R136" s="143" t="s">
        <v>842</v>
      </c>
      <c r="S136" s="143">
        <v>234</v>
      </c>
      <c r="T136" s="78">
        <v>1</v>
      </c>
      <c r="U136" s="78">
        <v>1</v>
      </c>
      <c r="V136" s="78">
        <v>0</v>
      </c>
      <c r="W136" s="78">
        <v>0</v>
      </c>
      <c r="X136" s="78">
        <v>0</v>
      </c>
      <c r="Y136" s="78">
        <v>1</v>
      </c>
      <c r="Z136" s="78">
        <v>3</v>
      </c>
      <c r="AA136" s="78">
        <v>2</v>
      </c>
      <c r="AB136" s="78">
        <v>6</v>
      </c>
      <c r="AC136" s="78">
        <v>3</v>
      </c>
      <c r="AD136" s="137">
        <v>0.5</v>
      </c>
      <c r="AF136" s="143" t="s">
        <v>747</v>
      </c>
      <c r="AG136" s="143" t="s">
        <v>748</v>
      </c>
      <c r="AH136" s="143" t="s">
        <v>842</v>
      </c>
      <c r="AI136" s="143">
        <v>234</v>
      </c>
      <c r="AJ136" s="78">
        <v>1</v>
      </c>
      <c r="AK136" s="78">
        <v>1</v>
      </c>
      <c r="AL136" s="78">
        <v>0</v>
      </c>
      <c r="AM136" s="78">
        <v>1</v>
      </c>
      <c r="AN136" s="78">
        <v>1</v>
      </c>
      <c r="AO136" s="78">
        <v>2</v>
      </c>
      <c r="AP136" s="78">
        <v>2</v>
      </c>
      <c r="AQ136" s="78">
        <v>1</v>
      </c>
      <c r="AR136" s="78">
        <v>0</v>
      </c>
      <c r="AS136" s="78">
        <v>2</v>
      </c>
      <c r="AT136" s="78">
        <v>2</v>
      </c>
      <c r="AU136" s="78">
        <v>1</v>
      </c>
      <c r="AV136" s="78">
        <v>2</v>
      </c>
      <c r="AW136" s="78">
        <v>1</v>
      </c>
      <c r="AX136" s="78">
        <v>4</v>
      </c>
      <c r="AY136" s="78">
        <v>1</v>
      </c>
      <c r="AZ136" s="78">
        <v>2</v>
      </c>
      <c r="BA136" s="78">
        <v>0.5</v>
      </c>
      <c r="BB136" s="78">
        <v>0.5</v>
      </c>
      <c r="BC136" s="78">
        <v>0.5</v>
      </c>
      <c r="BD136" s="78">
        <v>0</v>
      </c>
      <c r="BE136" s="78">
        <v>0.5</v>
      </c>
      <c r="BF136" s="78">
        <v>1</v>
      </c>
      <c r="BG136" s="78">
        <v>8</v>
      </c>
      <c r="BH136" s="137">
        <v>0.79545460000000001</v>
      </c>
      <c r="BJ136" s="143" t="s">
        <v>747</v>
      </c>
      <c r="BK136" s="143" t="s">
        <v>748</v>
      </c>
      <c r="BL136" s="143" t="s">
        <v>842</v>
      </c>
      <c r="BM136" s="143">
        <v>234</v>
      </c>
      <c r="BN136" s="78">
        <v>1</v>
      </c>
      <c r="BO136" s="78">
        <v>4</v>
      </c>
      <c r="BP136" s="78">
        <v>7</v>
      </c>
      <c r="BQ136" s="78">
        <v>3</v>
      </c>
      <c r="BR136" s="78">
        <v>3</v>
      </c>
      <c r="BS136" s="78">
        <v>0</v>
      </c>
      <c r="BT136" s="78">
        <v>2</v>
      </c>
      <c r="BU136" s="137">
        <v>0.86956520000000004</v>
      </c>
      <c r="BW136" s="143" t="s">
        <v>747</v>
      </c>
      <c r="BX136" s="143" t="s">
        <v>748</v>
      </c>
      <c r="BY136" s="143" t="s">
        <v>842</v>
      </c>
      <c r="BZ136" s="143">
        <v>234</v>
      </c>
      <c r="CA136" s="78">
        <v>1</v>
      </c>
      <c r="CB136" s="78">
        <v>1</v>
      </c>
      <c r="CC136" s="78">
        <v>1</v>
      </c>
      <c r="CD136" s="78">
        <v>2</v>
      </c>
      <c r="CE136" s="78">
        <v>1</v>
      </c>
      <c r="CF136" s="78">
        <v>2</v>
      </c>
      <c r="CG136" s="78">
        <v>1</v>
      </c>
      <c r="CH136" s="78">
        <v>2</v>
      </c>
      <c r="CI136" s="78">
        <v>1</v>
      </c>
      <c r="CJ136" s="78">
        <v>0</v>
      </c>
      <c r="CK136" s="137">
        <v>0.8</v>
      </c>
      <c r="CM136" s="143" t="s">
        <v>747</v>
      </c>
      <c r="CN136" s="143" t="s">
        <v>748</v>
      </c>
      <c r="CO136" s="143" t="s">
        <v>842</v>
      </c>
      <c r="CP136" s="143">
        <v>234</v>
      </c>
      <c r="CQ136" s="78">
        <v>8</v>
      </c>
      <c r="CR136" s="78">
        <v>6</v>
      </c>
      <c r="CS136" s="78">
        <v>12</v>
      </c>
      <c r="CT136" s="78">
        <v>4</v>
      </c>
      <c r="CU136" s="78">
        <v>0</v>
      </c>
      <c r="CV136" s="78">
        <v>8</v>
      </c>
      <c r="CW136" s="137">
        <v>0.73076920000000001</v>
      </c>
      <c r="CY136" s="143" t="s">
        <v>747</v>
      </c>
      <c r="CZ136" s="143" t="s">
        <v>748</v>
      </c>
      <c r="DA136" s="143" t="s">
        <v>842</v>
      </c>
      <c r="DB136" s="143">
        <v>234</v>
      </c>
      <c r="DC136" s="78">
        <v>36</v>
      </c>
      <c r="DD136" s="137">
        <v>0.2</v>
      </c>
      <c r="DE136" s="137">
        <v>7.8260899999999994E-2</v>
      </c>
      <c r="DG136" s="143" t="s">
        <v>747</v>
      </c>
      <c r="DH136" s="143" t="s">
        <v>748</v>
      </c>
      <c r="DI136" s="143" t="s">
        <v>842</v>
      </c>
      <c r="DJ136" s="143">
        <v>234</v>
      </c>
      <c r="DK136" s="78">
        <v>2</v>
      </c>
      <c r="DL136" s="78">
        <v>1</v>
      </c>
      <c r="DM136" s="78">
        <v>0</v>
      </c>
      <c r="DN136" s="78">
        <v>6</v>
      </c>
      <c r="DO136" s="78">
        <v>2</v>
      </c>
      <c r="DP136" s="78">
        <v>3</v>
      </c>
      <c r="DQ136" s="78">
        <v>8</v>
      </c>
      <c r="DR136" s="78">
        <v>1</v>
      </c>
      <c r="DS136" s="78">
        <v>1</v>
      </c>
      <c r="DT136" s="78">
        <v>2</v>
      </c>
      <c r="DU136" s="78">
        <v>1</v>
      </c>
      <c r="DV136" s="137">
        <v>0.93103449999999999</v>
      </c>
      <c r="DX136" s="143" t="s">
        <v>747</v>
      </c>
      <c r="DY136" s="143" t="s">
        <v>748</v>
      </c>
      <c r="DZ136" s="143" t="s">
        <v>842</v>
      </c>
      <c r="EA136" s="143">
        <v>234</v>
      </c>
      <c r="EB136" s="78">
        <v>1</v>
      </c>
      <c r="EC136" s="78">
        <v>8</v>
      </c>
      <c r="ED136" s="78">
        <v>1</v>
      </c>
      <c r="EE136" s="78">
        <v>4</v>
      </c>
      <c r="EF136" s="78">
        <v>0</v>
      </c>
      <c r="EG136" s="78">
        <v>1</v>
      </c>
      <c r="EH136" s="78">
        <v>0</v>
      </c>
      <c r="EI136" s="78">
        <v>1</v>
      </c>
      <c r="EJ136" s="78">
        <v>1</v>
      </c>
      <c r="EK136" s="78">
        <v>1</v>
      </c>
      <c r="EL136" s="78">
        <v>0</v>
      </c>
      <c r="EM136" s="78">
        <v>1</v>
      </c>
      <c r="EN136" s="78">
        <v>0</v>
      </c>
      <c r="EO136" s="78">
        <v>1</v>
      </c>
      <c r="EP136" s="78">
        <v>1</v>
      </c>
      <c r="EQ136" s="137">
        <v>0.77777779999999996</v>
      </c>
      <c r="ES136" s="143" t="s">
        <v>747</v>
      </c>
      <c r="ET136" s="143" t="s">
        <v>748</v>
      </c>
      <c r="EU136" s="143" t="s">
        <v>842</v>
      </c>
      <c r="EV136" s="143">
        <v>234</v>
      </c>
      <c r="EW136" s="78">
        <v>0.5</v>
      </c>
      <c r="EX136" s="78">
        <v>1</v>
      </c>
      <c r="EY136" s="78">
        <v>3</v>
      </c>
      <c r="EZ136" s="78">
        <v>2</v>
      </c>
      <c r="FA136" s="78">
        <v>0</v>
      </c>
      <c r="FB136" s="78">
        <v>3</v>
      </c>
      <c r="FC136" s="78">
        <v>2</v>
      </c>
      <c r="FD136" s="78">
        <v>1</v>
      </c>
      <c r="FE136" s="137">
        <v>0.96153840000000002</v>
      </c>
      <c r="FG136" s="137">
        <v>0.58804659999999997</v>
      </c>
    </row>
    <row r="137" spans="1:163" x14ac:dyDescent="0.35">
      <c r="A137" s="143" t="s">
        <v>747</v>
      </c>
      <c r="B137" s="143" t="s">
        <v>748</v>
      </c>
      <c r="C137" s="143" t="s">
        <v>841</v>
      </c>
      <c r="D137" s="143">
        <v>236</v>
      </c>
      <c r="E137" s="78">
        <v>0</v>
      </c>
      <c r="F137" s="78">
        <v>2.5</v>
      </c>
      <c r="G137" s="78">
        <v>1</v>
      </c>
      <c r="H137" s="78">
        <v>4</v>
      </c>
      <c r="I137" s="78">
        <v>1</v>
      </c>
      <c r="J137" s="78">
        <v>0</v>
      </c>
      <c r="K137" s="78">
        <v>1</v>
      </c>
      <c r="L137" s="78">
        <v>1</v>
      </c>
      <c r="M137" s="78">
        <v>2</v>
      </c>
      <c r="N137" s="137">
        <v>0.89285709999999996</v>
      </c>
      <c r="P137" s="143" t="s">
        <v>747</v>
      </c>
      <c r="Q137" s="143" t="s">
        <v>748</v>
      </c>
      <c r="R137" s="143" t="s">
        <v>841</v>
      </c>
      <c r="S137" s="143">
        <v>236</v>
      </c>
      <c r="T137" s="78">
        <v>1</v>
      </c>
      <c r="U137" s="78">
        <v>1</v>
      </c>
      <c r="V137" s="78">
        <v>1.5</v>
      </c>
      <c r="W137" s="78">
        <v>2</v>
      </c>
      <c r="X137" s="78">
        <v>0</v>
      </c>
      <c r="Y137" s="78">
        <v>1</v>
      </c>
      <c r="Z137" s="78">
        <v>3</v>
      </c>
      <c r="AA137" s="78">
        <v>0</v>
      </c>
      <c r="AB137" s="78">
        <v>6</v>
      </c>
      <c r="AC137" s="78">
        <v>3</v>
      </c>
      <c r="AD137" s="137">
        <v>0.54411759999999998</v>
      </c>
      <c r="AF137" s="143" t="s">
        <v>747</v>
      </c>
      <c r="AG137" s="143" t="s">
        <v>748</v>
      </c>
      <c r="AH137" s="143" t="s">
        <v>841</v>
      </c>
      <c r="AI137" s="143">
        <v>236</v>
      </c>
      <c r="AJ137" s="78">
        <v>1</v>
      </c>
      <c r="AK137" s="78">
        <v>1</v>
      </c>
      <c r="AL137" s="78">
        <v>0</v>
      </c>
      <c r="AM137" s="78">
        <v>6</v>
      </c>
      <c r="AN137" s="78">
        <v>1</v>
      </c>
      <c r="AO137" s="78">
        <v>2</v>
      </c>
      <c r="AP137" s="78">
        <v>2</v>
      </c>
      <c r="AQ137" s="78">
        <v>1</v>
      </c>
      <c r="AR137" s="78">
        <v>0</v>
      </c>
      <c r="AS137" s="78">
        <v>2</v>
      </c>
      <c r="AT137" s="78">
        <v>0</v>
      </c>
      <c r="AU137" s="78">
        <v>1</v>
      </c>
      <c r="AV137" s="78">
        <v>2</v>
      </c>
      <c r="AW137" s="78">
        <v>1</v>
      </c>
      <c r="AX137" s="78">
        <v>4</v>
      </c>
      <c r="AY137" s="78">
        <v>1</v>
      </c>
      <c r="AZ137" s="78">
        <v>2</v>
      </c>
      <c r="BA137" s="78">
        <v>0.5</v>
      </c>
      <c r="BB137" s="78">
        <v>0.5</v>
      </c>
      <c r="BC137" s="78">
        <v>0.5</v>
      </c>
      <c r="BD137" s="78">
        <v>1</v>
      </c>
      <c r="BE137" s="78">
        <v>0.5</v>
      </c>
      <c r="BF137" s="78">
        <v>1</v>
      </c>
      <c r="BG137" s="78">
        <v>8</v>
      </c>
      <c r="BH137" s="137">
        <v>0.88636360000000003</v>
      </c>
      <c r="BJ137" s="143" t="s">
        <v>747</v>
      </c>
      <c r="BK137" s="143" t="s">
        <v>748</v>
      </c>
      <c r="BL137" s="143" t="s">
        <v>841</v>
      </c>
      <c r="BM137" s="143">
        <v>236</v>
      </c>
      <c r="BN137" s="78">
        <v>1</v>
      </c>
      <c r="BO137" s="78">
        <v>4</v>
      </c>
      <c r="BP137" s="78">
        <v>0</v>
      </c>
      <c r="BQ137" s="78">
        <v>0</v>
      </c>
      <c r="BR137" s="78">
        <v>3</v>
      </c>
      <c r="BS137" s="78">
        <v>3</v>
      </c>
      <c r="BT137" s="78">
        <v>0</v>
      </c>
      <c r="BU137" s="137">
        <v>0.47826089999999999</v>
      </c>
      <c r="BW137" s="143" t="s">
        <v>747</v>
      </c>
      <c r="BX137" s="143" t="s">
        <v>748</v>
      </c>
      <c r="BY137" s="143" t="s">
        <v>841</v>
      </c>
      <c r="BZ137" s="143">
        <v>236</v>
      </c>
      <c r="CA137" s="78">
        <v>1</v>
      </c>
      <c r="CB137" s="78">
        <v>0</v>
      </c>
      <c r="CC137" s="78">
        <v>1</v>
      </c>
      <c r="CD137" s="78">
        <v>2</v>
      </c>
      <c r="CE137" s="78">
        <v>1</v>
      </c>
      <c r="CF137" s="78">
        <v>2</v>
      </c>
      <c r="CG137" s="78">
        <v>1</v>
      </c>
      <c r="CH137" s="78">
        <v>2</v>
      </c>
      <c r="CI137" s="78">
        <v>0</v>
      </c>
      <c r="CJ137" s="78">
        <v>0</v>
      </c>
      <c r="CK137" s="137">
        <v>0.66666669999999995</v>
      </c>
      <c r="CM137" s="143" t="s">
        <v>747</v>
      </c>
      <c r="CN137" s="143" t="s">
        <v>748</v>
      </c>
      <c r="CO137" s="143" t="s">
        <v>841</v>
      </c>
      <c r="CP137" s="143">
        <v>236</v>
      </c>
      <c r="CQ137" s="78">
        <v>8</v>
      </c>
      <c r="CR137" s="78">
        <v>6</v>
      </c>
      <c r="CS137" s="78">
        <v>12</v>
      </c>
      <c r="CT137" s="78">
        <v>4</v>
      </c>
      <c r="CU137" s="78">
        <v>2</v>
      </c>
      <c r="CV137" s="78">
        <v>8</v>
      </c>
      <c r="CW137" s="137">
        <v>0.76923079999999999</v>
      </c>
      <c r="CY137" s="143" t="s">
        <v>747</v>
      </c>
      <c r="CZ137" s="143" t="s">
        <v>748</v>
      </c>
      <c r="DA137" s="143" t="s">
        <v>841</v>
      </c>
      <c r="DB137" s="143">
        <v>236</v>
      </c>
      <c r="DC137" s="78">
        <v>52</v>
      </c>
      <c r="DD137" s="137">
        <v>0</v>
      </c>
      <c r="DE137" s="137">
        <v>0</v>
      </c>
      <c r="DG137" s="143" t="s">
        <v>747</v>
      </c>
      <c r="DH137" s="143" t="s">
        <v>748</v>
      </c>
      <c r="DI137" s="143" t="s">
        <v>841</v>
      </c>
      <c r="DJ137" s="143">
        <v>236</v>
      </c>
      <c r="DK137" s="78">
        <v>2</v>
      </c>
      <c r="DL137" s="78">
        <v>0</v>
      </c>
      <c r="DM137" s="78">
        <v>1</v>
      </c>
      <c r="DN137" s="78">
        <v>5</v>
      </c>
      <c r="DO137" s="78">
        <v>2</v>
      </c>
      <c r="DP137" s="78">
        <v>3</v>
      </c>
      <c r="DQ137" s="78">
        <v>8</v>
      </c>
      <c r="DR137" s="78">
        <v>0</v>
      </c>
      <c r="DS137" s="78">
        <v>1</v>
      </c>
      <c r="DT137" s="78">
        <v>0</v>
      </c>
      <c r="DU137" s="78">
        <v>0</v>
      </c>
      <c r="DV137" s="137">
        <v>0.75862070000000004</v>
      </c>
      <c r="DX137" s="143" t="s">
        <v>747</v>
      </c>
      <c r="DY137" s="143" t="s">
        <v>748</v>
      </c>
      <c r="DZ137" s="143" t="s">
        <v>841</v>
      </c>
      <c r="EA137" s="143">
        <v>236</v>
      </c>
      <c r="EB137" s="78">
        <v>0</v>
      </c>
      <c r="EC137" s="78">
        <v>8</v>
      </c>
      <c r="ED137" s="78">
        <v>1</v>
      </c>
      <c r="EE137" s="78">
        <v>4</v>
      </c>
      <c r="EF137" s="78">
        <v>3</v>
      </c>
      <c r="EG137" s="78">
        <v>1</v>
      </c>
      <c r="EH137" s="78">
        <v>0</v>
      </c>
      <c r="EI137" s="78">
        <v>1</v>
      </c>
      <c r="EJ137" s="78">
        <v>1</v>
      </c>
      <c r="EK137" s="78">
        <v>1</v>
      </c>
      <c r="EL137" s="78">
        <v>0</v>
      </c>
      <c r="EM137" s="78">
        <v>1</v>
      </c>
      <c r="EN137" s="78">
        <v>0</v>
      </c>
      <c r="EO137" s="78">
        <v>0</v>
      </c>
      <c r="EP137" s="78">
        <v>1</v>
      </c>
      <c r="EQ137" s="137">
        <v>0.81481479999999995</v>
      </c>
      <c r="ES137" s="143" t="s">
        <v>747</v>
      </c>
      <c r="ET137" s="143" t="s">
        <v>748</v>
      </c>
      <c r="EU137" s="143" t="s">
        <v>841</v>
      </c>
      <c r="EV137" s="143">
        <v>236</v>
      </c>
      <c r="EW137" s="78">
        <v>0</v>
      </c>
      <c r="EX137" s="78">
        <v>0</v>
      </c>
      <c r="EY137" s="78">
        <v>3</v>
      </c>
      <c r="EZ137" s="78">
        <v>0</v>
      </c>
      <c r="FA137" s="78">
        <v>0.5</v>
      </c>
      <c r="FB137" s="78">
        <v>3</v>
      </c>
      <c r="FC137" s="78">
        <v>2</v>
      </c>
      <c r="FD137" s="78">
        <v>1</v>
      </c>
      <c r="FE137" s="137">
        <v>0.73076920000000001</v>
      </c>
      <c r="FG137" s="137">
        <v>0.53790090000000002</v>
      </c>
    </row>
    <row r="138" spans="1:163" x14ac:dyDescent="0.35">
      <c r="A138" s="143" t="s">
        <v>747</v>
      </c>
      <c r="B138" s="143" t="s">
        <v>748</v>
      </c>
      <c r="C138" s="143" t="s">
        <v>843</v>
      </c>
      <c r="D138" s="143">
        <v>238</v>
      </c>
      <c r="E138" s="78">
        <v>0.5</v>
      </c>
      <c r="F138" s="78">
        <v>2.5</v>
      </c>
      <c r="G138" s="78">
        <v>1</v>
      </c>
      <c r="H138" s="78">
        <v>4</v>
      </c>
      <c r="I138" s="78">
        <v>1</v>
      </c>
      <c r="J138" s="78">
        <v>1</v>
      </c>
      <c r="K138" s="78">
        <v>1</v>
      </c>
      <c r="L138" s="78">
        <v>1</v>
      </c>
      <c r="M138" s="78">
        <v>2</v>
      </c>
      <c r="N138" s="137">
        <v>1</v>
      </c>
      <c r="P138" s="143" t="s">
        <v>747</v>
      </c>
      <c r="Q138" s="143" t="s">
        <v>748</v>
      </c>
      <c r="R138" s="143" t="s">
        <v>843</v>
      </c>
      <c r="S138" s="143">
        <v>238</v>
      </c>
      <c r="T138" s="78">
        <v>1</v>
      </c>
      <c r="U138" s="78">
        <v>1</v>
      </c>
      <c r="V138" s="78">
        <v>2</v>
      </c>
      <c r="W138" s="78">
        <v>2</v>
      </c>
      <c r="X138" s="78">
        <v>0</v>
      </c>
      <c r="Y138" s="78">
        <v>1</v>
      </c>
      <c r="Z138" s="78">
        <v>3</v>
      </c>
      <c r="AA138" s="78">
        <v>2</v>
      </c>
      <c r="AB138" s="78">
        <v>6</v>
      </c>
      <c r="AC138" s="78">
        <v>3</v>
      </c>
      <c r="AD138" s="137">
        <v>0.6176471</v>
      </c>
      <c r="AF138" s="143" t="s">
        <v>747</v>
      </c>
      <c r="AG138" s="143" t="s">
        <v>748</v>
      </c>
      <c r="AH138" s="143" t="s">
        <v>843</v>
      </c>
      <c r="AI138" s="143">
        <v>238</v>
      </c>
      <c r="AJ138" s="78">
        <v>1</v>
      </c>
      <c r="AK138" s="78">
        <v>0</v>
      </c>
      <c r="AL138" s="78">
        <v>0</v>
      </c>
      <c r="AM138" s="78">
        <v>5</v>
      </c>
      <c r="AN138" s="78">
        <v>1</v>
      </c>
      <c r="AO138" s="78">
        <v>2</v>
      </c>
      <c r="AP138" s="78">
        <v>2</v>
      </c>
      <c r="AQ138" s="78">
        <v>1</v>
      </c>
      <c r="AR138" s="78">
        <v>0</v>
      </c>
      <c r="AS138" s="78">
        <v>2</v>
      </c>
      <c r="AT138" s="78">
        <v>2</v>
      </c>
      <c r="AU138" s="78">
        <v>0</v>
      </c>
      <c r="AV138" s="78">
        <v>2</v>
      </c>
      <c r="AW138" s="78">
        <v>1</v>
      </c>
      <c r="AX138" s="78">
        <v>0</v>
      </c>
      <c r="AY138" s="78">
        <v>1</v>
      </c>
      <c r="AZ138" s="78">
        <v>2</v>
      </c>
      <c r="BA138" s="78">
        <v>0.5</v>
      </c>
      <c r="BB138" s="78">
        <v>0.5</v>
      </c>
      <c r="BC138" s="78">
        <v>0.5</v>
      </c>
      <c r="BD138" s="78">
        <v>1</v>
      </c>
      <c r="BE138" s="78">
        <v>0</v>
      </c>
      <c r="BF138" s="78">
        <v>0</v>
      </c>
      <c r="BG138" s="78">
        <v>6</v>
      </c>
      <c r="BH138" s="137">
        <v>0.69318179999999996</v>
      </c>
      <c r="BJ138" s="143" t="s">
        <v>747</v>
      </c>
      <c r="BK138" s="143" t="s">
        <v>748</v>
      </c>
      <c r="BL138" s="143" t="s">
        <v>843</v>
      </c>
      <c r="BM138" s="143">
        <v>238</v>
      </c>
      <c r="BN138" s="78">
        <v>1</v>
      </c>
      <c r="BO138" s="78">
        <v>4</v>
      </c>
      <c r="BP138" s="78">
        <v>7</v>
      </c>
      <c r="BQ138" s="78">
        <v>0</v>
      </c>
      <c r="BR138" s="78">
        <v>0</v>
      </c>
      <c r="BS138" s="78">
        <v>3</v>
      </c>
      <c r="BT138" s="78">
        <v>0</v>
      </c>
      <c r="BU138" s="137">
        <v>0.65217389999999997</v>
      </c>
      <c r="BW138" s="143" t="s">
        <v>747</v>
      </c>
      <c r="BX138" s="143" t="s">
        <v>748</v>
      </c>
      <c r="BY138" s="143" t="s">
        <v>843</v>
      </c>
      <c r="BZ138" s="143">
        <v>238</v>
      </c>
      <c r="CA138" s="78">
        <v>1</v>
      </c>
      <c r="CB138" s="78">
        <v>1</v>
      </c>
      <c r="CC138" s="78">
        <v>1</v>
      </c>
      <c r="CD138" s="78">
        <v>2</v>
      </c>
      <c r="CE138" s="78">
        <v>1</v>
      </c>
      <c r="CF138" s="78">
        <v>2</v>
      </c>
      <c r="CG138" s="78">
        <v>1</v>
      </c>
      <c r="CH138" s="78">
        <v>2</v>
      </c>
      <c r="CI138" s="78">
        <v>1</v>
      </c>
      <c r="CJ138" s="78">
        <v>3</v>
      </c>
      <c r="CK138" s="137">
        <v>1</v>
      </c>
      <c r="CM138" s="143" t="s">
        <v>747</v>
      </c>
      <c r="CN138" s="143" t="s">
        <v>748</v>
      </c>
      <c r="CO138" s="143" t="s">
        <v>843</v>
      </c>
      <c r="CP138" s="143">
        <v>238</v>
      </c>
      <c r="CQ138" s="78">
        <v>8</v>
      </c>
      <c r="CR138" s="78">
        <v>6</v>
      </c>
      <c r="CS138" s="78">
        <v>20</v>
      </c>
      <c r="CT138" s="78">
        <v>4</v>
      </c>
      <c r="CU138" s="78">
        <v>2</v>
      </c>
      <c r="CV138" s="78">
        <v>8</v>
      </c>
      <c r="CW138" s="137">
        <v>0.92307689999999998</v>
      </c>
      <c r="CY138" s="143" t="s">
        <v>747</v>
      </c>
      <c r="CZ138" s="143" t="s">
        <v>748</v>
      </c>
      <c r="DA138" s="143" t="s">
        <v>843</v>
      </c>
      <c r="DB138" s="143">
        <v>238</v>
      </c>
      <c r="DC138" s="78">
        <v>52</v>
      </c>
      <c r="DD138" s="137">
        <v>0.4</v>
      </c>
      <c r="DE138" s="137">
        <v>0.22608700000000001</v>
      </c>
      <c r="DG138" s="143" t="s">
        <v>747</v>
      </c>
      <c r="DH138" s="143" t="s">
        <v>748</v>
      </c>
      <c r="DI138" s="143" t="s">
        <v>843</v>
      </c>
      <c r="DJ138" s="143">
        <v>238</v>
      </c>
      <c r="DK138" s="78">
        <v>0</v>
      </c>
      <c r="DL138" s="78">
        <v>1</v>
      </c>
      <c r="DM138" s="78">
        <v>1</v>
      </c>
      <c r="DN138" s="78">
        <v>3</v>
      </c>
      <c r="DO138" s="78">
        <v>2</v>
      </c>
      <c r="DP138" s="78">
        <v>3</v>
      </c>
      <c r="DQ138" s="78">
        <v>7</v>
      </c>
      <c r="DR138" s="78">
        <v>1</v>
      </c>
      <c r="DS138" s="78">
        <v>1</v>
      </c>
      <c r="DT138" s="78">
        <v>0</v>
      </c>
      <c r="DU138" s="78">
        <v>0</v>
      </c>
      <c r="DV138" s="137">
        <v>0.65517239999999999</v>
      </c>
      <c r="DX138" s="143" t="s">
        <v>747</v>
      </c>
      <c r="DY138" s="143" t="s">
        <v>748</v>
      </c>
      <c r="DZ138" s="143" t="s">
        <v>843</v>
      </c>
      <c r="EA138" s="143">
        <v>238</v>
      </c>
      <c r="EB138" s="78">
        <v>1</v>
      </c>
      <c r="EC138" s="78">
        <v>8</v>
      </c>
      <c r="ED138" s="78">
        <v>1</v>
      </c>
      <c r="EE138" s="78">
        <v>4</v>
      </c>
      <c r="EF138" s="78">
        <v>3</v>
      </c>
      <c r="EG138" s="78">
        <v>1</v>
      </c>
      <c r="EH138" s="78">
        <v>1</v>
      </c>
      <c r="EI138" s="78">
        <v>1</v>
      </c>
      <c r="EJ138" s="78">
        <v>1</v>
      </c>
      <c r="EK138" s="78">
        <v>0</v>
      </c>
      <c r="EL138" s="78">
        <v>1</v>
      </c>
      <c r="EM138" s="78">
        <v>1</v>
      </c>
      <c r="EN138" s="78">
        <v>0</v>
      </c>
      <c r="EO138" s="78">
        <v>0</v>
      </c>
      <c r="EP138" s="78">
        <v>1</v>
      </c>
      <c r="EQ138" s="137">
        <v>0.88888889999999998</v>
      </c>
      <c r="ES138" s="143" t="s">
        <v>747</v>
      </c>
      <c r="ET138" s="143" t="s">
        <v>748</v>
      </c>
      <c r="EU138" s="143" t="s">
        <v>843</v>
      </c>
      <c r="EV138" s="143">
        <v>238</v>
      </c>
      <c r="EW138" s="78">
        <v>0</v>
      </c>
      <c r="EX138" s="78">
        <v>0</v>
      </c>
      <c r="EY138" s="78">
        <v>0</v>
      </c>
      <c r="EZ138" s="78">
        <v>0</v>
      </c>
      <c r="FA138" s="78">
        <v>0</v>
      </c>
      <c r="FB138" s="78">
        <v>0</v>
      </c>
      <c r="FC138" s="78">
        <v>2</v>
      </c>
      <c r="FD138" s="78">
        <v>1</v>
      </c>
      <c r="FE138" s="137">
        <v>0.23076920000000001</v>
      </c>
      <c r="FG138" s="137">
        <v>0.61311950000000004</v>
      </c>
    </row>
    <row r="139" spans="1:163" x14ac:dyDescent="0.35">
      <c r="A139" s="143" t="s">
        <v>747</v>
      </c>
      <c r="B139" s="143" t="s">
        <v>748</v>
      </c>
      <c r="C139" s="143" t="s">
        <v>842</v>
      </c>
      <c r="D139" s="143">
        <v>240</v>
      </c>
      <c r="E139" s="78">
        <v>0.5</v>
      </c>
      <c r="F139" s="78">
        <v>2.5</v>
      </c>
      <c r="G139" s="78">
        <v>1</v>
      </c>
      <c r="H139" s="78">
        <v>4</v>
      </c>
      <c r="I139" s="78">
        <v>1</v>
      </c>
      <c r="J139" s="78">
        <v>1</v>
      </c>
      <c r="K139" s="78">
        <v>1</v>
      </c>
      <c r="L139" s="78">
        <v>1</v>
      </c>
      <c r="M139" s="78">
        <v>2</v>
      </c>
      <c r="N139" s="137">
        <v>1</v>
      </c>
      <c r="P139" s="143" t="s">
        <v>747</v>
      </c>
      <c r="Q139" s="143" t="s">
        <v>748</v>
      </c>
      <c r="R139" s="143" t="s">
        <v>842</v>
      </c>
      <c r="S139" s="143">
        <v>240</v>
      </c>
      <c r="T139" s="78">
        <v>1</v>
      </c>
      <c r="U139" s="78">
        <v>1</v>
      </c>
      <c r="V139" s="78">
        <v>1.5</v>
      </c>
      <c r="W139" s="78">
        <v>1</v>
      </c>
      <c r="X139" s="78">
        <v>0</v>
      </c>
      <c r="Y139" s="78">
        <v>1</v>
      </c>
      <c r="Z139" s="78">
        <v>3</v>
      </c>
      <c r="AA139" s="78">
        <v>2</v>
      </c>
      <c r="AB139" s="78">
        <v>6</v>
      </c>
      <c r="AC139" s="78">
        <v>3</v>
      </c>
      <c r="AD139" s="137">
        <v>0.57352939999999997</v>
      </c>
      <c r="AF139" s="143" t="s">
        <v>747</v>
      </c>
      <c r="AG139" s="143" t="s">
        <v>748</v>
      </c>
      <c r="AH139" s="143" t="s">
        <v>842</v>
      </c>
      <c r="AI139" s="143">
        <v>240</v>
      </c>
      <c r="AJ139" s="78">
        <v>1</v>
      </c>
      <c r="AK139" s="78">
        <v>1</v>
      </c>
      <c r="AL139" s="78">
        <v>1</v>
      </c>
      <c r="AM139" s="78">
        <v>5</v>
      </c>
      <c r="AN139" s="78">
        <v>1</v>
      </c>
      <c r="AO139" s="78">
        <v>0</v>
      </c>
      <c r="AP139" s="78">
        <v>2</v>
      </c>
      <c r="AQ139" s="78">
        <v>1</v>
      </c>
      <c r="AR139" s="78">
        <v>0</v>
      </c>
      <c r="AS139" s="78">
        <v>2</v>
      </c>
      <c r="AT139" s="78">
        <v>0</v>
      </c>
      <c r="AU139" s="78">
        <v>0</v>
      </c>
      <c r="AV139" s="78">
        <v>2</v>
      </c>
      <c r="AW139" s="78">
        <v>1</v>
      </c>
      <c r="AX139" s="78">
        <v>4</v>
      </c>
      <c r="AY139" s="78">
        <v>1</v>
      </c>
      <c r="AZ139" s="78">
        <v>2</v>
      </c>
      <c r="BA139" s="78">
        <v>0.5</v>
      </c>
      <c r="BB139" s="78">
        <v>0.5</v>
      </c>
      <c r="BC139" s="78">
        <v>0.5</v>
      </c>
      <c r="BD139" s="78">
        <v>1</v>
      </c>
      <c r="BE139" s="78">
        <v>0.5</v>
      </c>
      <c r="BF139" s="78">
        <v>1</v>
      </c>
      <c r="BG139" s="78">
        <v>8</v>
      </c>
      <c r="BH139" s="137">
        <v>0.81818179999999996</v>
      </c>
      <c r="BJ139" s="143" t="s">
        <v>747</v>
      </c>
      <c r="BK139" s="143" t="s">
        <v>748</v>
      </c>
      <c r="BL139" s="143" t="s">
        <v>842</v>
      </c>
      <c r="BM139" s="143">
        <v>240</v>
      </c>
      <c r="BN139" s="78">
        <v>0</v>
      </c>
      <c r="BO139" s="78">
        <v>4</v>
      </c>
      <c r="BP139" s="78">
        <v>7</v>
      </c>
      <c r="BQ139" s="78">
        <v>3</v>
      </c>
      <c r="BR139" s="78">
        <v>0</v>
      </c>
      <c r="BS139" s="78">
        <v>3</v>
      </c>
      <c r="BT139" s="78">
        <v>0</v>
      </c>
      <c r="BU139" s="137">
        <v>0.73913039999999997</v>
      </c>
      <c r="BW139" s="143" t="s">
        <v>747</v>
      </c>
      <c r="BX139" s="143" t="s">
        <v>748</v>
      </c>
      <c r="BY139" s="143" t="s">
        <v>842</v>
      </c>
      <c r="BZ139" s="143">
        <v>240</v>
      </c>
      <c r="CA139" s="78">
        <v>1</v>
      </c>
      <c r="CB139" s="78">
        <v>1</v>
      </c>
      <c r="CC139" s="78">
        <v>1</v>
      </c>
      <c r="CD139" s="78">
        <v>2</v>
      </c>
      <c r="CE139" s="78">
        <v>1</v>
      </c>
      <c r="CF139" s="78">
        <v>2</v>
      </c>
      <c r="CG139" s="78">
        <v>1</v>
      </c>
      <c r="CH139" s="78">
        <v>2</v>
      </c>
      <c r="CI139" s="78">
        <v>1</v>
      </c>
      <c r="CJ139" s="78">
        <v>3</v>
      </c>
      <c r="CK139" s="137">
        <v>1</v>
      </c>
      <c r="CM139" s="143" t="s">
        <v>747</v>
      </c>
      <c r="CN139" s="143" t="s">
        <v>748</v>
      </c>
      <c r="CO139" s="143" t="s">
        <v>842</v>
      </c>
      <c r="CP139" s="143">
        <v>240</v>
      </c>
      <c r="CQ139" s="78">
        <v>6</v>
      </c>
      <c r="CR139" s="78">
        <v>6</v>
      </c>
      <c r="CS139" s="78">
        <v>24</v>
      </c>
      <c r="CT139" s="78">
        <v>4</v>
      </c>
      <c r="CU139" s="78">
        <v>2</v>
      </c>
      <c r="CV139" s="78">
        <v>8</v>
      </c>
      <c r="CW139" s="137">
        <v>0.96153840000000002</v>
      </c>
      <c r="CY139" s="143" t="s">
        <v>747</v>
      </c>
      <c r="CZ139" s="143" t="s">
        <v>748</v>
      </c>
      <c r="DA139" s="143" t="s">
        <v>842</v>
      </c>
      <c r="DB139" s="143">
        <v>240</v>
      </c>
      <c r="DC139" s="78">
        <v>60</v>
      </c>
      <c r="DD139" s="137">
        <v>0.8</v>
      </c>
      <c r="DE139" s="137">
        <v>0.52173910000000001</v>
      </c>
      <c r="DG139" s="143" t="s">
        <v>747</v>
      </c>
      <c r="DH139" s="143" t="s">
        <v>748</v>
      </c>
      <c r="DI139" s="143" t="s">
        <v>842</v>
      </c>
      <c r="DJ139" s="143">
        <v>240</v>
      </c>
      <c r="DK139" s="78">
        <v>2</v>
      </c>
      <c r="DL139" s="78">
        <v>1</v>
      </c>
      <c r="DM139" s="78">
        <v>1</v>
      </c>
      <c r="DN139" s="78">
        <v>5</v>
      </c>
      <c r="DO139" s="78">
        <v>2</v>
      </c>
      <c r="DP139" s="78">
        <v>3</v>
      </c>
      <c r="DQ139" s="78">
        <v>8</v>
      </c>
      <c r="DR139" s="78">
        <v>1</v>
      </c>
      <c r="DS139" s="78">
        <v>1</v>
      </c>
      <c r="DT139" s="78">
        <v>0</v>
      </c>
      <c r="DU139" s="78">
        <v>0</v>
      </c>
      <c r="DV139" s="137">
        <v>0.82758620000000005</v>
      </c>
      <c r="DX139" s="143" t="s">
        <v>747</v>
      </c>
      <c r="DY139" s="143" t="s">
        <v>748</v>
      </c>
      <c r="DZ139" s="143" t="s">
        <v>842</v>
      </c>
      <c r="EA139" s="143">
        <v>240</v>
      </c>
      <c r="EB139" s="78">
        <v>1</v>
      </c>
      <c r="EC139" s="78">
        <v>8</v>
      </c>
      <c r="ED139" s="78">
        <v>1</v>
      </c>
      <c r="EE139" s="78">
        <v>4</v>
      </c>
      <c r="EF139" s="78">
        <v>3</v>
      </c>
      <c r="EG139" s="78">
        <v>1</v>
      </c>
      <c r="EH139" s="78">
        <v>1</v>
      </c>
      <c r="EI139" s="78">
        <v>1</v>
      </c>
      <c r="EJ139" s="78">
        <v>1</v>
      </c>
      <c r="EK139" s="78">
        <v>1</v>
      </c>
      <c r="EL139" s="78">
        <v>0</v>
      </c>
      <c r="EM139" s="78">
        <v>1</v>
      </c>
      <c r="EN139" s="78">
        <v>0</v>
      </c>
      <c r="EO139" s="78">
        <v>1</v>
      </c>
      <c r="EP139" s="78">
        <v>1</v>
      </c>
      <c r="EQ139" s="137">
        <v>0.92592589999999997</v>
      </c>
      <c r="ES139" s="143" t="s">
        <v>747</v>
      </c>
      <c r="ET139" s="143" t="s">
        <v>748</v>
      </c>
      <c r="EU139" s="143" t="s">
        <v>842</v>
      </c>
      <c r="EV139" s="143">
        <v>240</v>
      </c>
      <c r="EW139" s="78">
        <v>0.5</v>
      </c>
      <c r="EX139" s="78">
        <v>0</v>
      </c>
      <c r="EY139" s="78">
        <v>3</v>
      </c>
      <c r="EZ139" s="78">
        <v>2</v>
      </c>
      <c r="FA139" s="78">
        <v>0.5</v>
      </c>
      <c r="FB139" s="78">
        <v>3</v>
      </c>
      <c r="FC139" s="78">
        <v>2</v>
      </c>
      <c r="FD139" s="78">
        <v>1</v>
      </c>
      <c r="FE139" s="137">
        <v>0.92307689999999998</v>
      </c>
      <c r="FG139" s="137">
        <v>0.75947520000000002</v>
      </c>
    </row>
    <row r="140" spans="1:163" x14ac:dyDescent="0.35">
      <c r="A140" s="143" t="s">
        <v>747</v>
      </c>
      <c r="B140" s="143" t="s">
        <v>748</v>
      </c>
      <c r="C140" s="143" t="s">
        <v>842</v>
      </c>
      <c r="D140" s="143">
        <v>2071</v>
      </c>
      <c r="E140" s="78">
        <v>0.5</v>
      </c>
      <c r="F140" s="78">
        <v>2.5</v>
      </c>
      <c r="G140" s="78">
        <v>1</v>
      </c>
      <c r="H140" s="78">
        <v>4</v>
      </c>
      <c r="I140" s="78">
        <v>1</v>
      </c>
      <c r="J140" s="78">
        <v>0</v>
      </c>
      <c r="K140" s="78">
        <v>1</v>
      </c>
      <c r="L140" s="78">
        <v>1</v>
      </c>
      <c r="M140" s="78">
        <v>2</v>
      </c>
      <c r="N140" s="137">
        <v>0.92857140000000005</v>
      </c>
      <c r="P140" s="143" t="s">
        <v>747</v>
      </c>
      <c r="Q140" s="143" t="s">
        <v>748</v>
      </c>
      <c r="R140" s="143" t="s">
        <v>842</v>
      </c>
      <c r="S140" s="143">
        <v>2071</v>
      </c>
      <c r="T140" s="78">
        <v>1</v>
      </c>
      <c r="U140" s="78">
        <v>1</v>
      </c>
      <c r="V140" s="78">
        <v>0</v>
      </c>
      <c r="W140" s="78">
        <v>0</v>
      </c>
      <c r="X140" s="78">
        <v>0</v>
      </c>
      <c r="Y140" s="78">
        <v>1</v>
      </c>
      <c r="Z140" s="78">
        <v>3</v>
      </c>
      <c r="AA140" s="78">
        <v>2</v>
      </c>
      <c r="AB140" s="78">
        <v>6</v>
      </c>
      <c r="AC140" s="78">
        <v>0</v>
      </c>
      <c r="AD140" s="137">
        <v>0.41176469999999998</v>
      </c>
      <c r="AF140" s="143" t="s">
        <v>747</v>
      </c>
      <c r="AG140" s="143" t="s">
        <v>748</v>
      </c>
      <c r="AH140" s="143" t="s">
        <v>842</v>
      </c>
      <c r="AI140" s="143">
        <v>2071</v>
      </c>
      <c r="AJ140" s="78">
        <v>1</v>
      </c>
      <c r="AK140" s="78">
        <v>1</v>
      </c>
      <c r="AL140" s="78">
        <v>1</v>
      </c>
      <c r="AM140" s="78">
        <v>0</v>
      </c>
      <c r="AN140" s="78">
        <v>0</v>
      </c>
      <c r="AO140" s="78">
        <v>2</v>
      </c>
      <c r="AP140" s="78">
        <v>2</v>
      </c>
      <c r="AQ140" s="78">
        <v>1</v>
      </c>
      <c r="AR140" s="78">
        <v>0</v>
      </c>
      <c r="AS140" s="78">
        <v>2</v>
      </c>
      <c r="AT140" s="78">
        <v>2</v>
      </c>
      <c r="AU140" s="78">
        <v>1</v>
      </c>
      <c r="AV140" s="78">
        <v>2</v>
      </c>
      <c r="AW140" s="78">
        <v>1</v>
      </c>
      <c r="AX140" s="78">
        <v>4</v>
      </c>
      <c r="AY140" s="78">
        <v>1</v>
      </c>
      <c r="AZ140" s="78">
        <v>2</v>
      </c>
      <c r="BA140" s="78">
        <v>0.5</v>
      </c>
      <c r="BB140" s="78">
        <v>0.5</v>
      </c>
      <c r="BC140" s="78">
        <v>0.5</v>
      </c>
      <c r="BD140" s="78">
        <v>1</v>
      </c>
      <c r="BE140" s="78">
        <v>0</v>
      </c>
      <c r="BF140" s="78">
        <v>1</v>
      </c>
      <c r="BG140" s="78">
        <v>8</v>
      </c>
      <c r="BH140" s="137">
        <v>0.78409090000000004</v>
      </c>
      <c r="BJ140" s="143" t="s">
        <v>747</v>
      </c>
      <c r="BK140" s="143" t="s">
        <v>748</v>
      </c>
      <c r="BL140" s="143" t="s">
        <v>842</v>
      </c>
      <c r="BM140" s="143">
        <v>2071</v>
      </c>
      <c r="BN140" s="78">
        <v>0</v>
      </c>
      <c r="BO140" s="78">
        <v>4</v>
      </c>
      <c r="BP140" s="78">
        <v>7</v>
      </c>
      <c r="BQ140" s="78">
        <v>3</v>
      </c>
      <c r="BR140" s="78">
        <v>0</v>
      </c>
      <c r="BS140" s="78">
        <v>0</v>
      </c>
      <c r="BT140" s="78">
        <v>2</v>
      </c>
      <c r="BU140" s="137">
        <v>0.69565220000000005</v>
      </c>
      <c r="BW140" s="143" t="s">
        <v>747</v>
      </c>
      <c r="BX140" s="143" t="s">
        <v>748</v>
      </c>
      <c r="BY140" s="143" t="s">
        <v>842</v>
      </c>
      <c r="BZ140" s="143">
        <v>2071</v>
      </c>
      <c r="CM140" s="143" t="s">
        <v>747</v>
      </c>
      <c r="CN140" s="143" t="s">
        <v>748</v>
      </c>
      <c r="CO140" s="143" t="s">
        <v>842</v>
      </c>
      <c r="CP140" s="143">
        <v>2071</v>
      </c>
      <c r="CQ140" s="78">
        <v>6</v>
      </c>
      <c r="CR140" s="78">
        <v>6</v>
      </c>
      <c r="CS140" s="78">
        <v>16</v>
      </c>
      <c r="CT140" s="78">
        <v>4</v>
      </c>
      <c r="CU140" s="78">
        <v>0</v>
      </c>
      <c r="CV140" s="78">
        <v>8</v>
      </c>
      <c r="CW140" s="137">
        <v>0.76923079999999999</v>
      </c>
      <c r="CY140" s="143" t="s">
        <v>747</v>
      </c>
      <c r="CZ140" s="143" t="s">
        <v>748</v>
      </c>
      <c r="DA140" s="143" t="s">
        <v>842</v>
      </c>
      <c r="DB140" s="143">
        <v>2071</v>
      </c>
      <c r="DC140" s="78">
        <v>38</v>
      </c>
      <c r="DD140" s="137">
        <v>0</v>
      </c>
      <c r="DE140" s="137">
        <v>0</v>
      </c>
      <c r="DG140" s="143" t="s">
        <v>747</v>
      </c>
      <c r="DH140" s="143" t="s">
        <v>748</v>
      </c>
      <c r="DI140" s="143" t="s">
        <v>842</v>
      </c>
      <c r="DJ140" s="143">
        <v>2071</v>
      </c>
      <c r="DK140" s="78">
        <v>0</v>
      </c>
      <c r="DL140" s="78">
        <v>1</v>
      </c>
      <c r="DM140" s="78">
        <v>0</v>
      </c>
      <c r="DN140" s="78">
        <v>4</v>
      </c>
      <c r="DO140" s="78">
        <v>2</v>
      </c>
      <c r="DP140" s="78">
        <v>3</v>
      </c>
      <c r="DQ140" s="78">
        <v>8</v>
      </c>
      <c r="DR140" s="78">
        <v>1</v>
      </c>
      <c r="DS140" s="78">
        <v>0</v>
      </c>
      <c r="DT140" s="78">
        <v>0</v>
      </c>
      <c r="DU140" s="78">
        <v>0</v>
      </c>
      <c r="DV140" s="137">
        <v>0.65517239999999999</v>
      </c>
      <c r="DX140" s="143" t="s">
        <v>747</v>
      </c>
      <c r="DY140" s="143" t="s">
        <v>748</v>
      </c>
      <c r="DZ140" s="143" t="s">
        <v>842</v>
      </c>
      <c r="EA140" s="143">
        <v>2071</v>
      </c>
      <c r="EB140" s="78">
        <v>1</v>
      </c>
      <c r="EC140" s="78">
        <v>8</v>
      </c>
      <c r="ED140" s="78">
        <v>1</v>
      </c>
      <c r="EE140" s="78">
        <v>4</v>
      </c>
      <c r="EF140" s="78">
        <v>3</v>
      </c>
      <c r="EG140" s="78">
        <v>1</v>
      </c>
      <c r="EH140" s="78">
        <v>1</v>
      </c>
      <c r="EI140" s="78">
        <v>1</v>
      </c>
      <c r="EJ140" s="78">
        <v>1</v>
      </c>
      <c r="EK140" s="78">
        <v>1</v>
      </c>
      <c r="EL140" s="78">
        <v>0</v>
      </c>
      <c r="EM140" s="78">
        <v>1</v>
      </c>
      <c r="EN140" s="78">
        <v>0</v>
      </c>
      <c r="EO140" s="78">
        <v>0</v>
      </c>
      <c r="EP140" s="78">
        <v>0</v>
      </c>
      <c r="EQ140" s="137">
        <v>0.8518519</v>
      </c>
      <c r="ES140" s="143" t="s">
        <v>747</v>
      </c>
      <c r="ET140" s="143" t="s">
        <v>748</v>
      </c>
      <c r="EU140" s="143" t="s">
        <v>842</v>
      </c>
      <c r="EV140" s="143">
        <v>2071</v>
      </c>
      <c r="EW140" s="78">
        <v>0</v>
      </c>
      <c r="EX140" s="78">
        <v>1</v>
      </c>
      <c r="EY140" s="78">
        <v>3</v>
      </c>
      <c r="EZ140" s="78">
        <v>2</v>
      </c>
      <c r="FA140" s="78">
        <v>0.5</v>
      </c>
      <c r="FB140" s="78">
        <v>3</v>
      </c>
      <c r="FC140" s="78">
        <v>2</v>
      </c>
      <c r="FD140" s="78">
        <v>0</v>
      </c>
      <c r="FE140" s="137">
        <v>0.88461540000000005</v>
      </c>
      <c r="FG140" s="137">
        <v>0.52134139999999995</v>
      </c>
    </row>
    <row r="141" spans="1:163" x14ac:dyDescent="0.35">
      <c r="A141" s="143" t="s">
        <v>747</v>
      </c>
      <c r="B141" s="143" t="s">
        <v>748</v>
      </c>
      <c r="C141" s="143" t="s">
        <v>842</v>
      </c>
      <c r="D141" s="143">
        <v>2111</v>
      </c>
      <c r="E141" s="78">
        <v>0</v>
      </c>
      <c r="F141" s="78">
        <v>2.5</v>
      </c>
      <c r="G141" s="78">
        <v>1</v>
      </c>
      <c r="H141" s="78">
        <v>4</v>
      </c>
      <c r="I141" s="78">
        <v>1</v>
      </c>
      <c r="J141" s="78">
        <v>0</v>
      </c>
      <c r="K141" s="78">
        <v>1</v>
      </c>
      <c r="L141" s="78">
        <v>1</v>
      </c>
      <c r="M141" s="78">
        <v>2</v>
      </c>
      <c r="N141" s="137">
        <v>0.89285709999999996</v>
      </c>
      <c r="P141" s="143" t="s">
        <v>747</v>
      </c>
      <c r="Q141" s="143" t="s">
        <v>748</v>
      </c>
      <c r="R141" s="143" t="s">
        <v>842</v>
      </c>
      <c r="S141" s="143">
        <v>2111</v>
      </c>
      <c r="T141" s="78">
        <v>1</v>
      </c>
      <c r="U141" s="78">
        <v>1</v>
      </c>
      <c r="V141" s="78">
        <v>0</v>
      </c>
      <c r="W141" s="78">
        <v>0</v>
      </c>
      <c r="X141" s="78">
        <v>0</v>
      </c>
      <c r="Y141" s="78">
        <v>1</v>
      </c>
      <c r="Z141" s="78">
        <v>3</v>
      </c>
      <c r="AA141" s="78">
        <v>0</v>
      </c>
      <c r="AB141" s="78">
        <v>6</v>
      </c>
      <c r="AC141" s="78">
        <v>3</v>
      </c>
      <c r="AD141" s="137">
        <v>0.44117650000000003</v>
      </c>
      <c r="AF141" s="143" t="s">
        <v>747</v>
      </c>
      <c r="AG141" s="143" t="s">
        <v>748</v>
      </c>
      <c r="AH141" s="143" t="s">
        <v>842</v>
      </c>
      <c r="AI141" s="143">
        <v>2111</v>
      </c>
      <c r="AJ141" s="78">
        <v>1</v>
      </c>
      <c r="AK141" s="78">
        <v>0</v>
      </c>
      <c r="AL141" s="78">
        <v>0</v>
      </c>
      <c r="AM141" s="78">
        <v>1</v>
      </c>
      <c r="AN141" s="78">
        <v>1</v>
      </c>
      <c r="AO141" s="78">
        <v>2</v>
      </c>
      <c r="AP141" s="78">
        <v>2</v>
      </c>
      <c r="AQ141" s="78">
        <v>0</v>
      </c>
      <c r="AR141" s="78">
        <v>2</v>
      </c>
      <c r="AS141" s="78">
        <v>0</v>
      </c>
      <c r="AT141" s="78">
        <v>0</v>
      </c>
      <c r="AU141" s="78">
        <v>1</v>
      </c>
      <c r="AV141" s="78">
        <v>2</v>
      </c>
      <c r="AW141" s="78">
        <v>1</v>
      </c>
      <c r="AX141" s="78">
        <v>4</v>
      </c>
      <c r="AY141" s="78">
        <v>1</v>
      </c>
      <c r="AZ141" s="78">
        <v>0</v>
      </c>
      <c r="BA141" s="78">
        <v>0.5</v>
      </c>
      <c r="BB141" s="78">
        <v>0.5</v>
      </c>
      <c r="BC141" s="78">
        <v>0.5</v>
      </c>
      <c r="BD141" s="78">
        <v>1</v>
      </c>
      <c r="BE141" s="78">
        <v>0.5</v>
      </c>
      <c r="BF141" s="78">
        <v>1</v>
      </c>
      <c r="BG141" s="78">
        <v>6</v>
      </c>
      <c r="BH141" s="137">
        <v>0.63636360000000003</v>
      </c>
      <c r="BJ141" s="143" t="s">
        <v>747</v>
      </c>
      <c r="BK141" s="143" t="s">
        <v>748</v>
      </c>
      <c r="BL141" s="143" t="s">
        <v>842</v>
      </c>
      <c r="BM141" s="143">
        <v>2111</v>
      </c>
      <c r="BN141" s="78">
        <v>1</v>
      </c>
      <c r="BO141" s="78">
        <v>4</v>
      </c>
      <c r="BP141" s="78">
        <v>0</v>
      </c>
      <c r="BQ141" s="78">
        <v>0</v>
      </c>
      <c r="BR141" s="78">
        <v>3</v>
      </c>
      <c r="BS141" s="78">
        <v>3</v>
      </c>
      <c r="BT141" s="78">
        <v>0</v>
      </c>
      <c r="BU141" s="137">
        <v>0.47826089999999999</v>
      </c>
      <c r="BW141" s="143" t="s">
        <v>747</v>
      </c>
      <c r="BX141" s="143" t="s">
        <v>748</v>
      </c>
      <c r="BY141" s="143" t="s">
        <v>842</v>
      </c>
      <c r="BZ141" s="143">
        <v>2111</v>
      </c>
      <c r="CM141" s="143" t="s">
        <v>747</v>
      </c>
      <c r="CN141" s="143" t="s">
        <v>748</v>
      </c>
      <c r="CO141" s="143" t="s">
        <v>842</v>
      </c>
      <c r="CP141" s="143">
        <v>2111</v>
      </c>
      <c r="CQ141" s="78">
        <v>0</v>
      </c>
      <c r="CR141" s="78">
        <v>0</v>
      </c>
      <c r="CS141" s="78">
        <v>8</v>
      </c>
      <c r="CT141" s="78">
        <v>0</v>
      </c>
      <c r="CU141" s="78">
        <v>0</v>
      </c>
      <c r="CV141" s="78">
        <v>8</v>
      </c>
      <c r="CW141" s="137">
        <v>0.30769229999999997</v>
      </c>
      <c r="CY141" s="143" t="s">
        <v>747</v>
      </c>
      <c r="CZ141" s="143" t="s">
        <v>748</v>
      </c>
      <c r="DA141" s="143" t="s">
        <v>842</v>
      </c>
      <c r="DB141" s="143">
        <v>2111</v>
      </c>
      <c r="DC141" s="78">
        <v>0</v>
      </c>
      <c r="DD141" s="137">
        <v>0</v>
      </c>
      <c r="DE141" s="137">
        <v>0</v>
      </c>
      <c r="DG141" s="143" t="s">
        <v>747</v>
      </c>
      <c r="DH141" s="143" t="s">
        <v>748</v>
      </c>
      <c r="DI141" s="143" t="s">
        <v>842</v>
      </c>
      <c r="DJ141" s="143">
        <v>2111</v>
      </c>
      <c r="DK141" s="78">
        <v>2</v>
      </c>
      <c r="DL141" s="78">
        <v>0</v>
      </c>
      <c r="DM141" s="78">
        <v>0</v>
      </c>
      <c r="DN141" s="78">
        <v>5</v>
      </c>
      <c r="DO141" s="78">
        <v>2</v>
      </c>
      <c r="DP141" s="78">
        <v>3</v>
      </c>
      <c r="DQ141" s="78">
        <v>7</v>
      </c>
      <c r="DR141" s="78">
        <v>1</v>
      </c>
      <c r="DS141" s="78">
        <v>1</v>
      </c>
      <c r="DT141" s="78">
        <v>0</v>
      </c>
      <c r="DU141" s="78">
        <v>1</v>
      </c>
      <c r="DV141" s="137">
        <v>0.75862070000000004</v>
      </c>
      <c r="DX141" s="143" t="s">
        <v>747</v>
      </c>
      <c r="DY141" s="143" t="s">
        <v>748</v>
      </c>
      <c r="DZ141" s="143" t="s">
        <v>842</v>
      </c>
      <c r="EA141" s="143">
        <v>2111</v>
      </c>
      <c r="EB141" s="78">
        <v>1</v>
      </c>
      <c r="EC141" s="78">
        <v>8</v>
      </c>
      <c r="ED141" s="78">
        <v>1</v>
      </c>
      <c r="EE141" s="78">
        <v>4</v>
      </c>
      <c r="EF141" s="78">
        <v>3</v>
      </c>
      <c r="EG141" s="78">
        <v>1</v>
      </c>
      <c r="EH141" s="78">
        <v>0</v>
      </c>
      <c r="EI141" s="78">
        <v>1</v>
      </c>
      <c r="EJ141" s="78">
        <v>1</v>
      </c>
      <c r="EK141" s="78">
        <v>1</v>
      </c>
      <c r="EL141" s="78">
        <v>0</v>
      </c>
      <c r="EM141" s="78">
        <v>1</v>
      </c>
      <c r="EN141" s="78">
        <v>0</v>
      </c>
      <c r="EO141" s="78">
        <v>1</v>
      </c>
      <c r="EP141" s="78">
        <v>1</v>
      </c>
      <c r="EQ141" s="137">
        <v>0.88888889999999998</v>
      </c>
      <c r="ES141" s="143" t="s">
        <v>747</v>
      </c>
      <c r="ET141" s="143" t="s">
        <v>748</v>
      </c>
      <c r="EU141" s="143" t="s">
        <v>842</v>
      </c>
      <c r="EV141" s="143">
        <v>2111</v>
      </c>
      <c r="EW141" s="78">
        <v>0</v>
      </c>
      <c r="EX141" s="78">
        <v>1</v>
      </c>
      <c r="EY141" s="78">
        <v>3</v>
      </c>
      <c r="EZ141" s="78">
        <v>2</v>
      </c>
      <c r="FA141" s="78">
        <v>0.5</v>
      </c>
      <c r="FB141" s="78">
        <v>3</v>
      </c>
      <c r="FC141" s="78">
        <v>2</v>
      </c>
      <c r="FD141" s="78">
        <v>1</v>
      </c>
      <c r="FE141" s="137">
        <v>0.96153840000000002</v>
      </c>
      <c r="FG141" s="137">
        <v>0.42987809999999999</v>
      </c>
    </row>
    <row r="142" spans="1:163" x14ac:dyDescent="0.35">
      <c r="A142" s="143" t="s">
        <v>747</v>
      </c>
      <c r="B142" s="143" t="s">
        <v>748</v>
      </c>
      <c r="C142" s="143" t="s">
        <v>842</v>
      </c>
      <c r="D142" s="143">
        <v>3807</v>
      </c>
      <c r="E142" s="78">
        <v>0.5</v>
      </c>
      <c r="F142" s="78">
        <v>2.5</v>
      </c>
      <c r="G142" s="78">
        <v>1</v>
      </c>
      <c r="H142" s="78">
        <v>4</v>
      </c>
      <c r="I142" s="78">
        <v>1</v>
      </c>
      <c r="J142" s="78">
        <v>0</v>
      </c>
      <c r="K142" s="78">
        <v>1</v>
      </c>
      <c r="L142" s="78">
        <v>1</v>
      </c>
      <c r="M142" s="78">
        <v>2</v>
      </c>
      <c r="N142" s="137">
        <v>0.92857140000000005</v>
      </c>
      <c r="P142" s="143" t="s">
        <v>747</v>
      </c>
      <c r="Q142" s="143" t="s">
        <v>748</v>
      </c>
      <c r="R142" s="143" t="s">
        <v>842</v>
      </c>
      <c r="S142" s="143">
        <v>3807</v>
      </c>
      <c r="T142" s="78">
        <v>1</v>
      </c>
      <c r="U142" s="78">
        <v>1</v>
      </c>
      <c r="V142" s="78">
        <v>0.5</v>
      </c>
      <c r="W142" s="78">
        <v>2</v>
      </c>
      <c r="X142" s="78">
        <v>0</v>
      </c>
      <c r="Y142" s="78">
        <v>1</v>
      </c>
      <c r="Z142" s="78">
        <v>3</v>
      </c>
      <c r="AA142" s="78">
        <v>2</v>
      </c>
      <c r="AB142" s="78">
        <v>6</v>
      </c>
      <c r="AC142" s="78">
        <v>3</v>
      </c>
      <c r="AD142" s="137">
        <v>0.57352939999999997</v>
      </c>
      <c r="AF142" s="143" t="s">
        <v>747</v>
      </c>
      <c r="AG142" s="143" t="s">
        <v>748</v>
      </c>
      <c r="AH142" s="143" t="s">
        <v>842</v>
      </c>
      <c r="AI142" s="143">
        <v>3807</v>
      </c>
      <c r="AJ142" s="78">
        <v>1</v>
      </c>
      <c r="AK142" s="78">
        <v>1</v>
      </c>
      <c r="AL142" s="78">
        <v>1</v>
      </c>
      <c r="AM142" s="78">
        <v>1</v>
      </c>
      <c r="AN142" s="78">
        <v>0</v>
      </c>
      <c r="AO142" s="78">
        <v>2</v>
      </c>
      <c r="AP142" s="78">
        <v>2</v>
      </c>
      <c r="AQ142" s="78">
        <v>1</v>
      </c>
      <c r="AR142" s="78">
        <v>0</v>
      </c>
      <c r="AS142" s="78">
        <v>2</v>
      </c>
      <c r="AT142" s="78">
        <v>0</v>
      </c>
      <c r="AU142" s="78">
        <v>1</v>
      </c>
      <c r="AV142" s="78">
        <v>2</v>
      </c>
      <c r="AW142" s="78">
        <v>1</v>
      </c>
      <c r="AX142" s="78">
        <v>4</v>
      </c>
      <c r="AY142" s="78">
        <v>1</v>
      </c>
      <c r="AZ142" s="78">
        <v>2</v>
      </c>
      <c r="BA142" s="78">
        <v>0.5</v>
      </c>
      <c r="BB142" s="78">
        <v>0.5</v>
      </c>
      <c r="BC142" s="78">
        <v>0.5</v>
      </c>
      <c r="BD142" s="78">
        <v>1</v>
      </c>
      <c r="BE142" s="78">
        <v>0.5</v>
      </c>
      <c r="BF142" s="78">
        <v>1</v>
      </c>
      <c r="BG142" s="78">
        <v>8</v>
      </c>
      <c r="BH142" s="137">
        <v>0.77272730000000001</v>
      </c>
      <c r="BJ142" s="143" t="s">
        <v>747</v>
      </c>
      <c r="BK142" s="143" t="s">
        <v>748</v>
      </c>
      <c r="BL142" s="143" t="s">
        <v>842</v>
      </c>
      <c r="BM142" s="143">
        <v>3807</v>
      </c>
      <c r="BN142" s="78">
        <v>1</v>
      </c>
      <c r="BO142" s="78">
        <v>4</v>
      </c>
      <c r="BP142" s="78">
        <v>7</v>
      </c>
      <c r="BQ142" s="78">
        <v>3</v>
      </c>
      <c r="BR142" s="78">
        <v>3</v>
      </c>
      <c r="BS142" s="78">
        <v>3</v>
      </c>
      <c r="BT142" s="78">
        <v>0</v>
      </c>
      <c r="BU142" s="137">
        <v>0.91304350000000001</v>
      </c>
      <c r="BW142" s="143" t="s">
        <v>747</v>
      </c>
      <c r="BX142" s="143" t="s">
        <v>748</v>
      </c>
      <c r="BY142" s="143" t="s">
        <v>842</v>
      </c>
      <c r="BZ142" s="143">
        <v>3807</v>
      </c>
      <c r="CM142" s="143" t="s">
        <v>747</v>
      </c>
      <c r="CN142" s="143" t="s">
        <v>748</v>
      </c>
      <c r="CO142" s="143" t="s">
        <v>842</v>
      </c>
      <c r="CP142" s="143">
        <v>3807</v>
      </c>
      <c r="CQ142" s="78">
        <v>6</v>
      </c>
      <c r="CR142" s="78">
        <v>6</v>
      </c>
      <c r="CS142" s="78">
        <v>20</v>
      </c>
      <c r="CT142" s="78">
        <v>4</v>
      </c>
      <c r="CU142" s="78">
        <v>2</v>
      </c>
      <c r="CV142" s="78">
        <v>8</v>
      </c>
      <c r="CW142" s="137">
        <v>0.88461540000000005</v>
      </c>
      <c r="CY142" s="143" t="s">
        <v>747</v>
      </c>
      <c r="CZ142" s="143" t="s">
        <v>748</v>
      </c>
      <c r="DA142" s="143" t="s">
        <v>842</v>
      </c>
      <c r="DB142" s="143">
        <v>3807</v>
      </c>
      <c r="DC142" s="78">
        <v>54</v>
      </c>
      <c r="DD142" s="137">
        <v>0</v>
      </c>
      <c r="DE142" s="137">
        <v>0</v>
      </c>
      <c r="DG142" s="143" t="s">
        <v>747</v>
      </c>
      <c r="DH142" s="143" t="s">
        <v>748</v>
      </c>
      <c r="DI142" s="143" t="s">
        <v>842</v>
      </c>
      <c r="DJ142" s="143">
        <v>3807</v>
      </c>
      <c r="DK142" s="78">
        <v>2</v>
      </c>
      <c r="DL142" s="78">
        <v>0</v>
      </c>
      <c r="DM142" s="78">
        <v>1</v>
      </c>
      <c r="DN142" s="78">
        <v>7</v>
      </c>
      <c r="DO142" s="78">
        <v>2</v>
      </c>
      <c r="DP142" s="78">
        <v>3</v>
      </c>
      <c r="DQ142" s="78">
        <v>6</v>
      </c>
      <c r="DR142" s="78">
        <v>1</v>
      </c>
      <c r="DS142" s="78">
        <v>1</v>
      </c>
      <c r="DT142" s="78">
        <v>0</v>
      </c>
      <c r="DU142" s="78">
        <v>1</v>
      </c>
      <c r="DV142" s="137">
        <v>0.82758620000000005</v>
      </c>
      <c r="DX142" s="143" t="s">
        <v>747</v>
      </c>
      <c r="DY142" s="143" t="s">
        <v>748</v>
      </c>
      <c r="DZ142" s="143" t="s">
        <v>842</v>
      </c>
      <c r="EA142" s="143">
        <v>3807</v>
      </c>
      <c r="EB142" s="78">
        <v>1</v>
      </c>
      <c r="EC142" s="78">
        <v>8</v>
      </c>
      <c r="ED142" s="78">
        <v>1</v>
      </c>
      <c r="EE142" s="78">
        <v>4</v>
      </c>
      <c r="EF142" s="78">
        <v>0</v>
      </c>
      <c r="EG142" s="78">
        <v>1</v>
      </c>
      <c r="EH142" s="78">
        <v>0</v>
      </c>
      <c r="EI142" s="78">
        <v>1</v>
      </c>
      <c r="EJ142" s="78">
        <v>1</v>
      </c>
      <c r="EK142" s="78">
        <v>1</v>
      </c>
      <c r="EL142" s="78">
        <v>0</v>
      </c>
      <c r="EM142" s="78">
        <v>1</v>
      </c>
      <c r="EN142" s="78">
        <v>1</v>
      </c>
      <c r="EO142" s="78">
        <v>0</v>
      </c>
      <c r="EP142" s="78">
        <v>1</v>
      </c>
      <c r="EQ142" s="137">
        <v>0.77777779999999996</v>
      </c>
      <c r="ES142" s="143" t="s">
        <v>747</v>
      </c>
      <c r="ET142" s="143" t="s">
        <v>748</v>
      </c>
      <c r="EU142" s="143" t="s">
        <v>842</v>
      </c>
      <c r="EV142" s="143">
        <v>3807</v>
      </c>
      <c r="EW142" s="78">
        <v>0.5</v>
      </c>
      <c r="EX142" s="78">
        <v>1</v>
      </c>
      <c r="EY142" s="78">
        <v>3</v>
      </c>
      <c r="EZ142" s="78">
        <v>2</v>
      </c>
      <c r="FA142" s="78">
        <v>0.5</v>
      </c>
      <c r="FB142" s="78">
        <v>0</v>
      </c>
      <c r="FC142" s="78">
        <v>2</v>
      </c>
      <c r="FD142" s="78">
        <v>1</v>
      </c>
      <c r="FE142" s="137">
        <v>0.76923079999999999</v>
      </c>
      <c r="FG142" s="137">
        <v>0.57469510000000001</v>
      </c>
    </row>
    <row r="143" spans="1:163" x14ac:dyDescent="0.35">
      <c r="A143" s="143" t="s">
        <v>749</v>
      </c>
      <c r="B143" s="143" t="s">
        <v>730</v>
      </c>
      <c r="C143" s="143" t="s">
        <v>842</v>
      </c>
      <c r="D143" s="143">
        <v>313</v>
      </c>
      <c r="E143" s="78">
        <v>0</v>
      </c>
      <c r="F143" s="78">
        <v>2.5</v>
      </c>
      <c r="G143" s="78">
        <v>1</v>
      </c>
      <c r="H143" s="78">
        <v>4</v>
      </c>
      <c r="I143" s="78">
        <v>1</v>
      </c>
      <c r="J143" s="78">
        <v>1</v>
      </c>
      <c r="K143" s="78">
        <v>1</v>
      </c>
      <c r="L143" s="78">
        <v>1</v>
      </c>
      <c r="M143" s="78">
        <v>2</v>
      </c>
      <c r="N143" s="137">
        <v>0.96428570000000002</v>
      </c>
      <c r="P143" s="143" t="s">
        <v>749</v>
      </c>
      <c r="Q143" s="143" t="s">
        <v>730</v>
      </c>
      <c r="R143" s="143" t="s">
        <v>842</v>
      </c>
      <c r="S143" s="143">
        <v>313</v>
      </c>
      <c r="T143" s="78">
        <v>1</v>
      </c>
      <c r="U143" s="78">
        <v>1</v>
      </c>
      <c r="V143" s="78">
        <v>3</v>
      </c>
      <c r="W143" s="78">
        <v>2</v>
      </c>
      <c r="X143" s="78">
        <v>0</v>
      </c>
      <c r="Y143" s="78">
        <v>1</v>
      </c>
      <c r="Z143" s="78">
        <v>3</v>
      </c>
      <c r="AA143" s="78">
        <v>0</v>
      </c>
      <c r="AB143" s="78">
        <v>0</v>
      </c>
      <c r="AC143" s="78">
        <v>0</v>
      </c>
      <c r="AD143" s="137">
        <v>0.32352940000000002</v>
      </c>
      <c r="AF143" s="143" t="s">
        <v>749</v>
      </c>
      <c r="AG143" s="143" t="s">
        <v>730</v>
      </c>
      <c r="AH143" s="143" t="s">
        <v>842</v>
      </c>
      <c r="AI143" s="143">
        <v>313</v>
      </c>
      <c r="AJ143" s="78">
        <v>1</v>
      </c>
      <c r="AK143" s="78">
        <v>1</v>
      </c>
      <c r="AL143" s="78">
        <v>1</v>
      </c>
      <c r="AM143" s="78">
        <v>6</v>
      </c>
      <c r="AN143" s="78">
        <v>1</v>
      </c>
      <c r="AO143" s="78">
        <v>2</v>
      </c>
      <c r="AP143" s="78">
        <v>0</v>
      </c>
      <c r="AQ143" s="78">
        <v>1</v>
      </c>
      <c r="AR143" s="78">
        <v>0</v>
      </c>
      <c r="AS143" s="78">
        <v>2</v>
      </c>
      <c r="AT143" s="78">
        <v>2</v>
      </c>
      <c r="AU143" s="78">
        <v>1</v>
      </c>
      <c r="AV143" s="78">
        <v>2</v>
      </c>
      <c r="AW143" s="78">
        <v>0</v>
      </c>
      <c r="AX143" s="78">
        <v>0</v>
      </c>
      <c r="AY143" s="78">
        <v>1</v>
      </c>
      <c r="AZ143" s="78">
        <v>0</v>
      </c>
      <c r="BA143" s="78">
        <v>0.5</v>
      </c>
      <c r="BB143" s="78">
        <v>0.5</v>
      </c>
      <c r="BC143" s="78">
        <v>0.5</v>
      </c>
      <c r="BD143" s="78">
        <v>0</v>
      </c>
      <c r="BE143" s="78">
        <v>0.5</v>
      </c>
      <c r="BF143" s="78">
        <v>1</v>
      </c>
      <c r="BG143" s="78">
        <v>8</v>
      </c>
      <c r="BH143" s="137">
        <v>0.72727269999999999</v>
      </c>
      <c r="BJ143" s="143" t="s">
        <v>749</v>
      </c>
      <c r="BK143" s="143" t="s">
        <v>730</v>
      </c>
      <c r="BL143" s="143" t="s">
        <v>842</v>
      </c>
      <c r="BM143" s="143">
        <v>313</v>
      </c>
      <c r="BN143" s="78">
        <v>1</v>
      </c>
      <c r="BO143" s="78">
        <v>4</v>
      </c>
      <c r="BP143" s="78">
        <v>0</v>
      </c>
      <c r="BQ143" s="78">
        <v>3</v>
      </c>
      <c r="BR143" s="78">
        <v>0</v>
      </c>
      <c r="BS143" s="78">
        <v>3</v>
      </c>
      <c r="BT143" s="78">
        <v>0</v>
      </c>
      <c r="BU143" s="137">
        <v>0.47826089999999999</v>
      </c>
      <c r="BW143" s="143" t="s">
        <v>749</v>
      </c>
      <c r="BX143" s="143" t="s">
        <v>730</v>
      </c>
      <c r="BY143" s="143" t="s">
        <v>842</v>
      </c>
      <c r="BZ143" s="143">
        <v>313</v>
      </c>
      <c r="CA143" s="78">
        <v>1</v>
      </c>
      <c r="CB143" s="78">
        <v>0</v>
      </c>
      <c r="CC143" s="78">
        <v>1</v>
      </c>
      <c r="CD143" s="78">
        <v>2</v>
      </c>
      <c r="CE143" s="78">
        <v>1</v>
      </c>
      <c r="CF143" s="78">
        <v>2</v>
      </c>
      <c r="CG143" s="78">
        <v>1</v>
      </c>
      <c r="CH143" s="78">
        <v>2</v>
      </c>
      <c r="CI143" s="78">
        <v>1</v>
      </c>
      <c r="CJ143" s="78">
        <v>0</v>
      </c>
      <c r="CK143" s="137">
        <v>0.73333329999999997</v>
      </c>
      <c r="CM143" s="143" t="s">
        <v>749</v>
      </c>
      <c r="CN143" s="143" t="s">
        <v>730</v>
      </c>
      <c r="CO143" s="143" t="s">
        <v>842</v>
      </c>
      <c r="CP143" s="143">
        <v>313</v>
      </c>
      <c r="CQ143" s="78">
        <v>6</v>
      </c>
      <c r="CR143" s="78">
        <v>0</v>
      </c>
      <c r="CS143" s="78">
        <v>16</v>
      </c>
      <c r="CT143" s="78">
        <v>4</v>
      </c>
      <c r="CU143" s="78">
        <v>2</v>
      </c>
      <c r="CV143" s="78">
        <v>4</v>
      </c>
      <c r="CW143" s="137">
        <v>0.61538459999999995</v>
      </c>
      <c r="CY143" s="143" t="s">
        <v>749</v>
      </c>
      <c r="CZ143" s="143" t="s">
        <v>730</v>
      </c>
      <c r="DA143" s="143" t="s">
        <v>842</v>
      </c>
      <c r="DB143" s="143">
        <v>313</v>
      </c>
      <c r="DC143" s="78">
        <v>8</v>
      </c>
      <c r="DD143" s="137">
        <v>0</v>
      </c>
      <c r="DE143" s="137">
        <v>0</v>
      </c>
      <c r="DG143" s="143" t="s">
        <v>749</v>
      </c>
      <c r="DH143" s="143" t="s">
        <v>730</v>
      </c>
      <c r="DI143" s="143" t="s">
        <v>842</v>
      </c>
      <c r="DJ143" s="143">
        <v>313</v>
      </c>
      <c r="DK143" s="78">
        <v>2</v>
      </c>
      <c r="DL143" s="78">
        <v>1</v>
      </c>
      <c r="DM143" s="78">
        <v>1</v>
      </c>
      <c r="DN143" s="78">
        <v>5</v>
      </c>
      <c r="DO143" s="78">
        <v>2</v>
      </c>
      <c r="DP143" s="78">
        <v>3</v>
      </c>
      <c r="DQ143" s="78">
        <v>8</v>
      </c>
      <c r="DR143" s="78">
        <v>1</v>
      </c>
      <c r="DS143" s="78">
        <v>1</v>
      </c>
      <c r="DT143" s="78">
        <v>0</v>
      </c>
      <c r="DU143" s="78">
        <v>0</v>
      </c>
      <c r="DV143" s="137">
        <v>0.82758620000000005</v>
      </c>
      <c r="DX143" s="143" t="s">
        <v>749</v>
      </c>
      <c r="DY143" s="143" t="s">
        <v>730</v>
      </c>
      <c r="DZ143" s="143" t="s">
        <v>842</v>
      </c>
      <c r="EA143" s="143">
        <v>313</v>
      </c>
      <c r="EB143" s="78">
        <v>1</v>
      </c>
      <c r="EC143" s="78">
        <v>8</v>
      </c>
      <c r="ED143" s="78">
        <v>1</v>
      </c>
      <c r="EE143" s="78">
        <v>0</v>
      </c>
      <c r="EF143" s="78">
        <v>0</v>
      </c>
      <c r="EG143" s="78">
        <v>1</v>
      </c>
      <c r="EH143" s="78">
        <v>1</v>
      </c>
      <c r="EI143" s="78">
        <v>1</v>
      </c>
      <c r="EJ143" s="78">
        <v>1</v>
      </c>
      <c r="EK143" s="78">
        <v>1</v>
      </c>
      <c r="EL143" s="78">
        <v>1</v>
      </c>
      <c r="EM143" s="78">
        <v>1</v>
      </c>
      <c r="EN143" s="78">
        <v>1</v>
      </c>
      <c r="EO143" s="78">
        <v>1</v>
      </c>
      <c r="EP143" s="78">
        <v>1</v>
      </c>
      <c r="EQ143" s="137">
        <v>0.74074070000000003</v>
      </c>
      <c r="ES143" s="143" t="s">
        <v>749</v>
      </c>
      <c r="ET143" s="143" t="s">
        <v>730</v>
      </c>
      <c r="EU143" s="143" t="s">
        <v>842</v>
      </c>
      <c r="EV143" s="143">
        <v>313</v>
      </c>
      <c r="EW143" s="78">
        <v>0</v>
      </c>
      <c r="EX143" s="78">
        <v>0</v>
      </c>
      <c r="EY143" s="78">
        <v>0</v>
      </c>
      <c r="EZ143" s="78">
        <v>0</v>
      </c>
      <c r="FA143" s="78">
        <v>0.5</v>
      </c>
      <c r="FB143" s="78">
        <v>3</v>
      </c>
      <c r="FC143" s="78">
        <v>2</v>
      </c>
      <c r="FD143" s="78">
        <v>1</v>
      </c>
      <c r="FE143" s="137">
        <v>0.5</v>
      </c>
      <c r="FG143" s="137">
        <v>0.46938780000000002</v>
      </c>
    </row>
    <row r="144" spans="1:163" x14ac:dyDescent="0.35">
      <c r="A144" s="143" t="s">
        <v>749</v>
      </c>
      <c r="B144" s="143" t="s">
        <v>730</v>
      </c>
      <c r="C144" s="143" t="s">
        <v>842</v>
      </c>
      <c r="D144" s="143">
        <v>326</v>
      </c>
      <c r="E144" s="78">
        <v>0.5</v>
      </c>
      <c r="F144" s="78">
        <v>2.5</v>
      </c>
      <c r="G144" s="78">
        <v>1</v>
      </c>
      <c r="H144" s="78">
        <v>4</v>
      </c>
      <c r="I144" s="78">
        <v>1</v>
      </c>
      <c r="J144" s="78">
        <v>1</v>
      </c>
      <c r="K144" s="78">
        <v>1</v>
      </c>
      <c r="L144" s="78">
        <v>1</v>
      </c>
      <c r="M144" s="78">
        <v>2</v>
      </c>
      <c r="N144" s="137">
        <v>1</v>
      </c>
      <c r="P144" s="143" t="s">
        <v>749</v>
      </c>
      <c r="Q144" s="143" t="s">
        <v>730</v>
      </c>
      <c r="R144" s="143" t="s">
        <v>842</v>
      </c>
      <c r="S144" s="143">
        <v>326</v>
      </c>
      <c r="T144" s="78">
        <v>1</v>
      </c>
      <c r="U144" s="78">
        <v>1</v>
      </c>
      <c r="V144" s="78">
        <v>3</v>
      </c>
      <c r="W144" s="78">
        <v>2</v>
      </c>
      <c r="X144" s="78">
        <v>12</v>
      </c>
      <c r="Y144" s="78">
        <v>1</v>
      </c>
      <c r="Z144" s="78">
        <v>3</v>
      </c>
      <c r="AA144" s="78">
        <v>0</v>
      </c>
      <c r="AB144" s="78">
        <v>6</v>
      </c>
      <c r="AC144" s="78">
        <v>3</v>
      </c>
      <c r="AD144" s="137">
        <v>0.94117649999999997</v>
      </c>
      <c r="AF144" s="143" t="s">
        <v>749</v>
      </c>
      <c r="AG144" s="143" t="s">
        <v>730</v>
      </c>
      <c r="AH144" s="143" t="s">
        <v>842</v>
      </c>
      <c r="AI144" s="143">
        <v>326</v>
      </c>
      <c r="AJ144" s="78">
        <v>1</v>
      </c>
      <c r="AK144" s="78">
        <v>1</v>
      </c>
      <c r="AL144" s="78">
        <v>1</v>
      </c>
      <c r="AM144" s="78">
        <v>6</v>
      </c>
      <c r="AN144" s="78">
        <v>1</v>
      </c>
      <c r="AO144" s="78">
        <v>0</v>
      </c>
      <c r="AP144" s="78">
        <v>1</v>
      </c>
      <c r="AQ144" s="78">
        <v>1</v>
      </c>
      <c r="AR144" s="78">
        <v>0</v>
      </c>
      <c r="AS144" s="78">
        <v>2</v>
      </c>
      <c r="AT144" s="78">
        <v>2</v>
      </c>
      <c r="AU144" s="78">
        <v>1</v>
      </c>
      <c r="AV144" s="78">
        <v>2</v>
      </c>
      <c r="AW144" s="78">
        <v>1</v>
      </c>
      <c r="AX144" s="78">
        <v>0</v>
      </c>
      <c r="AY144" s="78">
        <v>1</v>
      </c>
      <c r="AZ144" s="78">
        <v>2</v>
      </c>
      <c r="BA144" s="78">
        <v>0.5</v>
      </c>
      <c r="BB144" s="78">
        <v>0.5</v>
      </c>
      <c r="BC144" s="78">
        <v>0.5</v>
      </c>
      <c r="BD144" s="78">
        <v>1</v>
      </c>
      <c r="BE144" s="78">
        <v>0.5</v>
      </c>
      <c r="BF144" s="78">
        <v>1</v>
      </c>
      <c r="BG144" s="78">
        <v>8</v>
      </c>
      <c r="BH144" s="137">
        <v>0.79545460000000001</v>
      </c>
      <c r="BJ144" s="143" t="s">
        <v>749</v>
      </c>
      <c r="BK144" s="143" t="s">
        <v>730</v>
      </c>
      <c r="BL144" s="143" t="s">
        <v>842</v>
      </c>
      <c r="BM144" s="143">
        <v>326</v>
      </c>
      <c r="BN144" s="78">
        <v>1</v>
      </c>
      <c r="BO144" s="78">
        <v>4</v>
      </c>
      <c r="BP144" s="78">
        <v>0</v>
      </c>
      <c r="BQ144" s="78">
        <v>0</v>
      </c>
      <c r="BR144" s="78">
        <v>0</v>
      </c>
      <c r="BS144" s="78">
        <v>3</v>
      </c>
      <c r="BT144" s="78">
        <v>2</v>
      </c>
      <c r="BU144" s="137">
        <v>0.43478260000000002</v>
      </c>
      <c r="BW144" s="143" t="s">
        <v>749</v>
      </c>
      <c r="BX144" s="143" t="s">
        <v>730</v>
      </c>
      <c r="BY144" s="143" t="s">
        <v>842</v>
      </c>
      <c r="BZ144" s="143">
        <v>326</v>
      </c>
      <c r="CA144" s="78">
        <v>1</v>
      </c>
      <c r="CB144" s="78">
        <v>0</v>
      </c>
      <c r="CC144" s="78">
        <v>1</v>
      </c>
      <c r="CD144" s="78">
        <v>2</v>
      </c>
      <c r="CE144" s="78">
        <v>1</v>
      </c>
      <c r="CF144" s="78">
        <v>2</v>
      </c>
      <c r="CG144" s="78">
        <v>0</v>
      </c>
      <c r="CH144" s="78">
        <v>2</v>
      </c>
      <c r="CI144" s="78">
        <v>1</v>
      </c>
      <c r="CJ144" s="78">
        <v>0</v>
      </c>
      <c r="CK144" s="137">
        <v>0.66666669999999995</v>
      </c>
      <c r="CM144" s="143" t="s">
        <v>749</v>
      </c>
      <c r="CN144" s="143" t="s">
        <v>730</v>
      </c>
      <c r="CO144" s="143" t="s">
        <v>842</v>
      </c>
      <c r="CP144" s="143">
        <v>326</v>
      </c>
      <c r="CQ144" s="78">
        <v>8</v>
      </c>
      <c r="CR144" s="78">
        <v>0</v>
      </c>
      <c r="CS144" s="78">
        <v>20</v>
      </c>
      <c r="CT144" s="78">
        <v>4</v>
      </c>
      <c r="CU144" s="78">
        <v>2</v>
      </c>
      <c r="CV144" s="78">
        <v>8</v>
      </c>
      <c r="CW144" s="137">
        <v>0.80769230000000003</v>
      </c>
      <c r="CY144" s="143" t="s">
        <v>749</v>
      </c>
      <c r="CZ144" s="143" t="s">
        <v>730</v>
      </c>
      <c r="DA144" s="143" t="s">
        <v>842</v>
      </c>
      <c r="DB144" s="143">
        <v>326</v>
      </c>
      <c r="DC144" s="78">
        <v>44</v>
      </c>
      <c r="DD144" s="137">
        <v>0</v>
      </c>
      <c r="DE144" s="137">
        <v>0</v>
      </c>
      <c r="DG144" s="143" t="s">
        <v>749</v>
      </c>
      <c r="DH144" s="143" t="s">
        <v>730</v>
      </c>
      <c r="DI144" s="143" t="s">
        <v>842</v>
      </c>
      <c r="DJ144" s="143">
        <v>326</v>
      </c>
      <c r="DK144" s="78">
        <v>2</v>
      </c>
      <c r="DL144" s="78">
        <v>1</v>
      </c>
      <c r="DM144" s="78">
        <v>1</v>
      </c>
      <c r="DN144" s="78">
        <v>7</v>
      </c>
      <c r="DO144" s="78">
        <v>2</v>
      </c>
      <c r="DP144" s="78">
        <v>3</v>
      </c>
      <c r="DQ144" s="78">
        <v>8</v>
      </c>
      <c r="DR144" s="78">
        <v>1</v>
      </c>
      <c r="DS144" s="78">
        <v>1</v>
      </c>
      <c r="DT144" s="78">
        <v>2</v>
      </c>
      <c r="DU144" s="78">
        <v>0</v>
      </c>
      <c r="DV144" s="137">
        <v>0.96551719999999996</v>
      </c>
      <c r="DX144" s="143" t="s">
        <v>749</v>
      </c>
      <c r="DY144" s="143" t="s">
        <v>730</v>
      </c>
      <c r="DZ144" s="143" t="s">
        <v>842</v>
      </c>
      <c r="EA144" s="143">
        <v>326</v>
      </c>
      <c r="EB144" s="78">
        <v>1</v>
      </c>
      <c r="EC144" s="78">
        <v>8</v>
      </c>
      <c r="ED144" s="78">
        <v>1</v>
      </c>
      <c r="EE144" s="78">
        <v>0</v>
      </c>
      <c r="EF144" s="78">
        <v>0</v>
      </c>
      <c r="EG144" s="78">
        <v>1</v>
      </c>
      <c r="EH144" s="78">
        <v>1</v>
      </c>
      <c r="EI144" s="78">
        <v>1</v>
      </c>
      <c r="EJ144" s="78">
        <v>1</v>
      </c>
      <c r="EK144" s="78">
        <v>1</v>
      </c>
      <c r="EL144" s="78">
        <v>1</v>
      </c>
      <c r="EM144" s="78">
        <v>1</v>
      </c>
      <c r="EN144" s="78">
        <v>1</v>
      </c>
      <c r="EO144" s="78">
        <v>1</v>
      </c>
      <c r="EP144" s="78">
        <v>0</v>
      </c>
      <c r="EQ144" s="137">
        <v>0.70370370000000004</v>
      </c>
      <c r="ES144" s="143" t="s">
        <v>749</v>
      </c>
      <c r="ET144" s="143" t="s">
        <v>730</v>
      </c>
      <c r="EU144" s="143" t="s">
        <v>842</v>
      </c>
      <c r="EV144" s="143">
        <v>326</v>
      </c>
      <c r="EW144" s="78">
        <v>0.5</v>
      </c>
      <c r="EX144" s="78">
        <v>0</v>
      </c>
      <c r="EY144" s="78">
        <v>3</v>
      </c>
      <c r="EZ144" s="78">
        <v>0</v>
      </c>
      <c r="FA144" s="78">
        <v>0.5</v>
      </c>
      <c r="FB144" s="78">
        <v>3</v>
      </c>
      <c r="FC144" s="78">
        <v>2</v>
      </c>
      <c r="FD144" s="78">
        <v>1</v>
      </c>
      <c r="FE144" s="137">
        <v>0.76923079999999999</v>
      </c>
      <c r="FG144" s="137">
        <v>0.58309040000000001</v>
      </c>
    </row>
    <row r="145" spans="1:163" x14ac:dyDescent="0.35">
      <c r="A145" s="143" t="s">
        <v>749</v>
      </c>
      <c r="B145" s="143" t="s">
        <v>730</v>
      </c>
      <c r="C145" s="143" t="s">
        <v>841</v>
      </c>
      <c r="D145" s="143">
        <v>350</v>
      </c>
      <c r="E145" s="78">
        <v>0</v>
      </c>
      <c r="F145" s="78">
        <v>2.5</v>
      </c>
      <c r="G145" s="78">
        <v>1</v>
      </c>
      <c r="H145" s="78">
        <v>4</v>
      </c>
      <c r="I145" s="78">
        <v>1</v>
      </c>
      <c r="J145" s="78">
        <v>1</v>
      </c>
      <c r="K145" s="78">
        <v>1</v>
      </c>
      <c r="L145" s="78">
        <v>1</v>
      </c>
      <c r="M145" s="78">
        <v>2</v>
      </c>
      <c r="N145" s="137">
        <v>0.96428570000000002</v>
      </c>
      <c r="P145" s="143" t="s">
        <v>749</v>
      </c>
      <c r="Q145" s="143" t="s">
        <v>730</v>
      </c>
      <c r="R145" s="143" t="s">
        <v>841</v>
      </c>
      <c r="S145" s="143">
        <v>350</v>
      </c>
      <c r="T145" s="78">
        <v>1</v>
      </c>
      <c r="U145" s="78">
        <v>1</v>
      </c>
      <c r="V145" s="78">
        <v>3</v>
      </c>
      <c r="W145" s="78">
        <v>2</v>
      </c>
      <c r="X145" s="78">
        <v>12</v>
      </c>
      <c r="Y145" s="78">
        <v>1</v>
      </c>
      <c r="Z145" s="78">
        <v>3</v>
      </c>
      <c r="AA145" s="78">
        <v>0</v>
      </c>
      <c r="AB145" s="78">
        <v>6</v>
      </c>
      <c r="AC145" s="78">
        <v>3</v>
      </c>
      <c r="AD145" s="137">
        <v>0.94117649999999997</v>
      </c>
      <c r="AF145" s="143" t="s">
        <v>749</v>
      </c>
      <c r="AG145" s="143" t="s">
        <v>730</v>
      </c>
      <c r="AH145" s="143" t="s">
        <v>841</v>
      </c>
      <c r="AI145" s="143">
        <v>350</v>
      </c>
      <c r="AJ145" s="78">
        <v>1</v>
      </c>
      <c r="AK145" s="78">
        <v>1</v>
      </c>
      <c r="AL145" s="78">
        <v>1</v>
      </c>
      <c r="AM145" s="78">
        <v>1</v>
      </c>
      <c r="AN145" s="78">
        <v>1</v>
      </c>
      <c r="AO145" s="78">
        <v>0</v>
      </c>
      <c r="AP145" s="78">
        <v>2</v>
      </c>
      <c r="AQ145" s="78">
        <v>1</v>
      </c>
      <c r="AR145" s="78">
        <v>2</v>
      </c>
      <c r="AS145" s="78">
        <v>2</v>
      </c>
      <c r="AT145" s="78">
        <v>2</v>
      </c>
      <c r="AU145" s="78">
        <v>1</v>
      </c>
      <c r="AV145" s="78">
        <v>2</v>
      </c>
      <c r="AW145" s="78">
        <v>1</v>
      </c>
      <c r="AX145" s="78">
        <v>4</v>
      </c>
      <c r="AY145" s="78">
        <v>1</v>
      </c>
      <c r="AZ145" s="78">
        <v>2</v>
      </c>
      <c r="BA145" s="78">
        <v>0.5</v>
      </c>
      <c r="BB145" s="78">
        <v>0.5</v>
      </c>
      <c r="BC145" s="78">
        <v>0.5</v>
      </c>
      <c r="BD145" s="78">
        <v>1</v>
      </c>
      <c r="BE145" s="78">
        <v>0.5</v>
      </c>
      <c r="BF145" s="78">
        <v>1</v>
      </c>
      <c r="BG145" s="78">
        <v>8</v>
      </c>
      <c r="BH145" s="137">
        <v>0.84090909999999996</v>
      </c>
      <c r="BJ145" s="143" t="s">
        <v>749</v>
      </c>
      <c r="BK145" s="143" t="s">
        <v>730</v>
      </c>
      <c r="BL145" s="143" t="s">
        <v>841</v>
      </c>
      <c r="BM145" s="143">
        <v>350</v>
      </c>
      <c r="BN145" s="78">
        <v>1</v>
      </c>
      <c r="BO145" s="78">
        <v>4</v>
      </c>
      <c r="BP145" s="78">
        <v>7</v>
      </c>
      <c r="BQ145" s="78">
        <v>3</v>
      </c>
      <c r="BR145" s="78">
        <v>3</v>
      </c>
      <c r="BS145" s="78">
        <v>3</v>
      </c>
      <c r="BT145" s="78">
        <v>2</v>
      </c>
      <c r="BU145" s="137">
        <v>1</v>
      </c>
      <c r="BW145" s="143" t="s">
        <v>749</v>
      </c>
      <c r="BX145" s="143" t="s">
        <v>730</v>
      </c>
      <c r="BY145" s="143" t="s">
        <v>841</v>
      </c>
      <c r="BZ145" s="143">
        <v>350</v>
      </c>
      <c r="CA145" s="78">
        <v>1</v>
      </c>
      <c r="CB145" s="78">
        <v>1</v>
      </c>
      <c r="CC145" s="78">
        <v>1</v>
      </c>
      <c r="CD145" s="78">
        <v>2</v>
      </c>
      <c r="CE145" s="78">
        <v>1</v>
      </c>
      <c r="CF145" s="78">
        <v>2</v>
      </c>
      <c r="CG145" s="78">
        <v>1</v>
      </c>
      <c r="CH145" s="78">
        <v>2</v>
      </c>
      <c r="CI145" s="78">
        <v>1</v>
      </c>
      <c r="CJ145" s="78">
        <v>3</v>
      </c>
      <c r="CK145" s="137">
        <v>1</v>
      </c>
      <c r="CM145" s="143" t="s">
        <v>749</v>
      </c>
      <c r="CN145" s="143" t="s">
        <v>730</v>
      </c>
      <c r="CO145" s="143" t="s">
        <v>841</v>
      </c>
      <c r="CP145" s="143">
        <v>350</v>
      </c>
      <c r="CQ145" s="78">
        <v>8</v>
      </c>
      <c r="CR145" s="78">
        <v>6</v>
      </c>
      <c r="CS145" s="78">
        <v>24</v>
      </c>
      <c r="CT145" s="78">
        <v>4</v>
      </c>
      <c r="CU145" s="78">
        <v>2</v>
      </c>
      <c r="CV145" s="78">
        <v>8</v>
      </c>
      <c r="CW145" s="137">
        <v>1</v>
      </c>
      <c r="CY145" s="143" t="s">
        <v>749</v>
      </c>
      <c r="CZ145" s="143" t="s">
        <v>730</v>
      </c>
      <c r="DA145" s="143" t="s">
        <v>841</v>
      </c>
      <c r="DB145" s="143">
        <v>350</v>
      </c>
      <c r="DC145" s="78">
        <v>60</v>
      </c>
      <c r="DD145" s="137">
        <v>0.2</v>
      </c>
      <c r="DE145" s="137">
        <v>0.13043479999999999</v>
      </c>
      <c r="DG145" s="143" t="s">
        <v>749</v>
      </c>
      <c r="DH145" s="143" t="s">
        <v>730</v>
      </c>
      <c r="DI145" s="143" t="s">
        <v>841</v>
      </c>
      <c r="DJ145" s="143">
        <v>350</v>
      </c>
      <c r="DK145" s="78">
        <v>2</v>
      </c>
      <c r="DL145" s="78">
        <v>1</v>
      </c>
      <c r="DM145" s="78">
        <v>1</v>
      </c>
      <c r="DN145" s="78">
        <v>7</v>
      </c>
      <c r="DO145" s="78">
        <v>2</v>
      </c>
      <c r="DP145" s="78">
        <v>3</v>
      </c>
      <c r="DQ145" s="78">
        <v>8</v>
      </c>
      <c r="DR145" s="78">
        <v>1</v>
      </c>
      <c r="DS145" s="78">
        <v>1</v>
      </c>
      <c r="DT145" s="78">
        <v>0</v>
      </c>
      <c r="DU145" s="78">
        <v>1</v>
      </c>
      <c r="DV145" s="137">
        <v>0.93103449999999999</v>
      </c>
      <c r="DX145" s="143" t="s">
        <v>749</v>
      </c>
      <c r="DY145" s="143" t="s">
        <v>730</v>
      </c>
      <c r="DZ145" s="143" t="s">
        <v>841</v>
      </c>
      <c r="EA145" s="143">
        <v>350</v>
      </c>
      <c r="EB145" s="78">
        <v>1</v>
      </c>
      <c r="EC145" s="78">
        <v>8</v>
      </c>
      <c r="ED145" s="78">
        <v>1</v>
      </c>
      <c r="EE145" s="78">
        <v>4</v>
      </c>
      <c r="EF145" s="78">
        <v>3</v>
      </c>
      <c r="EG145" s="78">
        <v>1</v>
      </c>
      <c r="EH145" s="78">
        <v>1</v>
      </c>
      <c r="EI145" s="78">
        <v>1</v>
      </c>
      <c r="EJ145" s="78">
        <v>1</v>
      </c>
      <c r="EK145" s="78">
        <v>1</v>
      </c>
      <c r="EL145" s="78">
        <v>1</v>
      </c>
      <c r="EM145" s="78">
        <v>1</v>
      </c>
      <c r="EN145" s="78">
        <v>1</v>
      </c>
      <c r="EO145" s="78">
        <v>0</v>
      </c>
      <c r="EP145" s="78">
        <v>0</v>
      </c>
      <c r="EQ145" s="137">
        <v>0.92592589999999997</v>
      </c>
      <c r="ES145" s="143" t="s">
        <v>749</v>
      </c>
      <c r="ET145" s="143" t="s">
        <v>730</v>
      </c>
      <c r="EU145" s="143" t="s">
        <v>841</v>
      </c>
      <c r="EV145" s="143">
        <v>350</v>
      </c>
      <c r="EW145" s="78">
        <v>0.5</v>
      </c>
      <c r="EX145" s="78">
        <v>1</v>
      </c>
      <c r="EY145" s="78">
        <v>0</v>
      </c>
      <c r="EZ145" s="78">
        <v>0</v>
      </c>
      <c r="FA145" s="78">
        <v>0.5</v>
      </c>
      <c r="FB145" s="78">
        <v>3</v>
      </c>
      <c r="FC145" s="78">
        <v>2</v>
      </c>
      <c r="FD145" s="78">
        <v>1</v>
      </c>
      <c r="FE145" s="137">
        <v>0.61538459999999995</v>
      </c>
      <c r="FG145" s="137">
        <v>0.71282800000000002</v>
      </c>
    </row>
    <row r="146" spans="1:163" x14ac:dyDescent="0.35">
      <c r="A146" s="143" t="s">
        <v>749</v>
      </c>
      <c r="B146" s="143" t="s">
        <v>730</v>
      </c>
      <c r="C146" s="143" t="s">
        <v>841</v>
      </c>
      <c r="D146" s="143">
        <v>2088</v>
      </c>
      <c r="E146" s="78">
        <v>0.5</v>
      </c>
      <c r="F146" s="78">
        <v>2.5</v>
      </c>
      <c r="G146" s="78">
        <v>1</v>
      </c>
      <c r="H146" s="78">
        <v>4</v>
      </c>
      <c r="I146" s="78">
        <v>1</v>
      </c>
      <c r="J146" s="78">
        <v>0</v>
      </c>
      <c r="K146" s="78">
        <v>1</v>
      </c>
      <c r="L146" s="78">
        <v>1</v>
      </c>
      <c r="M146" s="78">
        <v>2</v>
      </c>
      <c r="N146" s="137">
        <v>0.92857140000000005</v>
      </c>
      <c r="P146" s="143" t="s">
        <v>749</v>
      </c>
      <c r="Q146" s="143" t="s">
        <v>730</v>
      </c>
      <c r="R146" s="143" t="s">
        <v>841</v>
      </c>
      <c r="S146" s="143">
        <v>2088</v>
      </c>
      <c r="T146" s="78">
        <v>1</v>
      </c>
      <c r="U146" s="78">
        <v>1</v>
      </c>
      <c r="V146" s="78">
        <v>3</v>
      </c>
      <c r="W146" s="78">
        <v>2</v>
      </c>
      <c r="X146" s="78">
        <v>0</v>
      </c>
      <c r="Y146" s="78">
        <v>1</v>
      </c>
      <c r="Z146" s="78">
        <v>3</v>
      </c>
      <c r="AA146" s="78">
        <v>0</v>
      </c>
      <c r="AB146" s="78">
        <v>0</v>
      </c>
      <c r="AC146" s="78">
        <v>0</v>
      </c>
      <c r="AD146" s="137">
        <v>0.32352940000000002</v>
      </c>
      <c r="AF146" s="143" t="s">
        <v>749</v>
      </c>
      <c r="AG146" s="143" t="s">
        <v>730</v>
      </c>
      <c r="AH146" s="143" t="s">
        <v>841</v>
      </c>
      <c r="AI146" s="143">
        <v>2088</v>
      </c>
      <c r="AJ146" s="78">
        <v>1</v>
      </c>
      <c r="AK146" s="78">
        <v>1</v>
      </c>
      <c r="AL146" s="78">
        <v>1</v>
      </c>
      <c r="AM146" s="78">
        <v>6</v>
      </c>
      <c r="AN146" s="78">
        <v>1</v>
      </c>
      <c r="AO146" s="78">
        <v>2</v>
      </c>
      <c r="AP146" s="78">
        <v>1</v>
      </c>
      <c r="AQ146" s="78">
        <v>1</v>
      </c>
      <c r="AR146" s="78">
        <v>2</v>
      </c>
      <c r="AS146" s="78">
        <v>2</v>
      </c>
      <c r="AT146" s="78">
        <v>2</v>
      </c>
      <c r="AU146" s="78">
        <v>1</v>
      </c>
      <c r="AV146" s="78">
        <v>2</v>
      </c>
      <c r="AW146" s="78">
        <v>1</v>
      </c>
      <c r="AX146" s="78">
        <v>0</v>
      </c>
      <c r="AY146" s="78">
        <v>1</v>
      </c>
      <c r="AZ146" s="78">
        <v>2</v>
      </c>
      <c r="BA146" s="78">
        <v>0.5</v>
      </c>
      <c r="BB146" s="78">
        <v>0.5</v>
      </c>
      <c r="BC146" s="78">
        <v>0</v>
      </c>
      <c r="BD146" s="78">
        <v>1</v>
      </c>
      <c r="BE146" s="78">
        <v>0.5</v>
      </c>
      <c r="BF146" s="78">
        <v>1</v>
      </c>
      <c r="BG146" s="78">
        <v>8</v>
      </c>
      <c r="BH146" s="137">
        <v>0.875</v>
      </c>
      <c r="BJ146" s="143" t="s">
        <v>749</v>
      </c>
      <c r="BK146" s="143" t="s">
        <v>730</v>
      </c>
      <c r="BL146" s="143" t="s">
        <v>841</v>
      </c>
      <c r="BM146" s="143">
        <v>2088</v>
      </c>
      <c r="BN146" s="78">
        <v>1</v>
      </c>
      <c r="BO146" s="78">
        <v>4</v>
      </c>
      <c r="BP146" s="78">
        <v>0</v>
      </c>
      <c r="BQ146" s="78">
        <v>3</v>
      </c>
      <c r="BR146" s="78">
        <v>0</v>
      </c>
      <c r="BS146" s="78">
        <v>3</v>
      </c>
      <c r="BT146" s="78">
        <v>0</v>
      </c>
      <c r="BU146" s="137">
        <v>0.47826089999999999</v>
      </c>
      <c r="BW146" s="143" t="s">
        <v>749</v>
      </c>
      <c r="BX146" s="143" t="s">
        <v>730</v>
      </c>
      <c r="BY146" s="143" t="s">
        <v>841</v>
      </c>
      <c r="BZ146" s="143">
        <v>2088</v>
      </c>
      <c r="CA146" s="78">
        <v>1</v>
      </c>
      <c r="CB146" s="78">
        <v>0</v>
      </c>
      <c r="CC146" s="78">
        <v>1</v>
      </c>
      <c r="CD146" s="78">
        <v>2</v>
      </c>
      <c r="CE146" s="78">
        <v>1</v>
      </c>
      <c r="CF146" s="78">
        <v>2</v>
      </c>
      <c r="CG146" s="78">
        <v>1</v>
      </c>
      <c r="CH146" s="78">
        <v>0</v>
      </c>
      <c r="CI146" s="78">
        <v>1</v>
      </c>
      <c r="CJ146" s="78">
        <v>0</v>
      </c>
      <c r="CK146" s="137">
        <v>0.6</v>
      </c>
      <c r="CM146" s="143" t="s">
        <v>749</v>
      </c>
      <c r="CN146" s="143" t="s">
        <v>730</v>
      </c>
      <c r="CO146" s="143" t="s">
        <v>841</v>
      </c>
      <c r="CP146" s="143">
        <v>2088</v>
      </c>
      <c r="CQ146" s="78">
        <v>8</v>
      </c>
      <c r="CR146" s="78">
        <v>0</v>
      </c>
      <c r="CS146" s="78">
        <v>20</v>
      </c>
      <c r="CT146" s="78">
        <v>4</v>
      </c>
      <c r="CU146" s="78">
        <v>2</v>
      </c>
      <c r="CV146" s="78">
        <v>4</v>
      </c>
      <c r="CW146" s="137">
        <v>0.73076920000000001</v>
      </c>
      <c r="CY146" s="143" t="s">
        <v>749</v>
      </c>
      <c r="CZ146" s="143" t="s">
        <v>730</v>
      </c>
      <c r="DA146" s="143" t="s">
        <v>841</v>
      </c>
      <c r="DB146" s="143">
        <v>2088</v>
      </c>
      <c r="DC146" s="78">
        <v>14</v>
      </c>
      <c r="DD146" s="137">
        <v>0</v>
      </c>
      <c r="DE146" s="137">
        <v>0</v>
      </c>
      <c r="DG146" s="143" t="s">
        <v>749</v>
      </c>
      <c r="DH146" s="143" t="s">
        <v>730</v>
      </c>
      <c r="DI146" s="143" t="s">
        <v>841</v>
      </c>
      <c r="DJ146" s="143">
        <v>2088</v>
      </c>
      <c r="DK146" s="78">
        <v>2</v>
      </c>
      <c r="DL146" s="78">
        <v>1</v>
      </c>
      <c r="DM146" s="78">
        <v>1</v>
      </c>
      <c r="DN146" s="78">
        <v>7</v>
      </c>
      <c r="DO146" s="78">
        <v>2</v>
      </c>
      <c r="DP146" s="78">
        <v>3</v>
      </c>
      <c r="DQ146" s="78">
        <v>8</v>
      </c>
      <c r="DR146" s="78">
        <v>1</v>
      </c>
      <c r="DS146" s="78">
        <v>0</v>
      </c>
      <c r="DT146" s="78">
        <v>2</v>
      </c>
      <c r="DU146" s="78">
        <v>0</v>
      </c>
      <c r="DV146" s="137">
        <v>0.93103449999999999</v>
      </c>
      <c r="DX146" s="143" t="s">
        <v>749</v>
      </c>
      <c r="DY146" s="143" t="s">
        <v>730</v>
      </c>
      <c r="DZ146" s="143" t="s">
        <v>841</v>
      </c>
      <c r="EA146" s="143">
        <v>2088</v>
      </c>
      <c r="EB146" s="78">
        <v>1</v>
      </c>
      <c r="EC146" s="78">
        <v>8</v>
      </c>
      <c r="ED146" s="78">
        <v>1</v>
      </c>
      <c r="EE146" s="78">
        <v>0</v>
      </c>
      <c r="EF146" s="78">
        <v>0</v>
      </c>
      <c r="EG146" s="78">
        <v>1</v>
      </c>
      <c r="EH146" s="78">
        <v>1</v>
      </c>
      <c r="EI146" s="78">
        <v>1</v>
      </c>
      <c r="EJ146" s="78">
        <v>1</v>
      </c>
      <c r="EK146" s="78">
        <v>1</v>
      </c>
      <c r="EL146" s="78">
        <v>1</v>
      </c>
      <c r="EM146" s="78">
        <v>1</v>
      </c>
      <c r="EN146" s="78">
        <v>1</v>
      </c>
      <c r="EO146" s="78">
        <v>1</v>
      </c>
      <c r="EP146" s="78">
        <v>1</v>
      </c>
      <c r="EQ146" s="137">
        <v>0.74074070000000003</v>
      </c>
      <c r="ES146" s="143" t="s">
        <v>749</v>
      </c>
      <c r="ET146" s="143" t="s">
        <v>730</v>
      </c>
      <c r="EU146" s="143" t="s">
        <v>841</v>
      </c>
      <c r="EV146" s="143">
        <v>2088</v>
      </c>
      <c r="EW146" s="78">
        <v>0</v>
      </c>
      <c r="EX146" s="78">
        <v>0</v>
      </c>
      <c r="EY146" s="78">
        <v>0</v>
      </c>
      <c r="EZ146" s="78">
        <v>0</v>
      </c>
      <c r="FA146" s="78">
        <v>0.5</v>
      </c>
      <c r="FB146" s="78">
        <v>3</v>
      </c>
      <c r="FC146" s="78">
        <v>2</v>
      </c>
      <c r="FD146" s="78">
        <v>1</v>
      </c>
      <c r="FE146" s="137">
        <v>0.5</v>
      </c>
      <c r="FG146" s="137">
        <v>0.50728859999999998</v>
      </c>
    </row>
    <row r="147" spans="1:163" x14ac:dyDescent="0.35">
      <c r="A147" s="143" t="s">
        <v>749</v>
      </c>
      <c r="B147" s="143" t="s">
        <v>730</v>
      </c>
      <c r="C147" s="143" t="s">
        <v>842</v>
      </c>
      <c r="D147" s="143">
        <v>2165</v>
      </c>
      <c r="E147" s="78">
        <v>0.5</v>
      </c>
      <c r="F147" s="78">
        <v>2.5</v>
      </c>
      <c r="G147" s="78">
        <v>1</v>
      </c>
      <c r="H147" s="78">
        <v>4</v>
      </c>
      <c r="I147" s="78">
        <v>1</v>
      </c>
      <c r="J147" s="78">
        <v>0</v>
      </c>
      <c r="K147" s="78">
        <v>1</v>
      </c>
      <c r="L147" s="78">
        <v>1</v>
      </c>
      <c r="M147" s="78">
        <v>2</v>
      </c>
      <c r="N147" s="137">
        <v>0.92857140000000005</v>
      </c>
      <c r="P147" s="143" t="s">
        <v>749</v>
      </c>
      <c r="Q147" s="143" t="s">
        <v>730</v>
      </c>
      <c r="R147" s="143" t="s">
        <v>842</v>
      </c>
      <c r="S147" s="143">
        <v>2165</v>
      </c>
      <c r="T147" s="78">
        <v>0</v>
      </c>
      <c r="U147" s="78">
        <v>0</v>
      </c>
      <c r="V147" s="78">
        <v>0</v>
      </c>
      <c r="W147" s="78">
        <v>0.5</v>
      </c>
      <c r="X147" s="78">
        <v>0</v>
      </c>
      <c r="Y147" s="78">
        <v>1</v>
      </c>
      <c r="Z147" s="78">
        <v>0</v>
      </c>
      <c r="AA147" s="78">
        <v>0</v>
      </c>
      <c r="AB147" s="78">
        <v>0</v>
      </c>
      <c r="AC147" s="78">
        <v>0</v>
      </c>
      <c r="AD147" s="137">
        <v>4.41176E-2</v>
      </c>
      <c r="AF147" s="143" t="s">
        <v>749</v>
      </c>
      <c r="AG147" s="143" t="s">
        <v>730</v>
      </c>
      <c r="AH147" s="143" t="s">
        <v>842</v>
      </c>
      <c r="AI147" s="143">
        <v>2165</v>
      </c>
      <c r="AJ147" s="78">
        <v>0</v>
      </c>
      <c r="AK147" s="78">
        <v>1</v>
      </c>
      <c r="AL147" s="78">
        <v>0</v>
      </c>
      <c r="AM147" s="78">
        <v>0</v>
      </c>
      <c r="AN147" s="78">
        <v>0</v>
      </c>
      <c r="AO147" s="78">
        <v>0</v>
      </c>
      <c r="AP147" s="78">
        <v>2</v>
      </c>
      <c r="AQ147" s="78">
        <v>1</v>
      </c>
      <c r="AR147" s="78">
        <v>0</v>
      </c>
      <c r="AS147" s="78">
        <v>2</v>
      </c>
      <c r="AT147" s="78">
        <v>0</v>
      </c>
      <c r="AU147" s="78">
        <v>0</v>
      </c>
      <c r="AV147" s="78">
        <v>0</v>
      </c>
      <c r="AW147" s="78">
        <v>0</v>
      </c>
      <c r="AX147" s="78">
        <v>4</v>
      </c>
      <c r="AY147" s="78">
        <v>1</v>
      </c>
      <c r="AZ147" s="78">
        <v>2</v>
      </c>
      <c r="BA147" s="78">
        <v>0.5</v>
      </c>
      <c r="BB147" s="78">
        <v>0.5</v>
      </c>
      <c r="BC147" s="78">
        <v>0.5</v>
      </c>
      <c r="BD147" s="78">
        <v>0</v>
      </c>
      <c r="BE147" s="78">
        <v>0.5</v>
      </c>
      <c r="BF147" s="78">
        <v>0</v>
      </c>
      <c r="BG147" s="78">
        <v>8</v>
      </c>
      <c r="BH147" s="137">
        <v>0.52272730000000001</v>
      </c>
      <c r="BJ147" s="143" t="s">
        <v>749</v>
      </c>
      <c r="BK147" s="143" t="s">
        <v>730</v>
      </c>
      <c r="BL147" s="143" t="s">
        <v>842</v>
      </c>
      <c r="BM147" s="143">
        <v>2165</v>
      </c>
      <c r="BN147" s="78">
        <v>1</v>
      </c>
      <c r="BO147" s="78">
        <v>0</v>
      </c>
      <c r="BP147" s="78">
        <v>0</v>
      </c>
      <c r="BQ147" s="78">
        <v>3</v>
      </c>
      <c r="BR147" s="78">
        <v>0</v>
      </c>
      <c r="BS147" s="78">
        <v>3</v>
      </c>
      <c r="BT147" s="78">
        <v>2</v>
      </c>
      <c r="BU147" s="137">
        <v>0.39130429999999999</v>
      </c>
      <c r="BW147" s="143" t="s">
        <v>749</v>
      </c>
      <c r="BX147" s="143" t="s">
        <v>730</v>
      </c>
      <c r="BY147" s="143" t="s">
        <v>842</v>
      </c>
      <c r="BZ147" s="143">
        <v>2165</v>
      </c>
      <c r="CM147" s="143" t="s">
        <v>749</v>
      </c>
      <c r="CN147" s="143" t="s">
        <v>730</v>
      </c>
      <c r="CO147" s="143" t="s">
        <v>842</v>
      </c>
      <c r="CP147" s="143">
        <v>2165</v>
      </c>
      <c r="CQ147" s="78">
        <v>0</v>
      </c>
      <c r="CR147" s="78">
        <v>6</v>
      </c>
      <c r="CS147" s="78">
        <v>20</v>
      </c>
      <c r="CT147" s="78">
        <v>4</v>
      </c>
      <c r="CU147" s="78">
        <v>0</v>
      </c>
      <c r="CV147" s="78">
        <v>8</v>
      </c>
      <c r="CW147" s="137">
        <v>0.73076920000000001</v>
      </c>
      <c r="CY147" s="143" t="s">
        <v>749</v>
      </c>
      <c r="CZ147" s="143" t="s">
        <v>730</v>
      </c>
      <c r="DA147" s="143" t="s">
        <v>842</v>
      </c>
      <c r="DB147" s="143">
        <v>2165</v>
      </c>
      <c r="DC147" s="78">
        <v>0</v>
      </c>
      <c r="DD147" s="137">
        <v>0</v>
      </c>
      <c r="DE147" s="137">
        <v>0</v>
      </c>
      <c r="DG147" s="143" t="s">
        <v>749</v>
      </c>
      <c r="DH147" s="143" t="s">
        <v>730</v>
      </c>
      <c r="DI147" s="143" t="s">
        <v>842</v>
      </c>
      <c r="DJ147" s="143">
        <v>2165</v>
      </c>
      <c r="DK147" s="78">
        <v>0</v>
      </c>
      <c r="DL147" s="78">
        <v>0</v>
      </c>
      <c r="DM147" s="78">
        <v>0</v>
      </c>
      <c r="DN147" s="78">
        <v>0</v>
      </c>
      <c r="DO147" s="78">
        <v>2</v>
      </c>
      <c r="DP147" s="78">
        <v>3</v>
      </c>
      <c r="DQ147" s="78">
        <v>7</v>
      </c>
      <c r="DR147" s="78">
        <v>1</v>
      </c>
      <c r="DS147" s="78">
        <v>1</v>
      </c>
      <c r="DT147" s="78">
        <v>0</v>
      </c>
      <c r="DU147" s="78">
        <v>0</v>
      </c>
      <c r="DV147" s="137">
        <v>0.48275859999999998</v>
      </c>
      <c r="DX147" s="143" t="s">
        <v>749</v>
      </c>
      <c r="DY147" s="143" t="s">
        <v>730</v>
      </c>
      <c r="DZ147" s="143" t="s">
        <v>842</v>
      </c>
      <c r="EA147" s="143">
        <v>2165</v>
      </c>
      <c r="EB147" s="78">
        <v>0</v>
      </c>
      <c r="EC147" s="78">
        <v>0</v>
      </c>
      <c r="ED147" s="78">
        <v>0</v>
      </c>
      <c r="EE147" s="78">
        <v>4</v>
      </c>
      <c r="EF147" s="78">
        <v>0</v>
      </c>
      <c r="EG147" s="78">
        <v>1</v>
      </c>
      <c r="EH147" s="78">
        <v>0</v>
      </c>
      <c r="EI147" s="78">
        <v>1</v>
      </c>
      <c r="EJ147" s="78">
        <v>0</v>
      </c>
      <c r="EK147" s="78">
        <v>1</v>
      </c>
      <c r="EL147" s="78">
        <v>1</v>
      </c>
      <c r="EM147" s="78">
        <v>0</v>
      </c>
      <c r="EN147" s="78">
        <v>0</v>
      </c>
      <c r="EO147" s="78">
        <v>1</v>
      </c>
      <c r="EP147" s="78">
        <v>1</v>
      </c>
      <c r="EQ147" s="137">
        <v>0.37037039999999999</v>
      </c>
      <c r="ES147" s="143" t="s">
        <v>749</v>
      </c>
      <c r="ET147" s="143" t="s">
        <v>730</v>
      </c>
      <c r="EU147" s="143" t="s">
        <v>842</v>
      </c>
      <c r="EV147" s="143">
        <v>2165</v>
      </c>
      <c r="EW147" s="78">
        <v>0</v>
      </c>
      <c r="EX147" s="78">
        <v>0</v>
      </c>
      <c r="EY147" s="78">
        <v>0</v>
      </c>
      <c r="EZ147" s="78">
        <v>0</v>
      </c>
      <c r="FA147" s="78">
        <v>0.5</v>
      </c>
      <c r="FB147" s="78">
        <v>3</v>
      </c>
      <c r="FC147" s="78">
        <v>2</v>
      </c>
      <c r="FD147" s="78">
        <v>1</v>
      </c>
      <c r="FE147" s="137">
        <v>0.5</v>
      </c>
      <c r="FG147" s="137">
        <v>0.35060970000000002</v>
      </c>
    </row>
    <row r="148" spans="1:163" x14ac:dyDescent="0.35">
      <c r="A148" s="143" t="s">
        <v>749</v>
      </c>
      <c r="B148" s="143" t="s">
        <v>730</v>
      </c>
      <c r="C148" s="143" t="s">
        <v>842</v>
      </c>
      <c r="D148" s="143">
        <v>2166</v>
      </c>
      <c r="E148" s="78">
        <v>0</v>
      </c>
      <c r="F148" s="78">
        <v>2.5</v>
      </c>
      <c r="G148" s="78">
        <v>0</v>
      </c>
      <c r="H148" s="78">
        <v>4</v>
      </c>
      <c r="I148" s="78">
        <v>1</v>
      </c>
      <c r="J148" s="78">
        <v>0</v>
      </c>
      <c r="K148" s="78">
        <v>1</v>
      </c>
      <c r="L148" s="78">
        <v>1</v>
      </c>
      <c r="M148" s="78">
        <v>2</v>
      </c>
      <c r="N148" s="137">
        <v>0.82142859999999995</v>
      </c>
      <c r="P148" s="143" t="s">
        <v>749</v>
      </c>
      <c r="Q148" s="143" t="s">
        <v>730</v>
      </c>
      <c r="R148" s="143" t="s">
        <v>842</v>
      </c>
      <c r="S148" s="143">
        <v>2166</v>
      </c>
      <c r="T148" s="78">
        <v>0</v>
      </c>
      <c r="U148" s="78">
        <v>1</v>
      </c>
      <c r="V148" s="78">
        <v>0</v>
      </c>
      <c r="W148" s="78">
        <v>0</v>
      </c>
      <c r="X148" s="78">
        <v>0</v>
      </c>
      <c r="Y148" s="78">
        <v>1</v>
      </c>
      <c r="Z148" s="78">
        <v>3</v>
      </c>
      <c r="AA148" s="78">
        <v>0</v>
      </c>
      <c r="AB148" s="78">
        <v>0</v>
      </c>
      <c r="AC148" s="78">
        <v>0</v>
      </c>
      <c r="AD148" s="137">
        <v>0.14705879999999999</v>
      </c>
      <c r="AF148" s="143" t="s">
        <v>749</v>
      </c>
      <c r="AG148" s="143" t="s">
        <v>730</v>
      </c>
      <c r="AH148" s="143" t="s">
        <v>842</v>
      </c>
      <c r="AI148" s="143">
        <v>2166</v>
      </c>
      <c r="AJ148" s="78">
        <v>0</v>
      </c>
      <c r="AK148" s="78">
        <v>1</v>
      </c>
      <c r="AL148" s="78">
        <v>1</v>
      </c>
      <c r="AM148" s="78">
        <v>5</v>
      </c>
      <c r="AN148" s="78">
        <v>1</v>
      </c>
      <c r="AO148" s="78">
        <v>0</v>
      </c>
      <c r="AP148" s="78">
        <v>2</v>
      </c>
      <c r="AQ148" s="78">
        <v>1</v>
      </c>
      <c r="AR148" s="78">
        <v>0</v>
      </c>
      <c r="AS148" s="78">
        <v>2</v>
      </c>
      <c r="AT148" s="78">
        <v>2</v>
      </c>
      <c r="AU148" s="78">
        <v>1</v>
      </c>
      <c r="AV148" s="78">
        <v>2</v>
      </c>
      <c r="AW148" s="78">
        <v>1</v>
      </c>
      <c r="AX148" s="78">
        <v>4</v>
      </c>
      <c r="AY148" s="78">
        <v>0</v>
      </c>
      <c r="AZ148" s="78">
        <v>2</v>
      </c>
      <c r="BA148" s="78">
        <v>0.5</v>
      </c>
      <c r="BB148" s="78">
        <v>0.5</v>
      </c>
      <c r="BC148" s="78">
        <v>0.5</v>
      </c>
      <c r="BD148" s="78">
        <v>1</v>
      </c>
      <c r="BE148" s="78">
        <v>0</v>
      </c>
      <c r="BF148" s="78">
        <v>1</v>
      </c>
      <c r="BG148" s="78">
        <v>8</v>
      </c>
      <c r="BH148" s="137">
        <v>0.82954539999999999</v>
      </c>
      <c r="BJ148" s="143" t="s">
        <v>749</v>
      </c>
      <c r="BK148" s="143" t="s">
        <v>730</v>
      </c>
      <c r="BL148" s="143" t="s">
        <v>842</v>
      </c>
      <c r="BM148" s="143">
        <v>2166</v>
      </c>
      <c r="BN148" s="78">
        <v>1</v>
      </c>
      <c r="BO148" s="78">
        <v>4</v>
      </c>
      <c r="BP148" s="78">
        <v>0</v>
      </c>
      <c r="BQ148" s="78">
        <v>3</v>
      </c>
      <c r="BR148" s="78">
        <v>0</v>
      </c>
      <c r="BS148" s="78">
        <v>3</v>
      </c>
      <c r="BT148" s="78">
        <v>2</v>
      </c>
      <c r="BU148" s="137">
        <v>0.56521739999999998</v>
      </c>
      <c r="BW148" s="143" t="s">
        <v>749</v>
      </c>
      <c r="BX148" s="143" t="s">
        <v>730</v>
      </c>
      <c r="BY148" s="143" t="s">
        <v>842</v>
      </c>
      <c r="BZ148" s="143">
        <v>2166</v>
      </c>
      <c r="CA148" s="78">
        <v>1</v>
      </c>
      <c r="CB148" s="78">
        <v>0</v>
      </c>
      <c r="CC148" s="78">
        <v>1</v>
      </c>
      <c r="CD148" s="78">
        <v>2</v>
      </c>
      <c r="CE148" s="78">
        <v>1</v>
      </c>
      <c r="CF148" s="78">
        <v>2</v>
      </c>
      <c r="CG148" s="78">
        <v>1</v>
      </c>
      <c r="CH148" s="78">
        <v>2</v>
      </c>
      <c r="CI148" s="78">
        <v>0</v>
      </c>
      <c r="CJ148" s="78">
        <v>0</v>
      </c>
      <c r="CK148" s="137">
        <v>0.66666669999999995</v>
      </c>
      <c r="CM148" s="143" t="s">
        <v>749</v>
      </c>
      <c r="CN148" s="143" t="s">
        <v>730</v>
      </c>
      <c r="CO148" s="143" t="s">
        <v>842</v>
      </c>
      <c r="CP148" s="143">
        <v>2166</v>
      </c>
      <c r="CQ148" s="78">
        <v>0</v>
      </c>
      <c r="CR148" s="78">
        <v>0</v>
      </c>
      <c r="CS148" s="78">
        <v>24</v>
      </c>
      <c r="CT148" s="78">
        <v>4</v>
      </c>
      <c r="CU148" s="78">
        <v>2</v>
      </c>
      <c r="CV148" s="78">
        <v>8</v>
      </c>
      <c r="CW148" s="137">
        <v>0.73076920000000001</v>
      </c>
      <c r="CY148" s="143" t="s">
        <v>749</v>
      </c>
      <c r="CZ148" s="143" t="s">
        <v>730</v>
      </c>
      <c r="DA148" s="143" t="s">
        <v>842</v>
      </c>
      <c r="DB148" s="143">
        <v>2166</v>
      </c>
      <c r="DC148" s="78">
        <v>18</v>
      </c>
      <c r="DD148" s="137">
        <v>0</v>
      </c>
      <c r="DE148" s="137">
        <v>0</v>
      </c>
      <c r="DG148" s="143" t="s">
        <v>749</v>
      </c>
      <c r="DH148" s="143" t="s">
        <v>730</v>
      </c>
      <c r="DI148" s="143" t="s">
        <v>842</v>
      </c>
      <c r="DJ148" s="143">
        <v>2166</v>
      </c>
      <c r="DK148" s="78">
        <v>0</v>
      </c>
      <c r="DL148" s="78">
        <v>0</v>
      </c>
      <c r="DM148" s="78">
        <v>0</v>
      </c>
      <c r="DN148" s="78">
        <v>4</v>
      </c>
      <c r="DO148" s="78">
        <v>2</v>
      </c>
      <c r="DP148" s="78">
        <v>3</v>
      </c>
      <c r="DQ148" s="78">
        <v>7</v>
      </c>
      <c r="DR148" s="78">
        <v>1</v>
      </c>
      <c r="DS148" s="78">
        <v>1</v>
      </c>
      <c r="DT148" s="78">
        <v>2</v>
      </c>
      <c r="DU148" s="78">
        <v>0</v>
      </c>
      <c r="DV148" s="137">
        <v>0.68965520000000002</v>
      </c>
      <c r="DX148" s="143" t="s">
        <v>749</v>
      </c>
      <c r="DY148" s="143" t="s">
        <v>730</v>
      </c>
      <c r="DZ148" s="143" t="s">
        <v>842</v>
      </c>
      <c r="EA148" s="143">
        <v>2166</v>
      </c>
      <c r="EB148" s="78">
        <v>0</v>
      </c>
      <c r="EC148" s="78">
        <v>0</v>
      </c>
      <c r="ED148" s="78">
        <v>0</v>
      </c>
      <c r="EE148" s="78">
        <v>0</v>
      </c>
      <c r="EF148" s="78">
        <v>3</v>
      </c>
      <c r="EG148" s="78">
        <v>1</v>
      </c>
      <c r="EH148" s="78">
        <v>1</v>
      </c>
      <c r="EI148" s="78">
        <v>1</v>
      </c>
      <c r="EJ148" s="78">
        <v>1</v>
      </c>
      <c r="EK148" s="78">
        <v>0</v>
      </c>
      <c r="EL148" s="78">
        <v>1</v>
      </c>
      <c r="EM148" s="78">
        <v>1</v>
      </c>
      <c r="EN148" s="78">
        <v>1</v>
      </c>
      <c r="EO148" s="78">
        <v>0</v>
      </c>
      <c r="EP148" s="78">
        <v>0</v>
      </c>
      <c r="EQ148" s="137">
        <v>0.37037039999999999</v>
      </c>
      <c r="ES148" s="143" t="s">
        <v>749</v>
      </c>
      <c r="ET148" s="143" t="s">
        <v>730</v>
      </c>
      <c r="EU148" s="143" t="s">
        <v>842</v>
      </c>
      <c r="EV148" s="143">
        <v>2166</v>
      </c>
      <c r="EW148" s="78">
        <v>0.5</v>
      </c>
      <c r="EX148" s="78">
        <v>0</v>
      </c>
      <c r="EY148" s="78">
        <v>0</v>
      </c>
      <c r="EZ148" s="78">
        <v>0</v>
      </c>
      <c r="FA148" s="78">
        <v>0</v>
      </c>
      <c r="FB148" s="78">
        <v>3</v>
      </c>
      <c r="FC148" s="78">
        <v>2</v>
      </c>
      <c r="FD148" s="78">
        <v>1</v>
      </c>
      <c r="FE148" s="137">
        <v>0.5</v>
      </c>
      <c r="FG148" s="137">
        <v>0.43877549999999998</v>
      </c>
    </row>
    <row r="149" spans="1:163" x14ac:dyDescent="0.35">
      <c r="A149" s="143" t="s">
        <v>749</v>
      </c>
      <c r="B149" s="143" t="s">
        <v>730</v>
      </c>
      <c r="C149" s="143" t="s">
        <v>842</v>
      </c>
      <c r="D149" s="143">
        <v>2168</v>
      </c>
      <c r="E149" s="78">
        <v>0.5</v>
      </c>
      <c r="F149" s="78">
        <v>2.5</v>
      </c>
      <c r="G149" s="78">
        <v>0</v>
      </c>
      <c r="H149" s="78">
        <v>4</v>
      </c>
      <c r="I149" s="78">
        <v>1</v>
      </c>
      <c r="J149" s="78">
        <v>0</v>
      </c>
      <c r="K149" s="78">
        <v>1</v>
      </c>
      <c r="L149" s="78">
        <v>1</v>
      </c>
      <c r="M149" s="78">
        <v>2</v>
      </c>
      <c r="N149" s="137">
        <v>0.85714290000000004</v>
      </c>
      <c r="P149" s="143" t="s">
        <v>749</v>
      </c>
      <c r="Q149" s="143" t="s">
        <v>730</v>
      </c>
      <c r="R149" s="143" t="s">
        <v>842</v>
      </c>
      <c r="S149" s="143">
        <v>2168</v>
      </c>
      <c r="T149" s="78">
        <v>1</v>
      </c>
      <c r="U149" s="78">
        <v>1</v>
      </c>
      <c r="V149" s="78">
        <v>3</v>
      </c>
      <c r="W149" s="78">
        <v>2</v>
      </c>
      <c r="X149" s="78">
        <v>0</v>
      </c>
      <c r="Y149" s="78">
        <v>1</v>
      </c>
      <c r="Z149" s="78">
        <v>3</v>
      </c>
      <c r="AA149" s="78">
        <v>0</v>
      </c>
      <c r="AB149" s="78">
        <v>0</v>
      </c>
      <c r="AC149" s="78">
        <v>3</v>
      </c>
      <c r="AD149" s="137">
        <v>0.41176469999999998</v>
      </c>
      <c r="AF149" s="143" t="s">
        <v>749</v>
      </c>
      <c r="AG149" s="143" t="s">
        <v>730</v>
      </c>
      <c r="AH149" s="143" t="s">
        <v>842</v>
      </c>
      <c r="AI149" s="143">
        <v>2168</v>
      </c>
      <c r="AJ149" s="78">
        <v>1</v>
      </c>
      <c r="AK149" s="78">
        <v>1</v>
      </c>
      <c r="AL149" s="78">
        <v>1</v>
      </c>
      <c r="AM149" s="78">
        <v>6</v>
      </c>
      <c r="AN149" s="78">
        <v>1</v>
      </c>
      <c r="AO149" s="78">
        <v>2</v>
      </c>
      <c r="AP149" s="78">
        <v>2</v>
      </c>
      <c r="AQ149" s="78">
        <v>1</v>
      </c>
      <c r="AR149" s="78">
        <v>0</v>
      </c>
      <c r="AS149" s="78">
        <v>2</v>
      </c>
      <c r="AT149" s="78">
        <v>2</v>
      </c>
      <c r="AU149" s="78">
        <v>0</v>
      </c>
      <c r="AV149" s="78">
        <v>2</v>
      </c>
      <c r="AW149" s="78">
        <v>0</v>
      </c>
      <c r="AX149" s="78">
        <v>0</v>
      </c>
      <c r="AY149" s="78">
        <v>1</v>
      </c>
      <c r="AZ149" s="78">
        <v>2</v>
      </c>
      <c r="BA149" s="78">
        <v>0.5</v>
      </c>
      <c r="BB149" s="78">
        <v>0.5</v>
      </c>
      <c r="BC149" s="78">
        <v>0.5</v>
      </c>
      <c r="BD149" s="78">
        <v>1</v>
      </c>
      <c r="BE149" s="78">
        <v>0.5</v>
      </c>
      <c r="BF149" s="78">
        <v>0</v>
      </c>
      <c r="BG149" s="78">
        <v>8</v>
      </c>
      <c r="BH149" s="137">
        <v>0.79545460000000001</v>
      </c>
      <c r="BJ149" s="143" t="s">
        <v>749</v>
      </c>
      <c r="BK149" s="143" t="s">
        <v>730</v>
      </c>
      <c r="BL149" s="143" t="s">
        <v>842</v>
      </c>
      <c r="BM149" s="143">
        <v>2168</v>
      </c>
      <c r="BN149" s="78">
        <v>1</v>
      </c>
      <c r="BO149" s="78">
        <v>0</v>
      </c>
      <c r="BP149" s="78">
        <v>0</v>
      </c>
      <c r="BQ149" s="78">
        <v>3</v>
      </c>
      <c r="BR149" s="78">
        <v>0</v>
      </c>
      <c r="BS149" s="78">
        <v>3</v>
      </c>
      <c r="BT149" s="78">
        <v>2</v>
      </c>
      <c r="BU149" s="137">
        <v>0.39130429999999999</v>
      </c>
      <c r="BW149" s="143" t="s">
        <v>749</v>
      </c>
      <c r="BX149" s="143" t="s">
        <v>730</v>
      </c>
      <c r="BY149" s="143" t="s">
        <v>842</v>
      </c>
      <c r="BZ149" s="143">
        <v>2168</v>
      </c>
      <c r="CM149" s="143" t="s">
        <v>749</v>
      </c>
      <c r="CN149" s="143" t="s">
        <v>730</v>
      </c>
      <c r="CO149" s="143" t="s">
        <v>842</v>
      </c>
      <c r="CP149" s="143">
        <v>2168</v>
      </c>
      <c r="CQ149" s="78">
        <v>8</v>
      </c>
      <c r="CR149" s="78">
        <v>0</v>
      </c>
      <c r="CS149" s="78">
        <v>16</v>
      </c>
      <c r="CT149" s="78">
        <v>4</v>
      </c>
      <c r="CU149" s="78">
        <v>2</v>
      </c>
      <c r="CV149" s="78">
        <v>4</v>
      </c>
      <c r="CW149" s="137">
        <v>0.65384609999999999</v>
      </c>
      <c r="CY149" s="143" t="s">
        <v>749</v>
      </c>
      <c r="CZ149" s="143" t="s">
        <v>730</v>
      </c>
      <c r="DA149" s="143" t="s">
        <v>842</v>
      </c>
      <c r="DB149" s="143">
        <v>2168</v>
      </c>
      <c r="DC149" s="78">
        <v>32</v>
      </c>
      <c r="DD149" s="137">
        <v>0</v>
      </c>
      <c r="DE149" s="137">
        <v>0</v>
      </c>
      <c r="DG149" s="143" t="s">
        <v>749</v>
      </c>
      <c r="DH149" s="143" t="s">
        <v>730</v>
      </c>
      <c r="DI149" s="143" t="s">
        <v>842</v>
      </c>
      <c r="DJ149" s="143">
        <v>2168</v>
      </c>
      <c r="DK149" s="78">
        <v>2</v>
      </c>
      <c r="DL149" s="78">
        <v>1</v>
      </c>
      <c r="DM149" s="78">
        <v>1</v>
      </c>
      <c r="DN149" s="78">
        <v>5</v>
      </c>
      <c r="DO149" s="78">
        <v>2</v>
      </c>
      <c r="DP149" s="78">
        <v>3</v>
      </c>
      <c r="DQ149" s="78">
        <v>8</v>
      </c>
      <c r="DR149" s="78">
        <v>1</v>
      </c>
      <c r="DS149" s="78">
        <v>1</v>
      </c>
      <c r="DT149" s="78">
        <v>0</v>
      </c>
      <c r="DU149" s="78">
        <v>0</v>
      </c>
      <c r="DV149" s="137">
        <v>0.82758620000000005</v>
      </c>
      <c r="DX149" s="143" t="s">
        <v>749</v>
      </c>
      <c r="DY149" s="143" t="s">
        <v>730</v>
      </c>
      <c r="DZ149" s="143" t="s">
        <v>842</v>
      </c>
      <c r="EA149" s="143">
        <v>2168</v>
      </c>
      <c r="EB149" s="78">
        <v>1</v>
      </c>
      <c r="EC149" s="78">
        <v>8</v>
      </c>
      <c r="ED149" s="78">
        <v>1</v>
      </c>
      <c r="EE149" s="78">
        <v>0</v>
      </c>
      <c r="EF149" s="78">
        <v>0</v>
      </c>
      <c r="EG149" s="78">
        <v>1</v>
      </c>
      <c r="EH149" s="78">
        <v>1</v>
      </c>
      <c r="EI149" s="78">
        <v>1</v>
      </c>
      <c r="EJ149" s="78">
        <v>1</v>
      </c>
      <c r="EK149" s="78">
        <v>1</v>
      </c>
      <c r="EL149" s="78">
        <v>1</v>
      </c>
      <c r="EM149" s="78">
        <v>1</v>
      </c>
      <c r="EN149" s="78">
        <v>0</v>
      </c>
      <c r="EO149" s="78">
        <v>1</v>
      </c>
      <c r="EP149" s="78">
        <v>0</v>
      </c>
      <c r="EQ149" s="137">
        <v>0.66666669999999995</v>
      </c>
      <c r="ES149" s="143" t="s">
        <v>749</v>
      </c>
      <c r="ET149" s="143" t="s">
        <v>730</v>
      </c>
      <c r="EU149" s="143" t="s">
        <v>842</v>
      </c>
      <c r="EV149" s="143">
        <v>2168</v>
      </c>
      <c r="EW149" s="78">
        <v>0</v>
      </c>
      <c r="EX149" s="78">
        <v>0</v>
      </c>
      <c r="EY149" s="78">
        <v>0</v>
      </c>
      <c r="EZ149" s="78">
        <v>0</v>
      </c>
      <c r="FA149" s="78">
        <v>0.5</v>
      </c>
      <c r="FB149" s="78">
        <v>3</v>
      </c>
      <c r="FC149" s="78">
        <v>2</v>
      </c>
      <c r="FD149" s="78">
        <v>1</v>
      </c>
      <c r="FE149" s="137">
        <v>0.5</v>
      </c>
      <c r="FG149" s="137">
        <v>0.46493899999999999</v>
      </c>
    </row>
    <row r="150" spans="1:163" x14ac:dyDescent="0.35">
      <c r="A150" s="143" t="s">
        <v>749</v>
      </c>
      <c r="B150" s="143" t="s">
        <v>730</v>
      </c>
      <c r="C150" s="143" t="s">
        <v>842</v>
      </c>
      <c r="D150" s="143">
        <v>2172</v>
      </c>
      <c r="E150" s="78">
        <v>0</v>
      </c>
      <c r="F150" s="78">
        <v>2</v>
      </c>
      <c r="G150" s="78">
        <v>1</v>
      </c>
      <c r="H150" s="78">
        <v>0</v>
      </c>
      <c r="I150" s="78">
        <v>1</v>
      </c>
      <c r="J150" s="78">
        <v>0</v>
      </c>
      <c r="K150" s="78">
        <v>1</v>
      </c>
      <c r="L150" s="78">
        <v>1</v>
      </c>
      <c r="M150" s="78">
        <v>2</v>
      </c>
      <c r="N150" s="137">
        <v>0.57142859999999995</v>
      </c>
      <c r="P150" s="143" t="s">
        <v>749</v>
      </c>
      <c r="Q150" s="143" t="s">
        <v>730</v>
      </c>
      <c r="R150" s="143" t="s">
        <v>842</v>
      </c>
      <c r="S150" s="143">
        <v>2172</v>
      </c>
      <c r="T150" s="78">
        <v>1</v>
      </c>
      <c r="U150" s="78">
        <v>0</v>
      </c>
      <c r="V150" s="78">
        <v>0</v>
      </c>
      <c r="W150" s="78">
        <v>0</v>
      </c>
      <c r="X150" s="78">
        <v>0</v>
      </c>
      <c r="Y150" s="78">
        <v>1</v>
      </c>
      <c r="Z150" s="78">
        <v>3</v>
      </c>
      <c r="AA150" s="78">
        <v>0</v>
      </c>
      <c r="AB150" s="78">
        <v>0</v>
      </c>
      <c r="AC150" s="78">
        <v>0</v>
      </c>
      <c r="AD150" s="137">
        <v>0.14705879999999999</v>
      </c>
      <c r="AF150" s="143" t="s">
        <v>749</v>
      </c>
      <c r="AG150" s="143" t="s">
        <v>730</v>
      </c>
      <c r="AH150" s="143" t="s">
        <v>842</v>
      </c>
      <c r="AI150" s="143">
        <v>2172</v>
      </c>
      <c r="AJ150" s="78">
        <v>0</v>
      </c>
      <c r="AK150" s="78">
        <v>1</v>
      </c>
      <c r="AL150" s="78">
        <v>1</v>
      </c>
      <c r="AM150" s="78">
        <v>0</v>
      </c>
      <c r="AN150" s="78">
        <v>1</v>
      </c>
      <c r="AO150" s="78">
        <v>0</v>
      </c>
      <c r="AP150" s="78">
        <v>2</v>
      </c>
      <c r="AQ150" s="78">
        <v>1</v>
      </c>
      <c r="AR150" s="78">
        <v>0</v>
      </c>
      <c r="AS150" s="78">
        <v>2</v>
      </c>
      <c r="AT150" s="78">
        <v>0</v>
      </c>
      <c r="AU150" s="78">
        <v>0</v>
      </c>
      <c r="AV150" s="78">
        <v>2</v>
      </c>
      <c r="AW150" s="78">
        <v>1</v>
      </c>
      <c r="AX150" s="78">
        <v>4</v>
      </c>
      <c r="AY150" s="78">
        <v>0</v>
      </c>
      <c r="AZ150" s="78">
        <v>0</v>
      </c>
      <c r="BA150" s="78">
        <v>0.5</v>
      </c>
      <c r="BB150" s="78">
        <v>0.5</v>
      </c>
      <c r="BC150" s="78">
        <v>0</v>
      </c>
      <c r="BD150" s="78">
        <v>1</v>
      </c>
      <c r="BE150" s="78">
        <v>0.5</v>
      </c>
      <c r="BF150" s="78">
        <v>1</v>
      </c>
      <c r="BG150" s="78">
        <v>8</v>
      </c>
      <c r="BH150" s="137">
        <v>0.60227269999999999</v>
      </c>
      <c r="BJ150" s="143" t="s">
        <v>749</v>
      </c>
      <c r="BK150" s="143" t="s">
        <v>730</v>
      </c>
      <c r="BL150" s="143" t="s">
        <v>842</v>
      </c>
      <c r="BM150" s="143">
        <v>2172</v>
      </c>
      <c r="BN150" s="78">
        <v>1</v>
      </c>
      <c r="BO150" s="78">
        <v>4</v>
      </c>
      <c r="BP150" s="78">
        <v>0</v>
      </c>
      <c r="BQ150" s="78">
        <v>3</v>
      </c>
      <c r="BR150" s="78">
        <v>0</v>
      </c>
      <c r="BS150" s="78">
        <v>3</v>
      </c>
      <c r="BT150" s="78">
        <v>2</v>
      </c>
      <c r="BU150" s="137">
        <v>0.56521739999999998</v>
      </c>
      <c r="BW150" s="143" t="s">
        <v>749</v>
      </c>
      <c r="BX150" s="143" t="s">
        <v>730</v>
      </c>
      <c r="BY150" s="143" t="s">
        <v>842</v>
      </c>
      <c r="BZ150" s="143">
        <v>2172</v>
      </c>
      <c r="CA150" s="78">
        <v>1</v>
      </c>
      <c r="CB150" s="78">
        <v>0</v>
      </c>
      <c r="CC150" s="78">
        <v>1</v>
      </c>
      <c r="CD150" s="78">
        <v>2</v>
      </c>
      <c r="CE150" s="78">
        <v>1</v>
      </c>
      <c r="CF150" s="78">
        <v>2</v>
      </c>
      <c r="CG150" s="78">
        <v>1</v>
      </c>
      <c r="CH150" s="78">
        <v>2</v>
      </c>
      <c r="CI150" s="78">
        <v>1</v>
      </c>
      <c r="CJ150" s="78">
        <v>0</v>
      </c>
      <c r="CK150" s="137">
        <v>0.73333329999999997</v>
      </c>
      <c r="CM150" s="143" t="s">
        <v>749</v>
      </c>
      <c r="CN150" s="143" t="s">
        <v>730</v>
      </c>
      <c r="CO150" s="143" t="s">
        <v>842</v>
      </c>
      <c r="CP150" s="143">
        <v>2172</v>
      </c>
      <c r="CQ150" s="78">
        <v>2</v>
      </c>
      <c r="CR150" s="78">
        <v>6</v>
      </c>
      <c r="CS150" s="78">
        <v>24</v>
      </c>
      <c r="CT150" s="78">
        <v>4</v>
      </c>
      <c r="CU150" s="78">
        <v>0</v>
      </c>
      <c r="CV150" s="78">
        <v>8</v>
      </c>
      <c r="CW150" s="137">
        <v>0.84615390000000001</v>
      </c>
      <c r="CY150" s="143" t="s">
        <v>749</v>
      </c>
      <c r="CZ150" s="143" t="s">
        <v>730</v>
      </c>
      <c r="DA150" s="143" t="s">
        <v>842</v>
      </c>
      <c r="DB150" s="143">
        <v>2172</v>
      </c>
      <c r="DC150" s="78">
        <v>24</v>
      </c>
      <c r="DD150" s="137">
        <v>0</v>
      </c>
      <c r="DE150" s="137">
        <v>0</v>
      </c>
      <c r="DG150" s="143" t="s">
        <v>749</v>
      </c>
      <c r="DH150" s="143" t="s">
        <v>730</v>
      </c>
      <c r="DI150" s="143" t="s">
        <v>842</v>
      </c>
      <c r="DJ150" s="143">
        <v>2172</v>
      </c>
      <c r="DK150" s="78">
        <v>2</v>
      </c>
      <c r="DL150" s="78">
        <v>1</v>
      </c>
      <c r="DM150" s="78">
        <v>0</v>
      </c>
      <c r="DN150" s="78">
        <v>4</v>
      </c>
      <c r="DO150" s="78">
        <v>2</v>
      </c>
      <c r="DP150" s="78">
        <v>3</v>
      </c>
      <c r="DQ150" s="78">
        <v>5</v>
      </c>
      <c r="DR150" s="78">
        <v>0</v>
      </c>
      <c r="DS150" s="78">
        <v>1</v>
      </c>
      <c r="DT150" s="78">
        <v>0</v>
      </c>
      <c r="DU150" s="78">
        <v>0</v>
      </c>
      <c r="DV150" s="137">
        <v>0.62068959999999995</v>
      </c>
      <c r="DX150" s="143" t="s">
        <v>749</v>
      </c>
      <c r="DY150" s="143" t="s">
        <v>730</v>
      </c>
      <c r="DZ150" s="143" t="s">
        <v>842</v>
      </c>
      <c r="EA150" s="143">
        <v>2172</v>
      </c>
      <c r="EB150" s="78">
        <v>0</v>
      </c>
      <c r="EC150" s="78">
        <v>0</v>
      </c>
      <c r="ED150" s="78">
        <v>0</v>
      </c>
      <c r="EE150" s="78">
        <v>0</v>
      </c>
      <c r="EF150" s="78">
        <v>3</v>
      </c>
      <c r="EG150" s="78">
        <v>1</v>
      </c>
      <c r="EH150" s="78">
        <v>1</v>
      </c>
      <c r="EI150" s="78">
        <v>1</v>
      </c>
      <c r="EJ150" s="78">
        <v>1</v>
      </c>
      <c r="EK150" s="78">
        <v>1</v>
      </c>
      <c r="EL150" s="78">
        <v>1</v>
      </c>
      <c r="EM150" s="78">
        <v>1</v>
      </c>
      <c r="EN150" s="78">
        <v>1</v>
      </c>
      <c r="EO150" s="78">
        <v>1</v>
      </c>
      <c r="EP150" s="78">
        <v>0</v>
      </c>
      <c r="EQ150" s="137">
        <v>0.44444440000000002</v>
      </c>
      <c r="ES150" s="143" t="s">
        <v>749</v>
      </c>
      <c r="ET150" s="143" t="s">
        <v>730</v>
      </c>
      <c r="EU150" s="143" t="s">
        <v>842</v>
      </c>
      <c r="EV150" s="143">
        <v>2172</v>
      </c>
      <c r="EW150" s="78">
        <v>0</v>
      </c>
      <c r="EX150" s="78">
        <v>0</v>
      </c>
      <c r="EY150" s="78">
        <v>0</v>
      </c>
      <c r="EZ150" s="78">
        <v>0</v>
      </c>
      <c r="FA150" s="78">
        <v>0</v>
      </c>
      <c r="FB150" s="78">
        <v>3</v>
      </c>
      <c r="FC150" s="78">
        <v>2</v>
      </c>
      <c r="FD150" s="78">
        <v>0</v>
      </c>
      <c r="FE150" s="137">
        <v>0.3846154</v>
      </c>
      <c r="FG150" s="137">
        <v>0.41545189999999999</v>
      </c>
    </row>
    <row r="151" spans="1:163" x14ac:dyDescent="0.35">
      <c r="A151" s="143" t="s">
        <v>749</v>
      </c>
      <c r="B151" s="143" t="s">
        <v>730</v>
      </c>
      <c r="C151" s="143" t="s">
        <v>842</v>
      </c>
      <c r="D151" s="143">
        <v>2427</v>
      </c>
      <c r="E151" s="78">
        <v>0</v>
      </c>
      <c r="F151" s="78">
        <v>2.5</v>
      </c>
      <c r="G151" s="78">
        <v>1</v>
      </c>
      <c r="H151" s="78">
        <v>4</v>
      </c>
      <c r="I151" s="78">
        <v>1</v>
      </c>
      <c r="J151" s="78">
        <v>0</v>
      </c>
      <c r="K151" s="78">
        <v>1</v>
      </c>
      <c r="L151" s="78">
        <v>1</v>
      </c>
      <c r="M151" s="78">
        <v>2</v>
      </c>
      <c r="N151" s="137">
        <v>0.89285709999999996</v>
      </c>
      <c r="P151" s="143" t="s">
        <v>749</v>
      </c>
      <c r="Q151" s="143" t="s">
        <v>730</v>
      </c>
      <c r="R151" s="143" t="s">
        <v>842</v>
      </c>
      <c r="S151" s="143">
        <v>2427</v>
      </c>
      <c r="T151" s="78">
        <v>1</v>
      </c>
      <c r="U151" s="78">
        <v>1</v>
      </c>
      <c r="V151" s="78">
        <v>1</v>
      </c>
      <c r="W151" s="78">
        <v>1</v>
      </c>
      <c r="X151" s="78">
        <v>0</v>
      </c>
      <c r="Y151" s="78">
        <v>1</v>
      </c>
      <c r="Z151" s="78">
        <v>0</v>
      </c>
      <c r="AA151" s="78">
        <v>0</v>
      </c>
      <c r="AB151" s="78">
        <v>0</v>
      </c>
      <c r="AC151" s="78">
        <v>0</v>
      </c>
      <c r="AD151" s="137">
        <v>0.14705879999999999</v>
      </c>
      <c r="AF151" s="143" t="s">
        <v>749</v>
      </c>
      <c r="AG151" s="143" t="s">
        <v>730</v>
      </c>
      <c r="AH151" s="143" t="s">
        <v>842</v>
      </c>
      <c r="AI151" s="143">
        <v>2427</v>
      </c>
      <c r="AJ151" s="78">
        <v>0</v>
      </c>
      <c r="AK151" s="78">
        <v>1</v>
      </c>
      <c r="AL151" s="78">
        <v>1</v>
      </c>
      <c r="AM151" s="78">
        <v>1</v>
      </c>
      <c r="AN151" s="78">
        <v>1</v>
      </c>
      <c r="AO151" s="78">
        <v>0</v>
      </c>
      <c r="AP151" s="78">
        <v>2</v>
      </c>
      <c r="AQ151" s="78">
        <v>0</v>
      </c>
      <c r="AR151" s="78">
        <v>0</v>
      </c>
      <c r="AS151" s="78">
        <v>0</v>
      </c>
      <c r="AT151" s="78">
        <v>2</v>
      </c>
      <c r="AU151" s="78">
        <v>0</v>
      </c>
      <c r="AV151" s="78">
        <v>2</v>
      </c>
      <c r="AW151" s="78">
        <v>1</v>
      </c>
      <c r="AX151" s="78">
        <v>4</v>
      </c>
      <c r="AY151" s="78">
        <v>1</v>
      </c>
      <c r="AZ151" s="78">
        <v>0</v>
      </c>
      <c r="BA151" s="78">
        <v>0.5</v>
      </c>
      <c r="BB151" s="78">
        <v>0.5</v>
      </c>
      <c r="BC151" s="78">
        <v>0.5</v>
      </c>
      <c r="BD151" s="78">
        <v>1</v>
      </c>
      <c r="BE151" s="78">
        <v>0.5</v>
      </c>
      <c r="BF151" s="78">
        <v>0</v>
      </c>
      <c r="BG151" s="78">
        <v>4</v>
      </c>
      <c r="BH151" s="137">
        <v>0.52272730000000001</v>
      </c>
      <c r="BJ151" s="143" t="s">
        <v>749</v>
      </c>
      <c r="BK151" s="143" t="s">
        <v>730</v>
      </c>
      <c r="BL151" s="143" t="s">
        <v>842</v>
      </c>
      <c r="BM151" s="143">
        <v>2427</v>
      </c>
      <c r="BN151" s="78">
        <v>1</v>
      </c>
      <c r="BO151" s="78">
        <v>4</v>
      </c>
      <c r="BP151" s="78">
        <v>0</v>
      </c>
      <c r="BQ151" s="78">
        <v>3</v>
      </c>
      <c r="BR151" s="78">
        <v>0</v>
      </c>
      <c r="BS151" s="78">
        <v>0</v>
      </c>
      <c r="BT151" s="78">
        <v>2</v>
      </c>
      <c r="BU151" s="137">
        <v>0.43478260000000002</v>
      </c>
      <c r="BW151" s="143" t="s">
        <v>749</v>
      </c>
      <c r="BX151" s="143" t="s">
        <v>730</v>
      </c>
      <c r="BY151" s="143" t="s">
        <v>842</v>
      </c>
      <c r="BZ151" s="143">
        <v>2427</v>
      </c>
      <c r="CA151" s="78">
        <v>1</v>
      </c>
      <c r="CB151" s="78">
        <v>0</v>
      </c>
      <c r="CC151" s="78">
        <v>1</v>
      </c>
      <c r="CD151" s="78">
        <v>2</v>
      </c>
      <c r="CE151" s="78">
        <v>1</v>
      </c>
      <c r="CF151" s="78">
        <v>2</v>
      </c>
      <c r="CG151" s="78">
        <v>1</v>
      </c>
      <c r="CH151" s="78">
        <v>2</v>
      </c>
      <c r="CI151" s="78">
        <v>0</v>
      </c>
      <c r="CJ151" s="78">
        <v>0</v>
      </c>
      <c r="CK151" s="137">
        <v>0.66666669999999995</v>
      </c>
      <c r="CM151" s="143" t="s">
        <v>749</v>
      </c>
      <c r="CN151" s="143" t="s">
        <v>730</v>
      </c>
      <c r="CO151" s="143" t="s">
        <v>842</v>
      </c>
      <c r="CP151" s="143">
        <v>2427</v>
      </c>
      <c r="CQ151" s="78">
        <v>0</v>
      </c>
      <c r="CR151" s="78">
        <v>0</v>
      </c>
      <c r="CS151" s="78">
        <v>8</v>
      </c>
      <c r="CT151" s="78">
        <v>4</v>
      </c>
      <c r="CU151" s="78">
        <v>2</v>
      </c>
      <c r="CV151" s="78">
        <v>8</v>
      </c>
      <c r="CW151" s="137">
        <v>0.42307689999999998</v>
      </c>
      <c r="CY151" s="143" t="s">
        <v>749</v>
      </c>
      <c r="CZ151" s="143" t="s">
        <v>730</v>
      </c>
      <c r="DA151" s="143" t="s">
        <v>842</v>
      </c>
      <c r="DB151" s="143">
        <v>2427</v>
      </c>
      <c r="DC151" s="78">
        <v>44</v>
      </c>
      <c r="DD151" s="137">
        <v>0</v>
      </c>
      <c r="DE151" s="137">
        <v>0</v>
      </c>
      <c r="DG151" s="143" t="s">
        <v>749</v>
      </c>
      <c r="DH151" s="143" t="s">
        <v>730</v>
      </c>
      <c r="DI151" s="143" t="s">
        <v>842</v>
      </c>
      <c r="DJ151" s="143">
        <v>2427</v>
      </c>
      <c r="DK151" s="78">
        <v>2</v>
      </c>
      <c r="DL151" s="78">
        <v>1</v>
      </c>
      <c r="DM151" s="78">
        <v>1</v>
      </c>
      <c r="DN151" s="78">
        <v>5</v>
      </c>
      <c r="DO151" s="78">
        <v>2</v>
      </c>
      <c r="DP151" s="78">
        <v>3</v>
      </c>
      <c r="DQ151" s="78">
        <v>7</v>
      </c>
      <c r="DR151" s="78">
        <v>1</v>
      </c>
      <c r="DS151" s="78">
        <v>1</v>
      </c>
      <c r="DT151" s="78">
        <v>2</v>
      </c>
      <c r="DU151" s="78">
        <v>1</v>
      </c>
      <c r="DV151" s="137">
        <v>0.89655169999999995</v>
      </c>
      <c r="DX151" s="143" t="s">
        <v>749</v>
      </c>
      <c r="DY151" s="143" t="s">
        <v>730</v>
      </c>
      <c r="DZ151" s="143" t="s">
        <v>842</v>
      </c>
      <c r="EA151" s="143">
        <v>2427</v>
      </c>
      <c r="EB151" s="78">
        <v>0</v>
      </c>
      <c r="EC151" s="78">
        <v>8</v>
      </c>
      <c r="ED151" s="78">
        <v>0</v>
      </c>
      <c r="EE151" s="78">
        <v>0</v>
      </c>
      <c r="EF151" s="78">
        <v>0</v>
      </c>
      <c r="EG151" s="78">
        <v>1</v>
      </c>
      <c r="EH151" s="78">
        <v>1</v>
      </c>
      <c r="EI151" s="78">
        <v>1</v>
      </c>
      <c r="EJ151" s="78">
        <v>1</v>
      </c>
      <c r="EK151" s="78">
        <v>1</v>
      </c>
      <c r="EL151" s="78">
        <v>1</v>
      </c>
      <c r="EM151" s="78">
        <v>1</v>
      </c>
      <c r="EN151" s="78">
        <v>0</v>
      </c>
      <c r="EO151" s="78">
        <v>0</v>
      </c>
      <c r="EP151" s="78">
        <v>0</v>
      </c>
      <c r="EQ151" s="137">
        <v>0.55555560000000004</v>
      </c>
      <c r="ES151" s="143" t="s">
        <v>749</v>
      </c>
      <c r="ET151" s="143" t="s">
        <v>730</v>
      </c>
      <c r="EU151" s="143" t="s">
        <v>842</v>
      </c>
      <c r="EV151" s="143">
        <v>2427</v>
      </c>
      <c r="EW151" s="78">
        <v>0</v>
      </c>
      <c r="EX151" s="78">
        <v>1</v>
      </c>
      <c r="EY151" s="78">
        <v>0</v>
      </c>
      <c r="EZ151" s="78">
        <v>0</v>
      </c>
      <c r="FA151" s="78">
        <v>0.5</v>
      </c>
      <c r="FB151" s="78">
        <v>3</v>
      </c>
      <c r="FC151" s="78">
        <v>2</v>
      </c>
      <c r="FD151" s="78">
        <v>1</v>
      </c>
      <c r="FE151" s="137">
        <v>0.57692310000000002</v>
      </c>
      <c r="FG151" s="137">
        <v>0.38192419999999999</v>
      </c>
    </row>
    <row r="152" spans="1:163" x14ac:dyDescent="0.35">
      <c r="A152" s="143" t="s">
        <v>749</v>
      </c>
      <c r="B152" s="143" t="s">
        <v>730</v>
      </c>
      <c r="C152" s="143" t="s">
        <v>842</v>
      </c>
      <c r="D152" s="143">
        <v>2666</v>
      </c>
      <c r="E152" s="78">
        <v>0</v>
      </c>
      <c r="F152" s="78">
        <v>2.5</v>
      </c>
      <c r="G152" s="78">
        <v>1</v>
      </c>
      <c r="H152" s="78">
        <v>4</v>
      </c>
      <c r="I152" s="78">
        <v>1</v>
      </c>
      <c r="J152" s="78">
        <v>0</v>
      </c>
      <c r="K152" s="78">
        <v>1</v>
      </c>
      <c r="L152" s="78">
        <v>1</v>
      </c>
      <c r="M152" s="78">
        <v>2</v>
      </c>
      <c r="N152" s="137">
        <v>0.89285709999999996</v>
      </c>
      <c r="P152" s="143" t="s">
        <v>749</v>
      </c>
      <c r="Q152" s="143" t="s">
        <v>730</v>
      </c>
      <c r="R152" s="143" t="s">
        <v>842</v>
      </c>
      <c r="S152" s="143">
        <v>2666</v>
      </c>
      <c r="T152" s="78">
        <v>1</v>
      </c>
      <c r="U152" s="78">
        <v>1</v>
      </c>
      <c r="V152" s="78">
        <v>3</v>
      </c>
      <c r="W152" s="78">
        <v>2</v>
      </c>
      <c r="X152" s="78">
        <v>12</v>
      </c>
      <c r="Y152" s="78">
        <v>1</v>
      </c>
      <c r="Z152" s="78">
        <v>3</v>
      </c>
      <c r="AA152" s="78">
        <v>0</v>
      </c>
      <c r="AB152" s="78">
        <v>6</v>
      </c>
      <c r="AC152" s="78">
        <v>0</v>
      </c>
      <c r="AD152" s="137">
        <v>0.85294119999999995</v>
      </c>
      <c r="AF152" s="143" t="s">
        <v>749</v>
      </c>
      <c r="AG152" s="143" t="s">
        <v>730</v>
      </c>
      <c r="AH152" s="143" t="s">
        <v>842</v>
      </c>
      <c r="AI152" s="143">
        <v>2666</v>
      </c>
      <c r="AJ152" s="78">
        <v>1</v>
      </c>
      <c r="AK152" s="78">
        <v>1</v>
      </c>
      <c r="AL152" s="78">
        <v>1</v>
      </c>
      <c r="AM152" s="78">
        <v>6</v>
      </c>
      <c r="AN152" s="78">
        <v>1</v>
      </c>
      <c r="AO152" s="78">
        <v>2</v>
      </c>
      <c r="AP152" s="78">
        <v>0</v>
      </c>
      <c r="AQ152" s="78">
        <v>0</v>
      </c>
      <c r="AR152" s="78">
        <v>0</v>
      </c>
      <c r="AS152" s="78">
        <v>2</v>
      </c>
      <c r="AT152" s="78">
        <v>2</v>
      </c>
      <c r="AU152" s="78">
        <v>1</v>
      </c>
      <c r="AV152" s="78">
        <v>2</v>
      </c>
      <c r="AW152" s="78">
        <v>1</v>
      </c>
      <c r="AX152" s="78">
        <v>0</v>
      </c>
      <c r="AY152" s="78">
        <v>1</v>
      </c>
      <c r="AZ152" s="78">
        <v>2</v>
      </c>
      <c r="BA152" s="78">
        <v>0.5</v>
      </c>
      <c r="BB152" s="78">
        <v>0.5</v>
      </c>
      <c r="BC152" s="78">
        <v>0.5</v>
      </c>
      <c r="BD152" s="78">
        <v>1</v>
      </c>
      <c r="BE152" s="78">
        <v>0.5</v>
      </c>
      <c r="BF152" s="78">
        <v>1</v>
      </c>
      <c r="BG152" s="78">
        <v>8</v>
      </c>
      <c r="BH152" s="137">
        <v>0.79545460000000001</v>
      </c>
      <c r="BJ152" s="143" t="s">
        <v>749</v>
      </c>
      <c r="BK152" s="143" t="s">
        <v>730</v>
      </c>
      <c r="BL152" s="143" t="s">
        <v>842</v>
      </c>
      <c r="BM152" s="143">
        <v>2666</v>
      </c>
      <c r="BN152" s="78">
        <v>0</v>
      </c>
      <c r="BO152" s="78">
        <v>4</v>
      </c>
      <c r="BP152" s="78">
        <v>0</v>
      </c>
      <c r="BQ152" s="78">
        <v>3</v>
      </c>
      <c r="BR152" s="78">
        <v>0</v>
      </c>
      <c r="BS152" s="78">
        <v>0</v>
      </c>
      <c r="BT152" s="78">
        <v>0</v>
      </c>
      <c r="BU152" s="137">
        <v>0.3043478</v>
      </c>
      <c r="BW152" s="143" t="s">
        <v>749</v>
      </c>
      <c r="BX152" s="143" t="s">
        <v>730</v>
      </c>
      <c r="BY152" s="143" t="s">
        <v>842</v>
      </c>
      <c r="BZ152" s="143">
        <v>2666</v>
      </c>
      <c r="CM152" s="143" t="s">
        <v>749</v>
      </c>
      <c r="CN152" s="143" t="s">
        <v>730</v>
      </c>
      <c r="CO152" s="143" t="s">
        <v>842</v>
      </c>
      <c r="CP152" s="143">
        <v>2666</v>
      </c>
      <c r="CQ152" s="78">
        <v>6</v>
      </c>
      <c r="CR152" s="78">
        <v>0</v>
      </c>
      <c r="CS152" s="78">
        <v>16</v>
      </c>
      <c r="CT152" s="78">
        <v>4</v>
      </c>
      <c r="CU152" s="78">
        <v>2</v>
      </c>
      <c r="CV152" s="78">
        <v>4</v>
      </c>
      <c r="CW152" s="137">
        <v>0.61538459999999995</v>
      </c>
      <c r="CY152" s="143" t="s">
        <v>749</v>
      </c>
      <c r="CZ152" s="143" t="s">
        <v>730</v>
      </c>
      <c r="DA152" s="143" t="s">
        <v>842</v>
      </c>
      <c r="DB152" s="143">
        <v>2666</v>
      </c>
      <c r="DC152" s="78">
        <v>50</v>
      </c>
      <c r="DD152" s="137">
        <v>0</v>
      </c>
      <c r="DE152" s="137">
        <v>0</v>
      </c>
      <c r="DG152" s="143" t="s">
        <v>749</v>
      </c>
      <c r="DH152" s="143" t="s">
        <v>730</v>
      </c>
      <c r="DI152" s="143" t="s">
        <v>842</v>
      </c>
      <c r="DJ152" s="143">
        <v>2666</v>
      </c>
      <c r="DK152" s="78">
        <v>2</v>
      </c>
      <c r="DL152" s="78">
        <v>1</v>
      </c>
      <c r="DM152" s="78">
        <v>1</v>
      </c>
      <c r="DN152" s="78">
        <v>6</v>
      </c>
      <c r="DO152" s="78">
        <v>2</v>
      </c>
      <c r="DP152" s="78">
        <v>3</v>
      </c>
      <c r="DQ152" s="78">
        <v>8</v>
      </c>
      <c r="DR152" s="78">
        <v>1</v>
      </c>
      <c r="DS152" s="78">
        <v>1</v>
      </c>
      <c r="DT152" s="78">
        <v>2</v>
      </c>
      <c r="DU152" s="78">
        <v>0</v>
      </c>
      <c r="DV152" s="137">
        <v>0.93103449999999999</v>
      </c>
      <c r="DX152" s="143" t="s">
        <v>749</v>
      </c>
      <c r="DY152" s="143" t="s">
        <v>730</v>
      </c>
      <c r="DZ152" s="143" t="s">
        <v>842</v>
      </c>
      <c r="EA152" s="143">
        <v>2666</v>
      </c>
      <c r="EB152" s="78">
        <v>1</v>
      </c>
      <c r="EC152" s="78">
        <v>8</v>
      </c>
      <c r="ED152" s="78">
        <v>1</v>
      </c>
      <c r="EE152" s="78">
        <v>0</v>
      </c>
      <c r="EF152" s="78">
        <v>0</v>
      </c>
      <c r="EG152" s="78">
        <v>1</v>
      </c>
      <c r="EH152" s="78">
        <v>1</v>
      </c>
      <c r="EI152" s="78">
        <v>1</v>
      </c>
      <c r="EJ152" s="78">
        <v>1</v>
      </c>
      <c r="EK152" s="78">
        <v>1</v>
      </c>
      <c r="EL152" s="78">
        <v>1</v>
      </c>
      <c r="EM152" s="78">
        <v>1</v>
      </c>
      <c r="EN152" s="78">
        <v>1</v>
      </c>
      <c r="EO152" s="78">
        <v>1</v>
      </c>
      <c r="EP152" s="78">
        <v>0</v>
      </c>
      <c r="EQ152" s="137">
        <v>0.70370370000000004</v>
      </c>
      <c r="ES152" s="143" t="s">
        <v>749</v>
      </c>
      <c r="ET152" s="143" t="s">
        <v>730</v>
      </c>
      <c r="EU152" s="143" t="s">
        <v>842</v>
      </c>
      <c r="EV152" s="143">
        <v>2666</v>
      </c>
      <c r="EW152" s="78">
        <v>0.5</v>
      </c>
      <c r="EX152" s="78">
        <v>1</v>
      </c>
      <c r="EY152" s="78">
        <v>0</v>
      </c>
      <c r="EZ152" s="78">
        <v>0</v>
      </c>
      <c r="FA152" s="78">
        <v>0.5</v>
      </c>
      <c r="FB152" s="78">
        <v>3</v>
      </c>
      <c r="FC152" s="78">
        <v>2</v>
      </c>
      <c r="FD152" s="78">
        <v>1</v>
      </c>
      <c r="FE152" s="137">
        <v>0.61538459999999995</v>
      </c>
      <c r="FG152" s="137">
        <v>0.51676829999999996</v>
      </c>
    </row>
    <row r="153" spans="1:163" x14ac:dyDescent="0.35">
      <c r="A153" s="143" t="s">
        <v>749</v>
      </c>
      <c r="B153" s="143" t="s">
        <v>730</v>
      </c>
      <c r="C153" s="143" t="s">
        <v>842</v>
      </c>
      <c r="D153" s="143">
        <v>2911</v>
      </c>
      <c r="E153" s="78">
        <v>0</v>
      </c>
      <c r="F153" s="78">
        <v>2.5</v>
      </c>
      <c r="G153" s="78">
        <v>1</v>
      </c>
      <c r="H153" s="78">
        <v>4</v>
      </c>
      <c r="I153" s="78">
        <v>0</v>
      </c>
      <c r="J153" s="78">
        <v>0</v>
      </c>
      <c r="K153" s="78">
        <v>1</v>
      </c>
      <c r="L153" s="78">
        <v>1</v>
      </c>
      <c r="M153" s="78">
        <v>2</v>
      </c>
      <c r="N153" s="137">
        <v>0.82142859999999995</v>
      </c>
      <c r="P153" s="143" t="s">
        <v>749</v>
      </c>
      <c r="Q153" s="143" t="s">
        <v>730</v>
      </c>
      <c r="R153" s="143" t="s">
        <v>842</v>
      </c>
      <c r="S153" s="143">
        <v>2911</v>
      </c>
      <c r="T153" s="78">
        <v>1</v>
      </c>
      <c r="U153" s="78">
        <v>0</v>
      </c>
      <c r="V153" s="78">
        <v>2</v>
      </c>
      <c r="W153" s="78">
        <v>2</v>
      </c>
      <c r="X153" s="78">
        <v>0</v>
      </c>
      <c r="Y153" s="78">
        <v>1</v>
      </c>
      <c r="Z153" s="78">
        <v>3</v>
      </c>
      <c r="AA153" s="78">
        <v>0</v>
      </c>
      <c r="AB153" s="78">
        <v>0</v>
      </c>
      <c r="AC153" s="78">
        <v>0</v>
      </c>
      <c r="AD153" s="137">
        <v>0.26470589999999999</v>
      </c>
      <c r="AF153" s="143" t="s">
        <v>749</v>
      </c>
      <c r="AG153" s="143" t="s">
        <v>730</v>
      </c>
      <c r="AH153" s="143" t="s">
        <v>842</v>
      </c>
      <c r="AI153" s="143">
        <v>2911</v>
      </c>
      <c r="AJ153" s="78">
        <v>0</v>
      </c>
      <c r="AK153" s="78">
        <v>1</v>
      </c>
      <c r="AL153" s="78">
        <v>0</v>
      </c>
      <c r="AM153" s="78">
        <v>5</v>
      </c>
      <c r="AN153" s="78">
        <v>1</v>
      </c>
      <c r="AO153" s="78">
        <v>0</v>
      </c>
      <c r="AP153" s="78">
        <v>2</v>
      </c>
      <c r="AQ153" s="78">
        <v>1</v>
      </c>
      <c r="AR153" s="78">
        <v>0</v>
      </c>
      <c r="AS153" s="78">
        <v>2</v>
      </c>
      <c r="AT153" s="78">
        <v>2</v>
      </c>
      <c r="AU153" s="78">
        <v>1</v>
      </c>
      <c r="AV153" s="78">
        <v>2</v>
      </c>
      <c r="AW153" s="78">
        <v>1</v>
      </c>
      <c r="AX153" s="78">
        <v>4</v>
      </c>
      <c r="AY153" s="78">
        <v>1</v>
      </c>
      <c r="AZ153" s="78">
        <v>2</v>
      </c>
      <c r="BA153" s="78">
        <v>0.5</v>
      </c>
      <c r="BB153" s="78">
        <v>0.5</v>
      </c>
      <c r="BC153" s="78">
        <v>0.5</v>
      </c>
      <c r="BD153" s="78">
        <v>1</v>
      </c>
      <c r="BE153" s="78">
        <v>0</v>
      </c>
      <c r="BF153" s="78">
        <v>1</v>
      </c>
      <c r="BG153" s="78">
        <v>8</v>
      </c>
      <c r="BH153" s="137">
        <v>0.82954539999999999</v>
      </c>
      <c r="BJ153" s="143" t="s">
        <v>749</v>
      </c>
      <c r="BK153" s="143" t="s">
        <v>730</v>
      </c>
      <c r="BL153" s="143" t="s">
        <v>842</v>
      </c>
      <c r="BM153" s="143">
        <v>2911</v>
      </c>
      <c r="BN153" s="78">
        <v>1</v>
      </c>
      <c r="BO153" s="78">
        <v>4</v>
      </c>
      <c r="BP153" s="78">
        <v>0</v>
      </c>
      <c r="BQ153" s="78">
        <v>3</v>
      </c>
      <c r="BR153" s="78">
        <v>0</v>
      </c>
      <c r="BS153" s="78">
        <v>0</v>
      </c>
      <c r="BT153" s="78">
        <v>2</v>
      </c>
      <c r="BU153" s="137">
        <v>0.43478260000000002</v>
      </c>
      <c r="BW153" s="143" t="s">
        <v>749</v>
      </c>
      <c r="BX153" s="143" t="s">
        <v>730</v>
      </c>
      <c r="BY153" s="143" t="s">
        <v>842</v>
      </c>
      <c r="BZ153" s="143">
        <v>2911</v>
      </c>
      <c r="CM153" s="143" t="s">
        <v>749</v>
      </c>
      <c r="CN153" s="143" t="s">
        <v>730</v>
      </c>
      <c r="CO153" s="143" t="s">
        <v>842</v>
      </c>
      <c r="CP153" s="143">
        <v>2911</v>
      </c>
      <c r="CQ153" s="78">
        <v>6</v>
      </c>
      <c r="CR153" s="78">
        <v>0</v>
      </c>
      <c r="CS153" s="78">
        <v>20</v>
      </c>
      <c r="CT153" s="78">
        <v>4</v>
      </c>
      <c r="CU153" s="78">
        <v>2</v>
      </c>
      <c r="CV153" s="78">
        <v>8</v>
      </c>
      <c r="CW153" s="137">
        <v>0.76923079999999999</v>
      </c>
      <c r="CY153" s="143" t="s">
        <v>749</v>
      </c>
      <c r="CZ153" s="143" t="s">
        <v>730</v>
      </c>
      <c r="DA153" s="143" t="s">
        <v>842</v>
      </c>
      <c r="DB153" s="143">
        <v>2911</v>
      </c>
      <c r="DC153" s="78">
        <v>42</v>
      </c>
      <c r="DD153" s="137">
        <v>0</v>
      </c>
      <c r="DE153" s="137">
        <v>0</v>
      </c>
      <c r="DG153" s="143" t="s">
        <v>749</v>
      </c>
      <c r="DH153" s="143" t="s">
        <v>730</v>
      </c>
      <c r="DI153" s="143" t="s">
        <v>842</v>
      </c>
      <c r="DJ153" s="143">
        <v>2911</v>
      </c>
      <c r="DK153" s="78">
        <v>2</v>
      </c>
      <c r="DL153" s="78">
        <v>1</v>
      </c>
      <c r="DM153" s="78">
        <v>0</v>
      </c>
      <c r="DN153" s="78">
        <v>5</v>
      </c>
      <c r="DO153" s="78">
        <v>2</v>
      </c>
      <c r="DP153" s="78">
        <v>3</v>
      </c>
      <c r="DQ153" s="78">
        <v>8</v>
      </c>
      <c r="DR153" s="78">
        <v>1</v>
      </c>
      <c r="DS153" s="78">
        <v>1</v>
      </c>
      <c r="DT153" s="78">
        <v>2</v>
      </c>
      <c r="DU153" s="78">
        <v>0</v>
      </c>
      <c r="DV153" s="137">
        <v>0.86206899999999997</v>
      </c>
      <c r="DX153" s="143" t="s">
        <v>749</v>
      </c>
      <c r="DY153" s="143" t="s">
        <v>730</v>
      </c>
      <c r="DZ153" s="143" t="s">
        <v>842</v>
      </c>
      <c r="EA153" s="143">
        <v>2911</v>
      </c>
      <c r="EB153" s="78">
        <v>1</v>
      </c>
      <c r="EC153" s="78">
        <v>8</v>
      </c>
      <c r="ED153" s="78">
        <v>0</v>
      </c>
      <c r="EE153" s="78">
        <v>4</v>
      </c>
      <c r="EF153" s="78">
        <v>3</v>
      </c>
      <c r="EG153" s="78">
        <v>1</v>
      </c>
      <c r="EH153" s="78">
        <v>1</v>
      </c>
      <c r="EI153" s="78">
        <v>1</v>
      </c>
      <c r="EJ153" s="78">
        <v>1</v>
      </c>
      <c r="EK153" s="78">
        <v>1</v>
      </c>
      <c r="EL153" s="78">
        <v>1</v>
      </c>
      <c r="EM153" s="78">
        <v>1</v>
      </c>
      <c r="EN153" s="78">
        <v>0</v>
      </c>
      <c r="EO153" s="78">
        <v>0</v>
      </c>
      <c r="EP153" s="78">
        <v>0</v>
      </c>
      <c r="EQ153" s="137">
        <v>0.8518519</v>
      </c>
      <c r="ES153" s="143" t="s">
        <v>749</v>
      </c>
      <c r="ET153" s="143" t="s">
        <v>730</v>
      </c>
      <c r="EU153" s="143" t="s">
        <v>842</v>
      </c>
      <c r="EV153" s="143">
        <v>2911</v>
      </c>
      <c r="EW153" s="78">
        <v>0.5</v>
      </c>
      <c r="EX153" s="78">
        <v>0</v>
      </c>
      <c r="EY153" s="78">
        <v>0</v>
      </c>
      <c r="EZ153" s="78">
        <v>0</v>
      </c>
      <c r="FA153" s="78">
        <v>0</v>
      </c>
      <c r="FB153" s="78">
        <v>3</v>
      </c>
      <c r="FC153" s="78">
        <v>2</v>
      </c>
      <c r="FD153" s="78">
        <v>1</v>
      </c>
      <c r="FE153" s="137">
        <v>0.5</v>
      </c>
      <c r="FG153" s="137">
        <v>0.49237809999999999</v>
      </c>
    </row>
    <row r="154" spans="1:163" x14ac:dyDescent="0.35">
      <c r="A154" s="143" t="s">
        <v>749</v>
      </c>
      <c r="B154" s="143" t="s">
        <v>730</v>
      </c>
      <c r="C154" s="143" t="s">
        <v>843</v>
      </c>
      <c r="D154" s="143">
        <v>10420</v>
      </c>
      <c r="E154" s="78">
        <v>0</v>
      </c>
      <c r="F154" s="78">
        <v>2.5</v>
      </c>
      <c r="G154" s="78">
        <v>1</v>
      </c>
      <c r="H154" s="78">
        <v>4</v>
      </c>
      <c r="I154" s="78">
        <v>1</v>
      </c>
      <c r="J154" s="78">
        <v>0</v>
      </c>
      <c r="K154" s="78">
        <v>1</v>
      </c>
      <c r="L154" s="78">
        <v>1</v>
      </c>
      <c r="M154" s="78">
        <v>2</v>
      </c>
      <c r="N154" s="137">
        <v>0.89285709999999996</v>
      </c>
      <c r="P154" s="143" t="s">
        <v>749</v>
      </c>
      <c r="Q154" s="143" t="s">
        <v>730</v>
      </c>
      <c r="R154" s="143" t="s">
        <v>843</v>
      </c>
      <c r="S154" s="143">
        <v>10420</v>
      </c>
      <c r="T154" s="78">
        <v>1</v>
      </c>
      <c r="U154" s="78">
        <v>1</v>
      </c>
      <c r="V154" s="78">
        <v>3</v>
      </c>
      <c r="W154" s="78">
        <v>0.5</v>
      </c>
      <c r="X154" s="78">
        <v>0</v>
      </c>
      <c r="Y154" s="78">
        <v>1</v>
      </c>
      <c r="Z154" s="78">
        <v>3</v>
      </c>
      <c r="AA154" s="78">
        <v>0</v>
      </c>
      <c r="AB154" s="78">
        <v>6</v>
      </c>
      <c r="AC154" s="78">
        <v>3</v>
      </c>
      <c r="AD154" s="137">
        <v>0.54411759999999998</v>
      </c>
      <c r="AF154" s="143" t="s">
        <v>749</v>
      </c>
      <c r="AG154" s="143" t="s">
        <v>730</v>
      </c>
      <c r="AH154" s="143" t="s">
        <v>843</v>
      </c>
      <c r="AI154" s="143">
        <v>10420</v>
      </c>
      <c r="AJ154" s="78">
        <v>1</v>
      </c>
      <c r="AK154" s="78">
        <v>1</v>
      </c>
      <c r="AL154" s="78">
        <v>0</v>
      </c>
      <c r="AM154" s="78">
        <v>6</v>
      </c>
      <c r="AN154" s="78">
        <v>1</v>
      </c>
      <c r="AO154" s="78">
        <v>2</v>
      </c>
      <c r="AP154" s="78">
        <v>1</v>
      </c>
      <c r="AQ154" s="78">
        <v>0</v>
      </c>
      <c r="AR154" s="78">
        <v>2</v>
      </c>
      <c r="AS154" s="78">
        <v>0</v>
      </c>
      <c r="AT154" s="78">
        <v>2</v>
      </c>
      <c r="AU154" s="78">
        <v>1</v>
      </c>
      <c r="AV154" s="78">
        <v>2</v>
      </c>
      <c r="AW154" s="78">
        <v>1</v>
      </c>
      <c r="AX154" s="78">
        <v>0</v>
      </c>
      <c r="AY154" s="78">
        <v>1</v>
      </c>
      <c r="AZ154" s="78">
        <v>0</v>
      </c>
      <c r="BA154" s="78">
        <v>0.5</v>
      </c>
      <c r="BB154" s="78">
        <v>0.5</v>
      </c>
      <c r="BC154" s="78">
        <v>0.5</v>
      </c>
      <c r="BD154" s="78">
        <v>1</v>
      </c>
      <c r="BE154" s="78">
        <v>0.5</v>
      </c>
      <c r="BF154" s="78">
        <v>1</v>
      </c>
      <c r="BG154" s="78">
        <v>6</v>
      </c>
      <c r="BH154" s="137">
        <v>0.70454539999999999</v>
      </c>
      <c r="BJ154" s="143" t="s">
        <v>749</v>
      </c>
      <c r="BK154" s="143" t="s">
        <v>730</v>
      </c>
      <c r="BL154" s="143" t="s">
        <v>843</v>
      </c>
      <c r="BM154" s="143">
        <v>10420</v>
      </c>
      <c r="BN154" s="78">
        <v>1</v>
      </c>
      <c r="BO154" s="78">
        <v>4</v>
      </c>
      <c r="BP154" s="78">
        <v>7</v>
      </c>
      <c r="BQ154" s="78">
        <v>3</v>
      </c>
      <c r="BR154" s="78">
        <v>0</v>
      </c>
      <c r="BS154" s="78">
        <v>3</v>
      </c>
      <c r="BT154" s="78">
        <v>2</v>
      </c>
      <c r="BU154" s="137">
        <v>0.86956520000000004</v>
      </c>
      <c r="BW154" s="143" t="s">
        <v>749</v>
      </c>
      <c r="BX154" s="143" t="s">
        <v>730</v>
      </c>
      <c r="BY154" s="143" t="s">
        <v>843</v>
      </c>
      <c r="BZ154" s="143">
        <v>10420</v>
      </c>
      <c r="CA154" s="78">
        <v>1</v>
      </c>
      <c r="CB154" s="78">
        <v>1</v>
      </c>
      <c r="CC154" s="78">
        <v>1</v>
      </c>
      <c r="CD154" s="78">
        <v>2</v>
      </c>
      <c r="CE154" s="78">
        <v>1</v>
      </c>
      <c r="CF154" s="78">
        <v>2</v>
      </c>
      <c r="CG154" s="78">
        <v>1</v>
      </c>
      <c r="CH154" s="78">
        <v>2</v>
      </c>
      <c r="CI154" s="78">
        <v>1</v>
      </c>
      <c r="CJ154" s="78">
        <v>0</v>
      </c>
      <c r="CK154" s="137">
        <v>0.8</v>
      </c>
      <c r="CM154" s="143" t="s">
        <v>749</v>
      </c>
      <c r="CN154" s="143" t="s">
        <v>730</v>
      </c>
      <c r="CO154" s="143" t="s">
        <v>843</v>
      </c>
      <c r="CP154" s="143">
        <v>10420</v>
      </c>
      <c r="CQ154" s="78">
        <v>8</v>
      </c>
      <c r="CR154" s="78">
        <v>6</v>
      </c>
      <c r="CS154" s="78">
        <v>20</v>
      </c>
      <c r="CT154" s="78">
        <v>4</v>
      </c>
      <c r="CU154" s="78">
        <v>2</v>
      </c>
      <c r="CV154" s="78">
        <v>4</v>
      </c>
      <c r="CW154" s="137">
        <v>0.84615390000000001</v>
      </c>
      <c r="CY154" s="143" t="s">
        <v>749</v>
      </c>
      <c r="CZ154" s="143" t="s">
        <v>730</v>
      </c>
      <c r="DA154" s="143" t="s">
        <v>843</v>
      </c>
      <c r="DB154" s="143">
        <v>10420</v>
      </c>
      <c r="DC154" s="78">
        <v>20</v>
      </c>
      <c r="DD154" s="137">
        <v>0</v>
      </c>
      <c r="DE154" s="137">
        <v>0</v>
      </c>
      <c r="DG154" s="143" t="s">
        <v>749</v>
      </c>
      <c r="DH154" s="143" t="s">
        <v>730</v>
      </c>
      <c r="DI154" s="143" t="s">
        <v>843</v>
      </c>
      <c r="DJ154" s="143">
        <v>10420</v>
      </c>
      <c r="DK154" s="78">
        <v>2</v>
      </c>
      <c r="DL154" s="78">
        <v>1</v>
      </c>
      <c r="DM154" s="78">
        <v>1</v>
      </c>
      <c r="DN154" s="78">
        <v>5</v>
      </c>
      <c r="DO154" s="78">
        <v>2</v>
      </c>
      <c r="DP154" s="78">
        <v>3</v>
      </c>
      <c r="DQ154" s="78">
        <v>6</v>
      </c>
      <c r="DR154" s="78">
        <v>1</v>
      </c>
      <c r="DS154" s="78">
        <v>1</v>
      </c>
      <c r="DT154" s="78">
        <v>0</v>
      </c>
      <c r="DU154" s="78">
        <v>0</v>
      </c>
      <c r="DV154" s="137">
        <v>0.75862070000000004</v>
      </c>
      <c r="DX154" s="143" t="s">
        <v>749</v>
      </c>
      <c r="DY154" s="143" t="s">
        <v>730</v>
      </c>
      <c r="DZ154" s="143" t="s">
        <v>843</v>
      </c>
      <c r="EA154" s="143">
        <v>10420</v>
      </c>
      <c r="EB154" s="78">
        <v>1</v>
      </c>
      <c r="EC154" s="78">
        <v>8</v>
      </c>
      <c r="ED154" s="78">
        <v>1</v>
      </c>
      <c r="EE154" s="78">
        <v>0</v>
      </c>
      <c r="EF154" s="78">
        <v>0</v>
      </c>
      <c r="EG154" s="78">
        <v>1</v>
      </c>
      <c r="EH154" s="78">
        <v>1</v>
      </c>
      <c r="EI154" s="78">
        <v>1</v>
      </c>
      <c r="EJ154" s="78">
        <v>1</v>
      </c>
      <c r="EK154" s="78">
        <v>1</v>
      </c>
      <c r="EL154" s="78">
        <v>1</v>
      </c>
      <c r="EM154" s="78">
        <v>1</v>
      </c>
      <c r="EN154" s="78">
        <v>1</v>
      </c>
      <c r="EO154" s="78">
        <v>1</v>
      </c>
      <c r="EP154" s="78">
        <v>1</v>
      </c>
      <c r="EQ154" s="137">
        <v>0.74074070000000003</v>
      </c>
      <c r="ES154" s="143" t="s">
        <v>749</v>
      </c>
      <c r="ET154" s="143" t="s">
        <v>730</v>
      </c>
      <c r="EU154" s="143" t="s">
        <v>843</v>
      </c>
      <c r="EV154" s="143">
        <v>10420</v>
      </c>
      <c r="EW154" s="78">
        <v>0</v>
      </c>
      <c r="EX154" s="78">
        <v>1</v>
      </c>
      <c r="EY154" s="78">
        <v>0</v>
      </c>
      <c r="EZ154" s="78">
        <v>0</v>
      </c>
      <c r="FA154" s="78">
        <v>0.5</v>
      </c>
      <c r="FB154" s="78">
        <v>3</v>
      </c>
      <c r="FC154" s="78">
        <v>2</v>
      </c>
      <c r="FD154" s="78">
        <v>1</v>
      </c>
      <c r="FE154" s="137">
        <v>0.57692310000000002</v>
      </c>
      <c r="FG154" s="137">
        <v>0.54664729999999995</v>
      </c>
    </row>
    <row r="155" spans="1:163" x14ac:dyDescent="0.35">
      <c r="A155" s="143" t="s">
        <v>750</v>
      </c>
      <c r="B155" s="143" t="s">
        <v>751</v>
      </c>
      <c r="C155" s="143" t="s">
        <v>842</v>
      </c>
      <c r="D155" s="143">
        <v>687</v>
      </c>
      <c r="E155" s="78">
        <v>0.5</v>
      </c>
      <c r="F155" s="78">
        <v>2.5</v>
      </c>
      <c r="G155" s="78">
        <v>1</v>
      </c>
      <c r="H155" s="78">
        <v>4</v>
      </c>
      <c r="I155" s="78">
        <v>1</v>
      </c>
      <c r="J155" s="78">
        <v>1</v>
      </c>
      <c r="K155" s="78">
        <v>1</v>
      </c>
      <c r="L155" s="78">
        <v>1</v>
      </c>
      <c r="M155" s="78">
        <v>2</v>
      </c>
      <c r="N155" s="137">
        <v>1</v>
      </c>
      <c r="P155" s="143" t="s">
        <v>750</v>
      </c>
      <c r="Q155" s="143" t="s">
        <v>751</v>
      </c>
      <c r="R155" s="143" t="s">
        <v>842</v>
      </c>
      <c r="S155" s="143">
        <v>687</v>
      </c>
      <c r="T155" s="78">
        <v>1</v>
      </c>
      <c r="U155" s="78">
        <v>1</v>
      </c>
      <c r="V155" s="78">
        <v>2.5</v>
      </c>
      <c r="W155" s="78">
        <v>2</v>
      </c>
      <c r="X155" s="78">
        <v>0</v>
      </c>
      <c r="Y155" s="78">
        <v>1</v>
      </c>
      <c r="Z155" s="78">
        <v>3</v>
      </c>
      <c r="AA155" s="78">
        <v>2</v>
      </c>
      <c r="AB155" s="78">
        <v>6</v>
      </c>
      <c r="AC155" s="78">
        <v>3</v>
      </c>
      <c r="AD155" s="137">
        <v>0.6323529</v>
      </c>
      <c r="AF155" s="143" t="s">
        <v>750</v>
      </c>
      <c r="AG155" s="143" t="s">
        <v>751</v>
      </c>
      <c r="AH155" s="143" t="s">
        <v>842</v>
      </c>
      <c r="AI155" s="143">
        <v>687</v>
      </c>
      <c r="AJ155" s="78">
        <v>1</v>
      </c>
      <c r="AK155" s="78">
        <v>1</v>
      </c>
      <c r="AL155" s="78">
        <v>1</v>
      </c>
      <c r="AM155" s="78">
        <v>6</v>
      </c>
      <c r="AN155" s="78">
        <v>1</v>
      </c>
      <c r="AO155" s="78">
        <v>2</v>
      </c>
      <c r="AP155" s="78">
        <v>2</v>
      </c>
      <c r="AQ155" s="78">
        <v>1</v>
      </c>
      <c r="AR155" s="78">
        <v>2</v>
      </c>
      <c r="AS155" s="78">
        <v>2</v>
      </c>
      <c r="AT155" s="78">
        <v>2</v>
      </c>
      <c r="AU155" s="78">
        <v>0</v>
      </c>
      <c r="AV155" s="78">
        <v>2</v>
      </c>
      <c r="AW155" s="78">
        <v>0</v>
      </c>
      <c r="AX155" s="78">
        <v>0</v>
      </c>
      <c r="AY155" s="78">
        <v>1</v>
      </c>
      <c r="AZ155" s="78">
        <v>2</v>
      </c>
      <c r="BA155" s="78">
        <v>0.5</v>
      </c>
      <c r="BB155" s="78">
        <v>0.5</v>
      </c>
      <c r="BC155" s="78">
        <v>0.5</v>
      </c>
      <c r="BD155" s="78">
        <v>1</v>
      </c>
      <c r="BE155" s="78">
        <v>0.5</v>
      </c>
      <c r="BF155" s="78">
        <v>1</v>
      </c>
      <c r="BG155" s="78">
        <v>4</v>
      </c>
      <c r="BH155" s="137">
        <v>0.77272730000000001</v>
      </c>
      <c r="BJ155" s="143" t="s">
        <v>750</v>
      </c>
      <c r="BK155" s="143" t="s">
        <v>751</v>
      </c>
      <c r="BL155" s="143" t="s">
        <v>842</v>
      </c>
      <c r="BM155" s="143">
        <v>687</v>
      </c>
      <c r="BN155" s="78">
        <v>1</v>
      </c>
      <c r="BO155" s="78">
        <v>0</v>
      </c>
      <c r="BP155" s="78">
        <v>7</v>
      </c>
      <c r="BQ155" s="78">
        <v>0</v>
      </c>
      <c r="BR155" s="78">
        <v>0</v>
      </c>
      <c r="BS155" s="78">
        <v>3</v>
      </c>
      <c r="BT155" s="78">
        <v>2</v>
      </c>
      <c r="BU155" s="137">
        <v>0.56521739999999998</v>
      </c>
      <c r="BW155" s="143" t="s">
        <v>750</v>
      </c>
      <c r="BX155" s="143" t="s">
        <v>751</v>
      </c>
      <c r="BY155" s="143" t="s">
        <v>842</v>
      </c>
      <c r="BZ155" s="143">
        <v>687</v>
      </c>
      <c r="CA155" s="78">
        <v>1</v>
      </c>
      <c r="CB155" s="78">
        <v>1</v>
      </c>
      <c r="CC155" s="78">
        <v>1</v>
      </c>
      <c r="CD155" s="78">
        <v>2</v>
      </c>
      <c r="CE155" s="78">
        <v>1</v>
      </c>
      <c r="CF155" s="78">
        <v>2</v>
      </c>
      <c r="CG155" s="78">
        <v>1</v>
      </c>
      <c r="CH155" s="78">
        <v>2</v>
      </c>
      <c r="CI155" s="78">
        <v>1</v>
      </c>
      <c r="CJ155" s="78">
        <v>3</v>
      </c>
      <c r="CK155" s="137">
        <v>1</v>
      </c>
      <c r="CM155" s="143" t="s">
        <v>750</v>
      </c>
      <c r="CN155" s="143" t="s">
        <v>751</v>
      </c>
      <c r="CO155" s="143" t="s">
        <v>842</v>
      </c>
      <c r="CP155" s="143">
        <v>687</v>
      </c>
      <c r="CQ155" s="78">
        <v>8</v>
      </c>
      <c r="CR155" s="78">
        <v>0</v>
      </c>
      <c r="CS155" s="78">
        <v>24</v>
      </c>
      <c r="CT155" s="78">
        <v>4</v>
      </c>
      <c r="CU155" s="78">
        <v>2</v>
      </c>
      <c r="CV155" s="78">
        <v>8</v>
      </c>
      <c r="CW155" s="137">
        <v>0.88461540000000005</v>
      </c>
      <c r="CY155" s="143" t="s">
        <v>750</v>
      </c>
      <c r="CZ155" s="143" t="s">
        <v>751</v>
      </c>
      <c r="DA155" s="143" t="s">
        <v>842</v>
      </c>
      <c r="DB155" s="143">
        <v>687</v>
      </c>
      <c r="DC155" s="78">
        <v>64</v>
      </c>
      <c r="DD155" s="137">
        <v>0.6</v>
      </c>
      <c r="DE155" s="137">
        <v>0.41739130000000002</v>
      </c>
      <c r="DG155" s="143" t="s">
        <v>750</v>
      </c>
      <c r="DH155" s="143" t="s">
        <v>751</v>
      </c>
      <c r="DI155" s="143" t="s">
        <v>842</v>
      </c>
      <c r="DJ155" s="143">
        <v>687</v>
      </c>
      <c r="DK155" s="78">
        <v>2</v>
      </c>
      <c r="DL155" s="78">
        <v>1</v>
      </c>
      <c r="DM155" s="78">
        <v>0</v>
      </c>
      <c r="DN155" s="78">
        <v>5</v>
      </c>
      <c r="DO155" s="78">
        <v>2</v>
      </c>
      <c r="DP155" s="78">
        <v>3</v>
      </c>
      <c r="DQ155" s="78">
        <v>8</v>
      </c>
      <c r="DR155" s="78">
        <v>1</v>
      </c>
      <c r="DS155" s="78">
        <v>1</v>
      </c>
      <c r="DT155" s="78">
        <v>0</v>
      </c>
      <c r="DU155" s="78">
        <v>0</v>
      </c>
      <c r="DV155" s="137">
        <v>0.79310349999999996</v>
      </c>
      <c r="DX155" s="143" t="s">
        <v>750</v>
      </c>
      <c r="DY155" s="143" t="s">
        <v>751</v>
      </c>
      <c r="DZ155" s="143" t="s">
        <v>842</v>
      </c>
      <c r="EA155" s="143">
        <v>687</v>
      </c>
      <c r="EB155" s="78">
        <v>1</v>
      </c>
      <c r="EC155" s="78">
        <v>8</v>
      </c>
      <c r="ED155" s="78">
        <v>1</v>
      </c>
      <c r="EE155" s="78">
        <v>4</v>
      </c>
      <c r="EF155" s="78">
        <v>3</v>
      </c>
      <c r="EG155" s="78">
        <v>1</v>
      </c>
      <c r="EH155" s="78">
        <v>0</v>
      </c>
      <c r="EI155" s="78">
        <v>1</v>
      </c>
      <c r="EJ155" s="78">
        <v>1</v>
      </c>
      <c r="EK155" s="78">
        <v>1</v>
      </c>
      <c r="EL155" s="78">
        <v>1</v>
      </c>
      <c r="EM155" s="78">
        <v>1</v>
      </c>
      <c r="EN155" s="78">
        <v>1</v>
      </c>
      <c r="EO155" s="78">
        <v>1</v>
      </c>
      <c r="EP155" s="78">
        <v>1</v>
      </c>
      <c r="EQ155" s="137">
        <v>0.96296300000000001</v>
      </c>
      <c r="ES155" s="143" t="s">
        <v>750</v>
      </c>
      <c r="ET155" s="143" t="s">
        <v>751</v>
      </c>
      <c r="EU155" s="143" t="s">
        <v>842</v>
      </c>
      <c r="EV155" s="143">
        <v>687</v>
      </c>
      <c r="EW155" s="78">
        <v>0.5</v>
      </c>
      <c r="EX155" s="78">
        <v>1</v>
      </c>
      <c r="EY155" s="78">
        <v>0</v>
      </c>
      <c r="EZ155" s="78">
        <v>2</v>
      </c>
      <c r="FA155" s="78">
        <v>0.5</v>
      </c>
      <c r="FB155" s="78">
        <v>3</v>
      </c>
      <c r="FC155" s="78">
        <v>2</v>
      </c>
      <c r="FD155" s="78">
        <v>1</v>
      </c>
      <c r="FE155" s="137">
        <v>0.76923079999999999</v>
      </c>
      <c r="FG155" s="137">
        <v>0.70233230000000002</v>
      </c>
    </row>
    <row r="156" spans="1:163" x14ac:dyDescent="0.35">
      <c r="A156" s="143" t="s">
        <v>750</v>
      </c>
      <c r="B156" s="143" t="s">
        <v>751</v>
      </c>
      <c r="C156" s="143" t="s">
        <v>841</v>
      </c>
      <c r="D156" s="143">
        <v>1031</v>
      </c>
      <c r="E156" s="78">
        <v>0.5</v>
      </c>
      <c r="F156" s="78">
        <v>2.5</v>
      </c>
      <c r="G156" s="78">
        <v>1</v>
      </c>
      <c r="H156" s="78">
        <v>4</v>
      </c>
      <c r="I156" s="78">
        <v>1</v>
      </c>
      <c r="J156" s="78">
        <v>1</v>
      </c>
      <c r="K156" s="78">
        <v>1</v>
      </c>
      <c r="L156" s="78">
        <v>1</v>
      </c>
      <c r="M156" s="78">
        <v>2</v>
      </c>
      <c r="N156" s="137">
        <v>1</v>
      </c>
      <c r="P156" s="143" t="s">
        <v>750</v>
      </c>
      <c r="Q156" s="143" t="s">
        <v>751</v>
      </c>
      <c r="R156" s="143" t="s">
        <v>841</v>
      </c>
      <c r="S156" s="143">
        <v>1031</v>
      </c>
      <c r="T156" s="78">
        <v>1</v>
      </c>
      <c r="U156" s="78">
        <v>1</v>
      </c>
      <c r="V156" s="78">
        <v>2</v>
      </c>
      <c r="W156" s="78">
        <v>2</v>
      </c>
      <c r="X156" s="78">
        <v>12</v>
      </c>
      <c r="Y156" s="78">
        <v>1</v>
      </c>
      <c r="Z156" s="78">
        <v>3</v>
      </c>
      <c r="AA156" s="78">
        <v>2</v>
      </c>
      <c r="AB156" s="78">
        <v>6</v>
      </c>
      <c r="AC156" s="78">
        <v>3</v>
      </c>
      <c r="AD156" s="137">
        <v>0.97058820000000001</v>
      </c>
      <c r="AF156" s="143" t="s">
        <v>750</v>
      </c>
      <c r="AG156" s="143" t="s">
        <v>751</v>
      </c>
      <c r="AH156" s="143" t="s">
        <v>841</v>
      </c>
      <c r="AI156" s="143">
        <v>1031</v>
      </c>
      <c r="AJ156" s="78">
        <v>1</v>
      </c>
      <c r="AK156" s="78">
        <v>1</v>
      </c>
      <c r="AL156" s="78">
        <v>1</v>
      </c>
      <c r="AM156" s="78">
        <v>6</v>
      </c>
      <c r="AN156" s="78">
        <v>1</v>
      </c>
      <c r="AO156" s="78">
        <v>2</v>
      </c>
      <c r="AP156" s="78">
        <v>2</v>
      </c>
      <c r="AQ156" s="78">
        <v>1</v>
      </c>
      <c r="AR156" s="78">
        <v>2</v>
      </c>
      <c r="AS156" s="78">
        <v>2</v>
      </c>
      <c r="AT156" s="78">
        <v>2</v>
      </c>
      <c r="AU156" s="78">
        <v>1</v>
      </c>
      <c r="AV156" s="78">
        <v>2</v>
      </c>
      <c r="AW156" s="78">
        <v>1</v>
      </c>
      <c r="AX156" s="78">
        <v>4</v>
      </c>
      <c r="AY156" s="78">
        <v>0</v>
      </c>
      <c r="AZ156" s="78">
        <v>2</v>
      </c>
      <c r="BA156" s="78">
        <v>0.5</v>
      </c>
      <c r="BB156" s="78">
        <v>0.5</v>
      </c>
      <c r="BC156" s="78">
        <v>0.5</v>
      </c>
      <c r="BD156" s="78">
        <v>1</v>
      </c>
      <c r="BE156" s="78">
        <v>0.5</v>
      </c>
      <c r="BF156" s="78">
        <v>1</v>
      </c>
      <c r="BG156" s="78">
        <v>2</v>
      </c>
      <c r="BH156" s="137">
        <v>0.84090909999999996</v>
      </c>
      <c r="BJ156" s="143" t="s">
        <v>750</v>
      </c>
      <c r="BK156" s="143" t="s">
        <v>751</v>
      </c>
      <c r="BL156" s="143" t="s">
        <v>841</v>
      </c>
      <c r="BM156" s="143">
        <v>1031</v>
      </c>
      <c r="BN156" s="78">
        <v>1</v>
      </c>
      <c r="BO156" s="78">
        <v>4</v>
      </c>
      <c r="BP156" s="78">
        <v>7</v>
      </c>
      <c r="BQ156" s="78">
        <v>3</v>
      </c>
      <c r="BR156" s="78">
        <v>3</v>
      </c>
      <c r="BS156" s="78">
        <v>0</v>
      </c>
      <c r="BT156" s="78">
        <v>2</v>
      </c>
      <c r="BU156" s="137">
        <v>0.86956520000000004</v>
      </c>
      <c r="BW156" s="143" t="s">
        <v>750</v>
      </c>
      <c r="BX156" s="143" t="s">
        <v>751</v>
      </c>
      <c r="BY156" s="143" t="s">
        <v>841</v>
      </c>
      <c r="BZ156" s="143">
        <v>1031</v>
      </c>
      <c r="CA156" s="78">
        <v>1</v>
      </c>
      <c r="CB156" s="78">
        <v>1</v>
      </c>
      <c r="CC156" s="78">
        <v>1</v>
      </c>
      <c r="CD156" s="78">
        <v>2</v>
      </c>
      <c r="CE156" s="78">
        <v>1</v>
      </c>
      <c r="CF156" s="78">
        <v>2</v>
      </c>
      <c r="CG156" s="78">
        <v>1</v>
      </c>
      <c r="CH156" s="78">
        <v>0</v>
      </c>
      <c r="CI156" s="78">
        <v>0</v>
      </c>
      <c r="CJ156" s="78">
        <v>3</v>
      </c>
      <c r="CK156" s="137">
        <v>0.8</v>
      </c>
      <c r="CM156" s="143" t="s">
        <v>750</v>
      </c>
      <c r="CN156" s="143" t="s">
        <v>751</v>
      </c>
      <c r="CO156" s="143" t="s">
        <v>841</v>
      </c>
      <c r="CP156" s="143">
        <v>1031</v>
      </c>
      <c r="CQ156" s="78">
        <v>8</v>
      </c>
      <c r="CR156" s="78">
        <v>6</v>
      </c>
      <c r="CS156" s="78">
        <v>16</v>
      </c>
      <c r="CT156" s="78">
        <v>0</v>
      </c>
      <c r="CU156" s="78">
        <v>0</v>
      </c>
      <c r="CV156" s="78">
        <v>4</v>
      </c>
      <c r="CW156" s="137">
        <v>0.65384609999999999</v>
      </c>
      <c r="CY156" s="143" t="s">
        <v>750</v>
      </c>
      <c r="CZ156" s="143" t="s">
        <v>751</v>
      </c>
      <c r="DA156" s="143" t="s">
        <v>841</v>
      </c>
      <c r="DB156" s="143">
        <v>1031</v>
      </c>
      <c r="DC156" s="78">
        <v>62</v>
      </c>
      <c r="DD156" s="137">
        <v>0.2</v>
      </c>
      <c r="DE156" s="137">
        <v>0.1347826</v>
      </c>
      <c r="DG156" s="143" t="s">
        <v>750</v>
      </c>
      <c r="DH156" s="143" t="s">
        <v>751</v>
      </c>
      <c r="DI156" s="143" t="s">
        <v>841</v>
      </c>
      <c r="DJ156" s="143">
        <v>1031</v>
      </c>
      <c r="DK156" s="78">
        <v>2</v>
      </c>
      <c r="DL156" s="78">
        <v>1</v>
      </c>
      <c r="DM156" s="78">
        <v>1</v>
      </c>
      <c r="DN156" s="78">
        <v>7</v>
      </c>
      <c r="DO156" s="78">
        <v>2</v>
      </c>
      <c r="DP156" s="78">
        <v>3</v>
      </c>
      <c r="DQ156" s="78">
        <v>8</v>
      </c>
      <c r="DR156" s="78">
        <v>1</v>
      </c>
      <c r="DS156" s="78">
        <v>1</v>
      </c>
      <c r="DT156" s="78">
        <v>2</v>
      </c>
      <c r="DU156" s="78">
        <v>1</v>
      </c>
      <c r="DV156" s="137">
        <v>1</v>
      </c>
      <c r="DX156" s="143" t="s">
        <v>750</v>
      </c>
      <c r="DY156" s="143" t="s">
        <v>751</v>
      </c>
      <c r="DZ156" s="143" t="s">
        <v>841</v>
      </c>
      <c r="EA156" s="143">
        <v>1031</v>
      </c>
      <c r="EB156" s="78">
        <v>1</v>
      </c>
      <c r="EC156" s="78">
        <v>8</v>
      </c>
      <c r="ED156" s="78">
        <v>1</v>
      </c>
      <c r="EE156" s="78">
        <v>4</v>
      </c>
      <c r="EF156" s="78">
        <v>3</v>
      </c>
      <c r="EG156" s="78">
        <v>1</v>
      </c>
      <c r="EH156" s="78">
        <v>1</v>
      </c>
      <c r="EI156" s="78">
        <v>1</v>
      </c>
      <c r="EJ156" s="78">
        <v>0</v>
      </c>
      <c r="EK156" s="78">
        <v>1</v>
      </c>
      <c r="EL156" s="78">
        <v>1</v>
      </c>
      <c r="EM156" s="78">
        <v>1</v>
      </c>
      <c r="EN156" s="78">
        <v>1</v>
      </c>
      <c r="EO156" s="78">
        <v>1</v>
      </c>
      <c r="EP156" s="78">
        <v>1</v>
      </c>
      <c r="EQ156" s="137">
        <v>0.96296300000000001</v>
      </c>
      <c r="ES156" s="143" t="s">
        <v>750</v>
      </c>
      <c r="ET156" s="143" t="s">
        <v>751</v>
      </c>
      <c r="EU156" s="143" t="s">
        <v>841</v>
      </c>
      <c r="EV156" s="143">
        <v>1031</v>
      </c>
      <c r="EW156" s="78">
        <v>0.5</v>
      </c>
      <c r="EX156" s="78">
        <v>1</v>
      </c>
      <c r="EY156" s="78">
        <v>0</v>
      </c>
      <c r="EZ156" s="78">
        <v>0</v>
      </c>
      <c r="FA156" s="78">
        <v>0</v>
      </c>
      <c r="FB156" s="78">
        <v>3</v>
      </c>
      <c r="FC156" s="78">
        <v>2</v>
      </c>
      <c r="FD156" s="78">
        <v>0</v>
      </c>
      <c r="FE156" s="137">
        <v>0.5</v>
      </c>
      <c r="FG156" s="137">
        <v>0.65276970000000001</v>
      </c>
    </row>
    <row r="157" spans="1:163" x14ac:dyDescent="0.35">
      <c r="A157" s="143" t="s">
        <v>750</v>
      </c>
      <c r="B157" s="143" t="s">
        <v>751</v>
      </c>
      <c r="C157" s="143" t="s">
        <v>842</v>
      </c>
      <c r="D157" s="143">
        <v>1967</v>
      </c>
      <c r="E157" s="78">
        <v>0.5</v>
      </c>
      <c r="F157" s="78">
        <v>2.5</v>
      </c>
      <c r="G157" s="78">
        <v>1</v>
      </c>
      <c r="H157" s="78">
        <v>0</v>
      </c>
      <c r="I157" s="78">
        <v>1</v>
      </c>
      <c r="J157" s="78">
        <v>1</v>
      </c>
      <c r="K157" s="78">
        <v>1</v>
      </c>
      <c r="L157" s="78">
        <v>1</v>
      </c>
      <c r="M157" s="78">
        <v>2</v>
      </c>
      <c r="N157" s="137">
        <v>0.71428570000000002</v>
      </c>
      <c r="P157" s="143" t="s">
        <v>750</v>
      </c>
      <c r="Q157" s="143" t="s">
        <v>751</v>
      </c>
      <c r="R157" s="143" t="s">
        <v>842</v>
      </c>
      <c r="S157" s="143">
        <v>1967</v>
      </c>
      <c r="T157" s="78">
        <v>1</v>
      </c>
      <c r="U157" s="78">
        <v>1</v>
      </c>
      <c r="V157" s="78">
        <v>3</v>
      </c>
      <c r="W157" s="78">
        <v>2</v>
      </c>
      <c r="X157" s="78">
        <v>0</v>
      </c>
      <c r="Y157" s="78">
        <v>1</v>
      </c>
      <c r="Z157" s="78">
        <v>3</v>
      </c>
      <c r="AA157" s="78">
        <v>0</v>
      </c>
      <c r="AB157" s="78">
        <v>0</v>
      </c>
      <c r="AC157" s="78">
        <v>0</v>
      </c>
      <c r="AD157" s="137">
        <v>0.32352940000000002</v>
      </c>
      <c r="AF157" s="143" t="s">
        <v>750</v>
      </c>
      <c r="AG157" s="143" t="s">
        <v>751</v>
      </c>
      <c r="AH157" s="143" t="s">
        <v>842</v>
      </c>
      <c r="AI157" s="143">
        <v>1967</v>
      </c>
      <c r="AJ157" s="78">
        <v>1</v>
      </c>
      <c r="AK157" s="78">
        <v>1</v>
      </c>
      <c r="AL157" s="78">
        <v>1</v>
      </c>
      <c r="AM157" s="78">
        <v>5</v>
      </c>
      <c r="AN157" s="78">
        <v>1</v>
      </c>
      <c r="AO157" s="78">
        <v>2</v>
      </c>
      <c r="AP157" s="78">
        <v>2</v>
      </c>
      <c r="AQ157" s="78">
        <v>1</v>
      </c>
      <c r="AR157" s="78">
        <v>2</v>
      </c>
      <c r="AS157" s="78">
        <v>2</v>
      </c>
      <c r="AT157" s="78">
        <v>2</v>
      </c>
      <c r="AU157" s="78">
        <v>1</v>
      </c>
      <c r="AV157" s="78">
        <v>2</v>
      </c>
      <c r="AW157" s="78">
        <v>0</v>
      </c>
      <c r="AX157" s="78">
        <v>0</v>
      </c>
      <c r="AY157" s="78">
        <v>1</v>
      </c>
      <c r="AZ157" s="78">
        <v>2</v>
      </c>
      <c r="BA157" s="78">
        <v>0.5</v>
      </c>
      <c r="BB157" s="78">
        <v>0.5</v>
      </c>
      <c r="BC157" s="78">
        <v>0.5</v>
      </c>
      <c r="BD157" s="78">
        <v>1</v>
      </c>
      <c r="BE157" s="78">
        <v>0.5</v>
      </c>
      <c r="BF157" s="78">
        <v>0</v>
      </c>
      <c r="BG157" s="78">
        <v>0</v>
      </c>
      <c r="BH157" s="137">
        <v>0.65909090000000004</v>
      </c>
      <c r="BJ157" s="143" t="s">
        <v>750</v>
      </c>
      <c r="BK157" s="143" t="s">
        <v>751</v>
      </c>
      <c r="BL157" s="143" t="s">
        <v>842</v>
      </c>
      <c r="BM157" s="143">
        <v>1967</v>
      </c>
      <c r="BN157" s="78">
        <v>0</v>
      </c>
      <c r="BO157" s="78">
        <v>4</v>
      </c>
      <c r="BP157" s="78">
        <v>0</v>
      </c>
      <c r="BQ157" s="78">
        <v>0</v>
      </c>
      <c r="BR157" s="78">
        <v>0</v>
      </c>
      <c r="BS157" s="78">
        <v>0</v>
      </c>
      <c r="BT157" s="78">
        <v>0</v>
      </c>
      <c r="BU157" s="137">
        <v>0.17391300000000001</v>
      </c>
      <c r="BW157" s="143" t="s">
        <v>750</v>
      </c>
      <c r="BX157" s="143" t="s">
        <v>751</v>
      </c>
      <c r="BY157" s="143" t="s">
        <v>842</v>
      </c>
      <c r="BZ157" s="143">
        <v>1967</v>
      </c>
      <c r="CM157" s="143" t="s">
        <v>750</v>
      </c>
      <c r="CN157" s="143" t="s">
        <v>751</v>
      </c>
      <c r="CO157" s="143" t="s">
        <v>842</v>
      </c>
      <c r="CP157" s="143">
        <v>1967</v>
      </c>
      <c r="CQ157" s="78">
        <v>0</v>
      </c>
      <c r="CR157" s="78">
        <v>0</v>
      </c>
      <c r="CS157" s="78">
        <v>16</v>
      </c>
      <c r="CT157" s="78">
        <v>4</v>
      </c>
      <c r="CU157" s="78">
        <v>0</v>
      </c>
      <c r="CV157" s="78">
        <v>8</v>
      </c>
      <c r="CW157" s="137">
        <v>0.53846159999999998</v>
      </c>
      <c r="CY157" s="143" t="s">
        <v>750</v>
      </c>
      <c r="CZ157" s="143" t="s">
        <v>751</v>
      </c>
      <c r="DA157" s="143" t="s">
        <v>842</v>
      </c>
      <c r="DB157" s="143">
        <v>1967</v>
      </c>
      <c r="DC157" s="78">
        <v>40</v>
      </c>
      <c r="DD157" s="137">
        <v>0.4</v>
      </c>
      <c r="DE157" s="137">
        <v>0.17391300000000001</v>
      </c>
      <c r="DG157" s="143" t="s">
        <v>750</v>
      </c>
      <c r="DH157" s="143" t="s">
        <v>751</v>
      </c>
      <c r="DI157" s="143" t="s">
        <v>842</v>
      </c>
      <c r="DJ157" s="143">
        <v>1967</v>
      </c>
      <c r="DK157" s="78">
        <v>2</v>
      </c>
      <c r="DL157" s="78">
        <v>1</v>
      </c>
      <c r="DM157" s="78">
        <v>0</v>
      </c>
      <c r="DN157" s="78">
        <v>5</v>
      </c>
      <c r="DO157" s="78">
        <v>2</v>
      </c>
      <c r="DP157" s="78">
        <v>3</v>
      </c>
      <c r="DQ157" s="78">
        <v>7</v>
      </c>
      <c r="DR157" s="78">
        <v>1</v>
      </c>
      <c r="DS157" s="78">
        <v>1</v>
      </c>
      <c r="DT157" s="78">
        <v>0</v>
      </c>
      <c r="DU157" s="78">
        <v>0</v>
      </c>
      <c r="DV157" s="137">
        <v>0.75862070000000004</v>
      </c>
      <c r="DX157" s="143" t="s">
        <v>750</v>
      </c>
      <c r="DY157" s="143" t="s">
        <v>751</v>
      </c>
      <c r="DZ157" s="143" t="s">
        <v>842</v>
      </c>
      <c r="EA157" s="143">
        <v>1967</v>
      </c>
      <c r="EB157" s="78">
        <v>1</v>
      </c>
      <c r="EC157" s="78">
        <v>8</v>
      </c>
      <c r="ED157" s="78">
        <v>1</v>
      </c>
      <c r="EE157" s="78">
        <v>4</v>
      </c>
      <c r="EF157" s="78">
        <v>3</v>
      </c>
      <c r="EG157" s="78">
        <v>1</v>
      </c>
      <c r="EH157" s="78">
        <v>0</v>
      </c>
      <c r="EI157" s="78">
        <v>1</v>
      </c>
      <c r="EJ157" s="78">
        <v>1</v>
      </c>
      <c r="EK157" s="78">
        <v>1</v>
      </c>
      <c r="EL157" s="78">
        <v>1</v>
      </c>
      <c r="EM157" s="78">
        <v>1</v>
      </c>
      <c r="EN157" s="78">
        <v>1</v>
      </c>
      <c r="EO157" s="78">
        <v>1</v>
      </c>
      <c r="EP157" s="78">
        <v>1</v>
      </c>
      <c r="EQ157" s="137">
        <v>0.96296300000000001</v>
      </c>
      <c r="ES157" s="143" t="s">
        <v>750</v>
      </c>
      <c r="ET157" s="143" t="s">
        <v>751</v>
      </c>
      <c r="EU157" s="143" t="s">
        <v>842</v>
      </c>
      <c r="EV157" s="143">
        <v>1967</v>
      </c>
      <c r="EW157" s="78">
        <v>0.5</v>
      </c>
      <c r="EX157" s="78">
        <v>0</v>
      </c>
      <c r="EY157" s="78">
        <v>3</v>
      </c>
      <c r="EZ157" s="78">
        <v>2</v>
      </c>
      <c r="FA157" s="78">
        <v>0.5</v>
      </c>
      <c r="FB157" s="78">
        <v>3</v>
      </c>
      <c r="FC157" s="78">
        <v>2</v>
      </c>
      <c r="FD157" s="78">
        <v>1</v>
      </c>
      <c r="FE157" s="137">
        <v>0.92307689999999998</v>
      </c>
      <c r="FG157" s="137">
        <v>0.4817073</v>
      </c>
    </row>
    <row r="158" spans="1:163" x14ac:dyDescent="0.35">
      <c r="A158" s="143" t="s">
        <v>750</v>
      </c>
      <c r="B158" s="143" t="s">
        <v>751</v>
      </c>
      <c r="C158" s="143" t="s">
        <v>841</v>
      </c>
      <c r="D158" s="143">
        <v>1968</v>
      </c>
      <c r="E158" s="78">
        <v>0.5</v>
      </c>
      <c r="F158" s="78">
        <v>2.5</v>
      </c>
      <c r="G158" s="78">
        <v>1</v>
      </c>
      <c r="H158" s="78">
        <v>4</v>
      </c>
      <c r="I158" s="78">
        <v>1</v>
      </c>
      <c r="J158" s="78">
        <v>1</v>
      </c>
      <c r="K158" s="78">
        <v>1</v>
      </c>
      <c r="L158" s="78">
        <v>1</v>
      </c>
      <c r="M158" s="78">
        <v>2</v>
      </c>
      <c r="N158" s="137">
        <v>1</v>
      </c>
      <c r="P158" s="143" t="s">
        <v>750</v>
      </c>
      <c r="Q158" s="143" t="s">
        <v>751</v>
      </c>
      <c r="R158" s="143" t="s">
        <v>841</v>
      </c>
      <c r="S158" s="143">
        <v>1968</v>
      </c>
      <c r="T158" s="78">
        <v>1</v>
      </c>
      <c r="U158" s="78">
        <v>1</v>
      </c>
      <c r="V158" s="78">
        <v>3</v>
      </c>
      <c r="W158" s="78">
        <v>2</v>
      </c>
      <c r="X158" s="78">
        <v>12</v>
      </c>
      <c r="Y158" s="78">
        <v>1</v>
      </c>
      <c r="Z158" s="78">
        <v>3</v>
      </c>
      <c r="AA158" s="78">
        <v>2</v>
      </c>
      <c r="AB158" s="78">
        <v>6</v>
      </c>
      <c r="AC158" s="78">
        <v>3</v>
      </c>
      <c r="AD158" s="137">
        <v>1</v>
      </c>
      <c r="AF158" s="143" t="s">
        <v>750</v>
      </c>
      <c r="AG158" s="143" t="s">
        <v>751</v>
      </c>
      <c r="AH158" s="143" t="s">
        <v>841</v>
      </c>
      <c r="AI158" s="143">
        <v>1968</v>
      </c>
      <c r="AJ158" s="78">
        <v>1</v>
      </c>
      <c r="AK158" s="78">
        <v>1</v>
      </c>
      <c r="AL158" s="78">
        <v>1</v>
      </c>
      <c r="AM158" s="78">
        <v>6</v>
      </c>
      <c r="AN158" s="78">
        <v>1</v>
      </c>
      <c r="AO158" s="78">
        <v>2</v>
      </c>
      <c r="AP158" s="78">
        <v>2</v>
      </c>
      <c r="AQ158" s="78">
        <v>1</v>
      </c>
      <c r="AR158" s="78">
        <v>2</v>
      </c>
      <c r="AS158" s="78">
        <v>2</v>
      </c>
      <c r="AT158" s="78">
        <v>2</v>
      </c>
      <c r="AU158" s="78">
        <v>1</v>
      </c>
      <c r="AV158" s="78">
        <v>2</v>
      </c>
      <c r="AW158" s="78">
        <v>1</v>
      </c>
      <c r="AX158" s="78">
        <v>4</v>
      </c>
      <c r="AY158" s="78">
        <v>1</v>
      </c>
      <c r="AZ158" s="78">
        <v>2</v>
      </c>
      <c r="BA158" s="78">
        <v>0.5</v>
      </c>
      <c r="BB158" s="78">
        <v>0.5</v>
      </c>
      <c r="BC158" s="78">
        <v>0.5</v>
      </c>
      <c r="BD158" s="78">
        <v>1</v>
      </c>
      <c r="BE158" s="78">
        <v>0.5</v>
      </c>
      <c r="BF158" s="78">
        <v>1</v>
      </c>
      <c r="BG158" s="78">
        <v>6</v>
      </c>
      <c r="BH158" s="137">
        <v>0.95454539999999999</v>
      </c>
      <c r="BJ158" s="143" t="s">
        <v>750</v>
      </c>
      <c r="BK158" s="143" t="s">
        <v>751</v>
      </c>
      <c r="BL158" s="143" t="s">
        <v>841</v>
      </c>
      <c r="BM158" s="143">
        <v>1968</v>
      </c>
      <c r="BN158" s="78">
        <v>1</v>
      </c>
      <c r="BO158" s="78">
        <v>4</v>
      </c>
      <c r="BP158" s="78">
        <v>7</v>
      </c>
      <c r="BQ158" s="78">
        <v>3</v>
      </c>
      <c r="BR158" s="78">
        <v>3</v>
      </c>
      <c r="BS158" s="78">
        <v>3</v>
      </c>
      <c r="BT158" s="78">
        <v>2</v>
      </c>
      <c r="BU158" s="137">
        <v>1</v>
      </c>
      <c r="BW158" s="143" t="s">
        <v>750</v>
      </c>
      <c r="BX158" s="143" t="s">
        <v>751</v>
      </c>
      <c r="BY158" s="143" t="s">
        <v>841</v>
      </c>
      <c r="BZ158" s="143">
        <v>1968</v>
      </c>
      <c r="CA158" s="78">
        <v>1</v>
      </c>
      <c r="CB158" s="78">
        <v>0</v>
      </c>
      <c r="CC158" s="78">
        <v>1</v>
      </c>
      <c r="CD158" s="78">
        <v>2</v>
      </c>
      <c r="CE158" s="78">
        <v>1</v>
      </c>
      <c r="CF158" s="78">
        <v>2</v>
      </c>
      <c r="CG158" s="78">
        <v>1</v>
      </c>
      <c r="CH158" s="78">
        <v>2</v>
      </c>
      <c r="CI158" s="78">
        <v>0</v>
      </c>
      <c r="CJ158" s="78">
        <v>3</v>
      </c>
      <c r="CK158" s="137">
        <v>0.86666670000000001</v>
      </c>
      <c r="CM158" s="143" t="s">
        <v>750</v>
      </c>
      <c r="CN158" s="143" t="s">
        <v>751</v>
      </c>
      <c r="CO158" s="143" t="s">
        <v>841</v>
      </c>
      <c r="CP158" s="143">
        <v>1968</v>
      </c>
      <c r="CQ158" s="78">
        <v>8</v>
      </c>
      <c r="CR158" s="78">
        <v>6</v>
      </c>
      <c r="CS158" s="78">
        <v>24</v>
      </c>
      <c r="CT158" s="78">
        <v>4</v>
      </c>
      <c r="CU158" s="78">
        <v>2</v>
      </c>
      <c r="CV158" s="78">
        <v>4</v>
      </c>
      <c r="CW158" s="137">
        <v>0.92307689999999998</v>
      </c>
      <c r="CY158" s="143" t="s">
        <v>750</v>
      </c>
      <c r="CZ158" s="143" t="s">
        <v>751</v>
      </c>
      <c r="DA158" s="143" t="s">
        <v>841</v>
      </c>
      <c r="DB158" s="143">
        <v>1968</v>
      </c>
      <c r="DC158" s="78">
        <v>72</v>
      </c>
      <c r="DD158" s="137">
        <v>0.4</v>
      </c>
      <c r="DE158" s="137">
        <v>0.31304349999999997</v>
      </c>
      <c r="DG158" s="143" t="s">
        <v>750</v>
      </c>
      <c r="DH158" s="143" t="s">
        <v>751</v>
      </c>
      <c r="DI158" s="143" t="s">
        <v>841</v>
      </c>
      <c r="DJ158" s="143">
        <v>1968</v>
      </c>
      <c r="DK158" s="78">
        <v>2</v>
      </c>
      <c r="DL158" s="78">
        <v>1</v>
      </c>
      <c r="DM158" s="78">
        <v>1</v>
      </c>
      <c r="DN158" s="78">
        <v>7</v>
      </c>
      <c r="DO158" s="78">
        <v>2</v>
      </c>
      <c r="DP158" s="78">
        <v>3</v>
      </c>
      <c r="DQ158" s="78">
        <v>8</v>
      </c>
      <c r="DR158" s="78">
        <v>1</v>
      </c>
      <c r="DS158" s="78">
        <v>1</v>
      </c>
      <c r="DT158" s="78">
        <v>2</v>
      </c>
      <c r="DU158" s="78">
        <v>0</v>
      </c>
      <c r="DV158" s="137">
        <v>0.96551719999999996</v>
      </c>
      <c r="DX158" s="143" t="s">
        <v>750</v>
      </c>
      <c r="DY158" s="143" t="s">
        <v>751</v>
      </c>
      <c r="DZ158" s="143" t="s">
        <v>841</v>
      </c>
      <c r="EA158" s="143">
        <v>1968</v>
      </c>
      <c r="EB158" s="78">
        <v>1</v>
      </c>
      <c r="EC158" s="78">
        <v>8</v>
      </c>
      <c r="ED158" s="78">
        <v>1</v>
      </c>
      <c r="EE158" s="78">
        <v>4</v>
      </c>
      <c r="EF158" s="78">
        <v>3</v>
      </c>
      <c r="EG158" s="78">
        <v>1</v>
      </c>
      <c r="EH158" s="78">
        <v>1</v>
      </c>
      <c r="EI158" s="78">
        <v>1</v>
      </c>
      <c r="EJ158" s="78">
        <v>1</v>
      </c>
      <c r="EK158" s="78">
        <v>1</v>
      </c>
      <c r="EL158" s="78">
        <v>1</v>
      </c>
      <c r="EM158" s="78">
        <v>1</v>
      </c>
      <c r="EN158" s="78">
        <v>1</v>
      </c>
      <c r="EO158" s="78">
        <v>1</v>
      </c>
      <c r="EP158" s="78">
        <v>1</v>
      </c>
      <c r="EQ158" s="137">
        <v>1</v>
      </c>
      <c r="ES158" s="143" t="s">
        <v>750</v>
      </c>
      <c r="ET158" s="143" t="s">
        <v>751</v>
      </c>
      <c r="EU158" s="143" t="s">
        <v>841</v>
      </c>
      <c r="EV158" s="143">
        <v>1968</v>
      </c>
      <c r="EW158" s="78">
        <v>0.5</v>
      </c>
      <c r="EX158" s="78">
        <v>1</v>
      </c>
      <c r="EY158" s="78">
        <v>3</v>
      </c>
      <c r="EZ158" s="78">
        <v>2</v>
      </c>
      <c r="FA158" s="78">
        <v>0.5</v>
      </c>
      <c r="FB158" s="78">
        <v>3</v>
      </c>
      <c r="FC158" s="78">
        <v>2</v>
      </c>
      <c r="FD158" s="78">
        <v>1</v>
      </c>
      <c r="FE158" s="137">
        <v>1</v>
      </c>
      <c r="FG158" s="137">
        <v>0.78950430000000005</v>
      </c>
    </row>
    <row r="159" spans="1:163" x14ac:dyDescent="0.35">
      <c r="A159" s="143" t="s">
        <v>750</v>
      </c>
      <c r="B159" s="143" t="s">
        <v>751</v>
      </c>
      <c r="C159" s="143" t="s">
        <v>842</v>
      </c>
      <c r="D159" s="143">
        <v>3366</v>
      </c>
      <c r="E159" s="78">
        <v>0.5</v>
      </c>
      <c r="F159" s="78">
        <v>2</v>
      </c>
      <c r="G159" s="78">
        <v>1</v>
      </c>
      <c r="H159" s="78">
        <v>0</v>
      </c>
      <c r="I159" s="78">
        <v>1</v>
      </c>
      <c r="J159" s="78">
        <v>1</v>
      </c>
      <c r="K159" s="78">
        <v>1</v>
      </c>
      <c r="L159" s="78">
        <v>0</v>
      </c>
      <c r="M159" s="78">
        <v>0</v>
      </c>
      <c r="N159" s="137">
        <v>0.46428570000000002</v>
      </c>
      <c r="P159" s="143" t="s">
        <v>750</v>
      </c>
      <c r="Q159" s="143" t="s">
        <v>751</v>
      </c>
      <c r="R159" s="143" t="s">
        <v>842</v>
      </c>
      <c r="S159" s="143">
        <v>3366</v>
      </c>
      <c r="T159" s="78">
        <v>1</v>
      </c>
      <c r="U159" s="78">
        <v>1</v>
      </c>
      <c r="V159" s="78">
        <v>2.5</v>
      </c>
      <c r="W159" s="78">
        <v>2</v>
      </c>
      <c r="X159" s="78">
        <v>12</v>
      </c>
      <c r="Y159" s="78">
        <v>1</v>
      </c>
      <c r="Z159" s="78">
        <v>3</v>
      </c>
      <c r="AA159" s="78">
        <v>2</v>
      </c>
      <c r="AB159" s="78">
        <v>6</v>
      </c>
      <c r="AC159" s="78">
        <v>0</v>
      </c>
      <c r="AD159" s="137">
        <v>0.89705880000000005</v>
      </c>
      <c r="AF159" s="143" t="s">
        <v>750</v>
      </c>
      <c r="AG159" s="143" t="s">
        <v>751</v>
      </c>
      <c r="AH159" s="143" t="s">
        <v>842</v>
      </c>
      <c r="AI159" s="143">
        <v>3366</v>
      </c>
      <c r="AJ159" s="78">
        <v>1</v>
      </c>
      <c r="AK159" s="78">
        <v>1</v>
      </c>
      <c r="AL159" s="78">
        <v>1</v>
      </c>
      <c r="AM159" s="78">
        <v>5</v>
      </c>
      <c r="AN159" s="78">
        <v>1</v>
      </c>
      <c r="AO159" s="78">
        <v>2</v>
      </c>
      <c r="AP159" s="78">
        <v>2</v>
      </c>
      <c r="AQ159" s="78">
        <v>1</v>
      </c>
      <c r="AR159" s="78">
        <v>0</v>
      </c>
      <c r="AS159" s="78">
        <v>2</v>
      </c>
      <c r="AT159" s="78">
        <v>2</v>
      </c>
      <c r="AU159" s="78">
        <v>0</v>
      </c>
      <c r="AV159" s="78">
        <v>2</v>
      </c>
      <c r="AW159" s="78">
        <v>0</v>
      </c>
      <c r="AX159" s="78">
        <v>0</v>
      </c>
      <c r="AY159" s="78">
        <v>1</v>
      </c>
      <c r="AZ159" s="78">
        <v>2</v>
      </c>
      <c r="BA159" s="78">
        <v>0.5</v>
      </c>
      <c r="BB159" s="78">
        <v>0.5</v>
      </c>
      <c r="BC159" s="78">
        <v>0.5</v>
      </c>
      <c r="BD159" s="78">
        <v>1</v>
      </c>
      <c r="BE159" s="78">
        <v>0.5</v>
      </c>
      <c r="BF159" s="78">
        <v>1</v>
      </c>
      <c r="BG159" s="78">
        <v>0</v>
      </c>
      <c r="BH159" s="137">
        <v>0.61363639999999997</v>
      </c>
      <c r="BJ159" s="143" t="s">
        <v>750</v>
      </c>
      <c r="BK159" s="143" t="s">
        <v>751</v>
      </c>
      <c r="BL159" s="143" t="s">
        <v>842</v>
      </c>
      <c r="BM159" s="143">
        <v>3366</v>
      </c>
      <c r="BN159" s="78">
        <v>1</v>
      </c>
      <c r="BO159" s="78">
        <v>0</v>
      </c>
      <c r="BP159" s="78">
        <v>7</v>
      </c>
      <c r="BQ159" s="78">
        <v>0</v>
      </c>
      <c r="BR159" s="78">
        <v>0</v>
      </c>
      <c r="BS159" s="78">
        <v>0</v>
      </c>
      <c r="BT159" s="78">
        <v>2</v>
      </c>
      <c r="BU159" s="137">
        <v>0.43478260000000002</v>
      </c>
      <c r="BW159" s="143" t="s">
        <v>750</v>
      </c>
      <c r="BX159" s="143" t="s">
        <v>751</v>
      </c>
      <c r="BY159" s="143" t="s">
        <v>842</v>
      </c>
      <c r="BZ159" s="143">
        <v>3366</v>
      </c>
      <c r="CM159" s="143" t="s">
        <v>750</v>
      </c>
      <c r="CN159" s="143" t="s">
        <v>751</v>
      </c>
      <c r="CO159" s="143" t="s">
        <v>842</v>
      </c>
      <c r="CP159" s="143">
        <v>3366</v>
      </c>
      <c r="CQ159" s="78">
        <v>6</v>
      </c>
      <c r="CR159" s="78">
        <v>0</v>
      </c>
      <c r="CS159" s="78">
        <v>24</v>
      </c>
      <c r="CT159" s="78">
        <v>4</v>
      </c>
      <c r="CU159" s="78">
        <v>2</v>
      </c>
      <c r="CV159" s="78">
        <v>8</v>
      </c>
      <c r="CW159" s="137">
        <v>0.84615390000000001</v>
      </c>
      <c r="CY159" s="143" t="s">
        <v>750</v>
      </c>
      <c r="CZ159" s="143" t="s">
        <v>751</v>
      </c>
      <c r="DA159" s="143" t="s">
        <v>842</v>
      </c>
      <c r="DB159" s="143">
        <v>3366</v>
      </c>
      <c r="DC159" s="78">
        <v>70</v>
      </c>
      <c r="DD159" s="137">
        <v>0.4</v>
      </c>
      <c r="DE159" s="137">
        <v>0.3043478</v>
      </c>
      <c r="DG159" s="143" t="s">
        <v>750</v>
      </c>
      <c r="DH159" s="143" t="s">
        <v>751</v>
      </c>
      <c r="DI159" s="143" t="s">
        <v>842</v>
      </c>
      <c r="DJ159" s="143">
        <v>3366</v>
      </c>
      <c r="DK159" s="78">
        <v>2</v>
      </c>
      <c r="DL159" s="78">
        <v>1</v>
      </c>
      <c r="DM159" s="78">
        <v>0</v>
      </c>
      <c r="DN159" s="78">
        <v>5</v>
      </c>
      <c r="DO159" s="78">
        <v>2</v>
      </c>
      <c r="DP159" s="78">
        <v>3</v>
      </c>
      <c r="DQ159" s="78">
        <v>7</v>
      </c>
      <c r="DR159" s="78">
        <v>1</v>
      </c>
      <c r="DS159" s="78">
        <v>1</v>
      </c>
      <c r="DT159" s="78">
        <v>0</v>
      </c>
      <c r="DU159" s="78">
        <v>0</v>
      </c>
      <c r="DV159" s="137">
        <v>0.75862070000000004</v>
      </c>
      <c r="DX159" s="143" t="s">
        <v>750</v>
      </c>
      <c r="DY159" s="143" t="s">
        <v>751</v>
      </c>
      <c r="DZ159" s="143" t="s">
        <v>842</v>
      </c>
      <c r="EA159" s="143">
        <v>3366</v>
      </c>
      <c r="EB159" s="78">
        <v>1</v>
      </c>
      <c r="EC159" s="78">
        <v>8</v>
      </c>
      <c r="ED159" s="78">
        <v>1</v>
      </c>
      <c r="EE159" s="78">
        <v>4</v>
      </c>
      <c r="EF159" s="78">
        <v>3</v>
      </c>
      <c r="EG159" s="78">
        <v>1</v>
      </c>
      <c r="EH159" s="78">
        <v>0</v>
      </c>
      <c r="EI159" s="78">
        <v>1</v>
      </c>
      <c r="EJ159" s="78">
        <v>1</v>
      </c>
      <c r="EK159" s="78">
        <v>1</v>
      </c>
      <c r="EL159" s="78">
        <v>1</v>
      </c>
      <c r="EM159" s="78">
        <v>1</v>
      </c>
      <c r="EN159" s="78">
        <v>1</v>
      </c>
      <c r="EO159" s="78">
        <v>1</v>
      </c>
      <c r="EP159" s="78">
        <v>1</v>
      </c>
      <c r="EQ159" s="137">
        <v>0.96296300000000001</v>
      </c>
      <c r="ES159" s="143" t="s">
        <v>750</v>
      </c>
      <c r="ET159" s="143" t="s">
        <v>751</v>
      </c>
      <c r="EU159" s="143" t="s">
        <v>842</v>
      </c>
      <c r="EV159" s="143">
        <v>3366</v>
      </c>
      <c r="EW159" s="78">
        <v>0.5</v>
      </c>
      <c r="EX159" s="78">
        <v>1</v>
      </c>
      <c r="EY159" s="78">
        <v>3</v>
      </c>
      <c r="EZ159" s="78">
        <v>2</v>
      </c>
      <c r="FA159" s="78">
        <v>0.5</v>
      </c>
      <c r="FB159" s="78">
        <v>3</v>
      </c>
      <c r="FC159" s="78">
        <v>2</v>
      </c>
      <c r="FD159" s="78">
        <v>1</v>
      </c>
      <c r="FE159" s="137">
        <v>1</v>
      </c>
      <c r="FG159" s="137">
        <v>0.63109760000000004</v>
      </c>
    </row>
    <row r="160" spans="1:163" x14ac:dyDescent="0.35">
      <c r="A160" s="143" t="s">
        <v>750</v>
      </c>
      <c r="B160" s="143" t="s">
        <v>751</v>
      </c>
      <c r="C160" s="143" t="s">
        <v>842</v>
      </c>
      <c r="D160" s="143">
        <v>3869</v>
      </c>
      <c r="E160" s="78">
        <v>0</v>
      </c>
      <c r="F160" s="78">
        <v>2</v>
      </c>
      <c r="G160" s="78">
        <v>1</v>
      </c>
      <c r="H160" s="78">
        <v>0</v>
      </c>
      <c r="I160" s="78">
        <v>1</v>
      </c>
      <c r="J160" s="78">
        <v>1</v>
      </c>
      <c r="K160" s="78">
        <v>1</v>
      </c>
      <c r="L160" s="78">
        <v>1</v>
      </c>
      <c r="M160" s="78">
        <v>2</v>
      </c>
      <c r="N160" s="137">
        <v>0.64285709999999996</v>
      </c>
      <c r="P160" s="143" t="s">
        <v>750</v>
      </c>
      <c r="Q160" s="143" t="s">
        <v>751</v>
      </c>
      <c r="R160" s="143" t="s">
        <v>842</v>
      </c>
      <c r="S160" s="143">
        <v>3869</v>
      </c>
      <c r="T160" s="78">
        <v>1</v>
      </c>
      <c r="U160" s="78">
        <v>1</v>
      </c>
      <c r="V160" s="78">
        <v>1</v>
      </c>
      <c r="W160" s="78">
        <v>1</v>
      </c>
      <c r="X160" s="78">
        <v>0</v>
      </c>
      <c r="Y160" s="78">
        <v>1</v>
      </c>
      <c r="Z160" s="78">
        <v>3</v>
      </c>
      <c r="AA160" s="78">
        <v>0</v>
      </c>
      <c r="AB160" s="78">
        <v>0</v>
      </c>
      <c r="AC160" s="78">
        <v>0</v>
      </c>
      <c r="AD160" s="137">
        <v>0.23529410000000001</v>
      </c>
      <c r="AF160" s="143" t="s">
        <v>750</v>
      </c>
      <c r="AG160" s="143" t="s">
        <v>751</v>
      </c>
      <c r="AH160" s="143" t="s">
        <v>842</v>
      </c>
      <c r="AI160" s="143">
        <v>3869</v>
      </c>
      <c r="AJ160" s="78">
        <v>0</v>
      </c>
      <c r="AK160" s="78">
        <v>1</v>
      </c>
      <c r="AL160" s="78">
        <v>1</v>
      </c>
      <c r="AM160" s="78">
        <v>5</v>
      </c>
      <c r="AN160" s="78">
        <v>1</v>
      </c>
      <c r="AO160" s="78">
        <v>2</v>
      </c>
      <c r="AP160" s="78">
        <v>2</v>
      </c>
      <c r="AQ160" s="78">
        <v>1</v>
      </c>
      <c r="AR160" s="78">
        <v>0</v>
      </c>
      <c r="AS160" s="78">
        <v>0</v>
      </c>
      <c r="AT160" s="78">
        <v>0</v>
      </c>
      <c r="AU160" s="78">
        <v>0</v>
      </c>
      <c r="AV160" s="78">
        <v>0</v>
      </c>
      <c r="AW160" s="78">
        <v>0</v>
      </c>
      <c r="AX160" s="78">
        <v>0</v>
      </c>
      <c r="AY160" s="78">
        <v>0</v>
      </c>
      <c r="AZ160" s="78">
        <v>2</v>
      </c>
      <c r="BA160" s="78">
        <v>0.5</v>
      </c>
      <c r="BB160" s="78">
        <v>0.5</v>
      </c>
      <c r="BC160" s="78">
        <v>0.5</v>
      </c>
      <c r="BD160" s="78">
        <v>1</v>
      </c>
      <c r="BE160" s="78">
        <v>0.5</v>
      </c>
      <c r="BF160" s="78">
        <v>0</v>
      </c>
      <c r="BG160" s="78">
        <v>2</v>
      </c>
      <c r="BH160" s="137">
        <v>0.45454549999999999</v>
      </c>
      <c r="BJ160" s="143" t="s">
        <v>750</v>
      </c>
      <c r="BK160" s="143" t="s">
        <v>751</v>
      </c>
      <c r="BL160" s="143" t="s">
        <v>842</v>
      </c>
      <c r="BM160" s="143">
        <v>3869</v>
      </c>
      <c r="BN160" s="78">
        <v>0</v>
      </c>
      <c r="BO160" s="78">
        <v>4</v>
      </c>
      <c r="BP160" s="78">
        <v>0</v>
      </c>
      <c r="BQ160" s="78">
        <v>0</v>
      </c>
      <c r="BR160" s="78">
        <v>0</v>
      </c>
      <c r="BS160" s="78">
        <v>0</v>
      </c>
      <c r="BT160" s="78">
        <v>0</v>
      </c>
      <c r="BU160" s="137">
        <v>0.17391300000000001</v>
      </c>
      <c r="BW160" s="143" t="s">
        <v>750</v>
      </c>
      <c r="BX160" s="143" t="s">
        <v>751</v>
      </c>
      <c r="BY160" s="143" t="s">
        <v>842</v>
      </c>
      <c r="BZ160" s="143">
        <v>3869</v>
      </c>
      <c r="CM160" s="143" t="s">
        <v>750</v>
      </c>
      <c r="CN160" s="143" t="s">
        <v>751</v>
      </c>
      <c r="CO160" s="143" t="s">
        <v>842</v>
      </c>
      <c r="CP160" s="143">
        <v>3869</v>
      </c>
      <c r="CQ160" s="78">
        <v>0</v>
      </c>
      <c r="CR160" s="78">
        <v>0</v>
      </c>
      <c r="CS160" s="78">
        <v>12</v>
      </c>
      <c r="CT160" s="78">
        <v>4</v>
      </c>
      <c r="CU160" s="78">
        <v>0</v>
      </c>
      <c r="CV160" s="78">
        <v>8</v>
      </c>
      <c r="CW160" s="137">
        <v>0.46153850000000002</v>
      </c>
      <c r="CY160" s="143" t="s">
        <v>750</v>
      </c>
      <c r="CZ160" s="143" t="s">
        <v>751</v>
      </c>
      <c r="DA160" s="143" t="s">
        <v>842</v>
      </c>
      <c r="DB160" s="143">
        <v>3869</v>
      </c>
      <c r="DC160" s="78">
        <v>22</v>
      </c>
      <c r="DD160" s="137">
        <v>0</v>
      </c>
      <c r="DE160" s="137">
        <v>0</v>
      </c>
      <c r="DG160" s="143" t="s">
        <v>750</v>
      </c>
      <c r="DH160" s="143" t="s">
        <v>751</v>
      </c>
      <c r="DI160" s="143" t="s">
        <v>842</v>
      </c>
      <c r="DJ160" s="143">
        <v>3869</v>
      </c>
      <c r="DK160" s="78">
        <v>2</v>
      </c>
      <c r="DL160" s="78">
        <v>1</v>
      </c>
      <c r="DM160" s="78">
        <v>0</v>
      </c>
      <c r="DN160" s="78">
        <v>5</v>
      </c>
      <c r="DO160" s="78">
        <v>2</v>
      </c>
      <c r="DP160" s="78">
        <v>3</v>
      </c>
      <c r="DQ160" s="78">
        <v>8</v>
      </c>
      <c r="DR160" s="78">
        <v>1</v>
      </c>
      <c r="DS160" s="78">
        <v>1</v>
      </c>
      <c r="DT160" s="78">
        <v>0</v>
      </c>
      <c r="DU160" s="78">
        <v>0</v>
      </c>
      <c r="DV160" s="137">
        <v>0.79310349999999996</v>
      </c>
      <c r="DX160" s="143" t="s">
        <v>750</v>
      </c>
      <c r="DY160" s="143" t="s">
        <v>751</v>
      </c>
      <c r="DZ160" s="143" t="s">
        <v>842</v>
      </c>
      <c r="EA160" s="143">
        <v>3869</v>
      </c>
      <c r="EB160" s="78">
        <v>1</v>
      </c>
      <c r="EC160" s="78">
        <v>8</v>
      </c>
      <c r="ED160" s="78">
        <v>1</v>
      </c>
      <c r="EE160" s="78">
        <v>4</v>
      </c>
      <c r="EF160" s="78">
        <v>3</v>
      </c>
      <c r="EG160" s="78">
        <v>1</v>
      </c>
      <c r="EH160" s="78">
        <v>0</v>
      </c>
      <c r="EI160" s="78">
        <v>1</v>
      </c>
      <c r="EJ160" s="78">
        <v>1</v>
      </c>
      <c r="EK160" s="78">
        <v>1</v>
      </c>
      <c r="EL160" s="78">
        <v>1</v>
      </c>
      <c r="EM160" s="78">
        <v>1</v>
      </c>
      <c r="EN160" s="78">
        <v>1</v>
      </c>
      <c r="EO160" s="78">
        <v>1</v>
      </c>
      <c r="EP160" s="78">
        <v>1</v>
      </c>
      <c r="EQ160" s="137">
        <v>0.96296300000000001</v>
      </c>
      <c r="ES160" s="143" t="s">
        <v>750</v>
      </c>
      <c r="ET160" s="143" t="s">
        <v>751</v>
      </c>
      <c r="EU160" s="143" t="s">
        <v>842</v>
      </c>
      <c r="EV160" s="143">
        <v>3869</v>
      </c>
      <c r="EW160" s="78">
        <v>0</v>
      </c>
      <c r="EX160" s="78">
        <v>0</v>
      </c>
      <c r="EY160" s="78">
        <v>3</v>
      </c>
      <c r="EZ160" s="78">
        <v>2</v>
      </c>
      <c r="FA160" s="78">
        <v>0.5</v>
      </c>
      <c r="FB160" s="78">
        <v>3</v>
      </c>
      <c r="FC160" s="78">
        <v>2</v>
      </c>
      <c r="FD160" s="78">
        <v>1</v>
      </c>
      <c r="FE160" s="137">
        <v>0.88461540000000005</v>
      </c>
      <c r="FG160" s="137">
        <v>0.38262190000000001</v>
      </c>
    </row>
    <row r="161" spans="1:163" x14ac:dyDescent="0.35">
      <c r="A161" s="143" t="s">
        <v>752</v>
      </c>
      <c r="B161" s="143" t="s">
        <v>753</v>
      </c>
      <c r="C161" s="143" t="s">
        <v>843</v>
      </c>
      <c r="D161" s="143">
        <v>845</v>
      </c>
      <c r="E161" s="78">
        <v>0</v>
      </c>
      <c r="F161" s="78">
        <v>1</v>
      </c>
      <c r="G161" s="78">
        <v>0</v>
      </c>
      <c r="H161" s="78">
        <v>0</v>
      </c>
      <c r="I161" s="78">
        <v>1</v>
      </c>
      <c r="J161" s="78">
        <v>0</v>
      </c>
      <c r="K161" s="78">
        <v>0</v>
      </c>
      <c r="L161" s="78">
        <v>0</v>
      </c>
      <c r="M161" s="78">
        <v>0</v>
      </c>
      <c r="N161" s="137">
        <v>0.14285709999999999</v>
      </c>
      <c r="P161" s="143" t="s">
        <v>752</v>
      </c>
      <c r="Q161" s="143" t="s">
        <v>753</v>
      </c>
      <c r="R161" s="143" t="s">
        <v>843</v>
      </c>
      <c r="S161" s="143">
        <v>845</v>
      </c>
      <c r="T161" s="78">
        <v>1</v>
      </c>
      <c r="U161" s="78">
        <v>1</v>
      </c>
      <c r="V161" s="78">
        <v>0.5</v>
      </c>
      <c r="W161" s="78">
        <v>1</v>
      </c>
      <c r="X161" s="78">
        <v>0</v>
      </c>
      <c r="Y161" s="78">
        <v>1</v>
      </c>
      <c r="Z161" s="78">
        <v>0</v>
      </c>
      <c r="AA161" s="78">
        <v>0</v>
      </c>
      <c r="AB161" s="78">
        <v>0</v>
      </c>
      <c r="AC161" s="78">
        <v>0</v>
      </c>
      <c r="AD161" s="137">
        <v>0.1323529</v>
      </c>
      <c r="AF161" s="143" t="s">
        <v>752</v>
      </c>
      <c r="AG161" s="143" t="s">
        <v>753</v>
      </c>
      <c r="AH161" s="143" t="s">
        <v>843</v>
      </c>
      <c r="AI161" s="143">
        <v>845</v>
      </c>
      <c r="AJ161" s="78">
        <v>0</v>
      </c>
      <c r="AK161" s="78">
        <v>0</v>
      </c>
      <c r="AL161" s="78">
        <v>1</v>
      </c>
      <c r="AM161" s="78">
        <v>0</v>
      </c>
      <c r="AN161" s="78">
        <v>1</v>
      </c>
      <c r="AO161" s="78">
        <v>0</v>
      </c>
      <c r="AP161" s="78">
        <v>2</v>
      </c>
      <c r="AQ161" s="78">
        <v>1</v>
      </c>
      <c r="AR161" s="78">
        <v>2</v>
      </c>
      <c r="AS161" s="78">
        <v>0</v>
      </c>
      <c r="AT161" s="78">
        <v>0</v>
      </c>
      <c r="AU161" s="78">
        <v>0</v>
      </c>
      <c r="AV161" s="78">
        <v>0</v>
      </c>
      <c r="AW161" s="78">
        <v>0</v>
      </c>
      <c r="AX161" s="78">
        <v>0</v>
      </c>
      <c r="AY161" s="78">
        <v>0</v>
      </c>
      <c r="AZ161" s="78">
        <v>0</v>
      </c>
      <c r="BA161" s="78">
        <v>0.5</v>
      </c>
      <c r="BB161" s="78">
        <v>0</v>
      </c>
      <c r="BC161" s="78">
        <v>0.5</v>
      </c>
      <c r="BD161" s="78">
        <v>1</v>
      </c>
      <c r="BE161" s="78">
        <v>0.5</v>
      </c>
      <c r="BF161" s="78">
        <v>0</v>
      </c>
      <c r="BG161" s="78">
        <v>2</v>
      </c>
      <c r="BH161" s="137">
        <v>0.26136359999999997</v>
      </c>
      <c r="BJ161" s="143" t="s">
        <v>752</v>
      </c>
      <c r="BK161" s="143" t="s">
        <v>753</v>
      </c>
      <c r="BL161" s="143" t="s">
        <v>843</v>
      </c>
      <c r="BM161" s="143">
        <v>845</v>
      </c>
      <c r="BN161" s="78">
        <v>1</v>
      </c>
      <c r="BO161" s="78">
        <v>0</v>
      </c>
      <c r="BP161" s="78">
        <v>0</v>
      </c>
      <c r="BQ161" s="78">
        <v>0</v>
      </c>
      <c r="BR161" s="78">
        <v>0</v>
      </c>
      <c r="BS161" s="78">
        <v>0</v>
      </c>
      <c r="BT161" s="78">
        <v>2</v>
      </c>
      <c r="BU161" s="137">
        <v>0.13043479999999999</v>
      </c>
      <c r="BW161" s="143" t="s">
        <v>752</v>
      </c>
      <c r="BX161" s="143" t="s">
        <v>753</v>
      </c>
      <c r="BY161" s="143" t="s">
        <v>843</v>
      </c>
      <c r="BZ161" s="143">
        <v>845</v>
      </c>
      <c r="CA161" s="78">
        <v>1</v>
      </c>
      <c r="CB161" s="78">
        <v>1</v>
      </c>
      <c r="CC161" s="78">
        <v>1</v>
      </c>
      <c r="CD161" s="78">
        <v>2</v>
      </c>
      <c r="CE161" s="78">
        <v>1</v>
      </c>
      <c r="CF161" s="78">
        <v>2</v>
      </c>
      <c r="CG161" s="78">
        <v>1</v>
      </c>
      <c r="CH161" s="78">
        <v>2</v>
      </c>
      <c r="CI161" s="78">
        <v>1</v>
      </c>
      <c r="CJ161" s="78">
        <v>0</v>
      </c>
      <c r="CK161" s="137">
        <v>0.8</v>
      </c>
      <c r="CM161" s="143" t="s">
        <v>752</v>
      </c>
      <c r="CN161" s="143" t="s">
        <v>753</v>
      </c>
      <c r="CO161" s="143" t="s">
        <v>843</v>
      </c>
      <c r="CP161" s="143">
        <v>845</v>
      </c>
      <c r="CQ161" s="78">
        <v>8</v>
      </c>
      <c r="CR161" s="78">
        <v>0</v>
      </c>
      <c r="CS161" s="78">
        <v>4</v>
      </c>
      <c r="CT161" s="78">
        <v>4</v>
      </c>
      <c r="CU161" s="78">
        <v>0</v>
      </c>
      <c r="CV161" s="78">
        <v>4</v>
      </c>
      <c r="CW161" s="137">
        <v>0.3846154</v>
      </c>
      <c r="CY161" s="143" t="s">
        <v>752</v>
      </c>
      <c r="CZ161" s="143" t="s">
        <v>753</v>
      </c>
      <c r="DA161" s="143" t="s">
        <v>843</v>
      </c>
      <c r="DB161" s="143">
        <v>845</v>
      </c>
      <c r="DC161" s="78">
        <v>0</v>
      </c>
      <c r="DD161" s="137">
        <v>0</v>
      </c>
      <c r="DE161" s="137">
        <v>0</v>
      </c>
      <c r="DG161" s="143" t="s">
        <v>752</v>
      </c>
      <c r="DH161" s="143" t="s">
        <v>753</v>
      </c>
      <c r="DI161" s="143" t="s">
        <v>843</v>
      </c>
      <c r="DJ161" s="143">
        <v>845</v>
      </c>
      <c r="DK161" s="78">
        <v>2</v>
      </c>
      <c r="DL161" s="78">
        <v>0</v>
      </c>
      <c r="DM161" s="78">
        <v>1</v>
      </c>
      <c r="DN161" s="78">
        <v>5</v>
      </c>
      <c r="DO161" s="78">
        <v>2</v>
      </c>
      <c r="DP161" s="78">
        <v>3</v>
      </c>
      <c r="DQ161" s="78">
        <v>5</v>
      </c>
      <c r="DR161" s="78">
        <v>1</v>
      </c>
      <c r="DS161" s="78">
        <v>1</v>
      </c>
      <c r="DT161" s="78">
        <v>0</v>
      </c>
      <c r="DU161" s="78">
        <v>0</v>
      </c>
      <c r="DV161" s="137">
        <v>0.68965520000000002</v>
      </c>
      <c r="DX161" s="143" t="s">
        <v>752</v>
      </c>
      <c r="DY161" s="143" t="s">
        <v>753</v>
      </c>
      <c r="DZ161" s="143" t="s">
        <v>843</v>
      </c>
      <c r="EA161" s="143">
        <v>845</v>
      </c>
      <c r="EB161" s="78">
        <v>1</v>
      </c>
      <c r="EC161" s="78">
        <v>8</v>
      </c>
      <c r="ED161" s="78">
        <v>1</v>
      </c>
      <c r="EE161" s="78">
        <v>4</v>
      </c>
      <c r="EF161" s="78">
        <v>0</v>
      </c>
      <c r="EG161" s="78">
        <v>1</v>
      </c>
      <c r="EH161" s="78">
        <v>0</v>
      </c>
      <c r="EI161" s="78">
        <v>1</v>
      </c>
      <c r="EJ161" s="78">
        <v>1</v>
      </c>
      <c r="EK161" s="78">
        <v>1</v>
      </c>
      <c r="EL161" s="78">
        <v>1</v>
      </c>
      <c r="EM161" s="78">
        <v>1</v>
      </c>
      <c r="EN161" s="78">
        <v>1</v>
      </c>
      <c r="EO161" s="78">
        <v>1</v>
      </c>
      <c r="EP161" s="78">
        <v>1</v>
      </c>
      <c r="EQ161" s="137">
        <v>0.8518519</v>
      </c>
      <c r="ES161" s="143" t="s">
        <v>752</v>
      </c>
      <c r="ET161" s="143" t="s">
        <v>753</v>
      </c>
      <c r="EU161" s="143" t="s">
        <v>843</v>
      </c>
      <c r="EV161" s="143">
        <v>845</v>
      </c>
      <c r="EW161" s="78">
        <v>0.5</v>
      </c>
      <c r="EX161" s="78">
        <v>0</v>
      </c>
      <c r="EY161" s="78">
        <v>3</v>
      </c>
      <c r="EZ161" s="78">
        <v>2</v>
      </c>
      <c r="FA161" s="78">
        <v>0.5</v>
      </c>
      <c r="FB161" s="78">
        <v>3</v>
      </c>
      <c r="FC161" s="78">
        <v>2</v>
      </c>
      <c r="FD161" s="78">
        <v>1</v>
      </c>
      <c r="FE161" s="137">
        <v>0.92307689999999998</v>
      </c>
      <c r="FG161" s="137">
        <v>0.3148688</v>
      </c>
    </row>
    <row r="162" spans="1:163" x14ac:dyDescent="0.35">
      <c r="A162" s="143" t="s">
        <v>752</v>
      </c>
      <c r="B162" s="143" t="s">
        <v>753</v>
      </c>
      <c r="C162" s="143" t="s">
        <v>842</v>
      </c>
      <c r="D162" s="143">
        <v>848</v>
      </c>
      <c r="E162" s="78">
        <v>0</v>
      </c>
      <c r="F162" s="78">
        <v>1</v>
      </c>
      <c r="G162" s="78">
        <v>0</v>
      </c>
      <c r="H162" s="78">
        <v>0</v>
      </c>
      <c r="I162" s="78">
        <v>1</v>
      </c>
      <c r="J162" s="78">
        <v>0</v>
      </c>
      <c r="K162" s="78">
        <v>1</v>
      </c>
      <c r="L162" s="78">
        <v>0</v>
      </c>
      <c r="M162" s="78">
        <v>0</v>
      </c>
      <c r="N162" s="137">
        <v>0.2142857</v>
      </c>
      <c r="P162" s="143" t="s">
        <v>752</v>
      </c>
      <c r="Q162" s="143" t="s">
        <v>753</v>
      </c>
      <c r="R162" s="143" t="s">
        <v>842</v>
      </c>
      <c r="S162" s="143">
        <v>848</v>
      </c>
      <c r="T162" s="78">
        <v>0</v>
      </c>
      <c r="U162" s="78">
        <v>0</v>
      </c>
      <c r="V162" s="78">
        <v>1.5</v>
      </c>
      <c r="W162" s="78">
        <v>1.5</v>
      </c>
      <c r="X162" s="78">
        <v>0</v>
      </c>
      <c r="Y162" s="78">
        <v>1</v>
      </c>
      <c r="Z162" s="78">
        <v>0</v>
      </c>
      <c r="AA162" s="78">
        <v>0</v>
      </c>
      <c r="AB162" s="78">
        <v>0</v>
      </c>
      <c r="AC162" s="78">
        <v>0</v>
      </c>
      <c r="AD162" s="137">
        <v>0.1176471</v>
      </c>
      <c r="AF162" s="143" t="s">
        <v>752</v>
      </c>
      <c r="AG162" s="143" t="s">
        <v>753</v>
      </c>
      <c r="AH162" s="143" t="s">
        <v>842</v>
      </c>
      <c r="AI162" s="143">
        <v>848</v>
      </c>
      <c r="AJ162" s="78">
        <v>1</v>
      </c>
      <c r="AK162" s="78">
        <v>0</v>
      </c>
      <c r="AL162" s="78">
        <v>0</v>
      </c>
      <c r="AM162" s="78">
        <v>0</v>
      </c>
      <c r="AN162" s="78">
        <v>1</v>
      </c>
      <c r="AO162" s="78">
        <v>2</v>
      </c>
      <c r="AP162" s="78">
        <v>2</v>
      </c>
      <c r="AQ162" s="78">
        <v>1</v>
      </c>
      <c r="AR162" s="78">
        <v>0</v>
      </c>
      <c r="AS162" s="78">
        <v>0</v>
      </c>
      <c r="AT162" s="78">
        <v>0</v>
      </c>
      <c r="AU162" s="78">
        <v>0</v>
      </c>
      <c r="AV162" s="78">
        <v>0</v>
      </c>
      <c r="AW162" s="78">
        <v>0</v>
      </c>
      <c r="AX162" s="78">
        <v>4</v>
      </c>
      <c r="AY162" s="78">
        <v>1</v>
      </c>
      <c r="AZ162" s="78">
        <v>2</v>
      </c>
      <c r="BA162" s="78">
        <v>0.5</v>
      </c>
      <c r="BB162" s="78">
        <v>0.5</v>
      </c>
      <c r="BC162" s="78">
        <v>0.5</v>
      </c>
      <c r="BD162" s="78">
        <v>1</v>
      </c>
      <c r="BE162" s="78">
        <v>0.5</v>
      </c>
      <c r="BF162" s="78">
        <v>0</v>
      </c>
      <c r="BG162" s="78">
        <v>2</v>
      </c>
      <c r="BH162" s="137">
        <v>0.43181819999999999</v>
      </c>
      <c r="BJ162" s="143" t="s">
        <v>752</v>
      </c>
      <c r="BK162" s="143" t="s">
        <v>753</v>
      </c>
      <c r="BL162" s="143" t="s">
        <v>842</v>
      </c>
      <c r="BM162" s="143">
        <v>848</v>
      </c>
      <c r="BN162" s="78">
        <v>0</v>
      </c>
      <c r="BO162" s="78">
        <v>4</v>
      </c>
      <c r="BP162" s="78">
        <v>0</v>
      </c>
      <c r="BQ162" s="78">
        <v>0</v>
      </c>
      <c r="BR162" s="78">
        <v>0</v>
      </c>
      <c r="BS162" s="78">
        <v>0</v>
      </c>
      <c r="BT162" s="78">
        <v>2</v>
      </c>
      <c r="BU162" s="137">
        <v>0.26086959999999998</v>
      </c>
      <c r="BW162" s="143" t="s">
        <v>752</v>
      </c>
      <c r="BX162" s="143" t="s">
        <v>753</v>
      </c>
      <c r="BY162" s="143" t="s">
        <v>842</v>
      </c>
      <c r="BZ162" s="143">
        <v>848</v>
      </c>
      <c r="CA162" s="78">
        <v>1</v>
      </c>
      <c r="CB162" s="78">
        <v>0</v>
      </c>
      <c r="CC162" s="78">
        <v>1</v>
      </c>
      <c r="CD162" s="78">
        <v>2</v>
      </c>
      <c r="CE162" s="78">
        <v>1</v>
      </c>
      <c r="CF162" s="78">
        <v>2</v>
      </c>
      <c r="CG162" s="78">
        <v>0</v>
      </c>
      <c r="CH162" s="78">
        <v>2</v>
      </c>
      <c r="CI162" s="78">
        <v>1</v>
      </c>
      <c r="CJ162" s="78">
        <v>0</v>
      </c>
      <c r="CK162" s="137">
        <v>0.66666669999999995</v>
      </c>
      <c r="CM162" s="143" t="s">
        <v>752</v>
      </c>
      <c r="CN162" s="143" t="s">
        <v>753</v>
      </c>
      <c r="CO162" s="143" t="s">
        <v>842</v>
      </c>
      <c r="CP162" s="143">
        <v>848</v>
      </c>
      <c r="CQ162" s="78">
        <v>2</v>
      </c>
      <c r="CR162" s="78">
        <v>0</v>
      </c>
      <c r="CS162" s="78">
        <v>0</v>
      </c>
      <c r="CT162" s="78">
        <v>4</v>
      </c>
      <c r="CU162" s="78">
        <v>0</v>
      </c>
      <c r="CV162" s="78">
        <v>4</v>
      </c>
      <c r="CW162" s="137">
        <v>0.1923077</v>
      </c>
      <c r="CY162" s="143" t="s">
        <v>752</v>
      </c>
      <c r="CZ162" s="143" t="s">
        <v>753</v>
      </c>
      <c r="DA162" s="143" t="s">
        <v>842</v>
      </c>
      <c r="DB162" s="143">
        <v>848</v>
      </c>
      <c r="DC162" s="78">
        <v>0</v>
      </c>
      <c r="DD162" s="137">
        <v>0</v>
      </c>
      <c r="DE162" s="137">
        <v>0</v>
      </c>
      <c r="DG162" s="143" t="s">
        <v>752</v>
      </c>
      <c r="DH162" s="143" t="s">
        <v>753</v>
      </c>
      <c r="DI162" s="143" t="s">
        <v>842</v>
      </c>
      <c r="DJ162" s="143">
        <v>848</v>
      </c>
      <c r="DK162" s="78">
        <v>2</v>
      </c>
      <c r="DL162" s="78">
        <v>1</v>
      </c>
      <c r="DM162" s="78">
        <v>1</v>
      </c>
      <c r="DN162" s="78">
        <v>5</v>
      </c>
      <c r="DO162" s="78">
        <v>2</v>
      </c>
      <c r="DP162" s="78">
        <v>3</v>
      </c>
      <c r="DQ162" s="78">
        <v>4</v>
      </c>
      <c r="DR162" s="78">
        <v>0</v>
      </c>
      <c r="DS162" s="78">
        <v>1</v>
      </c>
      <c r="DT162" s="78">
        <v>0</v>
      </c>
      <c r="DU162" s="78">
        <v>0</v>
      </c>
      <c r="DV162" s="137">
        <v>0.65517239999999999</v>
      </c>
      <c r="DX162" s="143" t="s">
        <v>752</v>
      </c>
      <c r="DY162" s="143" t="s">
        <v>753</v>
      </c>
      <c r="DZ162" s="143" t="s">
        <v>842</v>
      </c>
      <c r="EA162" s="143">
        <v>848</v>
      </c>
      <c r="EB162" s="78">
        <v>1</v>
      </c>
      <c r="EC162" s="78">
        <v>8</v>
      </c>
      <c r="ED162" s="78">
        <v>1</v>
      </c>
      <c r="EE162" s="78">
        <v>4</v>
      </c>
      <c r="EF162" s="78">
        <v>0</v>
      </c>
      <c r="EG162" s="78">
        <v>1</v>
      </c>
      <c r="EH162" s="78">
        <v>0</v>
      </c>
      <c r="EI162" s="78">
        <v>1</v>
      </c>
      <c r="EJ162" s="78">
        <v>1</v>
      </c>
      <c r="EK162" s="78">
        <v>0</v>
      </c>
      <c r="EL162" s="78">
        <v>1</v>
      </c>
      <c r="EM162" s="78">
        <v>1</v>
      </c>
      <c r="EN162" s="78">
        <v>0</v>
      </c>
      <c r="EO162" s="78">
        <v>1</v>
      </c>
      <c r="EP162" s="78">
        <v>1</v>
      </c>
      <c r="EQ162" s="137">
        <v>0.77777779999999996</v>
      </c>
      <c r="ES162" s="143" t="s">
        <v>752</v>
      </c>
      <c r="ET162" s="143" t="s">
        <v>753</v>
      </c>
      <c r="EU162" s="143" t="s">
        <v>842</v>
      </c>
      <c r="EV162" s="143">
        <v>848</v>
      </c>
      <c r="EW162" s="78">
        <v>0</v>
      </c>
      <c r="EX162" s="78">
        <v>0</v>
      </c>
      <c r="EY162" s="78">
        <v>3</v>
      </c>
      <c r="EZ162" s="78">
        <v>2</v>
      </c>
      <c r="FA162" s="78">
        <v>0.5</v>
      </c>
      <c r="FB162" s="78">
        <v>3</v>
      </c>
      <c r="FC162" s="78">
        <v>2</v>
      </c>
      <c r="FD162" s="78">
        <v>0</v>
      </c>
      <c r="FE162" s="137">
        <v>0.80769230000000003</v>
      </c>
      <c r="FG162" s="137">
        <v>0.29883379999999998</v>
      </c>
    </row>
    <row r="163" spans="1:163" x14ac:dyDescent="0.35">
      <c r="A163" s="143" t="s">
        <v>752</v>
      </c>
      <c r="B163" s="143" t="s">
        <v>753</v>
      </c>
      <c r="C163" s="143" t="s">
        <v>841</v>
      </c>
      <c r="D163" s="143">
        <v>1578</v>
      </c>
      <c r="E163" s="78">
        <v>0</v>
      </c>
      <c r="F163" s="78">
        <v>1</v>
      </c>
      <c r="G163" s="78">
        <v>0</v>
      </c>
      <c r="H163" s="78">
        <v>0</v>
      </c>
      <c r="I163" s="78">
        <v>1</v>
      </c>
      <c r="J163" s="78">
        <v>0</v>
      </c>
      <c r="K163" s="78">
        <v>1</v>
      </c>
      <c r="L163" s="78">
        <v>0</v>
      </c>
      <c r="M163" s="78">
        <v>0</v>
      </c>
      <c r="N163" s="137">
        <v>0.2142857</v>
      </c>
      <c r="P163" s="143" t="s">
        <v>752</v>
      </c>
      <c r="Q163" s="143" t="s">
        <v>753</v>
      </c>
      <c r="R163" s="143" t="s">
        <v>841</v>
      </c>
      <c r="S163" s="143">
        <v>1578</v>
      </c>
      <c r="T163" s="78">
        <v>0</v>
      </c>
      <c r="U163" s="78">
        <v>1</v>
      </c>
      <c r="V163" s="78">
        <v>0.5</v>
      </c>
      <c r="W163" s="78">
        <v>0</v>
      </c>
      <c r="X163" s="78">
        <v>0</v>
      </c>
      <c r="Y163" s="78">
        <v>1</v>
      </c>
      <c r="Z163" s="78">
        <v>0</v>
      </c>
      <c r="AA163" s="78">
        <v>0</v>
      </c>
      <c r="AB163" s="78">
        <v>0</v>
      </c>
      <c r="AC163" s="78">
        <v>3</v>
      </c>
      <c r="AD163" s="137">
        <v>0.16176470000000001</v>
      </c>
      <c r="AF163" s="143" t="s">
        <v>752</v>
      </c>
      <c r="AG163" s="143" t="s">
        <v>753</v>
      </c>
      <c r="AH163" s="143" t="s">
        <v>841</v>
      </c>
      <c r="AI163" s="143">
        <v>1578</v>
      </c>
      <c r="AJ163" s="78">
        <v>0</v>
      </c>
      <c r="AK163" s="78">
        <v>1</v>
      </c>
      <c r="AL163" s="78">
        <v>1</v>
      </c>
      <c r="AM163" s="78">
        <v>0</v>
      </c>
      <c r="AN163" s="78">
        <v>0</v>
      </c>
      <c r="AO163" s="78">
        <v>2</v>
      </c>
      <c r="AP163" s="78">
        <v>2</v>
      </c>
      <c r="AQ163" s="78">
        <v>1</v>
      </c>
      <c r="AR163" s="78">
        <v>0</v>
      </c>
      <c r="AS163" s="78">
        <v>2</v>
      </c>
      <c r="AT163" s="78">
        <v>0</v>
      </c>
      <c r="AU163" s="78">
        <v>1</v>
      </c>
      <c r="AV163" s="78">
        <v>2</v>
      </c>
      <c r="AW163" s="78">
        <v>1</v>
      </c>
      <c r="AX163" s="78">
        <v>4</v>
      </c>
      <c r="AY163" s="78">
        <v>1</v>
      </c>
      <c r="AZ163" s="78">
        <v>0</v>
      </c>
      <c r="BA163" s="78">
        <v>0.5</v>
      </c>
      <c r="BB163" s="78">
        <v>0.5</v>
      </c>
      <c r="BC163" s="78">
        <v>0.5</v>
      </c>
      <c r="BD163" s="78">
        <v>0</v>
      </c>
      <c r="BE163" s="78">
        <v>0.5</v>
      </c>
      <c r="BF163" s="78">
        <v>1</v>
      </c>
      <c r="BG163" s="78">
        <v>2</v>
      </c>
      <c r="BH163" s="137">
        <v>0.52272730000000001</v>
      </c>
      <c r="BJ163" s="143" t="s">
        <v>752</v>
      </c>
      <c r="BK163" s="143" t="s">
        <v>753</v>
      </c>
      <c r="BL163" s="143" t="s">
        <v>841</v>
      </c>
      <c r="BM163" s="143">
        <v>1578</v>
      </c>
      <c r="BN163" s="78">
        <v>0</v>
      </c>
      <c r="BO163" s="78">
        <v>0</v>
      </c>
      <c r="BP163" s="78">
        <v>0</v>
      </c>
      <c r="BQ163" s="78">
        <v>0</v>
      </c>
      <c r="BR163" s="78">
        <v>0</v>
      </c>
      <c r="BS163" s="78">
        <v>0</v>
      </c>
      <c r="BT163" s="78">
        <v>0</v>
      </c>
      <c r="BU163" s="137">
        <v>0</v>
      </c>
      <c r="BW163" s="143" t="s">
        <v>752</v>
      </c>
      <c r="BX163" s="143" t="s">
        <v>753</v>
      </c>
      <c r="BY163" s="143" t="s">
        <v>841</v>
      </c>
      <c r="BZ163" s="143">
        <v>1578</v>
      </c>
      <c r="CA163" s="78">
        <v>1</v>
      </c>
      <c r="CB163" s="78">
        <v>0</v>
      </c>
      <c r="CC163" s="78">
        <v>1</v>
      </c>
      <c r="CD163" s="78">
        <v>2</v>
      </c>
      <c r="CE163" s="78">
        <v>1</v>
      </c>
      <c r="CF163" s="78">
        <v>2</v>
      </c>
      <c r="CG163" s="78">
        <v>0</v>
      </c>
      <c r="CH163" s="78">
        <v>2</v>
      </c>
      <c r="CI163" s="78">
        <v>1</v>
      </c>
      <c r="CJ163" s="78">
        <v>0</v>
      </c>
      <c r="CK163" s="137">
        <v>0.66666669999999995</v>
      </c>
      <c r="CM163" s="143" t="s">
        <v>752</v>
      </c>
      <c r="CN163" s="143" t="s">
        <v>753</v>
      </c>
      <c r="CO163" s="143" t="s">
        <v>841</v>
      </c>
      <c r="CP163" s="143">
        <v>1578</v>
      </c>
      <c r="CQ163" s="78">
        <v>8</v>
      </c>
      <c r="CR163" s="78">
        <v>0</v>
      </c>
      <c r="CS163" s="78">
        <v>0</v>
      </c>
      <c r="CT163" s="78">
        <v>4</v>
      </c>
      <c r="CU163" s="78">
        <v>0</v>
      </c>
      <c r="CV163" s="78">
        <v>4</v>
      </c>
      <c r="CW163" s="137">
        <v>0.30769229999999997</v>
      </c>
      <c r="CY163" s="143" t="s">
        <v>752</v>
      </c>
      <c r="CZ163" s="143" t="s">
        <v>753</v>
      </c>
      <c r="DA163" s="143" t="s">
        <v>841</v>
      </c>
      <c r="DB163" s="143">
        <v>1578</v>
      </c>
      <c r="DC163" s="78">
        <v>8</v>
      </c>
      <c r="DD163" s="137">
        <v>0</v>
      </c>
      <c r="DE163" s="137">
        <v>0</v>
      </c>
      <c r="DG163" s="143" t="s">
        <v>752</v>
      </c>
      <c r="DH163" s="143" t="s">
        <v>753</v>
      </c>
      <c r="DI163" s="143" t="s">
        <v>841</v>
      </c>
      <c r="DJ163" s="143">
        <v>1578</v>
      </c>
      <c r="DK163" s="78">
        <v>2</v>
      </c>
      <c r="DL163" s="78">
        <v>0</v>
      </c>
      <c r="DM163" s="78">
        <v>1</v>
      </c>
      <c r="DN163" s="78">
        <v>3</v>
      </c>
      <c r="DO163" s="78">
        <v>2</v>
      </c>
      <c r="DP163" s="78">
        <v>3</v>
      </c>
      <c r="DQ163" s="78">
        <v>4</v>
      </c>
      <c r="DR163" s="78">
        <v>0</v>
      </c>
      <c r="DS163" s="78">
        <v>1</v>
      </c>
      <c r="DT163" s="78">
        <v>0</v>
      </c>
      <c r="DU163" s="78">
        <v>0</v>
      </c>
      <c r="DV163" s="137">
        <v>0.55172410000000005</v>
      </c>
      <c r="DX163" s="143" t="s">
        <v>752</v>
      </c>
      <c r="DY163" s="143" t="s">
        <v>753</v>
      </c>
      <c r="DZ163" s="143" t="s">
        <v>841</v>
      </c>
      <c r="EA163" s="143">
        <v>1578</v>
      </c>
      <c r="EB163" s="78">
        <v>1</v>
      </c>
      <c r="EC163" s="78">
        <v>8</v>
      </c>
      <c r="ED163" s="78">
        <v>1</v>
      </c>
      <c r="EE163" s="78">
        <v>0</v>
      </c>
      <c r="EF163" s="78">
        <v>0</v>
      </c>
      <c r="EG163" s="78">
        <v>1</v>
      </c>
      <c r="EH163" s="78">
        <v>0</v>
      </c>
      <c r="EI163" s="78">
        <v>1</v>
      </c>
      <c r="EJ163" s="78">
        <v>1</v>
      </c>
      <c r="EK163" s="78">
        <v>0</v>
      </c>
      <c r="EL163" s="78">
        <v>1</v>
      </c>
      <c r="EM163" s="78">
        <v>1</v>
      </c>
      <c r="EN163" s="78">
        <v>1</v>
      </c>
      <c r="EO163" s="78">
        <v>1</v>
      </c>
      <c r="EP163" s="78">
        <v>1</v>
      </c>
      <c r="EQ163" s="137">
        <v>0.66666669999999995</v>
      </c>
      <c r="ES163" s="143" t="s">
        <v>752</v>
      </c>
      <c r="ET163" s="143" t="s">
        <v>753</v>
      </c>
      <c r="EU163" s="143" t="s">
        <v>841</v>
      </c>
      <c r="EV163" s="143">
        <v>1578</v>
      </c>
      <c r="EW163" s="78">
        <v>0</v>
      </c>
      <c r="EX163" s="78">
        <v>0</v>
      </c>
      <c r="EY163" s="78">
        <v>0</v>
      </c>
      <c r="EZ163" s="78">
        <v>0</v>
      </c>
      <c r="FA163" s="78">
        <v>0.5</v>
      </c>
      <c r="FB163" s="78">
        <v>3</v>
      </c>
      <c r="FC163" s="78">
        <v>2</v>
      </c>
      <c r="FD163" s="78">
        <v>1</v>
      </c>
      <c r="FE163" s="137">
        <v>0.5</v>
      </c>
      <c r="FG163" s="137">
        <v>0.28571429999999998</v>
      </c>
    </row>
    <row r="164" spans="1:163" x14ac:dyDescent="0.35">
      <c r="A164" s="143" t="s">
        <v>752</v>
      </c>
      <c r="B164" s="143" t="s">
        <v>753</v>
      </c>
      <c r="C164" s="143" t="s">
        <v>842</v>
      </c>
      <c r="D164" s="143">
        <v>2143</v>
      </c>
      <c r="E164" s="78">
        <v>0</v>
      </c>
      <c r="F164" s="78">
        <v>1.5</v>
      </c>
      <c r="G164" s="78">
        <v>0</v>
      </c>
      <c r="H164" s="78">
        <v>0</v>
      </c>
      <c r="I164" s="78">
        <v>1</v>
      </c>
      <c r="J164" s="78">
        <v>0</v>
      </c>
      <c r="K164" s="78">
        <v>1</v>
      </c>
      <c r="L164" s="78">
        <v>0</v>
      </c>
      <c r="M164" s="78">
        <v>0</v>
      </c>
      <c r="N164" s="137">
        <v>0.25</v>
      </c>
      <c r="P164" s="143" t="s">
        <v>752</v>
      </c>
      <c r="Q164" s="143" t="s">
        <v>753</v>
      </c>
      <c r="R164" s="143" t="s">
        <v>842</v>
      </c>
      <c r="S164" s="143">
        <v>2143</v>
      </c>
      <c r="T164" s="78">
        <v>1</v>
      </c>
      <c r="U164" s="78">
        <v>1</v>
      </c>
      <c r="V164" s="78">
        <v>1.5</v>
      </c>
      <c r="W164" s="78">
        <v>0.5</v>
      </c>
      <c r="X164" s="78">
        <v>0</v>
      </c>
      <c r="Y164" s="78">
        <v>0</v>
      </c>
      <c r="Z164" s="78">
        <v>0</v>
      </c>
      <c r="AA164" s="78">
        <v>0</v>
      </c>
      <c r="AB164" s="78">
        <v>0</v>
      </c>
      <c r="AC164" s="78">
        <v>0</v>
      </c>
      <c r="AD164" s="137">
        <v>0.1176471</v>
      </c>
      <c r="AF164" s="143" t="s">
        <v>752</v>
      </c>
      <c r="AG164" s="143" t="s">
        <v>753</v>
      </c>
      <c r="AH164" s="143" t="s">
        <v>842</v>
      </c>
      <c r="AI164" s="143">
        <v>2143</v>
      </c>
      <c r="AJ164" s="78">
        <v>0</v>
      </c>
      <c r="AK164" s="78">
        <v>1</v>
      </c>
      <c r="AL164" s="78">
        <v>0</v>
      </c>
      <c r="AM164" s="78">
        <v>0</v>
      </c>
      <c r="AN164" s="78">
        <v>1</v>
      </c>
      <c r="AO164" s="78">
        <v>0</v>
      </c>
      <c r="AP164" s="78">
        <v>1</v>
      </c>
      <c r="AQ164" s="78">
        <v>1</v>
      </c>
      <c r="AR164" s="78">
        <v>0</v>
      </c>
      <c r="AS164" s="78">
        <v>0</v>
      </c>
      <c r="AT164" s="78">
        <v>0</v>
      </c>
      <c r="AU164" s="78">
        <v>0</v>
      </c>
      <c r="AV164" s="78">
        <v>0</v>
      </c>
      <c r="AW164" s="78">
        <v>0</v>
      </c>
      <c r="AX164" s="78">
        <v>0</v>
      </c>
      <c r="AY164" s="78">
        <v>0</v>
      </c>
      <c r="AZ164" s="78">
        <v>0</v>
      </c>
      <c r="BA164" s="78">
        <v>0.5</v>
      </c>
      <c r="BB164" s="78">
        <v>0.5</v>
      </c>
      <c r="BC164" s="78">
        <v>0.5</v>
      </c>
      <c r="BD164" s="78">
        <v>0</v>
      </c>
      <c r="BE164" s="78">
        <v>0.5</v>
      </c>
      <c r="BF164" s="78">
        <v>0</v>
      </c>
      <c r="BG164" s="78">
        <v>2</v>
      </c>
      <c r="BH164" s="137">
        <v>0.18181820000000001</v>
      </c>
      <c r="BJ164" s="143" t="s">
        <v>752</v>
      </c>
      <c r="BK164" s="143" t="s">
        <v>753</v>
      </c>
      <c r="BL164" s="143" t="s">
        <v>842</v>
      </c>
      <c r="BM164" s="143">
        <v>2143</v>
      </c>
      <c r="BN164" s="78">
        <v>0</v>
      </c>
      <c r="BO164" s="78">
        <v>4</v>
      </c>
      <c r="BP164" s="78">
        <v>0</v>
      </c>
      <c r="BQ164" s="78">
        <v>0</v>
      </c>
      <c r="BR164" s="78">
        <v>0</v>
      </c>
      <c r="BS164" s="78">
        <v>0</v>
      </c>
      <c r="BT164" s="78">
        <v>0</v>
      </c>
      <c r="BU164" s="137">
        <v>0.17391300000000001</v>
      </c>
      <c r="BW164" s="143" t="s">
        <v>752</v>
      </c>
      <c r="BX164" s="143" t="s">
        <v>753</v>
      </c>
      <c r="BY164" s="143" t="s">
        <v>842</v>
      </c>
      <c r="BZ164" s="143">
        <v>2143</v>
      </c>
      <c r="CA164" s="78">
        <v>1</v>
      </c>
      <c r="CB164" s="78">
        <v>0</v>
      </c>
      <c r="CC164" s="78">
        <v>1</v>
      </c>
      <c r="CD164" s="78">
        <v>2</v>
      </c>
      <c r="CE164" s="78">
        <v>1</v>
      </c>
      <c r="CF164" s="78">
        <v>2</v>
      </c>
      <c r="CG164" s="78">
        <v>1</v>
      </c>
      <c r="CH164" s="78">
        <v>2</v>
      </c>
      <c r="CI164" s="78">
        <v>1</v>
      </c>
      <c r="CJ164" s="78">
        <v>0</v>
      </c>
      <c r="CK164" s="137">
        <v>0.73333329999999997</v>
      </c>
      <c r="CM164" s="143" t="s">
        <v>752</v>
      </c>
      <c r="CN164" s="143" t="s">
        <v>753</v>
      </c>
      <c r="CO164" s="143" t="s">
        <v>842</v>
      </c>
      <c r="CP164" s="143">
        <v>2143</v>
      </c>
      <c r="CQ164" s="78">
        <v>0</v>
      </c>
      <c r="CR164" s="78">
        <v>0</v>
      </c>
      <c r="CS164" s="78">
        <v>0</v>
      </c>
      <c r="CT164" s="78">
        <v>0</v>
      </c>
      <c r="CU164" s="78">
        <v>0</v>
      </c>
      <c r="CV164" s="78">
        <v>4</v>
      </c>
      <c r="CW164" s="137">
        <v>7.6923099999999994E-2</v>
      </c>
      <c r="CY164" s="143" t="s">
        <v>752</v>
      </c>
      <c r="CZ164" s="143" t="s">
        <v>753</v>
      </c>
      <c r="DA164" s="143" t="s">
        <v>842</v>
      </c>
      <c r="DB164" s="143">
        <v>2143</v>
      </c>
      <c r="DC164" s="78">
        <v>0</v>
      </c>
      <c r="DD164" s="137">
        <v>0</v>
      </c>
      <c r="DE164" s="137">
        <v>0</v>
      </c>
      <c r="DG164" s="143" t="s">
        <v>752</v>
      </c>
      <c r="DH164" s="143" t="s">
        <v>753</v>
      </c>
      <c r="DI164" s="143" t="s">
        <v>842</v>
      </c>
      <c r="DJ164" s="143">
        <v>2143</v>
      </c>
      <c r="DK164" s="78">
        <v>2</v>
      </c>
      <c r="DL164" s="78">
        <v>1</v>
      </c>
      <c r="DM164" s="78">
        <v>0</v>
      </c>
      <c r="DN164" s="78">
        <v>3</v>
      </c>
      <c r="DO164" s="78">
        <v>2</v>
      </c>
      <c r="DP164" s="78">
        <v>3</v>
      </c>
      <c r="DQ164" s="78">
        <v>6</v>
      </c>
      <c r="DR164" s="78">
        <v>1</v>
      </c>
      <c r="DS164" s="78">
        <v>1</v>
      </c>
      <c r="DT164" s="78">
        <v>2</v>
      </c>
      <c r="DU164" s="78">
        <v>0</v>
      </c>
      <c r="DV164" s="137">
        <v>0.7241379</v>
      </c>
      <c r="DX164" s="143" t="s">
        <v>752</v>
      </c>
      <c r="DY164" s="143" t="s">
        <v>753</v>
      </c>
      <c r="DZ164" s="143" t="s">
        <v>842</v>
      </c>
      <c r="EA164" s="143">
        <v>2143</v>
      </c>
      <c r="EB164" s="78">
        <v>1</v>
      </c>
      <c r="EC164" s="78">
        <v>0</v>
      </c>
      <c r="ED164" s="78">
        <v>1</v>
      </c>
      <c r="EE164" s="78">
        <v>4</v>
      </c>
      <c r="EF164" s="78">
        <v>0</v>
      </c>
      <c r="EG164" s="78">
        <v>1</v>
      </c>
      <c r="EH164" s="78">
        <v>1</v>
      </c>
      <c r="EI164" s="78">
        <v>1</v>
      </c>
      <c r="EJ164" s="78">
        <v>1</v>
      </c>
      <c r="EK164" s="78">
        <v>0</v>
      </c>
      <c r="EL164" s="78">
        <v>1</v>
      </c>
      <c r="EM164" s="78">
        <v>0</v>
      </c>
      <c r="EN164" s="78">
        <v>0</v>
      </c>
      <c r="EO164" s="78">
        <v>1</v>
      </c>
      <c r="EP164" s="78">
        <v>1</v>
      </c>
      <c r="EQ164" s="137">
        <v>0.48148150000000001</v>
      </c>
      <c r="ES164" s="143" t="s">
        <v>752</v>
      </c>
      <c r="ET164" s="143" t="s">
        <v>753</v>
      </c>
      <c r="EU164" s="143" t="s">
        <v>842</v>
      </c>
      <c r="EV164" s="143">
        <v>2143</v>
      </c>
      <c r="EW164" s="78">
        <v>0</v>
      </c>
      <c r="EX164" s="78">
        <v>0</v>
      </c>
      <c r="EY164" s="78">
        <v>3</v>
      </c>
      <c r="EZ164" s="78">
        <v>2</v>
      </c>
      <c r="FA164" s="78">
        <v>0.5</v>
      </c>
      <c r="FB164" s="78">
        <v>3</v>
      </c>
      <c r="FC164" s="78">
        <v>2</v>
      </c>
      <c r="FD164" s="78">
        <v>1</v>
      </c>
      <c r="FE164" s="137">
        <v>0.88461540000000005</v>
      </c>
      <c r="FG164" s="137">
        <v>0.2332361</v>
      </c>
    </row>
    <row r="165" spans="1:163" x14ac:dyDescent="0.35">
      <c r="A165" s="143" t="s">
        <v>754</v>
      </c>
      <c r="B165" s="143" t="s">
        <v>736</v>
      </c>
      <c r="C165" s="143" t="s">
        <v>843</v>
      </c>
      <c r="D165" s="143">
        <v>815</v>
      </c>
      <c r="E165" s="78">
        <v>0</v>
      </c>
      <c r="F165" s="78">
        <v>2</v>
      </c>
      <c r="G165" s="78">
        <v>0</v>
      </c>
      <c r="H165" s="78">
        <v>3</v>
      </c>
      <c r="I165" s="78">
        <v>1</v>
      </c>
      <c r="J165" s="78">
        <v>0</v>
      </c>
      <c r="K165" s="78">
        <v>0</v>
      </c>
      <c r="L165" s="78">
        <v>0</v>
      </c>
      <c r="M165" s="78">
        <v>2</v>
      </c>
      <c r="N165" s="137">
        <v>0.57142859999999995</v>
      </c>
      <c r="P165" s="143" t="s">
        <v>754</v>
      </c>
      <c r="Q165" s="143" t="s">
        <v>736</v>
      </c>
      <c r="R165" s="143" t="s">
        <v>843</v>
      </c>
      <c r="S165" s="143">
        <v>815</v>
      </c>
      <c r="T165" s="78">
        <v>1</v>
      </c>
      <c r="U165" s="78">
        <v>0</v>
      </c>
      <c r="V165" s="78">
        <v>3</v>
      </c>
      <c r="W165" s="78">
        <v>2</v>
      </c>
      <c r="X165" s="78">
        <v>0</v>
      </c>
      <c r="Y165" s="78">
        <v>1</v>
      </c>
      <c r="Z165" s="78">
        <v>0</v>
      </c>
      <c r="AA165" s="78">
        <v>2</v>
      </c>
      <c r="AB165" s="78">
        <v>6</v>
      </c>
      <c r="AC165" s="78">
        <v>3</v>
      </c>
      <c r="AD165" s="137">
        <v>0.52941179999999999</v>
      </c>
      <c r="AF165" s="143" t="s">
        <v>754</v>
      </c>
      <c r="AG165" s="143" t="s">
        <v>736</v>
      </c>
      <c r="AH165" s="143" t="s">
        <v>843</v>
      </c>
      <c r="AI165" s="143">
        <v>815</v>
      </c>
      <c r="AJ165" s="78">
        <v>1</v>
      </c>
      <c r="AK165" s="78">
        <v>0</v>
      </c>
      <c r="AL165" s="78">
        <v>1</v>
      </c>
      <c r="AM165" s="78">
        <v>6</v>
      </c>
      <c r="AN165" s="78">
        <v>1</v>
      </c>
      <c r="AO165" s="78">
        <v>0</v>
      </c>
      <c r="AP165" s="78">
        <v>2</v>
      </c>
      <c r="AQ165" s="78">
        <v>1</v>
      </c>
      <c r="AR165" s="78">
        <v>2</v>
      </c>
      <c r="AS165" s="78">
        <v>2</v>
      </c>
      <c r="AT165" s="78">
        <v>2</v>
      </c>
      <c r="AU165" s="78">
        <v>0</v>
      </c>
      <c r="AV165" s="78">
        <v>2</v>
      </c>
      <c r="AW165" s="78">
        <v>0</v>
      </c>
      <c r="AX165" s="78">
        <v>0</v>
      </c>
      <c r="AY165" s="78">
        <v>0</v>
      </c>
      <c r="AZ165" s="78">
        <v>2</v>
      </c>
      <c r="BA165" s="78">
        <v>0.5</v>
      </c>
      <c r="BB165" s="78">
        <v>0.5</v>
      </c>
      <c r="BC165" s="78">
        <v>0.5</v>
      </c>
      <c r="BD165" s="78">
        <v>1</v>
      </c>
      <c r="BE165" s="78">
        <v>0.5</v>
      </c>
      <c r="BF165" s="78">
        <v>0</v>
      </c>
      <c r="BG165" s="78">
        <v>8</v>
      </c>
      <c r="BH165" s="137">
        <v>0.75</v>
      </c>
      <c r="BJ165" s="143" t="s">
        <v>754</v>
      </c>
      <c r="BK165" s="143" t="s">
        <v>736</v>
      </c>
      <c r="BL165" s="143" t="s">
        <v>843</v>
      </c>
      <c r="BM165" s="143">
        <v>815</v>
      </c>
      <c r="BN165" s="78">
        <v>1</v>
      </c>
      <c r="BO165" s="78">
        <v>4</v>
      </c>
      <c r="BP165" s="78">
        <v>7</v>
      </c>
      <c r="BQ165" s="78">
        <v>0</v>
      </c>
      <c r="BR165" s="78">
        <v>3</v>
      </c>
      <c r="BS165" s="78">
        <v>3</v>
      </c>
      <c r="BT165" s="78">
        <v>2</v>
      </c>
      <c r="BU165" s="137">
        <v>0.86956520000000004</v>
      </c>
      <c r="BW165" s="143" t="s">
        <v>754</v>
      </c>
      <c r="BX165" s="143" t="s">
        <v>736</v>
      </c>
      <c r="BY165" s="143" t="s">
        <v>843</v>
      </c>
      <c r="BZ165" s="143">
        <v>815</v>
      </c>
      <c r="CA165" s="78">
        <v>1</v>
      </c>
      <c r="CB165" s="78">
        <v>1</v>
      </c>
      <c r="CC165" s="78">
        <v>1</v>
      </c>
      <c r="CD165" s="78">
        <v>2</v>
      </c>
      <c r="CE165" s="78">
        <v>1</v>
      </c>
      <c r="CF165" s="78">
        <v>2</v>
      </c>
      <c r="CG165" s="78">
        <v>1</v>
      </c>
      <c r="CH165" s="78">
        <v>2</v>
      </c>
      <c r="CI165" s="78">
        <v>1</v>
      </c>
      <c r="CJ165" s="78">
        <v>0</v>
      </c>
      <c r="CK165" s="137">
        <v>0.8</v>
      </c>
      <c r="CM165" s="143" t="s">
        <v>754</v>
      </c>
      <c r="CN165" s="143" t="s">
        <v>736</v>
      </c>
      <c r="CO165" s="143" t="s">
        <v>843</v>
      </c>
      <c r="CP165" s="143">
        <v>815</v>
      </c>
      <c r="CQ165" s="78">
        <v>8</v>
      </c>
      <c r="CR165" s="78">
        <v>0</v>
      </c>
      <c r="CS165" s="78">
        <v>16</v>
      </c>
      <c r="CT165" s="78">
        <v>4</v>
      </c>
      <c r="CU165" s="78">
        <v>0</v>
      </c>
      <c r="CV165" s="78">
        <v>8</v>
      </c>
      <c r="CW165" s="137">
        <v>0.69230769999999997</v>
      </c>
      <c r="CY165" s="143" t="s">
        <v>754</v>
      </c>
      <c r="CZ165" s="143" t="s">
        <v>736</v>
      </c>
      <c r="DA165" s="143" t="s">
        <v>843</v>
      </c>
      <c r="DB165" s="143">
        <v>815</v>
      </c>
      <c r="DC165" s="78">
        <v>0</v>
      </c>
      <c r="DD165" s="137">
        <v>0</v>
      </c>
      <c r="DE165" s="137">
        <v>0</v>
      </c>
      <c r="DG165" s="143" t="s">
        <v>754</v>
      </c>
      <c r="DH165" s="143" t="s">
        <v>736</v>
      </c>
      <c r="DI165" s="143" t="s">
        <v>843</v>
      </c>
      <c r="DJ165" s="143">
        <v>815</v>
      </c>
      <c r="DK165" s="78">
        <v>2</v>
      </c>
      <c r="DL165" s="78">
        <v>1</v>
      </c>
      <c r="DM165" s="78">
        <v>1</v>
      </c>
      <c r="DN165" s="78">
        <v>5</v>
      </c>
      <c r="DO165" s="78">
        <v>2</v>
      </c>
      <c r="DP165" s="78">
        <v>3</v>
      </c>
      <c r="DQ165" s="78">
        <v>8</v>
      </c>
      <c r="DR165" s="78">
        <v>1</v>
      </c>
      <c r="DS165" s="78">
        <v>1</v>
      </c>
      <c r="DT165" s="78">
        <v>2</v>
      </c>
      <c r="DU165" s="78">
        <v>0</v>
      </c>
      <c r="DV165" s="137">
        <v>0.89655169999999995</v>
      </c>
      <c r="DX165" s="143" t="s">
        <v>754</v>
      </c>
      <c r="DY165" s="143" t="s">
        <v>736</v>
      </c>
      <c r="DZ165" s="143" t="s">
        <v>843</v>
      </c>
      <c r="EA165" s="143">
        <v>815</v>
      </c>
      <c r="EB165" s="78">
        <v>1</v>
      </c>
      <c r="EC165" s="78">
        <v>8</v>
      </c>
      <c r="ED165" s="78">
        <v>1</v>
      </c>
      <c r="EE165" s="78">
        <v>4</v>
      </c>
      <c r="EF165" s="78">
        <v>3</v>
      </c>
      <c r="EG165" s="78">
        <v>1</v>
      </c>
      <c r="EH165" s="78">
        <v>0</v>
      </c>
      <c r="EI165" s="78">
        <v>1</v>
      </c>
      <c r="EJ165" s="78">
        <v>1</v>
      </c>
      <c r="EK165" s="78">
        <v>1</v>
      </c>
      <c r="EL165" s="78">
        <v>1</v>
      </c>
      <c r="EM165" s="78">
        <v>1</v>
      </c>
      <c r="EN165" s="78">
        <v>1</v>
      </c>
      <c r="EO165" s="78">
        <v>0</v>
      </c>
      <c r="EP165" s="78">
        <v>1</v>
      </c>
      <c r="EQ165" s="137">
        <v>0.92592589999999997</v>
      </c>
      <c r="ES165" s="143" t="s">
        <v>754</v>
      </c>
      <c r="ET165" s="143" t="s">
        <v>736</v>
      </c>
      <c r="EU165" s="143" t="s">
        <v>843</v>
      </c>
      <c r="EV165" s="143">
        <v>815</v>
      </c>
      <c r="EW165" s="78">
        <v>0</v>
      </c>
      <c r="EX165" s="78">
        <v>0</v>
      </c>
      <c r="EY165" s="78">
        <v>3</v>
      </c>
      <c r="EZ165" s="78">
        <v>0</v>
      </c>
      <c r="FA165" s="78">
        <v>0.5</v>
      </c>
      <c r="FB165" s="78">
        <v>3</v>
      </c>
      <c r="FC165" s="78">
        <v>2</v>
      </c>
      <c r="FD165" s="78">
        <v>1</v>
      </c>
      <c r="FE165" s="137">
        <v>0.73076920000000001</v>
      </c>
      <c r="FG165" s="137">
        <v>0.54664729999999995</v>
      </c>
    </row>
    <row r="166" spans="1:163" x14ac:dyDescent="0.35">
      <c r="A166" s="143" t="s">
        <v>754</v>
      </c>
      <c r="B166" s="143" t="s">
        <v>736</v>
      </c>
      <c r="C166" s="143" t="s">
        <v>842</v>
      </c>
      <c r="D166" s="143">
        <v>826</v>
      </c>
      <c r="E166" s="78">
        <v>0</v>
      </c>
      <c r="F166" s="78">
        <v>2</v>
      </c>
      <c r="G166" s="78">
        <v>0</v>
      </c>
      <c r="H166" s="78">
        <v>0</v>
      </c>
      <c r="I166" s="78">
        <v>1</v>
      </c>
      <c r="J166" s="78">
        <v>0</v>
      </c>
      <c r="K166" s="78">
        <v>0</v>
      </c>
      <c r="L166" s="78">
        <v>0</v>
      </c>
      <c r="M166" s="78">
        <v>0</v>
      </c>
      <c r="N166" s="137">
        <v>0.2142857</v>
      </c>
      <c r="P166" s="143" t="s">
        <v>754</v>
      </c>
      <c r="Q166" s="143" t="s">
        <v>736</v>
      </c>
      <c r="R166" s="143" t="s">
        <v>842</v>
      </c>
      <c r="S166" s="143">
        <v>826</v>
      </c>
      <c r="T166" s="78">
        <v>1</v>
      </c>
      <c r="U166" s="78">
        <v>1</v>
      </c>
      <c r="V166" s="78">
        <v>1.5</v>
      </c>
      <c r="W166" s="78">
        <v>2</v>
      </c>
      <c r="X166" s="78">
        <v>0</v>
      </c>
      <c r="Y166" s="78">
        <v>1</v>
      </c>
      <c r="Z166" s="78">
        <v>0</v>
      </c>
      <c r="AA166" s="78">
        <v>2</v>
      </c>
      <c r="AB166" s="78">
        <v>6</v>
      </c>
      <c r="AC166" s="78">
        <v>3</v>
      </c>
      <c r="AD166" s="137">
        <v>0.51470590000000005</v>
      </c>
      <c r="AF166" s="143" t="s">
        <v>754</v>
      </c>
      <c r="AG166" s="143" t="s">
        <v>736</v>
      </c>
      <c r="AH166" s="143" t="s">
        <v>842</v>
      </c>
      <c r="AI166" s="143">
        <v>826</v>
      </c>
      <c r="AJ166" s="78">
        <v>1</v>
      </c>
      <c r="AK166" s="78">
        <v>0</v>
      </c>
      <c r="AL166" s="78">
        <v>1</v>
      </c>
      <c r="AM166" s="78">
        <v>0</v>
      </c>
      <c r="AN166" s="78">
        <v>1</v>
      </c>
      <c r="AO166" s="78">
        <v>2</v>
      </c>
      <c r="AP166" s="78">
        <v>2</v>
      </c>
      <c r="AQ166" s="78">
        <v>1</v>
      </c>
      <c r="AR166" s="78">
        <v>0</v>
      </c>
      <c r="AS166" s="78">
        <v>2</v>
      </c>
      <c r="AT166" s="78">
        <v>2</v>
      </c>
      <c r="AU166" s="78">
        <v>0</v>
      </c>
      <c r="AV166" s="78">
        <v>2</v>
      </c>
      <c r="AW166" s="78">
        <v>0</v>
      </c>
      <c r="AX166" s="78">
        <v>0</v>
      </c>
      <c r="AY166" s="78">
        <v>1</v>
      </c>
      <c r="AZ166" s="78">
        <v>2</v>
      </c>
      <c r="BA166" s="78">
        <v>0.5</v>
      </c>
      <c r="BB166" s="78">
        <v>0.5</v>
      </c>
      <c r="BC166" s="78">
        <v>0.5</v>
      </c>
      <c r="BD166" s="78">
        <v>1</v>
      </c>
      <c r="BE166" s="78">
        <v>0.5</v>
      </c>
      <c r="BF166" s="78">
        <v>1</v>
      </c>
      <c r="BG166" s="78">
        <v>8</v>
      </c>
      <c r="BH166" s="137">
        <v>0.65909090000000004</v>
      </c>
      <c r="BJ166" s="143" t="s">
        <v>754</v>
      </c>
      <c r="BK166" s="143" t="s">
        <v>736</v>
      </c>
      <c r="BL166" s="143" t="s">
        <v>842</v>
      </c>
      <c r="BM166" s="143">
        <v>826</v>
      </c>
      <c r="BN166" s="78">
        <v>0</v>
      </c>
      <c r="BO166" s="78">
        <v>4</v>
      </c>
      <c r="BP166" s="78">
        <v>0</v>
      </c>
      <c r="BQ166" s="78">
        <v>0</v>
      </c>
      <c r="BR166" s="78">
        <v>0</v>
      </c>
      <c r="BS166" s="78">
        <v>0</v>
      </c>
      <c r="BT166" s="78">
        <v>2</v>
      </c>
      <c r="BU166" s="137">
        <v>0.26086959999999998</v>
      </c>
      <c r="BW166" s="143" t="s">
        <v>754</v>
      </c>
      <c r="BX166" s="143" t="s">
        <v>736</v>
      </c>
      <c r="BY166" s="143" t="s">
        <v>842</v>
      </c>
      <c r="BZ166" s="143">
        <v>826</v>
      </c>
      <c r="CA166" s="78">
        <v>1</v>
      </c>
      <c r="CB166" s="78">
        <v>0</v>
      </c>
      <c r="CC166" s="78">
        <v>1</v>
      </c>
      <c r="CD166" s="78">
        <v>2</v>
      </c>
      <c r="CE166" s="78">
        <v>0</v>
      </c>
      <c r="CF166" s="78">
        <v>2</v>
      </c>
      <c r="CG166" s="78">
        <v>1</v>
      </c>
      <c r="CH166" s="78">
        <v>2</v>
      </c>
      <c r="CI166" s="78">
        <v>1</v>
      </c>
      <c r="CJ166" s="78">
        <v>3</v>
      </c>
      <c r="CK166" s="137">
        <v>0.86666670000000001</v>
      </c>
      <c r="CM166" s="143" t="s">
        <v>754</v>
      </c>
      <c r="CN166" s="143" t="s">
        <v>736</v>
      </c>
      <c r="CO166" s="143" t="s">
        <v>842</v>
      </c>
      <c r="CP166" s="143">
        <v>826</v>
      </c>
      <c r="CQ166" s="78">
        <v>8</v>
      </c>
      <c r="CR166" s="78">
        <v>0</v>
      </c>
      <c r="CS166" s="78">
        <v>12</v>
      </c>
      <c r="CT166" s="78">
        <v>4</v>
      </c>
      <c r="CU166" s="78">
        <v>0</v>
      </c>
      <c r="CV166" s="78">
        <v>8</v>
      </c>
      <c r="CW166" s="137">
        <v>0.61538459999999995</v>
      </c>
      <c r="CY166" s="143" t="s">
        <v>754</v>
      </c>
      <c r="CZ166" s="143" t="s">
        <v>736</v>
      </c>
      <c r="DA166" s="143" t="s">
        <v>842</v>
      </c>
      <c r="DB166" s="143">
        <v>826</v>
      </c>
      <c r="DC166" s="78">
        <v>0</v>
      </c>
      <c r="DD166" s="137">
        <v>0</v>
      </c>
      <c r="DE166" s="137">
        <v>0</v>
      </c>
      <c r="DG166" s="143" t="s">
        <v>754</v>
      </c>
      <c r="DH166" s="143" t="s">
        <v>736</v>
      </c>
      <c r="DI166" s="143" t="s">
        <v>842</v>
      </c>
      <c r="DJ166" s="143">
        <v>826</v>
      </c>
      <c r="DK166" s="78">
        <v>0</v>
      </c>
      <c r="DL166" s="78">
        <v>0</v>
      </c>
      <c r="DM166" s="78">
        <v>1</v>
      </c>
      <c r="DN166" s="78">
        <v>5</v>
      </c>
      <c r="DO166" s="78">
        <v>2</v>
      </c>
      <c r="DP166" s="78">
        <v>3</v>
      </c>
      <c r="DQ166" s="78">
        <v>8</v>
      </c>
      <c r="DR166" s="78">
        <v>1</v>
      </c>
      <c r="DS166" s="78">
        <v>1</v>
      </c>
      <c r="DT166" s="78">
        <v>2</v>
      </c>
      <c r="DU166" s="78">
        <v>0</v>
      </c>
      <c r="DV166" s="137">
        <v>0.79310349999999996</v>
      </c>
      <c r="DX166" s="143" t="s">
        <v>754</v>
      </c>
      <c r="DY166" s="143" t="s">
        <v>736</v>
      </c>
      <c r="DZ166" s="143" t="s">
        <v>842</v>
      </c>
      <c r="EA166" s="143">
        <v>826</v>
      </c>
      <c r="EB166" s="78">
        <v>1</v>
      </c>
      <c r="EC166" s="78">
        <v>8</v>
      </c>
      <c r="ED166" s="78">
        <v>1</v>
      </c>
      <c r="EE166" s="78">
        <v>4</v>
      </c>
      <c r="EF166" s="78">
        <v>3</v>
      </c>
      <c r="EG166" s="78">
        <v>1</v>
      </c>
      <c r="EH166" s="78">
        <v>0</v>
      </c>
      <c r="EI166" s="78">
        <v>1</v>
      </c>
      <c r="EJ166" s="78">
        <v>1</v>
      </c>
      <c r="EK166" s="78">
        <v>1</v>
      </c>
      <c r="EL166" s="78">
        <v>1</v>
      </c>
      <c r="EM166" s="78">
        <v>1</v>
      </c>
      <c r="EN166" s="78">
        <v>0</v>
      </c>
      <c r="EO166" s="78">
        <v>0</v>
      </c>
      <c r="EP166" s="78">
        <v>1</v>
      </c>
      <c r="EQ166" s="137">
        <v>0.88888889999999998</v>
      </c>
      <c r="ES166" s="143" t="s">
        <v>754</v>
      </c>
      <c r="ET166" s="143" t="s">
        <v>736</v>
      </c>
      <c r="EU166" s="143" t="s">
        <v>842</v>
      </c>
      <c r="EV166" s="143">
        <v>826</v>
      </c>
      <c r="EW166" s="78">
        <v>0</v>
      </c>
      <c r="EX166" s="78">
        <v>0</v>
      </c>
      <c r="EY166" s="78">
        <v>0</v>
      </c>
      <c r="EZ166" s="78">
        <v>0</v>
      </c>
      <c r="FA166" s="78">
        <v>0.5</v>
      </c>
      <c r="FB166" s="78">
        <v>3</v>
      </c>
      <c r="FC166" s="78">
        <v>2</v>
      </c>
      <c r="FD166" s="78">
        <v>1</v>
      </c>
      <c r="FE166" s="137">
        <v>0.5</v>
      </c>
      <c r="FG166" s="137">
        <v>0.44897959999999998</v>
      </c>
    </row>
    <row r="167" spans="1:163" x14ac:dyDescent="0.35">
      <c r="A167" s="143" t="s">
        <v>754</v>
      </c>
      <c r="B167" s="143" t="s">
        <v>736</v>
      </c>
      <c r="C167" s="143" t="s">
        <v>841</v>
      </c>
      <c r="D167" s="143">
        <v>840</v>
      </c>
      <c r="E167" s="78">
        <v>0</v>
      </c>
      <c r="F167" s="78">
        <v>2</v>
      </c>
      <c r="G167" s="78">
        <v>1</v>
      </c>
      <c r="H167" s="78">
        <v>0</v>
      </c>
      <c r="I167" s="78">
        <v>1</v>
      </c>
      <c r="J167" s="78">
        <v>0</v>
      </c>
      <c r="K167" s="78">
        <v>0</v>
      </c>
      <c r="L167" s="78">
        <v>0</v>
      </c>
      <c r="M167" s="78">
        <v>0</v>
      </c>
      <c r="N167" s="137">
        <v>0.28571429999999998</v>
      </c>
      <c r="P167" s="143" t="s">
        <v>754</v>
      </c>
      <c r="Q167" s="143" t="s">
        <v>736</v>
      </c>
      <c r="R167" s="143" t="s">
        <v>841</v>
      </c>
      <c r="S167" s="143">
        <v>840</v>
      </c>
      <c r="T167" s="78">
        <v>1</v>
      </c>
      <c r="U167" s="78">
        <v>1</v>
      </c>
      <c r="V167" s="78">
        <v>1.5</v>
      </c>
      <c r="W167" s="78">
        <v>2</v>
      </c>
      <c r="X167" s="78">
        <v>0</v>
      </c>
      <c r="Y167" s="78">
        <v>1</v>
      </c>
      <c r="Z167" s="78">
        <v>3</v>
      </c>
      <c r="AA167" s="78">
        <v>2</v>
      </c>
      <c r="AB167" s="78">
        <v>6</v>
      </c>
      <c r="AC167" s="78">
        <v>3</v>
      </c>
      <c r="AD167" s="137">
        <v>0.60294119999999995</v>
      </c>
      <c r="AF167" s="143" t="s">
        <v>754</v>
      </c>
      <c r="AG167" s="143" t="s">
        <v>736</v>
      </c>
      <c r="AH167" s="143" t="s">
        <v>841</v>
      </c>
      <c r="AI167" s="143">
        <v>840</v>
      </c>
      <c r="AJ167" s="78">
        <v>1</v>
      </c>
      <c r="AK167" s="78">
        <v>0</v>
      </c>
      <c r="AL167" s="78">
        <v>0</v>
      </c>
      <c r="AM167" s="78">
        <v>6</v>
      </c>
      <c r="AN167" s="78">
        <v>1</v>
      </c>
      <c r="AO167" s="78">
        <v>2</v>
      </c>
      <c r="AP167" s="78">
        <v>2</v>
      </c>
      <c r="AQ167" s="78">
        <v>1</v>
      </c>
      <c r="AR167" s="78">
        <v>2</v>
      </c>
      <c r="AS167" s="78">
        <v>2</v>
      </c>
      <c r="AT167" s="78">
        <v>2</v>
      </c>
      <c r="AU167" s="78">
        <v>0</v>
      </c>
      <c r="AV167" s="78">
        <v>2</v>
      </c>
      <c r="AW167" s="78">
        <v>0</v>
      </c>
      <c r="AX167" s="78">
        <v>0</v>
      </c>
      <c r="AY167" s="78">
        <v>1</v>
      </c>
      <c r="AZ167" s="78">
        <v>2</v>
      </c>
      <c r="BA167" s="78">
        <v>0.5</v>
      </c>
      <c r="BB167" s="78">
        <v>0.5</v>
      </c>
      <c r="BC167" s="78">
        <v>0.5</v>
      </c>
      <c r="BD167" s="78">
        <v>1</v>
      </c>
      <c r="BE167" s="78">
        <v>0.5</v>
      </c>
      <c r="BF167" s="78">
        <v>1</v>
      </c>
      <c r="BG167" s="78">
        <v>8</v>
      </c>
      <c r="BH167" s="137">
        <v>0.81818179999999996</v>
      </c>
      <c r="BJ167" s="143" t="s">
        <v>754</v>
      </c>
      <c r="BK167" s="143" t="s">
        <v>736</v>
      </c>
      <c r="BL167" s="143" t="s">
        <v>841</v>
      </c>
      <c r="BM167" s="143">
        <v>840</v>
      </c>
      <c r="BN167" s="78">
        <v>0</v>
      </c>
      <c r="BO167" s="78">
        <v>4</v>
      </c>
      <c r="BP167" s="78">
        <v>7</v>
      </c>
      <c r="BQ167" s="78">
        <v>0</v>
      </c>
      <c r="BR167" s="78">
        <v>0</v>
      </c>
      <c r="BS167" s="78">
        <v>0</v>
      </c>
      <c r="BT167" s="78">
        <v>2</v>
      </c>
      <c r="BU167" s="137">
        <v>0.56521739999999998</v>
      </c>
      <c r="BW167" s="143" t="s">
        <v>754</v>
      </c>
      <c r="BX167" s="143" t="s">
        <v>736</v>
      </c>
      <c r="BY167" s="143" t="s">
        <v>841</v>
      </c>
      <c r="BZ167" s="143">
        <v>840</v>
      </c>
      <c r="CA167" s="78">
        <v>1</v>
      </c>
      <c r="CB167" s="78">
        <v>1</v>
      </c>
      <c r="CC167" s="78">
        <v>1</v>
      </c>
      <c r="CD167" s="78">
        <v>2</v>
      </c>
      <c r="CE167" s="78">
        <v>1</v>
      </c>
      <c r="CF167" s="78">
        <v>2</v>
      </c>
      <c r="CG167" s="78">
        <v>1</v>
      </c>
      <c r="CH167" s="78">
        <v>2</v>
      </c>
      <c r="CI167" s="78">
        <v>1</v>
      </c>
      <c r="CJ167" s="78">
        <v>3</v>
      </c>
      <c r="CK167" s="137">
        <v>1</v>
      </c>
      <c r="CM167" s="143" t="s">
        <v>754</v>
      </c>
      <c r="CN167" s="143" t="s">
        <v>736</v>
      </c>
      <c r="CO167" s="143" t="s">
        <v>841</v>
      </c>
      <c r="CP167" s="143">
        <v>840</v>
      </c>
      <c r="CQ167" s="78">
        <v>8</v>
      </c>
      <c r="CR167" s="78">
        <v>0</v>
      </c>
      <c r="CS167" s="78">
        <v>12</v>
      </c>
      <c r="CT167" s="78">
        <v>0</v>
      </c>
      <c r="CU167" s="78">
        <v>2</v>
      </c>
      <c r="CV167" s="78">
        <v>8</v>
      </c>
      <c r="CW167" s="137">
        <v>0.57692310000000002</v>
      </c>
      <c r="CY167" s="143" t="s">
        <v>754</v>
      </c>
      <c r="CZ167" s="143" t="s">
        <v>736</v>
      </c>
      <c r="DA167" s="143" t="s">
        <v>841</v>
      </c>
      <c r="DB167" s="143">
        <v>840</v>
      </c>
      <c r="DC167" s="78">
        <v>0</v>
      </c>
      <c r="DD167" s="137">
        <v>0</v>
      </c>
      <c r="DE167" s="137">
        <v>0</v>
      </c>
      <c r="DG167" s="143" t="s">
        <v>754</v>
      </c>
      <c r="DH167" s="143" t="s">
        <v>736</v>
      </c>
      <c r="DI167" s="143" t="s">
        <v>841</v>
      </c>
      <c r="DJ167" s="143">
        <v>840</v>
      </c>
      <c r="DK167" s="78">
        <v>2</v>
      </c>
      <c r="DL167" s="78">
        <v>1</v>
      </c>
      <c r="DM167" s="78">
        <v>1</v>
      </c>
      <c r="DN167" s="78">
        <v>5</v>
      </c>
      <c r="DO167" s="78">
        <v>2</v>
      </c>
      <c r="DP167" s="78">
        <v>3</v>
      </c>
      <c r="DQ167" s="78">
        <v>7</v>
      </c>
      <c r="DR167" s="78">
        <v>1</v>
      </c>
      <c r="DS167" s="78">
        <v>1</v>
      </c>
      <c r="DT167" s="78">
        <v>2</v>
      </c>
      <c r="DU167" s="78">
        <v>1</v>
      </c>
      <c r="DV167" s="137">
        <v>0.89655169999999995</v>
      </c>
      <c r="DX167" s="143" t="s">
        <v>754</v>
      </c>
      <c r="DY167" s="143" t="s">
        <v>736</v>
      </c>
      <c r="DZ167" s="143" t="s">
        <v>841</v>
      </c>
      <c r="EA167" s="143">
        <v>840</v>
      </c>
      <c r="EB167" s="78">
        <v>1</v>
      </c>
      <c r="EC167" s="78">
        <v>8</v>
      </c>
      <c r="ED167" s="78">
        <v>1</v>
      </c>
      <c r="EE167" s="78">
        <v>4</v>
      </c>
      <c r="EF167" s="78">
        <v>3</v>
      </c>
      <c r="EG167" s="78">
        <v>1</v>
      </c>
      <c r="EH167" s="78">
        <v>0</v>
      </c>
      <c r="EI167" s="78">
        <v>1</v>
      </c>
      <c r="EJ167" s="78">
        <v>1</v>
      </c>
      <c r="EK167" s="78">
        <v>1</v>
      </c>
      <c r="EL167" s="78">
        <v>1</v>
      </c>
      <c r="EM167" s="78">
        <v>1</v>
      </c>
      <c r="EN167" s="78">
        <v>0</v>
      </c>
      <c r="EO167" s="78">
        <v>1</v>
      </c>
      <c r="EP167" s="78">
        <v>1</v>
      </c>
      <c r="EQ167" s="137">
        <v>0.92592589999999997</v>
      </c>
      <c r="ES167" s="143" t="s">
        <v>754</v>
      </c>
      <c r="ET167" s="143" t="s">
        <v>736</v>
      </c>
      <c r="EU167" s="143" t="s">
        <v>841</v>
      </c>
      <c r="EV167" s="143">
        <v>840</v>
      </c>
      <c r="EW167" s="78">
        <v>0</v>
      </c>
      <c r="EX167" s="78">
        <v>0</v>
      </c>
      <c r="EY167" s="78">
        <v>3</v>
      </c>
      <c r="EZ167" s="78">
        <v>0</v>
      </c>
      <c r="FA167" s="78">
        <v>0.5</v>
      </c>
      <c r="FB167" s="78">
        <v>3</v>
      </c>
      <c r="FC167" s="78">
        <v>2</v>
      </c>
      <c r="FD167" s="78">
        <v>1</v>
      </c>
      <c r="FE167" s="137">
        <v>0.73076920000000001</v>
      </c>
      <c r="FG167" s="137">
        <v>0.52186589999999999</v>
      </c>
    </row>
    <row r="168" spans="1:163" x14ac:dyDescent="0.35">
      <c r="A168" s="143" t="s">
        <v>754</v>
      </c>
      <c r="B168" s="143" t="s">
        <v>736</v>
      </c>
      <c r="C168" s="143" t="s">
        <v>842</v>
      </c>
      <c r="D168" s="143">
        <v>1630</v>
      </c>
      <c r="E168" s="78">
        <v>0</v>
      </c>
      <c r="F168" s="78">
        <v>2</v>
      </c>
      <c r="G168" s="78">
        <v>0</v>
      </c>
      <c r="H168" s="78">
        <v>0</v>
      </c>
      <c r="I168" s="78">
        <v>1</v>
      </c>
      <c r="J168" s="78">
        <v>0</v>
      </c>
      <c r="K168" s="78">
        <v>0</v>
      </c>
      <c r="L168" s="78">
        <v>0</v>
      </c>
      <c r="M168" s="78">
        <v>0</v>
      </c>
      <c r="N168" s="137">
        <v>0.2142857</v>
      </c>
      <c r="P168" s="143" t="s">
        <v>754</v>
      </c>
      <c r="Q168" s="143" t="s">
        <v>736</v>
      </c>
      <c r="R168" s="143" t="s">
        <v>842</v>
      </c>
      <c r="S168" s="143">
        <v>1630</v>
      </c>
      <c r="T168" s="78">
        <v>1</v>
      </c>
      <c r="U168" s="78">
        <v>1</v>
      </c>
      <c r="V168" s="78">
        <v>1.5</v>
      </c>
      <c r="W168" s="78">
        <v>2</v>
      </c>
      <c r="X168" s="78">
        <v>0</v>
      </c>
      <c r="Y168" s="78">
        <v>1</v>
      </c>
      <c r="Z168" s="78">
        <v>0</v>
      </c>
      <c r="AA168" s="78">
        <v>0</v>
      </c>
      <c r="AB168" s="78">
        <v>0</v>
      </c>
      <c r="AC168" s="78">
        <v>3</v>
      </c>
      <c r="AD168" s="137">
        <v>0.27941179999999999</v>
      </c>
      <c r="AF168" s="143" t="s">
        <v>754</v>
      </c>
      <c r="AG168" s="143" t="s">
        <v>736</v>
      </c>
      <c r="AH168" s="143" t="s">
        <v>842</v>
      </c>
      <c r="AI168" s="143">
        <v>1630</v>
      </c>
      <c r="AJ168" s="78">
        <v>0</v>
      </c>
      <c r="AK168" s="78">
        <v>0</v>
      </c>
      <c r="AL168" s="78">
        <v>1</v>
      </c>
      <c r="AM168" s="78">
        <v>0</v>
      </c>
      <c r="AN168" s="78">
        <v>1</v>
      </c>
      <c r="AO168" s="78">
        <v>2</v>
      </c>
      <c r="AP168" s="78">
        <v>2</v>
      </c>
      <c r="AQ168" s="78">
        <v>1</v>
      </c>
      <c r="AR168" s="78">
        <v>0</v>
      </c>
      <c r="AS168" s="78">
        <v>2</v>
      </c>
      <c r="AT168" s="78">
        <v>0</v>
      </c>
      <c r="AU168" s="78">
        <v>0</v>
      </c>
      <c r="AV168" s="78">
        <v>2</v>
      </c>
      <c r="AW168" s="78">
        <v>0</v>
      </c>
      <c r="AX168" s="78">
        <v>0</v>
      </c>
      <c r="AY168" s="78">
        <v>1</v>
      </c>
      <c r="AZ168" s="78">
        <v>2</v>
      </c>
      <c r="BA168" s="78">
        <v>0.5</v>
      </c>
      <c r="BB168" s="78">
        <v>0.5</v>
      </c>
      <c r="BC168" s="78">
        <v>0.5</v>
      </c>
      <c r="BD168" s="78">
        <v>1</v>
      </c>
      <c r="BE168" s="78">
        <v>0.5</v>
      </c>
      <c r="BF168" s="78">
        <v>1</v>
      </c>
      <c r="BG168" s="78">
        <v>8</v>
      </c>
      <c r="BH168" s="137">
        <v>0.59090909999999996</v>
      </c>
      <c r="BJ168" s="143" t="s">
        <v>754</v>
      </c>
      <c r="BK168" s="143" t="s">
        <v>736</v>
      </c>
      <c r="BL168" s="143" t="s">
        <v>842</v>
      </c>
      <c r="BM168" s="143">
        <v>1630</v>
      </c>
      <c r="BN168" s="78">
        <v>0</v>
      </c>
      <c r="BO168" s="78">
        <v>0</v>
      </c>
      <c r="BP168" s="78">
        <v>7</v>
      </c>
      <c r="BQ168" s="78">
        <v>0</v>
      </c>
      <c r="BR168" s="78">
        <v>0</v>
      </c>
      <c r="BS168" s="78">
        <v>0</v>
      </c>
      <c r="BT168" s="78">
        <v>2</v>
      </c>
      <c r="BU168" s="137">
        <v>0.39130429999999999</v>
      </c>
      <c r="BW168" s="143" t="s">
        <v>754</v>
      </c>
      <c r="BX168" s="143" t="s">
        <v>736</v>
      </c>
      <c r="BY168" s="143" t="s">
        <v>842</v>
      </c>
      <c r="BZ168" s="143">
        <v>1630</v>
      </c>
      <c r="CA168" s="78">
        <v>1</v>
      </c>
      <c r="CB168" s="78">
        <v>0</v>
      </c>
      <c r="CC168" s="78">
        <v>0</v>
      </c>
      <c r="CD168" s="78">
        <v>2</v>
      </c>
      <c r="CE168" s="78">
        <v>0</v>
      </c>
      <c r="CF168" s="78">
        <v>2</v>
      </c>
      <c r="CG168" s="78">
        <v>0</v>
      </c>
      <c r="CH168" s="78">
        <v>2</v>
      </c>
      <c r="CI168" s="78">
        <v>1</v>
      </c>
      <c r="CJ168" s="78">
        <v>0</v>
      </c>
      <c r="CK168" s="137">
        <v>0.53333339999999996</v>
      </c>
      <c r="CM168" s="143" t="s">
        <v>754</v>
      </c>
      <c r="CN168" s="143" t="s">
        <v>736</v>
      </c>
      <c r="CO168" s="143" t="s">
        <v>842</v>
      </c>
      <c r="CP168" s="143">
        <v>1630</v>
      </c>
      <c r="CQ168" s="78">
        <v>6</v>
      </c>
      <c r="CR168" s="78">
        <v>0</v>
      </c>
      <c r="CS168" s="78">
        <v>8</v>
      </c>
      <c r="CT168" s="78">
        <v>4</v>
      </c>
      <c r="CU168" s="78">
        <v>0</v>
      </c>
      <c r="CV168" s="78">
        <v>8</v>
      </c>
      <c r="CW168" s="137">
        <v>0.5</v>
      </c>
      <c r="CY168" s="143" t="s">
        <v>754</v>
      </c>
      <c r="CZ168" s="143" t="s">
        <v>736</v>
      </c>
      <c r="DA168" s="143" t="s">
        <v>842</v>
      </c>
      <c r="DB168" s="143">
        <v>1630</v>
      </c>
      <c r="DC168" s="78">
        <v>0</v>
      </c>
      <c r="DD168" s="137">
        <v>0</v>
      </c>
      <c r="DE168" s="137">
        <v>0</v>
      </c>
      <c r="DG168" s="143" t="s">
        <v>754</v>
      </c>
      <c r="DH168" s="143" t="s">
        <v>736</v>
      </c>
      <c r="DI168" s="143" t="s">
        <v>842</v>
      </c>
      <c r="DJ168" s="143">
        <v>1630</v>
      </c>
      <c r="DK168" s="78">
        <v>0</v>
      </c>
      <c r="DL168" s="78">
        <v>1</v>
      </c>
      <c r="DM168" s="78">
        <v>1</v>
      </c>
      <c r="DN168" s="78">
        <v>4</v>
      </c>
      <c r="DO168" s="78">
        <v>2</v>
      </c>
      <c r="DP168" s="78">
        <v>3</v>
      </c>
      <c r="DQ168" s="78">
        <v>8</v>
      </c>
      <c r="DR168" s="78">
        <v>1</v>
      </c>
      <c r="DS168" s="78">
        <v>1</v>
      </c>
      <c r="DT168" s="78">
        <v>0</v>
      </c>
      <c r="DU168" s="78">
        <v>0</v>
      </c>
      <c r="DV168" s="137">
        <v>0.7241379</v>
      </c>
      <c r="DX168" s="143" t="s">
        <v>754</v>
      </c>
      <c r="DY168" s="143" t="s">
        <v>736</v>
      </c>
      <c r="DZ168" s="143" t="s">
        <v>842</v>
      </c>
      <c r="EA168" s="143">
        <v>1630</v>
      </c>
      <c r="EB168" s="78">
        <v>1</v>
      </c>
      <c r="EC168" s="78">
        <v>0</v>
      </c>
      <c r="ED168" s="78">
        <v>1</v>
      </c>
      <c r="EE168" s="78">
        <v>4</v>
      </c>
      <c r="EF168" s="78">
        <v>3</v>
      </c>
      <c r="EG168" s="78">
        <v>1</v>
      </c>
      <c r="EH168" s="78">
        <v>0</v>
      </c>
      <c r="EI168" s="78">
        <v>1</v>
      </c>
      <c r="EJ168" s="78">
        <v>1</v>
      </c>
      <c r="EK168" s="78">
        <v>1</v>
      </c>
      <c r="EL168" s="78">
        <v>1</v>
      </c>
      <c r="EM168" s="78">
        <v>0</v>
      </c>
      <c r="EN168" s="78">
        <v>1</v>
      </c>
      <c r="EO168" s="78">
        <v>0</v>
      </c>
      <c r="EP168" s="78">
        <v>1</v>
      </c>
      <c r="EQ168" s="137">
        <v>0.59259260000000002</v>
      </c>
      <c r="ES168" s="143" t="s">
        <v>754</v>
      </c>
      <c r="ET168" s="143" t="s">
        <v>736</v>
      </c>
      <c r="EU168" s="143" t="s">
        <v>842</v>
      </c>
      <c r="EV168" s="143">
        <v>1630</v>
      </c>
      <c r="EW168" s="78">
        <v>0</v>
      </c>
      <c r="EX168" s="78">
        <v>0</v>
      </c>
      <c r="EY168" s="78">
        <v>0</v>
      </c>
      <c r="EZ168" s="78">
        <v>0</v>
      </c>
      <c r="FA168" s="78">
        <v>0.5</v>
      </c>
      <c r="FB168" s="78">
        <v>3</v>
      </c>
      <c r="FC168" s="78">
        <v>2</v>
      </c>
      <c r="FD168" s="78">
        <v>1</v>
      </c>
      <c r="FE168" s="137">
        <v>0.5</v>
      </c>
      <c r="FG168" s="137">
        <v>0.36443150000000002</v>
      </c>
    </row>
    <row r="169" spans="1:163" x14ac:dyDescent="0.35">
      <c r="A169" s="143" t="s">
        <v>754</v>
      </c>
      <c r="B169" s="143" t="s">
        <v>736</v>
      </c>
      <c r="C169" s="143" t="s">
        <v>842</v>
      </c>
      <c r="D169" s="143">
        <v>1745</v>
      </c>
      <c r="E169" s="78">
        <v>0</v>
      </c>
      <c r="F169" s="78">
        <v>1.5</v>
      </c>
      <c r="G169" s="78">
        <v>1</v>
      </c>
      <c r="H169" s="78">
        <v>1</v>
      </c>
      <c r="I169" s="78">
        <v>1</v>
      </c>
      <c r="J169" s="78">
        <v>0</v>
      </c>
      <c r="K169" s="78">
        <v>0</v>
      </c>
      <c r="L169" s="78">
        <v>0</v>
      </c>
      <c r="M169" s="78">
        <v>2</v>
      </c>
      <c r="N169" s="137">
        <v>0.46428570000000002</v>
      </c>
      <c r="P169" s="143" t="s">
        <v>754</v>
      </c>
      <c r="Q169" s="143" t="s">
        <v>736</v>
      </c>
      <c r="R169" s="143" t="s">
        <v>842</v>
      </c>
      <c r="S169" s="143">
        <v>1745</v>
      </c>
      <c r="T169" s="78">
        <v>1</v>
      </c>
      <c r="U169" s="78">
        <v>0</v>
      </c>
      <c r="V169" s="78">
        <v>0.5</v>
      </c>
      <c r="W169" s="78">
        <v>1.5</v>
      </c>
      <c r="X169" s="78">
        <v>0</v>
      </c>
      <c r="Y169" s="78">
        <v>1</v>
      </c>
      <c r="Z169" s="78">
        <v>0</v>
      </c>
      <c r="AA169" s="78">
        <v>0</v>
      </c>
      <c r="AB169" s="78">
        <v>0</v>
      </c>
      <c r="AC169" s="78">
        <v>3</v>
      </c>
      <c r="AD169" s="137">
        <v>0.20588239999999999</v>
      </c>
      <c r="AF169" s="143" t="s">
        <v>754</v>
      </c>
      <c r="AG169" s="143" t="s">
        <v>736</v>
      </c>
      <c r="AH169" s="143" t="s">
        <v>842</v>
      </c>
      <c r="AI169" s="143">
        <v>1745</v>
      </c>
      <c r="AJ169" s="78">
        <v>1</v>
      </c>
      <c r="AK169" s="78">
        <v>0</v>
      </c>
      <c r="AL169" s="78">
        <v>1</v>
      </c>
      <c r="AM169" s="78">
        <v>5</v>
      </c>
      <c r="AN169" s="78">
        <v>0</v>
      </c>
      <c r="AO169" s="78">
        <v>2</v>
      </c>
      <c r="AP169" s="78">
        <v>2</v>
      </c>
      <c r="AQ169" s="78">
        <v>1</v>
      </c>
      <c r="AR169" s="78">
        <v>0</v>
      </c>
      <c r="AS169" s="78">
        <v>2</v>
      </c>
      <c r="AT169" s="78">
        <v>0</v>
      </c>
      <c r="AU169" s="78">
        <v>0</v>
      </c>
      <c r="AV169" s="78">
        <v>2</v>
      </c>
      <c r="AW169" s="78">
        <v>0</v>
      </c>
      <c r="AX169" s="78">
        <v>4</v>
      </c>
      <c r="AY169" s="78">
        <v>1</v>
      </c>
      <c r="AZ169" s="78">
        <v>2</v>
      </c>
      <c r="BA169" s="78">
        <v>0.5</v>
      </c>
      <c r="BB169" s="78">
        <v>0.5</v>
      </c>
      <c r="BC169" s="78">
        <v>0.5</v>
      </c>
      <c r="BD169" s="78">
        <v>1</v>
      </c>
      <c r="BE169" s="78">
        <v>0.5</v>
      </c>
      <c r="BF169" s="78">
        <v>0</v>
      </c>
      <c r="BG169" s="78">
        <v>8</v>
      </c>
      <c r="BH169" s="137">
        <v>0.77272730000000001</v>
      </c>
      <c r="BJ169" s="143" t="s">
        <v>754</v>
      </c>
      <c r="BK169" s="143" t="s">
        <v>736</v>
      </c>
      <c r="BL169" s="143" t="s">
        <v>842</v>
      </c>
      <c r="BM169" s="143">
        <v>1745</v>
      </c>
      <c r="BN169" s="78">
        <v>0</v>
      </c>
      <c r="BO169" s="78">
        <v>4</v>
      </c>
      <c r="BP169" s="78">
        <v>7</v>
      </c>
      <c r="BQ169" s="78">
        <v>0</v>
      </c>
      <c r="BR169" s="78">
        <v>0</v>
      </c>
      <c r="BS169" s="78">
        <v>0</v>
      </c>
      <c r="BT169" s="78">
        <v>2</v>
      </c>
      <c r="BU169" s="137">
        <v>0.56521739999999998</v>
      </c>
      <c r="BW169" s="143" t="s">
        <v>754</v>
      </c>
      <c r="BX169" s="143" t="s">
        <v>736</v>
      </c>
      <c r="BY169" s="143" t="s">
        <v>842</v>
      </c>
      <c r="BZ169" s="143">
        <v>1745</v>
      </c>
      <c r="CA169" s="78">
        <v>1</v>
      </c>
      <c r="CB169" s="78">
        <v>0</v>
      </c>
      <c r="CC169" s="78">
        <v>0</v>
      </c>
      <c r="CD169" s="78">
        <v>2</v>
      </c>
      <c r="CE169" s="78">
        <v>0</v>
      </c>
      <c r="CF169" s="78">
        <v>2</v>
      </c>
      <c r="CG169" s="78">
        <v>1</v>
      </c>
      <c r="CH169" s="78">
        <v>2</v>
      </c>
      <c r="CI169" s="78">
        <v>1</v>
      </c>
      <c r="CJ169" s="78">
        <v>0</v>
      </c>
      <c r="CK169" s="137">
        <v>0.6</v>
      </c>
      <c r="CM169" s="143" t="s">
        <v>754</v>
      </c>
      <c r="CN169" s="143" t="s">
        <v>736</v>
      </c>
      <c r="CO169" s="143" t="s">
        <v>842</v>
      </c>
      <c r="CP169" s="143">
        <v>1745</v>
      </c>
      <c r="CQ169" s="78">
        <v>0</v>
      </c>
      <c r="CR169" s="78">
        <v>0</v>
      </c>
      <c r="CS169" s="78">
        <v>8</v>
      </c>
      <c r="CT169" s="78">
        <v>4</v>
      </c>
      <c r="CU169" s="78">
        <v>0</v>
      </c>
      <c r="CV169" s="78">
        <v>8</v>
      </c>
      <c r="CW169" s="137">
        <v>0.3846154</v>
      </c>
      <c r="CY169" s="143" t="s">
        <v>754</v>
      </c>
      <c r="CZ169" s="143" t="s">
        <v>736</v>
      </c>
      <c r="DA169" s="143" t="s">
        <v>842</v>
      </c>
      <c r="DB169" s="143">
        <v>1745</v>
      </c>
      <c r="DC169" s="78">
        <v>0</v>
      </c>
      <c r="DD169" s="137">
        <v>0</v>
      </c>
      <c r="DE169" s="137">
        <v>0</v>
      </c>
      <c r="DG169" s="143" t="s">
        <v>754</v>
      </c>
      <c r="DH169" s="143" t="s">
        <v>736</v>
      </c>
      <c r="DI169" s="143" t="s">
        <v>842</v>
      </c>
      <c r="DJ169" s="143">
        <v>1745</v>
      </c>
      <c r="DK169" s="78">
        <v>2</v>
      </c>
      <c r="DL169" s="78">
        <v>0</v>
      </c>
      <c r="DM169" s="78">
        <v>1</v>
      </c>
      <c r="DN169" s="78">
        <v>5</v>
      </c>
      <c r="DO169" s="78">
        <v>2</v>
      </c>
      <c r="DP169" s="78">
        <v>3</v>
      </c>
      <c r="DQ169" s="78">
        <v>8</v>
      </c>
      <c r="DR169" s="78">
        <v>1</v>
      </c>
      <c r="DS169" s="78">
        <v>1</v>
      </c>
      <c r="DT169" s="78">
        <v>0</v>
      </c>
      <c r="DU169" s="78">
        <v>0</v>
      </c>
      <c r="DV169" s="137">
        <v>0.79310349999999996</v>
      </c>
      <c r="DX169" s="143" t="s">
        <v>754</v>
      </c>
      <c r="DY169" s="143" t="s">
        <v>736</v>
      </c>
      <c r="DZ169" s="143" t="s">
        <v>842</v>
      </c>
      <c r="EA169" s="143">
        <v>1745</v>
      </c>
      <c r="EB169" s="78">
        <v>1</v>
      </c>
      <c r="EC169" s="78">
        <v>8</v>
      </c>
      <c r="ED169" s="78">
        <v>1</v>
      </c>
      <c r="EE169" s="78">
        <v>4</v>
      </c>
      <c r="EF169" s="78">
        <v>3</v>
      </c>
      <c r="EG169" s="78">
        <v>1</v>
      </c>
      <c r="EH169" s="78">
        <v>0</v>
      </c>
      <c r="EI169" s="78">
        <v>1</v>
      </c>
      <c r="EJ169" s="78">
        <v>0</v>
      </c>
      <c r="EK169" s="78">
        <v>1</v>
      </c>
      <c r="EL169" s="78">
        <v>1</v>
      </c>
      <c r="EM169" s="78">
        <v>1</v>
      </c>
      <c r="EN169" s="78">
        <v>1</v>
      </c>
      <c r="EO169" s="78">
        <v>0</v>
      </c>
      <c r="EP169" s="78">
        <v>1</v>
      </c>
      <c r="EQ169" s="137">
        <v>0.88888889999999998</v>
      </c>
      <c r="ES169" s="143" t="s">
        <v>754</v>
      </c>
      <c r="ET169" s="143" t="s">
        <v>736</v>
      </c>
      <c r="EU169" s="143" t="s">
        <v>842</v>
      </c>
      <c r="EV169" s="143">
        <v>1745</v>
      </c>
      <c r="EW169" s="78">
        <v>0</v>
      </c>
      <c r="EX169" s="78">
        <v>0</v>
      </c>
      <c r="EY169" s="78">
        <v>3</v>
      </c>
      <c r="EZ169" s="78">
        <v>0</v>
      </c>
      <c r="FA169" s="78">
        <v>0.5</v>
      </c>
      <c r="FB169" s="78">
        <v>3</v>
      </c>
      <c r="FC169" s="78">
        <v>2</v>
      </c>
      <c r="FD169" s="78">
        <v>1</v>
      </c>
      <c r="FE169" s="137">
        <v>0.73076920000000001</v>
      </c>
      <c r="FG169" s="137">
        <v>0.42565599999999998</v>
      </c>
    </row>
    <row r="170" spans="1:163" x14ac:dyDescent="0.35">
      <c r="A170" s="143" t="s">
        <v>754</v>
      </c>
      <c r="B170" s="143" t="s">
        <v>736</v>
      </c>
      <c r="C170" s="143" t="s">
        <v>841</v>
      </c>
      <c r="D170" s="143">
        <v>2188</v>
      </c>
      <c r="E170" s="78">
        <v>0</v>
      </c>
      <c r="F170" s="78">
        <v>1.5</v>
      </c>
      <c r="G170" s="78">
        <v>1</v>
      </c>
      <c r="H170" s="78">
        <v>1</v>
      </c>
      <c r="I170" s="78">
        <v>1</v>
      </c>
      <c r="J170" s="78">
        <v>0</v>
      </c>
      <c r="K170" s="78">
        <v>0</v>
      </c>
      <c r="L170" s="78">
        <v>0</v>
      </c>
      <c r="M170" s="78">
        <v>2</v>
      </c>
      <c r="N170" s="137">
        <v>0.46428570000000002</v>
      </c>
      <c r="P170" s="143" t="s">
        <v>754</v>
      </c>
      <c r="Q170" s="143" t="s">
        <v>736</v>
      </c>
      <c r="R170" s="143" t="s">
        <v>841</v>
      </c>
      <c r="S170" s="143">
        <v>2188</v>
      </c>
      <c r="T170" s="78">
        <v>1</v>
      </c>
      <c r="U170" s="78">
        <v>1</v>
      </c>
      <c r="V170" s="78">
        <v>3</v>
      </c>
      <c r="W170" s="78">
        <v>1</v>
      </c>
      <c r="X170" s="78">
        <v>0</v>
      </c>
      <c r="Y170" s="78">
        <v>1</v>
      </c>
      <c r="Z170" s="78">
        <v>0</v>
      </c>
      <c r="AA170" s="78">
        <v>2</v>
      </c>
      <c r="AB170" s="78">
        <v>6</v>
      </c>
      <c r="AC170" s="78">
        <v>3</v>
      </c>
      <c r="AD170" s="137">
        <v>0.52941179999999999</v>
      </c>
      <c r="AF170" s="143" t="s">
        <v>754</v>
      </c>
      <c r="AG170" s="143" t="s">
        <v>736</v>
      </c>
      <c r="AH170" s="143" t="s">
        <v>841</v>
      </c>
      <c r="AI170" s="143">
        <v>2188</v>
      </c>
      <c r="AJ170" s="78">
        <v>1</v>
      </c>
      <c r="AK170" s="78">
        <v>0</v>
      </c>
      <c r="AL170" s="78">
        <v>1</v>
      </c>
      <c r="AM170" s="78">
        <v>0</v>
      </c>
      <c r="AN170" s="78">
        <v>1</v>
      </c>
      <c r="AO170" s="78">
        <v>2</v>
      </c>
      <c r="AP170" s="78">
        <v>2</v>
      </c>
      <c r="AQ170" s="78">
        <v>1</v>
      </c>
      <c r="AR170" s="78">
        <v>2</v>
      </c>
      <c r="AS170" s="78">
        <v>2</v>
      </c>
      <c r="AT170" s="78">
        <v>2</v>
      </c>
      <c r="AU170" s="78">
        <v>1</v>
      </c>
      <c r="AV170" s="78">
        <v>2</v>
      </c>
      <c r="AW170" s="78">
        <v>1</v>
      </c>
      <c r="AX170" s="78">
        <v>4</v>
      </c>
      <c r="AY170" s="78">
        <v>1</v>
      </c>
      <c r="AZ170" s="78">
        <v>2</v>
      </c>
      <c r="BA170" s="78">
        <v>0.5</v>
      </c>
      <c r="BB170" s="78">
        <v>0.5</v>
      </c>
      <c r="BC170" s="78">
        <v>0.5</v>
      </c>
      <c r="BD170" s="78">
        <v>1</v>
      </c>
      <c r="BE170" s="78">
        <v>0.5</v>
      </c>
      <c r="BF170" s="78">
        <v>1</v>
      </c>
      <c r="BG170" s="78">
        <v>8</v>
      </c>
      <c r="BH170" s="137">
        <v>0.84090909999999996</v>
      </c>
      <c r="BJ170" s="143" t="s">
        <v>754</v>
      </c>
      <c r="BK170" s="143" t="s">
        <v>736</v>
      </c>
      <c r="BL170" s="143" t="s">
        <v>841</v>
      </c>
      <c r="BM170" s="143">
        <v>2188</v>
      </c>
      <c r="BN170" s="78">
        <v>1</v>
      </c>
      <c r="BO170" s="78">
        <v>4</v>
      </c>
      <c r="BP170" s="78">
        <v>7</v>
      </c>
      <c r="BQ170" s="78">
        <v>3</v>
      </c>
      <c r="BR170" s="78">
        <v>0</v>
      </c>
      <c r="BS170" s="78">
        <v>3</v>
      </c>
      <c r="BT170" s="78">
        <v>2</v>
      </c>
      <c r="BU170" s="137">
        <v>0.86956520000000004</v>
      </c>
      <c r="BW170" s="143" t="s">
        <v>754</v>
      </c>
      <c r="BX170" s="143" t="s">
        <v>736</v>
      </c>
      <c r="BY170" s="143" t="s">
        <v>841</v>
      </c>
      <c r="BZ170" s="143">
        <v>2188</v>
      </c>
      <c r="CA170" s="78">
        <v>1</v>
      </c>
      <c r="CB170" s="78">
        <v>1</v>
      </c>
      <c r="CC170" s="78">
        <v>1</v>
      </c>
      <c r="CD170" s="78">
        <v>2</v>
      </c>
      <c r="CE170" s="78">
        <v>1</v>
      </c>
      <c r="CF170" s="78">
        <v>2</v>
      </c>
      <c r="CG170" s="78">
        <v>1</v>
      </c>
      <c r="CH170" s="78">
        <v>2</v>
      </c>
      <c r="CI170" s="78">
        <v>1</v>
      </c>
      <c r="CJ170" s="78">
        <v>3</v>
      </c>
      <c r="CK170" s="137">
        <v>1</v>
      </c>
      <c r="CM170" s="143" t="s">
        <v>754</v>
      </c>
      <c r="CN170" s="143" t="s">
        <v>736</v>
      </c>
      <c r="CO170" s="143" t="s">
        <v>841</v>
      </c>
      <c r="CP170" s="143">
        <v>2188</v>
      </c>
      <c r="CQ170" s="78">
        <v>8</v>
      </c>
      <c r="CR170" s="78">
        <v>0</v>
      </c>
      <c r="CS170" s="78">
        <v>16</v>
      </c>
      <c r="CT170" s="78">
        <v>4</v>
      </c>
      <c r="CU170" s="78">
        <v>0</v>
      </c>
      <c r="CV170" s="78">
        <v>8</v>
      </c>
      <c r="CW170" s="137">
        <v>0.69230769999999997</v>
      </c>
      <c r="CY170" s="143" t="s">
        <v>754</v>
      </c>
      <c r="CZ170" s="143" t="s">
        <v>736</v>
      </c>
      <c r="DA170" s="143" t="s">
        <v>841</v>
      </c>
      <c r="DB170" s="143">
        <v>2188</v>
      </c>
      <c r="DC170" s="78">
        <v>0</v>
      </c>
      <c r="DD170" s="137">
        <v>0</v>
      </c>
      <c r="DE170" s="137">
        <v>0</v>
      </c>
      <c r="DG170" s="143" t="s">
        <v>754</v>
      </c>
      <c r="DH170" s="143" t="s">
        <v>736</v>
      </c>
      <c r="DI170" s="143" t="s">
        <v>841</v>
      </c>
      <c r="DJ170" s="143">
        <v>2188</v>
      </c>
      <c r="DK170" s="78">
        <v>2</v>
      </c>
      <c r="DL170" s="78">
        <v>1</v>
      </c>
      <c r="DM170" s="78">
        <v>1</v>
      </c>
      <c r="DN170" s="78">
        <v>5</v>
      </c>
      <c r="DO170" s="78">
        <v>2</v>
      </c>
      <c r="DP170" s="78">
        <v>3</v>
      </c>
      <c r="DQ170" s="78">
        <v>8</v>
      </c>
      <c r="DR170" s="78">
        <v>1</v>
      </c>
      <c r="DS170" s="78">
        <v>1</v>
      </c>
      <c r="DT170" s="78">
        <v>2</v>
      </c>
      <c r="DU170" s="78">
        <v>1</v>
      </c>
      <c r="DV170" s="137">
        <v>0.93103449999999999</v>
      </c>
      <c r="DX170" s="143" t="s">
        <v>754</v>
      </c>
      <c r="DY170" s="143" t="s">
        <v>736</v>
      </c>
      <c r="DZ170" s="143" t="s">
        <v>841</v>
      </c>
      <c r="EA170" s="143">
        <v>2188</v>
      </c>
      <c r="EB170" s="78">
        <v>1</v>
      </c>
      <c r="EC170" s="78">
        <v>8</v>
      </c>
      <c r="ED170" s="78">
        <v>1</v>
      </c>
      <c r="EE170" s="78">
        <v>4</v>
      </c>
      <c r="EF170" s="78">
        <v>3</v>
      </c>
      <c r="EG170" s="78">
        <v>1</v>
      </c>
      <c r="EH170" s="78">
        <v>1</v>
      </c>
      <c r="EI170" s="78">
        <v>1</v>
      </c>
      <c r="EJ170" s="78">
        <v>1</v>
      </c>
      <c r="EK170" s="78">
        <v>1</v>
      </c>
      <c r="EL170" s="78">
        <v>1</v>
      </c>
      <c r="EM170" s="78">
        <v>1</v>
      </c>
      <c r="EN170" s="78">
        <v>1</v>
      </c>
      <c r="EO170" s="78">
        <v>1</v>
      </c>
      <c r="EP170" s="78">
        <v>1</v>
      </c>
      <c r="EQ170" s="137">
        <v>1</v>
      </c>
      <c r="ES170" s="143" t="s">
        <v>754</v>
      </c>
      <c r="ET170" s="143" t="s">
        <v>736</v>
      </c>
      <c r="EU170" s="143" t="s">
        <v>841</v>
      </c>
      <c r="EV170" s="143">
        <v>2188</v>
      </c>
      <c r="EW170" s="78">
        <v>0</v>
      </c>
      <c r="EX170" s="78">
        <v>1</v>
      </c>
      <c r="EY170" s="78">
        <v>3</v>
      </c>
      <c r="EZ170" s="78">
        <v>0</v>
      </c>
      <c r="FA170" s="78">
        <v>0.5</v>
      </c>
      <c r="FB170" s="78">
        <v>3</v>
      </c>
      <c r="FC170" s="78">
        <v>2</v>
      </c>
      <c r="FD170" s="78">
        <v>1</v>
      </c>
      <c r="FE170" s="137">
        <v>0.80769230000000003</v>
      </c>
      <c r="FG170" s="137">
        <v>0.57434399999999997</v>
      </c>
    </row>
    <row r="171" spans="1:163" x14ac:dyDescent="0.35">
      <c r="A171" s="143" t="s">
        <v>755</v>
      </c>
      <c r="B171" s="143" t="s">
        <v>753</v>
      </c>
      <c r="C171" s="143" t="s">
        <v>843</v>
      </c>
      <c r="D171" s="143">
        <v>293</v>
      </c>
      <c r="E171" s="78">
        <v>0</v>
      </c>
      <c r="F171" s="78">
        <v>2</v>
      </c>
      <c r="G171" s="78">
        <v>1</v>
      </c>
      <c r="H171" s="78">
        <v>0</v>
      </c>
      <c r="I171" s="78">
        <v>1</v>
      </c>
      <c r="J171" s="78">
        <v>0</v>
      </c>
      <c r="K171" s="78">
        <v>0</v>
      </c>
      <c r="L171" s="78">
        <v>0</v>
      </c>
      <c r="M171" s="78">
        <v>2</v>
      </c>
      <c r="N171" s="137">
        <v>0.42857139999999999</v>
      </c>
      <c r="P171" s="143" t="s">
        <v>755</v>
      </c>
      <c r="Q171" s="143" t="s">
        <v>753</v>
      </c>
      <c r="R171" s="143" t="s">
        <v>843</v>
      </c>
      <c r="S171" s="143">
        <v>293</v>
      </c>
      <c r="T171" s="78">
        <v>1</v>
      </c>
      <c r="U171" s="78">
        <v>1</v>
      </c>
      <c r="V171" s="78">
        <v>0</v>
      </c>
      <c r="W171" s="78">
        <v>0</v>
      </c>
      <c r="X171" s="78">
        <v>0</v>
      </c>
      <c r="Y171" s="78">
        <v>1</v>
      </c>
      <c r="Z171" s="78">
        <v>3</v>
      </c>
      <c r="AA171" s="78">
        <v>0</v>
      </c>
      <c r="AB171" s="78">
        <v>0</v>
      </c>
      <c r="AC171" s="78">
        <v>0</v>
      </c>
      <c r="AD171" s="137">
        <v>0.17647060000000001</v>
      </c>
      <c r="AF171" s="143" t="s">
        <v>755</v>
      </c>
      <c r="AG171" s="143" t="s">
        <v>753</v>
      </c>
      <c r="AH171" s="143" t="s">
        <v>843</v>
      </c>
      <c r="AI171" s="143">
        <v>293</v>
      </c>
      <c r="AJ171" s="78">
        <v>0</v>
      </c>
      <c r="AK171" s="78">
        <v>0</v>
      </c>
      <c r="AL171" s="78">
        <v>0</v>
      </c>
      <c r="AM171" s="78">
        <v>0</v>
      </c>
      <c r="AN171" s="78">
        <v>1</v>
      </c>
      <c r="AO171" s="78">
        <v>0</v>
      </c>
      <c r="AP171" s="78">
        <v>1</v>
      </c>
      <c r="AQ171" s="78">
        <v>1</v>
      </c>
      <c r="AR171" s="78">
        <v>0</v>
      </c>
      <c r="AS171" s="78">
        <v>2</v>
      </c>
      <c r="AT171" s="78">
        <v>2</v>
      </c>
      <c r="AU171" s="78">
        <v>1</v>
      </c>
      <c r="AV171" s="78">
        <v>2</v>
      </c>
      <c r="AW171" s="78">
        <v>1</v>
      </c>
      <c r="AX171" s="78">
        <v>0</v>
      </c>
      <c r="AY171" s="78">
        <v>0</v>
      </c>
      <c r="AZ171" s="78">
        <v>2</v>
      </c>
      <c r="BA171" s="78">
        <v>0</v>
      </c>
      <c r="BB171" s="78">
        <v>0.5</v>
      </c>
      <c r="BC171" s="78">
        <v>0.5</v>
      </c>
      <c r="BD171" s="78">
        <v>0</v>
      </c>
      <c r="BE171" s="78">
        <v>0</v>
      </c>
      <c r="BF171" s="78">
        <v>0</v>
      </c>
      <c r="BG171" s="78">
        <v>2</v>
      </c>
      <c r="BH171" s="137">
        <v>0.36363640000000003</v>
      </c>
      <c r="BJ171" s="143" t="s">
        <v>755</v>
      </c>
      <c r="BK171" s="143" t="s">
        <v>753</v>
      </c>
      <c r="BL171" s="143" t="s">
        <v>843</v>
      </c>
      <c r="BM171" s="143">
        <v>293</v>
      </c>
      <c r="BN171" s="78">
        <v>0</v>
      </c>
      <c r="BO171" s="78">
        <v>0</v>
      </c>
      <c r="BP171" s="78">
        <v>0</v>
      </c>
      <c r="BQ171" s="78">
        <v>0</v>
      </c>
      <c r="BR171" s="78">
        <v>0</v>
      </c>
      <c r="BS171" s="78">
        <v>0</v>
      </c>
      <c r="BT171" s="78">
        <v>0</v>
      </c>
      <c r="BU171" s="137">
        <v>0</v>
      </c>
      <c r="BW171" s="143" t="s">
        <v>755</v>
      </c>
      <c r="BX171" s="143" t="s">
        <v>753</v>
      </c>
      <c r="BY171" s="143" t="s">
        <v>843</v>
      </c>
      <c r="BZ171" s="143">
        <v>293</v>
      </c>
      <c r="CA171" s="78">
        <v>1</v>
      </c>
      <c r="CB171" s="78">
        <v>1</v>
      </c>
      <c r="CC171" s="78">
        <v>0</v>
      </c>
      <c r="CD171" s="78">
        <v>2</v>
      </c>
      <c r="CE171" s="78">
        <v>0</v>
      </c>
      <c r="CF171" s="78">
        <v>2</v>
      </c>
      <c r="CG171" s="78">
        <v>1</v>
      </c>
      <c r="CH171" s="78">
        <v>0</v>
      </c>
      <c r="CI171" s="78">
        <v>1</v>
      </c>
      <c r="CJ171" s="78">
        <v>0</v>
      </c>
      <c r="CK171" s="137">
        <v>0.53333339999999996</v>
      </c>
      <c r="CM171" s="143" t="s">
        <v>755</v>
      </c>
      <c r="CN171" s="143" t="s">
        <v>753</v>
      </c>
      <c r="CO171" s="143" t="s">
        <v>843</v>
      </c>
      <c r="CP171" s="143">
        <v>293</v>
      </c>
      <c r="CQ171" s="78">
        <v>8</v>
      </c>
      <c r="CR171" s="78">
        <v>0</v>
      </c>
      <c r="CS171" s="78">
        <v>0</v>
      </c>
      <c r="CT171" s="78">
        <v>4</v>
      </c>
      <c r="CU171" s="78">
        <v>0</v>
      </c>
      <c r="CV171" s="78">
        <v>4</v>
      </c>
      <c r="CW171" s="137">
        <v>0.30769229999999997</v>
      </c>
      <c r="CY171" s="143" t="s">
        <v>755</v>
      </c>
      <c r="CZ171" s="143" t="s">
        <v>753</v>
      </c>
      <c r="DA171" s="143" t="s">
        <v>843</v>
      </c>
      <c r="DB171" s="143">
        <v>293</v>
      </c>
      <c r="DC171" s="78">
        <v>0</v>
      </c>
      <c r="DD171" s="137">
        <v>0</v>
      </c>
      <c r="DE171" s="137">
        <v>0</v>
      </c>
      <c r="DG171" s="143" t="s">
        <v>755</v>
      </c>
      <c r="DH171" s="143" t="s">
        <v>753</v>
      </c>
      <c r="DI171" s="143" t="s">
        <v>843</v>
      </c>
      <c r="DJ171" s="143">
        <v>293</v>
      </c>
      <c r="DK171" s="78">
        <v>2</v>
      </c>
      <c r="DL171" s="78">
        <v>1</v>
      </c>
      <c r="DM171" s="78">
        <v>0</v>
      </c>
      <c r="DN171" s="78">
        <v>5</v>
      </c>
      <c r="DO171" s="78">
        <v>2</v>
      </c>
      <c r="DP171" s="78">
        <v>3</v>
      </c>
      <c r="DQ171" s="78">
        <v>7</v>
      </c>
      <c r="DR171" s="78">
        <v>1</v>
      </c>
      <c r="DS171" s="78">
        <v>1</v>
      </c>
      <c r="DT171" s="78">
        <v>2</v>
      </c>
      <c r="DU171" s="78">
        <v>0</v>
      </c>
      <c r="DV171" s="137">
        <v>0.82758620000000005</v>
      </c>
      <c r="DX171" s="143" t="s">
        <v>755</v>
      </c>
      <c r="DY171" s="143" t="s">
        <v>753</v>
      </c>
      <c r="DZ171" s="143" t="s">
        <v>843</v>
      </c>
      <c r="EA171" s="143">
        <v>293</v>
      </c>
      <c r="EB171" s="78">
        <v>0</v>
      </c>
      <c r="EC171" s="78">
        <v>8</v>
      </c>
      <c r="ED171" s="78">
        <v>0</v>
      </c>
      <c r="EE171" s="78">
        <v>4</v>
      </c>
      <c r="EF171" s="78">
        <v>3</v>
      </c>
      <c r="EG171" s="78">
        <v>1</v>
      </c>
      <c r="EH171" s="78">
        <v>1</v>
      </c>
      <c r="EI171" s="78">
        <v>1</v>
      </c>
      <c r="EJ171" s="78">
        <v>0</v>
      </c>
      <c r="EK171" s="78">
        <v>1</v>
      </c>
      <c r="EL171" s="78">
        <v>1</v>
      </c>
      <c r="EM171" s="78">
        <v>0</v>
      </c>
      <c r="EN171" s="78">
        <v>0</v>
      </c>
      <c r="EO171" s="78">
        <v>1</v>
      </c>
      <c r="EP171" s="78">
        <v>0</v>
      </c>
      <c r="EQ171" s="137">
        <v>0.77777779999999996</v>
      </c>
      <c r="ES171" s="143" t="s">
        <v>755</v>
      </c>
      <c r="ET171" s="143" t="s">
        <v>753</v>
      </c>
      <c r="EU171" s="143" t="s">
        <v>843</v>
      </c>
      <c r="EV171" s="143">
        <v>293</v>
      </c>
      <c r="EW171" s="78">
        <v>0</v>
      </c>
      <c r="EX171" s="78">
        <v>0</v>
      </c>
      <c r="EY171" s="78">
        <v>0</v>
      </c>
      <c r="EZ171" s="78">
        <v>0</v>
      </c>
      <c r="FA171" s="78">
        <v>0.5</v>
      </c>
      <c r="FB171" s="78">
        <v>0</v>
      </c>
      <c r="FC171" s="78">
        <v>2</v>
      </c>
      <c r="FD171" s="78">
        <v>0</v>
      </c>
      <c r="FE171" s="137">
        <v>0.1923077</v>
      </c>
      <c r="FG171" s="137">
        <v>0.2900875</v>
      </c>
    </row>
    <row r="172" spans="1:163" x14ac:dyDescent="0.35">
      <c r="A172" s="143" t="s">
        <v>755</v>
      </c>
      <c r="B172" s="143" t="s">
        <v>753</v>
      </c>
      <c r="C172" s="143" t="s">
        <v>841</v>
      </c>
      <c r="D172" s="143">
        <v>1518</v>
      </c>
      <c r="E172" s="78">
        <v>0</v>
      </c>
      <c r="F172" s="78">
        <v>2</v>
      </c>
      <c r="G172" s="78">
        <v>1</v>
      </c>
      <c r="H172" s="78">
        <v>0</v>
      </c>
      <c r="I172" s="78">
        <v>1</v>
      </c>
      <c r="J172" s="78">
        <v>0</v>
      </c>
      <c r="K172" s="78">
        <v>1</v>
      </c>
      <c r="L172" s="78">
        <v>1</v>
      </c>
      <c r="M172" s="78">
        <v>2</v>
      </c>
      <c r="N172" s="137">
        <v>0.57142859999999995</v>
      </c>
      <c r="P172" s="143" t="s">
        <v>755</v>
      </c>
      <c r="Q172" s="143" t="s">
        <v>753</v>
      </c>
      <c r="R172" s="143" t="s">
        <v>841</v>
      </c>
      <c r="S172" s="143">
        <v>1518</v>
      </c>
      <c r="T172" s="78">
        <v>0</v>
      </c>
      <c r="U172" s="78">
        <v>1</v>
      </c>
      <c r="V172" s="78">
        <v>2</v>
      </c>
      <c r="W172" s="78">
        <v>0</v>
      </c>
      <c r="X172" s="78">
        <v>0</v>
      </c>
      <c r="Y172" s="78">
        <v>1</v>
      </c>
      <c r="Z172" s="78">
        <v>0</v>
      </c>
      <c r="AA172" s="78">
        <v>0</v>
      </c>
      <c r="AB172" s="78">
        <v>0</v>
      </c>
      <c r="AC172" s="78">
        <v>3</v>
      </c>
      <c r="AD172" s="137">
        <v>0.20588239999999999</v>
      </c>
      <c r="AF172" s="143" t="s">
        <v>755</v>
      </c>
      <c r="AG172" s="143" t="s">
        <v>753</v>
      </c>
      <c r="AH172" s="143" t="s">
        <v>841</v>
      </c>
      <c r="AI172" s="143">
        <v>1518</v>
      </c>
      <c r="AJ172" s="78">
        <v>0</v>
      </c>
      <c r="AK172" s="78">
        <v>0</v>
      </c>
      <c r="AL172" s="78">
        <v>1</v>
      </c>
      <c r="AM172" s="78">
        <v>0</v>
      </c>
      <c r="AN172" s="78">
        <v>1</v>
      </c>
      <c r="AO172" s="78">
        <v>2</v>
      </c>
      <c r="AP172" s="78">
        <v>2</v>
      </c>
      <c r="AQ172" s="78">
        <v>1</v>
      </c>
      <c r="AR172" s="78">
        <v>0</v>
      </c>
      <c r="AS172" s="78">
        <v>2</v>
      </c>
      <c r="AT172" s="78">
        <v>2</v>
      </c>
      <c r="AU172" s="78">
        <v>1</v>
      </c>
      <c r="AV172" s="78">
        <v>2</v>
      </c>
      <c r="AW172" s="78">
        <v>1</v>
      </c>
      <c r="AX172" s="78">
        <v>0</v>
      </c>
      <c r="AY172" s="78">
        <v>0</v>
      </c>
      <c r="AZ172" s="78">
        <v>2</v>
      </c>
      <c r="BA172" s="78">
        <v>0.5</v>
      </c>
      <c r="BB172" s="78">
        <v>0.5</v>
      </c>
      <c r="BC172" s="78">
        <v>0.5</v>
      </c>
      <c r="BD172" s="78">
        <v>0</v>
      </c>
      <c r="BE172" s="78">
        <v>0.5</v>
      </c>
      <c r="BF172" s="78">
        <v>1</v>
      </c>
      <c r="BG172" s="78">
        <v>8</v>
      </c>
      <c r="BH172" s="137">
        <v>0.63636360000000003</v>
      </c>
      <c r="BJ172" s="143" t="s">
        <v>755</v>
      </c>
      <c r="BK172" s="143" t="s">
        <v>753</v>
      </c>
      <c r="BL172" s="143" t="s">
        <v>841</v>
      </c>
      <c r="BM172" s="143">
        <v>1518</v>
      </c>
      <c r="BN172" s="78">
        <v>0</v>
      </c>
      <c r="BO172" s="78">
        <v>0</v>
      </c>
      <c r="BP172" s="78">
        <v>0</v>
      </c>
      <c r="BQ172" s="78">
        <v>0</v>
      </c>
      <c r="BR172" s="78">
        <v>0</v>
      </c>
      <c r="BS172" s="78">
        <v>0</v>
      </c>
      <c r="BT172" s="78">
        <v>0</v>
      </c>
      <c r="BU172" s="137">
        <v>0</v>
      </c>
      <c r="BW172" s="143" t="s">
        <v>755</v>
      </c>
      <c r="BX172" s="143" t="s">
        <v>753</v>
      </c>
      <c r="BY172" s="143" t="s">
        <v>841</v>
      </c>
      <c r="BZ172" s="143">
        <v>1518</v>
      </c>
      <c r="CA172" s="78">
        <v>1</v>
      </c>
      <c r="CB172" s="78">
        <v>0</v>
      </c>
      <c r="CC172" s="78">
        <v>1</v>
      </c>
      <c r="CD172" s="78">
        <v>2</v>
      </c>
      <c r="CE172" s="78">
        <v>1</v>
      </c>
      <c r="CF172" s="78">
        <v>2</v>
      </c>
      <c r="CG172" s="78">
        <v>1</v>
      </c>
      <c r="CH172" s="78">
        <v>0</v>
      </c>
      <c r="CI172" s="78">
        <v>1</v>
      </c>
      <c r="CJ172" s="78">
        <v>0</v>
      </c>
      <c r="CK172" s="137">
        <v>0.6</v>
      </c>
      <c r="CM172" s="143" t="s">
        <v>755</v>
      </c>
      <c r="CN172" s="143" t="s">
        <v>753</v>
      </c>
      <c r="CO172" s="143" t="s">
        <v>841</v>
      </c>
      <c r="CP172" s="143">
        <v>1518</v>
      </c>
      <c r="CQ172" s="78">
        <v>8</v>
      </c>
      <c r="CR172" s="78">
        <v>0</v>
      </c>
      <c r="CS172" s="78">
        <v>8</v>
      </c>
      <c r="CT172" s="78">
        <v>4</v>
      </c>
      <c r="CU172" s="78">
        <v>0</v>
      </c>
      <c r="CV172" s="78">
        <v>8</v>
      </c>
      <c r="CW172" s="137">
        <v>0.53846159999999998</v>
      </c>
      <c r="CY172" s="143" t="s">
        <v>755</v>
      </c>
      <c r="CZ172" s="143" t="s">
        <v>753</v>
      </c>
      <c r="DA172" s="143" t="s">
        <v>841</v>
      </c>
      <c r="DB172" s="143">
        <v>1518</v>
      </c>
      <c r="DC172" s="78">
        <v>0</v>
      </c>
      <c r="DD172" s="137">
        <v>0</v>
      </c>
      <c r="DE172" s="137">
        <v>0</v>
      </c>
      <c r="DG172" s="143" t="s">
        <v>755</v>
      </c>
      <c r="DH172" s="143" t="s">
        <v>753</v>
      </c>
      <c r="DI172" s="143" t="s">
        <v>841</v>
      </c>
      <c r="DJ172" s="143">
        <v>1518</v>
      </c>
      <c r="DK172" s="78">
        <v>2</v>
      </c>
      <c r="DL172" s="78">
        <v>1</v>
      </c>
      <c r="DM172" s="78">
        <v>0</v>
      </c>
      <c r="DN172" s="78">
        <v>5</v>
      </c>
      <c r="DO172" s="78">
        <v>2</v>
      </c>
      <c r="DP172" s="78">
        <v>3</v>
      </c>
      <c r="DQ172" s="78">
        <v>2</v>
      </c>
      <c r="DR172" s="78">
        <v>1</v>
      </c>
      <c r="DS172" s="78">
        <v>0</v>
      </c>
      <c r="DT172" s="78">
        <v>2</v>
      </c>
      <c r="DU172" s="78">
        <v>0</v>
      </c>
      <c r="DV172" s="137">
        <v>0.62068959999999995</v>
      </c>
      <c r="DX172" s="143" t="s">
        <v>755</v>
      </c>
      <c r="DY172" s="143" t="s">
        <v>753</v>
      </c>
      <c r="DZ172" s="143" t="s">
        <v>841</v>
      </c>
      <c r="EA172" s="143">
        <v>1518</v>
      </c>
      <c r="EB172" s="78">
        <v>1</v>
      </c>
      <c r="EC172" s="78">
        <v>8</v>
      </c>
      <c r="ED172" s="78">
        <v>1</v>
      </c>
      <c r="EE172" s="78">
        <v>4</v>
      </c>
      <c r="EF172" s="78">
        <v>3</v>
      </c>
      <c r="EG172" s="78">
        <v>1</v>
      </c>
      <c r="EH172" s="78">
        <v>0</v>
      </c>
      <c r="EI172" s="78">
        <v>1</v>
      </c>
      <c r="EJ172" s="78">
        <v>0</v>
      </c>
      <c r="EK172" s="78">
        <v>1</v>
      </c>
      <c r="EL172" s="78">
        <v>1</v>
      </c>
      <c r="EM172" s="78">
        <v>0</v>
      </c>
      <c r="EN172" s="78">
        <v>0</v>
      </c>
      <c r="EO172" s="78">
        <v>1</v>
      </c>
      <c r="EP172" s="78">
        <v>0</v>
      </c>
      <c r="EQ172" s="137">
        <v>0.81481479999999995</v>
      </c>
      <c r="ES172" s="143" t="s">
        <v>755</v>
      </c>
      <c r="ET172" s="143" t="s">
        <v>753</v>
      </c>
      <c r="EU172" s="143" t="s">
        <v>841</v>
      </c>
      <c r="EV172" s="143">
        <v>1518</v>
      </c>
      <c r="EW172" s="78">
        <v>0</v>
      </c>
      <c r="EX172" s="78">
        <v>0</v>
      </c>
      <c r="EY172" s="78">
        <v>0</v>
      </c>
      <c r="EZ172" s="78">
        <v>0</v>
      </c>
      <c r="FA172" s="78">
        <v>0.5</v>
      </c>
      <c r="FB172" s="78">
        <v>3</v>
      </c>
      <c r="FC172" s="78">
        <v>2</v>
      </c>
      <c r="FD172" s="78">
        <v>1</v>
      </c>
      <c r="FE172" s="137">
        <v>0.5</v>
      </c>
      <c r="FG172" s="137">
        <v>0.36880469999999999</v>
      </c>
    </row>
    <row r="173" spans="1:163" x14ac:dyDescent="0.35">
      <c r="A173" s="143" t="s">
        <v>755</v>
      </c>
      <c r="B173" s="143" t="s">
        <v>753</v>
      </c>
      <c r="C173" s="143" t="s">
        <v>842</v>
      </c>
      <c r="D173" s="143">
        <v>2028</v>
      </c>
      <c r="E173" s="78">
        <v>0.5</v>
      </c>
      <c r="F173" s="78">
        <v>1</v>
      </c>
      <c r="G173" s="78">
        <v>0</v>
      </c>
      <c r="H173" s="78">
        <v>0</v>
      </c>
      <c r="I173" s="78">
        <v>1</v>
      </c>
      <c r="J173" s="78">
        <v>0</v>
      </c>
      <c r="K173" s="78">
        <v>1</v>
      </c>
      <c r="L173" s="78">
        <v>1</v>
      </c>
      <c r="M173" s="78">
        <v>0</v>
      </c>
      <c r="N173" s="137">
        <v>0.32142860000000001</v>
      </c>
      <c r="P173" s="143" t="s">
        <v>755</v>
      </c>
      <c r="Q173" s="143" t="s">
        <v>753</v>
      </c>
      <c r="R173" s="143" t="s">
        <v>842</v>
      </c>
      <c r="S173" s="143">
        <v>2028</v>
      </c>
      <c r="T173" s="78">
        <v>1</v>
      </c>
      <c r="U173" s="78">
        <v>1</v>
      </c>
      <c r="V173" s="78">
        <v>2</v>
      </c>
      <c r="W173" s="78">
        <v>2</v>
      </c>
      <c r="X173" s="78">
        <v>0</v>
      </c>
      <c r="Y173" s="78">
        <v>1</v>
      </c>
      <c r="Z173" s="78">
        <v>3</v>
      </c>
      <c r="AA173" s="78">
        <v>2</v>
      </c>
      <c r="AB173" s="78">
        <v>0</v>
      </c>
      <c r="AC173" s="78">
        <v>3</v>
      </c>
      <c r="AD173" s="137">
        <v>0.44117650000000003</v>
      </c>
      <c r="AF173" s="143" t="s">
        <v>755</v>
      </c>
      <c r="AG173" s="143" t="s">
        <v>753</v>
      </c>
      <c r="AH173" s="143" t="s">
        <v>842</v>
      </c>
      <c r="AI173" s="143">
        <v>2028</v>
      </c>
      <c r="AJ173" s="78">
        <v>0</v>
      </c>
      <c r="AK173" s="78">
        <v>1</v>
      </c>
      <c r="AL173" s="78">
        <v>1</v>
      </c>
      <c r="AM173" s="78">
        <v>5</v>
      </c>
      <c r="AN173" s="78">
        <v>1</v>
      </c>
      <c r="AO173" s="78">
        <v>0</v>
      </c>
      <c r="AP173" s="78">
        <v>2</v>
      </c>
      <c r="AQ173" s="78">
        <v>1</v>
      </c>
      <c r="AR173" s="78">
        <v>0</v>
      </c>
      <c r="AS173" s="78">
        <v>2</v>
      </c>
      <c r="AT173" s="78">
        <v>2</v>
      </c>
      <c r="AU173" s="78">
        <v>1</v>
      </c>
      <c r="AV173" s="78">
        <v>0</v>
      </c>
      <c r="AW173" s="78">
        <v>0</v>
      </c>
      <c r="AX173" s="78">
        <v>0</v>
      </c>
      <c r="AY173" s="78">
        <v>1</v>
      </c>
      <c r="AZ173" s="78">
        <v>2</v>
      </c>
      <c r="BA173" s="78">
        <v>0.5</v>
      </c>
      <c r="BB173" s="78">
        <v>0.5</v>
      </c>
      <c r="BC173" s="78">
        <v>0.5</v>
      </c>
      <c r="BD173" s="78">
        <v>1</v>
      </c>
      <c r="BE173" s="78">
        <v>0.5</v>
      </c>
      <c r="BF173" s="78">
        <v>0</v>
      </c>
      <c r="BG173" s="78">
        <v>2</v>
      </c>
      <c r="BH173" s="137">
        <v>0.54545460000000001</v>
      </c>
      <c r="BJ173" s="143" t="s">
        <v>755</v>
      </c>
      <c r="BK173" s="143" t="s">
        <v>753</v>
      </c>
      <c r="BL173" s="143" t="s">
        <v>842</v>
      </c>
      <c r="BM173" s="143">
        <v>2028</v>
      </c>
      <c r="BN173" s="78">
        <v>0</v>
      </c>
      <c r="BO173" s="78">
        <v>4</v>
      </c>
      <c r="BP173" s="78">
        <v>0</v>
      </c>
      <c r="BQ173" s="78">
        <v>0</v>
      </c>
      <c r="BR173" s="78">
        <v>0</v>
      </c>
      <c r="BS173" s="78">
        <v>0</v>
      </c>
      <c r="BT173" s="78">
        <v>0</v>
      </c>
      <c r="BU173" s="137">
        <v>0.17391300000000001</v>
      </c>
      <c r="BW173" s="143" t="s">
        <v>755</v>
      </c>
      <c r="BX173" s="143" t="s">
        <v>753</v>
      </c>
      <c r="BY173" s="143" t="s">
        <v>842</v>
      </c>
      <c r="BZ173" s="143">
        <v>2028</v>
      </c>
      <c r="CM173" s="143" t="s">
        <v>755</v>
      </c>
      <c r="CN173" s="143" t="s">
        <v>753</v>
      </c>
      <c r="CO173" s="143" t="s">
        <v>842</v>
      </c>
      <c r="CP173" s="143">
        <v>2028</v>
      </c>
      <c r="CQ173" s="78">
        <v>8</v>
      </c>
      <c r="CR173" s="78">
        <v>0</v>
      </c>
      <c r="CS173" s="78">
        <v>4</v>
      </c>
      <c r="CT173" s="78">
        <v>4</v>
      </c>
      <c r="CU173" s="78">
        <v>0</v>
      </c>
      <c r="CV173" s="78">
        <v>8</v>
      </c>
      <c r="CW173" s="137">
        <v>0.46153850000000002</v>
      </c>
      <c r="CY173" s="143" t="s">
        <v>755</v>
      </c>
      <c r="CZ173" s="143" t="s">
        <v>753</v>
      </c>
      <c r="DA173" s="143" t="s">
        <v>842</v>
      </c>
      <c r="DB173" s="143">
        <v>2028</v>
      </c>
      <c r="DC173" s="78">
        <v>0</v>
      </c>
      <c r="DD173" s="137">
        <v>0</v>
      </c>
      <c r="DE173" s="137">
        <v>0</v>
      </c>
      <c r="DG173" s="143" t="s">
        <v>755</v>
      </c>
      <c r="DH173" s="143" t="s">
        <v>753</v>
      </c>
      <c r="DI173" s="143" t="s">
        <v>842</v>
      </c>
      <c r="DJ173" s="143">
        <v>2028</v>
      </c>
      <c r="DK173" s="78">
        <v>2</v>
      </c>
      <c r="DL173" s="78">
        <v>1</v>
      </c>
      <c r="DM173" s="78">
        <v>0</v>
      </c>
      <c r="DN173" s="78">
        <v>5</v>
      </c>
      <c r="DO173" s="78">
        <v>2</v>
      </c>
      <c r="DP173" s="78">
        <v>3</v>
      </c>
      <c r="DQ173" s="78">
        <v>8</v>
      </c>
      <c r="DR173" s="78">
        <v>0</v>
      </c>
      <c r="DS173" s="78">
        <v>1</v>
      </c>
      <c r="DT173" s="78">
        <v>2</v>
      </c>
      <c r="DU173" s="78">
        <v>0</v>
      </c>
      <c r="DV173" s="137">
        <v>0.82758620000000005</v>
      </c>
      <c r="DX173" s="143" t="s">
        <v>755</v>
      </c>
      <c r="DY173" s="143" t="s">
        <v>753</v>
      </c>
      <c r="DZ173" s="143" t="s">
        <v>842</v>
      </c>
      <c r="EA173" s="143">
        <v>2028</v>
      </c>
      <c r="EB173" s="78">
        <v>1</v>
      </c>
      <c r="EC173" s="78">
        <v>8</v>
      </c>
      <c r="ED173" s="78">
        <v>1</v>
      </c>
      <c r="EE173" s="78">
        <v>4</v>
      </c>
      <c r="EF173" s="78">
        <v>3</v>
      </c>
      <c r="EG173" s="78">
        <v>1</v>
      </c>
      <c r="EH173" s="78">
        <v>0</v>
      </c>
      <c r="EI173" s="78">
        <v>1</v>
      </c>
      <c r="EJ173" s="78">
        <v>1</v>
      </c>
      <c r="EK173" s="78">
        <v>1</v>
      </c>
      <c r="EL173" s="78">
        <v>1</v>
      </c>
      <c r="EM173" s="78">
        <v>1</v>
      </c>
      <c r="EN173" s="78">
        <v>0</v>
      </c>
      <c r="EO173" s="78">
        <v>1</v>
      </c>
      <c r="EP173" s="78">
        <v>1</v>
      </c>
      <c r="EQ173" s="137">
        <v>0.92592589999999997</v>
      </c>
      <c r="ES173" s="143" t="s">
        <v>755</v>
      </c>
      <c r="ET173" s="143" t="s">
        <v>753</v>
      </c>
      <c r="EU173" s="143" t="s">
        <v>842</v>
      </c>
      <c r="EV173" s="143">
        <v>2028</v>
      </c>
      <c r="EW173" s="78">
        <v>0</v>
      </c>
      <c r="EX173" s="78">
        <v>0</v>
      </c>
      <c r="EY173" s="78">
        <v>0</v>
      </c>
      <c r="EZ173" s="78">
        <v>0</v>
      </c>
      <c r="FA173" s="78">
        <v>0.5</v>
      </c>
      <c r="FB173" s="78">
        <v>3</v>
      </c>
      <c r="FC173" s="78">
        <v>2</v>
      </c>
      <c r="FD173" s="78">
        <v>1</v>
      </c>
      <c r="FE173" s="137">
        <v>0.5</v>
      </c>
      <c r="FG173" s="137">
        <v>0.38719510000000001</v>
      </c>
    </row>
    <row r="174" spans="1:163" x14ac:dyDescent="0.35">
      <c r="A174" s="143" t="s">
        <v>755</v>
      </c>
      <c r="B174" s="143" t="s">
        <v>753</v>
      </c>
      <c r="C174" s="143" t="s">
        <v>842</v>
      </c>
      <c r="D174" s="143">
        <v>2082</v>
      </c>
      <c r="E174" s="78">
        <v>0</v>
      </c>
      <c r="F174" s="78">
        <v>1</v>
      </c>
      <c r="G174" s="78">
        <v>0</v>
      </c>
      <c r="H174" s="78">
        <v>0</v>
      </c>
      <c r="I174" s="78">
        <v>1</v>
      </c>
      <c r="J174" s="78">
        <v>0</v>
      </c>
      <c r="K174" s="78">
        <v>0</v>
      </c>
      <c r="L174" s="78">
        <v>0</v>
      </c>
      <c r="M174" s="78">
        <v>0</v>
      </c>
      <c r="N174" s="137">
        <v>0.14285709999999999</v>
      </c>
      <c r="P174" s="143" t="s">
        <v>755</v>
      </c>
      <c r="Q174" s="143" t="s">
        <v>753</v>
      </c>
      <c r="R174" s="143" t="s">
        <v>842</v>
      </c>
      <c r="S174" s="143">
        <v>2082</v>
      </c>
      <c r="T174" s="78">
        <v>1</v>
      </c>
      <c r="U174" s="78">
        <v>0</v>
      </c>
      <c r="V174" s="78">
        <v>2</v>
      </c>
      <c r="W174" s="78">
        <v>0</v>
      </c>
      <c r="X174" s="78">
        <v>0</v>
      </c>
      <c r="Y174" s="78">
        <v>1</v>
      </c>
      <c r="Z174" s="78">
        <v>3</v>
      </c>
      <c r="AA174" s="78">
        <v>0</v>
      </c>
      <c r="AB174" s="78">
        <v>0</v>
      </c>
      <c r="AC174" s="78">
        <v>0</v>
      </c>
      <c r="AD174" s="137">
        <v>0.20588239999999999</v>
      </c>
      <c r="AF174" s="143" t="s">
        <v>755</v>
      </c>
      <c r="AG174" s="143" t="s">
        <v>753</v>
      </c>
      <c r="AH174" s="143" t="s">
        <v>842</v>
      </c>
      <c r="AI174" s="143">
        <v>2082</v>
      </c>
      <c r="AJ174" s="78">
        <v>0</v>
      </c>
      <c r="AK174" s="78">
        <v>0</v>
      </c>
      <c r="AL174" s="78">
        <v>1</v>
      </c>
      <c r="AM174" s="78">
        <v>0</v>
      </c>
      <c r="AN174" s="78">
        <v>1</v>
      </c>
      <c r="AO174" s="78">
        <v>0</v>
      </c>
      <c r="AP174" s="78">
        <v>2</v>
      </c>
      <c r="AQ174" s="78">
        <v>1</v>
      </c>
      <c r="AR174" s="78">
        <v>0</v>
      </c>
      <c r="AS174" s="78">
        <v>0</v>
      </c>
      <c r="AT174" s="78">
        <v>2</v>
      </c>
      <c r="AU174" s="78">
        <v>1</v>
      </c>
      <c r="AV174" s="78">
        <v>2</v>
      </c>
      <c r="AW174" s="78">
        <v>1</v>
      </c>
      <c r="AX174" s="78">
        <v>0</v>
      </c>
      <c r="AY174" s="78">
        <v>0</v>
      </c>
      <c r="AZ174" s="78">
        <v>2</v>
      </c>
      <c r="BA174" s="78">
        <v>0.5</v>
      </c>
      <c r="BB174" s="78">
        <v>0.5</v>
      </c>
      <c r="BC174" s="78">
        <v>0</v>
      </c>
      <c r="BD174" s="78">
        <v>1</v>
      </c>
      <c r="BE174" s="78">
        <v>0.5</v>
      </c>
      <c r="BF174" s="78">
        <v>0</v>
      </c>
      <c r="BG174" s="78">
        <v>2</v>
      </c>
      <c r="BH174" s="137">
        <v>0.39772730000000001</v>
      </c>
      <c r="BJ174" s="143" t="s">
        <v>755</v>
      </c>
      <c r="BK174" s="143" t="s">
        <v>753</v>
      </c>
      <c r="BL174" s="143" t="s">
        <v>842</v>
      </c>
      <c r="BM174" s="143">
        <v>2082</v>
      </c>
      <c r="BN174" s="78">
        <v>0</v>
      </c>
      <c r="BO174" s="78">
        <v>4</v>
      </c>
      <c r="BP174" s="78">
        <v>0</v>
      </c>
      <c r="BQ174" s="78">
        <v>0</v>
      </c>
      <c r="BR174" s="78">
        <v>0</v>
      </c>
      <c r="BS174" s="78">
        <v>0</v>
      </c>
      <c r="BT174" s="78">
        <v>0</v>
      </c>
      <c r="BU174" s="137">
        <v>0.17391300000000001</v>
      </c>
      <c r="BW174" s="143" t="s">
        <v>755</v>
      </c>
      <c r="BX174" s="143" t="s">
        <v>753</v>
      </c>
      <c r="BY174" s="143" t="s">
        <v>842</v>
      </c>
      <c r="BZ174" s="143">
        <v>2082</v>
      </c>
      <c r="CA174" s="78">
        <v>1</v>
      </c>
      <c r="CB174" s="78">
        <v>0</v>
      </c>
      <c r="CC174" s="78">
        <v>1</v>
      </c>
      <c r="CD174" s="78">
        <v>2</v>
      </c>
      <c r="CE174" s="78">
        <v>1</v>
      </c>
      <c r="CF174" s="78">
        <v>2</v>
      </c>
      <c r="CG174" s="78">
        <v>1</v>
      </c>
      <c r="CH174" s="78">
        <v>0</v>
      </c>
      <c r="CI174" s="78">
        <v>1</v>
      </c>
      <c r="CJ174" s="78">
        <v>0</v>
      </c>
      <c r="CK174" s="137">
        <v>0.6</v>
      </c>
      <c r="CM174" s="143" t="s">
        <v>755</v>
      </c>
      <c r="CN174" s="143" t="s">
        <v>753</v>
      </c>
      <c r="CO174" s="143" t="s">
        <v>842</v>
      </c>
      <c r="CP174" s="143">
        <v>2082</v>
      </c>
      <c r="CQ174" s="78">
        <v>6</v>
      </c>
      <c r="CR174" s="78">
        <v>0</v>
      </c>
      <c r="CS174" s="78">
        <v>8</v>
      </c>
      <c r="CT174" s="78">
        <v>4</v>
      </c>
      <c r="CU174" s="78">
        <v>0</v>
      </c>
      <c r="CV174" s="78">
        <v>8</v>
      </c>
      <c r="CW174" s="137">
        <v>0.5</v>
      </c>
      <c r="CY174" s="143" t="s">
        <v>755</v>
      </c>
      <c r="CZ174" s="143" t="s">
        <v>753</v>
      </c>
      <c r="DA174" s="143" t="s">
        <v>842</v>
      </c>
      <c r="DB174" s="143">
        <v>2082</v>
      </c>
      <c r="DC174" s="78">
        <v>0</v>
      </c>
      <c r="DD174" s="137">
        <v>0</v>
      </c>
      <c r="DE174" s="137">
        <v>0</v>
      </c>
      <c r="DG174" s="143" t="s">
        <v>755</v>
      </c>
      <c r="DH174" s="143" t="s">
        <v>753</v>
      </c>
      <c r="DI174" s="143" t="s">
        <v>842</v>
      </c>
      <c r="DJ174" s="143">
        <v>2082</v>
      </c>
      <c r="DK174" s="78">
        <v>2</v>
      </c>
      <c r="DL174" s="78">
        <v>1</v>
      </c>
      <c r="DM174" s="78">
        <v>0</v>
      </c>
      <c r="DN174" s="78">
        <v>4</v>
      </c>
      <c r="DO174" s="78">
        <v>2</v>
      </c>
      <c r="DP174" s="78">
        <v>3</v>
      </c>
      <c r="DQ174" s="78">
        <v>8</v>
      </c>
      <c r="DR174" s="78">
        <v>0</v>
      </c>
      <c r="DS174" s="78">
        <v>1</v>
      </c>
      <c r="DT174" s="78">
        <v>0</v>
      </c>
      <c r="DU174" s="78">
        <v>0</v>
      </c>
      <c r="DV174" s="137">
        <v>0.7241379</v>
      </c>
      <c r="DX174" s="143" t="s">
        <v>755</v>
      </c>
      <c r="DY174" s="143" t="s">
        <v>753</v>
      </c>
      <c r="DZ174" s="143" t="s">
        <v>842</v>
      </c>
      <c r="EA174" s="143">
        <v>2082</v>
      </c>
      <c r="EB174" s="78">
        <v>1</v>
      </c>
      <c r="EC174" s="78">
        <v>8</v>
      </c>
      <c r="ED174" s="78">
        <v>0</v>
      </c>
      <c r="EE174" s="78">
        <v>4</v>
      </c>
      <c r="EF174" s="78">
        <v>3</v>
      </c>
      <c r="EG174" s="78">
        <v>1</v>
      </c>
      <c r="EH174" s="78">
        <v>0</v>
      </c>
      <c r="EI174" s="78">
        <v>1</v>
      </c>
      <c r="EJ174" s="78">
        <v>1</v>
      </c>
      <c r="EK174" s="78">
        <v>1</v>
      </c>
      <c r="EL174" s="78">
        <v>1</v>
      </c>
      <c r="EM174" s="78">
        <v>0</v>
      </c>
      <c r="EN174" s="78">
        <v>1</v>
      </c>
      <c r="EO174" s="78">
        <v>1</v>
      </c>
      <c r="EP174" s="78">
        <v>1</v>
      </c>
      <c r="EQ174" s="137">
        <v>0.88888889999999998</v>
      </c>
      <c r="ES174" s="143" t="s">
        <v>755</v>
      </c>
      <c r="ET174" s="143" t="s">
        <v>753</v>
      </c>
      <c r="EU174" s="143" t="s">
        <v>842</v>
      </c>
      <c r="EV174" s="143">
        <v>2082</v>
      </c>
      <c r="EW174" s="78">
        <v>0</v>
      </c>
      <c r="EX174" s="78">
        <v>0</v>
      </c>
      <c r="EY174" s="78">
        <v>0</v>
      </c>
      <c r="EZ174" s="78">
        <v>0</v>
      </c>
      <c r="FA174" s="78">
        <v>0.5</v>
      </c>
      <c r="FB174" s="78">
        <v>3</v>
      </c>
      <c r="FC174" s="78">
        <v>2</v>
      </c>
      <c r="FD174" s="78">
        <v>0</v>
      </c>
      <c r="FE174" s="137">
        <v>0.42307689999999998</v>
      </c>
      <c r="FG174" s="137">
        <v>0.3381924</v>
      </c>
    </row>
    <row r="175" spans="1:163" x14ac:dyDescent="0.35">
      <c r="A175" s="143" t="s">
        <v>755</v>
      </c>
      <c r="B175" s="143" t="s">
        <v>753</v>
      </c>
      <c r="C175" s="143" t="s">
        <v>842</v>
      </c>
      <c r="D175" s="143">
        <v>2192</v>
      </c>
      <c r="E175" s="78">
        <v>0</v>
      </c>
      <c r="F175" s="78">
        <v>2</v>
      </c>
      <c r="G175" s="78">
        <v>1</v>
      </c>
      <c r="H175" s="78">
        <v>0</v>
      </c>
      <c r="I175" s="78">
        <v>1</v>
      </c>
      <c r="J175" s="78">
        <v>0</v>
      </c>
      <c r="K175" s="78">
        <v>1</v>
      </c>
      <c r="L175" s="78">
        <v>0</v>
      </c>
      <c r="M175" s="78">
        <v>2</v>
      </c>
      <c r="N175" s="137">
        <v>0.5</v>
      </c>
      <c r="P175" s="143" t="s">
        <v>755</v>
      </c>
      <c r="Q175" s="143" t="s">
        <v>753</v>
      </c>
      <c r="R175" s="143" t="s">
        <v>842</v>
      </c>
      <c r="S175" s="143">
        <v>2192</v>
      </c>
      <c r="T175" s="78">
        <v>1</v>
      </c>
      <c r="U175" s="78">
        <v>0</v>
      </c>
      <c r="V175" s="78">
        <v>0.5</v>
      </c>
      <c r="W175" s="78">
        <v>2</v>
      </c>
      <c r="X175" s="78">
        <v>0</v>
      </c>
      <c r="Y175" s="78">
        <v>1</v>
      </c>
      <c r="Z175" s="78">
        <v>0</v>
      </c>
      <c r="AA175" s="78">
        <v>0</v>
      </c>
      <c r="AB175" s="78">
        <v>0</v>
      </c>
      <c r="AC175" s="78">
        <v>0</v>
      </c>
      <c r="AD175" s="137">
        <v>0.1323529</v>
      </c>
      <c r="AF175" s="143" t="s">
        <v>755</v>
      </c>
      <c r="AG175" s="143" t="s">
        <v>753</v>
      </c>
      <c r="AH175" s="143" t="s">
        <v>842</v>
      </c>
      <c r="AI175" s="143">
        <v>2192</v>
      </c>
      <c r="AJ175" s="78">
        <v>0</v>
      </c>
      <c r="AK175" s="78">
        <v>1</v>
      </c>
      <c r="AL175" s="78">
        <v>0</v>
      </c>
      <c r="AM175" s="78">
        <v>0</v>
      </c>
      <c r="AN175" s="78">
        <v>1</v>
      </c>
      <c r="AO175" s="78">
        <v>2</v>
      </c>
      <c r="AP175" s="78">
        <v>2</v>
      </c>
      <c r="AQ175" s="78">
        <v>1</v>
      </c>
      <c r="AR175" s="78">
        <v>0</v>
      </c>
      <c r="AS175" s="78">
        <v>2</v>
      </c>
      <c r="AT175" s="78">
        <v>2</v>
      </c>
      <c r="AU175" s="78">
        <v>1</v>
      </c>
      <c r="AV175" s="78">
        <v>2</v>
      </c>
      <c r="AW175" s="78">
        <v>1</v>
      </c>
      <c r="AX175" s="78">
        <v>0</v>
      </c>
      <c r="AY175" s="78">
        <v>1</v>
      </c>
      <c r="AZ175" s="78">
        <v>2</v>
      </c>
      <c r="BA175" s="78">
        <v>0.5</v>
      </c>
      <c r="BB175" s="78">
        <v>0.5</v>
      </c>
      <c r="BC175" s="78">
        <v>0.5</v>
      </c>
      <c r="BD175" s="78">
        <v>1</v>
      </c>
      <c r="BE175" s="78">
        <v>0.5</v>
      </c>
      <c r="BF175" s="78">
        <v>0</v>
      </c>
      <c r="BG175" s="78">
        <v>2</v>
      </c>
      <c r="BH175" s="137">
        <v>0.52272730000000001</v>
      </c>
      <c r="BJ175" s="143" t="s">
        <v>755</v>
      </c>
      <c r="BK175" s="143" t="s">
        <v>753</v>
      </c>
      <c r="BL175" s="143" t="s">
        <v>842</v>
      </c>
      <c r="BM175" s="143">
        <v>2192</v>
      </c>
      <c r="BN175" s="78">
        <v>0</v>
      </c>
      <c r="BO175" s="78">
        <v>4</v>
      </c>
      <c r="BP175" s="78">
        <v>0</v>
      </c>
      <c r="BQ175" s="78">
        <v>0</v>
      </c>
      <c r="BR175" s="78">
        <v>0</v>
      </c>
      <c r="BS175" s="78">
        <v>0</v>
      </c>
      <c r="BT175" s="78">
        <v>0</v>
      </c>
      <c r="BU175" s="137">
        <v>0.17391300000000001</v>
      </c>
      <c r="BW175" s="143" t="s">
        <v>755</v>
      </c>
      <c r="BX175" s="143" t="s">
        <v>753</v>
      </c>
      <c r="BY175" s="143" t="s">
        <v>842</v>
      </c>
      <c r="BZ175" s="143">
        <v>2192</v>
      </c>
      <c r="CA175" s="78">
        <v>1</v>
      </c>
      <c r="CB175" s="78">
        <v>0</v>
      </c>
      <c r="CC175" s="78">
        <v>1</v>
      </c>
      <c r="CD175" s="78">
        <v>2</v>
      </c>
      <c r="CE175" s="78">
        <v>1</v>
      </c>
      <c r="CF175" s="78">
        <v>2</v>
      </c>
      <c r="CG175" s="78">
        <v>1</v>
      </c>
      <c r="CH175" s="78">
        <v>0</v>
      </c>
      <c r="CI175" s="78">
        <v>1</v>
      </c>
      <c r="CJ175" s="78">
        <v>3</v>
      </c>
      <c r="CK175" s="137">
        <v>0.8</v>
      </c>
      <c r="CM175" s="143" t="s">
        <v>755</v>
      </c>
      <c r="CN175" s="143" t="s">
        <v>753</v>
      </c>
      <c r="CO175" s="143" t="s">
        <v>842</v>
      </c>
      <c r="CP175" s="143">
        <v>2192</v>
      </c>
      <c r="CQ175" s="78">
        <v>8</v>
      </c>
      <c r="CR175" s="78">
        <v>0</v>
      </c>
      <c r="CS175" s="78">
        <v>8</v>
      </c>
      <c r="CT175" s="78">
        <v>4</v>
      </c>
      <c r="CU175" s="78">
        <v>0</v>
      </c>
      <c r="CV175" s="78">
        <v>4</v>
      </c>
      <c r="CW175" s="137">
        <v>0.46153850000000002</v>
      </c>
      <c r="CY175" s="143" t="s">
        <v>755</v>
      </c>
      <c r="CZ175" s="143" t="s">
        <v>753</v>
      </c>
      <c r="DA175" s="143" t="s">
        <v>842</v>
      </c>
      <c r="DB175" s="143">
        <v>2192</v>
      </c>
      <c r="DC175" s="78">
        <v>0</v>
      </c>
      <c r="DD175" s="137">
        <v>0</v>
      </c>
      <c r="DE175" s="137">
        <v>0</v>
      </c>
      <c r="DG175" s="143" t="s">
        <v>755</v>
      </c>
      <c r="DH175" s="143" t="s">
        <v>753</v>
      </c>
      <c r="DI175" s="143" t="s">
        <v>842</v>
      </c>
      <c r="DJ175" s="143">
        <v>2192</v>
      </c>
      <c r="DK175" s="78">
        <v>2</v>
      </c>
      <c r="DL175" s="78">
        <v>1</v>
      </c>
      <c r="DM175" s="78">
        <v>0</v>
      </c>
      <c r="DN175" s="78">
        <v>4</v>
      </c>
      <c r="DO175" s="78">
        <v>2</v>
      </c>
      <c r="DP175" s="78">
        <v>3</v>
      </c>
      <c r="DQ175" s="78">
        <v>8</v>
      </c>
      <c r="DR175" s="78">
        <v>1</v>
      </c>
      <c r="DS175" s="78">
        <v>1</v>
      </c>
      <c r="DT175" s="78">
        <v>0</v>
      </c>
      <c r="DU175" s="78">
        <v>1</v>
      </c>
      <c r="DV175" s="137">
        <v>0.79310349999999996</v>
      </c>
      <c r="DX175" s="143" t="s">
        <v>755</v>
      </c>
      <c r="DY175" s="143" t="s">
        <v>753</v>
      </c>
      <c r="DZ175" s="143" t="s">
        <v>842</v>
      </c>
      <c r="EA175" s="143">
        <v>2192</v>
      </c>
      <c r="EB175" s="78">
        <v>1</v>
      </c>
      <c r="EC175" s="78">
        <v>8</v>
      </c>
      <c r="ED175" s="78">
        <v>1</v>
      </c>
      <c r="EE175" s="78">
        <v>4</v>
      </c>
      <c r="EF175" s="78">
        <v>0</v>
      </c>
      <c r="EG175" s="78">
        <v>1</v>
      </c>
      <c r="EH175" s="78">
        <v>0</v>
      </c>
      <c r="EI175" s="78">
        <v>1</v>
      </c>
      <c r="EJ175" s="78">
        <v>0</v>
      </c>
      <c r="EK175" s="78">
        <v>1</v>
      </c>
      <c r="EL175" s="78">
        <v>1</v>
      </c>
      <c r="EM175" s="78">
        <v>0</v>
      </c>
      <c r="EN175" s="78">
        <v>0</v>
      </c>
      <c r="EO175" s="78">
        <v>1</v>
      </c>
      <c r="EP175" s="78">
        <v>0</v>
      </c>
      <c r="EQ175" s="137">
        <v>0.70370370000000004</v>
      </c>
      <c r="ES175" s="143" t="s">
        <v>755</v>
      </c>
      <c r="ET175" s="143" t="s">
        <v>753</v>
      </c>
      <c r="EU175" s="143" t="s">
        <v>842</v>
      </c>
      <c r="EV175" s="143">
        <v>2192</v>
      </c>
      <c r="EW175" s="78">
        <v>0</v>
      </c>
      <c r="EX175" s="78">
        <v>0</v>
      </c>
      <c r="EY175" s="78">
        <v>0</v>
      </c>
      <c r="EZ175" s="78">
        <v>0</v>
      </c>
      <c r="FA175" s="78">
        <v>0.5</v>
      </c>
      <c r="FB175" s="78">
        <v>0</v>
      </c>
      <c r="FC175" s="78">
        <v>2</v>
      </c>
      <c r="FD175" s="78">
        <v>0</v>
      </c>
      <c r="FE175" s="137">
        <v>0.1923077</v>
      </c>
      <c r="FG175" s="137">
        <v>0.34693879999999999</v>
      </c>
    </row>
    <row r="176" spans="1:163" x14ac:dyDescent="0.35">
      <c r="A176" s="143" t="s">
        <v>755</v>
      </c>
      <c r="B176" s="143" t="s">
        <v>753</v>
      </c>
      <c r="C176" s="143" t="s">
        <v>842</v>
      </c>
      <c r="D176" s="143">
        <v>2304</v>
      </c>
      <c r="E176" s="78">
        <v>0</v>
      </c>
      <c r="F176" s="78">
        <v>2</v>
      </c>
      <c r="G176" s="78">
        <v>0</v>
      </c>
      <c r="H176" s="78">
        <v>0</v>
      </c>
      <c r="I176" s="78">
        <v>1</v>
      </c>
      <c r="J176" s="78">
        <v>0</v>
      </c>
      <c r="K176" s="78">
        <v>1</v>
      </c>
      <c r="L176" s="78">
        <v>0</v>
      </c>
      <c r="M176" s="78">
        <v>2</v>
      </c>
      <c r="N176" s="137">
        <v>0.42857139999999999</v>
      </c>
      <c r="P176" s="143" t="s">
        <v>755</v>
      </c>
      <c r="Q176" s="143" t="s">
        <v>753</v>
      </c>
      <c r="R176" s="143" t="s">
        <v>842</v>
      </c>
      <c r="S176" s="143">
        <v>2304</v>
      </c>
      <c r="T176" s="78">
        <v>1</v>
      </c>
      <c r="U176" s="78">
        <v>1</v>
      </c>
      <c r="V176" s="78">
        <v>0</v>
      </c>
      <c r="W176" s="78">
        <v>1</v>
      </c>
      <c r="X176" s="78">
        <v>0</v>
      </c>
      <c r="Y176" s="78">
        <v>1</v>
      </c>
      <c r="Z176" s="78">
        <v>3</v>
      </c>
      <c r="AA176" s="78">
        <v>0</v>
      </c>
      <c r="AB176" s="78">
        <v>0</v>
      </c>
      <c r="AC176" s="78">
        <v>0</v>
      </c>
      <c r="AD176" s="137">
        <v>0.20588239999999999</v>
      </c>
      <c r="AF176" s="143" t="s">
        <v>755</v>
      </c>
      <c r="AG176" s="143" t="s">
        <v>753</v>
      </c>
      <c r="AH176" s="143" t="s">
        <v>842</v>
      </c>
      <c r="AI176" s="143">
        <v>2304</v>
      </c>
      <c r="AJ176" s="78">
        <v>0</v>
      </c>
      <c r="AK176" s="78">
        <v>1</v>
      </c>
      <c r="AL176" s="78">
        <v>1</v>
      </c>
      <c r="AM176" s="78">
        <v>0</v>
      </c>
      <c r="AN176" s="78">
        <v>1</v>
      </c>
      <c r="AO176" s="78">
        <v>2</v>
      </c>
      <c r="AP176" s="78">
        <v>2</v>
      </c>
      <c r="AQ176" s="78">
        <v>1</v>
      </c>
      <c r="AR176" s="78">
        <v>2</v>
      </c>
      <c r="AS176" s="78">
        <v>2</v>
      </c>
      <c r="AT176" s="78">
        <v>2</v>
      </c>
      <c r="AU176" s="78">
        <v>1</v>
      </c>
      <c r="AV176" s="78">
        <v>2</v>
      </c>
      <c r="AW176" s="78">
        <v>1</v>
      </c>
      <c r="AX176" s="78">
        <v>4</v>
      </c>
      <c r="AY176" s="78">
        <v>1</v>
      </c>
      <c r="AZ176" s="78">
        <v>2</v>
      </c>
      <c r="BA176" s="78">
        <v>0.5</v>
      </c>
      <c r="BB176" s="78">
        <v>0.5</v>
      </c>
      <c r="BC176" s="78">
        <v>0.5</v>
      </c>
      <c r="BD176" s="78">
        <v>1</v>
      </c>
      <c r="BE176" s="78">
        <v>0.5</v>
      </c>
      <c r="BF176" s="78">
        <v>1</v>
      </c>
      <c r="BG176" s="78">
        <v>2</v>
      </c>
      <c r="BH176" s="137">
        <v>0.70454539999999999</v>
      </c>
      <c r="BJ176" s="143" t="s">
        <v>755</v>
      </c>
      <c r="BK176" s="143" t="s">
        <v>753</v>
      </c>
      <c r="BL176" s="143" t="s">
        <v>842</v>
      </c>
      <c r="BM176" s="143">
        <v>2304</v>
      </c>
      <c r="BN176" s="78">
        <v>0</v>
      </c>
      <c r="BO176" s="78">
        <v>4</v>
      </c>
      <c r="BP176" s="78">
        <v>0</v>
      </c>
      <c r="BQ176" s="78">
        <v>0</v>
      </c>
      <c r="BR176" s="78">
        <v>0</v>
      </c>
      <c r="BS176" s="78">
        <v>0</v>
      </c>
      <c r="BT176" s="78">
        <v>0</v>
      </c>
      <c r="BU176" s="137">
        <v>0.17391300000000001</v>
      </c>
      <c r="BW176" s="143" t="s">
        <v>755</v>
      </c>
      <c r="BX176" s="143" t="s">
        <v>753</v>
      </c>
      <c r="BY176" s="143" t="s">
        <v>842</v>
      </c>
      <c r="BZ176" s="143">
        <v>2304</v>
      </c>
      <c r="CA176" s="78">
        <v>1</v>
      </c>
      <c r="CB176" s="78">
        <v>0</v>
      </c>
      <c r="CC176" s="78">
        <v>1</v>
      </c>
      <c r="CD176" s="78">
        <v>2</v>
      </c>
      <c r="CE176" s="78">
        <v>1</v>
      </c>
      <c r="CF176" s="78">
        <v>2</v>
      </c>
      <c r="CG176" s="78">
        <v>1</v>
      </c>
      <c r="CH176" s="78">
        <v>0</v>
      </c>
      <c r="CI176" s="78">
        <v>1</v>
      </c>
      <c r="CJ176" s="78">
        <v>3</v>
      </c>
      <c r="CK176" s="137">
        <v>0.8</v>
      </c>
      <c r="CM176" s="143" t="s">
        <v>755</v>
      </c>
      <c r="CN176" s="143" t="s">
        <v>753</v>
      </c>
      <c r="CO176" s="143" t="s">
        <v>842</v>
      </c>
      <c r="CP176" s="143">
        <v>2304</v>
      </c>
      <c r="CQ176" s="78">
        <v>6</v>
      </c>
      <c r="CR176" s="78">
        <v>0</v>
      </c>
      <c r="CS176" s="78">
        <v>8</v>
      </c>
      <c r="CT176" s="78">
        <v>4</v>
      </c>
      <c r="CU176" s="78">
        <v>0</v>
      </c>
      <c r="CV176" s="78">
        <v>8</v>
      </c>
      <c r="CW176" s="137">
        <v>0.5</v>
      </c>
      <c r="CY176" s="143" t="s">
        <v>755</v>
      </c>
      <c r="CZ176" s="143" t="s">
        <v>753</v>
      </c>
      <c r="DA176" s="143" t="s">
        <v>842</v>
      </c>
      <c r="DB176" s="143">
        <v>2304</v>
      </c>
      <c r="DC176" s="78">
        <v>2</v>
      </c>
      <c r="DD176" s="137">
        <v>0</v>
      </c>
      <c r="DE176" s="137">
        <v>0</v>
      </c>
      <c r="DG176" s="143" t="s">
        <v>755</v>
      </c>
      <c r="DH176" s="143" t="s">
        <v>753</v>
      </c>
      <c r="DI176" s="143" t="s">
        <v>842</v>
      </c>
      <c r="DJ176" s="143">
        <v>2304</v>
      </c>
      <c r="DK176" s="78">
        <v>2</v>
      </c>
      <c r="DL176" s="78">
        <v>1</v>
      </c>
      <c r="DM176" s="78">
        <v>0</v>
      </c>
      <c r="DN176" s="78">
        <v>4</v>
      </c>
      <c r="DO176" s="78">
        <v>2</v>
      </c>
      <c r="DP176" s="78">
        <v>3</v>
      </c>
      <c r="DQ176" s="78">
        <v>8</v>
      </c>
      <c r="DR176" s="78">
        <v>0</v>
      </c>
      <c r="DS176" s="78">
        <v>1</v>
      </c>
      <c r="DT176" s="78">
        <v>2</v>
      </c>
      <c r="DU176" s="78">
        <v>0</v>
      </c>
      <c r="DV176" s="137">
        <v>0.79310349999999996</v>
      </c>
      <c r="DX176" s="143" t="s">
        <v>755</v>
      </c>
      <c r="DY176" s="143" t="s">
        <v>753</v>
      </c>
      <c r="DZ176" s="143" t="s">
        <v>842</v>
      </c>
      <c r="EA176" s="143">
        <v>2304</v>
      </c>
      <c r="EB176" s="78">
        <v>1</v>
      </c>
      <c r="EC176" s="78">
        <v>8</v>
      </c>
      <c r="ED176" s="78">
        <v>0</v>
      </c>
      <c r="EE176" s="78">
        <v>4</v>
      </c>
      <c r="EF176" s="78">
        <v>0</v>
      </c>
      <c r="EG176" s="78">
        <v>1</v>
      </c>
      <c r="EH176" s="78">
        <v>0</v>
      </c>
      <c r="EI176" s="78">
        <v>1</v>
      </c>
      <c r="EJ176" s="78">
        <v>0</v>
      </c>
      <c r="EK176" s="78">
        <v>1</v>
      </c>
      <c r="EL176" s="78">
        <v>0</v>
      </c>
      <c r="EM176" s="78">
        <v>0</v>
      </c>
      <c r="EN176" s="78">
        <v>1</v>
      </c>
      <c r="EO176" s="78">
        <v>1</v>
      </c>
      <c r="EP176" s="78">
        <v>0</v>
      </c>
      <c r="EQ176" s="137">
        <v>0.66666669999999995</v>
      </c>
      <c r="ES176" s="143" t="s">
        <v>755</v>
      </c>
      <c r="ET176" s="143" t="s">
        <v>753</v>
      </c>
      <c r="EU176" s="143" t="s">
        <v>842</v>
      </c>
      <c r="EV176" s="143">
        <v>2304</v>
      </c>
      <c r="EW176" s="78">
        <v>0</v>
      </c>
      <c r="EX176" s="78">
        <v>0</v>
      </c>
      <c r="EY176" s="78">
        <v>0</v>
      </c>
      <c r="EZ176" s="78">
        <v>0</v>
      </c>
      <c r="FA176" s="78">
        <v>0.5</v>
      </c>
      <c r="FB176" s="78">
        <v>3</v>
      </c>
      <c r="FC176" s="78">
        <v>2</v>
      </c>
      <c r="FD176" s="78">
        <v>0</v>
      </c>
      <c r="FE176" s="137">
        <v>0.42307689999999998</v>
      </c>
      <c r="FG176" s="137">
        <v>0.38629740000000001</v>
      </c>
    </row>
    <row r="177" spans="1:163" x14ac:dyDescent="0.35">
      <c r="A177" s="143" t="s">
        <v>756</v>
      </c>
      <c r="B177" s="143" t="s">
        <v>728</v>
      </c>
      <c r="C177" s="143" t="s">
        <v>843</v>
      </c>
      <c r="D177" s="143">
        <v>21</v>
      </c>
      <c r="E177" s="78">
        <v>0</v>
      </c>
      <c r="F177" s="78">
        <v>2</v>
      </c>
      <c r="G177" s="78">
        <v>0</v>
      </c>
      <c r="H177" s="78">
        <v>2</v>
      </c>
      <c r="I177" s="78">
        <v>1</v>
      </c>
      <c r="J177" s="78">
        <v>0</v>
      </c>
      <c r="K177" s="78">
        <v>0</v>
      </c>
      <c r="L177" s="78">
        <v>1</v>
      </c>
      <c r="M177" s="78">
        <v>2</v>
      </c>
      <c r="N177" s="137">
        <v>0.57142859999999995</v>
      </c>
      <c r="P177" s="143" t="s">
        <v>756</v>
      </c>
      <c r="Q177" s="143" t="s">
        <v>728</v>
      </c>
      <c r="R177" s="143" t="s">
        <v>843</v>
      </c>
      <c r="S177" s="143">
        <v>21</v>
      </c>
      <c r="T177" s="78">
        <v>1</v>
      </c>
      <c r="U177" s="78">
        <v>1</v>
      </c>
      <c r="V177" s="78">
        <v>1.5</v>
      </c>
      <c r="W177" s="78">
        <v>2</v>
      </c>
      <c r="X177" s="78">
        <v>0</v>
      </c>
      <c r="Y177" s="78">
        <v>1</v>
      </c>
      <c r="Z177" s="78">
        <v>3</v>
      </c>
      <c r="AA177" s="78">
        <v>2</v>
      </c>
      <c r="AB177" s="78">
        <v>6</v>
      </c>
      <c r="AC177" s="78">
        <v>0</v>
      </c>
      <c r="AD177" s="137">
        <v>0.51470590000000005</v>
      </c>
      <c r="AF177" s="143" t="s">
        <v>756</v>
      </c>
      <c r="AG177" s="143" t="s">
        <v>728</v>
      </c>
      <c r="AH177" s="143" t="s">
        <v>843</v>
      </c>
      <c r="AI177" s="143">
        <v>21</v>
      </c>
      <c r="AJ177" s="78">
        <v>1</v>
      </c>
      <c r="AK177" s="78">
        <v>0</v>
      </c>
      <c r="AL177" s="78">
        <v>0</v>
      </c>
      <c r="AM177" s="78">
        <v>1</v>
      </c>
      <c r="AN177" s="78">
        <v>0</v>
      </c>
      <c r="AO177" s="78">
        <v>0</v>
      </c>
      <c r="AP177" s="78">
        <v>0</v>
      </c>
      <c r="AQ177" s="78">
        <v>0</v>
      </c>
      <c r="AR177" s="78">
        <v>2</v>
      </c>
      <c r="AS177" s="78">
        <v>0</v>
      </c>
      <c r="AT177" s="78">
        <v>0</v>
      </c>
      <c r="AU177" s="78">
        <v>0</v>
      </c>
      <c r="AV177" s="78">
        <v>0</v>
      </c>
      <c r="AW177" s="78">
        <v>0</v>
      </c>
      <c r="AX177" s="78">
        <v>0</v>
      </c>
      <c r="AY177" s="78">
        <v>0</v>
      </c>
      <c r="AZ177" s="78">
        <v>0</v>
      </c>
      <c r="BA177" s="78">
        <v>0.5</v>
      </c>
      <c r="BB177" s="78">
        <v>0</v>
      </c>
      <c r="BC177" s="78">
        <v>0.5</v>
      </c>
      <c r="BD177" s="78">
        <v>1</v>
      </c>
      <c r="BE177" s="78">
        <v>0.5</v>
      </c>
      <c r="BF177" s="78">
        <v>1</v>
      </c>
      <c r="BG177" s="78">
        <v>2</v>
      </c>
      <c r="BH177" s="137">
        <v>0.21590909999999999</v>
      </c>
      <c r="BJ177" s="143" t="s">
        <v>756</v>
      </c>
      <c r="BK177" s="143" t="s">
        <v>728</v>
      </c>
      <c r="BL177" s="143" t="s">
        <v>843</v>
      </c>
      <c r="BM177" s="143">
        <v>21</v>
      </c>
      <c r="BN177" s="78">
        <v>0</v>
      </c>
      <c r="BO177" s="78">
        <v>4</v>
      </c>
      <c r="BP177" s="78">
        <v>7</v>
      </c>
      <c r="BQ177" s="78">
        <v>3</v>
      </c>
      <c r="BR177" s="78">
        <v>3</v>
      </c>
      <c r="BS177" s="78">
        <v>0</v>
      </c>
      <c r="BT177" s="78">
        <v>0</v>
      </c>
      <c r="BU177" s="137">
        <v>0.73913039999999997</v>
      </c>
      <c r="BW177" s="143" t="s">
        <v>756</v>
      </c>
      <c r="BX177" s="143" t="s">
        <v>728</v>
      </c>
      <c r="BY177" s="143" t="s">
        <v>843</v>
      </c>
      <c r="BZ177" s="143">
        <v>21</v>
      </c>
      <c r="CA177" s="78">
        <v>1</v>
      </c>
      <c r="CB177" s="78">
        <v>1</v>
      </c>
      <c r="CC177" s="78">
        <v>1</v>
      </c>
      <c r="CD177" s="78">
        <v>2</v>
      </c>
      <c r="CE177" s="78">
        <v>1</v>
      </c>
      <c r="CF177" s="78">
        <v>2</v>
      </c>
      <c r="CG177" s="78">
        <v>1</v>
      </c>
      <c r="CH177" s="78">
        <v>2</v>
      </c>
      <c r="CI177" s="78">
        <v>1</v>
      </c>
      <c r="CJ177" s="78">
        <v>0</v>
      </c>
      <c r="CK177" s="137">
        <v>0.8</v>
      </c>
      <c r="CM177" s="143" t="s">
        <v>756</v>
      </c>
      <c r="CN177" s="143" t="s">
        <v>728</v>
      </c>
      <c r="CO177" s="143" t="s">
        <v>843</v>
      </c>
      <c r="CP177" s="143">
        <v>21</v>
      </c>
      <c r="CQ177" s="78">
        <v>8</v>
      </c>
      <c r="CR177" s="78">
        <v>0</v>
      </c>
      <c r="CS177" s="78">
        <v>4</v>
      </c>
      <c r="CT177" s="78">
        <v>4</v>
      </c>
      <c r="CU177" s="78">
        <v>2</v>
      </c>
      <c r="CV177" s="78">
        <v>8</v>
      </c>
      <c r="CW177" s="137">
        <v>0.5</v>
      </c>
      <c r="CY177" s="143" t="s">
        <v>756</v>
      </c>
      <c r="CZ177" s="143" t="s">
        <v>728</v>
      </c>
      <c r="DA177" s="143" t="s">
        <v>843</v>
      </c>
      <c r="DB177" s="143">
        <v>21</v>
      </c>
      <c r="DC177" s="78">
        <v>0</v>
      </c>
      <c r="DD177" s="137">
        <v>0</v>
      </c>
      <c r="DE177" s="137">
        <v>0</v>
      </c>
      <c r="DG177" s="143" t="s">
        <v>756</v>
      </c>
      <c r="DH177" s="143" t="s">
        <v>728</v>
      </c>
      <c r="DI177" s="143" t="s">
        <v>843</v>
      </c>
      <c r="DJ177" s="143">
        <v>21</v>
      </c>
      <c r="DK177" s="78">
        <v>0</v>
      </c>
      <c r="DL177" s="78">
        <v>1</v>
      </c>
      <c r="DM177" s="78">
        <v>0</v>
      </c>
      <c r="DN177" s="78">
        <v>7</v>
      </c>
      <c r="DO177" s="78">
        <v>2</v>
      </c>
      <c r="DP177" s="78">
        <v>3</v>
      </c>
      <c r="DQ177" s="78">
        <v>8</v>
      </c>
      <c r="DR177" s="78">
        <v>1</v>
      </c>
      <c r="DS177" s="78">
        <v>1</v>
      </c>
      <c r="DT177" s="78">
        <v>2</v>
      </c>
      <c r="DU177" s="78">
        <v>0</v>
      </c>
      <c r="DV177" s="137">
        <v>0.86206899999999997</v>
      </c>
      <c r="DX177" s="143" t="s">
        <v>756</v>
      </c>
      <c r="DY177" s="143" t="s">
        <v>728</v>
      </c>
      <c r="DZ177" s="143" t="s">
        <v>843</v>
      </c>
      <c r="EA177" s="143">
        <v>21</v>
      </c>
      <c r="EB177" s="78">
        <v>1</v>
      </c>
      <c r="EC177" s="78">
        <v>8</v>
      </c>
      <c r="ED177" s="78">
        <v>1</v>
      </c>
      <c r="EE177" s="78">
        <v>4</v>
      </c>
      <c r="EF177" s="78">
        <v>0</v>
      </c>
      <c r="EG177" s="78">
        <v>1</v>
      </c>
      <c r="EH177" s="78">
        <v>1</v>
      </c>
      <c r="EI177" s="78">
        <v>1</v>
      </c>
      <c r="EJ177" s="78">
        <v>1</v>
      </c>
      <c r="EK177" s="78">
        <v>1</v>
      </c>
      <c r="EL177" s="78">
        <v>1</v>
      </c>
      <c r="EM177" s="78">
        <v>1</v>
      </c>
      <c r="EN177" s="78">
        <v>0</v>
      </c>
      <c r="EO177" s="78">
        <v>1</v>
      </c>
      <c r="EP177" s="78">
        <v>0</v>
      </c>
      <c r="EQ177" s="137">
        <v>0.81481479999999995</v>
      </c>
      <c r="ES177" s="143" t="s">
        <v>756</v>
      </c>
      <c r="ET177" s="143" t="s">
        <v>728</v>
      </c>
      <c r="EU177" s="143" t="s">
        <v>843</v>
      </c>
      <c r="EV177" s="143">
        <v>21</v>
      </c>
      <c r="EW177" s="78">
        <v>0</v>
      </c>
      <c r="EX177" s="78">
        <v>1</v>
      </c>
      <c r="EY177" s="78">
        <v>3</v>
      </c>
      <c r="EZ177" s="78">
        <v>0</v>
      </c>
      <c r="FA177" s="78">
        <v>0.5</v>
      </c>
      <c r="FB177" s="78">
        <v>3</v>
      </c>
      <c r="FC177" s="78">
        <v>2</v>
      </c>
      <c r="FD177" s="78">
        <v>1</v>
      </c>
      <c r="FE177" s="137">
        <v>0.80769230000000003</v>
      </c>
      <c r="FG177" s="137">
        <v>0.4300292</v>
      </c>
    </row>
    <row r="178" spans="1:163" x14ac:dyDescent="0.35">
      <c r="A178" s="143" t="s">
        <v>756</v>
      </c>
      <c r="B178" s="143" t="s">
        <v>728</v>
      </c>
      <c r="C178" s="143" t="s">
        <v>842</v>
      </c>
      <c r="D178" s="143">
        <v>77</v>
      </c>
      <c r="E178" s="78">
        <v>0</v>
      </c>
      <c r="F178" s="78">
        <v>1.5</v>
      </c>
      <c r="G178" s="78">
        <v>1</v>
      </c>
      <c r="H178" s="78">
        <v>0</v>
      </c>
      <c r="I178" s="78">
        <v>1</v>
      </c>
      <c r="J178" s="78">
        <v>0</v>
      </c>
      <c r="K178" s="78">
        <v>1</v>
      </c>
      <c r="L178" s="78">
        <v>0</v>
      </c>
      <c r="M178" s="78">
        <v>0</v>
      </c>
      <c r="N178" s="137">
        <v>0.32142860000000001</v>
      </c>
      <c r="P178" s="143" t="s">
        <v>756</v>
      </c>
      <c r="Q178" s="143" t="s">
        <v>728</v>
      </c>
      <c r="R178" s="143" t="s">
        <v>842</v>
      </c>
      <c r="S178" s="143">
        <v>77</v>
      </c>
      <c r="T178" s="78">
        <v>1</v>
      </c>
      <c r="U178" s="78">
        <v>0</v>
      </c>
      <c r="V178" s="78">
        <v>0</v>
      </c>
      <c r="W178" s="78">
        <v>0.5</v>
      </c>
      <c r="X178" s="78">
        <v>0</v>
      </c>
      <c r="Y178" s="78">
        <v>1</v>
      </c>
      <c r="Z178" s="78">
        <v>3</v>
      </c>
      <c r="AA178" s="78">
        <v>2</v>
      </c>
      <c r="AB178" s="78">
        <v>6</v>
      </c>
      <c r="AC178" s="78">
        <v>0</v>
      </c>
      <c r="AD178" s="137">
        <v>0.39705879999999999</v>
      </c>
      <c r="AF178" s="143" t="s">
        <v>756</v>
      </c>
      <c r="AG178" s="143" t="s">
        <v>728</v>
      </c>
      <c r="AH178" s="143" t="s">
        <v>842</v>
      </c>
      <c r="AI178" s="143">
        <v>77</v>
      </c>
      <c r="AJ178" s="78">
        <v>1</v>
      </c>
      <c r="AK178" s="78">
        <v>0</v>
      </c>
      <c r="AL178" s="78">
        <v>0</v>
      </c>
      <c r="AM178" s="78">
        <v>0</v>
      </c>
      <c r="AN178" s="78">
        <v>1</v>
      </c>
      <c r="AO178" s="78">
        <v>2</v>
      </c>
      <c r="AP178" s="78">
        <v>1</v>
      </c>
      <c r="AQ178" s="78">
        <v>1</v>
      </c>
      <c r="AR178" s="78">
        <v>0</v>
      </c>
      <c r="AS178" s="78">
        <v>0</v>
      </c>
      <c r="AT178" s="78">
        <v>0</v>
      </c>
      <c r="AU178" s="78">
        <v>0</v>
      </c>
      <c r="AV178" s="78">
        <v>2</v>
      </c>
      <c r="AW178" s="78">
        <v>0</v>
      </c>
      <c r="AX178" s="78">
        <v>0</v>
      </c>
      <c r="AY178" s="78">
        <v>1</v>
      </c>
      <c r="AZ178" s="78">
        <v>2</v>
      </c>
      <c r="BA178" s="78">
        <v>0.5</v>
      </c>
      <c r="BB178" s="78">
        <v>0.5</v>
      </c>
      <c r="BC178" s="78">
        <v>0.5</v>
      </c>
      <c r="BD178" s="78">
        <v>1</v>
      </c>
      <c r="BE178" s="78">
        <v>0.5</v>
      </c>
      <c r="BF178" s="78">
        <v>0</v>
      </c>
      <c r="BG178" s="78">
        <v>0</v>
      </c>
      <c r="BH178" s="137">
        <v>0.31818180000000001</v>
      </c>
      <c r="BJ178" s="143" t="s">
        <v>756</v>
      </c>
      <c r="BK178" s="143" t="s">
        <v>728</v>
      </c>
      <c r="BL178" s="143" t="s">
        <v>842</v>
      </c>
      <c r="BM178" s="143">
        <v>77</v>
      </c>
      <c r="BN178" s="78">
        <v>1</v>
      </c>
      <c r="BO178" s="78">
        <v>4</v>
      </c>
      <c r="BP178" s="78">
        <v>7</v>
      </c>
      <c r="BQ178" s="78">
        <v>3</v>
      </c>
      <c r="BR178" s="78">
        <v>3</v>
      </c>
      <c r="BS178" s="78">
        <v>3</v>
      </c>
      <c r="BT178" s="78">
        <v>2</v>
      </c>
      <c r="BU178" s="137">
        <v>1</v>
      </c>
      <c r="BW178" s="143" t="s">
        <v>756</v>
      </c>
      <c r="BX178" s="143" t="s">
        <v>728</v>
      </c>
      <c r="BY178" s="143" t="s">
        <v>842</v>
      </c>
      <c r="BZ178" s="143">
        <v>77</v>
      </c>
      <c r="CM178" s="143" t="s">
        <v>756</v>
      </c>
      <c r="CN178" s="143" t="s">
        <v>728</v>
      </c>
      <c r="CO178" s="143" t="s">
        <v>842</v>
      </c>
      <c r="CP178" s="143">
        <v>77</v>
      </c>
      <c r="CQ178" s="78">
        <v>8</v>
      </c>
      <c r="CR178" s="78">
        <v>0</v>
      </c>
      <c r="CS178" s="78">
        <v>4</v>
      </c>
      <c r="CT178" s="78">
        <v>4</v>
      </c>
      <c r="CU178" s="78">
        <v>0</v>
      </c>
      <c r="CV178" s="78">
        <v>8</v>
      </c>
      <c r="CW178" s="137">
        <v>0.46153850000000002</v>
      </c>
      <c r="CY178" s="143" t="s">
        <v>756</v>
      </c>
      <c r="CZ178" s="143" t="s">
        <v>728</v>
      </c>
      <c r="DA178" s="143" t="s">
        <v>842</v>
      </c>
      <c r="DB178" s="143">
        <v>77</v>
      </c>
      <c r="DC178" s="78">
        <v>0</v>
      </c>
      <c r="DD178" s="137">
        <v>0</v>
      </c>
      <c r="DE178" s="137">
        <v>0</v>
      </c>
      <c r="DG178" s="143" t="s">
        <v>756</v>
      </c>
      <c r="DH178" s="143" t="s">
        <v>728</v>
      </c>
      <c r="DI178" s="143" t="s">
        <v>842</v>
      </c>
      <c r="DJ178" s="143">
        <v>77</v>
      </c>
      <c r="DK178" s="78">
        <v>2</v>
      </c>
      <c r="DL178" s="78">
        <v>1</v>
      </c>
      <c r="DM178" s="78">
        <v>0</v>
      </c>
      <c r="DN178" s="78">
        <v>4</v>
      </c>
      <c r="DO178" s="78">
        <v>2</v>
      </c>
      <c r="DP178" s="78">
        <v>3</v>
      </c>
      <c r="DQ178" s="78">
        <v>8</v>
      </c>
      <c r="DR178" s="78">
        <v>1</v>
      </c>
      <c r="DS178" s="78">
        <v>1</v>
      </c>
      <c r="DT178" s="78">
        <v>0</v>
      </c>
      <c r="DU178" s="78">
        <v>0</v>
      </c>
      <c r="DV178" s="137">
        <v>0.75862070000000004</v>
      </c>
      <c r="DX178" s="143" t="s">
        <v>756</v>
      </c>
      <c r="DY178" s="143" t="s">
        <v>728</v>
      </c>
      <c r="DZ178" s="143" t="s">
        <v>842</v>
      </c>
      <c r="EA178" s="143">
        <v>77</v>
      </c>
      <c r="EB178" s="78">
        <v>0</v>
      </c>
      <c r="EC178" s="78">
        <v>0</v>
      </c>
      <c r="ED178" s="78">
        <v>1</v>
      </c>
      <c r="EE178" s="78">
        <v>4</v>
      </c>
      <c r="EF178" s="78">
        <v>0</v>
      </c>
      <c r="EG178" s="78">
        <v>1</v>
      </c>
      <c r="EH178" s="78">
        <v>1</v>
      </c>
      <c r="EI178" s="78">
        <v>1</v>
      </c>
      <c r="EJ178" s="78">
        <v>1</v>
      </c>
      <c r="EK178" s="78">
        <v>0</v>
      </c>
      <c r="EL178" s="78">
        <v>1</v>
      </c>
      <c r="EM178" s="78">
        <v>1</v>
      </c>
      <c r="EN178" s="78">
        <v>0</v>
      </c>
      <c r="EO178" s="78">
        <v>0</v>
      </c>
      <c r="EP178" s="78">
        <v>0</v>
      </c>
      <c r="EQ178" s="137">
        <v>0.40740739999999998</v>
      </c>
      <c r="ES178" s="143" t="s">
        <v>756</v>
      </c>
      <c r="ET178" s="143" t="s">
        <v>728</v>
      </c>
      <c r="EU178" s="143" t="s">
        <v>842</v>
      </c>
      <c r="EV178" s="143">
        <v>77</v>
      </c>
      <c r="EW178" s="78">
        <v>0</v>
      </c>
      <c r="EX178" s="78">
        <v>1</v>
      </c>
      <c r="EY178" s="78">
        <v>0</v>
      </c>
      <c r="EZ178" s="78">
        <v>0</v>
      </c>
      <c r="FA178" s="78">
        <v>0.5</v>
      </c>
      <c r="FB178" s="78">
        <v>3</v>
      </c>
      <c r="FC178" s="78">
        <v>2</v>
      </c>
      <c r="FD178" s="78">
        <v>1</v>
      </c>
      <c r="FE178" s="137">
        <v>0.57692310000000002</v>
      </c>
      <c r="FG178" s="137">
        <v>0.36432930000000002</v>
      </c>
    </row>
    <row r="179" spans="1:163" x14ac:dyDescent="0.35">
      <c r="A179" s="143" t="s">
        <v>756</v>
      </c>
      <c r="B179" s="143" t="s">
        <v>728</v>
      </c>
      <c r="C179" s="143" t="s">
        <v>841</v>
      </c>
      <c r="D179" s="143">
        <v>78</v>
      </c>
      <c r="E179" s="78">
        <v>0</v>
      </c>
      <c r="F179" s="78">
        <v>2</v>
      </c>
      <c r="G179" s="78">
        <v>1</v>
      </c>
      <c r="H179" s="78">
        <v>1</v>
      </c>
      <c r="I179" s="78">
        <v>1</v>
      </c>
      <c r="J179" s="78">
        <v>0</v>
      </c>
      <c r="K179" s="78">
        <v>1</v>
      </c>
      <c r="L179" s="78">
        <v>1</v>
      </c>
      <c r="M179" s="78">
        <v>0</v>
      </c>
      <c r="N179" s="137">
        <v>0.5</v>
      </c>
      <c r="P179" s="143" t="s">
        <v>756</v>
      </c>
      <c r="Q179" s="143" t="s">
        <v>728</v>
      </c>
      <c r="R179" s="143" t="s">
        <v>841</v>
      </c>
      <c r="S179" s="143">
        <v>78</v>
      </c>
      <c r="T179" s="78">
        <v>1</v>
      </c>
      <c r="U179" s="78">
        <v>1</v>
      </c>
      <c r="V179" s="78">
        <v>1.5</v>
      </c>
      <c r="W179" s="78">
        <v>2</v>
      </c>
      <c r="X179" s="78">
        <v>0</v>
      </c>
      <c r="Y179" s="78">
        <v>1</v>
      </c>
      <c r="Z179" s="78">
        <v>0</v>
      </c>
      <c r="AA179" s="78">
        <v>2</v>
      </c>
      <c r="AB179" s="78">
        <v>6</v>
      </c>
      <c r="AC179" s="78">
        <v>0</v>
      </c>
      <c r="AD179" s="137">
        <v>0.42647059999999998</v>
      </c>
      <c r="AF179" s="143" t="s">
        <v>756</v>
      </c>
      <c r="AG179" s="143" t="s">
        <v>728</v>
      </c>
      <c r="AH179" s="143" t="s">
        <v>841</v>
      </c>
      <c r="AI179" s="143">
        <v>78</v>
      </c>
      <c r="AJ179" s="78">
        <v>1</v>
      </c>
      <c r="AK179" s="78">
        <v>0</v>
      </c>
      <c r="AL179" s="78">
        <v>0</v>
      </c>
      <c r="AM179" s="78">
        <v>1</v>
      </c>
      <c r="AN179" s="78">
        <v>1</v>
      </c>
      <c r="AO179" s="78">
        <v>0</v>
      </c>
      <c r="AP179" s="78">
        <v>1</v>
      </c>
      <c r="AQ179" s="78">
        <v>0</v>
      </c>
      <c r="AR179" s="78">
        <v>2</v>
      </c>
      <c r="AS179" s="78">
        <v>0</v>
      </c>
      <c r="AT179" s="78">
        <v>0</v>
      </c>
      <c r="AU179" s="78">
        <v>0</v>
      </c>
      <c r="AV179" s="78">
        <v>0</v>
      </c>
      <c r="AW179" s="78">
        <v>0</v>
      </c>
      <c r="AX179" s="78">
        <v>4</v>
      </c>
      <c r="AY179" s="78">
        <v>1</v>
      </c>
      <c r="AZ179" s="78">
        <v>0</v>
      </c>
      <c r="BA179" s="78">
        <v>0.5</v>
      </c>
      <c r="BB179" s="78">
        <v>0.5</v>
      </c>
      <c r="BC179" s="78">
        <v>0.5</v>
      </c>
      <c r="BD179" s="78">
        <v>1</v>
      </c>
      <c r="BE179" s="78">
        <v>0.5</v>
      </c>
      <c r="BF179" s="78">
        <v>0</v>
      </c>
      <c r="BG179" s="78">
        <v>2</v>
      </c>
      <c r="BH179" s="137">
        <v>0.36363640000000003</v>
      </c>
      <c r="BJ179" s="143" t="s">
        <v>756</v>
      </c>
      <c r="BK179" s="143" t="s">
        <v>728</v>
      </c>
      <c r="BL179" s="143" t="s">
        <v>841</v>
      </c>
      <c r="BM179" s="143">
        <v>78</v>
      </c>
      <c r="BN179" s="78">
        <v>1</v>
      </c>
      <c r="BO179" s="78">
        <v>0</v>
      </c>
      <c r="BP179" s="78">
        <v>0</v>
      </c>
      <c r="BQ179" s="78">
        <v>3</v>
      </c>
      <c r="BR179" s="78">
        <v>3</v>
      </c>
      <c r="BS179" s="78">
        <v>0</v>
      </c>
      <c r="BT179" s="78">
        <v>0</v>
      </c>
      <c r="BU179" s="137">
        <v>0.3043478</v>
      </c>
      <c r="BW179" s="143" t="s">
        <v>756</v>
      </c>
      <c r="BX179" s="143" t="s">
        <v>728</v>
      </c>
      <c r="BY179" s="143" t="s">
        <v>841</v>
      </c>
      <c r="BZ179" s="143">
        <v>78</v>
      </c>
      <c r="CA179" s="78">
        <v>1</v>
      </c>
      <c r="CB179" s="78">
        <v>0</v>
      </c>
      <c r="CC179" s="78">
        <v>0</v>
      </c>
      <c r="CD179" s="78">
        <v>2</v>
      </c>
      <c r="CE179" s="78">
        <v>1</v>
      </c>
      <c r="CF179" s="78">
        <v>2</v>
      </c>
      <c r="CG179" s="78">
        <v>1</v>
      </c>
      <c r="CH179" s="78">
        <v>2</v>
      </c>
      <c r="CI179" s="78">
        <v>1</v>
      </c>
      <c r="CJ179" s="78">
        <v>0</v>
      </c>
      <c r="CK179" s="137">
        <v>0.66666669999999995</v>
      </c>
      <c r="CM179" s="143" t="s">
        <v>756</v>
      </c>
      <c r="CN179" s="143" t="s">
        <v>728</v>
      </c>
      <c r="CO179" s="143" t="s">
        <v>841</v>
      </c>
      <c r="CP179" s="143">
        <v>78</v>
      </c>
      <c r="CQ179" s="78">
        <v>8</v>
      </c>
      <c r="CR179" s="78">
        <v>0</v>
      </c>
      <c r="CS179" s="78">
        <v>4</v>
      </c>
      <c r="CT179" s="78">
        <v>4</v>
      </c>
      <c r="CU179" s="78">
        <v>0</v>
      </c>
      <c r="CV179" s="78">
        <v>8</v>
      </c>
      <c r="CW179" s="137">
        <v>0.46153850000000002</v>
      </c>
      <c r="CY179" s="143" t="s">
        <v>756</v>
      </c>
      <c r="CZ179" s="143" t="s">
        <v>728</v>
      </c>
      <c r="DA179" s="143" t="s">
        <v>841</v>
      </c>
      <c r="DB179" s="143">
        <v>78</v>
      </c>
      <c r="DC179" s="78">
        <v>0</v>
      </c>
      <c r="DD179" s="137">
        <v>0</v>
      </c>
      <c r="DE179" s="137">
        <v>0</v>
      </c>
      <c r="DG179" s="143" t="s">
        <v>756</v>
      </c>
      <c r="DH179" s="143" t="s">
        <v>728</v>
      </c>
      <c r="DI179" s="143" t="s">
        <v>841</v>
      </c>
      <c r="DJ179" s="143">
        <v>78</v>
      </c>
      <c r="DK179" s="78">
        <v>2</v>
      </c>
      <c r="DL179" s="78">
        <v>1</v>
      </c>
      <c r="DM179" s="78">
        <v>1</v>
      </c>
      <c r="DN179" s="78">
        <v>5</v>
      </c>
      <c r="DO179" s="78">
        <v>2</v>
      </c>
      <c r="DP179" s="78">
        <v>3</v>
      </c>
      <c r="DQ179" s="78">
        <v>7</v>
      </c>
      <c r="DR179" s="78">
        <v>1</v>
      </c>
      <c r="DS179" s="78">
        <v>1</v>
      </c>
      <c r="DT179" s="78">
        <v>2</v>
      </c>
      <c r="DU179" s="78">
        <v>0</v>
      </c>
      <c r="DV179" s="137">
        <v>0.86206899999999997</v>
      </c>
      <c r="DX179" s="143" t="s">
        <v>756</v>
      </c>
      <c r="DY179" s="143" t="s">
        <v>728</v>
      </c>
      <c r="DZ179" s="143" t="s">
        <v>841</v>
      </c>
      <c r="EA179" s="143">
        <v>78</v>
      </c>
      <c r="EB179" s="78">
        <v>0</v>
      </c>
      <c r="EC179" s="78">
        <v>8</v>
      </c>
      <c r="ED179" s="78">
        <v>1</v>
      </c>
      <c r="EE179" s="78">
        <v>4</v>
      </c>
      <c r="EF179" s="78">
        <v>3</v>
      </c>
      <c r="EG179" s="78">
        <v>1</v>
      </c>
      <c r="EH179" s="78">
        <v>1</v>
      </c>
      <c r="EI179" s="78">
        <v>1</v>
      </c>
      <c r="EJ179" s="78">
        <v>1</v>
      </c>
      <c r="EK179" s="78">
        <v>0</v>
      </c>
      <c r="EL179" s="78">
        <v>1</v>
      </c>
      <c r="EM179" s="78">
        <v>1</v>
      </c>
      <c r="EN179" s="78">
        <v>0</v>
      </c>
      <c r="EO179" s="78">
        <v>0</v>
      </c>
      <c r="EP179" s="78">
        <v>0</v>
      </c>
      <c r="EQ179" s="137">
        <v>0.81481479999999995</v>
      </c>
      <c r="ES179" s="143" t="s">
        <v>756</v>
      </c>
      <c r="ET179" s="143" t="s">
        <v>728</v>
      </c>
      <c r="EU179" s="143" t="s">
        <v>841</v>
      </c>
      <c r="EV179" s="143">
        <v>78</v>
      </c>
      <c r="EW179" s="78">
        <v>0</v>
      </c>
      <c r="EX179" s="78">
        <v>1</v>
      </c>
      <c r="EY179" s="78">
        <v>0</v>
      </c>
      <c r="EZ179" s="78">
        <v>0</v>
      </c>
      <c r="FA179" s="78">
        <v>0.5</v>
      </c>
      <c r="FB179" s="78">
        <v>3</v>
      </c>
      <c r="FC179" s="78">
        <v>2</v>
      </c>
      <c r="FD179" s="78">
        <v>0</v>
      </c>
      <c r="FE179" s="137">
        <v>0.5</v>
      </c>
      <c r="FG179" s="137">
        <v>0.38483970000000001</v>
      </c>
    </row>
    <row r="180" spans="1:163" x14ac:dyDescent="0.35">
      <c r="A180" s="143" t="s">
        <v>756</v>
      </c>
      <c r="B180" s="143" t="s">
        <v>728</v>
      </c>
      <c r="C180" s="143" t="s">
        <v>842</v>
      </c>
      <c r="D180" s="143">
        <v>79</v>
      </c>
      <c r="E180" s="78">
        <v>0</v>
      </c>
      <c r="F180" s="78">
        <v>2</v>
      </c>
      <c r="G180" s="78">
        <v>1</v>
      </c>
      <c r="H180" s="78">
        <v>2</v>
      </c>
      <c r="I180" s="78">
        <v>1</v>
      </c>
      <c r="J180" s="78">
        <v>0</v>
      </c>
      <c r="K180" s="78">
        <v>1</v>
      </c>
      <c r="L180" s="78">
        <v>1</v>
      </c>
      <c r="M180" s="78">
        <v>2</v>
      </c>
      <c r="N180" s="137">
        <v>0.71428570000000002</v>
      </c>
      <c r="P180" s="143" t="s">
        <v>756</v>
      </c>
      <c r="Q180" s="143" t="s">
        <v>728</v>
      </c>
      <c r="R180" s="143" t="s">
        <v>842</v>
      </c>
      <c r="S180" s="143">
        <v>79</v>
      </c>
      <c r="T180" s="78">
        <v>0</v>
      </c>
      <c r="U180" s="78">
        <v>1</v>
      </c>
      <c r="V180" s="78">
        <v>0.5</v>
      </c>
      <c r="W180" s="78">
        <v>1</v>
      </c>
      <c r="X180" s="78">
        <v>0</v>
      </c>
      <c r="Y180" s="78">
        <v>1</v>
      </c>
      <c r="Z180" s="78">
        <v>0</v>
      </c>
      <c r="AA180" s="78">
        <v>2</v>
      </c>
      <c r="AB180" s="78">
        <v>6</v>
      </c>
      <c r="AC180" s="78">
        <v>3</v>
      </c>
      <c r="AD180" s="137">
        <v>0.42647059999999998</v>
      </c>
      <c r="AF180" s="143" t="s">
        <v>756</v>
      </c>
      <c r="AG180" s="143" t="s">
        <v>728</v>
      </c>
      <c r="AH180" s="143" t="s">
        <v>842</v>
      </c>
      <c r="AI180" s="143">
        <v>79</v>
      </c>
      <c r="AJ180" s="78">
        <v>0</v>
      </c>
      <c r="AK180" s="78">
        <v>0</v>
      </c>
      <c r="AL180" s="78">
        <v>1</v>
      </c>
      <c r="AM180" s="78">
        <v>0</v>
      </c>
      <c r="AN180" s="78">
        <v>1</v>
      </c>
      <c r="AO180" s="78">
        <v>0</v>
      </c>
      <c r="AP180" s="78">
        <v>2</v>
      </c>
      <c r="AQ180" s="78">
        <v>0</v>
      </c>
      <c r="AR180" s="78">
        <v>0</v>
      </c>
      <c r="AS180" s="78">
        <v>0</v>
      </c>
      <c r="AT180" s="78">
        <v>0</v>
      </c>
      <c r="AU180" s="78">
        <v>0</v>
      </c>
      <c r="AV180" s="78">
        <v>0</v>
      </c>
      <c r="AW180" s="78">
        <v>0</v>
      </c>
      <c r="AX180" s="78">
        <v>4</v>
      </c>
      <c r="AY180" s="78">
        <v>1</v>
      </c>
      <c r="AZ180" s="78">
        <v>0</v>
      </c>
      <c r="BA180" s="78">
        <v>0.5</v>
      </c>
      <c r="BB180" s="78">
        <v>0.5</v>
      </c>
      <c r="BC180" s="78">
        <v>0.5</v>
      </c>
      <c r="BD180" s="78">
        <v>1</v>
      </c>
      <c r="BE180" s="78">
        <v>0.5</v>
      </c>
      <c r="BF180" s="78">
        <v>0</v>
      </c>
      <c r="BG180" s="78">
        <v>2</v>
      </c>
      <c r="BH180" s="137">
        <v>0.31818180000000001</v>
      </c>
      <c r="BJ180" s="143" t="s">
        <v>756</v>
      </c>
      <c r="BK180" s="143" t="s">
        <v>728</v>
      </c>
      <c r="BL180" s="143" t="s">
        <v>842</v>
      </c>
      <c r="BM180" s="143">
        <v>79</v>
      </c>
      <c r="BN180" s="78">
        <v>1</v>
      </c>
      <c r="BO180" s="78">
        <v>4</v>
      </c>
      <c r="BP180" s="78">
        <v>0</v>
      </c>
      <c r="BQ180" s="78">
        <v>3</v>
      </c>
      <c r="BR180" s="78">
        <v>3</v>
      </c>
      <c r="BS180" s="78">
        <v>3</v>
      </c>
      <c r="BT180" s="78">
        <v>2</v>
      </c>
      <c r="BU180" s="137">
        <v>0.69565220000000005</v>
      </c>
      <c r="BW180" s="143" t="s">
        <v>756</v>
      </c>
      <c r="BX180" s="143" t="s">
        <v>728</v>
      </c>
      <c r="BY180" s="143" t="s">
        <v>842</v>
      </c>
      <c r="BZ180" s="143">
        <v>79</v>
      </c>
      <c r="CA180" s="78">
        <v>1</v>
      </c>
      <c r="CB180" s="78">
        <v>0</v>
      </c>
      <c r="CC180" s="78">
        <v>0</v>
      </c>
      <c r="CD180" s="78">
        <v>0</v>
      </c>
      <c r="CE180" s="78">
        <v>0</v>
      </c>
      <c r="CF180" s="78">
        <v>0</v>
      </c>
      <c r="CG180" s="78">
        <v>0</v>
      </c>
      <c r="CH180" s="78">
        <v>2</v>
      </c>
      <c r="CI180" s="78">
        <v>0</v>
      </c>
      <c r="CJ180" s="78">
        <v>0</v>
      </c>
      <c r="CK180" s="137">
        <v>0.2</v>
      </c>
      <c r="CM180" s="143" t="s">
        <v>756</v>
      </c>
      <c r="CN180" s="143" t="s">
        <v>728</v>
      </c>
      <c r="CO180" s="143" t="s">
        <v>842</v>
      </c>
      <c r="CP180" s="143">
        <v>79</v>
      </c>
      <c r="CQ180" s="78">
        <v>6</v>
      </c>
      <c r="CR180" s="78">
        <v>0</v>
      </c>
      <c r="CS180" s="78">
        <v>4</v>
      </c>
      <c r="CT180" s="78">
        <v>4</v>
      </c>
      <c r="CU180" s="78">
        <v>2</v>
      </c>
      <c r="CV180" s="78">
        <v>8</v>
      </c>
      <c r="CW180" s="137">
        <v>0.46153850000000002</v>
      </c>
      <c r="CY180" s="143" t="s">
        <v>756</v>
      </c>
      <c r="CZ180" s="143" t="s">
        <v>728</v>
      </c>
      <c r="DA180" s="143" t="s">
        <v>842</v>
      </c>
      <c r="DB180" s="143">
        <v>79</v>
      </c>
      <c r="DC180" s="78">
        <v>0</v>
      </c>
      <c r="DD180" s="137">
        <v>0</v>
      </c>
      <c r="DE180" s="137">
        <v>0</v>
      </c>
      <c r="DG180" s="143" t="s">
        <v>756</v>
      </c>
      <c r="DH180" s="143" t="s">
        <v>728</v>
      </c>
      <c r="DI180" s="143" t="s">
        <v>842</v>
      </c>
      <c r="DJ180" s="143">
        <v>79</v>
      </c>
      <c r="DK180" s="78">
        <v>2</v>
      </c>
      <c r="DL180" s="78">
        <v>1</v>
      </c>
      <c r="DM180" s="78">
        <v>1</v>
      </c>
      <c r="DN180" s="78">
        <v>5</v>
      </c>
      <c r="DO180" s="78">
        <v>2</v>
      </c>
      <c r="DP180" s="78">
        <v>3</v>
      </c>
      <c r="DQ180" s="78">
        <v>4</v>
      </c>
      <c r="DR180" s="78">
        <v>1</v>
      </c>
      <c r="DS180" s="78">
        <v>1</v>
      </c>
      <c r="DT180" s="78">
        <v>0</v>
      </c>
      <c r="DU180" s="78">
        <v>0</v>
      </c>
      <c r="DV180" s="137">
        <v>0.68965520000000002</v>
      </c>
      <c r="DX180" s="143" t="s">
        <v>756</v>
      </c>
      <c r="DY180" s="143" t="s">
        <v>728</v>
      </c>
      <c r="DZ180" s="143" t="s">
        <v>842</v>
      </c>
      <c r="EA180" s="143">
        <v>79</v>
      </c>
      <c r="EB180" s="78">
        <v>1</v>
      </c>
      <c r="EC180" s="78">
        <v>8</v>
      </c>
      <c r="ED180" s="78">
        <v>1</v>
      </c>
      <c r="EE180" s="78">
        <v>4</v>
      </c>
      <c r="EF180" s="78">
        <v>0</v>
      </c>
      <c r="EG180" s="78">
        <v>1</v>
      </c>
      <c r="EH180" s="78">
        <v>1</v>
      </c>
      <c r="EI180" s="78">
        <v>1</v>
      </c>
      <c r="EJ180" s="78">
        <v>1</v>
      </c>
      <c r="EK180" s="78">
        <v>0</v>
      </c>
      <c r="EL180" s="78">
        <v>1</v>
      </c>
      <c r="EM180" s="78">
        <v>0</v>
      </c>
      <c r="EN180" s="78">
        <v>1</v>
      </c>
      <c r="EO180" s="78">
        <v>0</v>
      </c>
      <c r="EP180" s="78">
        <v>0</v>
      </c>
      <c r="EQ180" s="137">
        <v>0.74074070000000003</v>
      </c>
      <c r="ES180" s="143" t="s">
        <v>756</v>
      </c>
      <c r="ET180" s="143" t="s">
        <v>728</v>
      </c>
      <c r="EU180" s="143" t="s">
        <v>842</v>
      </c>
      <c r="EV180" s="143">
        <v>79</v>
      </c>
      <c r="EW180" s="78">
        <v>0</v>
      </c>
      <c r="EX180" s="78">
        <v>1</v>
      </c>
      <c r="EY180" s="78">
        <v>0</v>
      </c>
      <c r="EZ180" s="78">
        <v>0</v>
      </c>
      <c r="FA180" s="78">
        <v>0</v>
      </c>
      <c r="FB180" s="78">
        <v>3</v>
      </c>
      <c r="FC180" s="78">
        <v>2</v>
      </c>
      <c r="FD180" s="78">
        <v>0</v>
      </c>
      <c r="FE180" s="137">
        <v>0.46153850000000002</v>
      </c>
      <c r="FG180" s="137">
        <v>0.3717201</v>
      </c>
    </row>
    <row r="181" spans="1:163" x14ac:dyDescent="0.35">
      <c r="A181" s="143" t="s">
        <v>757</v>
      </c>
      <c r="B181" s="143" t="s">
        <v>730</v>
      </c>
      <c r="C181" s="143" t="s">
        <v>842</v>
      </c>
      <c r="D181" s="143">
        <v>19</v>
      </c>
      <c r="E181" s="78">
        <v>0.5</v>
      </c>
      <c r="F181" s="78">
        <v>2.5</v>
      </c>
      <c r="G181" s="78">
        <v>1</v>
      </c>
      <c r="H181" s="78">
        <v>0</v>
      </c>
      <c r="I181" s="78">
        <v>1</v>
      </c>
      <c r="J181" s="78">
        <v>0</v>
      </c>
      <c r="K181" s="78">
        <v>1</v>
      </c>
      <c r="L181" s="78">
        <v>0</v>
      </c>
      <c r="M181" s="78">
        <v>0</v>
      </c>
      <c r="N181" s="137">
        <v>0.42857139999999999</v>
      </c>
      <c r="P181" s="143" t="s">
        <v>757</v>
      </c>
      <c r="Q181" s="143" t="s">
        <v>730</v>
      </c>
      <c r="R181" s="143" t="s">
        <v>842</v>
      </c>
      <c r="S181" s="143">
        <v>19</v>
      </c>
      <c r="T181" s="78">
        <v>1</v>
      </c>
      <c r="U181" s="78">
        <v>1</v>
      </c>
      <c r="V181" s="78">
        <v>2</v>
      </c>
      <c r="W181" s="78">
        <v>0.5</v>
      </c>
      <c r="X181" s="78">
        <v>0</v>
      </c>
      <c r="Y181" s="78">
        <v>0</v>
      </c>
      <c r="Z181" s="78">
        <v>0</v>
      </c>
      <c r="AA181" s="78">
        <v>0</v>
      </c>
      <c r="AB181" s="78">
        <v>0</v>
      </c>
      <c r="AC181" s="78">
        <v>0</v>
      </c>
      <c r="AD181" s="137">
        <v>0.1323529</v>
      </c>
      <c r="AF181" s="143" t="s">
        <v>757</v>
      </c>
      <c r="AG181" s="143" t="s">
        <v>730</v>
      </c>
      <c r="AH181" s="143" t="s">
        <v>842</v>
      </c>
      <c r="AI181" s="143">
        <v>19</v>
      </c>
      <c r="AJ181" s="78">
        <v>0</v>
      </c>
      <c r="AK181" s="78">
        <v>0</v>
      </c>
      <c r="AL181" s="78">
        <v>1</v>
      </c>
      <c r="AM181" s="78">
        <v>0</v>
      </c>
      <c r="AN181" s="78">
        <v>1</v>
      </c>
      <c r="AO181" s="78">
        <v>0</v>
      </c>
      <c r="AP181" s="78">
        <v>2</v>
      </c>
      <c r="AQ181" s="78">
        <v>0</v>
      </c>
      <c r="AR181" s="78">
        <v>0</v>
      </c>
      <c r="AS181" s="78">
        <v>0</v>
      </c>
      <c r="AT181" s="78">
        <v>0</v>
      </c>
      <c r="AU181" s="78">
        <v>0</v>
      </c>
      <c r="AV181" s="78">
        <v>0</v>
      </c>
      <c r="AW181" s="78">
        <v>0</v>
      </c>
      <c r="AX181" s="78">
        <v>0</v>
      </c>
      <c r="AY181" s="78">
        <v>0</v>
      </c>
      <c r="AZ181" s="78">
        <v>0</v>
      </c>
      <c r="BA181" s="78">
        <v>0.5</v>
      </c>
      <c r="BB181" s="78">
        <v>0.5</v>
      </c>
      <c r="BC181" s="78">
        <v>0.5</v>
      </c>
      <c r="BD181" s="78">
        <v>0</v>
      </c>
      <c r="BE181" s="78">
        <v>0</v>
      </c>
      <c r="BF181" s="78">
        <v>0</v>
      </c>
      <c r="BG181" s="78">
        <v>6</v>
      </c>
      <c r="BH181" s="137">
        <v>0.26136359999999997</v>
      </c>
      <c r="BJ181" s="143" t="s">
        <v>757</v>
      </c>
      <c r="BK181" s="143" t="s">
        <v>730</v>
      </c>
      <c r="BL181" s="143" t="s">
        <v>842</v>
      </c>
      <c r="BM181" s="143">
        <v>19</v>
      </c>
      <c r="BN181" s="78">
        <v>1</v>
      </c>
      <c r="BO181" s="78">
        <v>0</v>
      </c>
      <c r="BP181" s="78">
        <v>0</v>
      </c>
      <c r="BQ181" s="78">
        <v>0</v>
      </c>
      <c r="BR181" s="78">
        <v>0</v>
      </c>
      <c r="BS181" s="78">
        <v>3</v>
      </c>
      <c r="BT181" s="78">
        <v>2</v>
      </c>
      <c r="BU181" s="137">
        <v>0.26086959999999998</v>
      </c>
      <c r="BW181" s="143" t="s">
        <v>757</v>
      </c>
      <c r="BX181" s="143" t="s">
        <v>730</v>
      </c>
      <c r="BY181" s="143" t="s">
        <v>842</v>
      </c>
      <c r="BZ181" s="143">
        <v>19</v>
      </c>
      <c r="CM181" s="143" t="s">
        <v>757</v>
      </c>
      <c r="CN181" s="143" t="s">
        <v>730</v>
      </c>
      <c r="CO181" s="143" t="s">
        <v>842</v>
      </c>
      <c r="CP181" s="143">
        <v>19</v>
      </c>
      <c r="CQ181" s="78">
        <v>8</v>
      </c>
      <c r="CR181" s="78">
        <v>0</v>
      </c>
      <c r="CS181" s="78">
        <v>24</v>
      </c>
      <c r="CT181" s="78">
        <v>4</v>
      </c>
      <c r="CU181" s="78">
        <v>2</v>
      </c>
      <c r="CV181" s="78">
        <v>4</v>
      </c>
      <c r="CW181" s="137">
        <v>0.80769230000000003</v>
      </c>
      <c r="CY181" s="143" t="s">
        <v>757</v>
      </c>
      <c r="CZ181" s="143" t="s">
        <v>730</v>
      </c>
      <c r="DA181" s="143" t="s">
        <v>842</v>
      </c>
      <c r="DB181" s="143">
        <v>19</v>
      </c>
      <c r="DC181" s="78">
        <v>42</v>
      </c>
      <c r="DD181" s="137">
        <v>0</v>
      </c>
      <c r="DE181" s="137">
        <v>0</v>
      </c>
      <c r="DG181" s="143" t="s">
        <v>757</v>
      </c>
      <c r="DH181" s="143" t="s">
        <v>730</v>
      </c>
      <c r="DI181" s="143" t="s">
        <v>842</v>
      </c>
      <c r="DJ181" s="143">
        <v>19</v>
      </c>
      <c r="DK181" s="78">
        <v>0</v>
      </c>
      <c r="DL181" s="78">
        <v>0</v>
      </c>
      <c r="DM181" s="78">
        <v>0</v>
      </c>
      <c r="DN181" s="78">
        <v>4</v>
      </c>
      <c r="DO181" s="78">
        <v>2</v>
      </c>
      <c r="DP181" s="78">
        <v>3</v>
      </c>
      <c r="DQ181" s="78">
        <v>7</v>
      </c>
      <c r="DR181" s="78">
        <v>0</v>
      </c>
      <c r="DS181" s="78">
        <v>1</v>
      </c>
      <c r="DT181" s="78">
        <v>0</v>
      </c>
      <c r="DU181" s="78">
        <v>0</v>
      </c>
      <c r="DV181" s="137">
        <v>0.58620689999999998</v>
      </c>
      <c r="DX181" s="143" t="s">
        <v>757</v>
      </c>
      <c r="DY181" s="143" t="s">
        <v>730</v>
      </c>
      <c r="DZ181" s="143" t="s">
        <v>842</v>
      </c>
      <c r="EA181" s="143">
        <v>19</v>
      </c>
      <c r="EB181" s="78">
        <v>1</v>
      </c>
      <c r="EC181" s="78">
        <v>8</v>
      </c>
      <c r="ED181" s="78">
        <v>1</v>
      </c>
      <c r="EE181" s="78">
        <v>4</v>
      </c>
      <c r="EF181" s="78">
        <v>0</v>
      </c>
      <c r="EG181" s="78">
        <v>1</v>
      </c>
      <c r="EH181" s="78">
        <v>0</v>
      </c>
      <c r="EI181" s="78">
        <v>0</v>
      </c>
      <c r="EJ181" s="78">
        <v>1</v>
      </c>
      <c r="EK181" s="78">
        <v>1</v>
      </c>
      <c r="EL181" s="78">
        <v>1</v>
      </c>
      <c r="EM181" s="78">
        <v>0</v>
      </c>
      <c r="EN181" s="78">
        <v>1</v>
      </c>
      <c r="EO181" s="78">
        <v>1</v>
      </c>
      <c r="EP181" s="78">
        <v>1</v>
      </c>
      <c r="EQ181" s="137">
        <v>0.77777779999999996</v>
      </c>
      <c r="ES181" s="143" t="s">
        <v>757</v>
      </c>
      <c r="ET181" s="143" t="s">
        <v>730</v>
      </c>
      <c r="EU181" s="143" t="s">
        <v>842</v>
      </c>
      <c r="EV181" s="143">
        <v>19</v>
      </c>
      <c r="EW181" s="78">
        <v>0.5</v>
      </c>
      <c r="EX181" s="78">
        <v>1</v>
      </c>
      <c r="EY181" s="78">
        <v>0</v>
      </c>
      <c r="EZ181" s="78">
        <v>0</v>
      </c>
      <c r="FA181" s="78">
        <v>0.5</v>
      </c>
      <c r="FB181" s="78">
        <v>3</v>
      </c>
      <c r="FC181" s="78">
        <v>2</v>
      </c>
      <c r="FD181" s="78">
        <v>1</v>
      </c>
      <c r="FE181" s="137">
        <v>0.61538459999999995</v>
      </c>
      <c r="FG181" s="137">
        <v>0.35365849999999999</v>
      </c>
    </row>
    <row r="182" spans="1:163" x14ac:dyDescent="0.35">
      <c r="A182" s="143" t="s">
        <v>757</v>
      </c>
      <c r="B182" s="143" t="s">
        <v>730</v>
      </c>
      <c r="C182" s="143" t="s">
        <v>842</v>
      </c>
      <c r="D182" s="143">
        <v>1108</v>
      </c>
      <c r="E182" s="78">
        <v>0</v>
      </c>
      <c r="F182" s="78">
        <v>1.5</v>
      </c>
      <c r="G182" s="78">
        <v>0</v>
      </c>
      <c r="H182" s="78">
        <v>0</v>
      </c>
      <c r="I182" s="78">
        <v>1</v>
      </c>
      <c r="J182" s="78">
        <v>0</v>
      </c>
      <c r="K182" s="78">
        <v>1</v>
      </c>
      <c r="L182" s="78">
        <v>0</v>
      </c>
      <c r="M182" s="78">
        <v>0</v>
      </c>
      <c r="N182" s="137">
        <v>0.25</v>
      </c>
      <c r="P182" s="143" t="s">
        <v>757</v>
      </c>
      <c r="Q182" s="143" t="s">
        <v>730</v>
      </c>
      <c r="R182" s="143" t="s">
        <v>842</v>
      </c>
      <c r="S182" s="143">
        <v>1108</v>
      </c>
      <c r="T182" s="78">
        <v>1</v>
      </c>
      <c r="U182" s="78">
        <v>1</v>
      </c>
      <c r="V182" s="78">
        <v>0</v>
      </c>
      <c r="W182" s="78">
        <v>0</v>
      </c>
      <c r="X182" s="78">
        <v>0</v>
      </c>
      <c r="Y182" s="78">
        <v>0</v>
      </c>
      <c r="Z182" s="78">
        <v>0</v>
      </c>
      <c r="AA182" s="78">
        <v>0</v>
      </c>
      <c r="AB182" s="78">
        <v>0</v>
      </c>
      <c r="AC182" s="78">
        <v>0</v>
      </c>
      <c r="AD182" s="137">
        <v>5.8823500000000001E-2</v>
      </c>
      <c r="AF182" s="143" t="s">
        <v>757</v>
      </c>
      <c r="AG182" s="143" t="s">
        <v>730</v>
      </c>
      <c r="AH182" s="143" t="s">
        <v>842</v>
      </c>
      <c r="AI182" s="143">
        <v>1108</v>
      </c>
      <c r="AJ182" s="78">
        <v>0</v>
      </c>
      <c r="AK182" s="78">
        <v>0</v>
      </c>
      <c r="AL182" s="78">
        <v>1</v>
      </c>
      <c r="AM182" s="78">
        <v>0</v>
      </c>
      <c r="AN182" s="78">
        <v>0</v>
      </c>
      <c r="AO182" s="78">
        <v>0</v>
      </c>
      <c r="AP182" s="78">
        <v>2</v>
      </c>
      <c r="AQ182" s="78">
        <v>0</v>
      </c>
      <c r="AR182" s="78">
        <v>0</v>
      </c>
      <c r="AS182" s="78">
        <v>0</v>
      </c>
      <c r="AT182" s="78">
        <v>0</v>
      </c>
      <c r="AU182" s="78">
        <v>0</v>
      </c>
      <c r="AV182" s="78">
        <v>2</v>
      </c>
      <c r="AW182" s="78">
        <v>0</v>
      </c>
      <c r="AX182" s="78">
        <v>0</v>
      </c>
      <c r="AY182" s="78">
        <v>0</v>
      </c>
      <c r="AZ182" s="78">
        <v>0</v>
      </c>
      <c r="BA182" s="78">
        <v>0.5</v>
      </c>
      <c r="BB182" s="78">
        <v>0.5</v>
      </c>
      <c r="BC182" s="78">
        <v>0.5</v>
      </c>
      <c r="BD182" s="78">
        <v>0</v>
      </c>
      <c r="BE182" s="78">
        <v>0</v>
      </c>
      <c r="BF182" s="78">
        <v>0</v>
      </c>
      <c r="BG182" s="78">
        <v>6</v>
      </c>
      <c r="BH182" s="137">
        <v>0.28409089999999998</v>
      </c>
      <c r="BJ182" s="143" t="s">
        <v>757</v>
      </c>
      <c r="BK182" s="143" t="s">
        <v>730</v>
      </c>
      <c r="BL182" s="143" t="s">
        <v>842</v>
      </c>
      <c r="BM182" s="143">
        <v>1108</v>
      </c>
      <c r="BN182" s="78">
        <v>1</v>
      </c>
      <c r="BO182" s="78">
        <v>4</v>
      </c>
      <c r="BP182" s="78">
        <v>0</v>
      </c>
      <c r="BQ182" s="78">
        <v>0</v>
      </c>
      <c r="BR182" s="78">
        <v>0</v>
      </c>
      <c r="BS182" s="78">
        <v>0</v>
      </c>
      <c r="BT182" s="78">
        <v>2</v>
      </c>
      <c r="BU182" s="137">
        <v>0.3043478</v>
      </c>
      <c r="BW182" s="143" t="s">
        <v>757</v>
      </c>
      <c r="BX182" s="143" t="s">
        <v>730</v>
      </c>
      <c r="BY182" s="143" t="s">
        <v>842</v>
      </c>
      <c r="BZ182" s="143">
        <v>1108</v>
      </c>
      <c r="CA182" s="78">
        <v>1</v>
      </c>
      <c r="CB182" s="78">
        <v>0</v>
      </c>
      <c r="CC182" s="78">
        <v>0</v>
      </c>
      <c r="CD182" s="78">
        <v>0</v>
      </c>
      <c r="CE182" s="78">
        <v>0</v>
      </c>
      <c r="CF182" s="78">
        <v>0</v>
      </c>
      <c r="CG182" s="78">
        <v>0</v>
      </c>
      <c r="CH182" s="78">
        <v>0</v>
      </c>
      <c r="CI182" s="78">
        <v>0</v>
      </c>
      <c r="CJ182" s="78">
        <v>0</v>
      </c>
      <c r="CK182" s="137">
        <v>6.6666699999999995E-2</v>
      </c>
      <c r="CM182" s="143" t="s">
        <v>757</v>
      </c>
      <c r="CN182" s="143" t="s">
        <v>730</v>
      </c>
      <c r="CO182" s="143" t="s">
        <v>842</v>
      </c>
      <c r="CP182" s="143">
        <v>1108</v>
      </c>
      <c r="CQ182" s="78">
        <v>8</v>
      </c>
      <c r="CR182" s="78">
        <v>0</v>
      </c>
      <c r="CS182" s="78">
        <v>12</v>
      </c>
      <c r="CT182" s="78">
        <v>4</v>
      </c>
      <c r="CU182" s="78">
        <v>0</v>
      </c>
      <c r="CV182" s="78">
        <v>8</v>
      </c>
      <c r="CW182" s="137">
        <v>0.61538459999999995</v>
      </c>
      <c r="CY182" s="143" t="s">
        <v>757</v>
      </c>
      <c r="CZ182" s="143" t="s">
        <v>730</v>
      </c>
      <c r="DA182" s="143" t="s">
        <v>842</v>
      </c>
      <c r="DB182" s="143">
        <v>1108</v>
      </c>
      <c r="DC182" s="78">
        <v>66</v>
      </c>
      <c r="DD182" s="137">
        <v>0</v>
      </c>
      <c r="DE182" s="137">
        <v>0</v>
      </c>
      <c r="DG182" s="143" t="s">
        <v>757</v>
      </c>
      <c r="DH182" s="143" t="s">
        <v>730</v>
      </c>
      <c r="DI182" s="143" t="s">
        <v>842</v>
      </c>
      <c r="DJ182" s="143">
        <v>1108</v>
      </c>
      <c r="DK182" s="78">
        <v>0</v>
      </c>
      <c r="DL182" s="78">
        <v>0</v>
      </c>
      <c r="DM182" s="78">
        <v>0</v>
      </c>
      <c r="DN182" s="78">
        <v>3</v>
      </c>
      <c r="DO182" s="78">
        <v>2</v>
      </c>
      <c r="DP182" s="78">
        <v>3</v>
      </c>
      <c r="DQ182" s="78">
        <v>7</v>
      </c>
      <c r="DR182" s="78">
        <v>0</v>
      </c>
      <c r="DS182" s="78">
        <v>1</v>
      </c>
      <c r="DT182" s="78">
        <v>0</v>
      </c>
      <c r="DU182" s="78">
        <v>0</v>
      </c>
      <c r="DV182" s="137">
        <v>0.55172410000000005</v>
      </c>
      <c r="DX182" s="143" t="s">
        <v>757</v>
      </c>
      <c r="DY182" s="143" t="s">
        <v>730</v>
      </c>
      <c r="DZ182" s="143" t="s">
        <v>842</v>
      </c>
      <c r="EA182" s="143">
        <v>1108</v>
      </c>
      <c r="EB182" s="78">
        <v>1</v>
      </c>
      <c r="EC182" s="78">
        <v>8</v>
      </c>
      <c r="ED182" s="78">
        <v>1</v>
      </c>
      <c r="EE182" s="78">
        <v>4</v>
      </c>
      <c r="EF182" s="78">
        <v>0</v>
      </c>
      <c r="EG182" s="78">
        <v>1</v>
      </c>
      <c r="EH182" s="78">
        <v>0</v>
      </c>
      <c r="EI182" s="78">
        <v>1</v>
      </c>
      <c r="EJ182" s="78">
        <v>0</v>
      </c>
      <c r="EK182" s="78">
        <v>1</v>
      </c>
      <c r="EL182" s="78">
        <v>1</v>
      </c>
      <c r="EM182" s="78">
        <v>0</v>
      </c>
      <c r="EN182" s="78">
        <v>1</v>
      </c>
      <c r="EO182" s="78">
        <v>1</v>
      </c>
      <c r="EP182" s="78">
        <v>1</v>
      </c>
      <c r="EQ182" s="137">
        <v>0.77777779999999996</v>
      </c>
      <c r="ES182" s="143" t="s">
        <v>757</v>
      </c>
      <c r="ET182" s="143" t="s">
        <v>730</v>
      </c>
      <c r="EU182" s="143" t="s">
        <v>842</v>
      </c>
      <c r="EV182" s="143">
        <v>1108</v>
      </c>
      <c r="EW182" s="78">
        <v>0.5</v>
      </c>
      <c r="EX182" s="78">
        <v>0</v>
      </c>
      <c r="EY182" s="78">
        <v>0</v>
      </c>
      <c r="EZ182" s="78">
        <v>0</v>
      </c>
      <c r="FA182" s="78">
        <v>0.5</v>
      </c>
      <c r="FB182" s="78">
        <v>3</v>
      </c>
      <c r="FC182" s="78">
        <v>2</v>
      </c>
      <c r="FD182" s="78">
        <v>1</v>
      </c>
      <c r="FE182" s="137">
        <v>0.53846159999999998</v>
      </c>
      <c r="FG182" s="137">
        <v>0.29737609999999998</v>
      </c>
    </row>
    <row r="183" spans="1:163" x14ac:dyDescent="0.35">
      <c r="A183" s="143" t="s">
        <v>757</v>
      </c>
      <c r="B183" s="143" t="s">
        <v>730</v>
      </c>
      <c r="C183" s="143" t="s">
        <v>842</v>
      </c>
      <c r="D183" s="143">
        <v>1645</v>
      </c>
      <c r="E183" s="78">
        <v>0.5</v>
      </c>
      <c r="F183" s="78">
        <v>1.5</v>
      </c>
      <c r="G183" s="78">
        <v>1</v>
      </c>
      <c r="H183" s="78">
        <v>2</v>
      </c>
      <c r="I183" s="78">
        <v>1</v>
      </c>
      <c r="J183" s="78">
        <v>0</v>
      </c>
      <c r="K183" s="78">
        <v>1</v>
      </c>
      <c r="L183" s="78">
        <v>0</v>
      </c>
      <c r="M183" s="78">
        <v>0</v>
      </c>
      <c r="N183" s="137">
        <v>0.5</v>
      </c>
      <c r="P183" s="143" t="s">
        <v>757</v>
      </c>
      <c r="Q183" s="143" t="s">
        <v>730</v>
      </c>
      <c r="R183" s="143" t="s">
        <v>842</v>
      </c>
      <c r="S183" s="143">
        <v>1645</v>
      </c>
      <c r="T183" s="78">
        <v>1</v>
      </c>
      <c r="U183" s="78">
        <v>1</v>
      </c>
      <c r="V183" s="78">
        <v>0</v>
      </c>
      <c r="W183" s="78">
        <v>0</v>
      </c>
      <c r="X183" s="78">
        <v>0</v>
      </c>
      <c r="Y183" s="78">
        <v>0</v>
      </c>
      <c r="Z183" s="78">
        <v>0</v>
      </c>
      <c r="AA183" s="78">
        <v>0</v>
      </c>
      <c r="AB183" s="78">
        <v>0</v>
      </c>
      <c r="AC183" s="78">
        <v>0</v>
      </c>
      <c r="AD183" s="137">
        <v>5.8823500000000001E-2</v>
      </c>
      <c r="AF183" s="143" t="s">
        <v>757</v>
      </c>
      <c r="AG183" s="143" t="s">
        <v>730</v>
      </c>
      <c r="AH183" s="143" t="s">
        <v>842</v>
      </c>
      <c r="AI183" s="143">
        <v>1645</v>
      </c>
      <c r="AJ183" s="78">
        <v>0</v>
      </c>
      <c r="AK183" s="78">
        <v>0</v>
      </c>
      <c r="AL183" s="78">
        <v>1</v>
      </c>
      <c r="AM183" s="78">
        <v>0</v>
      </c>
      <c r="AN183" s="78">
        <v>0</v>
      </c>
      <c r="AO183" s="78">
        <v>0</v>
      </c>
      <c r="AP183" s="78">
        <v>1</v>
      </c>
      <c r="AQ183" s="78">
        <v>0</v>
      </c>
      <c r="AR183" s="78">
        <v>2</v>
      </c>
      <c r="AS183" s="78">
        <v>0</v>
      </c>
      <c r="AT183" s="78">
        <v>0</v>
      </c>
      <c r="AU183" s="78">
        <v>0</v>
      </c>
      <c r="AV183" s="78">
        <v>0</v>
      </c>
      <c r="AW183" s="78">
        <v>0</v>
      </c>
      <c r="AX183" s="78">
        <v>0</v>
      </c>
      <c r="AY183" s="78">
        <v>1</v>
      </c>
      <c r="AZ183" s="78">
        <v>0</v>
      </c>
      <c r="BA183" s="78">
        <v>0.5</v>
      </c>
      <c r="BB183" s="78">
        <v>0</v>
      </c>
      <c r="BC183" s="78">
        <v>0.5</v>
      </c>
      <c r="BD183" s="78">
        <v>0</v>
      </c>
      <c r="BE183" s="78">
        <v>0</v>
      </c>
      <c r="BF183" s="78">
        <v>0</v>
      </c>
      <c r="BG183" s="78">
        <v>0</v>
      </c>
      <c r="BH183" s="137">
        <v>0.1363636</v>
      </c>
      <c r="BJ183" s="143" t="s">
        <v>757</v>
      </c>
      <c r="BK183" s="143" t="s">
        <v>730</v>
      </c>
      <c r="BL183" s="143" t="s">
        <v>842</v>
      </c>
      <c r="BM183" s="143">
        <v>1645</v>
      </c>
      <c r="BN183" s="78">
        <v>1</v>
      </c>
      <c r="BO183" s="78">
        <v>0</v>
      </c>
      <c r="BP183" s="78">
        <v>0</v>
      </c>
      <c r="BQ183" s="78">
        <v>3</v>
      </c>
      <c r="BR183" s="78">
        <v>0</v>
      </c>
      <c r="BS183" s="78">
        <v>0</v>
      </c>
      <c r="BT183" s="78">
        <v>0</v>
      </c>
      <c r="BU183" s="137">
        <v>0.17391300000000001</v>
      </c>
      <c r="BW183" s="143" t="s">
        <v>757</v>
      </c>
      <c r="BX183" s="143" t="s">
        <v>730</v>
      </c>
      <c r="BY183" s="143" t="s">
        <v>842</v>
      </c>
      <c r="BZ183" s="143">
        <v>1645</v>
      </c>
      <c r="CM183" s="143" t="s">
        <v>757</v>
      </c>
      <c r="CN183" s="143" t="s">
        <v>730</v>
      </c>
      <c r="CO183" s="143" t="s">
        <v>842</v>
      </c>
      <c r="CP183" s="143">
        <v>1645</v>
      </c>
      <c r="CQ183" s="78">
        <v>0</v>
      </c>
      <c r="CR183" s="78">
        <v>0</v>
      </c>
      <c r="CS183" s="78">
        <v>0</v>
      </c>
      <c r="CT183" s="78">
        <v>4</v>
      </c>
      <c r="CU183" s="78">
        <v>0</v>
      </c>
      <c r="CV183" s="78">
        <v>8</v>
      </c>
      <c r="CW183" s="137">
        <v>0.23076920000000001</v>
      </c>
      <c r="CY183" s="143" t="s">
        <v>757</v>
      </c>
      <c r="CZ183" s="143" t="s">
        <v>730</v>
      </c>
      <c r="DA183" s="143" t="s">
        <v>842</v>
      </c>
      <c r="DB183" s="143">
        <v>1645</v>
      </c>
      <c r="DC183" s="78">
        <v>48</v>
      </c>
      <c r="DD183" s="137">
        <v>0</v>
      </c>
      <c r="DE183" s="137">
        <v>0</v>
      </c>
      <c r="DG183" s="143" t="s">
        <v>757</v>
      </c>
      <c r="DH183" s="143" t="s">
        <v>730</v>
      </c>
      <c r="DI183" s="143" t="s">
        <v>842</v>
      </c>
      <c r="DJ183" s="143">
        <v>1645</v>
      </c>
      <c r="DK183" s="78">
        <v>2</v>
      </c>
      <c r="DL183" s="78">
        <v>1</v>
      </c>
      <c r="DM183" s="78">
        <v>0</v>
      </c>
      <c r="DN183" s="78">
        <v>3</v>
      </c>
      <c r="DO183" s="78">
        <v>0</v>
      </c>
      <c r="DP183" s="78">
        <v>3</v>
      </c>
      <c r="DQ183" s="78">
        <v>6</v>
      </c>
      <c r="DR183" s="78">
        <v>0</v>
      </c>
      <c r="DS183" s="78">
        <v>0</v>
      </c>
      <c r="DT183" s="78">
        <v>0</v>
      </c>
      <c r="DU183" s="78">
        <v>0</v>
      </c>
      <c r="DV183" s="137">
        <v>0.51724139999999996</v>
      </c>
      <c r="DX183" s="143" t="s">
        <v>757</v>
      </c>
      <c r="DY183" s="143" t="s">
        <v>730</v>
      </c>
      <c r="DZ183" s="143" t="s">
        <v>842</v>
      </c>
      <c r="EA183" s="143">
        <v>1645</v>
      </c>
      <c r="EB183" s="78">
        <v>1</v>
      </c>
      <c r="EC183" s="78">
        <v>8</v>
      </c>
      <c r="ED183" s="78">
        <v>1</v>
      </c>
      <c r="EE183" s="78">
        <v>0</v>
      </c>
      <c r="EF183" s="78">
        <v>0</v>
      </c>
      <c r="EG183" s="78">
        <v>1</v>
      </c>
      <c r="EH183" s="78">
        <v>0</v>
      </c>
      <c r="EI183" s="78">
        <v>1</v>
      </c>
      <c r="EJ183" s="78">
        <v>1</v>
      </c>
      <c r="EK183" s="78">
        <v>1</v>
      </c>
      <c r="EL183" s="78">
        <v>1</v>
      </c>
      <c r="EM183" s="78">
        <v>1</v>
      </c>
      <c r="EN183" s="78">
        <v>0</v>
      </c>
      <c r="EO183" s="78">
        <v>1</v>
      </c>
      <c r="EP183" s="78">
        <v>0</v>
      </c>
      <c r="EQ183" s="137">
        <v>0.62962960000000001</v>
      </c>
      <c r="ES183" s="143" t="s">
        <v>757</v>
      </c>
      <c r="ET183" s="143" t="s">
        <v>730</v>
      </c>
      <c r="EU183" s="143" t="s">
        <v>842</v>
      </c>
      <c r="EV183" s="143">
        <v>1645</v>
      </c>
      <c r="EW183" s="78">
        <v>0</v>
      </c>
      <c r="EX183" s="78">
        <v>0</v>
      </c>
      <c r="EY183" s="78">
        <v>0</v>
      </c>
      <c r="EZ183" s="78">
        <v>0</v>
      </c>
      <c r="FA183" s="78">
        <v>0.5</v>
      </c>
      <c r="FB183" s="78">
        <v>0</v>
      </c>
      <c r="FC183" s="78">
        <v>2</v>
      </c>
      <c r="FD183" s="78">
        <v>1</v>
      </c>
      <c r="FE183" s="137">
        <v>0.26923079999999999</v>
      </c>
      <c r="FG183" s="137">
        <v>0.2027439</v>
      </c>
    </row>
    <row r="184" spans="1:163" x14ac:dyDescent="0.35">
      <c r="A184" s="143" t="s">
        <v>757</v>
      </c>
      <c r="B184" s="143" t="s">
        <v>730</v>
      </c>
      <c r="C184" s="143" t="s">
        <v>842</v>
      </c>
      <c r="D184" s="143">
        <v>1956</v>
      </c>
      <c r="E184" s="78">
        <v>0</v>
      </c>
      <c r="F184" s="78">
        <v>2.5</v>
      </c>
      <c r="G184" s="78">
        <v>1</v>
      </c>
      <c r="H184" s="78">
        <v>2</v>
      </c>
      <c r="I184" s="78">
        <v>1</v>
      </c>
      <c r="J184" s="78">
        <v>0</v>
      </c>
      <c r="K184" s="78">
        <v>1</v>
      </c>
      <c r="L184" s="78">
        <v>0</v>
      </c>
      <c r="M184" s="78">
        <v>0</v>
      </c>
      <c r="N184" s="137">
        <v>0.53571429999999998</v>
      </c>
      <c r="P184" s="143" t="s">
        <v>757</v>
      </c>
      <c r="Q184" s="143" t="s">
        <v>730</v>
      </c>
      <c r="R184" s="143" t="s">
        <v>842</v>
      </c>
      <c r="S184" s="143">
        <v>1956</v>
      </c>
      <c r="T184" s="78">
        <v>0</v>
      </c>
      <c r="U184" s="78">
        <v>0</v>
      </c>
      <c r="V184" s="78">
        <v>0</v>
      </c>
      <c r="W184" s="78">
        <v>0</v>
      </c>
      <c r="X184" s="78">
        <v>0</v>
      </c>
      <c r="Y184" s="78">
        <v>0</v>
      </c>
      <c r="Z184" s="78">
        <v>0</v>
      </c>
      <c r="AA184" s="78">
        <v>0</v>
      </c>
      <c r="AB184" s="78">
        <v>0</v>
      </c>
      <c r="AC184" s="78">
        <v>0</v>
      </c>
      <c r="AD184" s="137">
        <v>0</v>
      </c>
      <c r="AF184" s="143" t="s">
        <v>757</v>
      </c>
      <c r="AG184" s="143" t="s">
        <v>730</v>
      </c>
      <c r="AH184" s="143" t="s">
        <v>842</v>
      </c>
      <c r="AI184" s="143">
        <v>1956</v>
      </c>
      <c r="AJ184" s="78">
        <v>0</v>
      </c>
      <c r="AK184" s="78">
        <v>0</v>
      </c>
      <c r="AL184" s="78">
        <v>1</v>
      </c>
      <c r="AM184" s="78">
        <v>0</v>
      </c>
      <c r="AN184" s="78">
        <v>0</v>
      </c>
      <c r="AO184" s="78">
        <v>0</v>
      </c>
      <c r="AP184" s="78">
        <v>2</v>
      </c>
      <c r="AQ184" s="78">
        <v>1</v>
      </c>
      <c r="AR184" s="78">
        <v>2</v>
      </c>
      <c r="AS184" s="78">
        <v>0</v>
      </c>
      <c r="AT184" s="78">
        <v>0</v>
      </c>
      <c r="AU184" s="78">
        <v>0</v>
      </c>
      <c r="AV184" s="78">
        <v>0</v>
      </c>
      <c r="AW184" s="78">
        <v>0</v>
      </c>
      <c r="AX184" s="78">
        <v>0</v>
      </c>
      <c r="AY184" s="78">
        <v>0</v>
      </c>
      <c r="AZ184" s="78">
        <v>2</v>
      </c>
      <c r="BA184" s="78">
        <v>0.5</v>
      </c>
      <c r="BB184" s="78">
        <v>0.5</v>
      </c>
      <c r="BC184" s="78">
        <v>0</v>
      </c>
      <c r="BD184" s="78">
        <v>0</v>
      </c>
      <c r="BE184" s="78">
        <v>0.5</v>
      </c>
      <c r="BF184" s="78">
        <v>0</v>
      </c>
      <c r="BG184" s="78">
        <v>2</v>
      </c>
      <c r="BH184" s="137">
        <v>0.26136359999999997</v>
      </c>
      <c r="BJ184" s="143" t="s">
        <v>757</v>
      </c>
      <c r="BK184" s="143" t="s">
        <v>730</v>
      </c>
      <c r="BL184" s="143" t="s">
        <v>842</v>
      </c>
      <c r="BM184" s="143">
        <v>1956</v>
      </c>
      <c r="BN184" s="78">
        <v>0</v>
      </c>
      <c r="BO184" s="78">
        <v>4</v>
      </c>
      <c r="BP184" s="78">
        <v>7</v>
      </c>
      <c r="BQ184" s="78">
        <v>3</v>
      </c>
      <c r="BR184" s="78">
        <v>3</v>
      </c>
      <c r="BS184" s="78">
        <v>0</v>
      </c>
      <c r="BT184" s="78">
        <v>0</v>
      </c>
      <c r="BU184" s="137">
        <v>0.73913039999999997</v>
      </c>
      <c r="BW184" s="143" t="s">
        <v>757</v>
      </c>
      <c r="BX184" s="143" t="s">
        <v>730</v>
      </c>
      <c r="BY184" s="143" t="s">
        <v>842</v>
      </c>
      <c r="BZ184" s="143">
        <v>1956</v>
      </c>
      <c r="CA184" s="78">
        <v>1</v>
      </c>
      <c r="CB184" s="78">
        <v>1</v>
      </c>
      <c r="CC184" s="78">
        <v>0</v>
      </c>
      <c r="CD184" s="78">
        <v>0</v>
      </c>
      <c r="CE184" s="78">
        <v>0</v>
      </c>
      <c r="CF184" s="78">
        <v>0</v>
      </c>
      <c r="CG184" s="78">
        <v>0</v>
      </c>
      <c r="CH184" s="78">
        <v>0</v>
      </c>
      <c r="CI184" s="78">
        <v>0</v>
      </c>
      <c r="CJ184" s="78">
        <v>0</v>
      </c>
      <c r="CK184" s="137">
        <v>0.13333329999999999</v>
      </c>
      <c r="CM184" s="143" t="s">
        <v>757</v>
      </c>
      <c r="CN184" s="143" t="s">
        <v>730</v>
      </c>
      <c r="CO184" s="143" t="s">
        <v>842</v>
      </c>
      <c r="CP184" s="143">
        <v>1956</v>
      </c>
      <c r="CQ184" s="78">
        <v>2</v>
      </c>
      <c r="CR184" s="78">
        <v>0</v>
      </c>
      <c r="CS184" s="78">
        <v>4</v>
      </c>
      <c r="CT184" s="78">
        <v>4</v>
      </c>
      <c r="CU184" s="78">
        <v>0</v>
      </c>
      <c r="CV184" s="78">
        <v>8</v>
      </c>
      <c r="CW184" s="137">
        <v>0.34615390000000001</v>
      </c>
      <c r="CY184" s="143" t="s">
        <v>757</v>
      </c>
      <c r="CZ184" s="143" t="s">
        <v>730</v>
      </c>
      <c r="DA184" s="143" t="s">
        <v>842</v>
      </c>
      <c r="DB184" s="143">
        <v>1956</v>
      </c>
      <c r="DC184" s="78">
        <v>6</v>
      </c>
      <c r="DD184" s="137">
        <v>0</v>
      </c>
      <c r="DE184" s="137">
        <v>0</v>
      </c>
      <c r="DG184" s="143" t="s">
        <v>757</v>
      </c>
      <c r="DH184" s="143" t="s">
        <v>730</v>
      </c>
      <c r="DI184" s="143" t="s">
        <v>842</v>
      </c>
      <c r="DJ184" s="143">
        <v>1956</v>
      </c>
      <c r="DK184" s="78">
        <v>0</v>
      </c>
      <c r="DL184" s="78">
        <v>0</v>
      </c>
      <c r="DM184" s="78">
        <v>0</v>
      </c>
      <c r="DN184" s="78">
        <v>4</v>
      </c>
      <c r="DO184" s="78">
        <v>2</v>
      </c>
      <c r="DP184" s="78">
        <v>3</v>
      </c>
      <c r="DQ184" s="78">
        <v>4</v>
      </c>
      <c r="DR184" s="78">
        <v>0</v>
      </c>
      <c r="DS184" s="78">
        <v>1</v>
      </c>
      <c r="DT184" s="78">
        <v>0</v>
      </c>
      <c r="DU184" s="78">
        <v>0</v>
      </c>
      <c r="DV184" s="137">
        <v>0.48275859999999998</v>
      </c>
      <c r="DX184" s="143" t="s">
        <v>757</v>
      </c>
      <c r="DY184" s="143" t="s">
        <v>730</v>
      </c>
      <c r="DZ184" s="143" t="s">
        <v>842</v>
      </c>
      <c r="EA184" s="143">
        <v>1956</v>
      </c>
      <c r="EB184" s="78">
        <v>0</v>
      </c>
      <c r="EC184" s="78">
        <v>8</v>
      </c>
      <c r="ED184" s="78">
        <v>1</v>
      </c>
      <c r="EE184" s="78">
        <v>4</v>
      </c>
      <c r="EF184" s="78">
        <v>0</v>
      </c>
      <c r="EG184" s="78">
        <v>1</v>
      </c>
      <c r="EH184" s="78">
        <v>1</v>
      </c>
      <c r="EI184" s="78">
        <v>1</v>
      </c>
      <c r="EJ184" s="78">
        <v>1</v>
      </c>
      <c r="EK184" s="78">
        <v>1</v>
      </c>
      <c r="EL184" s="78">
        <v>0</v>
      </c>
      <c r="EM184" s="78">
        <v>0</v>
      </c>
      <c r="EN184" s="78">
        <v>0</v>
      </c>
      <c r="EO184" s="78">
        <v>1</v>
      </c>
      <c r="EP184" s="78">
        <v>0</v>
      </c>
      <c r="EQ184" s="137">
        <v>0.70370370000000004</v>
      </c>
      <c r="ES184" s="143" t="s">
        <v>757</v>
      </c>
      <c r="ET184" s="143" t="s">
        <v>730</v>
      </c>
      <c r="EU184" s="143" t="s">
        <v>842</v>
      </c>
      <c r="EV184" s="143">
        <v>1956</v>
      </c>
      <c r="EW184" s="78">
        <v>0</v>
      </c>
      <c r="EX184" s="78">
        <v>1</v>
      </c>
      <c r="EY184" s="78">
        <v>0</v>
      </c>
      <c r="EZ184" s="78">
        <v>0</v>
      </c>
      <c r="FA184" s="78">
        <v>0.5</v>
      </c>
      <c r="FB184" s="78">
        <v>3</v>
      </c>
      <c r="FC184" s="78">
        <v>2</v>
      </c>
      <c r="FD184" s="78">
        <v>0</v>
      </c>
      <c r="FE184" s="137">
        <v>0.5</v>
      </c>
      <c r="FG184" s="137">
        <v>0.2784257</v>
      </c>
    </row>
    <row r="185" spans="1:163" x14ac:dyDescent="0.35">
      <c r="A185" s="143" t="s">
        <v>757</v>
      </c>
      <c r="B185" s="143" t="s">
        <v>730</v>
      </c>
      <c r="C185" s="143" t="s">
        <v>842</v>
      </c>
      <c r="D185" s="143">
        <v>2346</v>
      </c>
      <c r="E185" s="78">
        <v>0</v>
      </c>
      <c r="F185" s="78">
        <v>1</v>
      </c>
      <c r="G185" s="78">
        <v>1</v>
      </c>
      <c r="H185" s="78">
        <v>2</v>
      </c>
      <c r="I185" s="78">
        <v>1</v>
      </c>
      <c r="J185" s="78">
        <v>0</v>
      </c>
      <c r="K185" s="78">
        <v>1</v>
      </c>
      <c r="L185" s="78">
        <v>0</v>
      </c>
      <c r="M185" s="78">
        <v>0</v>
      </c>
      <c r="N185" s="137">
        <v>0.42857139999999999</v>
      </c>
      <c r="P185" s="143" t="s">
        <v>757</v>
      </c>
      <c r="Q185" s="143" t="s">
        <v>730</v>
      </c>
      <c r="R185" s="143" t="s">
        <v>842</v>
      </c>
      <c r="S185" s="143">
        <v>2346</v>
      </c>
      <c r="T185" s="78">
        <v>1</v>
      </c>
      <c r="U185" s="78">
        <v>1</v>
      </c>
      <c r="V185" s="78">
        <v>0</v>
      </c>
      <c r="W185" s="78">
        <v>0</v>
      </c>
      <c r="X185" s="78">
        <v>0</v>
      </c>
      <c r="Y185" s="78">
        <v>1</v>
      </c>
      <c r="Z185" s="78">
        <v>0</v>
      </c>
      <c r="AA185" s="78">
        <v>0</v>
      </c>
      <c r="AB185" s="78">
        <v>0</v>
      </c>
      <c r="AC185" s="78">
        <v>0</v>
      </c>
      <c r="AD185" s="137">
        <v>8.8235300000000003E-2</v>
      </c>
      <c r="AF185" s="143" t="s">
        <v>757</v>
      </c>
      <c r="AG185" s="143" t="s">
        <v>730</v>
      </c>
      <c r="AH185" s="143" t="s">
        <v>842</v>
      </c>
      <c r="AI185" s="143">
        <v>2346</v>
      </c>
      <c r="AJ185" s="78">
        <v>0</v>
      </c>
      <c r="AK185" s="78">
        <v>0</v>
      </c>
      <c r="AL185" s="78">
        <v>0</v>
      </c>
      <c r="AM185" s="78">
        <v>0</v>
      </c>
      <c r="AN185" s="78">
        <v>1</v>
      </c>
      <c r="AO185" s="78">
        <v>0</v>
      </c>
      <c r="AP185" s="78">
        <v>0</v>
      </c>
      <c r="AQ185" s="78">
        <v>0</v>
      </c>
      <c r="AR185" s="78">
        <v>2</v>
      </c>
      <c r="AS185" s="78">
        <v>0</v>
      </c>
      <c r="AT185" s="78">
        <v>0</v>
      </c>
      <c r="AU185" s="78">
        <v>0</v>
      </c>
      <c r="AV185" s="78">
        <v>2</v>
      </c>
      <c r="AW185" s="78">
        <v>1</v>
      </c>
      <c r="AX185" s="78">
        <v>0</v>
      </c>
      <c r="AY185" s="78">
        <v>0</v>
      </c>
      <c r="AZ185" s="78">
        <v>2</v>
      </c>
      <c r="BA185" s="78">
        <v>0.5</v>
      </c>
      <c r="BB185" s="78">
        <v>0.5</v>
      </c>
      <c r="BC185" s="78">
        <v>0.5</v>
      </c>
      <c r="BD185" s="78">
        <v>0</v>
      </c>
      <c r="BE185" s="78">
        <v>0.5</v>
      </c>
      <c r="BF185" s="78">
        <v>0</v>
      </c>
      <c r="BG185" s="78">
        <v>2</v>
      </c>
      <c r="BH185" s="137">
        <v>0.27272730000000001</v>
      </c>
      <c r="BJ185" s="143" t="s">
        <v>757</v>
      </c>
      <c r="BK185" s="143" t="s">
        <v>730</v>
      </c>
      <c r="BL185" s="143" t="s">
        <v>842</v>
      </c>
      <c r="BM185" s="143">
        <v>2346</v>
      </c>
      <c r="BN185" s="78">
        <v>1</v>
      </c>
      <c r="BO185" s="78">
        <v>4</v>
      </c>
      <c r="BP185" s="78">
        <v>0</v>
      </c>
      <c r="BQ185" s="78">
        <v>0</v>
      </c>
      <c r="BR185" s="78">
        <v>0</v>
      </c>
      <c r="BS185" s="78">
        <v>0</v>
      </c>
      <c r="BT185" s="78">
        <v>0</v>
      </c>
      <c r="BU185" s="137">
        <v>0.21739130000000001</v>
      </c>
      <c r="BW185" s="143" t="s">
        <v>757</v>
      </c>
      <c r="BX185" s="143" t="s">
        <v>730</v>
      </c>
      <c r="BY185" s="143" t="s">
        <v>842</v>
      </c>
      <c r="BZ185" s="143">
        <v>2346</v>
      </c>
      <c r="CM185" s="143" t="s">
        <v>757</v>
      </c>
      <c r="CN185" s="143" t="s">
        <v>730</v>
      </c>
      <c r="CO185" s="143" t="s">
        <v>842</v>
      </c>
      <c r="CP185" s="143">
        <v>2346</v>
      </c>
      <c r="CQ185" s="78">
        <v>0</v>
      </c>
      <c r="CR185" s="78">
        <v>0</v>
      </c>
      <c r="CS185" s="78">
        <v>4</v>
      </c>
      <c r="CT185" s="78">
        <v>0</v>
      </c>
      <c r="CU185" s="78">
        <v>0</v>
      </c>
      <c r="CV185" s="78">
        <v>4</v>
      </c>
      <c r="CW185" s="137">
        <v>0.15384619999999999</v>
      </c>
      <c r="CY185" s="143" t="s">
        <v>757</v>
      </c>
      <c r="CZ185" s="143" t="s">
        <v>730</v>
      </c>
      <c r="DA185" s="143" t="s">
        <v>842</v>
      </c>
      <c r="DB185" s="143">
        <v>2346</v>
      </c>
      <c r="DC185" s="78">
        <v>14</v>
      </c>
      <c r="DD185" s="137">
        <v>0</v>
      </c>
      <c r="DE185" s="137">
        <v>0</v>
      </c>
      <c r="DG185" s="143" t="s">
        <v>757</v>
      </c>
      <c r="DH185" s="143" t="s">
        <v>730</v>
      </c>
      <c r="DI185" s="143" t="s">
        <v>842</v>
      </c>
      <c r="DJ185" s="143">
        <v>2346</v>
      </c>
      <c r="DK185" s="78">
        <v>2</v>
      </c>
      <c r="DL185" s="78">
        <v>0</v>
      </c>
      <c r="DM185" s="78">
        <v>1</v>
      </c>
      <c r="DN185" s="78">
        <v>5</v>
      </c>
      <c r="DO185" s="78">
        <v>2</v>
      </c>
      <c r="DP185" s="78">
        <v>3</v>
      </c>
      <c r="DQ185" s="78">
        <v>3</v>
      </c>
      <c r="DR185" s="78">
        <v>0</v>
      </c>
      <c r="DS185" s="78">
        <v>1</v>
      </c>
      <c r="DT185" s="78">
        <v>0</v>
      </c>
      <c r="DU185" s="78">
        <v>0</v>
      </c>
      <c r="DV185" s="137">
        <v>0.58620689999999998</v>
      </c>
      <c r="DX185" s="143" t="s">
        <v>757</v>
      </c>
      <c r="DY185" s="143" t="s">
        <v>730</v>
      </c>
      <c r="DZ185" s="143" t="s">
        <v>842</v>
      </c>
      <c r="EA185" s="143">
        <v>2346</v>
      </c>
      <c r="EB185" s="78">
        <v>1</v>
      </c>
      <c r="EC185" s="78">
        <v>8</v>
      </c>
      <c r="ED185" s="78">
        <v>1</v>
      </c>
      <c r="EE185" s="78">
        <v>4</v>
      </c>
      <c r="EF185" s="78">
        <v>0</v>
      </c>
      <c r="EG185" s="78">
        <v>1</v>
      </c>
      <c r="EH185" s="78">
        <v>0</v>
      </c>
      <c r="EI185" s="78">
        <v>1</v>
      </c>
      <c r="EJ185" s="78">
        <v>1</v>
      </c>
      <c r="EK185" s="78">
        <v>1</v>
      </c>
      <c r="EL185" s="78">
        <v>1</v>
      </c>
      <c r="EM185" s="78">
        <v>0</v>
      </c>
      <c r="EN185" s="78">
        <v>1</v>
      </c>
      <c r="EO185" s="78">
        <v>1</v>
      </c>
      <c r="EP185" s="78">
        <v>0</v>
      </c>
      <c r="EQ185" s="137">
        <v>0.77777779999999996</v>
      </c>
      <c r="ES185" s="143" t="s">
        <v>757</v>
      </c>
      <c r="ET185" s="143" t="s">
        <v>730</v>
      </c>
      <c r="EU185" s="143" t="s">
        <v>842</v>
      </c>
      <c r="EV185" s="143">
        <v>2346</v>
      </c>
      <c r="EW185" s="78">
        <v>0.5</v>
      </c>
      <c r="EX185" s="78">
        <v>0</v>
      </c>
      <c r="EY185" s="78">
        <v>0</v>
      </c>
      <c r="EZ185" s="78">
        <v>0</v>
      </c>
      <c r="FA185" s="78">
        <v>0.5</v>
      </c>
      <c r="FB185" s="78">
        <v>3</v>
      </c>
      <c r="FC185" s="78">
        <v>2</v>
      </c>
      <c r="FD185" s="78">
        <v>1</v>
      </c>
      <c r="FE185" s="137">
        <v>0.53846159999999998</v>
      </c>
      <c r="FG185" s="137">
        <v>0.2408537</v>
      </c>
    </row>
    <row r="186" spans="1:163" x14ac:dyDescent="0.35">
      <c r="A186" s="143" t="s">
        <v>758</v>
      </c>
      <c r="B186" s="143" t="s">
        <v>759</v>
      </c>
      <c r="C186" s="143" t="s">
        <v>843</v>
      </c>
      <c r="D186" s="143">
        <v>536</v>
      </c>
      <c r="E186" s="78">
        <v>0</v>
      </c>
      <c r="F186" s="78">
        <v>2.5</v>
      </c>
      <c r="G186" s="78">
        <v>1</v>
      </c>
      <c r="H186" s="78">
        <v>4</v>
      </c>
      <c r="I186" s="78">
        <v>1</v>
      </c>
      <c r="J186" s="78">
        <v>0</v>
      </c>
      <c r="K186" s="78">
        <v>1</v>
      </c>
      <c r="L186" s="78">
        <v>1</v>
      </c>
      <c r="M186" s="78">
        <v>2</v>
      </c>
      <c r="N186" s="137">
        <v>0.89285709999999996</v>
      </c>
      <c r="P186" s="143" t="s">
        <v>758</v>
      </c>
      <c r="Q186" s="143" t="s">
        <v>759</v>
      </c>
      <c r="R186" s="143" t="s">
        <v>843</v>
      </c>
      <c r="S186" s="143">
        <v>536</v>
      </c>
      <c r="T186" s="78">
        <v>1</v>
      </c>
      <c r="U186" s="78">
        <v>1</v>
      </c>
      <c r="V186" s="78">
        <v>0.5</v>
      </c>
      <c r="W186" s="78">
        <v>1</v>
      </c>
      <c r="X186" s="78">
        <v>0</v>
      </c>
      <c r="Y186" s="78">
        <v>1</v>
      </c>
      <c r="Z186" s="78">
        <v>0</v>
      </c>
      <c r="AA186" s="78">
        <v>2</v>
      </c>
      <c r="AB186" s="78">
        <v>0</v>
      </c>
      <c r="AC186" s="78">
        <v>0</v>
      </c>
      <c r="AD186" s="137">
        <v>0.1911765</v>
      </c>
      <c r="AF186" s="143" t="s">
        <v>758</v>
      </c>
      <c r="AG186" s="143" t="s">
        <v>759</v>
      </c>
      <c r="AH186" s="143" t="s">
        <v>843</v>
      </c>
      <c r="AI186" s="143">
        <v>536</v>
      </c>
      <c r="AJ186" s="78">
        <v>1</v>
      </c>
      <c r="AK186" s="78">
        <v>1</v>
      </c>
      <c r="AL186" s="78">
        <v>1</v>
      </c>
      <c r="AM186" s="78">
        <v>6</v>
      </c>
      <c r="AN186" s="78">
        <v>1</v>
      </c>
      <c r="AO186" s="78">
        <v>2</v>
      </c>
      <c r="AP186" s="78">
        <v>2</v>
      </c>
      <c r="AQ186" s="78">
        <v>1</v>
      </c>
      <c r="AR186" s="78">
        <v>2</v>
      </c>
      <c r="AS186" s="78">
        <v>0</v>
      </c>
      <c r="AT186" s="78">
        <v>0</v>
      </c>
      <c r="AU186" s="78">
        <v>1</v>
      </c>
      <c r="AV186" s="78">
        <v>2</v>
      </c>
      <c r="AW186" s="78">
        <v>1</v>
      </c>
      <c r="AX186" s="78">
        <v>0</v>
      </c>
      <c r="AY186" s="78">
        <v>1</v>
      </c>
      <c r="AZ186" s="78">
        <v>2</v>
      </c>
      <c r="BA186" s="78">
        <v>0.5</v>
      </c>
      <c r="BB186" s="78">
        <v>0.5</v>
      </c>
      <c r="BC186" s="78">
        <v>0.5</v>
      </c>
      <c r="BD186" s="78">
        <v>1</v>
      </c>
      <c r="BE186" s="78">
        <v>0.5</v>
      </c>
      <c r="BF186" s="78">
        <v>0</v>
      </c>
      <c r="BG186" s="78">
        <v>8</v>
      </c>
      <c r="BH186" s="137">
        <v>0.79545460000000001</v>
      </c>
      <c r="BJ186" s="143" t="s">
        <v>758</v>
      </c>
      <c r="BK186" s="143" t="s">
        <v>759</v>
      </c>
      <c r="BL186" s="143" t="s">
        <v>843</v>
      </c>
      <c r="BM186" s="143">
        <v>536</v>
      </c>
      <c r="BN186" s="78">
        <v>1</v>
      </c>
      <c r="BO186" s="78">
        <v>4</v>
      </c>
      <c r="BP186" s="78">
        <v>7</v>
      </c>
      <c r="BQ186" s="78">
        <v>3</v>
      </c>
      <c r="BR186" s="78">
        <v>3</v>
      </c>
      <c r="BS186" s="78">
        <v>3</v>
      </c>
      <c r="BT186" s="78">
        <v>2</v>
      </c>
      <c r="BU186" s="137">
        <v>1</v>
      </c>
      <c r="BW186" s="143" t="s">
        <v>758</v>
      </c>
      <c r="BX186" s="143" t="s">
        <v>759</v>
      </c>
      <c r="BY186" s="143" t="s">
        <v>843</v>
      </c>
      <c r="BZ186" s="143">
        <v>536</v>
      </c>
      <c r="CA186" s="78">
        <v>1</v>
      </c>
      <c r="CB186" s="78">
        <v>1</v>
      </c>
      <c r="CC186" s="78">
        <v>0</v>
      </c>
      <c r="CD186" s="78">
        <v>2</v>
      </c>
      <c r="CE186" s="78">
        <v>1</v>
      </c>
      <c r="CF186" s="78">
        <v>2</v>
      </c>
      <c r="CG186" s="78">
        <v>1</v>
      </c>
      <c r="CH186" s="78">
        <v>0</v>
      </c>
      <c r="CI186" s="78">
        <v>0</v>
      </c>
      <c r="CJ186" s="78">
        <v>0</v>
      </c>
      <c r="CK186" s="137">
        <v>0.53333339999999996</v>
      </c>
      <c r="CM186" s="143" t="s">
        <v>758</v>
      </c>
      <c r="CN186" s="143" t="s">
        <v>759</v>
      </c>
      <c r="CO186" s="143" t="s">
        <v>843</v>
      </c>
      <c r="CP186" s="143">
        <v>536</v>
      </c>
      <c r="CQ186" s="78">
        <v>8</v>
      </c>
      <c r="CR186" s="78">
        <v>0</v>
      </c>
      <c r="CS186" s="78">
        <v>4</v>
      </c>
      <c r="CT186" s="78">
        <v>4</v>
      </c>
      <c r="CU186" s="78">
        <v>0</v>
      </c>
      <c r="CV186" s="78">
        <v>8</v>
      </c>
      <c r="CW186" s="137">
        <v>0.46153850000000002</v>
      </c>
      <c r="CY186" s="143" t="s">
        <v>758</v>
      </c>
      <c r="CZ186" s="143" t="s">
        <v>759</v>
      </c>
      <c r="DA186" s="143" t="s">
        <v>843</v>
      </c>
      <c r="DB186" s="143">
        <v>536</v>
      </c>
      <c r="DC186" s="78">
        <v>0</v>
      </c>
      <c r="DD186" s="137">
        <v>0</v>
      </c>
      <c r="DE186" s="137">
        <v>0</v>
      </c>
      <c r="DG186" s="143" t="s">
        <v>758</v>
      </c>
      <c r="DH186" s="143" t="s">
        <v>759</v>
      </c>
      <c r="DI186" s="143" t="s">
        <v>843</v>
      </c>
      <c r="DJ186" s="143">
        <v>536</v>
      </c>
      <c r="DK186" s="78">
        <v>2</v>
      </c>
      <c r="DL186" s="78">
        <v>1</v>
      </c>
      <c r="DM186" s="78">
        <v>1</v>
      </c>
      <c r="DN186" s="78">
        <v>7</v>
      </c>
      <c r="DO186" s="78">
        <v>2</v>
      </c>
      <c r="DP186" s="78">
        <v>3</v>
      </c>
      <c r="DQ186" s="78">
        <v>8</v>
      </c>
      <c r="DR186" s="78">
        <v>1</v>
      </c>
      <c r="DS186" s="78">
        <v>1</v>
      </c>
      <c r="DT186" s="78">
        <v>0</v>
      </c>
      <c r="DU186" s="78">
        <v>1</v>
      </c>
      <c r="DV186" s="137">
        <v>0.93103449999999999</v>
      </c>
      <c r="DX186" s="143" t="s">
        <v>758</v>
      </c>
      <c r="DY186" s="143" t="s">
        <v>759</v>
      </c>
      <c r="DZ186" s="143" t="s">
        <v>843</v>
      </c>
      <c r="EA186" s="143">
        <v>536</v>
      </c>
      <c r="EB186" s="78">
        <v>1</v>
      </c>
      <c r="EC186" s="78">
        <v>8</v>
      </c>
      <c r="ED186" s="78">
        <v>1</v>
      </c>
      <c r="EE186" s="78">
        <v>4</v>
      </c>
      <c r="EF186" s="78">
        <v>3</v>
      </c>
      <c r="EG186" s="78">
        <v>1</v>
      </c>
      <c r="EH186" s="78">
        <v>1</v>
      </c>
      <c r="EI186" s="78">
        <v>1</v>
      </c>
      <c r="EJ186" s="78">
        <v>1</v>
      </c>
      <c r="EK186" s="78">
        <v>1</v>
      </c>
      <c r="EL186" s="78">
        <v>1</v>
      </c>
      <c r="EM186" s="78">
        <v>1</v>
      </c>
      <c r="EN186" s="78">
        <v>1</v>
      </c>
      <c r="EO186" s="78">
        <v>1</v>
      </c>
      <c r="EP186" s="78">
        <v>1</v>
      </c>
      <c r="EQ186" s="137">
        <v>1</v>
      </c>
      <c r="ES186" s="143" t="s">
        <v>758</v>
      </c>
      <c r="ET186" s="143" t="s">
        <v>759</v>
      </c>
      <c r="EU186" s="143" t="s">
        <v>843</v>
      </c>
      <c r="EV186" s="143">
        <v>536</v>
      </c>
      <c r="EW186" s="78">
        <v>0.5</v>
      </c>
      <c r="EX186" s="78">
        <v>1</v>
      </c>
      <c r="EY186" s="78">
        <v>3</v>
      </c>
      <c r="EZ186" s="78">
        <v>2</v>
      </c>
      <c r="FA186" s="78">
        <v>0.5</v>
      </c>
      <c r="FB186" s="78">
        <v>3</v>
      </c>
      <c r="FC186" s="78">
        <v>2</v>
      </c>
      <c r="FD186" s="78">
        <v>1</v>
      </c>
      <c r="FE186" s="137">
        <v>1</v>
      </c>
      <c r="FG186" s="137">
        <v>0.51311949999999995</v>
      </c>
    </row>
    <row r="187" spans="1:163" x14ac:dyDescent="0.35">
      <c r="A187" s="143" t="s">
        <v>758</v>
      </c>
      <c r="B187" s="143" t="s">
        <v>759</v>
      </c>
      <c r="C187" s="143" t="s">
        <v>841</v>
      </c>
      <c r="D187" s="143">
        <v>538</v>
      </c>
      <c r="E187" s="78">
        <v>0</v>
      </c>
      <c r="F187" s="78">
        <v>2.5</v>
      </c>
      <c r="G187" s="78">
        <v>0</v>
      </c>
      <c r="H187" s="78">
        <v>3</v>
      </c>
      <c r="I187" s="78">
        <v>1</v>
      </c>
      <c r="J187" s="78">
        <v>0</v>
      </c>
      <c r="K187" s="78">
        <v>1</v>
      </c>
      <c r="L187" s="78">
        <v>0</v>
      </c>
      <c r="M187" s="78">
        <v>2</v>
      </c>
      <c r="N187" s="137">
        <v>0.67857140000000005</v>
      </c>
      <c r="P187" s="143" t="s">
        <v>758</v>
      </c>
      <c r="Q187" s="143" t="s">
        <v>759</v>
      </c>
      <c r="R187" s="143" t="s">
        <v>841</v>
      </c>
      <c r="S187" s="143">
        <v>538</v>
      </c>
      <c r="T187" s="78">
        <v>1</v>
      </c>
      <c r="U187" s="78">
        <v>1</v>
      </c>
      <c r="V187" s="78">
        <v>2.5</v>
      </c>
      <c r="W187" s="78">
        <v>2</v>
      </c>
      <c r="X187" s="78">
        <v>0</v>
      </c>
      <c r="Y187" s="78">
        <v>1</v>
      </c>
      <c r="Z187" s="78">
        <v>0</v>
      </c>
      <c r="AA187" s="78">
        <v>2</v>
      </c>
      <c r="AB187" s="78">
        <v>6</v>
      </c>
      <c r="AC187" s="78">
        <v>0</v>
      </c>
      <c r="AD187" s="137">
        <v>0.45588230000000002</v>
      </c>
      <c r="AF187" s="143" t="s">
        <v>758</v>
      </c>
      <c r="AG187" s="143" t="s">
        <v>759</v>
      </c>
      <c r="AH187" s="143" t="s">
        <v>841</v>
      </c>
      <c r="AI187" s="143">
        <v>538</v>
      </c>
      <c r="AJ187" s="78">
        <v>1</v>
      </c>
      <c r="AK187" s="78">
        <v>1</v>
      </c>
      <c r="AL187" s="78">
        <v>1</v>
      </c>
      <c r="AM187" s="78">
        <v>6</v>
      </c>
      <c r="AN187" s="78">
        <v>1</v>
      </c>
      <c r="AO187" s="78">
        <v>2</v>
      </c>
      <c r="AP187" s="78">
        <v>2</v>
      </c>
      <c r="AQ187" s="78">
        <v>1</v>
      </c>
      <c r="AR187" s="78">
        <v>2</v>
      </c>
      <c r="AS187" s="78">
        <v>0</v>
      </c>
      <c r="AT187" s="78">
        <v>0</v>
      </c>
      <c r="AU187" s="78">
        <v>0</v>
      </c>
      <c r="AV187" s="78">
        <v>2</v>
      </c>
      <c r="AW187" s="78">
        <v>1</v>
      </c>
      <c r="AX187" s="78">
        <v>0</v>
      </c>
      <c r="AY187" s="78">
        <v>1</v>
      </c>
      <c r="AZ187" s="78">
        <v>2</v>
      </c>
      <c r="BA187" s="78">
        <v>0.5</v>
      </c>
      <c r="BB187" s="78">
        <v>0.5</v>
      </c>
      <c r="BC187" s="78">
        <v>0.5</v>
      </c>
      <c r="BD187" s="78">
        <v>1</v>
      </c>
      <c r="BE187" s="78">
        <v>0.5</v>
      </c>
      <c r="BF187" s="78">
        <v>0</v>
      </c>
      <c r="BG187" s="78">
        <v>8</v>
      </c>
      <c r="BH187" s="137">
        <v>0.77272730000000001</v>
      </c>
      <c r="BJ187" s="143" t="s">
        <v>758</v>
      </c>
      <c r="BK187" s="143" t="s">
        <v>759</v>
      </c>
      <c r="BL187" s="143" t="s">
        <v>841</v>
      </c>
      <c r="BM187" s="143">
        <v>538</v>
      </c>
      <c r="BN187" s="78">
        <v>1</v>
      </c>
      <c r="BO187" s="78">
        <v>4</v>
      </c>
      <c r="BP187" s="78">
        <v>7</v>
      </c>
      <c r="BQ187" s="78">
        <v>3</v>
      </c>
      <c r="BR187" s="78">
        <v>3</v>
      </c>
      <c r="BS187" s="78">
        <v>0</v>
      </c>
      <c r="BT187" s="78">
        <v>0</v>
      </c>
      <c r="BU187" s="137">
        <v>0.78260870000000005</v>
      </c>
      <c r="BW187" s="143" t="s">
        <v>758</v>
      </c>
      <c r="BX187" s="143" t="s">
        <v>759</v>
      </c>
      <c r="BY187" s="143" t="s">
        <v>841</v>
      </c>
      <c r="BZ187" s="143">
        <v>538</v>
      </c>
      <c r="CA187" s="78">
        <v>1</v>
      </c>
      <c r="CB187" s="78">
        <v>0</v>
      </c>
      <c r="CC187" s="78">
        <v>1</v>
      </c>
      <c r="CD187" s="78">
        <v>2</v>
      </c>
      <c r="CE187" s="78">
        <v>1</v>
      </c>
      <c r="CF187" s="78">
        <v>2</v>
      </c>
      <c r="CG187" s="78">
        <v>1</v>
      </c>
      <c r="CH187" s="78">
        <v>2</v>
      </c>
      <c r="CI187" s="78">
        <v>1</v>
      </c>
      <c r="CJ187" s="78">
        <v>3</v>
      </c>
      <c r="CK187" s="137">
        <v>0.93333330000000003</v>
      </c>
      <c r="CM187" s="143" t="s">
        <v>758</v>
      </c>
      <c r="CN187" s="143" t="s">
        <v>759</v>
      </c>
      <c r="CO187" s="143" t="s">
        <v>841</v>
      </c>
      <c r="CP187" s="143">
        <v>538</v>
      </c>
      <c r="CQ187" s="78">
        <v>8</v>
      </c>
      <c r="CR187" s="78">
        <v>0</v>
      </c>
      <c r="CS187" s="78">
        <v>16</v>
      </c>
      <c r="CT187" s="78">
        <v>0</v>
      </c>
      <c r="CU187" s="78">
        <v>2</v>
      </c>
      <c r="CV187" s="78">
        <v>8</v>
      </c>
      <c r="CW187" s="137">
        <v>0.65384609999999999</v>
      </c>
      <c r="CY187" s="143" t="s">
        <v>758</v>
      </c>
      <c r="CZ187" s="143" t="s">
        <v>759</v>
      </c>
      <c r="DA187" s="143" t="s">
        <v>841</v>
      </c>
      <c r="DB187" s="143">
        <v>538</v>
      </c>
      <c r="DC187" s="78">
        <v>62</v>
      </c>
      <c r="DD187" s="137">
        <v>0</v>
      </c>
      <c r="DE187" s="137">
        <v>0</v>
      </c>
      <c r="DG187" s="143" t="s">
        <v>758</v>
      </c>
      <c r="DH187" s="143" t="s">
        <v>759</v>
      </c>
      <c r="DI187" s="143" t="s">
        <v>841</v>
      </c>
      <c r="DJ187" s="143">
        <v>538</v>
      </c>
      <c r="DK187" s="78">
        <v>2</v>
      </c>
      <c r="DL187" s="78">
        <v>1</v>
      </c>
      <c r="DM187" s="78">
        <v>1</v>
      </c>
      <c r="DN187" s="78">
        <v>7</v>
      </c>
      <c r="DO187" s="78">
        <v>2</v>
      </c>
      <c r="DP187" s="78">
        <v>3</v>
      </c>
      <c r="DQ187" s="78">
        <v>8</v>
      </c>
      <c r="DR187" s="78">
        <v>1</v>
      </c>
      <c r="DS187" s="78">
        <v>1</v>
      </c>
      <c r="DT187" s="78">
        <v>2</v>
      </c>
      <c r="DU187" s="78">
        <v>0</v>
      </c>
      <c r="DV187" s="137">
        <v>0.96551719999999996</v>
      </c>
      <c r="DX187" s="143" t="s">
        <v>758</v>
      </c>
      <c r="DY187" s="143" t="s">
        <v>759</v>
      </c>
      <c r="DZ187" s="143" t="s">
        <v>841</v>
      </c>
      <c r="EA187" s="143">
        <v>538</v>
      </c>
      <c r="EB187" s="78">
        <v>1</v>
      </c>
      <c r="EC187" s="78">
        <v>8</v>
      </c>
      <c r="ED187" s="78">
        <v>1</v>
      </c>
      <c r="EE187" s="78">
        <v>4</v>
      </c>
      <c r="EF187" s="78">
        <v>0</v>
      </c>
      <c r="EG187" s="78">
        <v>1</v>
      </c>
      <c r="EH187" s="78">
        <v>0</v>
      </c>
      <c r="EI187" s="78">
        <v>1</v>
      </c>
      <c r="EJ187" s="78">
        <v>1</v>
      </c>
      <c r="EK187" s="78">
        <v>1</v>
      </c>
      <c r="EL187" s="78">
        <v>1</v>
      </c>
      <c r="EM187" s="78">
        <v>1</v>
      </c>
      <c r="EN187" s="78">
        <v>0</v>
      </c>
      <c r="EO187" s="78">
        <v>1</v>
      </c>
      <c r="EP187" s="78">
        <v>0</v>
      </c>
      <c r="EQ187" s="137">
        <v>0.77777779999999996</v>
      </c>
      <c r="ES187" s="143" t="s">
        <v>758</v>
      </c>
      <c r="ET187" s="143" t="s">
        <v>759</v>
      </c>
      <c r="EU187" s="143" t="s">
        <v>841</v>
      </c>
      <c r="EV187" s="143">
        <v>538</v>
      </c>
      <c r="EW187" s="78">
        <v>0.5</v>
      </c>
      <c r="EX187" s="78">
        <v>1</v>
      </c>
      <c r="EY187" s="78">
        <v>0</v>
      </c>
      <c r="EZ187" s="78">
        <v>0</v>
      </c>
      <c r="FA187" s="78">
        <v>0.5</v>
      </c>
      <c r="FB187" s="78">
        <v>3</v>
      </c>
      <c r="FC187" s="78">
        <v>2</v>
      </c>
      <c r="FD187" s="78">
        <v>1</v>
      </c>
      <c r="FE187" s="137">
        <v>0.61538459999999995</v>
      </c>
      <c r="FG187" s="137">
        <v>0.53061219999999998</v>
      </c>
    </row>
    <row r="188" spans="1:163" x14ac:dyDescent="0.35">
      <c r="A188" s="143" t="s">
        <v>758</v>
      </c>
      <c r="B188" s="143" t="s">
        <v>759</v>
      </c>
      <c r="C188" s="143" t="s">
        <v>842</v>
      </c>
      <c r="D188" s="143">
        <v>1115</v>
      </c>
      <c r="E188" s="78">
        <v>0</v>
      </c>
      <c r="F188" s="78">
        <v>2</v>
      </c>
      <c r="G188" s="78">
        <v>1</v>
      </c>
      <c r="H188" s="78">
        <v>0</v>
      </c>
      <c r="I188" s="78">
        <v>1</v>
      </c>
      <c r="J188" s="78">
        <v>0</v>
      </c>
      <c r="K188" s="78">
        <v>1</v>
      </c>
      <c r="L188" s="78">
        <v>0</v>
      </c>
      <c r="M188" s="78">
        <v>0</v>
      </c>
      <c r="N188" s="137">
        <v>0.35714289999999999</v>
      </c>
      <c r="P188" s="143" t="s">
        <v>758</v>
      </c>
      <c r="Q188" s="143" t="s">
        <v>759</v>
      </c>
      <c r="R188" s="143" t="s">
        <v>842</v>
      </c>
      <c r="S188" s="143">
        <v>1115</v>
      </c>
      <c r="T188" s="78">
        <v>0</v>
      </c>
      <c r="U188" s="78">
        <v>1</v>
      </c>
      <c r="V188" s="78">
        <v>0</v>
      </c>
      <c r="W188" s="78">
        <v>0</v>
      </c>
      <c r="X188" s="78">
        <v>0</v>
      </c>
      <c r="Y188" s="78">
        <v>1</v>
      </c>
      <c r="Z188" s="78">
        <v>0</v>
      </c>
      <c r="AA188" s="78">
        <v>2</v>
      </c>
      <c r="AB188" s="78">
        <v>0</v>
      </c>
      <c r="AC188" s="78">
        <v>0</v>
      </c>
      <c r="AD188" s="137">
        <v>0.1176471</v>
      </c>
      <c r="AF188" s="143" t="s">
        <v>758</v>
      </c>
      <c r="AG188" s="143" t="s">
        <v>759</v>
      </c>
      <c r="AH188" s="143" t="s">
        <v>842</v>
      </c>
      <c r="AI188" s="143">
        <v>1115</v>
      </c>
      <c r="AJ188" s="78">
        <v>0</v>
      </c>
      <c r="AK188" s="78">
        <v>1</v>
      </c>
      <c r="AL188" s="78">
        <v>1</v>
      </c>
      <c r="AM188" s="78">
        <v>0</v>
      </c>
      <c r="AN188" s="78">
        <v>1</v>
      </c>
      <c r="AO188" s="78">
        <v>2</v>
      </c>
      <c r="AP188" s="78">
        <v>1</v>
      </c>
      <c r="AQ188" s="78">
        <v>1</v>
      </c>
      <c r="AR188" s="78">
        <v>0</v>
      </c>
      <c r="AS188" s="78">
        <v>0</v>
      </c>
      <c r="AT188" s="78">
        <v>0</v>
      </c>
      <c r="AU188" s="78">
        <v>1</v>
      </c>
      <c r="AV188" s="78">
        <v>2</v>
      </c>
      <c r="AW188" s="78">
        <v>1</v>
      </c>
      <c r="AX188" s="78">
        <v>4</v>
      </c>
      <c r="AY188" s="78">
        <v>1</v>
      </c>
      <c r="AZ188" s="78">
        <v>2</v>
      </c>
      <c r="BA188" s="78">
        <v>0.5</v>
      </c>
      <c r="BB188" s="78">
        <v>0.5</v>
      </c>
      <c r="BC188" s="78">
        <v>0.5</v>
      </c>
      <c r="BD188" s="78">
        <v>1</v>
      </c>
      <c r="BE188" s="78">
        <v>0.5</v>
      </c>
      <c r="BF188" s="78">
        <v>0</v>
      </c>
      <c r="BG188" s="78">
        <v>0</v>
      </c>
      <c r="BH188" s="137">
        <v>0.47727269999999999</v>
      </c>
      <c r="BJ188" s="143" t="s">
        <v>758</v>
      </c>
      <c r="BK188" s="143" t="s">
        <v>759</v>
      </c>
      <c r="BL188" s="143" t="s">
        <v>842</v>
      </c>
      <c r="BM188" s="143">
        <v>1115</v>
      </c>
      <c r="BN188" s="78">
        <v>1</v>
      </c>
      <c r="BO188" s="78">
        <v>4</v>
      </c>
      <c r="BP188" s="78">
        <v>7</v>
      </c>
      <c r="BQ188" s="78">
        <v>0</v>
      </c>
      <c r="BR188" s="78">
        <v>0</v>
      </c>
      <c r="BS188" s="78">
        <v>0</v>
      </c>
      <c r="BT188" s="78">
        <v>0</v>
      </c>
      <c r="BU188" s="137">
        <v>0.52173910000000001</v>
      </c>
      <c r="BW188" s="143" t="s">
        <v>758</v>
      </c>
      <c r="BX188" s="143" t="s">
        <v>759</v>
      </c>
      <c r="BY188" s="143" t="s">
        <v>842</v>
      </c>
      <c r="BZ188" s="143">
        <v>1115</v>
      </c>
      <c r="CM188" s="143" t="s">
        <v>758</v>
      </c>
      <c r="CN188" s="143" t="s">
        <v>759</v>
      </c>
      <c r="CO188" s="143" t="s">
        <v>842</v>
      </c>
      <c r="CP188" s="143">
        <v>1115</v>
      </c>
      <c r="CQ188" s="78">
        <v>0</v>
      </c>
      <c r="CR188" s="78">
        <v>0</v>
      </c>
      <c r="CS188" s="78">
        <v>20</v>
      </c>
      <c r="CT188" s="78">
        <v>0</v>
      </c>
      <c r="CU188" s="78">
        <v>0</v>
      </c>
      <c r="CV188" s="78">
        <v>8</v>
      </c>
      <c r="CW188" s="137">
        <v>0.53846159999999998</v>
      </c>
      <c r="CY188" s="143" t="s">
        <v>758</v>
      </c>
      <c r="CZ188" s="143" t="s">
        <v>759</v>
      </c>
      <c r="DA188" s="143" t="s">
        <v>842</v>
      </c>
      <c r="DB188" s="143">
        <v>1115</v>
      </c>
      <c r="DC188" s="78">
        <v>58</v>
      </c>
      <c r="DD188" s="137">
        <v>0.4</v>
      </c>
      <c r="DE188" s="137">
        <v>0.25217390000000001</v>
      </c>
      <c r="DG188" s="143" t="s">
        <v>758</v>
      </c>
      <c r="DH188" s="143" t="s">
        <v>759</v>
      </c>
      <c r="DI188" s="143" t="s">
        <v>842</v>
      </c>
      <c r="DJ188" s="143">
        <v>1115</v>
      </c>
      <c r="DK188" s="78">
        <v>2</v>
      </c>
      <c r="DL188" s="78">
        <v>1</v>
      </c>
      <c r="DM188" s="78">
        <v>1</v>
      </c>
      <c r="DN188" s="78">
        <v>5</v>
      </c>
      <c r="DO188" s="78">
        <v>2</v>
      </c>
      <c r="DP188" s="78">
        <v>3</v>
      </c>
      <c r="DQ188" s="78">
        <v>8</v>
      </c>
      <c r="DR188" s="78">
        <v>1</v>
      </c>
      <c r="DS188" s="78">
        <v>1</v>
      </c>
      <c r="DT188" s="78">
        <v>0</v>
      </c>
      <c r="DU188" s="78">
        <v>0</v>
      </c>
      <c r="DV188" s="137">
        <v>0.82758620000000005</v>
      </c>
      <c r="DX188" s="143" t="s">
        <v>758</v>
      </c>
      <c r="DY188" s="143" t="s">
        <v>759</v>
      </c>
      <c r="DZ188" s="143" t="s">
        <v>842</v>
      </c>
      <c r="EA188" s="143">
        <v>1115</v>
      </c>
      <c r="EB188" s="78">
        <v>0</v>
      </c>
      <c r="EC188" s="78">
        <v>8</v>
      </c>
      <c r="ED188" s="78">
        <v>1</v>
      </c>
      <c r="EE188" s="78">
        <v>0</v>
      </c>
      <c r="EF188" s="78">
        <v>0</v>
      </c>
      <c r="EG188" s="78">
        <v>1</v>
      </c>
      <c r="EH188" s="78">
        <v>1</v>
      </c>
      <c r="EI188" s="78">
        <v>1</v>
      </c>
      <c r="EJ188" s="78">
        <v>1</v>
      </c>
      <c r="EK188" s="78">
        <v>1</v>
      </c>
      <c r="EL188" s="78">
        <v>1</v>
      </c>
      <c r="EM188" s="78">
        <v>0</v>
      </c>
      <c r="EN188" s="78">
        <v>0</v>
      </c>
      <c r="EO188" s="78">
        <v>1</v>
      </c>
      <c r="EP188" s="78">
        <v>0</v>
      </c>
      <c r="EQ188" s="137">
        <v>0.59259260000000002</v>
      </c>
      <c r="ES188" s="143" t="s">
        <v>758</v>
      </c>
      <c r="ET188" s="143" t="s">
        <v>759</v>
      </c>
      <c r="EU188" s="143" t="s">
        <v>842</v>
      </c>
      <c r="EV188" s="143">
        <v>1115</v>
      </c>
      <c r="EW188" s="78">
        <v>0</v>
      </c>
      <c r="EX188" s="78">
        <v>1</v>
      </c>
      <c r="EY188" s="78">
        <v>0</v>
      </c>
      <c r="EZ188" s="78">
        <v>0</v>
      </c>
      <c r="FA188" s="78">
        <v>0.5</v>
      </c>
      <c r="FB188" s="78">
        <v>3</v>
      </c>
      <c r="FC188" s="78">
        <v>2</v>
      </c>
      <c r="FD188" s="78">
        <v>1</v>
      </c>
      <c r="FE188" s="137">
        <v>0.57692310000000002</v>
      </c>
      <c r="FG188" s="137">
        <v>0.42896339999999999</v>
      </c>
    </row>
    <row r="189" spans="1:163" x14ac:dyDescent="0.35">
      <c r="A189" s="143" t="s">
        <v>758</v>
      </c>
      <c r="B189" s="143" t="s">
        <v>759</v>
      </c>
      <c r="C189" s="143" t="s">
        <v>842</v>
      </c>
      <c r="D189" s="143">
        <v>1885</v>
      </c>
      <c r="E189" s="78">
        <v>0</v>
      </c>
      <c r="F189" s="78">
        <v>2.5</v>
      </c>
      <c r="G189" s="78">
        <v>1</v>
      </c>
      <c r="H189" s="78">
        <v>4</v>
      </c>
      <c r="I189" s="78">
        <v>1</v>
      </c>
      <c r="J189" s="78">
        <v>0</v>
      </c>
      <c r="K189" s="78">
        <v>1</v>
      </c>
      <c r="L189" s="78">
        <v>1</v>
      </c>
      <c r="M189" s="78">
        <v>2</v>
      </c>
      <c r="N189" s="137">
        <v>0.89285709999999996</v>
      </c>
      <c r="P189" s="143" t="s">
        <v>758</v>
      </c>
      <c r="Q189" s="143" t="s">
        <v>759</v>
      </c>
      <c r="R189" s="143" t="s">
        <v>842</v>
      </c>
      <c r="S189" s="143">
        <v>1885</v>
      </c>
      <c r="T189" s="78">
        <v>1</v>
      </c>
      <c r="U189" s="78">
        <v>1</v>
      </c>
      <c r="V189" s="78">
        <v>2</v>
      </c>
      <c r="W189" s="78">
        <v>2</v>
      </c>
      <c r="X189" s="78">
        <v>0</v>
      </c>
      <c r="Y189" s="78">
        <v>1</v>
      </c>
      <c r="Z189" s="78">
        <v>0</v>
      </c>
      <c r="AA189" s="78">
        <v>2</v>
      </c>
      <c r="AB189" s="78">
        <v>6</v>
      </c>
      <c r="AC189" s="78">
        <v>0</v>
      </c>
      <c r="AD189" s="137">
        <v>0.44117650000000003</v>
      </c>
      <c r="AF189" s="143" t="s">
        <v>758</v>
      </c>
      <c r="AG189" s="143" t="s">
        <v>759</v>
      </c>
      <c r="AH189" s="143" t="s">
        <v>842</v>
      </c>
      <c r="AI189" s="143">
        <v>1885</v>
      </c>
      <c r="AJ189" s="78">
        <v>1</v>
      </c>
      <c r="AK189" s="78">
        <v>1</v>
      </c>
      <c r="AL189" s="78">
        <v>1</v>
      </c>
      <c r="AM189" s="78">
        <v>5</v>
      </c>
      <c r="AN189" s="78">
        <v>1</v>
      </c>
      <c r="AO189" s="78">
        <v>2</v>
      </c>
      <c r="AP189" s="78">
        <v>2</v>
      </c>
      <c r="AQ189" s="78">
        <v>1</v>
      </c>
      <c r="AR189" s="78">
        <v>0</v>
      </c>
      <c r="AS189" s="78">
        <v>0</v>
      </c>
      <c r="AT189" s="78">
        <v>0</v>
      </c>
      <c r="AU189" s="78">
        <v>0</v>
      </c>
      <c r="AV189" s="78">
        <v>2</v>
      </c>
      <c r="AW189" s="78">
        <v>1</v>
      </c>
      <c r="AX189" s="78">
        <v>0</v>
      </c>
      <c r="AY189" s="78">
        <v>1</v>
      </c>
      <c r="AZ189" s="78">
        <v>2</v>
      </c>
      <c r="BA189" s="78">
        <v>0.5</v>
      </c>
      <c r="BB189" s="78">
        <v>0.5</v>
      </c>
      <c r="BC189" s="78">
        <v>0.5</v>
      </c>
      <c r="BD189" s="78">
        <v>1</v>
      </c>
      <c r="BE189" s="78">
        <v>0.5</v>
      </c>
      <c r="BF189" s="78">
        <v>0</v>
      </c>
      <c r="BG189" s="78">
        <v>8</v>
      </c>
      <c r="BH189" s="137">
        <v>0.70454539999999999</v>
      </c>
      <c r="BJ189" s="143" t="s">
        <v>758</v>
      </c>
      <c r="BK189" s="143" t="s">
        <v>759</v>
      </c>
      <c r="BL189" s="143" t="s">
        <v>842</v>
      </c>
      <c r="BM189" s="143">
        <v>1885</v>
      </c>
      <c r="BN189" s="78">
        <v>1</v>
      </c>
      <c r="BO189" s="78">
        <v>4</v>
      </c>
      <c r="BP189" s="78">
        <v>7</v>
      </c>
      <c r="BQ189" s="78">
        <v>3</v>
      </c>
      <c r="BR189" s="78">
        <v>3</v>
      </c>
      <c r="BS189" s="78">
        <v>3</v>
      </c>
      <c r="BT189" s="78">
        <v>2</v>
      </c>
      <c r="BU189" s="137">
        <v>1</v>
      </c>
      <c r="BW189" s="143" t="s">
        <v>758</v>
      </c>
      <c r="BX189" s="143" t="s">
        <v>759</v>
      </c>
      <c r="BY189" s="143" t="s">
        <v>842</v>
      </c>
      <c r="BZ189" s="143">
        <v>1885</v>
      </c>
      <c r="CM189" s="143" t="s">
        <v>758</v>
      </c>
      <c r="CN189" s="143" t="s">
        <v>759</v>
      </c>
      <c r="CO189" s="143" t="s">
        <v>842</v>
      </c>
      <c r="CP189" s="143">
        <v>1885</v>
      </c>
      <c r="CQ189" s="78">
        <v>8</v>
      </c>
      <c r="CR189" s="78">
        <v>0</v>
      </c>
      <c r="CS189" s="78">
        <v>0</v>
      </c>
      <c r="CT189" s="78">
        <v>0</v>
      </c>
      <c r="CU189" s="78">
        <v>0</v>
      </c>
      <c r="CV189" s="78">
        <v>8</v>
      </c>
      <c r="CW189" s="137">
        <v>0.30769229999999997</v>
      </c>
      <c r="CY189" s="143" t="s">
        <v>758</v>
      </c>
      <c r="CZ189" s="143" t="s">
        <v>759</v>
      </c>
      <c r="DA189" s="143" t="s">
        <v>842</v>
      </c>
      <c r="DB189" s="143">
        <v>1885</v>
      </c>
      <c r="DC189" s="78">
        <v>0</v>
      </c>
      <c r="DD189" s="137">
        <v>0</v>
      </c>
      <c r="DE189" s="137">
        <v>0</v>
      </c>
      <c r="DG189" s="143" t="s">
        <v>758</v>
      </c>
      <c r="DH189" s="143" t="s">
        <v>759</v>
      </c>
      <c r="DI189" s="143" t="s">
        <v>842</v>
      </c>
      <c r="DJ189" s="143">
        <v>1885</v>
      </c>
      <c r="DK189" s="78">
        <v>2</v>
      </c>
      <c r="DL189" s="78">
        <v>0</v>
      </c>
      <c r="DM189" s="78">
        <v>1</v>
      </c>
      <c r="DN189" s="78">
        <v>5</v>
      </c>
      <c r="DO189" s="78">
        <v>2</v>
      </c>
      <c r="DP189" s="78">
        <v>3</v>
      </c>
      <c r="DQ189" s="78">
        <v>8</v>
      </c>
      <c r="DR189" s="78">
        <v>1</v>
      </c>
      <c r="DS189" s="78">
        <v>1</v>
      </c>
      <c r="DT189" s="78">
        <v>0</v>
      </c>
      <c r="DU189" s="78">
        <v>1</v>
      </c>
      <c r="DV189" s="137">
        <v>0.82758620000000005</v>
      </c>
      <c r="DX189" s="143" t="s">
        <v>758</v>
      </c>
      <c r="DY189" s="143" t="s">
        <v>759</v>
      </c>
      <c r="DZ189" s="143" t="s">
        <v>842</v>
      </c>
      <c r="EA189" s="143">
        <v>1885</v>
      </c>
      <c r="EB189" s="78">
        <v>1</v>
      </c>
      <c r="EC189" s="78">
        <v>8</v>
      </c>
      <c r="ED189" s="78">
        <v>1</v>
      </c>
      <c r="EE189" s="78">
        <v>4</v>
      </c>
      <c r="EF189" s="78">
        <v>0</v>
      </c>
      <c r="EG189" s="78">
        <v>1</v>
      </c>
      <c r="EH189" s="78">
        <v>0</v>
      </c>
      <c r="EI189" s="78">
        <v>1</v>
      </c>
      <c r="EJ189" s="78">
        <v>1</v>
      </c>
      <c r="EK189" s="78">
        <v>1</v>
      </c>
      <c r="EL189" s="78">
        <v>1</v>
      </c>
      <c r="EM189" s="78">
        <v>1</v>
      </c>
      <c r="EN189" s="78">
        <v>1</v>
      </c>
      <c r="EO189" s="78">
        <v>1</v>
      </c>
      <c r="EP189" s="78">
        <v>0</v>
      </c>
      <c r="EQ189" s="137">
        <v>0.81481479999999995</v>
      </c>
      <c r="ES189" s="143" t="s">
        <v>758</v>
      </c>
      <c r="ET189" s="143" t="s">
        <v>759</v>
      </c>
      <c r="EU189" s="143" t="s">
        <v>842</v>
      </c>
      <c r="EV189" s="143">
        <v>1885</v>
      </c>
      <c r="EW189" s="78">
        <v>0</v>
      </c>
      <c r="EX189" s="78">
        <v>1</v>
      </c>
      <c r="EY189" s="78">
        <v>0</v>
      </c>
      <c r="EZ189" s="78">
        <v>0</v>
      </c>
      <c r="FA189" s="78">
        <v>0.5</v>
      </c>
      <c r="FB189" s="78">
        <v>3</v>
      </c>
      <c r="FC189" s="78">
        <v>2</v>
      </c>
      <c r="FD189" s="78">
        <v>1</v>
      </c>
      <c r="FE189" s="137">
        <v>0.57692310000000002</v>
      </c>
      <c r="FG189" s="137">
        <v>0.46036589999999999</v>
      </c>
    </row>
    <row r="190" spans="1:163" x14ac:dyDescent="0.35">
      <c r="A190" s="143" t="s">
        <v>758</v>
      </c>
      <c r="B190" s="143" t="s">
        <v>759</v>
      </c>
      <c r="C190" s="143" t="s">
        <v>842</v>
      </c>
      <c r="D190" s="143">
        <v>2055</v>
      </c>
      <c r="E190" s="78">
        <v>0</v>
      </c>
      <c r="F190" s="78">
        <v>2</v>
      </c>
      <c r="G190" s="78">
        <v>0</v>
      </c>
      <c r="H190" s="78">
        <v>4</v>
      </c>
      <c r="I190" s="78">
        <v>1</v>
      </c>
      <c r="J190" s="78">
        <v>0</v>
      </c>
      <c r="K190" s="78">
        <v>0</v>
      </c>
      <c r="L190" s="78">
        <v>1</v>
      </c>
      <c r="M190" s="78">
        <v>2</v>
      </c>
      <c r="N190" s="137">
        <v>0.71428570000000002</v>
      </c>
      <c r="P190" s="143" t="s">
        <v>758</v>
      </c>
      <c r="Q190" s="143" t="s">
        <v>759</v>
      </c>
      <c r="R190" s="143" t="s">
        <v>842</v>
      </c>
      <c r="S190" s="143">
        <v>2055</v>
      </c>
      <c r="T190" s="78">
        <v>1</v>
      </c>
      <c r="U190" s="78">
        <v>1</v>
      </c>
      <c r="V190" s="78">
        <v>0</v>
      </c>
      <c r="W190" s="78">
        <v>2</v>
      </c>
      <c r="X190" s="78">
        <v>0</v>
      </c>
      <c r="Y190" s="78">
        <v>1</v>
      </c>
      <c r="Z190" s="78">
        <v>0</v>
      </c>
      <c r="AA190" s="78">
        <v>2</v>
      </c>
      <c r="AB190" s="78">
        <v>6</v>
      </c>
      <c r="AC190" s="78">
        <v>0</v>
      </c>
      <c r="AD190" s="137">
        <v>0.3823529</v>
      </c>
      <c r="AF190" s="143" t="s">
        <v>758</v>
      </c>
      <c r="AG190" s="143" t="s">
        <v>759</v>
      </c>
      <c r="AH190" s="143" t="s">
        <v>842</v>
      </c>
      <c r="AI190" s="143">
        <v>2055</v>
      </c>
      <c r="AJ190" s="78">
        <v>1</v>
      </c>
      <c r="AK190" s="78">
        <v>0</v>
      </c>
      <c r="AL190" s="78">
        <v>1</v>
      </c>
      <c r="AM190" s="78">
        <v>5</v>
      </c>
      <c r="AN190" s="78">
        <v>1</v>
      </c>
      <c r="AO190" s="78">
        <v>2</v>
      </c>
      <c r="AP190" s="78">
        <v>2</v>
      </c>
      <c r="AQ190" s="78">
        <v>1</v>
      </c>
      <c r="AR190" s="78">
        <v>0</v>
      </c>
      <c r="AS190" s="78">
        <v>0</v>
      </c>
      <c r="AT190" s="78">
        <v>0</v>
      </c>
      <c r="AU190" s="78">
        <v>0</v>
      </c>
      <c r="AV190" s="78">
        <v>2</v>
      </c>
      <c r="AW190" s="78">
        <v>1</v>
      </c>
      <c r="AX190" s="78">
        <v>0</v>
      </c>
      <c r="AY190" s="78">
        <v>1</v>
      </c>
      <c r="AZ190" s="78">
        <v>0</v>
      </c>
      <c r="BA190" s="78">
        <v>0.5</v>
      </c>
      <c r="BB190" s="78">
        <v>0.5</v>
      </c>
      <c r="BC190" s="78">
        <v>0.5</v>
      </c>
      <c r="BD190" s="78">
        <v>1</v>
      </c>
      <c r="BE190" s="78">
        <v>0.5</v>
      </c>
      <c r="BF190" s="78">
        <v>0</v>
      </c>
      <c r="BG190" s="78">
        <v>8</v>
      </c>
      <c r="BH190" s="137">
        <v>0.63636360000000003</v>
      </c>
      <c r="BJ190" s="143" t="s">
        <v>758</v>
      </c>
      <c r="BK190" s="143" t="s">
        <v>759</v>
      </c>
      <c r="BL190" s="143" t="s">
        <v>842</v>
      </c>
      <c r="BM190" s="143">
        <v>2055</v>
      </c>
      <c r="BN190" s="78">
        <v>1</v>
      </c>
      <c r="BO190" s="78">
        <v>4</v>
      </c>
      <c r="BP190" s="78">
        <v>7</v>
      </c>
      <c r="BQ190" s="78">
        <v>3</v>
      </c>
      <c r="BR190" s="78">
        <v>3</v>
      </c>
      <c r="BS190" s="78">
        <v>3</v>
      </c>
      <c r="BT190" s="78">
        <v>0</v>
      </c>
      <c r="BU190" s="137">
        <v>0.91304350000000001</v>
      </c>
      <c r="BW190" s="143" t="s">
        <v>758</v>
      </c>
      <c r="BX190" s="143" t="s">
        <v>759</v>
      </c>
      <c r="BY190" s="143" t="s">
        <v>842</v>
      </c>
      <c r="BZ190" s="143">
        <v>2055</v>
      </c>
      <c r="CM190" s="143" t="s">
        <v>758</v>
      </c>
      <c r="CN190" s="143" t="s">
        <v>759</v>
      </c>
      <c r="CO190" s="143" t="s">
        <v>842</v>
      </c>
      <c r="CP190" s="143">
        <v>2055</v>
      </c>
      <c r="CQ190" s="78">
        <v>6</v>
      </c>
      <c r="CR190" s="78">
        <v>0</v>
      </c>
      <c r="CS190" s="78">
        <v>0</v>
      </c>
      <c r="CT190" s="78">
        <v>0</v>
      </c>
      <c r="CU190" s="78">
        <v>0</v>
      </c>
      <c r="CV190" s="78">
        <v>8</v>
      </c>
      <c r="CW190" s="137">
        <v>0.26923079999999999</v>
      </c>
      <c r="CY190" s="143" t="s">
        <v>758</v>
      </c>
      <c r="CZ190" s="143" t="s">
        <v>759</v>
      </c>
      <c r="DA190" s="143" t="s">
        <v>842</v>
      </c>
      <c r="DB190" s="143">
        <v>2055</v>
      </c>
      <c r="DC190" s="78">
        <v>0</v>
      </c>
      <c r="DD190" s="137">
        <v>0</v>
      </c>
      <c r="DE190" s="137">
        <v>0</v>
      </c>
      <c r="DG190" s="143" t="s">
        <v>758</v>
      </c>
      <c r="DH190" s="143" t="s">
        <v>759</v>
      </c>
      <c r="DI190" s="143" t="s">
        <v>842</v>
      </c>
      <c r="DJ190" s="143">
        <v>2055</v>
      </c>
      <c r="DK190" s="78">
        <v>2</v>
      </c>
      <c r="DL190" s="78">
        <v>1</v>
      </c>
      <c r="DM190" s="78">
        <v>0</v>
      </c>
      <c r="DN190" s="78">
        <v>7</v>
      </c>
      <c r="DO190" s="78">
        <v>2</v>
      </c>
      <c r="DP190" s="78">
        <v>3</v>
      </c>
      <c r="DQ190" s="78">
        <v>8</v>
      </c>
      <c r="DR190" s="78">
        <v>1</v>
      </c>
      <c r="DS190" s="78">
        <v>1</v>
      </c>
      <c r="DT190" s="78">
        <v>0</v>
      </c>
      <c r="DU190" s="78">
        <v>1</v>
      </c>
      <c r="DV190" s="137">
        <v>0.89655169999999995</v>
      </c>
      <c r="DX190" s="143" t="s">
        <v>758</v>
      </c>
      <c r="DY190" s="143" t="s">
        <v>759</v>
      </c>
      <c r="DZ190" s="143" t="s">
        <v>842</v>
      </c>
      <c r="EA190" s="143">
        <v>2055</v>
      </c>
      <c r="EB190" s="78">
        <v>1</v>
      </c>
      <c r="EC190" s="78">
        <v>8</v>
      </c>
      <c r="ED190" s="78">
        <v>1</v>
      </c>
      <c r="EE190" s="78">
        <v>4</v>
      </c>
      <c r="EF190" s="78">
        <v>0</v>
      </c>
      <c r="EG190" s="78">
        <v>1</v>
      </c>
      <c r="EH190" s="78">
        <v>0</v>
      </c>
      <c r="EI190" s="78">
        <v>1</v>
      </c>
      <c r="EJ190" s="78">
        <v>1</v>
      </c>
      <c r="EK190" s="78">
        <v>1</v>
      </c>
      <c r="EL190" s="78">
        <v>1</v>
      </c>
      <c r="EM190" s="78">
        <v>1</v>
      </c>
      <c r="EN190" s="78">
        <v>1</v>
      </c>
      <c r="EO190" s="78">
        <v>1</v>
      </c>
      <c r="EP190" s="78">
        <v>0</v>
      </c>
      <c r="EQ190" s="137">
        <v>0.81481479999999995</v>
      </c>
      <c r="ES190" s="143" t="s">
        <v>758</v>
      </c>
      <c r="ET190" s="143" t="s">
        <v>759</v>
      </c>
      <c r="EU190" s="143" t="s">
        <v>842</v>
      </c>
      <c r="EV190" s="143">
        <v>2055</v>
      </c>
      <c r="EW190" s="78">
        <v>0</v>
      </c>
      <c r="EX190" s="78">
        <v>1</v>
      </c>
      <c r="EY190" s="78">
        <v>0</v>
      </c>
      <c r="EZ190" s="78">
        <v>0</v>
      </c>
      <c r="FA190" s="78">
        <v>0.5</v>
      </c>
      <c r="FB190" s="78">
        <v>3</v>
      </c>
      <c r="FC190" s="78">
        <v>2</v>
      </c>
      <c r="FD190" s="78">
        <v>1</v>
      </c>
      <c r="FE190" s="137">
        <v>0.57692310000000002</v>
      </c>
      <c r="FG190" s="137">
        <v>0.43140240000000002</v>
      </c>
    </row>
    <row r="191" spans="1:163" x14ac:dyDescent="0.35">
      <c r="A191" s="143" t="s">
        <v>758</v>
      </c>
      <c r="B191" s="143" t="s">
        <v>759</v>
      </c>
      <c r="C191" s="143" t="s">
        <v>842</v>
      </c>
      <c r="D191" s="143">
        <v>2057</v>
      </c>
      <c r="E191" s="78">
        <v>0</v>
      </c>
      <c r="F191" s="78">
        <v>2.5</v>
      </c>
      <c r="G191" s="78">
        <v>1</v>
      </c>
      <c r="H191" s="78">
        <v>0</v>
      </c>
      <c r="I191" s="78">
        <v>1</v>
      </c>
      <c r="J191" s="78">
        <v>0</v>
      </c>
      <c r="K191" s="78">
        <v>1</v>
      </c>
      <c r="L191" s="78">
        <v>1</v>
      </c>
      <c r="M191" s="78">
        <v>2</v>
      </c>
      <c r="N191" s="137">
        <v>0.60714290000000004</v>
      </c>
      <c r="P191" s="143" t="s">
        <v>758</v>
      </c>
      <c r="Q191" s="143" t="s">
        <v>759</v>
      </c>
      <c r="R191" s="143" t="s">
        <v>842</v>
      </c>
      <c r="S191" s="143">
        <v>2057</v>
      </c>
      <c r="T191" s="78">
        <v>1</v>
      </c>
      <c r="U191" s="78">
        <v>1</v>
      </c>
      <c r="V191" s="78">
        <v>0.5</v>
      </c>
      <c r="W191" s="78">
        <v>2</v>
      </c>
      <c r="X191" s="78">
        <v>0</v>
      </c>
      <c r="Y191" s="78">
        <v>1</v>
      </c>
      <c r="Z191" s="78">
        <v>0</v>
      </c>
      <c r="AA191" s="78">
        <v>0</v>
      </c>
      <c r="AB191" s="78">
        <v>6</v>
      </c>
      <c r="AC191" s="78">
        <v>3</v>
      </c>
      <c r="AD191" s="137">
        <v>0.42647059999999998</v>
      </c>
      <c r="AF191" s="143" t="s">
        <v>758</v>
      </c>
      <c r="AG191" s="143" t="s">
        <v>759</v>
      </c>
      <c r="AH191" s="143" t="s">
        <v>842</v>
      </c>
      <c r="AI191" s="143">
        <v>2057</v>
      </c>
      <c r="AJ191" s="78">
        <v>1</v>
      </c>
      <c r="AK191" s="78">
        <v>1</v>
      </c>
      <c r="AL191" s="78">
        <v>0</v>
      </c>
      <c r="AM191" s="78">
        <v>0</v>
      </c>
      <c r="AN191" s="78">
        <v>1</v>
      </c>
      <c r="AO191" s="78">
        <v>2</v>
      </c>
      <c r="AP191" s="78">
        <v>2</v>
      </c>
      <c r="AQ191" s="78">
        <v>1</v>
      </c>
      <c r="AR191" s="78">
        <v>0</v>
      </c>
      <c r="AS191" s="78">
        <v>0</v>
      </c>
      <c r="AT191" s="78">
        <v>0</v>
      </c>
      <c r="AU191" s="78">
        <v>0</v>
      </c>
      <c r="AV191" s="78">
        <v>2</v>
      </c>
      <c r="AW191" s="78">
        <v>1</v>
      </c>
      <c r="AX191" s="78">
        <v>0</v>
      </c>
      <c r="AY191" s="78">
        <v>1</v>
      </c>
      <c r="AZ191" s="78">
        <v>2</v>
      </c>
      <c r="BA191" s="78">
        <v>0.5</v>
      </c>
      <c r="BB191" s="78">
        <v>0.5</v>
      </c>
      <c r="BC191" s="78">
        <v>0.5</v>
      </c>
      <c r="BD191" s="78">
        <v>1</v>
      </c>
      <c r="BE191" s="78">
        <v>0</v>
      </c>
      <c r="BF191" s="78">
        <v>0</v>
      </c>
      <c r="BG191" s="78">
        <v>8</v>
      </c>
      <c r="BH191" s="137">
        <v>0.55681820000000004</v>
      </c>
      <c r="BJ191" s="143" t="s">
        <v>758</v>
      </c>
      <c r="BK191" s="143" t="s">
        <v>759</v>
      </c>
      <c r="BL191" s="143" t="s">
        <v>842</v>
      </c>
      <c r="BM191" s="143">
        <v>2057</v>
      </c>
      <c r="BN191" s="78">
        <v>1</v>
      </c>
      <c r="BO191" s="78">
        <v>4</v>
      </c>
      <c r="BP191" s="78">
        <v>0</v>
      </c>
      <c r="BQ191" s="78">
        <v>3</v>
      </c>
      <c r="BR191" s="78">
        <v>3</v>
      </c>
      <c r="BS191" s="78">
        <v>0</v>
      </c>
      <c r="BT191" s="78">
        <v>2</v>
      </c>
      <c r="BU191" s="137">
        <v>0.56521739999999998</v>
      </c>
      <c r="BW191" s="143" t="s">
        <v>758</v>
      </c>
      <c r="BX191" s="143" t="s">
        <v>759</v>
      </c>
      <c r="BY191" s="143" t="s">
        <v>842</v>
      </c>
      <c r="BZ191" s="143">
        <v>2057</v>
      </c>
      <c r="CM191" s="143" t="s">
        <v>758</v>
      </c>
      <c r="CN191" s="143" t="s">
        <v>759</v>
      </c>
      <c r="CO191" s="143" t="s">
        <v>842</v>
      </c>
      <c r="CP191" s="143">
        <v>2057</v>
      </c>
      <c r="CQ191" s="78">
        <v>8</v>
      </c>
      <c r="CR191" s="78">
        <v>0</v>
      </c>
      <c r="CS191" s="78">
        <v>16</v>
      </c>
      <c r="CT191" s="78">
        <v>4</v>
      </c>
      <c r="CU191" s="78">
        <v>2</v>
      </c>
      <c r="CV191" s="78">
        <v>8</v>
      </c>
      <c r="CW191" s="137">
        <v>0.73076920000000001</v>
      </c>
      <c r="CY191" s="143" t="s">
        <v>758</v>
      </c>
      <c r="CZ191" s="143" t="s">
        <v>759</v>
      </c>
      <c r="DA191" s="143" t="s">
        <v>842</v>
      </c>
      <c r="DB191" s="143">
        <v>2057</v>
      </c>
      <c r="DC191" s="78">
        <v>52</v>
      </c>
      <c r="DD191" s="137">
        <v>0.2</v>
      </c>
      <c r="DE191" s="137">
        <v>0.11304350000000001</v>
      </c>
      <c r="DG191" s="143" t="s">
        <v>758</v>
      </c>
      <c r="DH191" s="143" t="s">
        <v>759</v>
      </c>
      <c r="DI191" s="143" t="s">
        <v>842</v>
      </c>
      <c r="DJ191" s="143">
        <v>2057</v>
      </c>
      <c r="DK191" s="78">
        <v>2</v>
      </c>
      <c r="DL191" s="78">
        <v>1</v>
      </c>
      <c r="DM191" s="78">
        <v>1</v>
      </c>
      <c r="DN191" s="78">
        <v>3</v>
      </c>
      <c r="DO191" s="78">
        <v>2</v>
      </c>
      <c r="DP191" s="78">
        <v>3</v>
      </c>
      <c r="DQ191" s="78">
        <v>8</v>
      </c>
      <c r="DR191" s="78">
        <v>1</v>
      </c>
      <c r="DS191" s="78">
        <v>1</v>
      </c>
      <c r="DT191" s="78">
        <v>0</v>
      </c>
      <c r="DU191" s="78">
        <v>1</v>
      </c>
      <c r="DV191" s="137">
        <v>0.79310349999999996</v>
      </c>
      <c r="DX191" s="143" t="s">
        <v>758</v>
      </c>
      <c r="DY191" s="143" t="s">
        <v>759</v>
      </c>
      <c r="DZ191" s="143" t="s">
        <v>842</v>
      </c>
      <c r="EA191" s="143">
        <v>2057</v>
      </c>
      <c r="EB191" s="78">
        <v>1</v>
      </c>
      <c r="EC191" s="78">
        <v>8</v>
      </c>
      <c r="ED191" s="78">
        <v>1</v>
      </c>
      <c r="EE191" s="78">
        <v>4</v>
      </c>
      <c r="EF191" s="78">
        <v>3</v>
      </c>
      <c r="EG191" s="78">
        <v>1</v>
      </c>
      <c r="EH191" s="78">
        <v>1</v>
      </c>
      <c r="EI191" s="78">
        <v>1</v>
      </c>
      <c r="EJ191" s="78">
        <v>1</v>
      </c>
      <c r="EK191" s="78">
        <v>1</v>
      </c>
      <c r="EL191" s="78">
        <v>1</v>
      </c>
      <c r="EM191" s="78">
        <v>1</v>
      </c>
      <c r="EN191" s="78">
        <v>0</v>
      </c>
      <c r="EO191" s="78">
        <v>1</v>
      </c>
      <c r="EP191" s="78">
        <v>0</v>
      </c>
      <c r="EQ191" s="137">
        <v>0.92592589999999997</v>
      </c>
      <c r="ES191" s="143" t="s">
        <v>758</v>
      </c>
      <c r="ET191" s="143" t="s">
        <v>759</v>
      </c>
      <c r="EU191" s="143" t="s">
        <v>842</v>
      </c>
      <c r="EV191" s="143">
        <v>2057</v>
      </c>
      <c r="EW191" s="78">
        <v>0</v>
      </c>
      <c r="EX191" s="78">
        <v>1</v>
      </c>
      <c r="EY191" s="78">
        <v>3</v>
      </c>
      <c r="EZ191" s="78">
        <v>2</v>
      </c>
      <c r="FA191" s="78">
        <v>0.5</v>
      </c>
      <c r="FB191" s="78">
        <v>3</v>
      </c>
      <c r="FC191" s="78">
        <v>2</v>
      </c>
      <c r="FD191" s="78">
        <v>1</v>
      </c>
      <c r="FE191" s="137">
        <v>0.96153840000000002</v>
      </c>
      <c r="FG191" s="137">
        <v>0.51646340000000002</v>
      </c>
    </row>
    <row r="192" spans="1:163" x14ac:dyDescent="0.35">
      <c r="A192" s="143" t="s">
        <v>760</v>
      </c>
      <c r="B192" s="143" t="s">
        <v>759</v>
      </c>
      <c r="C192" s="143" t="s">
        <v>843</v>
      </c>
      <c r="D192" s="143">
        <v>856</v>
      </c>
      <c r="E192" s="78">
        <v>0</v>
      </c>
      <c r="F192" s="78">
        <v>2.5</v>
      </c>
      <c r="G192" s="78">
        <v>0</v>
      </c>
      <c r="H192" s="78">
        <v>3</v>
      </c>
      <c r="I192" s="78">
        <v>1</v>
      </c>
      <c r="J192" s="78">
        <v>1</v>
      </c>
      <c r="K192" s="78">
        <v>1</v>
      </c>
      <c r="L192" s="78">
        <v>0</v>
      </c>
      <c r="M192" s="78">
        <v>2</v>
      </c>
      <c r="N192" s="137">
        <v>0.75</v>
      </c>
      <c r="P192" s="143" t="s">
        <v>760</v>
      </c>
      <c r="Q192" s="143" t="s">
        <v>759</v>
      </c>
      <c r="R192" s="143" t="s">
        <v>843</v>
      </c>
      <c r="S192" s="143">
        <v>856</v>
      </c>
      <c r="T192" s="78">
        <v>1</v>
      </c>
      <c r="U192" s="78">
        <v>1</v>
      </c>
      <c r="V192" s="78">
        <v>1</v>
      </c>
      <c r="W192" s="78">
        <v>1</v>
      </c>
      <c r="X192" s="78">
        <v>0</v>
      </c>
      <c r="Y192" s="78">
        <v>1</v>
      </c>
      <c r="Z192" s="78">
        <v>0</v>
      </c>
      <c r="AA192" s="78">
        <v>2</v>
      </c>
      <c r="AB192" s="78">
        <v>0</v>
      </c>
      <c r="AC192" s="78">
        <v>0</v>
      </c>
      <c r="AD192" s="137">
        <v>0.20588239999999999</v>
      </c>
      <c r="AF192" s="143" t="s">
        <v>760</v>
      </c>
      <c r="AG192" s="143" t="s">
        <v>759</v>
      </c>
      <c r="AH192" s="143" t="s">
        <v>843</v>
      </c>
      <c r="AI192" s="143">
        <v>856</v>
      </c>
      <c r="AJ192" s="78">
        <v>0</v>
      </c>
      <c r="AK192" s="78">
        <v>0</v>
      </c>
      <c r="AL192" s="78">
        <v>1</v>
      </c>
      <c r="AM192" s="78">
        <v>0</v>
      </c>
      <c r="AN192" s="78">
        <v>1</v>
      </c>
      <c r="AO192" s="78">
        <v>0</v>
      </c>
      <c r="AP192" s="78">
        <v>1</v>
      </c>
      <c r="AQ192" s="78">
        <v>1</v>
      </c>
      <c r="AR192" s="78">
        <v>2</v>
      </c>
      <c r="AS192" s="78">
        <v>2</v>
      </c>
      <c r="AT192" s="78">
        <v>2</v>
      </c>
      <c r="AU192" s="78">
        <v>0</v>
      </c>
      <c r="AV192" s="78">
        <v>2</v>
      </c>
      <c r="AW192" s="78">
        <v>0</v>
      </c>
      <c r="AX192" s="78">
        <v>4</v>
      </c>
      <c r="AY192" s="78">
        <v>0</v>
      </c>
      <c r="AZ192" s="78">
        <v>2</v>
      </c>
      <c r="BA192" s="78">
        <v>0.5</v>
      </c>
      <c r="BB192" s="78">
        <v>0.5</v>
      </c>
      <c r="BC192" s="78">
        <v>0.5</v>
      </c>
      <c r="BD192" s="78">
        <v>1</v>
      </c>
      <c r="BE192" s="78">
        <v>0.5</v>
      </c>
      <c r="BF192" s="78">
        <v>0</v>
      </c>
      <c r="BG192" s="78">
        <v>8</v>
      </c>
      <c r="BH192" s="137">
        <v>0.65909090000000004</v>
      </c>
      <c r="BJ192" s="143" t="s">
        <v>760</v>
      </c>
      <c r="BK192" s="143" t="s">
        <v>759</v>
      </c>
      <c r="BL192" s="143" t="s">
        <v>843</v>
      </c>
      <c r="BM192" s="143">
        <v>856</v>
      </c>
      <c r="BN192" s="78">
        <v>1</v>
      </c>
      <c r="BO192" s="78">
        <v>4</v>
      </c>
      <c r="BP192" s="78">
        <v>7</v>
      </c>
      <c r="BQ192" s="78">
        <v>3</v>
      </c>
      <c r="BR192" s="78">
        <v>3</v>
      </c>
      <c r="BS192" s="78">
        <v>3</v>
      </c>
      <c r="BT192" s="78">
        <v>2</v>
      </c>
      <c r="BU192" s="137">
        <v>1</v>
      </c>
      <c r="BW192" s="143" t="s">
        <v>760</v>
      </c>
      <c r="BX192" s="143" t="s">
        <v>759</v>
      </c>
      <c r="BY192" s="143" t="s">
        <v>843</v>
      </c>
      <c r="BZ192" s="143">
        <v>856</v>
      </c>
      <c r="CA192" s="78">
        <v>1</v>
      </c>
      <c r="CB192" s="78">
        <v>1</v>
      </c>
      <c r="CC192" s="78">
        <v>1</v>
      </c>
      <c r="CD192" s="78">
        <v>2</v>
      </c>
      <c r="CE192" s="78">
        <v>1</v>
      </c>
      <c r="CF192" s="78">
        <v>2</v>
      </c>
      <c r="CG192" s="78">
        <v>1</v>
      </c>
      <c r="CH192" s="78">
        <v>2</v>
      </c>
      <c r="CI192" s="78">
        <v>1</v>
      </c>
      <c r="CJ192" s="78">
        <v>0</v>
      </c>
      <c r="CK192" s="137">
        <v>0.8</v>
      </c>
      <c r="CM192" s="143" t="s">
        <v>760</v>
      </c>
      <c r="CN192" s="143" t="s">
        <v>759</v>
      </c>
      <c r="CO192" s="143" t="s">
        <v>843</v>
      </c>
      <c r="CP192" s="143">
        <v>856</v>
      </c>
      <c r="CQ192" s="78">
        <v>8</v>
      </c>
      <c r="CR192" s="78">
        <v>0</v>
      </c>
      <c r="CS192" s="78">
        <v>4</v>
      </c>
      <c r="CT192" s="78">
        <v>0</v>
      </c>
      <c r="CU192" s="78">
        <v>0</v>
      </c>
      <c r="CV192" s="78">
        <v>8</v>
      </c>
      <c r="CW192" s="137">
        <v>0.3846154</v>
      </c>
      <c r="CY192" s="143" t="s">
        <v>760</v>
      </c>
      <c r="CZ192" s="143" t="s">
        <v>759</v>
      </c>
      <c r="DA192" s="143" t="s">
        <v>843</v>
      </c>
      <c r="DB192" s="143">
        <v>856</v>
      </c>
      <c r="DC192" s="78">
        <v>0</v>
      </c>
      <c r="DD192" s="137">
        <v>0</v>
      </c>
      <c r="DE192" s="137">
        <v>0</v>
      </c>
      <c r="DG192" s="143" t="s">
        <v>760</v>
      </c>
      <c r="DH192" s="143" t="s">
        <v>759</v>
      </c>
      <c r="DI192" s="143" t="s">
        <v>843</v>
      </c>
      <c r="DJ192" s="143">
        <v>856</v>
      </c>
      <c r="DK192" s="78">
        <v>2</v>
      </c>
      <c r="DL192" s="78">
        <v>1</v>
      </c>
      <c r="DM192" s="78">
        <v>1</v>
      </c>
      <c r="DN192" s="78">
        <v>5</v>
      </c>
      <c r="DO192" s="78">
        <v>2</v>
      </c>
      <c r="DP192" s="78">
        <v>3</v>
      </c>
      <c r="DQ192" s="78">
        <v>8</v>
      </c>
      <c r="DR192" s="78">
        <v>1</v>
      </c>
      <c r="DS192" s="78">
        <v>0</v>
      </c>
      <c r="DT192" s="78">
        <v>2</v>
      </c>
      <c r="DU192" s="78">
        <v>0</v>
      </c>
      <c r="DV192" s="137">
        <v>0.86206899999999997</v>
      </c>
      <c r="DX192" s="143" t="s">
        <v>760</v>
      </c>
      <c r="DY192" s="143" t="s">
        <v>759</v>
      </c>
      <c r="DZ192" s="143" t="s">
        <v>843</v>
      </c>
      <c r="EA192" s="143">
        <v>856</v>
      </c>
      <c r="EB192" s="78">
        <v>1</v>
      </c>
      <c r="EC192" s="78">
        <v>8</v>
      </c>
      <c r="ED192" s="78">
        <v>1</v>
      </c>
      <c r="EE192" s="78">
        <v>4</v>
      </c>
      <c r="EF192" s="78">
        <v>3</v>
      </c>
      <c r="EG192" s="78">
        <v>1</v>
      </c>
      <c r="EH192" s="78">
        <v>1</v>
      </c>
      <c r="EI192" s="78">
        <v>1</v>
      </c>
      <c r="EJ192" s="78">
        <v>1</v>
      </c>
      <c r="EK192" s="78">
        <v>1</v>
      </c>
      <c r="EL192" s="78">
        <v>1</v>
      </c>
      <c r="EM192" s="78">
        <v>0</v>
      </c>
      <c r="EN192" s="78">
        <v>0</v>
      </c>
      <c r="EO192" s="78">
        <v>1</v>
      </c>
      <c r="EP192" s="78">
        <v>1</v>
      </c>
      <c r="EQ192" s="137">
        <v>0.92592589999999997</v>
      </c>
      <c r="ES192" s="143" t="s">
        <v>760</v>
      </c>
      <c r="ET192" s="143" t="s">
        <v>759</v>
      </c>
      <c r="EU192" s="143" t="s">
        <v>843</v>
      </c>
      <c r="EV192" s="143">
        <v>856</v>
      </c>
      <c r="EW192" s="78">
        <v>0.5</v>
      </c>
      <c r="EX192" s="78">
        <v>1</v>
      </c>
      <c r="EY192" s="78">
        <v>3</v>
      </c>
      <c r="EZ192" s="78">
        <v>2</v>
      </c>
      <c r="FA192" s="78">
        <v>0.5</v>
      </c>
      <c r="FB192" s="78">
        <v>3</v>
      </c>
      <c r="FC192" s="78">
        <v>2</v>
      </c>
      <c r="FD192" s="78">
        <v>1</v>
      </c>
      <c r="FE192" s="137">
        <v>1</v>
      </c>
      <c r="FG192" s="137">
        <v>0.47959180000000001</v>
      </c>
    </row>
    <row r="193" spans="1:163" x14ac:dyDescent="0.35">
      <c r="A193" s="143" t="s">
        <v>760</v>
      </c>
      <c r="B193" s="143" t="s">
        <v>759</v>
      </c>
      <c r="C193" s="143" t="s">
        <v>842</v>
      </c>
      <c r="D193" s="143">
        <v>1724</v>
      </c>
      <c r="E193" s="78">
        <v>0.5</v>
      </c>
      <c r="F193" s="78">
        <v>2</v>
      </c>
      <c r="G193" s="78">
        <v>1</v>
      </c>
      <c r="H193" s="78">
        <v>0</v>
      </c>
      <c r="I193" s="78">
        <v>1</v>
      </c>
      <c r="J193" s="78">
        <v>0</v>
      </c>
      <c r="K193" s="78">
        <v>1</v>
      </c>
      <c r="L193" s="78">
        <v>1</v>
      </c>
      <c r="M193" s="78">
        <v>2</v>
      </c>
      <c r="N193" s="137">
        <v>0.60714290000000004</v>
      </c>
      <c r="P193" s="143" t="s">
        <v>760</v>
      </c>
      <c r="Q193" s="143" t="s">
        <v>759</v>
      </c>
      <c r="R193" s="143" t="s">
        <v>842</v>
      </c>
      <c r="S193" s="143">
        <v>1724</v>
      </c>
      <c r="T193" s="78">
        <v>1</v>
      </c>
      <c r="U193" s="78">
        <v>1</v>
      </c>
      <c r="V193" s="78">
        <v>1</v>
      </c>
      <c r="W193" s="78">
        <v>2</v>
      </c>
      <c r="X193" s="78">
        <v>0</v>
      </c>
      <c r="Y193" s="78">
        <v>1</v>
      </c>
      <c r="Z193" s="78">
        <v>0</v>
      </c>
      <c r="AA193" s="78">
        <v>2</v>
      </c>
      <c r="AB193" s="78">
        <v>0</v>
      </c>
      <c r="AC193" s="78">
        <v>0</v>
      </c>
      <c r="AD193" s="137">
        <v>0.23529410000000001</v>
      </c>
      <c r="AF193" s="143" t="s">
        <v>760</v>
      </c>
      <c r="AG193" s="143" t="s">
        <v>759</v>
      </c>
      <c r="AH193" s="143" t="s">
        <v>842</v>
      </c>
      <c r="AI193" s="143">
        <v>1724</v>
      </c>
      <c r="AJ193" s="78">
        <v>0</v>
      </c>
      <c r="AK193" s="78">
        <v>0</v>
      </c>
      <c r="AL193" s="78">
        <v>0</v>
      </c>
      <c r="AM193" s="78">
        <v>5</v>
      </c>
      <c r="AN193" s="78">
        <v>1</v>
      </c>
      <c r="AO193" s="78">
        <v>0</v>
      </c>
      <c r="AP193" s="78">
        <v>1</v>
      </c>
      <c r="AQ193" s="78">
        <v>1</v>
      </c>
      <c r="AR193" s="78">
        <v>0</v>
      </c>
      <c r="AS193" s="78">
        <v>0</v>
      </c>
      <c r="AT193" s="78">
        <v>2</v>
      </c>
      <c r="AU193" s="78">
        <v>0</v>
      </c>
      <c r="AV193" s="78">
        <v>2</v>
      </c>
      <c r="AW193" s="78">
        <v>0</v>
      </c>
      <c r="AX193" s="78">
        <v>0</v>
      </c>
      <c r="AY193" s="78">
        <v>1</v>
      </c>
      <c r="AZ193" s="78">
        <v>2</v>
      </c>
      <c r="BA193" s="78">
        <v>0.5</v>
      </c>
      <c r="BB193" s="78">
        <v>0.5</v>
      </c>
      <c r="BC193" s="78">
        <v>0.5</v>
      </c>
      <c r="BD193" s="78">
        <v>1</v>
      </c>
      <c r="BE193" s="78">
        <v>0.5</v>
      </c>
      <c r="BF193" s="78">
        <v>1</v>
      </c>
      <c r="BG193" s="78">
        <v>2</v>
      </c>
      <c r="BH193" s="137">
        <v>0.47727269999999999</v>
      </c>
      <c r="BJ193" s="143" t="s">
        <v>760</v>
      </c>
      <c r="BK193" s="143" t="s">
        <v>759</v>
      </c>
      <c r="BL193" s="143" t="s">
        <v>842</v>
      </c>
      <c r="BM193" s="143">
        <v>1724</v>
      </c>
      <c r="BN193" s="78">
        <v>0</v>
      </c>
      <c r="BO193" s="78">
        <v>0</v>
      </c>
      <c r="BP193" s="78">
        <v>0</v>
      </c>
      <c r="BQ193" s="78">
        <v>0</v>
      </c>
      <c r="BR193" s="78">
        <v>0</v>
      </c>
      <c r="BS193" s="78">
        <v>0</v>
      </c>
      <c r="BT193" s="78">
        <v>2</v>
      </c>
      <c r="BU193" s="137">
        <v>8.6956500000000006E-2</v>
      </c>
      <c r="BW193" s="143" t="s">
        <v>760</v>
      </c>
      <c r="BX193" s="143" t="s">
        <v>759</v>
      </c>
      <c r="BY193" s="143" t="s">
        <v>842</v>
      </c>
      <c r="BZ193" s="143">
        <v>1724</v>
      </c>
      <c r="CM193" s="143" t="s">
        <v>760</v>
      </c>
      <c r="CN193" s="143" t="s">
        <v>759</v>
      </c>
      <c r="CO193" s="143" t="s">
        <v>842</v>
      </c>
      <c r="CP193" s="143">
        <v>1724</v>
      </c>
      <c r="CQ193" s="78">
        <v>0</v>
      </c>
      <c r="CR193" s="78">
        <v>0</v>
      </c>
      <c r="CS193" s="78">
        <v>8</v>
      </c>
      <c r="CT193" s="78">
        <v>0</v>
      </c>
      <c r="CU193" s="78">
        <v>0</v>
      </c>
      <c r="CV193" s="78">
        <v>8</v>
      </c>
      <c r="CW193" s="137">
        <v>0.30769229999999997</v>
      </c>
      <c r="CY193" s="143" t="s">
        <v>760</v>
      </c>
      <c r="CZ193" s="143" t="s">
        <v>759</v>
      </c>
      <c r="DA193" s="143" t="s">
        <v>842</v>
      </c>
      <c r="DB193" s="143">
        <v>1724</v>
      </c>
      <c r="DC193" s="78">
        <v>28</v>
      </c>
      <c r="DD193" s="137">
        <v>0</v>
      </c>
      <c r="DE193" s="137">
        <v>0</v>
      </c>
      <c r="DG193" s="143" t="s">
        <v>760</v>
      </c>
      <c r="DH193" s="143" t="s">
        <v>759</v>
      </c>
      <c r="DI193" s="143" t="s">
        <v>842</v>
      </c>
      <c r="DJ193" s="143">
        <v>1724</v>
      </c>
      <c r="DK193" s="78">
        <v>0</v>
      </c>
      <c r="DL193" s="78">
        <v>1</v>
      </c>
      <c r="DM193" s="78">
        <v>0</v>
      </c>
      <c r="DN193" s="78">
        <v>5</v>
      </c>
      <c r="DO193" s="78">
        <v>2</v>
      </c>
      <c r="DP193" s="78">
        <v>3</v>
      </c>
      <c r="DQ193" s="78">
        <v>8</v>
      </c>
      <c r="DR193" s="78">
        <v>1</v>
      </c>
      <c r="DS193" s="78">
        <v>1</v>
      </c>
      <c r="DT193" s="78">
        <v>0</v>
      </c>
      <c r="DU193" s="78">
        <v>1</v>
      </c>
      <c r="DV193" s="137">
        <v>0.75862070000000004</v>
      </c>
      <c r="DX193" s="143" t="s">
        <v>760</v>
      </c>
      <c r="DY193" s="143" t="s">
        <v>759</v>
      </c>
      <c r="DZ193" s="143" t="s">
        <v>842</v>
      </c>
      <c r="EA193" s="143">
        <v>1724</v>
      </c>
      <c r="EB193" s="78">
        <v>1</v>
      </c>
      <c r="EC193" s="78">
        <v>8</v>
      </c>
      <c r="ED193" s="78">
        <v>1</v>
      </c>
      <c r="EE193" s="78">
        <v>4</v>
      </c>
      <c r="EF193" s="78">
        <v>3</v>
      </c>
      <c r="EG193" s="78">
        <v>1</v>
      </c>
      <c r="EH193" s="78">
        <v>0</v>
      </c>
      <c r="EI193" s="78">
        <v>1</v>
      </c>
      <c r="EJ193" s="78">
        <v>1</v>
      </c>
      <c r="EK193" s="78">
        <v>1</v>
      </c>
      <c r="EL193" s="78">
        <v>1</v>
      </c>
      <c r="EM193" s="78">
        <v>1</v>
      </c>
      <c r="EN193" s="78">
        <v>1</v>
      </c>
      <c r="EO193" s="78">
        <v>1</v>
      </c>
      <c r="EP193" s="78">
        <v>0</v>
      </c>
      <c r="EQ193" s="137">
        <v>0.92592589999999997</v>
      </c>
      <c r="ES193" s="143" t="s">
        <v>760</v>
      </c>
      <c r="ET193" s="143" t="s">
        <v>759</v>
      </c>
      <c r="EU193" s="143" t="s">
        <v>842</v>
      </c>
      <c r="EV193" s="143">
        <v>1724</v>
      </c>
      <c r="EW193" s="78">
        <v>0.5</v>
      </c>
      <c r="EX193" s="78">
        <v>1</v>
      </c>
      <c r="EY193" s="78">
        <v>0</v>
      </c>
      <c r="EZ193" s="78">
        <v>0</v>
      </c>
      <c r="FA193" s="78">
        <v>0.5</v>
      </c>
      <c r="FB193" s="78">
        <v>3</v>
      </c>
      <c r="FC193" s="78">
        <v>2</v>
      </c>
      <c r="FD193" s="78">
        <v>1</v>
      </c>
      <c r="FE193" s="137">
        <v>0.61538459999999995</v>
      </c>
      <c r="FG193" s="137">
        <v>0.33689029999999998</v>
      </c>
    </row>
    <row r="194" spans="1:163" x14ac:dyDescent="0.35">
      <c r="A194" s="143" t="s">
        <v>760</v>
      </c>
      <c r="B194" s="143" t="s">
        <v>759</v>
      </c>
      <c r="C194" s="143" t="s">
        <v>841</v>
      </c>
      <c r="D194" s="143">
        <v>1732</v>
      </c>
      <c r="E194" s="78">
        <v>0.5</v>
      </c>
      <c r="F194" s="78">
        <v>2.5</v>
      </c>
      <c r="G194" s="78">
        <v>1</v>
      </c>
      <c r="H194" s="78">
        <v>4</v>
      </c>
      <c r="I194" s="78">
        <v>1</v>
      </c>
      <c r="J194" s="78">
        <v>0</v>
      </c>
      <c r="K194" s="78">
        <v>1</v>
      </c>
      <c r="L194" s="78">
        <v>0</v>
      </c>
      <c r="M194" s="78">
        <v>2</v>
      </c>
      <c r="N194" s="137">
        <v>0.85714290000000004</v>
      </c>
      <c r="P194" s="143" t="s">
        <v>760</v>
      </c>
      <c r="Q194" s="143" t="s">
        <v>759</v>
      </c>
      <c r="R194" s="143" t="s">
        <v>841</v>
      </c>
      <c r="S194" s="143">
        <v>1732</v>
      </c>
      <c r="T194" s="78">
        <v>1</v>
      </c>
      <c r="U194" s="78">
        <v>0</v>
      </c>
      <c r="V194" s="78">
        <v>1</v>
      </c>
      <c r="W194" s="78">
        <v>0</v>
      </c>
      <c r="X194" s="78">
        <v>12</v>
      </c>
      <c r="Y194" s="78">
        <v>1</v>
      </c>
      <c r="Z194" s="78">
        <v>0</v>
      </c>
      <c r="AA194" s="78">
        <v>2</v>
      </c>
      <c r="AB194" s="78">
        <v>6</v>
      </c>
      <c r="AC194" s="78">
        <v>3</v>
      </c>
      <c r="AD194" s="137">
        <v>0.76470590000000005</v>
      </c>
      <c r="AF194" s="143" t="s">
        <v>760</v>
      </c>
      <c r="AG194" s="143" t="s">
        <v>759</v>
      </c>
      <c r="AH194" s="143" t="s">
        <v>841</v>
      </c>
      <c r="AI194" s="143">
        <v>1732</v>
      </c>
      <c r="AJ194" s="78">
        <v>1</v>
      </c>
      <c r="AK194" s="78">
        <v>1</v>
      </c>
      <c r="AL194" s="78">
        <v>1</v>
      </c>
      <c r="AM194" s="78">
        <v>6</v>
      </c>
      <c r="AN194" s="78">
        <v>1</v>
      </c>
      <c r="AO194" s="78">
        <v>0</v>
      </c>
      <c r="AP194" s="78">
        <v>2</v>
      </c>
      <c r="AQ194" s="78">
        <v>1</v>
      </c>
      <c r="AR194" s="78">
        <v>0</v>
      </c>
      <c r="AS194" s="78">
        <v>2</v>
      </c>
      <c r="AT194" s="78">
        <v>2</v>
      </c>
      <c r="AU194" s="78">
        <v>1</v>
      </c>
      <c r="AV194" s="78">
        <v>2</v>
      </c>
      <c r="AW194" s="78">
        <v>1</v>
      </c>
      <c r="AX194" s="78">
        <v>4</v>
      </c>
      <c r="AY194" s="78">
        <v>1</v>
      </c>
      <c r="AZ194" s="78">
        <v>2</v>
      </c>
      <c r="BA194" s="78">
        <v>0.5</v>
      </c>
      <c r="BB194" s="78">
        <v>0.5</v>
      </c>
      <c r="BC194" s="78">
        <v>0.5</v>
      </c>
      <c r="BD194" s="78">
        <v>1</v>
      </c>
      <c r="BE194" s="78">
        <v>0.5</v>
      </c>
      <c r="BF194" s="78">
        <v>0</v>
      </c>
      <c r="BG194" s="78">
        <v>8</v>
      </c>
      <c r="BH194" s="137">
        <v>0.88636360000000003</v>
      </c>
      <c r="BJ194" s="143" t="s">
        <v>760</v>
      </c>
      <c r="BK194" s="143" t="s">
        <v>759</v>
      </c>
      <c r="BL194" s="143" t="s">
        <v>841</v>
      </c>
      <c r="BM194" s="143">
        <v>1732</v>
      </c>
      <c r="BN194" s="78">
        <v>1</v>
      </c>
      <c r="BO194" s="78">
        <v>4</v>
      </c>
      <c r="BP194" s="78">
        <v>0</v>
      </c>
      <c r="BQ194" s="78">
        <v>3</v>
      </c>
      <c r="BR194" s="78">
        <v>0</v>
      </c>
      <c r="BS194" s="78">
        <v>0</v>
      </c>
      <c r="BT194" s="78">
        <v>2</v>
      </c>
      <c r="BU194" s="137">
        <v>0.43478260000000002</v>
      </c>
      <c r="BW194" s="143" t="s">
        <v>760</v>
      </c>
      <c r="BX194" s="143" t="s">
        <v>759</v>
      </c>
      <c r="BY194" s="143" t="s">
        <v>841</v>
      </c>
      <c r="BZ194" s="143">
        <v>1732</v>
      </c>
      <c r="CA194" s="78">
        <v>1</v>
      </c>
      <c r="CB194" s="78">
        <v>1</v>
      </c>
      <c r="CC194" s="78">
        <v>1</v>
      </c>
      <c r="CD194" s="78">
        <v>2</v>
      </c>
      <c r="CE194" s="78">
        <v>1</v>
      </c>
      <c r="CF194" s="78">
        <v>2</v>
      </c>
      <c r="CG194" s="78">
        <v>1</v>
      </c>
      <c r="CH194" s="78">
        <v>2</v>
      </c>
      <c r="CI194" s="78">
        <v>1</v>
      </c>
      <c r="CJ194" s="78">
        <v>0</v>
      </c>
      <c r="CK194" s="137">
        <v>0.8</v>
      </c>
      <c r="CM194" s="143" t="s">
        <v>760</v>
      </c>
      <c r="CN194" s="143" t="s">
        <v>759</v>
      </c>
      <c r="CO194" s="143" t="s">
        <v>841</v>
      </c>
      <c r="CP194" s="143">
        <v>1732</v>
      </c>
      <c r="CQ194" s="78">
        <v>8</v>
      </c>
      <c r="CR194" s="78">
        <v>0</v>
      </c>
      <c r="CS194" s="78">
        <v>16</v>
      </c>
      <c r="CT194" s="78">
        <v>4</v>
      </c>
      <c r="CU194" s="78">
        <v>0</v>
      </c>
      <c r="CV194" s="78">
        <v>8</v>
      </c>
      <c r="CW194" s="137">
        <v>0.69230769999999997</v>
      </c>
      <c r="CY194" s="143" t="s">
        <v>760</v>
      </c>
      <c r="CZ194" s="143" t="s">
        <v>759</v>
      </c>
      <c r="DA194" s="143" t="s">
        <v>841</v>
      </c>
      <c r="DB194" s="143">
        <v>1732</v>
      </c>
      <c r="DC194" s="78">
        <v>2</v>
      </c>
      <c r="DD194" s="137">
        <v>0</v>
      </c>
      <c r="DE194" s="137">
        <v>0</v>
      </c>
      <c r="DG194" s="143" t="s">
        <v>760</v>
      </c>
      <c r="DH194" s="143" t="s">
        <v>759</v>
      </c>
      <c r="DI194" s="143" t="s">
        <v>841</v>
      </c>
      <c r="DJ194" s="143">
        <v>1732</v>
      </c>
      <c r="DK194" s="78">
        <v>2</v>
      </c>
      <c r="DL194" s="78">
        <v>1</v>
      </c>
      <c r="DM194" s="78">
        <v>1</v>
      </c>
      <c r="DN194" s="78">
        <v>7</v>
      </c>
      <c r="DO194" s="78">
        <v>2</v>
      </c>
      <c r="DP194" s="78">
        <v>3</v>
      </c>
      <c r="DQ194" s="78">
        <v>8</v>
      </c>
      <c r="DR194" s="78">
        <v>1</v>
      </c>
      <c r="DS194" s="78">
        <v>1</v>
      </c>
      <c r="DT194" s="78">
        <v>0</v>
      </c>
      <c r="DU194" s="78">
        <v>1</v>
      </c>
      <c r="DV194" s="137">
        <v>0.93103449999999999</v>
      </c>
      <c r="DX194" s="143" t="s">
        <v>760</v>
      </c>
      <c r="DY194" s="143" t="s">
        <v>759</v>
      </c>
      <c r="DZ194" s="143" t="s">
        <v>841</v>
      </c>
      <c r="EA194" s="143">
        <v>1732</v>
      </c>
      <c r="EB194" s="78">
        <v>1</v>
      </c>
      <c r="EC194" s="78">
        <v>8</v>
      </c>
      <c r="ED194" s="78">
        <v>1</v>
      </c>
      <c r="EE194" s="78">
        <v>4</v>
      </c>
      <c r="EF194" s="78">
        <v>3</v>
      </c>
      <c r="EG194" s="78">
        <v>1</v>
      </c>
      <c r="EH194" s="78">
        <v>1</v>
      </c>
      <c r="EI194" s="78">
        <v>1</v>
      </c>
      <c r="EJ194" s="78">
        <v>1</v>
      </c>
      <c r="EK194" s="78">
        <v>1</v>
      </c>
      <c r="EL194" s="78">
        <v>1</v>
      </c>
      <c r="EM194" s="78">
        <v>1</v>
      </c>
      <c r="EN194" s="78">
        <v>1</v>
      </c>
      <c r="EO194" s="78">
        <v>0</v>
      </c>
      <c r="EP194" s="78">
        <v>1</v>
      </c>
      <c r="EQ194" s="137">
        <v>0.96296300000000001</v>
      </c>
      <c r="ES194" s="143" t="s">
        <v>760</v>
      </c>
      <c r="ET194" s="143" t="s">
        <v>759</v>
      </c>
      <c r="EU194" s="143" t="s">
        <v>841</v>
      </c>
      <c r="EV194" s="143">
        <v>1732</v>
      </c>
      <c r="EW194" s="78">
        <v>0.5</v>
      </c>
      <c r="EX194" s="78">
        <v>1</v>
      </c>
      <c r="EY194" s="78">
        <v>3</v>
      </c>
      <c r="EZ194" s="78">
        <v>2</v>
      </c>
      <c r="FA194" s="78">
        <v>0.5</v>
      </c>
      <c r="FB194" s="78">
        <v>3</v>
      </c>
      <c r="FC194" s="78">
        <v>2</v>
      </c>
      <c r="FD194" s="78">
        <v>1</v>
      </c>
      <c r="FE194" s="137">
        <v>1</v>
      </c>
      <c r="FG194" s="137">
        <v>0.58600580000000002</v>
      </c>
    </row>
    <row r="195" spans="1:163" x14ac:dyDescent="0.35">
      <c r="A195" s="143" t="s">
        <v>760</v>
      </c>
      <c r="B195" s="143" t="s">
        <v>759</v>
      </c>
      <c r="C195" s="143" t="s">
        <v>842</v>
      </c>
      <c r="D195" s="143">
        <v>1882</v>
      </c>
      <c r="E195" s="78">
        <v>0.5</v>
      </c>
      <c r="F195" s="78">
        <v>2</v>
      </c>
      <c r="G195" s="78">
        <v>1</v>
      </c>
      <c r="H195" s="78">
        <v>3</v>
      </c>
      <c r="I195" s="78">
        <v>1</v>
      </c>
      <c r="J195" s="78">
        <v>0</v>
      </c>
      <c r="K195" s="78">
        <v>1</v>
      </c>
      <c r="L195" s="78">
        <v>0</v>
      </c>
      <c r="M195" s="78">
        <v>2</v>
      </c>
      <c r="N195" s="137">
        <v>0.75</v>
      </c>
      <c r="P195" s="143" t="s">
        <v>760</v>
      </c>
      <c r="Q195" s="143" t="s">
        <v>759</v>
      </c>
      <c r="R195" s="143" t="s">
        <v>842</v>
      </c>
      <c r="S195" s="143">
        <v>1882</v>
      </c>
      <c r="T195" s="78">
        <v>0</v>
      </c>
      <c r="U195" s="78">
        <v>0</v>
      </c>
      <c r="V195" s="78">
        <v>1</v>
      </c>
      <c r="W195" s="78">
        <v>1.5</v>
      </c>
      <c r="X195" s="78">
        <v>12</v>
      </c>
      <c r="Y195" s="78">
        <v>1</v>
      </c>
      <c r="Z195" s="78">
        <v>0</v>
      </c>
      <c r="AA195" s="78">
        <v>2</v>
      </c>
      <c r="AB195" s="78">
        <v>6</v>
      </c>
      <c r="AC195" s="78">
        <v>0</v>
      </c>
      <c r="AD195" s="137">
        <v>0.69117649999999997</v>
      </c>
      <c r="AF195" s="143" t="s">
        <v>760</v>
      </c>
      <c r="AG195" s="143" t="s">
        <v>759</v>
      </c>
      <c r="AH195" s="143" t="s">
        <v>842</v>
      </c>
      <c r="AI195" s="143">
        <v>1882</v>
      </c>
      <c r="AJ195" s="78">
        <v>1</v>
      </c>
      <c r="AK195" s="78">
        <v>1</v>
      </c>
      <c r="AL195" s="78">
        <v>1</v>
      </c>
      <c r="AM195" s="78">
        <v>0</v>
      </c>
      <c r="AN195" s="78">
        <v>1</v>
      </c>
      <c r="AO195" s="78">
        <v>0</v>
      </c>
      <c r="AP195" s="78">
        <v>2</v>
      </c>
      <c r="AQ195" s="78">
        <v>1</v>
      </c>
      <c r="AR195" s="78">
        <v>0</v>
      </c>
      <c r="AS195" s="78">
        <v>0</v>
      </c>
      <c r="AT195" s="78">
        <v>0</v>
      </c>
      <c r="AU195" s="78">
        <v>0</v>
      </c>
      <c r="AV195" s="78">
        <v>2</v>
      </c>
      <c r="AW195" s="78">
        <v>0</v>
      </c>
      <c r="AX195" s="78">
        <v>0</v>
      </c>
      <c r="AY195" s="78">
        <v>0</v>
      </c>
      <c r="AZ195" s="78">
        <v>2</v>
      </c>
      <c r="BA195" s="78">
        <v>0.5</v>
      </c>
      <c r="BB195" s="78">
        <v>0.5</v>
      </c>
      <c r="BC195" s="78">
        <v>0.5</v>
      </c>
      <c r="BD195" s="78">
        <v>1</v>
      </c>
      <c r="BE195" s="78">
        <v>0.5</v>
      </c>
      <c r="BF195" s="78">
        <v>0</v>
      </c>
      <c r="BG195" s="78">
        <v>8</v>
      </c>
      <c r="BH195" s="137">
        <v>0.5</v>
      </c>
      <c r="BJ195" s="143" t="s">
        <v>760</v>
      </c>
      <c r="BK195" s="143" t="s">
        <v>759</v>
      </c>
      <c r="BL195" s="143" t="s">
        <v>842</v>
      </c>
      <c r="BM195" s="143">
        <v>1882</v>
      </c>
      <c r="BN195" s="78">
        <v>1</v>
      </c>
      <c r="BO195" s="78">
        <v>4</v>
      </c>
      <c r="BP195" s="78">
        <v>7</v>
      </c>
      <c r="BQ195" s="78">
        <v>3</v>
      </c>
      <c r="BR195" s="78">
        <v>3</v>
      </c>
      <c r="BS195" s="78">
        <v>0</v>
      </c>
      <c r="BT195" s="78">
        <v>2</v>
      </c>
      <c r="BU195" s="137">
        <v>0.86956520000000004</v>
      </c>
      <c r="BW195" s="143" t="s">
        <v>760</v>
      </c>
      <c r="BX195" s="143" t="s">
        <v>759</v>
      </c>
      <c r="BY195" s="143" t="s">
        <v>842</v>
      </c>
      <c r="BZ195" s="143">
        <v>1882</v>
      </c>
      <c r="CM195" s="143" t="s">
        <v>760</v>
      </c>
      <c r="CN195" s="143" t="s">
        <v>759</v>
      </c>
      <c r="CO195" s="143" t="s">
        <v>842</v>
      </c>
      <c r="CP195" s="143">
        <v>1882</v>
      </c>
      <c r="CQ195" s="78">
        <v>2</v>
      </c>
      <c r="CR195" s="78">
        <v>0</v>
      </c>
      <c r="CS195" s="78">
        <v>0</v>
      </c>
      <c r="CT195" s="78">
        <v>0</v>
      </c>
      <c r="CU195" s="78">
        <v>0</v>
      </c>
      <c r="CV195" s="78">
        <v>8</v>
      </c>
      <c r="CW195" s="137">
        <v>0.1923077</v>
      </c>
      <c r="CY195" s="143" t="s">
        <v>760</v>
      </c>
      <c r="CZ195" s="143" t="s">
        <v>759</v>
      </c>
      <c r="DA195" s="143" t="s">
        <v>842</v>
      </c>
      <c r="DB195" s="143">
        <v>1882</v>
      </c>
      <c r="DC195" s="78">
        <v>0</v>
      </c>
      <c r="DD195" s="137">
        <v>0</v>
      </c>
      <c r="DE195" s="137">
        <v>0</v>
      </c>
      <c r="DG195" s="143" t="s">
        <v>760</v>
      </c>
      <c r="DH195" s="143" t="s">
        <v>759</v>
      </c>
      <c r="DI195" s="143" t="s">
        <v>842</v>
      </c>
      <c r="DJ195" s="143">
        <v>1882</v>
      </c>
      <c r="DK195" s="78">
        <v>2</v>
      </c>
      <c r="DL195" s="78">
        <v>1</v>
      </c>
      <c r="DM195" s="78">
        <v>1</v>
      </c>
      <c r="DN195" s="78">
        <v>7</v>
      </c>
      <c r="DO195" s="78">
        <v>2</v>
      </c>
      <c r="DP195" s="78">
        <v>3</v>
      </c>
      <c r="DQ195" s="78">
        <v>8</v>
      </c>
      <c r="DR195" s="78">
        <v>1</v>
      </c>
      <c r="DS195" s="78">
        <v>1</v>
      </c>
      <c r="DT195" s="78">
        <v>0</v>
      </c>
      <c r="DU195" s="78">
        <v>1</v>
      </c>
      <c r="DV195" s="137">
        <v>0.93103449999999999</v>
      </c>
      <c r="DX195" s="143" t="s">
        <v>760</v>
      </c>
      <c r="DY195" s="143" t="s">
        <v>759</v>
      </c>
      <c r="DZ195" s="143" t="s">
        <v>842</v>
      </c>
      <c r="EA195" s="143">
        <v>1882</v>
      </c>
      <c r="EB195" s="78">
        <v>1</v>
      </c>
      <c r="EC195" s="78">
        <v>8</v>
      </c>
      <c r="ED195" s="78">
        <v>1</v>
      </c>
      <c r="EE195" s="78">
        <v>4</v>
      </c>
      <c r="EF195" s="78">
        <v>3</v>
      </c>
      <c r="EG195" s="78">
        <v>1</v>
      </c>
      <c r="EH195" s="78">
        <v>1</v>
      </c>
      <c r="EI195" s="78">
        <v>1</v>
      </c>
      <c r="EJ195" s="78">
        <v>1</v>
      </c>
      <c r="EK195" s="78">
        <v>1</v>
      </c>
      <c r="EL195" s="78">
        <v>1</v>
      </c>
      <c r="EM195" s="78">
        <v>1</v>
      </c>
      <c r="EN195" s="78">
        <v>1</v>
      </c>
      <c r="EO195" s="78">
        <v>0</v>
      </c>
      <c r="EP195" s="78">
        <v>0</v>
      </c>
      <c r="EQ195" s="137">
        <v>0.92592589999999997</v>
      </c>
      <c r="ES195" s="143" t="s">
        <v>760</v>
      </c>
      <c r="ET195" s="143" t="s">
        <v>759</v>
      </c>
      <c r="EU195" s="143" t="s">
        <v>842</v>
      </c>
      <c r="EV195" s="143">
        <v>1882</v>
      </c>
      <c r="EW195" s="78">
        <v>0.5</v>
      </c>
      <c r="EX195" s="78">
        <v>1</v>
      </c>
      <c r="EY195" s="78">
        <v>3</v>
      </c>
      <c r="EZ195" s="78">
        <v>2</v>
      </c>
      <c r="FA195" s="78">
        <v>0.5</v>
      </c>
      <c r="FB195" s="78">
        <v>3</v>
      </c>
      <c r="FC195" s="78">
        <v>2</v>
      </c>
      <c r="FD195" s="78">
        <v>1</v>
      </c>
      <c r="FE195" s="137">
        <v>1</v>
      </c>
      <c r="FG195" s="137">
        <v>0.46036589999999999</v>
      </c>
    </row>
    <row r="196" spans="1:163" x14ac:dyDescent="0.35">
      <c r="A196" s="143" t="s">
        <v>760</v>
      </c>
      <c r="B196" s="143" t="s">
        <v>759</v>
      </c>
      <c r="C196" s="143" t="s">
        <v>842</v>
      </c>
      <c r="D196" s="143">
        <v>1897</v>
      </c>
      <c r="E196" s="78">
        <v>0</v>
      </c>
      <c r="F196" s="78">
        <v>1.5</v>
      </c>
      <c r="G196" s="78">
        <v>1</v>
      </c>
      <c r="H196" s="78">
        <v>4</v>
      </c>
      <c r="I196" s="78">
        <v>1</v>
      </c>
      <c r="J196" s="78">
        <v>0</v>
      </c>
      <c r="K196" s="78">
        <v>1</v>
      </c>
      <c r="L196" s="78">
        <v>1</v>
      </c>
      <c r="M196" s="78">
        <v>2</v>
      </c>
      <c r="N196" s="137">
        <v>0.82142859999999995</v>
      </c>
      <c r="P196" s="143" t="s">
        <v>760</v>
      </c>
      <c r="Q196" s="143" t="s">
        <v>759</v>
      </c>
      <c r="R196" s="143" t="s">
        <v>842</v>
      </c>
      <c r="S196" s="143">
        <v>1897</v>
      </c>
      <c r="T196" s="78">
        <v>0</v>
      </c>
      <c r="U196" s="78">
        <v>0</v>
      </c>
      <c r="V196" s="78">
        <v>1.5</v>
      </c>
      <c r="W196" s="78">
        <v>2</v>
      </c>
      <c r="X196" s="78">
        <v>0</v>
      </c>
      <c r="Y196" s="78">
        <v>1</v>
      </c>
      <c r="Z196" s="78">
        <v>3</v>
      </c>
      <c r="AA196" s="78">
        <v>0</v>
      </c>
      <c r="AB196" s="78">
        <v>0</v>
      </c>
      <c r="AC196" s="78">
        <v>0</v>
      </c>
      <c r="AD196" s="137">
        <v>0.22058820000000001</v>
      </c>
      <c r="AF196" s="143" t="s">
        <v>760</v>
      </c>
      <c r="AG196" s="143" t="s">
        <v>759</v>
      </c>
      <c r="AH196" s="143" t="s">
        <v>842</v>
      </c>
      <c r="AI196" s="143">
        <v>1897</v>
      </c>
      <c r="AJ196" s="78">
        <v>0</v>
      </c>
      <c r="AK196" s="78">
        <v>0</v>
      </c>
      <c r="AL196" s="78">
        <v>1</v>
      </c>
      <c r="AM196" s="78">
        <v>5</v>
      </c>
      <c r="AN196" s="78">
        <v>0</v>
      </c>
      <c r="AO196" s="78">
        <v>0</v>
      </c>
      <c r="AP196" s="78">
        <v>1</v>
      </c>
      <c r="AQ196" s="78">
        <v>1</v>
      </c>
      <c r="AR196" s="78">
        <v>0</v>
      </c>
      <c r="AS196" s="78">
        <v>0</v>
      </c>
      <c r="AT196" s="78">
        <v>0</v>
      </c>
      <c r="AU196" s="78">
        <v>0</v>
      </c>
      <c r="AV196" s="78">
        <v>2</v>
      </c>
      <c r="AW196" s="78">
        <v>0</v>
      </c>
      <c r="AX196" s="78">
        <v>4</v>
      </c>
      <c r="AY196" s="78">
        <v>1</v>
      </c>
      <c r="AZ196" s="78">
        <v>2</v>
      </c>
      <c r="BA196" s="78">
        <v>0.5</v>
      </c>
      <c r="BB196" s="78">
        <v>0.5</v>
      </c>
      <c r="BC196" s="78">
        <v>0.5</v>
      </c>
      <c r="BD196" s="78">
        <v>1</v>
      </c>
      <c r="BE196" s="78">
        <v>0</v>
      </c>
      <c r="BF196" s="78">
        <v>0</v>
      </c>
      <c r="BG196" s="78">
        <v>0</v>
      </c>
      <c r="BH196" s="137">
        <v>0.44318180000000001</v>
      </c>
      <c r="BJ196" s="143" t="s">
        <v>760</v>
      </c>
      <c r="BK196" s="143" t="s">
        <v>759</v>
      </c>
      <c r="BL196" s="143" t="s">
        <v>842</v>
      </c>
      <c r="BM196" s="143">
        <v>1897</v>
      </c>
      <c r="BN196" s="78">
        <v>0</v>
      </c>
      <c r="BO196" s="78">
        <v>4</v>
      </c>
      <c r="BP196" s="78">
        <v>0</v>
      </c>
      <c r="BQ196" s="78">
        <v>0</v>
      </c>
      <c r="BR196" s="78">
        <v>0</v>
      </c>
      <c r="BS196" s="78">
        <v>0</v>
      </c>
      <c r="BT196" s="78">
        <v>2</v>
      </c>
      <c r="BU196" s="137">
        <v>0.26086959999999998</v>
      </c>
      <c r="BW196" s="143" t="s">
        <v>760</v>
      </c>
      <c r="BX196" s="143" t="s">
        <v>759</v>
      </c>
      <c r="BY196" s="143" t="s">
        <v>842</v>
      </c>
      <c r="BZ196" s="143">
        <v>1897</v>
      </c>
      <c r="CM196" s="143" t="s">
        <v>760</v>
      </c>
      <c r="CN196" s="143" t="s">
        <v>759</v>
      </c>
      <c r="CO196" s="143" t="s">
        <v>842</v>
      </c>
      <c r="CP196" s="143">
        <v>1897</v>
      </c>
      <c r="CQ196" s="78">
        <v>0</v>
      </c>
      <c r="CR196" s="78">
        <v>0</v>
      </c>
      <c r="CS196" s="78">
        <v>4</v>
      </c>
      <c r="CT196" s="78">
        <v>0</v>
      </c>
      <c r="CU196" s="78">
        <v>0</v>
      </c>
      <c r="CV196" s="78">
        <v>0</v>
      </c>
      <c r="CW196" s="137">
        <v>7.6923099999999994E-2</v>
      </c>
      <c r="CY196" s="143" t="s">
        <v>760</v>
      </c>
      <c r="CZ196" s="143" t="s">
        <v>759</v>
      </c>
      <c r="DA196" s="143" t="s">
        <v>842</v>
      </c>
      <c r="DB196" s="143">
        <v>1897</v>
      </c>
      <c r="DC196" s="78">
        <v>0</v>
      </c>
      <c r="DD196" s="137">
        <v>0</v>
      </c>
      <c r="DE196" s="137">
        <v>0</v>
      </c>
      <c r="DG196" s="143" t="s">
        <v>760</v>
      </c>
      <c r="DH196" s="143" t="s">
        <v>759</v>
      </c>
      <c r="DI196" s="143" t="s">
        <v>842</v>
      </c>
      <c r="DJ196" s="143">
        <v>1897</v>
      </c>
      <c r="DK196" s="78">
        <v>2</v>
      </c>
      <c r="DL196" s="78">
        <v>0</v>
      </c>
      <c r="DM196" s="78">
        <v>0</v>
      </c>
      <c r="DN196" s="78">
        <v>4</v>
      </c>
      <c r="DO196" s="78">
        <v>2</v>
      </c>
      <c r="DP196" s="78">
        <v>3</v>
      </c>
      <c r="DQ196" s="78">
        <v>7</v>
      </c>
      <c r="DR196" s="78">
        <v>1</v>
      </c>
      <c r="DS196" s="78">
        <v>1</v>
      </c>
      <c r="DT196" s="78">
        <v>0</v>
      </c>
      <c r="DU196" s="78">
        <v>0</v>
      </c>
      <c r="DV196" s="137">
        <v>0.68965520000000002</v>
      </c>
      <c r="DX196" s="143" t="s">
        <v>760</v>
      </c>
      <c r="DY196" s="143" t="s">
        <v>759</v>
      </c>
      <c r="DZ196" s="143" t="s">
        <v>842</v>
      </c>
      <c r="EA196" s="143">
        <v>1897</v>
      </c>
      <c r="EB196" s="78">
        <v>1</v>
      </c>
      <c r="EC196" s="78">
        <v>8</v>
      </c>
      <c r="ED196" s="78">
        <v>1</v>
      </c>
      <c r="EE196" s="78">
        <v>4</v>
      </c>
      <c r="EF196" s="78">
        <v>3</v>
      </c>
      <c r="EG196" s="78">
        <v>1</v>
      </c>
      <c r="EH196" s="78">
        <v>0</v>
      </c>
      <c r="EI196" s="78">
        <v>1</v>
      </c>
      <c r="EJ196" s="78">
        <v>1</v>
      </c>
      <c r="EK196" s="78">
        <v>1</v>
      </c>
      <c r="EL196" s="78">
        <v>1</v>
      </c>
      <c r="EM196" s="78">
        <v>1</v>
      </c>
      <c r="EN196" s="78">
        <v>1</v>
      </c>
      <c r="EO196" s="78">
        <v>1</v>
      </c>
      <c r="EP196" s="78">
        <v>0</v>
      </c>
      <c r="EQ196" s="137">
        <v>0.92592589999999997</v>
      </c>
      <c r="ES196" s="143" t="s">
        <v>760</v>
      </c>
      <c r="ET196" s="143" t="s">
        <v>759</v>
      </c>
      <c r="EU196" s="143" t="s">
        <v>842</v>
      </c>
      <c r="EV196" s="143">
        <v>1897</v>
      </c>
      <c r="EW196" s="78">
        <v>0.5</v>
      </c>
      <c r="EX196" s="78">
        <v>1</v>
      </c>
      <c r="EY196" s="78">
        <v>0</v>
      </c>
      <c r="EZ196" s="78">
        <v>0</v>
      </c>
      <c r="FA196" s="78">
        <v>0.5</v>
      </c>
      <c r="FB196" s="78">
        <v>3</v>
      </c>
      <c r="FC196" s="78">
        <v>2</v>
      </c>
      <c r="FD196" s="78">
        <v>1</v>
      </c>
      <c r="FE196" s="137">
        <v>0.61538459999999995</v>
      </c>
      <c r="FG196" s="137">
        <v>0.30945119999999998</v>
      </c>
    </row>
    <row r="197" spans="1:163" x14ac:dyDescent="0.35">
      <c r="A197" s="143" t="s">
        <v>761</v>
      </c>
      <c r="B197" s="143" t="s">
        <v>720</v>
      </c>
      <c r="C197" s="143" t="s">
        <v>841</v>
      </c>
      <c r="D197" s="143">
        <v>427</v>
      </c>
      <c r="E197" s="78">
        <v>0.5</v>
      </c>
      <c r="F197" s="78">
        <v>2.5</v>
      </c>
      <c r="G197" s="78">
        <v>1</v>
      </c>
      <c r="H197" s="78">
        <v>1</v>
      </c>
      <c r="I197" s="78">
        <v>1</v>
      </c>
      <c r="J197" s="78">
        <v>0</v>
      </c>
      <c r="K197" s="78">
        <v>1</v>
      </c>
      <c r="L197" s="78">
        <v>1</v>
      </c>
      <c r="M197" s="78">
        <v>2</v>
      </c>
      <c r="N197" s="137">
        <v>0.71428570000000002</v>
      </c>
      <c r="P197" s="143" t="s">
        <v>761</v>
      </c>
      <c r="Q197" s="143" t="s">
        <v>720</v>
      </c>
      <c r="R197" s="143" t="s">
        <v>841</v>
      </c>
      <c r="S197" s="143">
        <v>427</v>
      </c>
      <c r="T197" s="78">
        <v>1</v>
      </c>
      <c r="U197" s="78">
        <v>0</v>
      </c>
      <c r="V197" s="78">
        <v>1.5</v>
      </c>
      <c r="W197" s="78">
        <v>0</v>
      </c>
      <c r="X197" s="78">
        <v>0</v>
      </c>
      <c r="Y197" s="78">
        <v>0</v>
      </c>
      <c r="Z197" s="78">
        <v>3</v>
      </c>
      <c r="AA197" s="78">
        <v>2</v>
      </c>
      <c r="AB197" s="78">
        <v>6</v>
      </c>
      <c r="AC197" s="78">
        <v>3</v>
      </c>
      <c r="AD197" s="137">
        <v>0.48529410000000001</v>
      </c>
      <c r="AF197" s="143" t="s">
        <v>761</v>
      </c>
      <c r="AG197" s="143" t="s">
        <v>720</v>
      </c>
      <c r="AH197" s="143" t="s">
        <v>841</v>
      </c>
      <c r="AI197" s="143">
        <v>427</v>
      </c>
      <c r="AJ197" s="78">
        <v>0</v>
      </c>
      <c r="AK197" s="78">
        <v>1</v>
      </c>
      <c r="AL197" s="78">
        <v>1</v>
      </c>
      <c r="AM197" s="78">
        <v>6</v>
      </c>
      <c r="AN197" s="78">
        <v>1</v>
      </c>
      <c r="AO197" s="78">
        <v>0</v>
      </c>
      <c r="AP197" s="78">
        <v>2</v>
      </c>
      <c r="AQ197" s="78">
        <v>1</v>
      </c>
      <c r="AR197" s="78">
        <v>2</v>
      </c>
      <c r="AS197" s="78">
        <v>2</v>
      </c>
      <c r="AT197" s="78">
        <v>2</v>
      </c>
      <c r="AU197" s="78">
        <v>0</v>
      </c>
      <c r="AV197" s="78">
        <v>2</v>
      </c>
      <c r="AW197" s="78">
        <v>0</v>
      </c>
      <c r="AX197" s="78">
        <v>0</v>
      </c>
      <c r="AY197" s="78">
        <v>1</v>
      </c>
      <c r="AZ197" s="78">
        <v>2</v>
      </c>
      <c r="BA197" s="78">
        <v>0.5</v>
      </c>
      <c r="BB197" s="78">
        <v>0.5</v>
      </c>
      <c r="BC197" s="78">
        <v>0.5</v>
      </c>
      <c r="BD197" s="78">
        <v>1</v>
      </c>
      <c r="BE197" s="78">
        <v>0.5</v>
      </c>
      <c r="BF197" s="78">
        <v>1</v>
      </c>
      <c r="BG197" s="78">
        <v>6</v>
      </c>
      <c r="BH197" s="137">
        <v>0.75</v>
      </c>
      <c r="BJ197" s="143" t="s">
        <v>761</v>
      </c>
      <c r="BK197" s="143" t="s">
        <v>720</v>
      </c>
      <c r="BL197" s="143" t="s">
        <v>841</v>
      </c>
      <c r="BM197" s="143">
        <v>427</v>
      </c>
      <c r="BN197" s="78">
        <v>0</v>
      </c>
      <c r="BO197" s="78">
        <v>4</v>
      </c>
      <c r="BP197" s="78">
        <v>7</v>
      </c>
      <c r="BQ197" s="78">
        <v>0</v>
      </c>
      <c r="BR197" s="78">
        <v>0</v>
      </c>
      <c r="BS197" s="78">
        <v>3</v>
      </c>
      <c r="BT197" s="78">
        <v>2</v>
      </c>
      <c r="BU197" s="137">
        <v>0.69565220000000005</v>
      </c>
      <c r="BW197" s="143" t="s">
        <v>761</v>
      </c>
      <c r="BX197" s="143" t="s">
        <v>720</v>
      </c>
      <c r="BY197" s="143" t="s">
        <v>841</v>
      </c>
      <c r="BZ197" s="143">
        <v>427</v>
      </c>
      <c r="CA197" s="78">
        <v>1</v>
      </c>
      <c r="CB197" s="78">
        <v>1</v>
      </c>
      <c r="CC197" s="78">
        <v>1</v>
      </c>
      <c r="CD197" s="78">
        <v>2</v>
      </c>
      <c r="CE197" s="78">
        <v>1</v>
      </c>
      <c r="CF197" s="78">
        <v>2</v>
      </c>
      <c r="CG197" s="78">
        <v>1</v>
      </c>
      <c r="CH197" s="78">
        <v>2</v>
      </c>
      <c r="CI197" s="78">
        <v>1</v>
      </c>
      <c r="CJ197" s="78">
        <v>3</v>
      </c>
      <c r="CK197" s="137">
        <v>1</v>
      </c>
      <c r="CM197" s="143" t="s">
        <v>761</v>
      </c>
      <c r="CN197" s="143" t="s">
        <v>720</v>
      </c>
      <c r="CO197" s="143" t="s">
        <v>841</v>
      </c>
      <c r="CP197" s="143">
        <v>427</v>
      </c>
      <c r="CQ197" s="78">
        <v>0</v>
      </c>
      <c r="CR197" s="78">
        <v>0</v>
      </c>
      <c r="CS197" s="78">
        <v>16</v>
      </c>
      <c r="CT197" s="78">
        <v>4</v>
      </c>
      <c r="CU197" s="78">
        <v>0</v>
      </c>
      <c r="CV197" s="78">
        <v>8</v>
      </c>
      <c r="CW197" s="137">
        <v>0.53846159999999998</v>
      </c>
      <c r="CY197" s="143" t="s">
        <v>761</v>
      </c>
      <c r="CZ197" s="143" t="s">
        <v>720</v>
      </c>
      <c r="DA197" s="143" t="s">
        <v>841</v>
      </c>
      <c r="DB197" s="143">
        <v>427</v>
      </c>
      <c r="DC197" s="78">
        <v>30</v>
      </c>
      <c r="DD197" s="137">
        <v>0</v>
      </c>
      <c r="DE197" s="137">
        <v>0</v>
      </c>
      <c r="DG197" s="143" t="s">
        <v>761</v>
      </c>
      <c r="DH197" s="143" t="s">
        <v>720</v>
      </c>
      <c r="DI197" s="143" t="s">
        <v>841</v>
      </c>
      <c r="DJ197" s="143">
        <v>427</v>
      </c>
      <c r="DK197" s="78">
        <v>0</v>
      </c>
      <c r="DL197" s="78">
        <v>1</v>
      </c>
      <c r="DM197" s="78">
        <v>0</v>
      </c>
      <c r="DN197" s="78">
        <v>4</v>
      </c>
      <c r="DO197" s="78">
        <v>2</v>
      </c>
      <c r="DP197" s="78">
        <v>3</v>
      </c>
      <c r="DQ197" s="78">
        <v>8</v>
      </c>
      <c r="DR197" s="78">
        <v>0</v>
      </c>
      <c r="DS197" s="78">
        <v>0</v>
      </c>
      <c r="DT197" s="78">
        <v>2</v>
      </c>
      <c r="DU197" s="78">
        <v>0</v>
      </c>
      <c r="DV197" s="137">
        <v>0.68965520000000002</v>
      </c>
      <c r="DX197" s="143" t="s">
        <v>761</v>
      </c>
      <c r="DY197" s="143" t="s">
        <v>720</v>
      </c>
      <c r="DZ197" s="143" t="s">
        <v>841</v>
      </c>
      <c r="EA197" s="143">
        <v>427</v>
      </c>
      <c r="EB197" s="78">
        <v>1</v>
      </c>
      <c r="EC197" s="78">
        <v>8</v>
      </c>
      <c r="ED197" s="78">
        <v>1</v>
      </c>
      <c r="EE197" s="78">
        <v>4</v>
      </c>
      <c r="EF197" s="78">
        <v>3</v>
      </c>
      <c r="EG197" s="78">
        <v>1</v>
      </c>
      <c r="EH197" s="78">
        <v>0</v>
      </c>
      <c r="EI197" s="78">
        <v>1</v>
      </c>
      <c r="EJ197" s="78">
        <v>1</v>
      </c>
      <c r="EK197" s="78">
        <v>1</v>
      </c>
      <c r="EL197" s="78">
        <v>1</v>
      </c>
      <c r="EM197" s="78">
        <v>1</v>
      </c>
      <c r="EN197" s="78">
        <v>1</v>
      </c>
      <c r="EO197" s="78">
        <v>1</v>
      </c>
      <c r="EP197" s="78">
        <v>1</v>
      </c>
      <c r="EQ197" s="137">
        <v>0.96296300000000001</v>
      </c>
      <c r="ES197" s="143" t="s">
        <v>761</v>
      </c>
      <c r="ET197" s="143" t="s">
        <v>720</v>
      </c>
      <c r="EU197" s="143" t="s">
        <v>841</v>
      </c>
      <c r="EV197" s="143">
        <v>427</v>
      </c>
      <c r="EW197" s="78">
        <v>0</v>
      </c>
      <c r="EX197" s="78">
        <v>1</v>
      </c>
      <c r="EY197" s="78">
        <v>3</v>
      </c>
      <c r="EZ197" s="78">
        <v>0</v>
      </c>
      <c r="FA197" s="78">
        <v>0.5</v>
      </c>
      <c r="FB197" s="78">
        <v>3</v>
      </c>
      <c r="FC197" s="78">
        <v>2</v>
      </c>
      <c r="FD197" s="78">
        <v>1</v>
      </c>
      <c r="FE197" s="137">
        <v>0.80769230000000003</v>
      </c>
      <c r="FG197" s="137">
        <v>0.51020410000000005</v>
      </c>
    </row>
    <row r="198" spans="1:163" x14ac:dyDescent="0.35">
      <c r="A198" s="143" t="s">
        <v>761</v>
      </c>
      <c r="B198" s="143" t="s">
        <v>720</v>
      </c>
      <c r="C198" s="143" t="s">
        <v>843</v>
      </c>
      <c r="D198" s="143">
        <v>439</v>
      </c>
      <c r="E198" s="78">
        <v>0.5</v>
      </c>
      <c r="F198" s="78">
        <v>2.5</v>
      </c>
      <c r="G198" s="78">
        <v>1</v>
      </c>
      <c r="H198" s="78">
        <v>0</v>
      </c>
      <c r="I198" s="78">
        <v>1</v>
      </c>
      <c r="J198" s="78">
        <v>1</v>
      </c>
      <c r="K198" s="78">
        <v>1</v>
      </c>
      <c r="L198" s="78">
        <v>1</v>
      </c>
      <c r="M198" s="78">
        <v>2</v>
      </c>
      <c r="N198" s="137">
        <v>0.71428570000000002</v>
      </c>
      <c r="P198" s="143" t="s">
        <v>761</v>
      </c>
      <c r="Q198" s="143" t="s">
        <v>720</v>
      </c>
      <c r="R198" s="143" t="s">
        <v>843</v>
      </c>
      <c r="S198" s="143">
        <v>439</v>
      </c>
      <c r="T198" s="78">
        <v>1</v>
      </c>
      <c r="U198" s="78">
        <v>1</v>
      </c>
      <c r="V198" s="78">
        <v>3</v>
      </c>
      <c r="W198" s="78">
        <v>2</v>
      </c>
      <c r="X198" s="78">
        <v>0</v>
      </c>
      <c r="Y198" s="78">
        <v>1</v>
      </c>
      <c r="Z198" s="78">
        <v>3</v>
      </c>
      <c r="AA198" s="78">
        <v>0</v>
      </c>
      <c r="AB198" s="78">
        <v>6</v>
      </c>
      <c r="AC198" s="78">
        <v>3</v>
      </c>
      <c r="AD198" s="137">
        <v>0.58823530000000002</v>
      </c>
      <c r="AF198" s="143" t="s">
        <v>761</v>
      </c>
      <c r="AG198" s="143" t="s">
        <v>720</v>
      </c>
      <c r="AH198" s="143" t="s">
        <v>843</v>
      </c>
      <c r="AI198" s="143">
        <v>439</v>
      </c>
      <c r="AJ198" s="78">
        <v>1</v>
      </c>
      <c r="AK198" s="78">
        <v>1</v>
      </c>
      <c r="AL198" s="78">
        <v>1</v>
      </c>
      <c r="AM198" s="78">
        <v>0</v>
      </c>
      <c r="AN198" s="78">
        <v>1</v>
      </c>
      <c r="AO198" s="78">
        <v>0</v>
      </c>
      <c r="AP198" s="78">
        <v>2</v>
      </c>
      <c r="AQ198" s="78">
        <v>1</v>
      </c>
      <c r="AR198" s="78">
        <v>2</v>
      </c>
      <c r="AS198" s="78">
        <v>2</v>
      </c>
      <c r="AT198" s="78">
        <v>2</v>
      </c>
      <c r="AU198" s="78">
        <v>0</v>
      </c>
      <c r="AV198" s="78">
        <v>2</v>
      </c>
      <c r="AW198" s="78">
        <v>1</v>
      </c>
      <c r="AX198" s="78">
        <v>0</v>
      </c>
      <c r="AY198" s="78">
        <v>1</v>
      </c>
      <c r="AZ198" s="78">
        <v>2</v>
      </c>
      <c r="BA198" s="78">
        <v>0.5</v>
      </c>
      <c r="BB198" s="78">
        <v>0.5</v>
      </c>
      <c r="BC198" s="78">
        <v>0.5</v>
      </c>
      <c r="BD198" s="78">
        <v>1</v>
      </c>
      <c r="BE198" s="78">
        <v>0.5</v>
      </c>
      <c r="BF198" s="78">
        <v>0</v>
      </c>
      <c r="BG198" s="78">
        <v>6</v>
      </c>
      <c r="BH198" s="137">
        <v>0.63636360000000003</v>
      </c>
      <c r="BJ198" s="143" t="s">
        <v>761</v>
      </c>
      <c r="BK198" s="143" t="s">
        <v>720</v>
      </c>
      <c r="BL198" s="143" t="s">
        <v>843</v>
      </c>
      <c r="BM198" s="143">
        <v>439</v>
      </c>
      <c r="BN198" s="78">
        <v>0</v>
      </c>
      <c r="BO198" s="78">
        <v>0</v>
      </c>
      <c r="BP198" s="78">
        <v>7</v>
      </c>
      <c r="BQ198" s="78">
        <v>0</v>
      </c>
      <c r="BR198" s="78">
        <v>0</v>
      </c>
      <c r="BS198" s="78">
        <v>0</v>
      </c>
      <c r="BT198" s="78">
        <v>0</v>
      </c>
      <c r="BU198" s="137">
        <v>0.3043478</v>
      </c>
      <c r="BW198" s="143" t="s">
        <v>761</v>
      </c>
      <c r="BX198" s="143" t="s">
        <v>720</v>
      </c>
      <c r="BY198" s="143" t="s">
        <v>843</v>
      </c>
      <c r="BZ198" s="143">
        <v>439</v>
      </c>
      <c r="CA198" s="78">
        <v>1</v>
      </c>
      <c r="CB198" s="78">
        <v>1</v>
      </c>
      <c r="CC198" s="78">
        <v>1</v>
      </c>
      <c r="CD198" s="78">
        <v>2</v>
      </c>
      <c r="CE198" s="78">
        <v>1</v>
      </c>
      <c r="CF198" s="78">
        <v>2</v>
      </c>
      <c r="CG198" s="78">
        <v>1</v>
      </c>
      <c r="CH198" s="78">
        <v>2</v>
      </c>
      <c r="CI198" s="78">
        <v>1</v>
      </c>
      <c r="CJ198" s="78">
        <v>3</v>
      </c>
      <c r="CK198" s="137">
        <v>1</v>
      </c>
      <c r="CM198" s="143" t="s">
        <v>761</v>
      </c>
      <c r="CN198" s="143" t="s">
        <v>720</v>
      </c>
      <c r="CO198" s="143" t="s">
        <v>843</v>
      </c>
      <c r="CP198" s="143">
        <v>439</v>
      </c>
      <c r="CQ198" s="78">
        <v>8</v>
      </c>
      <c r="CR198" s="78">
        <v>0</v>
      </c>
      <c r="CS198" s="78">
        <v>12</v>
      </c>
      <c r="CT198" s="78">
        <v>4</v>
      </c>
      <c r="CU198" s="78">
        <v>0</v>
      </c>
      <c r="CV198" s="78">
        <v>8</v>
      </c>
      <c r="CW198" s="137">
        <v>0.61538459999999995</v>
      </c>
      <c r="CY198" s="143" t="s">
        <v>761</v>
      </c>
      <c r="CZ198" s="143" t="s">
        <v>720</v>
      </c>
      <c r="DA198" s="143" t="s">
        <v>843</v>
      </c>
      <c r="DB198" s="143">
        <v>439</v>
      </c>
      <c r="DC198" s="78">
        <v>44</v>
      </c>
      <c r="DD198" s="137">
        <v>0</v>
      </c>
      <c r="DE198" s="137">
        <v>0</v>
      </c>
      <c r="DG198" s="143" t="s">
        <v>761</v>
      </c>
      <c r="DH198" s="143" t="s">
        <v>720</v>
      </c>
      <c r="DI198" s="143" t="s">
        <v>843</v>
      </c>
      <c r="DJ198" s="143">
        <v>439</v>
      </c>
      <c r="DK198" s="78">
        <v>2</v>
      </c>
      <c r="DL198" s="78">
        <v>0</v>
      </c>
      <c r="DM198" s="78">
        <v>1</v>
      </c>
      <c r="DN198" s="78">
        <v>7</v>
      </c>
      <c r="DO198" s="78">
        <v>2</v>
      </c>
      <c r="DP198" s="78">
        <v>3</v>
      </c>
      <c r="DQ198" s="78">
        <v>8</v>
      </c>
      <c r="DR198" s="78">
        <v>0</v>
      </c>
      <c r="DS198" s="78">
        <v>1</v>
      </c>
      <c r="DT198" s="78">
        <v>2</v>
      </c>
      <c r="DU198" s="78">
        <v>0</v>
      </c>
      <c r="DV198" s="137">
        <v>0.89655169999999995</v>
      </c>
      <c r="DX198" s="143" t="s">
        <v>761</v>
      </c>
      <c r="DY198" s="143" t="s">
        <v>720</v>
      </c>
      <c r="DZ198" s="143" t="s">
        <v>843</v>
      </c>
      <c r="EA198" s="143">
        <v>439</v>
      </c>
      <c r="EB198" s="78">
        <v>1</v>
      </c>
      <c r="EC198" s="78">
        <v>8</v>
      </c>
      <c r="ED198" s="78">
        <v>1</v>
      </c>
      <c r="EE198" s="78">
        <v>4</v>
      </c>
      <c r="EF198" s="78">
        <v>3</v>
      </c>
      <c r="EG198" s="78">
        <v>1</v>
      </c>
      <c r="EH198" s="78">
        <v>0</v>
      </c>
      <c r="EI198" s="78">
        <v>1</v>
      </c>
      <c r="EJ198" s="78">
        <v>1</v>
      </c>
      <c r="EK198" s="78">
        <v>1</v>
      </c>
      <c r="EL198" s="78">
        <v>1</v>
      </c>
      <c r="EM198" s="78">
        <v>1</v>
      </c>
      <c r="EN198" s="78">
        <v>1</v>
      </c>
      <c r="EO198" s="78">
        <v>1</v>
      </c>
      <c r="EP198" s="78">
        <v>0</v>
      </c>
      <c r="EQ198" s="137">
        <v>0.92592589999999997</v>
      </c>
      <c r="ES198" s="143" t="s">
        <v>761</v>
      </c>
      <c r="ET198" s="143" t="s">
        <v>720</v>
      </c>
      <c r="EU198" s="143" t="s">
        <v>843</v>
      </c>
      <c r="EV198" s="143">
        <v>439</v>
      </c>
      <c r="EW198" s="78">
        <v>0</v>
      </c>
      <c r="EX198" s="78">
        <v>1</v>
      </c>
      <c r="EY198" s="78">
        <v>3</v>
      </c>
      <c r="EZ198" s="78">
        <v>0</v>
      </c>
      <c r="FA198" s="78">
        <v>0.5</v>
      </c>
      <c r="FB198" s="78">
        <v>3</v>
      </c>
      <c r="FC198" s="78">
        <v>2</v>
      </c>
      <c r="FD198" s="78">
        <v>1</v>
      </c>
      <c r="FE198" s="137">
        <v>0.80769230000000003</v>
      </c>
      <c r="FG198" s="137">
        <v>0.50583089999999997</v>
      </c>
    </row>
    <row r="199" spans="1:163" x14ac:dyDescent="0.35">
      <c r="A199" s="143" t="s">
        <v>761</v>
      </c>
      <c r="B199" s="143" t="s">
        <v>720</v>
      </c>
      <c r="C199" s="143" t="s">
        <v>841</v>
      </c>
      <c r="D199" s="143">
        <v>1161</v>
      </c>
      <c r="E199" s="78">
        <v>0.5</v>
      </c>
      <c r="F199" s="78">
        <v>2.5</v>
      </c>
      <c r="G199" s="78">
        <v>1</v>
      </c>
      <c r="H199" s="78">
        <v>0</v>
      </c>
      <c r="I199" s="78">
        <v>1</v>
      </c>
      <c r="J199" s="78">
        <v>1</v>
      </c>
      <c r="K199" s="78">
        <v>1</v>
      </c>
      <c r="L199" s="78">
        <v>1</v>
      </c>
      <c r="M199" s="78">
        <v>2</v>
      </c>
      <c r="N199" s="137">
        <v>0.71428570000000002</v>
      </c>
      <c r="P199" s="143" t="s">
        <v>761</v>
      </c>
      <c r="Q199" s="143" t="s">
        <v>720</v>
      </c>
      <c r="R199" s="143" t="s">
        <v>841</v>
      </c>
      <c r="S199" s="143">
        <v>1161</v>
      </c>
      <c r="T199" s="78">
        <v>1</v>
      </c>
      <c r="U199" s="78">
        <v>1</v>
      </c>
      <c r="V199" s="78">
        <v>3</v>
      </c>
      <c r="W199" s="78">
        <v>1</v>
      </c>
      <c r="X199" s="78">
        <v>0</v>
      </c>
      <c r="Y199" s="78">
        <v>1</v>
      </c>
      <c r="Z199" s="78">
        <v>3</v>
      </c>
      <c r="AA199" s="78">
        <v>2</v>
      </c>
      <c r="AB199" s="78">
        <v>6</v>
      </c>
      <c r="AC199" s="78">
        <v>3</v>
      </c>
      <c r="AD199" s="137">
        <v>0.6176471</v>
      </c>
      <c r="AF199" s="143" t="s">
        <v>761</v>
      </c>
      <c r="AG199" s="143" t="s">
        <v>720</v>
      </c>
      <c r="AH199" s="143" t="s">
        <v>841</v>
      </c>
      <c r="AI199" s="143">
        <v>1161</v>
      </c>
      <c r="AJ199" s="78">
        <v>1</v>
      </c>
      <c r="AK199" s="78">
        <v>1</v>
      </c>
      <c r="AL199" s="78">
        <v>1</v>
      </c>
      <c r="AM199" s="78">
        <v>6</v>
      </c>
      <c r="AN199" s="78">
        <v>1</v>
      </c>
      <c r="AO199" s="78">
        <v>0</v>
      </c>
      <c r="AP199" s="78">
        <v>2</v>
      </c>
      <c r="AQ199" s="78">
        <v>1</v>
      </c>
      <c r="AR199" s="78">
        <v>2</v>
      </c>
      <c r="AS199" s="78">
        <v>2</v>
      </c>
      <c r="AT199" s="78">
        <v>2</v>
      </c>
      <c r="AU199" s="78">
        <v>0</v>
      </c>
      <c r="AV199" s="78">
        <v>2</v>
      </c>
      <c r="AW199" s="78">
        <v>0</v>
      </c>
      <c r="AX199" s="78">
        <v>0</v>
      </c>
      <c r="AY199" s="78">
        <v>1</v>
      </c>
      <c r="AZ199" s="78">
        <v>2</v>
      </c>
      <c r="BA199" s="78">
        <v>0.5</v>
      </c>
      <c r="BB199" s="78">
        <v>0.5</v>
      </c>
      <c r="BC199" s="78">
        <v>0.5</v>
      </c>
      <c r="BD199" s="78">
        <v>1</v>
      </c>
      <c r="BE199" s="78">
        <v>0.5</v>
      </c>
      <c r="BF199" s="78">
        <v>0</v>
      </c>
      <c r="BG199" s="78">
        <v>6</v>
      </c>
      <c r="BH199" s="137">
        <v>0.75</v>
      </c>
      <c r="BJ199" s="143" t="s">
        <v>761</v>
      </c>
      <c r="BK199" s="143" t="s">
        <v>720</v>
      </c>
      <c r="BL199" s="143" t="s">
        <v>841</v>
      </c>
      <c r="BM199" s="143">
        <v>1161</v>
      </c>
      <c r="BN199" s="78">
        <v>1</v>
      </c>
      <c r="BO199" s="78">
        <v>4</v>
      </c>
      <c r="BP199" s="78">
        <v>7</v>
      </c>
      <c r="BQ199" s="78">
        <v>3</v>
      </c>
      <c r="BR199" s="78">
        <v>3</v>
      </c>
      <c r="BS199" s="78">
        <v>3</v>
      </c>
      <c r="BT199" s="78">
        <v>2</v>
      </c>
      <c r="BU199" s="137">
        <v>1</v>
      </c>
      <c r="BW199" s="143" t="s">
        <v>761</v>
      </c>
      <c r="BX199" s="143" t="s">
        <v>720</v>
      </c>
      <c r="BY199" s="143" t="s">
        <v>841</v>
      </c>
      <c r="BZ199" s="143">
        <v>1161</v>
      </c>
      <c r="CA199" s="78">
        <v>1</v>
      </c>
      <c r="CB199" s="78">
        <v>1</v>
      </c>
      <c r="CC199" s="78">
        <v>1</v>
      </c>
      <c r="CD199" s="78">
        <v>0</v>
      </c>
      <c r="CE199" s="78">
        <v>1</v>
      </c>
      <c r="CF199" s="78">
        <v>2</v>
      </c>
      <c r="CG199" s="78">
        <v>1</v>
      </c>
      <c r="CH199" s="78">
        <v>2</v>
      </c>
      <c r="CI199" s="78">
        <v>1</v>
      </c>
      <c r="CJ199" s="78">
        <v>3</v>
      </c>
      <c r="CK199" s="137">
        <v>0.86666670000000001</v>
      </c>
      <c r="CM199" s="143" t="s">
        <v>761</v>
      </c>
      <c r="CN199" s="143" t="s">
        <v>720</v>
      </c>
      <c r="CO199" s="143" t="s">
        <v>841</v>
      </c>
      <c r="CP199" s="143">
        <v>1161</v>
      </c>
      <c r="CQ199" s="78">
        <v>8</v>
      </c>
      <c r="CR199" s="78">
        <v>0</v>
      </c>
      <c r="CS199" s="78">
        <v>24</v>
      </c>
      <c r="CT199" s="78">
        <v>0</v>
      </c>
      <c r="CU199" s="78">
        <v>0</v>
      </c>
      <c r="CV199" s="78">
        <v>8</v>
      </c>
      <c r="CW199" s="137">
        <v>0.76923079999999999</v>
      </c>
      <c r="CY199" s="143" t="s">
        <v>761</v>
      </c>
      <c r="CZ199" s="143" t="s">
        <v>720</v>
      </c>
      <c r="DA199" s="143" t="s">
        <v>841</v>
      </c>
      <c r="DB199" s="143">
        <v>1161</v>
      </c>
      <c r="DC199" s="78">
        <v>52</v>
      </c>
      <c r="DD199" s="137">
        <v>0.6</v>
      </c>
      <c r="DE199" s="137">
        <v>0.3391304</v>
      </c>
      <c r="DG199" s="143" t="s">
        <v>761</v>
      </c>
      <c r="DH199" s="143" t="s">
        <v>720</v>
      </c>
      <c r="DI199" s="143" t="s">
        <v>841</v>
      </c>
      <c r="DJ199" s="143">
        <v>1161</v>
      </c>
      <c r="DK199" s="78">
        <v>2</v>
      </c>
      <c r="DL199" s="78">
        <v>1</v>
      </c>
      <c r="DM199" s="78">
        <v>1</v>
      </c>
      <c r="DN199" s="78">
        <v>5</v>
      </c>
      <c r="DO199" s="78">
        <v>2</v>
      </c>
      <c r="DP199" s="78">
        <v>3</v>
      </c>
      <c r="DQ199" s="78">
        <v>8</v>
      </c>
      <c r="DR199" s="78">
        <v>1</v>
      </c>
      <c r="DS199" s="78">
        <v>1</v>
      </c>
      <c r="DT199" s="78">
        <v>0</v>
      </c>
      <c r="DU199" s="78">
        <v>0</v>
      </c>
      <c r="DV199" s="137">
        <v>0.82758620000000005</v>
      </c>
      <c r="DX199" s="143" t="s">
        <v>761</v>
      </c>
      <c r="DY199" s="143" t="s">
        <v>720</v>
      </c>
      <c r="DZ199" s="143" t="s">
        <v>841</v>
      </c>
      <c r="EA199" s="143">
        <v>1161</v>
      </c>
      <c r="EB199" s="78">
        <v>1</v>
      </c>
      <c r="EC199" s="78">
        <v>8</v>
      </c>
      <c r="ED199" s="78">
        <v>1</v>
      </c>
      <c r="EE199" s="78">
        <v>4</v>
      </c>
      <c r="EF199" s="78">
        <v>3</v>
      </c>
      <c r="EG199" s="78">
        <v>1</v>
      </c>
      <c r="EH199" s="78">
        <v>0</v>
      </c>
      <c r="EI199" s="78">
        <v>1</v>
      </c>
      <c r="EJ199" s="78">
        <v>1</v>
      </c>
      <c r="EK199" s="78">
        <v>1</v>
      </c>
      <c r="EL199" s="78">
        <v>1</v>
      </c>
      <c r="EM199" s="78">
        <v>1</v>
      </c>
      <c r="EN199" s="78">
        <v>1</v>
      </c>
      <c r="EO199" s="78">
        <v>1</v>
      </c>
      <c r="EP199" s="78">
        <v>1</v>
      </c>
      <c r="EQ199" s="137">
        <v>0.96296300000000001</v>
      </c>
      <c r="ES199" s="143" t="s">
        <v>761</v>
      </c>
      <c r="ET199" s="143" t="s">
        <v>720</v>
      </c>
      <c r="EU199" s="143" t="s">
        <v>841</v>
      </c>
      <c r="EV199" s="143">
        <v>1161</v>
      </c>
      <c r="EW199" s="78">
        <v>0</v>
      </c>
      <c r="EX199" s="78">
        <v>1</v>
      </c>
      <c r="EY199" s="78">
        <v>0</v>
      </c>
      <c r="EZ199" s="78">
        <v>0</v>
      </c>
      <c r="FA199" s="78">
        <v>0.5</v>
      </c>
      <c r="FB199" s="78">
        <v>3</v>
      </c>
      <c r="FC199" s="78">
        <v>2</v>
      </c>
      <c r="FD199" s="78">
        <v>1</v>
      </c>
      <c r="FE199" s="137">
        <v>0.57692310000000002</v>
      </c>
      <c r="FG199" s="137">
        <v>0.66676380000000002</v>
      </c>
    </row>
    <row r="200" spans="1:163" x14ac:dyDescent="0.35">
      <c r="A200" s="143" t="s">
        <v>761</v>
      </c>
      <c r="B200" s="143" t="s">
        <v>720</v>
      </c>
      <c r="C200" s="143" t="s">
        <v>842</v>
      </c>
      <c r="D200" s="143">
        <v>1685</v>
      </c>
      <c r="E200" s="78">
        <v>0.5</v>
      </c>
      <c r="F200" s="78">
        <v>2.5</v>
      </c>
      <c r="G200" s="78">
        <v>1</v>
      </c>
      <c r="H200" s="78">
        <v>0</v>
      </c>
      <c r="I200" s="78">
        <v>1</v>
      </c>
      <c r="J200" s="78">
        <v>0</v>
      </c>
      <c r="K200" s="78">
        <v>1</v>
      </c>
      <c r="L200" s="78">
        <v>1</v>
      </c>
      <c r="M200" s="78">
        <v>2</v>
      </c>
      <c r="N200" s="137">
        <v>0.64285709999999996</v>
      </c>
      <c r="P200" s="143" t="s">
        <v>761</v>
      </c>
      <c r="Q200" s="143" t="s">
        <v>720</v>
      </c>
      <c r="R200" s="143" t="s">
        <v>842</v>
      </c>
      <c r="S200" s="143">
        <v>1685</v>
      </c>
      <c r="T200" s="78">
        <v>0</v>
      </c>
      <c r="U200" s="78">
        <v>1</v>
      </c>
      <c r="V200" s="78">
        <v>0</v>
      </c>
      <c r="W200" s="78">
        <v>2</v>
      </c>
      <c r="X200" s="78">
        <v>0</v>
      </c>
      <c r="Y200" s="78">
        <v>1</v>
      </c>
      <c r="Z200" s="78">
        <v>3</v>
      </c>
      <c r="AA200" s="78">
        <v>0</v>
      </c>
      <c r="AB200" s="78">
        <v>0</v>
      </c>
      <c r="AC200" s="78">
        <v>3</v>
      </c>
      <c r="AD200" s="137">
        <v>0.29411769999999998</v>
      </c>
      <c r="AF200" s="143" t="s">
        <v>761</v>
      </c>
      <c r="AG200" s="143" t="s">
        <v>720</v>
      </c>
      <c r="AH200" s="143" t="s">
        <v>842</v>
      </c>
      <c r="AI200" s="143">
        <v>1685</v>
      </c>
      <c r="AJ200" s="78">
        <v>1</v>
      </c>
      <c r="AK200" s="78">
        <v>1</v>
      </c>
      <c r="AL200" s="78">
        <v>1</v>
      </c>
      <c r="AM200" s="78">
        <v>0</v>
      </c>
      <c r="AN200" s="78">
        <v>0</v>
      </c>
      <c r="AO200" s="78">
        <v>2</v>
      </c>
      <c r="AP200" s="78">
        <v>2</v>
      </c>
      <c r="AQ200" s="78">
        <v>1</v>
      </c>
      <c r="AR200" s="78">
        <v>2</v>
      </c>
      <c r="AS200" s="78">
        <v>2</v>
      </c>
      <c r="AT200" s="78">
        <v>2</v>
      </c>
      <c r="AU200" s="78">
        <v>0</v>
      </c>
      <c r="AV200" s="78">
        <v>2</v>
      </c>
      <c r="AW200" s="78">
        <v>0</v>
      </c>
      <c r="AX200" s="78">
        <v>0</v>
      </c>
      <c r="AY200" s="78">
        <v>1</v>
      </c>
      <c r="AZ200" s="78">
        <v>2</v>
      </c>
      <c r="BA200" s="78">
        <v>0.5</v>
      </c>
      <c r="BB200" s="78">
        <v>0.5</v>
      </c>
      <c r="BC200" s="78">
        <v>0.5</v>
      </c>
      <c r="BD200" s="78">
        <v>1</v>
      </c>
      <c r="BE200" s="78">
        <v>0.5</v>
      </c>
      <c r="BF200" s="78">
        <v>0</v>
      </c>
      <c r="BG200" s="78">
        <v>6</v>
      </c>
      <c r="BH200" s="137">
        <v>0.63636360000000003</v>
      </c>
      <c r="BJ200" s="143" t="s">
        <v>761</v>
      </c>
      <c r="BK200" s="143" t="s">
        <v>720</v>
      </c>
      <c r="BL200" s="143" t="s">
        <v>842</v>
      </c>
      <c r="BM200" s="143">
        <v>1685</v>
      </c>
      <c r="BN200" s="78">
        <v>1</v>
      </c>
      <c r="BO200" s="78">
        <v>0</v>
      </c>
      <c r="BP200" s="78">
        <v>7</v>
      </c>
      <c r="BQ200" s="78">
        <v>3</v>
      </c>
      <c r="BR200" s="78">
        <v>3</v>
      </c>
      <c r="BS200" s="78">
        <v>0</v>
      </c>
      <c r="BT200" s="78">
        <v>2</v>
      </c>
      <c r="BU200" s="137">
        <v>0.69565220000000005</v>
      </c>
      <c r="BW200" s="143" t="s">
        <v>761</v>
      </c>
      <c r="BX200" s="143" t="s">
        <v>720</v>
      </c>
      <c r="BY200" s="143" t="s">
        <v>842</v>
      </c>
      <c r="BZ200" s="143">
        <v>1685</v>
      </c>
      <c r="CA200" s="78">
        <v>1</v>
      </c>
      <c r="CB200" s="78">
        <v>1</v>
      </c>
      <c r="CC200" s="78">
        <v>0</v>
      </c>
      <c r="CD200" s="78">
        <v>0</v>
      </c>
      <c r="CE200" s="78">
        <v>1</v>
      </c>
      <c r="CF200" s="78">
        <v>2</v>
      </c>
      <c r="CG200" s="78">
        <v>0</v>
      </c>
      <c r="CH200" s="78">
        <v>2</v>
      </c>
      <c r="CI200" s="78">
        <v>1</v>
      </c>
      <c r="CJ200" s="78">
        <v>0</v>
      </c>
      <c r="CK200" s="137">
        <v>0.53333339999999996</v>
      </c>
      <c r="CM200" s="143" t="s">
        <v>761</v>
      </c>
      <c r="CN200" s="143" t="s">
        <v>720</v>
      </c>
      <c r="CO200" s="143" t="s">
        <v>842</v>
      </c>
      <c r="CP200" s="143">
        <v>1685</v>
      </c>
      <c r="CQ200" s="78">
        <v>6</v>
      </c>
      <c r="CR200" s="78">
        <v>0</v>
      </c>
      <c r="CS200" s="78">
        <v>8</v>
      </c>
      <c r="CT200" s="78">
        <v>4</v>
      </c>
      <c r="CU200" s="78">
        <v>0</v>
      </c>
      <c r="CV200" s="78">
        <v>8</v>
      </c>
      <c r="CW200" s="137">
        <v>0.5</v>
      </c>
      <c r="CY200" s="143" t="s">
        <v>761</v>
      </c>
      <c r="CZ200" s="143" t="s">
        <v>720</v>
      </c>
      <c r="DA200" s="143" t="s">
        <v>842</v>
      </c>
      <c r="DB200" s="143">
        <v>1685</v>
      </c>
      <c r="DC200" s="78">
        <v>30</v>
      </c>
      <c r="DD200" s="137">
        <v>0</v>
      </c>
      <c r="DE200" s="137">
        <v>0</v>
      </c>
      <c r="DG200" s="143" t="s">
        <v>761</v>
      </c>
      <c r="DH200" s="143" t="s">
        <v>720</v>
      </c>
      <c r="DI200" s="143" t="s">
        <v>842</v>
      </c>
      <c r="DJ200" s="143">
        <v>1685</v>
      </c>
      <c r="DK200" s="78">
        <v>2</v>
      </c>
      <c r="DL200" s="78">
        <v>0</v>
      </c>
      <c r="DM200" s="78">
        <v>0</v>
      </c>
      <c r="DN200" s="78">
        <v>5</v>
      </c>
      <c r="DO200" s="78">
        <v>2</v>
      </c>
      <c r="DP200" s="78">
        <v>3</v>
      </c>
      <c r="DQ200" s="78">
        <v>8</v>
      </c>
      <c r="DR200" s="78">
        <v>1</v>
      </c>
      <c r="DS200" s="78">
        <v>1</v>
      </c>
      <c r="DT200" s="78">
        <v>0</v>
      </c>
      <c r="DU200" s="78">
        <v>0</v>
      </c>
      <c r="DV200" s="137">
        <v>0.75862070000000004</v>
      </c>
      <c r="DX200" s="143" t="s">
        <v>761</v>
      </c>
      <c r="DY200" s="143" t="s">
        <v>720</v>
      </c>
      <c r="DZ200" s="143" t="s">
        <v>842</v>
      </c>
      <c r="EA200" s="143">
        <v>1685</v>
      </c>
      <c r="EB200" s="78">
        <v>1</v>
      </c>
      <c r="EC200" s="78">
        <v>8</v>
      </c>
      <c r="ED200" s="78">
        <v>1</v>
      </c>
      <c r="EE200" s="78">
        <v>4</v>
      </c>
      <c r="EF200" s="78">
        <v>3</v>
      </c>
      <c r="EG200" s="78">
        <v>1</v>
      </c>
      <c r="EH200" s="78">
        <v>0</v>
      </c>
      <c r="EI200" s="78">
        <v>1</v>
      </c>
      <c r="EJ200" s="78">
        <v>0</v>
      </c>
      <c r="EK200" s="78">
        <v>1</v>
      </c>
      <c r="EL200" s="78">
        <v>1</v>
      </c>
      <c r="EM200" s="78">
        <v>1</v>
      </c>
      <c r="EN200" s="78">
        <v>1</v>
      </c>
      <c r="EO200" s="78">
        <v>1</v>
      </c>
      <c r="EP200" s="78">
        <v>0</v>
      </c>
      <c r="EQ200" s="137">
        <v>0.88888889999999998</v>
      </c>
      <c r="ES200" s="143" t="s">
        <v>761</v>
      </c>
      <c r="ET200" s="143" t="s">
        <v>720</v>
      </c>
      <c r="EU200" s="143" t="s">
        <v>842</v>
      </c>
      <c r="EV200" s="143">
        <v>1685</v>
      </c>
      <c r="EW200" s="78">
        <v>0.5</v>
      </c>
      <c r="EX200" s="78">
        <v>1</v>
      </c>
      <c r="EY200" s="78">
        <v>3</v>
      </c>
      <c r="EZ200" s="78">
        <v>0</v>
      </c>
      <c r="FA200" s="78">
        <v>0.5</v>
      </c>
      <c r="FB200" s="78">
        <v>3</v>
      </c>
      <c r="FC200" s="78">
        <v>2</v>
      </c>
      <c r="FD200" s="78">
        <v>1</v>
      </c>
      <c r="FE200" s="137">
        <v>0.84615390000000001</v>
      </c>
      <c r="FG200" s="137">
        <v>0.44897959999999998</v>
      </c>
    </row>
    <row r="201" spans="1:163" x14ac:dyDescent="0.35">
      <c r="A201" s="143" t="s">
        <v>761</v>
      </c>
      <c r="B201" s="143" t="s">
        <v>720</v>
      </c>
      <c r="C201" s="143" t="s">
        <v>842</v>
      </c>
      <c r="D201" s="143">
        <v>1697</v>
      </c>
      <c r="E201" s="78">
        <v>0.5</v>
      </c>
      <c r="F201" s="78">
        <v>2.5</v>
      </c>
      <c r="G201" s="78">
        <v>1</v>
      </c>
      <c r="H201" s="78">
        <v>2</v>
      </c>
      <c r="I201" s="78">
        <v>1</v>
      </c>
      <c r="J201" s="78">
        <v>1</v>
      </c>
      <c r="K201" s="78">
        <v>1</v>
      </c>
      <c r="L201" s="78">
        <v>1</v>
      </c>
      <c r="M201" s="78">
        <v>0</v>
      </c>
      <c r="N201" s="137">
        <v>0.71428570000000002</v>
      </c>
      <c r="P201" s="143" t="s">
        <v>761</v>
      </c>
      <c r="Q201" s="143" t="s">
        <v>720</v>
      </c>
      <c r="R201" s="143" t="s">
        <v>842</v>
      </c>
      <c r="S201" s="143">
        <v>1697</v>
      </c>
      <c r="T201" s="78">
        <v>1</v>
      </c>
      <c r="U201" s="78">
        <v>1</v>
      </c>
      <c r="V201" s="78">
        <v>1</v>
      </c>
      <c r="W201" s="78">
        <v>2</v>
      </c>
      <c r="X201" s="78">
        <v>0</v>
      </c>
      <c r="Y201" s="78">
        <v>1</v>
      </c>
      <c r="Z201" s="78">
        <v>3</v>
      </c>
      <c r="AA201" s="78">
        <v>2</v>
      </c>
      <c r="AB201" s="78">
        <v>6</v>
      </c>
      <c r="AC201" s="78">
        <v>3</v>
      </c>
      <c r="AD201" s="137">
        <v>0.58823530000000002</v>
      </c>
      <c r="AF201" s="143" t="s">
        <v>761</v>
      </c>
      <c r="AG201" s="143" t="s">
        <v>720</v>
      </c>
      <c r="AH201" s="143" t="s">
        <v>842</v>
      </c>
      <c r="AI201" s="143">
        <v>1697</v>
      </c>
      <c r="AJ201" s="78">
        <v>0</v>
      </c>
      <c r="AK201" s="78">
        <v>1</v>
      </c>
      <c r="AL201" s="78">
        <v>1</v>
      </c>
      <c r="AM201" s="78">
        <v>0</v>
      </c>
      <c r="AN201" s="78">
        <v>1</v>
      </c>
      <c r="AO201" s="78">
        <v>2</v>
      </c>
      <c r="AP201" s="78">
        <v>2</v>
      </c>
      <c r="AQ201" s="78">
        <v>1</v>
      </c>
      <c r="AR201" s="78">
        <v>2</v>
      </c>
      <c r="AS201" s="78">
        <v>0</v>
      </c>
      <c r="AT201" s="78">
        <v>2</v>
      </c>
      <c r="AU201" s="78">
        <v>0</v>
      </c>
      <c r="AV201" s="78">
        <v>0</v>
      </c>
      <c r="AW201" s="78">
        <v>0</v>
      </c>
      <c r="AX201" s="78">
        <v>0</v>
      </c>
      <c r="AY201" s="78">
        <v>1</v>
      </c>
      <c r="AZ201" s="78">
        <v>2</v>
      </c>
      <c r="BA201" s="78">
        <v>0.5</v>
      </c>
      <c r="BB201" s="78">
        <v>0.5</v>
      </c>
      <c r="BC201" s="78">
        <v>0.5</v>
      </c>
      <c r="BD201" s="78">
        <v>0</v>
      </c>
      <c r="BE201" s="78">
        <v>0.5</v>
      </c>
      <c r="BF201" s="78">
        <v>0</v>
      </c>
      <c r="BG201" s="78">
        <v>6</v>
      </c>
      <c r="BH201" s="137">
        <v>0.52272730000000001</v>
      </c>
      <c r="BJ201" s="143" t="s">
        <v>761</v>
      </c>
      <c r="BK201" s="143" t="s">
        <v>720</v>
      </c>
      <c r="BL201" s="143" t="s">
        <v>842</v>
      </c>
      <c r="BM201" s="143">
        <v>1697</v>
      </c>
      <c r="BN201" s="78">
        <v>1</v>
      </c>
      <c r="BO201" s="78">
        <v>4</v>
      </c>
      <c r="BP201" s="78">
        <v>7</v>
      </c>
      <c r="BQ201" s="78">
        <v>0</v>
      </c>
      <c r="BR201" s="78">
        <v>3</v>
      </c>
      <c r="BS201" s="78">
        <v>3</v>
      </c>
      <c r="BT201" s="78">
        <v>2</v>
      </c>
      <c r="BU201" s="137">
        <v>0.86956520000000004</v>
      </c>
      <c r="BW201" s="143" t="s">
        <v>761</v>
      </c>
      <c r="BX201" s="143" t="s">
        <v>720</v>
      </c>
      <c r="BY201" s="143" t="s">
        <v>842</v>
      </c>
      <c r="BZ201" s="143">
        <v>1697</v>
      </c>
      <c r="CM201" s="143" t="s">
        <v>761</v>
      </c>
      <c r="CN201" s="143" t="s">
        <v>720</v>
      </c>
      <c r="CO201" s="143" t="s">
        <v>842</v>
      </c>
      <c r="CP201" s="143">
        <v>1697</v>
      </c>
      <c r="CQ201" s="78">
        <v>6</v>
      </c>
      <c r="CR201" s="78">
        <v>0</v>
      </c>
      <c r="CS201" s="78">
        <v>12</v>
      </c>
      <c r="CT201" s="78">
        <v>4</v>
      </c>
      <c r="CU201" s="78">
        <v>0</v>
      </c>
      <c r="CV201" s="78">
        <v>8</v>
      </c>
      <c r="CW201" s="137">
        <v>0.57692310000000002</v>
      </c>
      <c r="CY201" s="143" t="s">
        <v>761</v>
      </c>
      <c r="CZ201" s="143" t="s">
        <v>720</v>
      </c>
      <c r="DA201" s="143" t="s">
        <v>842</v>
      </c>
      <c r="DB201" s="143">
        <v>1697</v>
      </c>
      <c r="DC201" s="78">
        <v>46</v>
      </c>
      <c r="DD201" s="137">
        <v>0.2</v>
      </c>
      <c r="DE201" s="137">
        <v>0.1</v>
      </c>
      <c r="DG201" s="143" t="s">
        <v>761</v>
      </c>
      <c r="DH201" s="143" t="s">
        <v>720</v>
      </c>
      <c r="DI201" s="143" t="s">
        <v>842</v>
      </c>
      <c r="DJ201" s="143">
        <v>1697</v>
      </c>
      <c r="DK201" s="78">
        <v>2</v>
      </c>
      <c r="DL201" s="78">
        <v>1</v>
      </c>
      <c r="DM201" s="78">
        <v>0</v>
      </c>
      <c r="DN201" s="78">
        <v>5</v>
      </c>
      <c r="DO201" s="78">
        <v>2</v>
      </c>
      <c r="DP201" s="78">
        <v>3</v>
      </c>
      <c r="DQ201" s="78">
        <v>8</v>
      </c>
      <c r="DR201" s="78">
        <v>1</v>
      </c>
      <c r="DS201" s="78">
        <v>1</v>
      </c>
      <c r="DT201" s="78">
        <v>0</v>
      </c>
      <c r="DU201" s="78">
        <v>0</v>
      </c>
      <c r="DV201" s="137">
        <v>0.79310349999999996</v>
      </c>
      <c r="DX201" s="143" t="s">
        <v>761</v>
      </c>
      <c r="DY201" s="143" t="s">
        <v>720</v>
      </c>
      <c r="DZ201" s="143" t="s">
        <v>842</v>
      </c>
      <c r="EA201" s="143">
        <v>1697</v>
      </c>
      <c r="EB201" s="78">
        <v>1</v>
      </c>
      <c r="EC201" s="78">
        <v>8</v>
      </c>
      <c r="ED201" s="78">
        <v>1</v>
      </c>
      <c r="EE201" s="78">
        <v>4</v>
      </c>
      <c r="EF201" s="78">
        <v>3</v>
      </c>
      <c r="EG201" s="78">
        <v>1</v>
      </c>
      <c r="EH201" s="78">
        <v>0</v>
      </c>
      <c r="EI201" s="78">
        <v>1</v>
      </c>
      <c r="EJ201" s="78">
        <v>0</v>
      </c>
      <c r="EK201" s="78">
        <v>0</v>
      </c>
      <c r="EL201" s="78">
        <v>1</v>
      </c>
      <c r="EM201" s="78">
        <v>0</v>
      </c>
      <c r="EN201" s="78">
        <v>1</v>
      </c>
      <c r="EO201" s="78">
        <v>0</v>
      </c>
      <c r="EP201" s="78">
        <v>0</v>
      </c>
      <c r="EQ201" s="137">
        <v>0.77777779999999996</v>
      </c>
      <c r="ES201" s="143" t="s">
        <v>761</v>
      </c>
      <c r="ET201" s="143" t="s">
        <v>720</v>
      </c>
      <c r="EU201" s="143" t="s">
        <v>842</v>
      </c>
      <c r="EV201" s="143">
        <v>1697</v>
      </c>
      <c r="EW201" s="78">
        <v>0.5</v>
      </c>
      <c r="EX201" s="78">
        <v>1</v>
      </c>
      <c r="EY201" s="78">
        <v>3</v>
      </c>
      <c r="EZ201" s="78">
        <v>0</v>
      </c>
      <c r="FA201" s="78">
        <v>0.5</v>
      </c>
      <c r="FB201" s="78">
        <v>3</v>
      </c>
      <c r="FC201" s="78">
        <v>2</v>
      </c>
      <c r="FD201" s="78">
        <v>1</v>
      </c>
      <c r="FE201" s="137">
        <v>0.84615390000000001</v>
      </c>
      <c r="FG201" s="137">
        <v>0.50975610000000005</v>
      </c>
    </row>
    <row r="202" spans="1:163" x14ac:dyDescent="0.35">
      <c r="A202" s="143" t="s">
        <v>761</v>
      </c>
      <c r="B202" s="143" t="s">
        <v>720</v>
      </c>
      <c r="C202" s="143" t="s">
        <v>842</v>
      </c>
      <c r="D202" s="143">
        <v>1707</v>
      </c>
      <c r="E202" s="78">
        <v>0.5</v>
      </c>
      <c r="F202" s="78">
        <v>2.5</v>
      </c>
      <c r="G202" s="78">
        <v>1</v>
      </c>
      <c r="H202" s="78">
        <v>1</v>
      </c>
      <c r="I202" s="78">
        <v>1</v>
      </c>
      <c r="J202" s="78">
        <v>1</v>
      </c>
      <c r="K202" s="78">
        <v>1</v>
      </c>
      <c r="L202" s="78">
        <v>0</v>
      </c>
      <c r="M202" s="78">
        <v>2</v>
      </c>
      <c r="N202" s="137">
        <v>0.71428570000000002</v>
      </c>
      <c r="P202" s="143" t="s">
        <v>761</v>
      </c>
      <c r="Q202" s="143" t="s">
        <v>720</v>
      </c>
      <c r="R202" s="143" t="s">
        <v>842</v>
      </c>
      <c r="S202" s="143">
        <v>1707</v>
      </c>
      <c r="T202" s="78">
        <v>1</v>
      </c>
      <c r="U202" s="78">
        <v>1</v>
      </c>
      <c r="V202" s="78">
        <v>1.5</v>
      </c>
      <c r="W202" s="78">
        <v>1</v>
      </c>
      <c r="X202" s="78">
        <v>0</v>
      </c>
      <c r="Y202" s="78">
        <v>1</v>
      </c>
      <c r="Z202" s="78">
        <v>3</v>
      </c>
      <c r="AA202" s="78">
        <v>0</v>
      </c>
      <c r="AB202" s="78">
        <v>6</v>
      </c>
      <c r="AC202" s="78">
        <v>3</v>
      </c>
      <c r="AD202" s="137">
        <v>0.51470590000000005</v>
      </c>
      <c r="AF202" s="143" t="s">
        <v>761</v>
      </c>
      <c r="AG202" s="143" t="s">
        <v>720</v>
      </c>
      <c r="AH202" s="143" t="s">
        <v>842</v>
      </c>
      <c r="AI202" s="143">
        <v>1707</v>
      </c>
      <c r="AJ202" s="78">
        <v>0</v>
      </c>
      <c r="AK202" s="78">
        <v>1</v>
      </c>
      <c r="AL202" s="78">
        <v>1</v>
      </c>
      <c r="AM202" s="78">
        <v>0</v>
      </c>
      <c r="AN202" s="78">
        <v>1</v>
      </c>
      <c r="AO202" s="78">
        <v>0</v>
      </c>
      <c r="AP202" s="78">
        <v>2</v>
      </c>
      <c r="AQ202" s="78">
        <v>1</v>
      </c>
      <c r="AR202" s="78">
        <v>2</v>
      </c>
      <c r="AS202" s="78">
        <v>0</v>
      </c>
      <c r="AT202" s="78">
        <v>0</v>
      </c>
      <c r="AU202" s="78">
        <v>0</v>
      </c>
      <c r="AV202" s="78">
        <v>2</v>
      </c>
      <c r="AW202" s="78">
        <v>0</v>
      </c>
      <c r="AX202" s="78">
        <v>0</v>
      </c>
      <c r="AY202" s="78">
        <v>1</v>
      </c>
      <c r="AZ202" s="78">
        <v>2</v>
      </c>
      <c r="BA202" s="78">
        <v>0.5</v>
      </c>
      <c r="BB202" s="78">
        <v>0.5</v>
      </c>
      <c r="BC202" s="78">
        <v>0.5</v>
      </c>
      <c r="BD202" s="78">
        <v>1</v>
      </c>
      <c r="BE202" s="78">
        <v>0.5</v>
      </c>
      <c r="BF202" s="78">
        <v>0</v>
      </c>
      <c r="BG202" s="78">
        <v>6</v>
      </c>
      <c r="BH202" s="137">
        <v>0.5</v>
      </c>
      <c r="BJ202" s="143" t="s">
        <v>761</v>
      </c>
      <c r="BK202" s="143" t="s">
        <v>720</v>
      </c>
      <c r="BL202" s="143" t="s">
        <v>842</v>
      </c>
      <c r="BM202" s="143">
        <v>1707</v>
      </c>
      <c r="BN202" s="78">
        <v>1</v>
      </c>
      <c r="BO202" s="78">
        <v>4</v>
      </c>
      <c r="BP202" s="78">
        <v>7</v>
      </c>
      <c r="BQ202" s="78">
        <v>3</v>
      </c>
      <c r="BR202" s="78">
        <v>3</v>
      </c>
      <c r="BS202" s="78">
        <v>3</v>
      </c>
      <c r="BT202" s="78">
        <v>2</v>
      </c>
      <c r="BU202" s="137">
        <v>1</v>
      </c>
      <c r="BW202" s="143" t="s">
        <v>761</v>
      </c>
      <c r="BX202" s="143" t="s">
        <v>720</v>
      </c>
      <c r="BY202" s="143" t="s">
        <v>842</v>
      </c>
      <c r="BZ202" s="143">
        <v>1707</v>
      </c>
      <c r="CM202" s="143" t="s">
        <v>761</v>
      </c>
      <c r="CN202" s="143" t="s">
        <v>720</v>
      </c>
      <c r="CO202" s="143" t="s">
        <v>842</v>
      </c>
      <c r="CP202" s="143">
        <v>1707</v>
      </c>
      <c r="CQ202" s="78">
        <v>6</v>
      </c>
      <c r="CR202" s="78">
        <v>0</v>
      </c>
      <c r="CS202" s="78">
        <v>12</v>
      </c>
      <c r="CT202" s="78">
        <v>4</v>
      </c>
      <c r="CU202" s="78">
        <v>0</v>
      </c>
      <c r="CV202" s="78">
        <v>8</v>
      </c>
      <c r="CW202" s="137">
        <v>0.57692310000000002</v>
      </c>
      <c r="CY202" s="143" t="s">
        <v>761</v>
      </c>
      <c r="CZ202" s="143" t="s">
        <v>720</v>
      </c>
      <c r="DA202" s="143" t="s">
        <v>842</v>
      </c>
      <c r="DB202" s="143">
        <v>1707</v>
      </c>
      <c r="DC202" s="78">
        <v>38</v>
      </c>
      <c r="DD202" s="137">
        <v>0.6</v>
      </c>
      <c r="DE202" s="137">
        <v>0.24782609999999999</v>
      </c>
      <c r="DG202" s="143" t="s">
        <v>761</v>
      </c>
      <c r="DH202" s="143" t="s">
        <v>720</v>
      </c>
      <c r="DI202" s="143" t="s">
        <v>842</v>
      </c>
      <c r="DJ202" s="143">
        <v>1707</v>
      </c>
      <c r="DK202" s="78">
        <v>2</v>
      </c>
      <c r="DL202" s="78">
        <v>1</v>
      </c>
      <c r="DM202" s="78">
        <v>0</v>
      </c>
      <c r="DN202" s="78">
        <v>5</v>
      </c>
      <c r="DO202" s="78">
        <v>2</v>
      </c>
      <c r="DP202" s="78">
        <v>3</v>
      </c>
      <c r="DQ202" s="78">
        <v>7</v>
      </c>
      <c r="DR202" s="78">
        <v>0</v>
      </c>
      <c r="DS202" s="78">
        <v>0</v>
      </c>
      <c r="DT202" s="78">
        <v>0</v>
      </c>
      <c r="DU202" s="78">
        <v>0</v>
      </c>
      <c r="DV202" s="137">
        <v>0.68965520000000002</v>
      </c>
      <c r="DX202" s="143" t="s">
        <v>761</v>
      </c>
      <c r="DY202" s="143" t="s">
        <v>720</v>
      </c>
      <c r="DZ202" s="143" t="s">
        <v>842</v>
      </c>
      <c r="EA202" s="143">
        <v>1707</v>
      </c>
      <c r="EB202" s="78">
        <v>1</v>
      </c>
      <c r="EC202" s="78">
        <v>8</v>
      </c>
      <c r="ED202" s="78">
        <v>1</v>
      </c>
      <c r="EE202" s="78">
        <v>4</v>
      </c>
      <c r="EF202" s="78">
        <v>3</v>
      </c>
      <c r="EG202" s="78">
        <v>1</v>
      </c>
      <c r="EH202" s="78">
        <v>0</v>
      </c>
      <c r="EI202" s="78">
        <v>1</v>
      </c>
      <c r="EJ202" s="78">
        <v>1</v>
      </c>
      <c r="EK202" s="78">
        <v>1</v>
      </c>
      <c r="EL202" s="78">
        <v>1</v>
      </c>
      <c r="EM202" s="78">
        <v>1</v>
      </c>
      <c r="EN202" s="78">
        <v>1</v>
      </c>
      <c r="EO202" s="78">
        <v>1</v>
      </c>
      <c r="EP202" s="78">
        <v>0</v>
      </c>
      <c r="EQ202" s="137">
        <v>0.92592589999999997</v>
      </c>
      <c r="ES202" s="143" t="s">
        <v>761</v>
      </c>
      <c r="ET202" s="143" t="s">
        <v>720</v>
      </c>
      <c r="EU202" s="143" t="s">
        <v>842</v>
      </c>
      <c r="EV202" s="143">
        <v>1707</v>
      </c>
      <c r="EW202" s="78">
        <v>0.5</v>
      </c>
      <c r="EX202" s="78">
        <v>0</v>
      </c>
      <c r="EY202" s="78">
        <v>3</v>
      </c>
      <c r="EZ202" s="78">
        <v>0</v>
      </c>
      <c r="FA202" s="78">
        <v>0.5</v>
      </c>
      <c r="FB202" s="78">
        <v>3</v>
      </c>
      <c r="FC202" s="78">
        <v>2</v>
      </c>
      <c r="FD202" s="78">
        <v>1</v>
      </c>
      <c r="FE202" s="137">
        <v>0.76923079999999999</v>
      </c>
      <c r="FG202" s="137">
        <v>0.54969509999999999</v>
      </c>
    </row>
    <row r="203" spans="1:163" x14ac:dyDescent="0.35">
      <c r="A203" s="143" t="s">
        <v>761</v>
      </c>
      <c r="B203" s="143" t="s">
        <v>720</v>
      </c>
      <c r="C203" s="143" t="s">
        <v>842</v>
      </c>
      <c r="D203" s="143">
        <v>1708</v>
      </c>
      <c r="E203" s="78">
        <v>0.5</v>
      </c>
      <c r="F203" s="78">
        <v>2.5</v>
      </c>
      <c r="G203" s="78">
        <v>1</v>
      </c>
      <c r="H203" s="78">
        <v>2</v>
      </c>
      <c r="I203" s="78">
        <v>1</v>
      </c>
      <c r="J203" s="78">
        <v>1</v>
      </c>
      <c r="K203" s="78">
        <v>1</v>
      </c>
      <c r="L203" s="78">
        <v>0</v>
      </c>
      <c r="M203" s="78">
        <v>2</v>
      </c>
      <c r="N203" s="137">
        <v>0.78571429999999998</v>
      </c>
      <c r="P203" s="143" t="s">
        <v>761</v>
      </c>
      <c r="Q203" s="143" t="s">
        <v>720</v>
      </c>
      <c r="R203" s="143" t="s">
        <v>842</v>
      </c>
      <c r="S203" s="143">
        <v>1708</v>
      </c>
      <c r="T203" s="78">
        <v>1</v>
      </c>
      <c r="U203" s="78">
        <v>1</v>
      </c>
      <c r="V203" s="78">
        <v>2</v>
      </c>
      <c r="W203" s="78">
        <v>2</v>
      </c>
      <c r="X203" s="78">
        <v>0</v>
      </c>
      <c r="Y203" s="78">
        <v>1</v>
      </c>
      <c r="Z203" s="78">
        <v>3</v>
      </c>
      <c r="AA203" s="78">
        <v>0</v>
      </c>
      <c r="AB203" s="78">
        <v>6</v>
      </c>
      <c r="AC203" s="78">
        <v>3</v>
      </c>
      <c r="AD203" s="137">
        <v>0.55882350000000003</v>
      </c>
      <c r="AF203" s="143" t="s">
        <v>761</v>
      </c>
      <c r="AG203" s="143" t="s">
        <v>720</v>
      </c>
      <c r="AH203" s="143" t="s">
        <v>842</v>
      </c>
      <c r="AI203" s="143">
        <v>1708</v>
      </c>
      <c r="AJ203" s="78">
        <v>1</v>
      </c>
      <c r="AK203" s="78">
        <v>1</v>
      </c>
      <c r="AL203" s="78">
        <v>1</v>
      </c>
      <c r="AM203" s="78">
        <v>0</v>
      </c>
      <c r="AN203" s="78">
        <v>1</v>
      </c>
      <c r="AO203" s="78">
        <v>2</v>
      </c>
      <c r="AP203" s="78">
        <v>2</v>
      </c>
      <c r="AQ203" s="78">
        <v>1</v>
      </c>
      <c r="AR203" s="78">
        <v>2</v>
      </c>
      <c r="AS203" s="78">
        <v>0</v>
      </c>
      <c r="AT203" s="78">
        <v>0</v>
      </c>
      <c r="AU203" s="78">
        <v>0</v>
      </c>
      <c r="AV203" s="78">
        <v>2</v>
      </c>
      <c r="AW203" s="78">
        <v>0</v>
      </c>
      <c r="AX203" s="78">
        <v>0</v>
      </c>
      <c r="AY203" s="78">
        <v>1</v>
      </c>
      <c r="AZ203" s="78">
        <v>2</v>
      </c>
      <c r="BA203" s="78">
        <v>0.5</v>
      </c>
      <c r="BB203" s="78">
        <v>0.5</v>
      </c>
      <c r="BC203" s="78">
        <v>0.5</v>
      </c>
      <c r="BD203" s="78">
        <v>1</v>
      </c>
      <c r="BE203" s="78">
        <v>0.5</v>
      </c>
      <c r="BF203" s="78">
        <v>0</v>
      </c>
      <c r="BG203" s="78">
        <v>6</v>
      </c>
      <c r="BH203" s="137">
        <v>0.56818179999999996</v>
      </c>
      <c r="BJ203" s="143" t="s">
        <v>761</v>
      </c>
      <c r="BK203" s="143" t="s">
        <v>720</v>
      </c>
      <c r="BL203" s="143" t="s">
        <v>842</v>
      </c>
      <c r="BM203" s="143">
        <v>1708</v>
      </c>
      <c r="BN203" s="78">
        <v>0</v>
      </c>
      <c r="BO203" s="78">
        <v>4</v>
      </c>
      <c r="BP203" s="78">
        <v>7</v>
      </c>
      <c r="BQ203" s="78">
        <v>0</v>
      </c>
      <c r="BR203" s="78">
        <v>0</v>
      </c>
      <c r="BS203" s="78">
        <v>0</v>
      </c>
      <c r="BT203" s="78">
        <v>2</v>
      </c>
      <c r="BU203" s="137">
        <v>0.56521739999999998</v>
      </c>
      <c r="BW203" s="143" t="s">
        <v>761</v>
      </c>
      <c r="BX203" s="143" t="s">
        <v>720</v>
      </c>
      <c r="BY203" s="143" t="s">
        <v>842</v>
      </c>
      <c r="BZ203" s="143">
        <v>1708</v>
      </c>
      <c r="CM203" s="143" t="s">
        <v>761</v>
      </c>
      <c r="CN203" s="143" t="s">
        <v>720</v>
      </c>
      <c r="CO203" s="143" t="s">
        <v>842</v>
      </c>
      <c r="CP203" s="143">
        <v>1708</v>
      </c>
      <c r="CQ203" s="78">
        <v>6</v>
      </c>
      <c r="CR203" s="78">
        <v>0</v>
      </c>
      <c r="CS203" s="78">
        <v>16</v>
      </c>
      <c r="CT203" s="78">
        <v>4</v>
      </c>
      <c r="CU203" s="78">
        <v>0</v>
      </c>
      <c r="CV203" s="78">
        <v>8</v>
      </c>
      <c r="CW203" s="137">
        <v>0.65384609999999999</v>
      </c>
      <c r="CY203" s="143" t="s">
        <v>761</v>
      </c>
      <c r="CZ203" s="143" t="s">
        <v>720</v>
      </c>
      <c r="DA203" s="143" t="s">
        <v>842</v>
      </c>
      <c r="DB203" s="143">
        <v>1708</v>
      </c>
      <c r="DC203" s="78">
        <v>36</v>
      </c>
      <c r="DD203" s="137">
        <v>0.2</v>
      </c>
      <c r="DE203" s="137">
        <v>7.8260899999999994E-2</v>
      </c>
      <c r="DG203" s="143" t="s">
        <v>761</v>
      </c>
      <c r="DH203" s="143" t="s">
        <v>720</v>
      </c>
      <c r="DI203" s="143" t="s">
        <v>842</v>
      </c>
      <c r="DJ203" s="143">
        <v>1708</v>
      </c>
      <c r="DK203" s="78">
        <v>2</v>
      </c>
      <c r="DL203" s="78">
        <v>1</v>
      </c>
      <c r="DM203" s="78">
        <v>1</v>
      </c>
      <c r="DN203" s="78">
        <v>5</v>
      </c>
      <c r="DO203" s="78">
        <v>2</v>
      </c>
      <c r="DP203" s="78">
        <v>3</v>
      </c>
      <c r="DQ203" s="78">
        <v>7</v>
      </c>
      <c r="DR203" s="78">
        <v>0</v>
      </c>
      <c r="DS203" s="78">
        <v>0</v>
      </c>
      <c r="DT203" s="78">
        <v>0</v>
      </c>
      <c r="DU203" s="78">
        <v>0</v>
      </c>
      <c r="DV203" s="137">
        <v>0.7241379</v>
      </c>
      <c r="DX203" s="143" t="s">
        <v>761</v>
      </c>
      <c r="DY203" s="143" t="s">
        <v>720</v>
      </c>
      <c r="DZ203" s="143" t="s">
        <v>842</v>
      </c>
      <c r="EA203" s="143">
        <v>1708</v>
      </c>
      <c r="EB203" s="78">
        <v>1</v>
      </c>
      <c r="EC203" s="78">
        <v>8</v>
      </c>
      <c r="ED203" s="78">
        <v>1</v>
      </c>
      <c r="EE203" s="78">
        <v>4</v>
      </c>
      <c r="EF203" s="78">
        <v>3</v>
      </c>
      <c r="EG203" s="78">
        <v>1</v>
      </c>
      <c r="EH203" s="78">
        <v>0</v>
      </c>
      <c r="EI203" s="78">
        <v>1</v>
      </c>
      <c r="EJ203" s="78">
        <v>1</v>
      </c>
      <c r="EK203" s="78">
        <v>1</v>
      </c>
      <c r="EL203" s="78">
        <v>1</v>
      </c>
      <c r="EM203" s="78">
        <v>1</v>
      </c>
      <c r="EN203" s="78">
        <v>1</v>
      </c>
      <c r="EO203" s="78">
        <v>1</v>
      </c>
      <c r="EP203" s="78">
        <v>0</v>
      </c>
      <c r="EQ203" s="137">
        <v>0.92592589999999997</v>
      </c>
      <c r="ES203" s="143" t="s">
        <v>761</v>
      </c>
      <c r="ET203" s="143" t="s">
        <v>720</v>
      </c>
      <c r="EU203" s="143" t="s">
        <v>842</v>
      </c>
      <c r="EV203" s="143">
        <v>1708</v>
      </c>
      <c r="EW203" s="78">
        <v>0.5</v>
      </c>
      <c r="EX203" s="78">
        <v>1</v>
      </c>
      <c r="EY203" s="78">
        <v>3</v>
      </c>
      <c r="EZ203" s="78">
        <v>0</v>
      </c>
      <c r="FA203" s="78">
        <v>0.5</v>
      </c>
      <c r="FB203" s="78">
        <v>3</v>
      </c>
      <c r="FC203" s="78">
        <v>2</v>
      </c>
      <c r="FD203" s="78">
        <v>1</v>
      </c>
      <c r="FE203" s="137">
        <v>0.84615390000000001</v>
      </c>
      <c r="FG203" s="137">
        <v>0.50670729999999997</v>
      </c>
    </row>
    <row r="204" spans="1:163" x14ac:dyDescent="0.35">
      <c r="A204" s="143" t="s">
        <v>762</v>
      </c>
      <c r="B204" s="143" t="s">
        <v>763</v>
      </c>
      <c r="C204" s="143" t="s">
        <v>843</v>
      </c>
      <c r="D204" s="143">
        <v>781</v>
      </c>
      <c r="E204" s="78">
        <v>0</v>
      </c>
      <c r="F204" s="78">
        <v>1.5</v>
      </c>
      <c r="G204" s="78">
        <v>0</v>
      </c>
      <c r="H204" s="78">
        <v>1</v>
      </c>
      <c r="I204" s="78">
        <v>1</v>
      </c>
      <c r="J204" s="78">
        <v>0</v>
      </c>
      <c r="K204" s="78">
        <v>0</v>
      </c>
      <c r="L204" s="78">
        <v>0</v>
      </c>
      <c r="M204" s="78">
        <v>2</v>
      </c>
      <c r="N204" s="137">
        <v>0.39285710000000001</v>
      </c>
      <c r="P204" s="143" t="s">
        <v>762</v>
      </c>
      <c r="Q204" s="143" t="s">
        <v>763</v>
      </c>
      <c r="R204" s="143" t="s">
        <v>843</v>
      </c>
      <c r="S204" s="143">
        <v>781</v>
      </c>
      <c r="T204" s="78">
        <v>1</v>
      </c>
      <c r="U204" s="78">
        <v>0</v>
      </c>
      <c r="V204" s="78">
        <v>0</v>
      </c>
      <c r="W204" s="78">
        <v>0.5</v>
      </c>
      <c r="X204" s="78">
        <v>0</v>
      </c>
      <c r="Y204" s="78">
        <v>0</v>
      </c>
      <c r="Z204" s="78">
        <v>0</v>
      </c>
      <c r="AA204" s="78">
        <v>0</v>
      </c>
      <c r="AB204" s="78">
        <v>0</v>
      </c>
      <c r="AC204" s="78">
        <v>0</v>
      </c>
      <c r="AD204" s="137">
        <v>4.41176E-2</v>
      </c>
      <c r="AF204" s="143" t="s">
        <v>762</v>
      </c>
      <c r="AG204" s="143" t="s">
        <v>763</v>
      </c>
      <c r="AH204" s="143" t="s">
        <v>843</v>
      </c>
      <c r="AI204" s="143">
        <v>781</v>
      </c>
      <c r="AJ204" s="78">
        <v>1</v>
      </c>
      <c r="AK204" s="78">
        <v>0</v>
      </c>
      <c r="AL204" s="78">
        <v>0</v>
      </c>
      <c r="AM204" s="78">
        <v>1</v>
      </c>
      <c r="AN204" s="78">
        <v>1</v>
      </c>
      <c r="AO204" s="78">
        <v>0</v>
      </c>
      <c r="AP204" s="78">
        <v>2</v>
      </c>
      <c r="AQ204" s="78">
        <v>1</v>
      </c>
      <c r="AR204" s="78">
        <v>2</v>
      </c>
      <c r="AS204" s="78">
        <v>2</v>
      </c>
      <c r="AT204" s="78">
        <v>0</v>
      </c>
      <c r="AU204" s="78">
        <v>0</v>
      </c>
      <c r="AV204" s="78">
        <v>0</v>
      </c>
      <c r="AW204" s="78">
        <v>0</v>
      </c>
      <c r="AX204" s="78">
        <v>4</v>
      </c>
      <c r="AY204" s="78">
        <v>0</v>
      </c>
      <c r="AZ204" s="78">
        <v>2</v>
      </c>
      <c r="BA204" s="78">
        <v>0.5</v>
      </c>
      <c r="BB204" s="78">
        <v>0.5</v>
      </c>
      <c r="BC204" s="78">
        <v>0</v>
      </c>
      <c r="BD204" s="78">
        <v>1</v>
      </c>
      <c r="BE204" s="78">
        <v>0.5</v>
      </c>
      <c r="BF204" s="78">
        <v>0</v>
      </c>
      <c r="BG204" s="78">
        <v>0</v>
      </c>
      <c r="BH204" s="137">
        <v>0.42045450000000001</v>
      </c>
      <c r="BJ204" s="143" t="s">
        <v>762</v>
      </c>
      <c r="BK204" s="143" t="s">
        <v>763</v>
      </c>
      <c r="BL204" s="143" t="s">
        <v>843</v>
      </c>
      <c r="BM204" s="143">
        <v>781</v>
      </c>
      <c r="BN204" s="78">
        <v>0</v>
      </c>
      <c r="BO204" s="78">
        <v>4</v>
      </c>
      <c r="BP204" s="78">
        <v>0</v>
      </c>
      <c r="BQ204" s="78">
        <v>3</v>
      </c>
      <c r="BR204" s="78">
        <v>3</v>
      </c>
      <c r="BS204" s="78">
        <v>3</v>
      </c>
      <c r="BT204" s="78">
        <v>0</v>
      </c>
      <c r="BU204" s="137">
        <v>0.56521739999999998</v>
      </c>
      <c r="BW204" s="143" t="s">
        <v>762</v>
      </c>
      <c r="BX204" s="143" t="s">
        <v>763</v>
      </c>
      <c r="BY204" s="143" t="s">
        <v>843</v>
      </c>
      <c r="BZ204" s="143">
        <v>781</v>
      </c>
      <c r="CA204" s="78">
        <v>1</v>
      </c>
      <c r="CB204" s="78">
        <v>1</v>
      </c>
      <c r="CC204" s="78">
        <v>0</v>
      </c>
      <c r="CD204" s="78">
        <v>2</v>
      </c>
      <c r="CE204" s="78">
        <v>0</v>
      </c>
      <c r="CF204" s="78">
        <v>0</v>
      </c>
      <c r="CG204" s="78">
        <v>1</v>
      </c>
      <c r="CH204" s="78">
        <v>0</v>
      </c>
      <c r="CI204" s="78">
        <v>1</v>
      </c>
      <c r="CJ204" s="78">
        <v>0</v>
      </c>
      <c r="CK204" s="137">
        <v>0.4</v>
      </c>
      <c r="CM204" s="143" t="s">
        <v>762</v>
      </c>
      <c r="CN204" s="143" t="s">
        <v>763</v>
      </c>
      <c r="CO204" s="143" t="s">
        <v>843</v>
      </c>
      <c r="CP204" s="143">
        <v>781</v>
      </c>
      <c r="CQ204" s="78">
        <v>8</v>
      </c>
      <c r="CR204" s="78">
        <v>6</v>
      </c>
      <c r="CS204" s="78">
        <v>12</v>
      </c>
      <c r="CT204" s="78">
        <v>4</v>
      </c>
      <c r="CU204" s="78">
        <v>0</v>
      </c>
      <c r="CV204" s="78">
        <v>8</v>
      </c>
      <c r="CW204" s="137">
        <v>0.73076920000000001</v>
      </c>
      <c r="CY204" s="143" t="s">
        <v>762</v>
      </c>
      <c r="CZ204" s="143" t="s">
        <v>763</v>
      </c>
      <c r="DA204" s="143" t="s">
        <v>843</v>
      </c>
      <c r="DB204" s="143">
        <v>781</v>
      </c>
      <c r="DC204" s="78">
        <v>0</v>
      </c>
      <c r="DD204" s="137">
        <v>0</v>
      </c>
      <c r="DE204" s="137">
        <v>0</v>
      </c>
      <c r="DG204" s="143" t="s">
        <v>762</v>
      </c>
      <c r="DH204" s="143" t="s">
        <v>763</v>
      </c>
      <c r="DI204" s="143" t="s">
        <v>843</v>
      </c>
      <c r="DJ204" s="143">
        <v>781</v>
      </c>
      <c r="DK204" s="78">
        <v>0</v>
      </c>
      <c r="DL204" s="78">
        <v>1</v>
      </c>
      <c r="DM204" s="78">
        <v>0</v>
      </c>
      <c r="DN204" s="78">
        <v>5</v>
      </c>
      <c r="DO204" s="78">
        <v>0</v>
      </c>
      <c r="DP204" s="78">
        <v>3</v>
      </c>
      <c r="DQ204" s="78">
        <v>8</v>
      </c>
      <c r="DR204" s="78">
        <v>1</v>
      </c>
      <c r="DS204" s="78">
        <v>1</v>
      </c>
      <c r="DT204" s="78">
        <v>0</v>
      </c>
      <c r="DU204" s="78">
        <v>0</v>
      </c>
      <c r="DV204" s="137">
        <v>0.65517239999999999</v>
      </c>
      <c r="DX204" s="143" t="s">
        <v>762</v>
      </c>
      <c r="DY204" s="143" t="s">
        <v>763</v>
      </c>
      <c r="DZ204" s="143" t="s">
        <v>843</v>
      </c>
      <c r="EA204" s="143">
        <v>781</v>
      </c>
      <c r="EB204" s="78">
        <v>0</v>
      </c>
      <c r="EC204" s="78">
        <v>8</v>
      </c>
      <c r="ED204" s="78">
        <v>1</v>
      </c>
      <c r="EE204" s="78">
        <v>4</v>
      </c>
      <c r="EF204" s="78">
        <v>0</v>
      </c>
      <c r="EG204" s="78">
        <v>1</v>
      </c>
      <c r="EH204" s="78">
        <v>0</v>
      </c>
      <c r="EI204" s="78">
        <v>1</v>
      </c>
      <c r="EJ204" s="78">
        <v>1</v>
      </c>
      <c r="EK204" s="78">
        <v>1</v>
      </c>
      <c r="EL204" s="78">
        <v>0</v>
      </c>
      <c r="EM204" s="78">
        <v>1</v>
      </c>
      <c r="EN204" s="78">
        <v>0</v>
      </c>
      <c r="EO204" s="78">
        <v>0</v>
      </c>
      <c r="EP204" s="78">
        <v>0</v>
      </c>
      <c r="EQ204" s="137">
        <v>0.66666669999999995</v>
      </c>
      <c r="ES204" s="143" t="s">
        <v>762</v>
      </c>
      <c r="ET204" s="143" t="s">
        <v>763</v>
      </c>
      <c r="EU204" s="143" t="s">
        <v>843</v>
      </c>
      <c r="EV204" s="143">
        <v>781</v>
      </c>
      <c r="EW204" s="78">
        <v>0</v>
      </c>
      <c r="EX204" s="78">
        <v>0</v>
      </c>
      <c r="EY204" s="78">
        <v>0</v>
      </c>
      <c r="EZ204" s="78">
        <v>0</v>
      </c>
      <c r="FA204" s="78">
        <v>0</v>
      </c>
      <c r="FB204" s="78">
        <v>0</v>
      </c>
      <c r="FC204" s="78">
        <v>2</v>
      </c>
      <c r="FD204" s="78">
        <v>0</v>
      </c>
      <c r="FE204" s="137">
        <v>0.15384619999999999</v>
      </c>
      <c r="FG204" s="137">
        <v>0.35422740000000003</v>
      </c>
    </row>
    <row r="205" spans="1:163" x14ac:dyDescent="0.35">
      <c r="A205" s="143" t="s">
        <v>762</v>
      </c>
      <c r="B205" s="143" t="s">
        <v>763</v>
      </c>
      <c r="C205" s="143" t="s">
        <v>842</v>
      </c>
      <c r="D205" s="143">
        <v>2479</v>
      </c>
      <c r="E205" s="78">
        <v>0</v>
      </c>
      <c r="F205" s="78">
        <v>2.5</v>
      </c>
      <c r="G205" s="78">
        <v>0</v>
      </c>
      <c r="H205" s="78">
        <v>4</v>
      </c>
      <c r="I205" s="78">
        <v>1</v>
      </c>
      <c r="J205" s="78">
        <v>0</v>
      </c>
      <c r="K205" s="78">
        <v>0</v>
      </c>
      <c r="L205" s="78">
        <v>0</v>
      </c>
      <c r="M205" s="78">
        <v>2</v>
      </c>
      <c r="N205" s="137">
        <v>0.67857140000000005</v>
      </c>
      <c r="P205" s="143" t="s">
        <v>762</v>
      </c>
      <c r="Q205" s="143" t="s">
        <v>763</v>
      </c>
      <c r="R205" s="143" t="s">
        <v>842</v>
      </c>
      <c r="S205" s="143">
        <v>2479</v>
      </c>
      <c r="T205" s="78">
        <v>1</v>
      </c>
      <c r="U205" s="78">
        <v>0</v>
      </c>
      <c r="V205" s="78">
        <v>1.5</v>
      </c>
      <c r="W205" s="78">
        <v>2</v>
      </c>
      <c r="X205" s="78">
        <v>0</v>
      </c>
      <c r="Y205" s="78">
        <v>1</v>
      </c>
      <c r="Z205" s="78">
        <v>3</v>
      </c>
      <c r="AA205" s="78">
        <v>0</v>
      </c>
      <c r="AB205" s="78">
        <v>0</v>
      </c>
      <c r="AC205" s="78">
        <v>3</v>
      </c>
      <c r="AD205" s="137">
        <v>0.33823530000000002</v>
      </c>
      <c r="AF205" s="143" t="s">
        <v>762</v>
      </c>
      <c r="AG205" s="143" t="s">
        <v>763</v>
      </c>
      <c r="AH205" s="143" t="s">
        <v>842</v>
      </c>
      <c r="AI205" s="143">
        <v>2479</v>
      </c>
      <c r="AJ205" s="78">
        <v>1</v>
      </c>
      <c r="AK205" s="78">
        <v>0</v>
      </c>
      <c r="AL205" s="78">
        <v>0</v>
      </c>
      <c r="AM205" s="78">
        <v>1</v>
      </c>
      <c r="AN205" s="78">
        <v>1</v>
      </c>
      <c r="AO205" s="78">
        <v>2</v>
      </c>
      <c r="AP205" s="78">
        <v>2</v>
      </c>
      <c r="AQ205" s="78">
        <v>1</v>
      </c>
      <c r="AR205" s="78">
        <v>0</v>
      </c>
      <c r="AS205" s="78">
        <v>0</v>
      </c>
      <c r="AT205" s="78">
        <v>0</v>
      </c>
      <c r="AU205" s="78">
        <v>0</v>
      </c>
      <c r="AV205" s="78">
        <v>0</v>
      </c>
      <c r="AW205" s="78">
        <v>0</v>
      </c>
      <c r="AX205" s="78">
        <v>4</v>
      </c>
      <c r="AY205" s="78">
        <v>0</v>
      </c>
      <c r="AZ205" s="78">
        <v>0</v>
      </c>
      <c r="BA205" s="78">
        <v>0.5</v>
      </c>
      <c r="BB205" s="78">
        <v>0.5</v>
      </c>
      <c r="BC205" s="78">
        <v>0.5</v>
      </c>
      <c r="BD205" s="78">
        <v>1</v>
      </c>
      <c r="BE205" s="78">
        <v>0.5</v>
      </c>
      <c r="BF205" s="78">
        <v>1</v>
      </c>
      <c r="BG205" s="78">
        <v>2</v>
      </c>
      <c r="BH205" s="137">
        <v>0.40909089999999998</v>
      </c>
      <c r="BJ205" s="143" t="s">
        <v>762</v>
      </c>
      <c r="BK205" s="143" t="s">
        <v>763</v>
      </c>
      <c r="BL205" s="143" t="s">
        <v>842</v>
      </c>
      <c r="BM205" s="143">
        <v>2479</v>
      </c>
      <c r="BN205" s="78">
        <v>1</v>
      </c>
      <c r="BO205" s="78">
        <v>4</v>
      </c>
      <c r="BP205" s="78">
        <v>0</v>
      </c>
      <c r="BQ205" s="78">
        <v>3</v>
      </c>
      <c r="BR205" s="78">
        <v>3</v>
      </c>
      <c r="BS205" s="78">
        <v>3</v>
      </c>
      <c r="BT205" s="78">
        <v>2</v>
      </c>
      <c r="BU205" s="137">
        <v>0.69565220000000005</v>
      </c>
      <c r="BW205" s="143" t="s">
        <v>762</v>
      </c>
      <c r="BX205" s="143" t="s">
        <v>763</v>
      </c>
      <c r="BY205" s="143" t="s">
        <v>842</v>
      </c>
      <c r="BZ205" s="143">
        <v>2479</v>
      </c>
      <c r="CM205" s="143" t="s">
        <v>762</v>
      </c>
      <c r="CN205" s="143" t="s">
        <v>763</v>
      </c>
      <c r="CO205" s="143" t="s">
        <v>842</v>
      </c>
      <c r="CP205" s="143">
        <v>2479</v>
      </c>
      <c r="CQ205" s="78">
        <v>8</v>
      </c>
      <c r="CR205" s="78">
        <v>0</v>
      </c>
      <c r="CS205" s="78">
        <v>8</v>
      </c>
      <c r="CT205" s="78">
        <v>4</v>
      </c>
      <c r="CU205" s="78">
        <v>2</v>
      </c>
      <c r="CV205" s="78">
        <v>8</v>
      </c>
      <c r="CW205" s="137">
        <v>0.57692310000000002</v>
      </c>
      <c r="CY205" s="143" t="s">
        <v>762</v>
      </c>
      <c r="CZ205" s="143" t="s">
        <v>763</v>
      </c>
      <c r="DA205" s="143" t="s">
        <v>842</v>
      </c>
      <c r="DB205" s="143">
        <v>2479</v>
      </c>
      <c r="DC205" s="78">
        <v>0</v>
      </c>
      <c r="DD205" s="137">
        <v>0</v>
      </c>
      <c r="DE205" s="137">
        <v>0</v>
      </c>
      <c r="DG205" s="143" t="s">
        <v>762</v>
      </c>
      <c r="DH205" s="143" t="s">
        <v>763</v>
      </c>
      <c r="DI205" s="143" t="s">
        <v>842</v>
      </c>
      <c r="DJ205" s="143">
        <v>2479</v>
      </c>
      <c r="DK205" s="78">
        <v>2</v>
      </c>
      <c r="DL205" s="78">
        <v>1</v>
      </c>
      <c r="DM205" s="78">
        <v>1</v>
      </c>
      <c r="DN205" s="78">
        <v>7</v>
      </c>
      <c r="DO205" s="78">
        <v>2</v>
      </c>
      <c r="DP205" s="78">
        <v>3</v>
      </c>
      <c r="DQ205" s="78">
        <v>8</v>
      </c>
      <c r="DR205" s="78">
        <v>1</v>
      </c>
      <c r="DS205" s="78">
        <v>1</v>
      </c>
      <c r="DT205" s="78">
        <v>0</v>
      </c>
      <c r="DU205" s="78">
        <v>1</v>
      </c>
      <c r="DV205" s="137">
        <v>0.93103449999999999</v>
      </c>
      <c r="DX205" s="143" t="s">
        <v>762</v>
      </c>
      <c r="DY205" s="143" t="s">
        <v>763</v>
      </c>
      <c r="DZ205" s="143" t="s">
        <v>842</v>
      </c>
      <c r="EA205" s="143">
        <v>2479</v>
      </c>
      <c r="EB205" s="78">
        <v>1</v>
      </c>
      <c r="EC205" s="78">
        <v>8</v>
      </c>
      <c r="ED205" s="78">
        <v>1</v>
      </c>
      <c r="EE205" s="78">
        <v>4</v>
      </c>
      <c r="EF205" s="78">
        <v>3</v>
      </c>
      <c r="EG205" s="78">
        <v>1</v>
      </c>
      <c r="EH205" s="78">
        <v>1</v>
      </c>
      <c r="EI205" s="78">
        <v>1</v>
      </c>
      <c r="EJ205" s="78">
        <v>1</v>
      </c>
      <c r="EK205" s="78">
        <v>1</v>
      </c>
      <c r="EL205" s="78">
        <v>1</v>
      </c>
      <c r="EM205" s="78">
        <v>1</v>
      </c>
      <c r="EN205" s="78">
        <v>0</v>
      </c>
      <c r="EO205" s="78">
        <v>1</v>
      </c>
      <c r="EP205" s="78">
        <v>1</v>
      </c>
      <c r="EQ205" s="137">
        <v>0.96296300000000001</v>
      </c>
      <c r="ES205" s="143" t="s">
        <v>762</v>
      </c>
      <c r="ET205" s="143" t="s">
        <v>763</v>
      </c>
      <c r="EU205" s="143" t="s">
        <v>842</v>
      </c>
      <c r="EV205" s="143">
        <v>2479</v>
      </c>
      <c r="EW205" s="78">
        <v>0</v>
      </c>
      <c r="EX205" s="78">
        <v>1</v>
      </c>
      <c r="EY205" s="78">
        <v>3</v>
      </c>
      <c r="EZ205" s="78">
        <v>2</v>
      </c>
      <c r="FA205" s="78">
        <v>0</v>
      </c>
      <c r="FB205" s="78">
        <v>3</v>
      </c>
      <c r="FC205" s="78">
        <v>2</v>
      </c>
      <c r="FD205" s="78">
        <v>1</v>
      </c>
      <c r="FE205" s="137">
        <v>0.92307689999999998</v>
      </c>
      <c r="FG205" s="137">
        <v>0.45731709999999998</v>
      </c>
    </row>
    <row r="206" spans="1:163" x14ac:dyDescent="0.35">
      <c r="A206" s="143" t="s">
        <v>762</v>
      </c>
      <c r="B206" s="143" t="s">
        <v>763</v>
      </c>
      <c r="C206" s="143" t="s">
        <v>842</v>
      </c>
      <c r="D206" s="143">
        <v>2485</v>
      </c>
      <c r="E206" s="78">
        <v>0</v>
      </c>
      <c r="F206" s="78">
        <v>1.5</v>
      </c>
      <c r="G206" s="78">
        <v>0</v>
      </c>
      <c r="H206" s="78">
        <v>2</v>
      </c>
      <c r="I206" s="78">
        <v>1</v>
      </c>
      <c r="J206" s="78">
        <v>0</v>
      </c>
      <c r="K206" s="78">
        <v>1</v>
      </c>
      <c r="L206" s="78">
        <v>0</v>
      </c>
      <c r="M206" s="78">
        <v>0</v>
      </c>
      <c r="N206" s="137">
        <v>0.39285710000000001</v>
      </c>
      <c r="P206" s="143" t="s">
        <v>762</v>
      </c>
      <c r="Q206" s="143" t="s">
        <v>763</v>
      </c>
      <c r="R206" s="143" t="s">
        <v>842</v>
      </c>
      <c r="S206" s="143">
        <v>2485</v>
      </c>
      <c r="T206" s="78">
        <v>1</v>
      </c>
      <c r="U206" s="78">
        <v>1</v>
      </c>
      <c r="V206" s="78">
        <v>2.5</v>
      </c>
      <c r="W206" s="78">
        <v>2</v>
      </c>
      <c r="X206" s="78">
        <v>0</v>
      </c>
      <c r="Y206" s="78">
        <v>1</v>
      </c>
      <c r="Z206" s="78">
        <v>0</v>
      </c>
      <c r="AA206" s="78">
        <v>0</v>
      </c>
      <c r="AB206" s="78">
        <v>6</v>
      </c>
      <c r="AC206" s="78">
        <v>0</v>
      </c>
      <c r="AD206" s="137">
        <v>0.39705879999999999</v>
      </c>
      <c r="AF206" s="143" t="s">
        <v>762</v>
      </c>
      <c r="AG206" s="143" t="s">
        <v>763</v>
      </c>
      <c r="AH206" s="143" t="s">
        <v>842</v>
      </c>
      <c r="AI206" s="143">
        <v>2485</v>
      </c>
      <c r="AJ206" s="78">
        <v>1</v>
      </c>
      <c r="AK206" s="78">
        <v>0</v>
      </c>
      <c r="AL206" s="78">
        <v>1</v>
      </c>
      <c r="AM206" s="78">
        <v>0</v>
      </c>
      <c r="AN206" s="78">
        <v>1</v>
      </c>
      <c r="AO206" s="78">
        <v>0</v>
      </c>
      <c r="AP206" s="78">
        <v>1</v>
      </c>
      <c r="AQ206" s="78">
        <v>1</v>
      </c>
      <c r="AR206" s="78">
        <v>0</v>
      </c>
      <c r="AS206" s="78">
        <v>0</v>
      </c>
      <c r="AT206" s="78">
        <v>0</v>
      </c>
      <c r="AU206" s="78">
        <v>0</v>
      </c>
      <c r="AV206" s="78">
        <v>2</v>
      </c>
      <c r="AW206" s="78">
        <v>1</v>
      </c>
      <c r="AX206" s="78">
        <v>0</v>
      </c>
      <c r="AY206" s="78">
        <v>0</v>
      </c>
      <c r="AZ206" s="78">
        <v>2</v>
      </c>
      <c r="BA206" s="78">
        <v>0.5</v>
      </c>
      <c r="BB206" s="78">
        <v>0.5</v>
      </c>
      <c r="BC206" s="78">
        <v>0.5</v>
      </c>
      <c r="BD206" s="78">
        <v>1</v>
      </c>
      <c r="BE206" s="78">
        <v>0.5</v>
      </c>
      <c r="BF206" s="78">
        <v>0</v>
      </c>
      <c r="BG206" s="78">
        <v>4</v>
      </c>
      <c r="BH206" s="137">
        <v>0.38636359999999997</v>
      </c>
      <c r="BJ206" s="143" t="s">
        <v>762</v>
      </c>
      <c r="BK206" s="143" t="s">
        <v>763</v>
      </c>
      <c r="BL206" s="143" t="s">
        <v>842</v>
      </c>
      <c r="BM206" s="143">
        <v>2485</v>
      </c>
      <c r="BN206" s="78">
        <v>1</v>
      </c>
      <c r="BO206" s="78">
        <v>4</v>
      </c>
      <c r="BP206" s="78">
        <v>7</v>
      </c>
      <c r="BQ206" s="78">
        <v>3</v>
      </c>
      <c r="BR206" s="78">
        <v>3</v>
      </c>
      <c r="BS206" s="78">
        <v>3</v>
      </c>
      <c r="BT206" s="78">
        <v>2</v>
      </c>
      <c r="BU206" s="137">
        <v>1</v>
      </c>
      <c r="BW206" s="143" t="s">
        <v>762</v>
      </c>
      <c r="BX206" s="143" t="s">
        <v>763</v>
      </c>
      <c r="BY206" s="143" t="s">
        <v>842</v>
      </c>
      <c r="BZ206" s="143">
        <v>2485</v>
      </c>
      <c r="CM206" s="143" t="s">
        <v>762</v>
      </c>
      <c r="CN206" s="143" t="s">
        <v>763</v>
      </c>
      <c r="CO206" s="143" t="s">
        <v>842</v>
      </c>
      <c r="CP206" s="143">
        <v>2485</v>
      </c>
      <c r="CQ206" s="78">
        <v>8</v>
      </c>
      <c r="CR206" s="78">
        <v>0</v>
      </c>
      <c r="CS206" s="78">
        <v>4</v>
      </c>
      <c r="CT206" s="78">
        <v>4</v>
      </c>
      <c r="CU206" s="78">
        <v>2</v>
      </c>
      <c r="CV206" s="78">
        <v>8</v>
      </c>
      <c r="CW206" s="137">
        <v>0.5</v>
      </c>
      <c r="CY206" s="143" t="s">
        <v>762</v>
      </c>
      <c r="CZ206" s="143" t="s">
        <v>763</v>
      </c>
      <c r="DA206" s="143" t="s">
        <v>842</v>
      </c>
      <c r="DB206" s="143">
        <v>2485</v>
      </c>
      <c r="DC206" s="78">
        <v>0</v>
      </c>
      <c r="DD206" s="137">
        <v>0</v>
      </c>
      <c r="DE206" s="137">
        <v>0</v>
      </c>
      <c r="DG206" s="143" t="s">
        <v>762</v>
      </c>
      <c r="DH206" s="143" t="s">
        <v>763</v>
      </c>
      <c r="DI206" s="143" t="s">
        <v>842</v>
      </c>
      <c r="DJ206" s="143">
        <v>2485</v>
      </c>
      <c r="DK206" s="78">
        <v>2</v>
      </c>
      <c r="DL206" s="78">
        <v>1</v>
      </c>
      <c r="DM206" s="78">
        <v>1</v>
      </c>
      <c r="DN206" s="78">
        <v>5</v>
      </c>
      <c r="DO206" s="78">
        <v>2</v>
      </c>
      <c r="DP206" s="78">
        <v>3</v>
      </c>
      <c r="DQ206" s="78">
        <v>8</v>
      </c>
      <c r="DR206" s="78">
        <v>1</v>
      </c>
      <c r="DS206" s="78">
        <v>1</v>
      </c>
      <c r="DT206" s="78">
        <v>0</v>
      </c>
      <c r="DU206" s="78">
        <v>0</v>
      </c>
      <c r="DV206" s="137">
        <v>0.82758620000000005</v>
      </c>
      <c r="DX206" s="143" t="s">
        <v>762</v>
      </c>
      <c r="DY206" s="143" t="s">
        <v>763</v>
      </c>
      <c r="DZ206" s="143" t="s">
        <v>842</v>
      </c>
      <c r="EA206" s="143">
        <v>2485</v>
      </c>
      <c r="EB206" s="78">
        <v>0</v>
      </c>
      <c r="EC206" s="78">
        <v>8</v>
      </c>
      <c r="ED206" s="78">
        <v>1</v>
      </c>
      <c r="EE206" s="78">
        <v>0</v>
      </c>
      <c r="EF206" s="78">
        <v>3</v>
      </c>
      <c r="EG206" s="78">
        <v>1</v>
      </c>
      <c r="EH206" s="78">
        <v>0</v>
      </c>
      <c r="EI206" s="78">
        <v>1</v>
      </c>
      <c r="EJ206" s="78">
        <v>1</v>
      </c>
      <c r="EK206" s="78">
        <v>0</v>
      </c>
      <c r="EL206" s="78">
        <v>0</v>
      </c>
      <c r="EM206" s="78">
        <v>1</v>
      </c>
      <c r="EN206" s="78">
        <v>0</v>
      </c>
      <c r="EO206" s="78">
        <v>0</v>
      </c>
      <c r="EP206" s="78">
        <v>0</v>
      </c>
      <c r="EQ206" s="137">
        <v>0.59259260000000002</v>
      </c>
      <c r="ES206" s="143" t="s">
        <v>762</v>
      </c>
      <c r="ET206" s="143" t="s">
        <v>763</v>
      </c>
      <c r="EU206" s="143" t="s">
        <v>842</v>
      </c>
      <c r="EV206" s="143">
        <v>2485</v>
      </c>
      <c r="EW206" s="78">
        <v>0</v>
      </c>
      <c r="EX206" s="78">
        <v>0</v>
      </c>
      <c r="EY206" s="78">
        <v>3</v>
      </c>
      <c r="EZ206" s="78">
        <v>0</v>
      </c>
      <c r="FA206" s="78">
        <v>0.5</v>
      </c>
      <c r="FB206" s="78">
        <v>3</v>
      </c>
      <c r="FC206" s="78">
        <v>2</v>
      </c>
      <c r="FD206" s="78">
        <v>1</v>
      </c>
      <c r="FE206" s="137">
        <v>0.73076920000000001</v>
      </c>
      <c r="FG206" s="137">
        <v>0.41006100000000001</v>
      </c>
    </row>
    <row r="207" spans="1:163" x14ac:dyDescent="0.35">
      <c r="A207" s="143" t="s">
        <v>762</v>
      </c>
      <c r="B207" s="143" t="s">
        <v>763</v>
      </c>
      <c r="C207" s="143" t="s">
        <v>841</v>
      </c>
      <c r="D207" s="143">
        <v>2684</v>
      </c>
      <c r="E207" s="78">
        <v>0</v>
      </c>
      <c r="F207" s="78">
        <v>1.5</v>
      </c>
      <c r="G207" s="78">
        <v>0</v>
      </c>
      <c r="H207" s="78">
        <v>1</v>
      </c>
      <c r="I207" s="78">
        <v>1</v>
      </c>
      <c r="J207" s="78">
        <v>0</v>
      </c>
      <c r="K207" s="78">
        <v>1</v>
      </c>
      <c r="L207" s="78">
        <v>1</v>
      </c>
      <c r="M207" s="78">
        <v>2</v>
      </c>
      <c r="N207" s="137">
        <v>0.53571429999999998</v>
      </c>
      <c r="P207" s="143" t="s">
        <v>762</v>
      </c>
      <c r="Q207" s="143" t="s">
        <v>763</v>
      </c>
      <c r="R207" s="143" t="s">
        <v>841</v>
      </c>
      <c r="S207" s="143">
        <v>2684</v>
      </c>
      <c r="T207" s="78">
        <v>1</v>
      </c>
      <c r="U207" s="78">
        <v>0</v>
      </c>
      <c r="V207" s="78">
        <v>1</v>
      </c>
      <c r="W207" s="78">
        <v>2</v>
      </c>
      <c r="X207" s="78">
        <v>0</v>
      </c>
      <c r="Y207" s="78">
        <v>1</v>
      </c>
      <c r="Z207" s="78">
        <v>0</v>
      </c>
      <c r="AA207" s="78">
        <v>0</v>
      </c>
      <c r="AB207" s="78">
        <v>0</v>
      </c>
      <c r="AC207" s="78">
        <v>0</v>
      </c>
      <c r="AD207" s="137">
        <v>0.14705879999999999</v>
      </c>
      <c r="AF207" s="143" t="s">
        <v>762</v>
      </c>
      <c r="AG207" s="143" t="s">
        <v>763</v>
      </c>
      <c r="AH207" s="143" t="s">
        <v>841</v>
      </c>
      <c r="AI207" s="143">
        <v>2684</v>
      </c>
      <c r="AJ207" s="78">
        <v>1</v>
      </c>
      <c r="AK207" s="78">
        <v>0</v>
      </c>
      <c r="AL207" s="78">
        <v>0</v>
      </c>
      <c r="AM207" s="78">
        <v>1</v>
      </c>
      <c r="AN207" s="78">
        <v>0</v>
      </c>
      <c r="AO207" s="78">
        <v>2</v>
      </c>
      <c r="AP207" s="78">
        <v>1</v>
      </c>
      <c r="AQ207" s="78">
        <v>0</v>
      </c>
      <c r="AR207" s="78">
        <v>2</v>
      </c>
      <c r="AS207" s="78">
        <v>0</v>
      </c>
      <c r="AT207" s="78">
        <v>0</v>
      </c>
      <c r="AU207" s="78">
        <v>0</v>
      </c>
      <c r="AV207" s="78">
        <v>0</v>
      </c>
      <c r="AW207" s="78">
        <v>0</v>
      </c>
      <c r="AX207" s="78">
        <v>0</v>
      </c>
      <c r="AY207" s="78">
        <v>0</v>
      </c>
      <c r="AZ207" s="78">
        <v>2</v>
      </c>
      <c r="BA207" s="78">
        <v>0.5</v>
      </c>
      <c r="BB207" s="78">
        <v>0.5</v>
      </c>
      <c r="BC207" s="78">
        <v>0.5</v>
      </c>
      <c r="BD207" s="78">
        <v>1</v>
      </c>
      <c r="BE207" s="78">
        <v>0.5</v>
      </c>
      <c r="BF207" s="78">
        <v>1</v>
      </c>
      <c r="BG207" s="78">
        <v>0</v>
      </c>
      <c r="BH207" s="137">
        <v>0.29545450000000001</v>
      </c>
      <c r="BJ207" s="143" t="s">
        <v>762</v>
      </c>
      <c r="BK207" s="143" t="s">
        <v>763</v>
      </c>
      <c r="BL207" s="143" t="s">
        <v>841</v>
      </c>
      <c r="BM207" s="143">
        <v>2684</v>
      </c>
      <c r="BN207" s="78">
        <v>1</v>
      </c>
      <c r="BO207" s="78">
        <v>0</v>
      </c>
      <c r="BP207" s="78">
        <v>7</v>
      </c>
      <c r="BQ207" s="78">
        <v>0</v>
      </c>
      <c r="BR207" s="78">
        <v>0</v>
      </c>
      <c r="BS207" s="78">
        <v>0</v>
      </c>
      <c r="BT207" s="78">
        <v>2</v>
      </c>
      <c r="BU207" s="137">
        <v>0.43478260000000002</v>
      </c>
      <c r="BW207" s="143" t="s">
        <v>762</v>
      </c>
      <c r="BX207" s="143" t="s">
        <v>763</v>
      </c>
      <c r="BY207" s="143" t="s">
        <v>841</v>
      </c>
      <c r="BZ207" s="143">
        <v>2684</v>
      </c>
      <c r="CA207" s="78">
        <v>1</v>
      </c>
      <c r="CB207" s="78">
        <v>1</v>
      </c>
      <c r="CC207" s="78">
        <v>1</v>
      </c>
      <c r="CD207" s="78">
        <v>2</v>
      </c>
      <c r="CE207" s="78">
        <v>0</v>
      </c>
      <c r="CF207" s="78">
        <v>2</v>
      </c>
      <c r="CG207" s="78">
        <v>1</v>
      </c>
      <c r="CH207" s="78">
        <v>2</v>
      </c>
      <c r="CI207" s="78">
        <v>0</v>
      </c>
      <c r="CJ207" s="78">
        <v>0</v>
      </c>
      <c r="CK207" s="137">
        <v>0.66666669999999995</v>
      </c>
      <c r="CM207" s="143" t="s">
        <v>762</v>
      </c>
      <c r="CN207" s="143" t="s">
        <v>763</v>
      </c>
      <c r="CO207" s="143" t="s">
        <v>841</v>
      </c>
      <c r="CP207" s="143">
        <v>2684</v>
      </c>
      <c r="CQ207" s="78">
        <v>8</v>
      </c>
      <c r="CR207" s="78">
        <v>0</v>
      </c>
      <c r="CS207" s="78">
        <v>4</v>
      </c>
      <c r="CT207" s="78">
        <v>0</v>
      </c>
      <c r="CU207" s="78">
        <v>0</v>
      </c>
      <c r="CV207" s="78">
        <v>8</v>
      </c>
      <c r="CW207" s="137">
        <v>0.3846154</v>
      </c>
      <c r="CY207" s="143" t="s">
        <v>762</v>
      </c>
      <c r="CZ207" s="143" t="s">
        <v>763</v>
      </c>
      <c r="DA207" s="143" t="s">
        <v>841</v>
      </c>
      <c r="DB207" s="143">
        <v>2684</v>
      </c>
      <c r="DC207" s="78">
        <v>0</v>
      </c>
      <c r="DD207" s="137">
        <v>0</v>
      </c>
      <c r="DE207" s="137">
        <v>0</v>
      </c>
      <c r="DG207" s="143" t="s">
        <v>762</v>
      </c>
      <c r="DH207" s="143" t="s">
        <v>763</v>
      </c>
      <c r="DI207" s="143" t="s">
        <v>841</v>
      </c>
      <c r="DJ207" s="143">
        <v>2684</v>
      </c>
      <c r="DK207" s="78">
        <v>2</v>
      </c>
      <c r="DL207" s="78">
        <v>1</v>
      </c>
      <c r="DM207" s="78">
        <v>1</v>
      </c>
      <c r="DN207" s="78">
        <v>7</v>
      </c>
      <c r="DO207" s="78">
        <v>2</v>
      </c>
      <c r="DP207" s="78">
        <v>3</v>
      </c>
      <c r="DQ207" s="78">
        <v>8</v>
      </c>
      <c r="DR207" s="78">
        <v>1</v>
      </c>
      <c r="DS207" s="78">
        <v>1</v>
      </c>
      <c r="DT207" s="78">
        <v>0</v>
      </c>
      <c r="DU207" s="78">
        <v>1</v>
      </c>
      <c r="DV207" s="137">
        <v>0.93103449999999999</v>
      </c>
      <c r="DX207" s="143" t="s">
        <v>762</v>
      </c>
      <c r="DY207" s="143" t="s">
        <v>763</v>
      </c>
      <c r="DZ207" s="143" t="s">
        <v>841</v>
      </c>
      <c r="EA207" s="143">
        <v>2684</v>
      </c>
      <c r="EB207" s="78">
        <v>1</v>
      </c>
      <c r="EC207" s="78">
        <v>8</v>
      </c>
      <c r="ED207" s="78">
        <v>1</v>
      </c>
      <c r="EE207" s="78">
        <v>4</v>
      </c>
      <c r="EF207" s="78">
        <v>0</v>
      </c>
      <c r="EG207" s="78">
        <v>1</v>
      </c>
      <c r="EH207" s="78">
        <v>0</v>
      </c>
      <c r="EI207" s="78">
        <v>1</v>
      </c>
      <c r="EJ207" s="78">
        <v>1</v>
      </c>
      <c r="EK207" s="78">
        <v>1</v>
      </c>
      <c r="EL207" s="78">
        <v>1</v>
      </c>
      <c r="EM207" s="78">
        <v>1</v>
      </c>
      <c r="EN207" s="78">
        <v>1</v>
      </c>
      <c r="EO207" s="78">
        <v>0</v>
      </c>
      <c r="EP207" s="78">
        <v>0</v>
      </c>
      <c r="EQ207" s="137">
        <v>0.77777779999999996</v>
      </c>
      <c r="ES207" s="143" t="s">
        <v>762</v>
      </c>
      <c r="ET207" s="143" t="s">
        <v>763</v>
      </c>
      <c r="EU207" s="143" t="s">
        <v>841</v>
      </c>
      <c r="EV207" s="143">
        <v>2684</v>
      </c>
      <c r="EW207" s="78">
        <v>0.5</v>
      </c>
      <c r="EX207" s="78">
        <v>1</v>
      </c>
      <c r="EY207" s="78">
        <v>0</v>
      </c>
      <c r="EZ207" s="78">
        <v>0</v>
      </c>
      <c r="FA207" s="78">
        <v>0.5</v>
      </c>
      <c r="FB207" s="78">
        <v>3</v>
      </c>
      <c r="FC207" s="78">
        <v>2</v>
      </c>
      <c r="FD207" s="78">
        <v>1</v>
      </c>
      <c r="FE207" s="137">
        <v>0.61538459999999995</v>
      </c>
      <c r="FG207" s="137">
        <v>0.35422740000000003</v>
      </c>
    </row>
    <row r="208" spans="1:163" x14ac:dyDescent="0.35">
      <c r="A208" s="143" t="s">
        <v>762</v>
      </c>
      <c r="B208" s="143" t="s">
        <v>763</v>
      </c>
      <c r="C208" s="143" t="s">
        <v>842</v>
      </c>
      <c r="D208" s="143">
        <v>4101</v>
      </c>
      <c r="E208" s="78">
        <v>0</v>
      </c>
      <c r="F208" s="78">
        <v>2</v>
      </c>
      <c r="G208" s="78">
        <v>0</v>
      </c>
      <c r="H208" s="78">
        <v>0</v>
      </c>
      <c r="I208" s="78">
        <v>0</v>
      </c>
      <c r="J208" s="78">
        <v>0</v>
      </c>
      <c r="K208" s="78">
        <v>0</v>
      </c>
      <c r="L208" s="78">
        <v>0</v>
      </c>
      <c r="M208" s="78">
        <v>0</v>
      </c>
      <c r="N208" s="137">
        <v>0.14285709999999999</v>
      </c>
      <c r="P208" s="143" t="s">
        <v>762</v>
      </c>
      <c r="Q208" s="143" t="s">
        <v>763</v>
      </c>
      <c r="R208" s="143" t="s">
        <v>842</v>
      </c>
      <c r="S208" s="143">
        <v>4101</v>
      </c>
      <c r="T208" s="78">
        <v>1</v>
      </c>
      <c r="U208" s="78">
        <v>0</v>
      </c>
      <c r="V208" s="78">
        <v>0</v>
      </c>
      <c r="W208" s="78">
        <v>0</v>
      </c>
      <c r="X208" s="78">
        <v>12</v>
      </c>
      <c r="Y208" s="78">
        <v>1</v>
      </c>
      <c r="Z208" s="78">
        <v>3</v>
      </c>
      <c r="AA208" s="78">
        <v>0</v>
      </c>
      <c r="AB208" s="78">
        <v>0</v>
      </c>
      <c r="AC208" s="78">
        <v>3</v>
      </c>
      <c r="AD208" s="137">
        <v>0.58823530000000002</v>
      </c>
      <c r="AF208" s="143" t="s">
        <v>762</v>
      </c>
      <c r="AG208" s="143" t="s">
        <v>763</v>
      </c>
      <c r="AH208" s="143" t="s">
        <v>842</v>
      </c>
      <c r="AI208" s="143">
        <v>4101</v>
      </c>
      <c r="AJ208" s="78">
        <v>1</v>
      </c>
      <c r="AK208" s="78">
        <v>0</v>
      </c>
      <c r="AL208" s="78">
        <v>0</v>
      </c>
      <c r="AM208" s="78">
        <v>0</v>
      </c>
      <c r="AN208" s="78">
        <v>0</v>
      </c>
      <c r="AO208" s="78">
        <v>2</v>
      </c>
      <c r="AP208" s="78">
        <v>2</v>
      </c>
      <c r="AQ208" s="78">
        <v>1</v>
      </c>
      <c r="AR208" s="78">
        <v>0</v>
      </c>
      <c r="AS208" s="78">
        <v>0</v>
      </c>
      <c r="AT208" s="78">
        <v>0</v>
      </c>
      <c r="AU208" s="78">
        <v>0</v>
      </c>
      <c r="AV208" s="78">
        <v>0</v>
      </c>
      <c r="AW208" s="78">
        <v>0</v>
      </c>
      <c r="AX208" s="78">
        <v>4</v>
      </c>
      <c r="AY208" s="78">
        <v>0</v>
      </c>
      <c r="AZ208" s="78">
        <v>2</v>
      </c>
      <c r="BA208" s="78">
        <v>0.5</v>
      </c>
      <c r="BB208" s="78">
        <v>0.5</v>
      </c>
      <c r="BC208" s="78">
        <v>0.5</v>
      </c>
      <c r="BD208" s="78">
        <v>0</v>
      </c>
      <c r="BE208" s="78">
        <v>0</v>
      </c>
      <c r="BF208" s="78">
        <v>1</v>
      </c>
      <c r="BG208" s="78">
        <v>8</v>
      </c>
      <c r="BH208" s="137">
        <v>0.51136360000000003</v>
      </c>
      <c r="BJ208" s="143" t="s">
        <v>762</v>
      </c>
      <c r="BK208" s="143" t="s">
        <v>763</v>
      </c>
      <c r="BL208" s="143" t="s">
        <v>842</v>
      </c>
      <c r="BM208" s="143">
        <v>4101</v>
      </c>
      <c r="BN208" s="78">
        <v>0</v>
      </c>
      <c r="BO208" s="78">
        <v>0</v>
      </c>
      <c r="BP208" s="78">
        <v>7</v>
      </c>
      <c r="BQ208" s="78">
        <v>3</v>
      </c>
      <c r="BR208" s="78">
        <v>3</v>
      </c>
      <c r="BS208" s="78">
        <v>3</v>
      </c>
      <c r="BT208" s="78">
        <v>2</v>
      </c>
      <c r="BU208" s="137">
        <v>0.78260870000000005</v>
      </c>
      <c r="BW208" s="143" t="s">
        <v>762</v>
      </c>
      <c r="BX208" s="143" t="s">
        <v>763</v>
      </c>
      <c r="BY208" s="143" t="s">
        <v>842</v>
      </c>
      <c r="BZ208" s="143">
        <v>4101</v>
      </c>
      <c r="CM208" s="143" t="s">
        <v>762</v>
      </c>
      <c r="CN208" s="143" t="s">
        <v>763</v>
      </c>
      <c r="CO208" s="143" t="s">
        <v>842</v>
      </c>
      <c r="CP208" s="143">
        <v>4101</v>
      </c>
      <c r="CQ208" s="78">
        <v>0</v>
      </c>
      <c r="CR208" s="78">
        <v>0</v>
      </c>
      <c r="CS208" s="78">
        <v>12</v>
      </c>
      <c r="CT208" s="78">
        <v>4</v>
      </c>
      <c r="CU208" s="78">
        <v>2</v>
      </c>
      <c r="CV208" s="78">
        <v>8</v>
      </c>
      <c r="CW208" s="137">
        <v>0.5</v>
      </c>
      <c r="CY208" s="143" t="s">
        <v>762</v>
      </c>
      <c r="CZ208" s="143" t="s">
        <v>763</v>
      </c>
      <c r="DA208" s="143" t="s">
        <v>842</v>
      </c>
      <c r="DB208" s="143">
        <v>4101</v>
      </c>
      <c r="DC208" s="78">
        <v>42</v>
      </c>
      <c r="DD208" s="137">
        <v>0</v>
      </c>
      <c r="DE208" s="137">
        <v>0</v>
      </c>
      <c r="DG208" s="143" t="s">
        <v>762</v>
      </c>
      <c r="DH208" s="143" t="s">
        <v>763</v>
      </c>
      <c r="DI208" s="143" t="s">
        <v>842</v>
      </c>
      <c r="DJ208" s="143">
        <v>4101</v>
      </c>
      <c r="DK208" s="78">
        <v>2</v>
      </c>
      <c r="DL208" s="78">
        <v>1</v>
      </c>
      <c r="DM208" s="78">
        <v>0</v>
      </c>
      <c r="DN208" s="78">
        <v>2</v>
      </c>
      <c r="DO208" s="78">
        <v>2</v>
      </c>
      <c r="DP208" s="78">
        <v>3</v>
      </c>
      <c r="DQ208" s="78">
        <v>7</v>
      </c>
      <c r="DR208" s="78">
        <v>1</v>
      </c>
      <c r="DS208" s="78">
        <v>0</v>
      </c>
      <c r="DT208" s="78">
        <v>0</v>
      </c>
      <c r="DU208" s="78">
        <v>0</v>
      </c>
      <c r="DV208" s="137">
        <v>0.62068959999999995</v>
      </c>
      <c r="DX208" s="143" t="s">
        <v>762</v>
      </c>
      <c r="DY208" s="143" t="s">
        <v>763</v>
      </c>
      <c r="DZ208" s="143" t="s">
        <v>842</v>
      </c>
      <c r="EA208" s="143">
        <v>4101</v>
      </c>
      <c r="EB208" s="78">
        <v>0</v>
      </c>
      <c r="EC208" s="78">
        <v>0</v>
      </c>
      <c r="ED208" s="78">
        <v>1</v>
      </c>
      <c r="EE208" s="78">
        <v>4</v>
      </c>
      <c r="EF208" s="78">
        <v>0</v>
      </c>
      <c r="EG208" s="78">
        <v>1</v>
      </c>
      <c r="EH208" s="78">
        <v>1</v>
      </c>
      <c r="EI208" s="78">
        <v>1</v>
      </c>
      <c r="EJ208" s="78">
        <v>1</v>
      </c>
      <c r="EK208" s="78">
        <v>1</v>
      </c>
      <c r="EL208" s="78">
        <v>1</v>
      </c>
      <c r="EM208" s="78">
        <v>1</v>
      </c>
      <c r="EN208" s="78">
        <v>0</v>
      </c>
      <c r="EO208" s="78">
        <v>0</v>
      </c>
      <c r="EP208" s="78">
        <v>1</v>
      </c>
      <c r="EQ208" s="137">
        <v>0.48148150000000001</v>
      </c>
      <c r="ES208" s="143" t="s">
        <v>762</v>
      </c>
      <c r="ET208" s="143" t="s">
        <v>763</v>
      </c>
      <c r="EU208" s="143" t="s">
        <v>842</v>
      </c>
      <c r="EV208" s="143">
        <v>4101</v>
      </c>
      <c r="EW208" s="78">
        <v>0</v>
      </c>
      <c r="EX208" s="78">
        <v>0</v>
      </c>
      <c r="EY208" s="78">
        <v>0</v>
      </c>
      <c r="EZ208" s="78">
        <v>0</v>
      </c>
      <c r="FA208" s="78">
        <v>0.5</v>
      </c>
      <c r="FB208" s="78">
        <v>3</v>
      </c>
      <c r="FC208" s="78">
        <v>2</v>
      </c>
      <c r="FD208" s="78">
        <v>1</v>
      </c>
      <c r="FE208" s="137">
        <v>0.5</v>
      </c>
      <c r="FG208" s="137">
        <v>0.3841463</v>
      </c>
    </row>
    <row r="209" spans="1:163" x14ac:dyDescent="0.35">
      <c r="A209" s="143" t="s">
        <v>764</v>
      </c>
      <c r="B209" s="143" t="s">
        <v>765</v>
      </c>
      <c r="C209" s="143" t="s">
        <v>842</v>
      </c>
      <c r="D209" s="143">
        <v>201</v>
      </c>
      <c r="E209" s="78">
        <v>0</v>
      </c>
      <c r="F209" s="78">
        <v>2</v>
      </c>
      <c r="G209" s="78">
        <v>1</v>
      </c>
      <c r="H209" s="78">
        <v>4</v>
      </c>
      <c r="I209" s="78">
        <v>1</v>
      </c>
      <c r="J209" s="78">
        <v>0</v>
      </c>
      <c r="K209" s="78">
        <v>0</v>
      </c>
      <c r="L209" s="78">
        <v>1</v>
      </c>
      <c r="M209" s="78">
        <v>2</v>
      </c>
      <c r="N209" s="137">
        <v>0.78571429999999998</v>
      </c>
      <c r="P209" s="143" t="s">
        <v>764</v>
      </c>
      <c r="Q209" s="143" t="s">
        <v>765</v>
      </c>
      <c r="R209" s="143" t="s">
        <v>842</v>
      </c>
      <c r="S209" s="143">
        <v>201</v>
      </c>
      <c r="T209" s="78">
        <v>0</v>
      </c>
      <c r="U209" s="78">
        <v>1</v>
      </c>
      <c r="V209" s="78">
        <v>2.5</v>
      </c>
      <c r="W209" s="78">
        <v>0.5</v>
      </c>
      <c r="X209" s="78">
        <v>0</v>
      </c>
      <c r="Y209" s="78">
        <v>1</v>
      </c>
      <c r="Z209" s="78">
        <v>3</v>
      </c>
      <c r="AA209" s="78">
        <v>0</v>
      </c>
      <c r="AB209" s="78">
        <v>0</v>
      </c>
      <c r="AC209" s="78">
        <v>0</v>
      </c>
      <c r="AD209" s="137">
        <v>0.23529410000000001</v>
      </c>
      <c r="AF209" s="143" t="s">
        <v>764</v>
      </c>
      <c r="AG209" s="143" t="s">
        <v>765</v>
      </c>
      <c r="AH209" s="143" t="s">
        <v>842</v>
      </c>
      <c r="AI209" s="143">
        <v>201</v>
      </c>
      <c r="AJ209" s="78">
        <v>1</v>
      </c>
      <c r="AK209" s="78">
        <v>1</v>
      </c>
      <c r="AL209" s="78">
        <v>0</v>
      </c>
      <c r="AM209" s="78">
        <v>0</v>
      </c>
      <c r="AN209" s="78">
        <v>1</v>
      </c>
      <c r="AO209" s="78">
        <v>0</v>
      </c>
      <c r="AP209" s="78">
        <v>0</v>
      </c>
      <c r="AQ209" s="78">
        <v>0</v>
      </c>
      <c r="AR209" s="78">
        <v>0</v>
      </c>
      <c r="AS209" s="78">
        <v>2</v>
      </c>
      <c r="AT209" s="78">
        <v>2</v>
      </c>
      <c r="AU209" s="78">
        <v>0</v>
      </c>
      <c r="AV209" s="78">
        <v>0</v>
      </c>
      <c r="AW209" s="78">
        <v>0</v>
      </c>
      <c r="AX209" s="78">
        <v>0</v>
      </c>
      <c r="AY209" s="78">
        <v>0</v>
      </c>
      <c r="AZ209" s="78">
        <v>2</v>
      </c>
      <c r="BA209" s="78">
        <v>0</v>
      </c>
      <c r="BB209" s="78">
        <v>0</v>
      </c>
      <c r="BC209" s="78">
        <v>0</v>
      </c>
      <c r="BD209" s="78">
        <v>0</v>
      </c>
      <c r="BE209" s="78">
        <v>0</v>
      </c>
      <c r="BF209" s="78">
        <v>0</v>
      </c>
      <c r="BG209" s="78">
        <v>2</v>
      </c>
      <c r="BH209" s="137">
        <v>0.25</v>
      </c>
      <c r="BJ209" s="143" t="s">
        <v>764</v>
      </c>
      <c r="BK209" s="143" t="s">
        <v>765</v>
      </c>
      <c r="BL209" s="143" t="s">
        <v>842</v>
      </c>
      <c r="BM209" s="143">
        <v>201</v>
      </c>
      <c r="BN209" s="78">
        <v>0</v>
      </c>
      <c r="BO209" s="78">
        <v>4</v>
      </c>
      <c r="BP209" s="78">
        <v>0</v>
      </c>
      <c r="BQ209" s="78">
        <v>0</v>
      </c>
      <c r="BR209" s="78">
        <v>0</v>
      </c>
      <c r="BS209" s="78">
        <v>0</v>
      </c>
      <c r="BT209" s="78">
        <v>0</v>
      </c>
      <c r="BU209" s="137">
        <v>0.17391300000000001</v>
      </c>
      <c r="BW209" s="143" t="s">
        <v>764</v>
      </c>
      <c r="BX209" s="143" t="s">
        <v>765</v>
      </c>
      <c r="BY209" s="143" t="s">
        <v>842</v>
      </c>
      <c r="BZ209" s="143">
        <v>201</v>
      </c>
      <c r="CM209" s="143" t="s">
        <v>764</v>
      </c>
      <c r="CN209" s="143" t="s">
        <v>765</v>
      </c>
      <c r="CO209" s="143" t="s">
        <v>842</v>
      </c>
      <c r="CP209" s="143">
        <v>201</v>
      </c>
      <c r="CQ209" s="78">
        <v>0</v>
      </c>
      <c r="CR209" s="78">
        <v>0</v>
      </c>
      <c r="CS209" s="78">
        <v>0</v>
      </c>
      <c r="CT209" s="78">
        <v>4</v>
      </c>
      <c r="CU209" s="78">
        <v>2</v>
      </c>
      <c r="CV209" s="78">
        <v>8</v>
      </c>
      <c r="CW209" s="137">
        <v>0.26923079999999999</v>
      </c>
      <c r="CY209" s="143" t="s">
        <v>764</v>
      </c>
      <c r="CZ209" s="143" t="s">
        <v>765</v>
      </c>
      <c r="DA209" s="143" t="s">
        <v>842</v>
      </c>
      <c r="DB209" s="143">
        <v>201</v>
      </c>
      <c r="DC209" s="78">
        <v>0</v>
      </c>
      <c r="DD209" s="137">
        <v>0</v>
      </c>
      <c r="DE209" s="137">
        <v>0</v>
      </c>
      <c r="DG209" s="143" t="s">
        <v>764</v>
      </c>
      <c r="DH209" s="143" t="s">
        <v>765</v>
      </c>
      <c r="DI209" s="143" t="s">
        <v>842</v>
      </c>
      <c r="DJ209" s="143">
        <v>201</v>
      </c>
      <c r="DK209" s="78">
        <v>2</v>
      </c>
      <c r="DL209" s="78">
        <v>1</v>
      </c>
      <c r="DM209" s="78">
        <v>1</v>
      </c>
      <c r="DN209" s="78">
        <v>7</v>
      </c>
      <c r="DO209" s="78">
        <v>2</v>
      </c>
      <c r="DP209" s="78">
        <v>3</v>
      </c>
      <c r="DQ209" s="78">
        <v>8</v>
      </c>
      <c r="DR209" s="78">
        <v>0</v>
      </c>
      <c r="DS209" s="78">
        <v>1</v>
      </c>
      <c r="DT209" s="78">
        <v>2</v>
      </c>
      <c r="DU209" s="78">
        <v>1</v>
      </c>
      <c r="DV209" s="137">
        <v>0.96551719999999996</v>
      </c>
      <c r="DX209" s="143" t="s">
        <v>764</v>
      </c>
      <c r="DY209" s="143" t="s">
        <v>765</v>
      </c>
      <c r="DZ209" s="143" t="s">
        <v>842</v>
      </c>
      <c r="EA209" s="143">
        <v>201</v>
      </c>
      <c r="EB209" s="78">
        <v>1</v>
      </c>
      <c r="EC209" s="78">
        <v>8</v>
      </c>
      <c r="ED209" s="78">
        <v>1</v>
      </c>
      <c r="EE209" s="78">
        <v>4</v>
      </c>
      <c r="EF209" s="78">
        <v>0</v>
      </c>
      <c r="EG209" s="78">
        <v>1</v>
      </c>
      <c r="EH209" s="78">
        <v>0</v>
      </c>
      <c r="EI209" s="78">
        <v>1</v>
      </c>
      <c r="EJ209" s="78">
        <v>1</v>
      </c>
      <c r="EK209" s="78">
        <v>1</v>
      </c>
      <c r="EL209" s="78">
        <v>1</v>
      </c>
      <c r="EM209" s="78">
        <v>1</v>
      </c>
      <c r="EN209" s="78">
        <v>0</v>
      </c>
      <c r="EO209" s="78">
        <v>0</v>
      </c>
      <c r="EP209" s="78">
        <v>0</v>
      </c>
      <c r="EQ209" s="137">
        <v>0.74074070000000003</v>
      </c>
      <c r="ES209" s="143" t="s">
        <v>764</v>
      </c>
      <c r="ET209" s="143" t="s">
        <v>765</v>
      </c>
      <c r="EU209" s="143" t="s">
        <v>842</v>
      </c>
      <c r="EV209" s="143">
        <v>201</v>
      </c>
      <c r="EW209" s="78">
        <v>0</v>
      </c>
      <c r="EX209" s="78">
        <v>0</v>
      </c>
      <c r="EY209" s="78">
        <v>0</v>
      </c>
      <c r="EZ209" s="78">
        <v>0</v>
      </c>
      <c r="FA209" s="78">
        <v>0.5</v>
      </c>
      <c r="FB209" s="78">
        <v>0</v>
      </c>
      <c r="FC209" s="78">
        <v>2</v>
      </c>
      <c r="FD209" s="78">
        <v>0</v>
      </c>
      <c r="FE209" s="137">
        <v>0.1923077</v>
      </c>
      <c r="FG209" s="137">
        <v>0.30030489999999999</v>
      </c>
    </row>
    <row r="210" spans="1:163" x14ac:dyDescent="0.35">
      <c r="A210" s="143" t="s">
        <v>764</v>
      </c>
      <c r="B210" s="143" t="s">
        <v>765</v>
      </c>
      <c r="C210" s="143" t="s">
        <v>841</v>
      </c>
      <c r="D210" s="143">
        <v>261</v>
      </c>
      <c r="E210" s="78">
        <v>0</v>
      </c>
      <c r="F210" s="78">
        <v>2</v>
      </c>
      <c r="G210" s="78">
        <v>1</v>
      </c>
      <c r="H210" s="78">
        <v>1</v>
      </c>
      <c r="I210" s="78">
        <v>1</v>
      </c>
      <c r="J210" s="78">
        <v>1</v>
      </c>
      <c r="K210" s="78">
        <v>0</v>
      </c>
      <c r="L210" s="78">
        <v>1</v>
      </c>
      <c r="M210" s="78">
        <v>2</v>
      </c>
      <c r="N210" s="137">
        <v>0.64285709999999996</v>
      </c>
      <c r="P210" s="143" t="s">
        <v>764</v>
      </c>
      <c r="Q210" s="143" t="s">
        <v>765</v>
      </c>
      <c r="R210" s="143" t="s">
        <v>841</v>
      </c>
      <c r="S210" s="143">
        <v>261</v>
      </c>
      <c r="T210" s="78">
        <v>1</v>
      </c>
      <c r="U210" s="78">
        <v>1</v>
      </c>
      <c r="V210" s="78">
        <v>1.5</v>
      </c>
      <c r="W210" s="78">
        <v>1</v>
      </c>
      <c r="X210" s="78">
        <v>0</v>
      </c>
      <c r="Y210" s="78">
        <v>1</v>
      </c>
      <c r="Z210" s="78">
        <v>3</v>
      </c>
      <c r="AA210" s="78">
        <v>0</v>
      </c>
      <c r="AB210" s="78">
        <v>6</v>
      </c>
      <c r="AC210" s="78">
        <v>0</v>
      </c>
      <c r="AD210" s="137">
        <v>0.42647059999999998</v>
      </c>
      <c r="AF210" s="143" t="s">
        <v>764</v>
      </c>
      <c r="AG210" s="143" t="s">
        <v>765</v>
      </c>
      <c r="AH210" s="143" t="s">
        <v>841</v>
      </c>
      <c r="AI210" s="143">
        <v>261</v>
      </c>
      <c r="AJ210" s="78">
        <v>0</v>
      </c>
      <c r="AK210" s="78">
        <v>1</v>
      </c>
      <c r="AL210" s="78">
        <v>0</v>
      </c>
      <c r="AM210" s="78">
        <v>6</v>
      </c>
      <c r="AN210" s="78">
        <v>1</v>
      </c>
      <c r="AO210" s="78">
        <v>0</v>
      </c>
      <c r="AP210" s="78">
        <v>1</v>
      </c>
      <c r="AQ210" s="78">
        <v>1</v>
      </c>
      <c r="AR210" s="78">
        <v>2</v>
      </c>
      <c r="AS210" s="78">
        <v>2</v>
      </c>
      <c r="AT210" s="78">
        <v>2</v>
      </c>
      <c r="AU210" s="78">
        <v>1</v>
      </c>
      <c r="AV210" s="78">
        <v>2</v>
      </c>
      <c r="AW210" s="78">
        <v>1</v>
      </c>
      <c r="AX210" s="78">
        <v>4</v>
      </c>
      <c r="AY210" s="78">
        <v>1</v>
      </c>
      <c r="AZ210" s="78">
        <v>2</v>
      </c>
      <c r="BA210" s="78">
        <v>0.5</v>
      </c>
      <c r="BB210" s="78">
        <v>0.5</v>
      </c>
      <c r="BC210" s="78">
        <v>0.5</v>
      </c>
      <c r="BD210" s="78">
        <v>1</v>
      </c>
      <c r="BE210" s="78">
        <v>0.5</v>
      </c>
      <c r="BF210" s="78">
        <v>1</v>
      </c>
      <c r="BG210" s="78">
        <v>8</v>
      </c>
      <c r="BH210" s="137">
        <v>0.88636360000000003</v>
      </c>
      <c r="BJ210" s="143" t="s">
        <v>764</v>
      </c>
      <c r="BK210" s="143" t="s">
        <v>765</v>
      </c>
      <c r="BL210" s="143" t="s">
        <v>841</v>
      </c>
      <c r="BM210" s="143">
        <v>261</v>
      </c>
      <c r="BN210" s="78">
        <v>0</v>
      </c>
      <c r="BO210" s="78">
        <v>4</v>
      </c>
      <c r="BP210" s="78">
        <v>7</v>
      </c>
      <c r="BQ210" s="78">
        <v>3</v>
      </c>
      <c r="BR210" s="78">
        <v>3</v>
      </c>
      <c r="BS210" s="78">
        <v>0</v>
      </c>
      <c r="BT210" s="78">
        <v>2</v>
      </c>
      <c r="BU210" s="137">
        <v>0.82608689999999996</v>
      </c>
      <c r="BW210" s="143" t="s">
        <v>764</v>
      </c>
      <c r="BX210" s="143" t="s">
        <v>765</v>
      </c>
      <c r="BY210" s="143" t="s">
        <v>841</v>
      </c>
      <c r="BZ210" s="143">
        <v>261</v>
      </c>
      <c r="CA210" s="78">
        <v>1</v>
      </c>
      <c r="CB210" s="78">
        <v>1</v>
      </c>
      <c r="CC210" s="78">
        <v>1</v>
      </c>
      <c r="CD210" s="78">
        <v>2</v>
      </c>
      <c r="CE210" s="78">
        <v>1</v>
      </c>
      <c r="CF210" s="78">
        <v>2</v>
      </c>
      <c r="CG210" s="78">
        <v>1</v>
      </c>
      <c r="CH210" s="78">
        <v>2</v>
      </c>
      <c r="CI210" s="78">
        <v>1</v>
      </c>
      <c r="CJ210" s="78">
        <v>0</v>
      </c>
      <c r="CK210" s="137">
        <v>0.8</v>
      </c>
      <c r="CM210" s="143" t="s">
        <v>764</v>
      </c>
      <c r="CN210" s="143" t="s">
        <v>765</v>
      </c>
      <c r="CO210" s="143" t="s">
        <v>841</v>
      </c>
      <c r="CP210" s="143">
        <v>261</v>
      </c>
      <c r="CQ210" s="78">
        <v>8</v>
      </c>
      <c r="CR210" s="78">
        <v>0</v>
      </c>
      <c r="CS210" s="78">
        <v>24</v>
      </c>
      <c r="CT210" s="78">
        <v>4</v>
      </c>
      <c r="CU210" s="78">
        <v>2</v>
      </c>
      <c r="CV210" s="78">
        <v>8</v>
      </c>
      <c r="CW210" s="137">
        <v>0.88461540000000005</v>
      </c>
      <c r="CY210" s="143" t="s">
        <v>764</v>
      </c>
      <c r="CZ210" s="143" t="s">
        <v>765</v>
      </c>
      <c r="DA210" s="143" t="s">
        <v>841</v>
      </c>
      <c r="DB210" s="143">
        <v>261</v>
      </c>
      <c r="DC210" s="78">
        <v>2</v>
      </c>
      <c r="DD210" s="137">
        <v>0</v>
      </c>
      <c r="DE210" s="137">
        <v>0</v>
      </c>
      <c r="DG210" s="143" t="s">
        <v>764</v>
      </c>
      <c r="DH210" s="143" t="s">
        <v>765</v>
      </c>
      <c r="DI210" s="143" t="s">
        <v>841</v>
      </c>
      <c r="DJ210" s="143">
        <v>261</v>
      </c>
      <c r="DK210" s="78">
        <v>2</v>
      </c>
      <c r="DL210" s="78">
        <v>1</v>
      </c>
      <c r="DM210" s="78">
        <v>1</v>
      </c>
      <c r="DN210" s="78">
        <v>7</v>
      </c>
      <c r="DO210" s="78">
        <v>2</v>
      </c>
      <c r="DP210" s="78">
        <v>3</v>
      </c>
      <c r="DQ210" s="78">
        <v>8</v>
      </c>
      <c r="DR210" s="78">
        <v>1</v>
      </c>
      <c r="DS210" s="78">
        <v>1</v>
      </c>
      <c r="DT210" s="78">
        <v>2</v>
      </c>
      <c r="DU210" s="78">
        <v>1</v>
      </c>
      <c r="DV210" s="137">
        <v>1</v>
      </c>
      <c r="DX210" s="143" t="s">
        <v>764</v>
      </c>
      <c r="DY210" s="143" t="s">
        <v>765</v>
      </c>
      <c r="DZ210" s="143" t="s">
        <v>841</v>
      </c>
      <c r="EA210" s="143">
        <v>261</v>
      </c>
      <c r="EB210" s="78">
        <v>1</v>
      </c>
      <c r="EC210" s="78">
        <v>8</v>
      </c>
      <c r="ED210" s="78">
        <v>1</v>
      </c>
      <c r="EE210" s="78">
        <v>4</v>
      </c>
      <c r="EF210" s="78">
        <v>3</v>
      </c>
      <c r="EG210" s="78">
        <v>1</v>
      </c>
      <c r="EH210" s="78">
        <v>1</v>
      </c>
      <c r="EI210" s="78">
        <v>1</v>
      </c>
      <c r="EJ210" s="78">
        <v>1</v>
      </c>
      <c r="EK210" s="78">
        <v>1</v>
      </c>
      <c r="EL210" s="78">
        <v>1</v>
      </c>
      <c r="EM210" s="78">
        <v>0</v>
      </c>
      <c r="EN210" s="78">
        <v>0</v>
      </c>
      <c r="EO210" s="78">
        <v>1</v>
      </c>
      <c r="EP210" s="78">
        <v>1</v>
      </c>
      <c r="EQ210" s="137">
        <v>0.92592589999999997</v>
      </c>
      <c r="ES210" s="143" t="s">
        <v>764</v>
      </c>
      <c r="ET210" s="143" t="s">
        <v>765</v>
      </c>
      <c r="EU210" s="143" t="s">
        <v>841</v>
      </c>
      <c r="EV210" s="143">
        <v>261</v>
      </c>
      <c r="EW210" s="78">
        <v>0</v>
      </c>
      <c r="EX210" s="78">
        <v>0</v>
      </c>
      <c r="EY210" s="78">
        <v>0</v>
      </c>
      <c r="EZ210" s="78">
        <v>0</v>
      </c>
      <c r="FA210" s="78">
        <v>0.5</v>
      </c>
      <c r="FB210" s="78">
        <v>3</v>
      </c>
      <c r="FC210" s="78">
        <v>2</v>
      </c>
      <c r="FD210" s="78">
        <v>1</v>
      </c>
      <c r="FE210" s="137">
        <v>0.5</v>
      </c>
      <c r="FG210" s="137">
        <v>0.58309040000000001</v>
      </c>
    </row>
    <row r="211" spans="1:163" x14ac:dyDescent="0.35">
      <c r="A211" s="143" t="s">
        <v>764</v>
      </c>
      <c r="B211" s="143" t="s">
        <v>765</v>
      </c>
      <c r="C211" s="143" t="s">
        <v>842</v>
      </c>
      <c r="D211" s="143">
        <v>1060</v>
      </c>
      <c r="E211" s="78">
        <v>0</v>
      </c>
      <c r="F211" s="78">
        <v>2</v>
      </c>
      <c r="G211" s="78">
        <v>1</v>
      </c>
      <c r="H211" s="78">
        <v>0</v>
      </c>
      <c r="I211" s="78">
        <v>1</v>
      </c>
      <c r="J211" s="78">
        <v>0</v>
      </c>
      <c r="K211" s="78">
        <v>0</v>
      </c>
      <c r="L211" s="78">
        <v>1</v>
      </c>
      <c r="M211" s="78">
        <v>0</v>
      </c>
      <c r="N211" s="137">
        <v>0.35714289999999999</v>
      </c>
      <c r="P211" s="143" t="s">
        <v>764</v>
      </c>
      <c r="Q211" s="143" t="s">
        <v>765</v>
      </c>
      <c r="R211" s="143" t="s">
        <v>842</v>
      </c>
      <c r="S211" s="143">
        <v>1060</v>
      </c>
      <c r="T211" s="78">
        <v>1</v>
      </c>
      <c r="U211" s="78">
        <v>1</v>
      </c>
      <c r="V211" s="78">
        <v>0</v>
      </c>
      <c r="W211" s="78">
        <v>0</v>
      </c>
      <c r="X211" s="78">
        <v>0</v>
      </c>
      <c r="Y211" s="78">
        <v>1</v>
      </c>
      <c r="Z211" s="78">
        <v>3</v>
      </c>
      <c r="AA211" s="78">
        <v>2</v>
      </c>
      <c r="AB211" s="78">
        <v>6</v>
      </c>
      <c r="AC211" s="78">
        <v>3</v>
      </c>
      <c r="AD211" s="137">
        <v>0.5</v>
      </c>
      <c r="AF211" s="143" t="s">
        <v>764</v>
      </c>
      <c r="AG211" s="143" t="s">
        <v>765</v>
      </c>
      <c r="AH211" s="143" t="s">
        <v>842</v>
      </c>
      <c r="AI211" s="143">
        <v>1060</v>
      </c>
      <c r="AJ211" s="78">
        <v>1</v>
      </c>
      <c r="AK211" s="78">
        <v>0</v>
      </c>
      <c r="AL211" s="78">
        <v>1</v>
      </c>
      <c r="AM211" s="78">
        <v>1</v>
      </c>
      <c r="AN211" s="78">
        <v>1</v>
      </c>
      <c r="AO211" s="78">
        <v>2</v>
      </c>
      <c r="AP211" s="78">
        <v>2</v>
      </c>
      <c r="AQ211" s="78">
        <v>1</v>
      </c>
      <c r="AR211" s="78">
        <v>0</v>
      </c>
      <c r="AS211" s="78">
        <v>2</v>
      </c>
      <c r="AT211" s="78">
        <v>2</v>
      </c>
      <c r="AU211" s="78">
        <v>1</v>
      </c>
      <c r="AV211" s="78">
        <v>2</v>
      </c>
      <c r="AW211" s="78">
        <v>1</v>
      </c>
      <c r="AX211" s="78">
        <v>0</v>
      </c>
      <c r="AY211" s="78">
        <v>1</v>
      </c>
      <c r="AZ211" s="78">
        <v>2</v>
      </c>
      <c r="BA211" s="78">
        <v>0.5</v>
      </c>
      <c r="BB211" s="78">
        <v>0.5</v>
      </c>
      <c r="BC211" s="78">
        <v>0.5</v>
      </c>
      <c r="BD211" s="78">
        <v>0</v>
      </c>
      <c r="BE211" s="78">
        <v>0.5</v>
      </c>
      <c r="BF211" s="78">
        <v>1</v>
      </c>
      <c r="BG211" s="78">
        <v>8</v>
      </c>
      <c r="BH211" s="137">
        <v>0.70454539999999999</v>
      </c>
      <c r="BJ211" s="143" t="s">
        <v>764</v>
      </c>
      <c r="BK211" s="143" t="s">
        <v>765</v>
      </c>
      <c r="BL211" s="143" t="s">
        <v>842</v>
      </c>
      <c r="BM211" s="143">
        <v>1060</v>
      </c>
      <c r="BN211" s="78">
        <v>1</v>
      </c>
      <c r="BO211" s="78">
        <v>4</v>
      </c>
      <c r="BP211" s="78">
        <v>0</v>
      </c>
      <c r="BQ211" s="78">
        <v>3</v>
      </c>
      <c r="BR211" s="78">
        <v>3</v>
      </c>
      <c r="BS211" s="78">
        <v>0</v>
      </c>
      <c r="BT211" s="78">
        <v>0</v>
      </c>
      <c r="BU211" s="137">
        <v>0.47826089999999999</v>
      </c>
      <c r="BW211" s="143" t="s">
        <v>764</v>
      </c>
      <c r="BX211" s="143" t="s">
        <v>765</v>
      </c>
      <c r="BY211" s="143" t="s">
        <v>842</v>
      </c>
      <c r="BZ211" s="143">
        <v>1060</v>
      </c>
      <c r="CM211" s="143" t="s">
        <v>764</v>
      </c>
      <c r="CN211" s="143" t="s">
        <v>765</v>
      </c>
      <c r="CO211" s="143" t="s">
        <v>842</v>
      </c>
      <c r="CP211" s="143">
        <v>1060</v>
      </c>
      <c r="CQ211" s="78">
        <v>8</v>
      </c>
      <c r="CR211" s="78">
        <v>0</v>
      </c>
      <c r="CS211" s="78">
        <v>8</v>
      </c>
      <c r="CT211" s="78">
        <v>4</v>
      </c>
      <c r="CU211" s="78">
        <v>2</v>
      </c>
      <c r="CV211" s="78">
        <v>8</v>
      </c>
      <c r="CW211" s="137">
        <v>0.57692310000000002</v>
      </c>
      <c r="CY211" s="143" t="s">
        <v>764</v>
      </c>
      <c r="CZ211" s="143" t="s">
        <v>765</v>
      </c>
      <c r="DA211" s="143" t="s">
        <v>842</v>
      </c>
      <c r="DB211" s="143">
        <v>1060</v>
      </c>
      <c r="DC211" s="78">
        <v>0</v>
      </c>
      <c r="DD211" s="137">
        <v>0</v>
      </c>
      <c r="DE211" s="137">
        <v>0</v>
      </c>
      <c r="DG211" s="143" t="s">
        <v>764</v>
      </c>
      <c r="DH211" s="143" t="s">
        <v>765</v>
      </c>
      <c r="DI211" s="143" t="s">
        <v>842</v>
      </c>
      <c r="DJ211" s="143">
        <v>1060</v>
      </c>
      <c r="DK211" s="78">
        <v>2</v>
      </c>
      <c r="DL211" s="78">
        <v>1</v>
      </c>
      <c r="DM211" s="78">
        <v>1</v>
      </c>
      <c r="DN211" s="78">
        <v>5</v>
      </c>
      <c r="DO211" s="78">
        <v>2</v>
      </c>
      <c r="DP211" s="78">
        <v>3</v>
      </c>
      <c r="DQ211" s="78">
        <v>7</v>
      </c>
      <c r="DR211" s="78">
        <v>0</v>
      </c>
      <c r="DS211" s="78">
        <v>1</v>
      </c>
      <c r="DT211" s="78">
        <v>0</v>
      </c>
      <c r="DU211" s="78">
        <v>0</v>
      </c>
      <c r="DV211" s="137">
        <v>0.75862070000000004</v>
      </c>
      <c r="DX211" s="143" t="s">
        <v>764</v>
      </c>
      <c r="DY211" s="143" t="s">
        <v>765</v>
      </c>
      <c r="DZ211" s="143" t="s">
        <v>842</v>
      </c>
      <c r="EA211" s="143">
        <v>1060</v>
      </c>
      <c r="EB211" s="78">
        <v>1</v>
      </c>
      <c r="EC211" s="78">
        <v>8</v>
      </c>
      <c r="ED211" s="78">
        <v>0</v>
      </c>
      <c r="EE211" s="78">
        <v>4</v>
      </c>
      <c r="EF211" s="78">
        <v>3</v>
      </c>
      <c r="EG211" s="78">
        <v>1</v>
      </c>
      <c r="EH211" s="78">
        <v>1</v>
      </c>
      <c r="EI211" s="78">
        <v>1</v>
      </c>
      <c r="EJ211" s="78">
        <v>1</v>
      </c>
      <c r="EK211" s="78">
        <v>1</v>
      </c>
      <c r="EL211" s="78">
        <v>1</v>
      </c>
      <c r="EM211" s="78">
        <v>0</v>
      </c>
      <c r="EN211" s="78">
        <v>1</v>
      </c>
      <c r="EO211" s="78">
        <v>1</v>
      </c>
      <c r="EP211" s="78">
        <v>1</v>
      </c>
      <c r="EQ211" s="137">
        <v>0.92592589999999997</v>
      </c>
      <c r="ES211" s="143" t="s">
        <v>764</v>
      </c>
      <c r="ET211" s="143" t="s">
        <v>765</v>
      </c>
      <c r="EU211" s="143" t="s">
        <v>842</v>
      </c>
      <c r="EV211" s="143">
        <v>1060</v>
      </c>
      <c r="EW211" s="78">
        <v>0</v>
      </c>
      <c r="EX211" s="78">
        <v>1</v>
      </c>
      <c r="EY211" s="78">
        <v>3</v>
      </c>
      <c r="EZ211" s="78">
        <v>2</v>
      </c>
      <c r="FA211" s="78">
        <v>0.5</v>
      </c>
      <c r="FB211" s="78">
        <v>3</v>
      </c>
      <c r="FC211" s="78">
        <v>2</v>
      </c>
      <c r="FD211" s="78">
        <v>1</v>
      </c>
      <c r="FE211" s="137">
        <v>0.96153840000000002</v>
      </c>
      <c r="FG211" s="137">
        <v>0.46798780000000001</v>
      </c>
    </row>
    <row r="212" spans="1:163" x14ac:dyDescent="0.35">
      <c r="A212" s="143" t="s">
        <v>764</v>
      </c>
      <c r="B212" s="143" t="s">
        <v>765</v>
      </c>
      <c r="C212" s="143" t="s">
        <v>842</v>
      </c>
      <c r="D212" s="143">
        <v>1812</v>
      </c>
      <c r="E212" s="78">
        <v>0</v>
      </c>
      <c r="F212" s="78">
        <v>2</v>
      </c>
      <c r="G212" s="78">
        <v>1</v>
      </c>
      <c r="H212" s="78">
        <v>4</v>
      </c>
      <c r="I212" s="78">
        <v>1</v>
      </c>
      <c r="J212" s="78">
        <v>0</v>
      </c>
      <c r="K212" s="78">
        <v>1</v>
      </c>
      <c r="L212" s="78">
        <v>0</v>
      </c>
      <c r="M212" s="78">
        <v>0</v>
      </c>
      <c r="N212" s="137">
        <v>0.64285709999999996</v>
      </c>
      <c r="P212" s="143" t="s">
        <v>764</v>
      </c>
      <c r="Q212" s="143" t="s">
        <v>765</v>
      </c>
      <c r="R212" s="143" t="s">
        <v>842</v>
      </c>
      <c r="S212" s="143">
        <v>1812</v>
      </c>
      <c r="T212" s="78">
        <v>0</v>
      </c>
      <c r="U212" s="78">
        <v>1</v>
      </c>
      <c r="V212" s="78">
        <v>0</v>
      </c>
      <c r="W212" s="78">
        <v>0.5</v>
      </c>
      <c r="X212" s="78">
        <v>0</v>
      </c>
      <c r="Y212" s="78">
        <v>1</v>
      </c>
      <c r="Z212" s="78">
        <v>0</v>
      </c>
      <c r="AA212" s="78">
        <v>0</v>
      </c>
      <c r="AB212" s="78">
        <v>0</v>
      </c>
      <c r="AC212" s="78">
        <v>0</v>
      </c>
      <c r="AD212" s="137">
        <v>7.3529399999999995E-2</v>
      </c>
      <c r="AF212" s="143" t="s">
        <v>764</v>
      </c>
      <c r="AG212" s="143" t="s">
        <v>765</v>
      </c>
      <c r="AH212" s="143" t="s">
        <v>842</v>
      </c>
      <c r="AI212" s="143">
        <v>1812</v>
      </c>
      <c r="AJ212" s="78">
        <v>1</v>
      </c>
      <c r="AK212" s="78">
        <v>0</v>
      </c>
      <c r="AL212" s="78">
        <v>0</v>
      </c>
      <c r="AM212" s="78">
        <v>0</v>
      </c>
      <c r="AN212" s="78">
        <v>1</v>
      </c>
      <c r="AO212" s="78">
        <v>2</v>
      </c>
      <c r="AP212" s="78">
        <v>2</v>
      </c>
      <c r="AQ212" s="78">
        <v>1</v>
      </c>
      <c r="AR212" s="78">
        <v>2</v>
      </c>
      <c r="AS212" s="78">
        <v>0</v>
      </c>
      <c r="AT212" s="78">
        <v>0</v>
      </c>
      <c r="AU212" s="78">
        <v>0</v>
      </c>
      <c r="AV212" s="78">
        <v>0</v>
      </c>
      <c r="AW212" s="78">
        <v>0</v>
      </c>
      <c r="AX212" s="78">
        <v>0</v>
      </c>
      <c r="AY212" s="78">
        <v>1</v>
      </c>
      <c r="AZ212" s="78">
        <v>2</v>
      </c>
      <c r="BA212" s="78">
        <v>0.5</v>
      </c>
      <c r="BB212" s="78">
        <v>0</v>
      </c>
      <c r="BC212" s="78">
        <v>0.5</v>
      </c>
      <c r="BD212" s="78">
        <v>1</v>
      </c>
      <c r="BE212" s="78">
        <v>0.5</v>
      </c>
      <c r="BF212" s="78">
        <v>0</v>
      </c>
      <c r="BG212" s="78">
        <v>2</v>
      </c>
      <c r="BH212" s="137">
        <v>0.375</v>
      </c>
      <c r="BJ212" s="143" t="s">
        <v>764</v>
      </c>
      <c r="BK212" s="143" t="s">
        <v>765</v>
      </c>
      <c r="BL212" s="143" t="s">
        <v>842</v>
      </c>
      <c r="BM212" s="143">
        <v>1812</v>
      </c>
      <c r="BN212" s="78">
        <v>0</v>
      </c>
      <c r="BO212" s="78">
        <v>4</v>
      </c>
      <c r="BP212" s="78">
        <v>0</v>
      </c>
      <c r="BQ212" s="78">
        <v>0</v>
      </c>
      <c r="BR212" s="78">
        <v>0</v>
      </c>
      <c r="BS212" s="78">
        <v>0</v>
      </c>
      <c r="BT212" s="78">
        <v>0</v>
      </c>
      <c r="BU212" s="137">
        <v>0.17391300000000001</v>
      </c>
      <c r="BW212" s="143" t="s">
        <v>764</v>
      </c>
      <c r="BX212" s="143" t="s">
        <v>765</v>
      </c>
      <c r="BY212" s="143" t="s">
        <v>842</v>
      </c>
      <c r="BZ212" s="143">
        <v>1812</v>
      </c>
      <c r="CA212" s="78">
        <v>1</v>
      </c>
      <c r="CB212" s="78">
        <v>0</v>
      </c>
      <c r="CC212" s="78">
        <v>1</v>
      </c>
      <c r="CD212" s="78">
        <v>2</v>
      </c>
      <c r="CE212" s="78">
        <v>0</v>
      </c>
      <c r="CF212" s="78">
        <v>2</v>
      </c>
      <c r="CG212" s="78">
        <v>1</v>
      </c>
      <c r="CH212" s="78">
        <v>2</v>
      </c>
      <c r="CI212" s="78">
        <v>1</v>
      </c>
      <c r="CJ212" s="78">
        <v>0</v>
      </c>
      <c r="CK212" s="137">
        <v>0.66666669999999995</v>
      </c>
      <c r="CM212" s="143" t="s">
        <v>764</v>
      </c>
      <c r="CN212" s="143" t="s">
        <v>765</v>
      </c>
      <c r="CO212" s="143" t="s">
        <v>842</v>
      </c>
      <c r="CP212" s="143">
        <v>1812</v>
      </c>
      <c r="CQ212" s="78">
        <v>0</v>
      </c>
      <c r="CR212" s="78">
        <v>0</v>
      </c>
      <c r="CS212" s="78">
        <v>0</v>
      </c>
      <c r="CT212" s="78">
        <v>4</v>
      </c>
      <c r="CU212" s="78">
        <v>2</v>
      </c>
      <c r="CV212" s="78">
        <v>8</v>
      </c>
      <c r="CW212" s="137">
        <v>0.26923079999999999</v>
      </c>
      <c r="CY212" s="143" t="s">
        <v>764</v>
      </c>
      <c r="CZ212" s="143" t="s">
        <v>765</v>
      </c>
      <c r="DA212" s="143" t="s">
        <v>842</v>
      </c>
      <c r="DB212" s="143">
        <v>1812</v>
      </c>
      <c r="DC212" s="78">
        <v>0</v>
      </c>
      <c r="DD212" s="137">
        <v>0</v>
      </c>
      <c r="DE212" s="137">
        <v>0</v>
      </c>
      <c r="DG212" s="143" t="s">
        <v>764</v>
      </c>
      <c r="DH212" s="143" t="s">
        <v>765</v>
      </c>
      <c r="DI212" s="143" t="s">
        <v>842</v>
      </c>
      <c r="DJ212" s="143">
        <v>1812</v>
      </c>
      <c r="DK212" s="78">
        <v>2</v>
      </c>
      <c r="DL212" s="78">
        <v>1</v>
      </c>
      <c r="DM212" s="78">
        <v>1</v>
      </c>
      <c r="DN212" s="78">
        <v>3</v>
      </c>
      <c r="DO212" s="78">
        <v>0</v>
      </c>
      <c r="DP212" s="78">
        <v>1</v>
      </c>
      <c r="DQ212" s="78">
        <v>7</v>
      </c>
      <c r="DR212" s="78">
        <v>0</v>
      </c>
      <c r="DS212" s="78">
        <v>1</v>
      </c>
      <c r="DT212" s="78">
        <v>0</v>
      </c>
      <c r="DU212" s="78">
        <v>0</v>
      </c>
      <c r="DV212" s="137">
        <v>0.55172410000000005</v>
      </c>
      <c r="DX212" s="143" t="s">
        <v>764</v>
      </c>
      <c r="DY212" s="143" t="s">
        <v>765</v>
      </c>
      <c r="DZ212" s="143" t="s">
        <v>842</v>
      </c>
      <c r="EA212" s="143">
        <v>1812</v>
      </c>
      <c r="EB212" s="78">
        <v>1</v>
      </c>
      <c r="EC212" s="78">
        <v>8</v>
      </c>
      <c r="ED212" s="78">
        <v>0</v>
      </c>
      <c r="EE212" s="78">
        <v>4</v>
      </c>
      <c r="EF212" s="78">
        <v>0</v>
      </c>
      <c r="EG212" s="78">
        <v>1</v>
      </c>
      <c r="EH212" s="78">
        <v>0</v>
      </c>
      <c r="EI212" s="78">
        <v>1</v>
      </c>
      <c r="EJ212" s="78">
        <v>1</v>
      </c>
      <c r="EK212" s="78">
        <v>1</v>
      </c>
      <c r="EL212" s="78">
        <v>1</v>
      </c>
      <c r="EM212" s="78">
        <v>1</v>
      </c>
      <c r="EN212" s="78">
        <v>0</v>
      </c>
      <c r="EO212" s="78">
        <v>0</v>
      </c>
      <c r="EP212" s="78">
        <v>1</v>
      </c>
      <c r="EQ212" s="137">
        <v>0.74074070000000003</v>
      </c>
      <c r="ES212" s="143" t="s">
        <v>764</v>
      </c>
      <c r="ET212" s="143" t="s">
        <v>765</v>
      </c>
      <c r="EU212" s="143" t="s">
        <v>842</v>
      </c>
      <c r="EV212" s="143">
        <v>1812</v>
      </c>
      <c r="EW212" s="78">
        <v>0</v>
      </c>
      <c r="EX212" s="78">
        <v>0</v>
      </c>
      <c r="EY212" s="78">
        <v>0</v>
      </c>
      <c r="EZ212" s="78">
        <v>0</v>
      </c>
      <c r="FA212" s="78">
        <v>0.5</v>
      </c>
      <c r="FB212" s="78">
        <v>0</v>
      </c>
      <c r="FC212" s="78">
        <v>2</v>
      </c>
      <c r="FD212" s="78">
        <v>0</v>
      </c>
      <c r="FE212" s="137">
        <v>0.1923077</v>
      </c>
      <c r="FG212" s="137">
        <v>0.27551019999999998</v>
      </c>
    </row>
    <row r="213" spans="1:163" x14ac:dyDescent="0.35">
      <c r="A213" s="143" t="s">
        <v>764</v>
      </c>
      <c r="B213" s="143" t="s">
        <v>765</v>
      </c>
      <c r="C213" s="143" t="s">
        <v>842</v>
      </c>
      <c r="D213" s="143">
        <v>2936</v>
      </c>
      <c r="E213" s="78">
        <v>0</v>
      </c>
      <c r="F213" s="78">
        <v>2.5</v>
      </c>
      <c r="G213" s="78">
        <v>1</v>
      </c>
      <c r="H213" s="78">
        <v>3</v>
      </c>
      <c r="I213" s="78">
        <v>1</v>
      </c>
      <c r="J213" s="78">
        <v>0</v>
      </c>
      <c r="K213" s="78">
        <v>0</v>
      </c>
      <c r="L213" s="78">
        <v>1</v>
      </c>
      <c r="M213" s="78">
        <v>2</v>
      </c>
      <c r="N213" s="137">
        <v>0.75</v>
      </c>
      <c r="P213" s="143" t="s">
        <v>764</v>
      </c>
      <c r="Q213" s="143" t="s">
        <v>765</v>
      </c>
      <c r="R213" s="143" t="s">
        <v>842</v>
      </c>
      <c r="S213" s="143">
        <v>2936</v>
      </c>
      <c r="T213" s="78">
        <v>1</v>
      </c>
      <c r="U213" s="78">
        <v>1</v>
      </c>
      <c r="V213" s="78">
        <v>3</v>
      </c>
      <c r="W213" s="78">
        <v>0.5</v>
      </c>
      <c r="X213" s="78">
        <v>12</v>
      </c>
      <c r="Y213" s="78">
        <v>1</v>
      </c>
      <c r="Z213" s="78">
        <v>3</v>
      </c>
      <c r="AA213" s="78">
        <v>0</v>
      </c>
      <c r="AB213" s="78">
        <v>6</v>
      </c>
      <c r="AC213" s="78">
        <v>0</v>
      </c>
      <c r="AD213" s="137">
        <v>0.80882350000000003</v>
      </c>
      <c r="AF213" s="143" t="s">
        <v>764</v>
      </c>
      <c r="AG213" s="143" t="s">
        <v>765</v>
      </c>
      <c r="AH213" s="143" t="s">
        <v>842</v>
      </c>
      <c r="AI213" s="143">
        <v>2936</v>
      </c>
      <c r="AJ213" s="78">
        <v>1</v>
      </c>
      <c r="AK213" s="78">
        <v>0</v>
      </c>
      <c r="AL213" s="78">
        <v>0</v>
      </c>
      <c r="AM213" s="78">
        <v>6</v>
      </c>
      <c r="AN213" s="78">
        <v>1</v>
      </c>
      <c r="AO213" s="78">
        <v>2</v>
      </c>
      <c r="AP213" s="78">
        <v>1</v>
      </c>
      <c r="AQ213" s="78">
        <v>1</v>
      </c>
      <c r="AR213" s="78">
        <v>0</v>
      </c>
      <c r="AS213" s="78">
        <v>2</v>
      </c>
      <c r="AT213" s="78">
        <v>2</v>
      </c>
      <c r="AU213" s="78">
        <v>1</v>
      </c>
      <c r="AV213" s="78">
        <v>2</v>
      </c>
      <c r="AW213" s="78">
        <v>1</v>
      </c>
      <c r="AX213" s="78">
        <v>4</v>
      </c>
      <c r="AY213" s="78">
        <v>1</v>
      </c>
      <c r="AZ213" s="78">
        <v>2</v>
      </c>
      <c r="BA213" s="78">
        <v>0.5</v>
      </c>
      <c r="BB213" s="78">
        <v>0.5</v>
      </c>
      <c r="BC213" s="78">
        <v>0.5</v>
      </c>
      <c r="BD213" s="78">
        <v>1</v>
      </c>
      <c r="BE213" s="78">
        <v>0.5</v>
      </c>
      <c r="BF213" s="78">
        <v>1</v>
      </c>
      <c r="BG213" s="78">
        <v>8</v>
      </c>
      <c r="BH213" s="137">
        <v>0.88636360000000003</v>
      </c>
      <c r="BJ213" s="143" t="s">
        <v>764</v>
      </c>
      <c r="BK213" s="143" t="s">
        <v>765</v>
      </c>
      <c r="BL213" s="143" t="s">
        <v>842</v>
      </c>
      <c r="BM213" s="143">
        <v>2936</v>
      </c>
      <c r="BN213" s="78">
        <v>0</v>
      </c>
      <c r="BO213" s="78">
        <v>4</v>
      </c>
      <c r="BP213" s="78">
        <v>0</v>
      </c>
      <c r="BQ213" s="78">
        <v>0</v>
      </c>
      <c r="BR213" s="78">
        <v>0</v>
      </c>
      <c r="BS213" s="78">
        <v>0</v>
      </c>
      <c r="BT213" s="78">
        <v>2</v>
      </c>
      <c r="BU213" s="137">
        <v>0.26086959999999998</v>
      </c>
      <c r="BW213" s="143" t="s">
        <v>764</v>
      </c>
      <c r="BX213" s="143" t="s">
        <v>765</v>
      </c>
      <c r="BY213" s="143" t="s">
        <v>842</v>
      </c>
      <c r="BZ213" s="143">
        <v>2936</v>
      </c>
      <c r="CM213" s="143" t="s">
        <v>764</v>
      </c>
      <c r="CN213" s="143" t="s">
        <v>765</v>
      </c>
      <c r="CO213" s="143" t="s">
        <v>842</v>
      </c>
      <c r="CP213" s="143">
        <v>2936</v>
      </c>
      <c r="CQ213" s="78">
        <v>8</v>
      </c>
      <c r="CR213" s="78">
        <v>0</v>
      </c>
      <c r="CS213" s="78">
        <v>8</v>
      </c>
      <c r="CT213" s="78">
        <v>4</v>
      </c>
      <c r="CU213" s="78">
        <v>0</v>
      </c>
      <c r="CV213" s="78">
        <v>8</v>
      </c>
      <c r="CW213" s="137">
        <v>0.53846159999999998</v>
      </c>
      <c r="CY213" s="143" t="s">
        <v>764</v>
      </c>
      <c r="CZ213" s="143" t="s">
        <v>765</v>
      </c>
      <c r="DA213" s="143" t="s">
        <v>842</v>
      </c>
      <c r="DB213" s="143">
        <v>2936</v>
      </c>
      <c r="DC213" s="78">
        <v>0</v>
      </c>
      <c r="DD213" s="137">
        <v>0</v>
      </c>
      <c r="DE213" s="137">
        <v>0</v>
      </c>
      <c r="DG213" s="143" t="s">
        <v>764</v>
      </c>
      <c r="DH213" s="143" t="s">
        <v>765</v>
      </c>
      <c r="DI213" s="143" t="s">
        <v>842</v>
      </c>
      <c r="DJ213" s="143">
        <v>2936</v>
      </c>
      <c r="DK213" s="78">
        <v>2</v>
      </c>
      <c r="DL213" s="78">
        <v>1</v>
      </c>
      <c r="DM213" s="78">
        <v>0</v>
      </c>
      <c r="DN213" s="78">
        <v>6</v>
      </c>
      <c r="DO213" s="78">
        <v>2</v>
      </c>
      <c r="DP213" s="78">
        <v>3</v>
      </c>
      <c r="DQ213" s="78">
        <v>5</v>
      </c>
      <c r="DR213" s="78">
        <v>0</v>
      </c>
      <c r="DS213" s="78">
        <v>1</v>
      </c>
      <c r="DT213" s="78">
        <v>0</v>
      </c>
      <c r="DU213" s="78">
        <v>1</v>
      </c>
      <c r="DV213" s="137">
        <v>0.7241379</v>
      </c>
      <c r="DX213" s="143" t="s">
        <v>764</v>
      </c>
      <c r="DY213" s="143" t="s">
        <v>765</v>
      </c>
      <c r="DZ213" s="143" t="s">
        <v>842</v>
      </c>
      <c r="EA213" s="143">
        <v>2936</v>
      </c>
      <c r="EB213" s="78">
        <v>1</v>
      </c>
      <c r="EC213" s="78">
        <v>8</v>
      </c>
      <c r="ED213" s="78">
        <v>0</v>
      </c>
      <c r="EE213" s="78">
        <v>0</v>
      </c>
      <c r="EF213" s="78">
        <v>3</v>
      </c>
      <c r="EG213" s="78">
        <v>1</v>
      </c>
      <c r="EH213" s="78">
        <v>1</v>
      </c>
      <c r="EI213" s="78">
        <v>1</v>
      </c>
      <c r="EJ213" s="78">
        <v>1</v>
      </c>
      <c r="EK213" s="78">
        <v>1</v>
      </c>
      <c r="EL213" s="78">
        <v>1</v>
      </c>
      <c r="EM213" s="78">
        <v>1</v>
      </c>
      <c r="EN213" s="78">
        <v>0</v>
      </c>
      <c r="EO213" s="78">
        <v>1</v>
      </c>
      <c r="EP213" s="78">
        <v>1</v>
      </c>
      <c r="EQ213" s="137">
        <v>0.77777779999999996</v>
      </c>
      <c r="ES213" s="143" t="s">
        <v>764</v>
      </c>
      <c r="ET213" s="143" t="s">
        <v>765</v>
      </c>
      <c r="EU213" s="143" t="s">
        <v>842</v>
      </c>
      <c r="EV213" s="143">
        <v>2936</v>
      </c>
      <c r="EW213" s="78">
        <v>0</v>
      </c>
      <c r="EX213" s="78">
        <v>1</v>
      </c>
      <c r="EY213" s="78">
        <v>0</v>
      </c>
      <c r="EZ213" s="78">
        <v>0</v>
      </c>
      <c r="FA213" s="78">
        <v>0</v>
      </c>
      <c r="FB213" s="78">
        <v>3</v>
      </c>
      <c r="FC213" s="78">
        <v>2</v>
      </c>
      <c r="FD213" s="78">
        <v>1</v>
      </c>
      <c r="FE213" s="137">
        <v>0.53846159999999998</v>
      </c>
      <c r="FG213" s="137">
        <v>0.48780489999999999</v>
      </c>
    </row>
    <row r="214" spans="1:163" x14ac:dyDescent="0.35">
      <c r="A214" s="143" t="s">
        <v>766</v>
      </c>
      <c r="B214" s="143" t="s">
        <v>728</v>
      </c>
      <c r="C214" s="143" t="s">
        <v>843</v>
      </c>
      <c r="D214" s="143">
        <v>759</v>
      </c>
      <c r="E214" s="78">
        <v>0</v>
      </c>
      <c r="F214" s="78">
        <v>1.5</v>
      </c>
      <c r="G214" s="78">
        <v>0</v>
      </c>
      <c r="H214" s="78">
        <v>3</v>
      </c>
      <c r="I214" s="78">
        <v>1</v>
      </c>
      <c r="J214" s="78">
        <v>0</v>
      </c>
      <c r="K214" s="78">
        <v>1</v>
      </c>
      <c r="L214" s="78">
        <v>1</v>
      </c>
      <c r="M214" s="78">
        <v>0</v>
      </c>
      <c r="N214" s="137">
        <v>0.53571429999999998</v>
      </c>
      <c r="P214" s="143" t="s">
        <v>766</v>
      </c>
      <c r="Q214" s="143" t="s">
        <v>728</v>
      </c>
      <c r="R214" s="143" t="s">
        <v>843</v>
      </c>
      <c r="S214" s="143">
        <v>759</v>
      </c>
      <c r="T214" s="78">
        <v>1</v>
      </c>
      <c r="U214" s="78">
        <v>1</v>
      </c>
      <c r="V214" s="78">
        <v>0.5</v>
      </c>
      <c r="W214" s="78">
        <v>2</v>
      </c>
      <c r="X214" s="78">
        <v>0</v>
      </c>
      <c r="Y214" s="78">
        <v>1</v>
      </c>
      <c r="Z214" s="78">
        <v>3</v>
      </c>
      <c r="AA214" s="78">
        <v>2</v>
      </c>
      <c r="AB214" s="78">
        <v>6</v>
      </c>
      <c r="AC214" s="78">
        <v>3</v>
      </c>
      <c r="AD214" s="137">
        <v>0.57352939999999997</v>
      </c>
      <c r="AF214" s="143" t="s">
        <v>766</v>
      </c>
      <c r="AG214" s="143" t="s">
        <v>728</v>
      </c>
      <c r="AH214" s="143" t="s">
        <v>843</v>
      </c>
      <c r="AI214" s="143">
        <v>759</v>
      </c>
      <c r="AJ214" s="78">
        <v>1</v>
      </c>
      <c r="AK214" s="78">
        <v>0</v>
      </c>
      <c r="AL214" s="78">
        <v>0</v>
      </c>
      <c r="AM214" s="78">
        <v>1</v>
      </c>
      <c r="AN214" s="78">
        <v>1</v>
      </c>
      <c r="AO214" s="78">
        <v>0</v>
      </c>
      <c r="AP214" s="78">
        <v>2</v>
      </c>
      <c r="AQ214" s="78">
        <v>1</v>
      </c>
      <c r="AR214" s="78">
        <v>2</v>
      </c>
      <c r="AS214" s="78">
        <v>2</v>
      </c>
      <c r="AT214" s="78">
        <v>2</v>
      </c>
      <c r="AU214" s="78">
        <v>1</v>
      </c>
      <c r="AV214" s="78">
        <v>2</v>
      </c>
      <c r="AW214" s="78">
        <v>1</v>
      </c>
      <c r="AX214" s="78">
        <v>0</v>
      </c>
      <c r="AY214" s="78">
        <v>1</v>
      </c>
      <c r="AZ214" s="78">
        <v>2</v>
      </c>
      <c r="BA214" s="78">
        <v>0.5</v>
      </c>
      <c r="BB214" s="78">
        <v>0</v>
      </c>
      <c r="BC214" s="78">
        <v>0</v>
      </c>
      <c r="BD214" s="78">
        <v>1</v>
      </c>
      <c r="BE214" s="78">
        <v>0.5</v>
      </c>
      <c r="BF214" s="78">
        <v>1</v>
      </c>
      <c r="BG214" s="78">
        <v>8</v>
      </c>
      <c r="BH214" s="137">
        <v>0.68181820000000004</v>
      </c>
      <c r="BJ214" s="143" t="s">
        <v>766</v>
      </c>
      <c r="BK214" s="143" t="s">
        <v>728</v>
      </c>
      <c r="BL214" s="143" t="s">
        <v>843</v>
      </c>
      <c r="BM214" s="143">
        <v>759</v>
      </c>
      <c r="BN214" s="78">
        <v>1</v>
      </c>
      <c r="BO214" s="78">
        <v>4</v>
      </c>
      <c r="BP214" s="78">
        <v>7</v>
      </c>
      <c r="BQ214" s="78">
        <v>3</v>
      </c>
      <c r="BR214" s="78">
        <v>3</v>
      </c>
      <c r="BS214" s="78">
        <v>3</v>
      </c>
      <c r="BT214" s="78">
        <v>2</v>
      </c>
      <c r="BU214" s="137">
        <v>1</v>
      </c>
      <c r="BW214" s="143" t="s">
        <v>766</v>
      </c>
      <c r="BX214" s="143" t="s">
        <v>728</v>
      </c>
      <c r="BY214" s="143" t="s">
        <v>843</v>
      </c>
      <c r="BZ214" s="143">
        <v>759</v>
      </c>
      <c r="CA214" s="78">
        <v>1</v>
      </c>
      <c r="CB214" s="78">
        <v>1</v>
      </c>
      <c r="CC214" s="78">
        <v>1</v>
      </c>
      <c r="CD214" s="78">
        <v>2</v>
      </c>
      <c r="CE214" s="78">
        <v>1</v>
      </c>
      <c r="CF214" s="78">
        <v>2</v>
      </c>
      <c r="CG214" s="78">
        <v>1</v>
      </c>
      <c r="CH214" s="78">
        <v>2</v>
      </c>
      <c r="CI214" s="78">
        <v>1</v>
      </c>
      <c r="CJ214" s="78">
        <v>3</v>
      </c>
      <c r="CK214" s="137">
        <v>1</v>
      </c>
      <c r="CM214" s="143" t="s">
        <v>766</v>
      </c>
      <c r="CN214" s="143" t="s">
        <v>728</v>
      </c>
      <c r="CO214" s="143" t="s">
        <v>843</v>
      </c>
      <c r="CP214" s="143">
        <v>759</v>
      </c>
      <c r="CQ214" s="78">
        <v>8</v>
      </c>
      <c r="CR214" s="78">
        <v>6</v>
      </c>
      <c r="CS214" s="78">
        <v>12</v>
      </c>
      <c r="CT214" s="78">
        <v>4</v>
      </c>
      <c r="CU214" s="78">
        <v>0</v>
      </c>
      <c r="CV214" s="78">
        <v>8</v>
      </c>
      <c r="CW214" s="137">
        <v>0.73076920000000001</v>
      </c>
      <c r="CY214" s="143" t="s">
        <v>766</v>
      </c>
      <c r="CZ214" s="143" t="s">
        <v>728</v>
      </c>
      <c r="DA214" s="143" t="s">
        <v>843</v>
      </c>
      <c r="DB214" s="143">
        <v>759</v>
      </c>
      <c r="DC214" s="78">
        <v>0</v>
      </c>
      <c r="DD214" s="137">
        <v>0</v>
      </c>
      <c r="DE214" s="137">
        <v>0</v>
      </c>
      <c r="DG214" s="143" t="s">
        <v>766</v>
      </c>
      <c r="DH214" s="143" t="s">
        <v>728</v>
      </c>
      <c r="DI214" s="143" t="s">
        <v>843</v>
      </c>
      <c r="DJ214" s="143">
        <v>759</v>
      </c>
      <c r="DK214" s="78">
        <v>2</v>
      </c>
      <c r="DL214" s="78">
        <v>1</v>
      </c>
      <c r="DM214" s="78">
        <v>1</v>
      </c>
      <c r="DN214" s="78">
        <v>5</v>
      </c>
      <c r="DO214" s="78">
        <v>0</v>
      </c>
      <c r="DP214" s="78">
        <v>3</v>
      </c>
      <c r="DQ214" s="78">
        <v>8</v>
      </c>
      <c r="DR214" s="78">
        <v>1</v>
      </c>
      <c r="DS214" s="78">
        <v>1</v>
      </c>
      <c r="DT214" s="78">
        <v>2</v>
      </c>
      <c r="DU214" s="78">
        <v>0</v>
      </c>
      <c r="DV214" s="137">
        <v>0.82758620000000005</v>
      </c>
      <c r="DX214" s="143" t="s">
        <v>766</v>
      </c>
      <c r="DY214" s="143" t="s">
        <v>728</v>
      </c>
      <c r="DZ214" s="143" t="s">
        <v>843</v>
      </c>
      <c r="EA214" s="143">
        <v>759</v>
      </c>
      <c r="EB214" s="78">
        <v>1</v>
      </c>
      <c r="EC214" s="78">
        <v>8</v>
      </c>
      <c r="ED214" s="78">
        <v>0</v>
      </c>
      <c r="EE214" s="78">
        <v>4</v>
      </c>
      <c r="EF214" s="78">
        <v>3</v>
      </c>
      <c r="EG214" s="78">
        <v>1</v>
      </c>
      <c r="EH214" s="78">
        <v>0</v>
      </c>
      <c r="EI214" s="78">
        <v>1</v>
      </c>
      <c r="EJ214" s="78">
        <v>1</v>
      </c>
      <c r="EK214" s="78">
        <v>1</v>
      </c>
      <c r="EL214" s="78">
        <v>1</v>
      </c>
      <c r="EM214" s="78">
        <v>1</v>
      </c>
      <c r="EN214" s="78">
        <v>1</v>
      </c>
      <c r="EO214" s="78">
        <v>1</v>
      </c>
      <c r="EP214" s="78">
        <v>0</v>
      </c>
      <c r="EQ214" s="137">
        <v>0.88888889999999998</v>
      </c>
      <c r="ES214" s="143" t="s">
        <v>766</v>
      </c>
      <c r="ET214" s="143" t="s">
        <v>728</v>
      </c>
      <c r="EU214" s="143" t="s">
        <v>843</v>
      </c>
      <c r="EV214" s="143">
        <v>759</v>
      </c>
      <c r="EW214" s="78">
        <v>0</v>
      </c>
      <c r="EX214" s="78">
        <v>1</v>
      </c>
      <c r="EY214" s="78">
        <v>3</v>
      </c>
      <c r="EZ214" s="78">
        <v>2</v>
      </c>
      <c r="FA214" s="78">
        <v>0.5</v>
      </c>
      <c r="FB214" s="78">
        <v>3</v>
      </c>
      <c r="FC214" s="78">
        <v>2</v>
      </c>
      <c r="FD214" s="78">
        <v>1</v>
      </c>
      <c r="FE214" s="137">
        <v>0.96153840000000002</v>
      </c>
      <c r="FG214" s="137">
        <v>0.56413999999999997</v>
      </c>
    </row>
    <row r="215" spans="1:163" x14ac:dyDescent="0.35">
      <c r="A215" s="143" t="s">
        <v>766</v>
      </c>
      <c r="B215" s="143" t="s">
        <v>728</v>
      </c>
      <c r="C215" s="143" t="s">
        <v>841</v>
      </c>
      <c r="D215" s="143">
        <v>1893</v>
      </c>
      <c r="E215" s="78">
        <v>0</v>
      </c>
      <c r="F215" s="78">
        <v>2</v>
      </c>
      <c r="G215" s="78">
        <v>1</v>
      </c>
      <c r="H215" s="78">
        <v>3</v>
      </c>
      <c r="I215" s="78">
        <v>1</v>
      </c>
      <c r="J215" s="78">
        <v>0</v>
      </c>
      <c r="K215" s="78">
        <v>1</v>
      </c>
      <c r="L215" s="78">
        <v>1</v>
      </c>
      <c r="M215" s="78">
        <v>2</v>
      </c>
      <c r="N215" s="137">
        <v>0.78571429999999998</v>
      </c>
      <c r="P215" s="143" t="s">
        <v>766</v>
      </c>
      <c r="Q215" s="143" t="s">
        <v>728</v>
      </c>
      <c r="R215" s="143" t="s">
        <v>841</v>
      </c>
      <c r="S215" s="143">
        <v>1893</v>
      </c>
      <c r="T215" s="78">
        <v>1</v>
      </c>
      <c r="U215" s="78">
        <v>1</v>
      </c>
      <c r="V215" s="78">
        <v>2</v>
      </c>
      <c r="W215" s="78">
        <v>2</v>
      </c>
      <c r="X215" s="78">
        <v>0</v>
      </c>
      <c r="Y215" s="78">
        <v>1</v>
      </c>
      <c r="Z215" s="78">
        <v>3</v>
      </c>
      <c r="AA215" s="78">
        <v>2</v>
      </c>
      <c r="AB215" s="78">
        <v>0</v>
      </c>
      <c r="AC215" s="78">
        <v>3</v>
      </c>
      <c r="AD215" s="137">
        <v>0.44117650000000003</v>
      </c>
      <c r="AF215" s="143" t="s">
        <v>766</v>
      </c>
      <c r="AG215" s="143" t="s">
        <v>728</v>
      </c>
      <c r="AH215" s="143" t="s">
        <v>841</v>
      </c>
      <c r="AI215" s="143">
        <v>1893</v>
      </c>
      <c r="AJ215" s="78">
        <v>1</v>
      </c>
      <c r="AK215" s="78">
        <v>0</v>
      </c>
      <c r="AL215" s="78">
        <v>1</v>
      </c>
      <c r="AM215" s="78">
        <v>6</v>
      </c>
      <c r="AN215" s="78">
        <v>1</v>
      </c>
      <c r="AO215" s="78">
        <v>0</v>
      </c>
      <c r="AP215" s="78">
        <v>2</v>
      </c>
      <c r="AQ215" s="78">
        <v>1</v>
      </c>
      <c r="AR215" s="78">
        <v>2</v>
      </c>
      <c r="AS215" s="78">
        <v>2</v>
      </c>
      <c r="AT215" s="78">
        <v>2</v>
      </c>
      <c r="AU215" s="78">
        <v>1</v>
      </c>
      <c r="AV215" s="78">
        <v>2</v>
      </c>
      <c r="AW215" s="78">
        <v>1</v>
      </c>
      <c r="AX215" s="78">
        <v>0</v>
      </c>
      <c r="AY215" s="78">
        <v>1</v>
      </c>
      <c r="AZ215" s="78">
        <v>2</v>
      </c>
      <c r="BA215" s="78">
        <v>0.5</v>
      </c>
      <c r="BB215" s="78">
        <v>0.5</v>
      </c>
      <c r="BC215" s="78">
        <v>0.5</v>
      </c>
      <c r="BD215" s="78">
        <v>1</v>
      </c>
      <c r="BE215" s="78">
        <v>0</v>
      </c>
      <c r="BF215" s="78">
        <v>1</v>
      </c>
      <c r="BG215" s="78">
        <v>8</v>
      </c>
      <c r="BH215" s="137">
        <v>0.82954539999999999</v>
      </c>
      <c r="BJ215" s="143" t="s">
        <v>766</v>
      </c>
      <c r="BK215" s="143" t="s">
        <v>728</v>
      </c>
      <c r="BL215" s="143" t="s">
        <v>841</v>
      </c>
      <c r="BM215" s="143">
        <v>1893</v>
      </c>
      <c r="BN215" s="78">
        <v>1</v>
      </c>
      <c r="BO215" s="78">
        <v>4</v>
      </c>
      <c r="BP215" s="78">
        <v>7</v>
      </c>
      <c r="BQ215" s="78">
        <v>3</v>
      </c>
      <c r="BR215" s="78">
        <v>3</v>
      </c>
      <c r="BS215" s="78">
        <v>3</v>
      </c>
      <c r="BT215" s="78">
        <v>2</v>
      </c>
      <c r="BU215" s="137">
        <v>1</v>
      </c>
      <c r="BW215" s="143" t="s">
        <v>766</v>
      </c>
      <c r="BX215" s="143" t="s">
        <v>728</v>
      </c>
      <c r="BY215" s="143" t="s">
        <v>841</v>
      </c>
      <c r="BZ215" s="143">
        <v>1893</v>
      </c>
      <c r="CA215" s="78">
        <v>1</v>
      </c>
      <c r="CB215" s="78">
        <v>1</v>
      </c>
      <c r="CC215" s="78">
        <v>1</v>
      </c>
      <c r="CD215" s="78">
        <v>2</v>
      </c>
      <c r="CE215" s="78">
        <v>1</v>
      </c>
      <c r="CF215" s="78">
        <v>2</v>
      </c>
      <c r="CG215" s="78">
        <v>1</v>
      </c>
      <c r="CH215" s="78">
        <v>2</v>
      </c>
      <c r="CI215" s="78">
        <v>1</v>
      </c>
      <c r="CJ215" s="78">
        <v>0</v>
      </c>
      <c r="CK215" s="137">
        <v>0.8</v>
      </c>
      <c r="CM215" s="143" t="s">
        <v>766</v>
      </c>
      <c r="CN215" s="143" t="s">
        <v>728</v>
      </c>
      <c r="CO215" s="143" t="s">
        <v>841</v>
      </c>
      <c r="CP215" s="143">
        <v>1893</v>
      </c>
      <c r="CQ215" s="78">
        <v>8</v>
      </c>
      <c r="CR215" s="78">
        <v>0</v>
      </c>
      <c r="CS215" s="78">
        <v>4</v>
      </c>
      <c r="CT215" s="78">
        <v>4</v>
      </c>
      <c r="CU215" s="78">
        <v>2</v>
      </c>
      <c r="CV215" s="78">
        <v>8</v>
      </c>
      <c r="CW215" s="137">
        <v>0.5</v>
      </c>
      <c r="CY215" s="143" t="s">
        <v>766</v>
      </c>
      <c r="CZ215" s="143" t="s">
        <v>728</v>
      </c>
      <c r="DA215" s="143" t="s">
        <v>841</v>
      </c>
      <c r="DB215" s="143">
        <v>1893</v>
      </c>
      <c r="DC215" s="78">
        <v>4</v>
      </c>
      <c r="DD215" s="137">
        <v>0</v>
      </c>
      <c r="DE215" s="137">
        <v>0</v>
      </c>
      <c r="DG215" s="143" t="s">
        <v>766</v>
      </c>
      <c r="DH215" s="143" t="s">
        <v>728</v>
      </c>
      <c r="DI215" s="143" t="s">
        <v>841</v>
      </c>
      <c r="DJ215" s="143">
        <v>1893</v>
      </c>
      <c r="DK215" s="78">
        <v>2</v>
      </c>
      <c r="DL215" s="78">
        <v>1</v>
      </c>
      <c r="DM215" s="78">
        <v>1</v>
      </c>
      <c r="DN215" s="78">
        <v>7</v>
      </c>
      <c r="DO215" s="78">
        <v>2</v>
      </c>
      <c r="DP215" s="78">
        <v>3</v>
      </c>
      <c r="DQ215" s="78">
        <v>8</v>
      </c>
      <c r="DR215" s="78">
        <v>1</v>
      </c>
      <c r="DS215" s="78">
        <v>1</v>
      </c>
      <c r="DT215" s="78">
        <v>2</v>
      </c>
      <c r="DU215" s="78">
        <v>1</v>
      </c>
      <c r="DV215" s="137">
        <v>1</v>
      </c>
      <c r="DX215" s="143" t="s">
        <v>766</v>
      </c>
      <c r="DY215" s="143" t="s">
        <v>728</v>
      </c>
      <c r="DZ215" s="143" t="s">
        <v>841</v>
      </c>
      <c r="EA215" s="143">
        <v>1893</v>
      </c>
      <c r="EB215" s="78">
        <v>1</v>
      </c>
      <c r="EC215" s="78">
        <v>8</v>
      </c>
      <c r="ED215" s="78">
        <v>0</v>
      </c>
      <c r="EE215" s="78">
        <v>4</v>
      </c>
      <c r="EF215" s="78">
        <v>3</v>
      </c>
      <c r="EG215" s="78">
        <v>1</v>
      </c>
      <c r="EH215" s="78">
        <v>0</v>
      </c>
      <c r="EI215" s="78">
        <v>1</v>
      </c>
      <c r="EJ215" s="78">
        <v>1</v>
      </c>
      <c r="EK215" s="78">
        <v>1</v>
      </c>
      <c r="EL215" s="78">
        <v>1</v>
      </c>
      <c r="EM215" s="78">
        <v>1</v>
      </c>
      <c r="EN215" s="78">
        <v>1</v>
      </c>
      <c r="EO215" s="78">
        <v>1</v>
      </c>
      <c r="EP215" s="78">
        <v>0</v>
      </c>
      <c r="EQ215" s="137">
        <v>0.88888889999999998</v>
      </c>
      <c r="ES215" s="143" t="s">
        <v>766</v>
      </c>
      <c r="ET215" s="143" t="s">
        <v>728</v>
      </c>
      <c r="EU215" s="143" t="s">
        <v>841</v>
      </c>
      <c r="EV215" s="143">
        <v>1893</v>
      </c>
      <c r="EW215" s="78">
        <v>0</v>
      </c>
      <c r="EX215" s="78">
        <v>1</v>
      </c>
      <c r="EY215" s="78">
        <v>3</v>
      </c>
      <c r="EZ215" s="78">
        <v>2</v>
      </c>
      <c r="FA215" s="78">
        <v>0.5</v>
      </c>
      <c r="FB215" s="78">
        <v>3</v>
      </c>
      <c r="FC215" s="78">
        <v>2</v>
      </c>
      <c r="FD215" s="78">
        <v>1</v>
      </c>
      <c r="FE215" s="137">
        <v>0.96153840000000002</v>
      </c>
      <c r="FG215" s="137">
        <v>0.55102039999999997</v>
      </c>
    </row>
    <row r="216" spans="1:163" x14ac:dyDescent="0.35">
      <c r="A216" s="143" t="s">
        <v>766</v>
      </c>
      <c r="B216" s="143" t="s">
        <v>728</v>
      </c>
      <c r="C216" s="143" t="s">
        <v>842</v>
      </c>
      <c r="D216" s="143">
        <v>2118</v>
      </c>
      <c r="E216" s="78">
        <v>0.5</v>
      </c>
      <c r="F216" s="78">
        <v>2</v>
      </c>
      <c r="G216" s="78">
        <v>0</v>
      </c>
      <c r="H216" s="78">
        <v>4</v>
      </c>
      <c r="I216" s="78">
        <v>1</v>
      </c>
      <c r="J216" s="78">
        <v>0</v>
      </c>
      <c r="K216" s="78">
        <v>1</v>
      </c>
      <c r="L216" s="78">
        <v>1</v>
      </c>
      <c r="M216" s="78">
        <v>2</v>
      </c>
      <c r="N216" s="137">
        <v>0.82142859999999995</v>
      </c>
      <c r="P216" s="143" t="s">
        <v>766</v>
      </c>
      <c r="Q216" s="143" t="s">
        <v>728</v>
      </c>
      <c r="R216" s="143" t="s">
        <v>842</v>
      </c>
      <c r="S216" s="143">
        <v>2118</v>
      </c>
      <c r="T216" s="78">
        <v>1</v>
      </c>
      <c r="U216" s="78">
        <v>0</v>
      </c>
      <c r="V216" s="78">
        <v>1.5</v>
      </c>
      <c r="W216" s="78">
        <v>0</v>
      </c>
      <c r="X216" s="78">
        <v>0</v>
      </c>
      <c r="Y216" s="78">
        <v>1</v>
      </c>
      <c r="Z216" s="78">
        <v>3</v>
      </c>
      <c r="AA216" s="78">
        <v>0</v>
      </c>
      <c r="AB216" s="78">
        <v>0</v>
      </c>
      <c r="AC216" s="78">
        <v>3</v>
      </c>
      <c r="AD216" s="137">
        <v>0.27941179999999999</v>
      </c>
      <c r="AF216" s="143" t="s">
        <v>766</v>
      </c>
      <c r="AG216" s="143" t="s">
        <v>728</v>
      </c>
      <c r="AH216" s="143" t="s">
        <v>842</v>
      </c>
      <c r="AI216" s="143">
        <v>2118</v>
      </c>
      <c r="AJ216" s="78">
        <v>1</v>
      </c>
      <c r="AK216" s="78">
        <v>1</v>
      </c>
      <c r="AL216" s="78">
        <v>1</v>
      </c>
      <c r="AM216" s="78">
        <v>6</v>
      </c>
      <c r="AN216" s="78">
        <v>1</v>
      </c>
      <c r="AO216" s="78">
        <v>0</v>
      </c>
      <c r="AP216" s="78">
        <v>2</v>
      </c>
      <c r="AQ216" s="78">
        <v>1</v>
      </c>
      <c r="AR216" s="78">
        <v>0</v>
      </c>
      <c r="AS216" s="78">
        <v>2</v>
      </c>
      <c r="AT216" s="78">
        <v>2</v>
      </c>
      <c r="AU216" s="78">
        <v>1</v>
      </c>
      <c r="AV216" s="78">
        <v>2</v>
      </c>
      <c r="AW216" s="78">
        <v>1</v>
      </c>
      <c r="AX216" s="78">
        <v>0</v>
      </c>
      <c r="AY216" s="78">
        <v>1</v>
      </c>
      <c r="AZ216" s="78">
        <v>2</v>
      </c>
      <c r="BA216" s="78">
        <v>0.5</v>
      </c>
      <c r="BB216" s="78">
        <v>0.5</v>
      </c>
      <c r="BC216" s="78">
        <v>0.5</v>
      </c>
      <c r="BD216" s="78">
        <v>1</v>
      </c>
      <c r="BE216" s="78">
        <v>0</v>
      </c>
      <c r="BF216" s="78">
        <v>1</v>
      </c>
      <c r="BG216" s="78">
        <v>8</v>
      </c>
      <c r="BH216" s="137">
        <v>0.80681820000000004</v>
      </c>
      <c r="BJ216" s="143" t="s">
        <v>766</v>
      </c>
      <c r="BK216" s="143" t="s">
        <v>728</v>
      </c>
      <c r="BL216" s="143" t="s">
        <v>842</v>
      </c>
      <c r="BM216" s="143">
        <v>2118</v>
      </c>
      <c r="BN216" s="78">
        <v>1</v>
      </c>
      <c r="BO216" s="78">
        <v>4</v>
      </c>
      <c r="BP216" s="78">
        <v>7</v>
      </c>
      <c r="BQ216" s="78">
        <v>3</v>
      </c>
      <c r="BR216" s="78">
        <v>3</v>
      </c>
      <c r="BS216" s="78">
        <v>3</v>
      </c>
      <c r="BT216" s="78">
        <v>2</v>
      </c>
      <c r="BU216" s="137">
        <v>1</v>
      </c>
      <c r="BW216" s="143" t="s">
        <v>766</v>
      </c>
      <c r="BX216" s="143" t="s">
        <v>728</v>
      </c>
      <c r="BY216" s="143" t="s">
        <v>842</v>
      </c>
      <c r="BZ216" s="143">
        <v>2118</v>
      </c>
      <c r="CA216" s="78">
        <v>1</v>
      </c>
      <c r="CB216" s="78">
        <v>0</v>
      </c>
      <c r="CC216" s="78">
        <v>1</v>
      </c>
      <c r="CD216" s="78">
        <v>2</v>
      </c>
      <c r="CE216" s="78">
        <v>1</v>
      </c>
      <c r="CF216" s="78">
        <v>2</v>
      </c>
      <c r="CG216" s="78">
        <v>1</v>
      </c>
      <c r="CH216" s="78">
        <v>2</v>
      </c>
      <c r="CI216" s="78">
        <v>0</v>
      </c>
      <c r="CJ216" s="78">
        <v>0</v>
      </c>
      <c r="CK216" s="137">
        <v>0.66666669999999995</v>
      </c>
      <c r="CM216" s="143" t="s">
        <v>766</v>
      </c>
      <c r="CN216" s="143" t="s">
        <v>728</v>
      </c>
      <c r="CO216" s="143" t="s">
        <v>842</v>
      </c>
      <c r="CP216" s="143">
        <v>2118</v>
      </c>
      <c r="CQ216" s="78">
        <v>8</v>
      </c>
      <c r="CR216" s="78">
        <v>0</v>
      </c>
      <c r="CS216" s="78">
        <v>8</v>
      </c>
      <c r="CT216" s="78">
        <v>4</v>
      </c>
      <c r="CU216" s="78">
        <v>2</v>
      </c>
      <c r="CV216" s="78">
        <v>8</v>
      </c>
      <c r="CW216" s="137">
        <v>0.57692310000000002</v>
      </c>
      <c r="CY216" s="143" t="s">
        <v>766</v>
      </c>
      <c r="CZ216" s="143" t="s">
        <v>728</v>
      </c>
      <c r="DA216" s="143" t="s">
        <v>842</v>
      </c>
      <c r="DB216" s="143">
        <v>2118</v>
      </c>
      <c r="DC216" s="78">
        <v>2</v>
      </c>
      <c r="DD216" s="137">
        <v>0</v>
      </c>
      <c r="DE216" s="137">
        <v>0</v>
      </c>
      <c r="DG216" s="143" t="s">
        <v>766</v>
      </c>
      <c r="DH216" s="143" t="s">
        <v>728</v>
      </c>
      <c r="DI216" s="143" t="s">
        <v>842</v>
      </c>
      <c r="DJ216" s="143">
        <v>2118</v>
      </c>
      <c r="DK216" s="78">
        <v>2</v>
      </c>
      <c r="DL216" s="78">
        <v>1</v>
      </c>
      <c r="DM216" s="78">
        <v>0</v>
      </c>
      <c r="DN216" s="78">
        <v>4</v>
      </c>
      <c r="DO216" s="78">
        <v>2</v>
      </c>
      <c r="DP216" s="78">
        <v>3</v>
      </c>
      <c r="DQ216" s="78">
        <v>7</v>
      </c>
      <c r="DR216" s="78">
        <v>1</v>
      </c>
      <c r="DS216" s="78">
        <v>1</v>
      </c>
      <c r="DT216" s="78">
        <v>2</v>
      </c>
      <c r="DU216" s="78">
        <v>0</v>
      </c>
      <c r="DV216" s="137">
        <v>0.79310349999999996</v>
      </c>
      <c r="DX216" s="143" t="s">
        <v>766</v>
      </c>
      <c r="DY216" s="143" t="s">
        <v>728</v>
      </c>
      <c r="DZ216" s="143" t="s">
        <v>842</v>
      </c>
      <c r="EA216" s="143">
        <v>2118</v>
      </c>
      <c r="EB216" s="78">
        <v>1</v>
      </c>
      <c r="EC216" s="78">
        <v>0</v>
      </c>
      <c r="ED216" s="78">
        <v>0</v>
      </c>
      <c r="EE216" s="78">
        <v>4</v>
      </c>
      <c r="EF216" s="78">
        <v>3</v>
      </c>
      <c r="EG216" s="78">
        <v>0</v>
      </c>
      <c r="EH216" s="78">
        <v>0</v>
      </c>
      <c r="EI216" s="78">
        <v>1</v>
      </c>
      <c r="EJ216" s="78">
        <v>1</v>
      </c>
      <c r="EK216" s="78">
        <v>1</v>
      </c>
      <c r="EL216" s="78">
        <v>1</v>
      </c>
      <c r="EM216" s="78">
        <v>1</v>
      </c>
      <c r="EN216" s="78">
        <v>0</v>
      </c>
      <c r="EO216" s="78">
        <v>1</v>
      </c>
      <c r="EP216" s="78">
        <v>0</v>
      </c>
      <c r="EQ216" s="137">
        <v>0.51851849999999999</v>
      </c>
      <c r="ES216" s="143" t="s">
        <v>766</v>
      </c>
      <c r="ET216" s="143" t="s">
        <v>728</v>
      </c>
      <c r="EU216" s="143" t="s">
        <v>842</v>
      </c>
      <c r="EV216" s="143">
        <v>2118</v>
      </c>
      <c r="EW216" s="78">
        <v>0</v>
      </c>
      <c r="EX216" s="78">
        <v>0</v>
      </c>
      <c r="EY216" s="78">
        <v>3</v>
      </c>
      <c r="EZ216" s="78">
        <v>2</v>
      </c>
      <c r="FA216" s="78">
        <v>0.5</v>
      </c>
      <c r="FB216" s="78">
        <v>3</v>
      </c>
      <c r="FC216" s="78">
        <v>2</v>
      </c>
      <c r="FD216" s="78">
        <v>1</v>
      </c>
      <c r="FE216" s="137">
        <v>0.88461540000000005</v>
      </c>
      <c r="FG216" s="137">
        <v>0.48979590000000001</v>
      </c>
    </row>
    <row r="217" spans="1:163" x14ac:dyDescent="0.35">
      <c r="A217" s="143" t="s">
        <v>766</v>
      </c>
      <c r="B217" s="143" t="s">
        <v>728</v>
      </c>
      <c r="C217" s="143" t="s">
        <v>842</v>
      </c>
      <c r="D217" s="143">
        <v>2893</v>
      </c>
      <c r="E217" s="78">
        <v>0.5</v>
      </c>
      <c r="F217" s="78">
        <v>2</v>
      </c>
      <c r="G217" s="78">
        <v>1</v>
      </c>
      <c r="H217" s="78">
        <v>3</v>
      </c>
      <c r="I217" s="78">
        <v>1</v>
      </c>
      <c r="J217" s="78">
        <v>0</v>
      </c>
      <c r="K217" s="78">
        <v>1</v>
      </c>
      <c r="L217" s="78">
        <v>1</v>
      </c>
      <c r="M217" s="78">
        <v>2</v>
      </c>
      <c r="N217" s="137">
        <v>0.82142859999999995</v>
      </c>
      <c r="P217" s="143" t="s">
        <v>766</v>
      </c>
      <c r="Q217" s="143" t="s">
        <v>728</v>
      </c>
      <c r="R217" s="143" t="s">
        <v>842</v>
      </c>
      <c r="S217" s="143">
        <v>2893</v>
      </c>
      <c r="T217" s="78">
        <v>1</v>
      </c>
      <c r="U217" s="78">
        <v>0</v>
      </c>
      <c r="V217" s="78">
        <v>2.5</v>
      </c>
      <c r="W217" s="78">
        <v>0</v>
      </c>
      <c r="X217" s="78">
        <v>0</v>
      </c>
      <c r="Y217" s="78">
        <v>1</v>
      </c>
      <c r="Z217" s="78">
        <v>0</v>
      </c>
      <c r="AA217" s="78">
        <v>2</v>
      </c>
      <c r="AB217" s="78">
        <v>6</v>
      </c>
      <c r="AC217" s="78">
        <v>0</v>
      </c>
      <c r="AD217" s="137">
        <v>0.3676471</v>
      </c>
      <c r="AF217" s="143" t="s">
        <v>766</v>
      </c>
      <c r="AG217" s="143" t="s">
        <v>728</v>
      </c>
      <c r="AH217" s="143" t="s">
        <v>842</v>
      </c>
      <c r="AI217" s="143">
        <v>2893</v>
      </c>
      <c r="AJ217" s="78">
        <v>1</v>
      </c>
      <c r="AK217" s="78">
        <v>1</v>
      </c>
      <c r="AL217" s="78">
        <v>1</v>
      </c>
      <c r="AM217" s="78">
        <v>0</v>
      </c>
      <c r="AN217" s="78">
        <v>1</v>
      </c>
      <c r="AO217" s="78">
        <v>0</v>
      </c>
      <c r="AP217" s="78">
        <v>1</v>
      </c>
      <c r="AQ217" s="78">
        <v>1</v>
      </c>
      <c r="AR217" s="78">
        <v>0</v>
      </c>
      <c r="AS217" s="78">
        <v>2</v>
      </c>
      <c r="AT217" s="78">
        <v>2</v>
      </c>
      <c r="AU217" s="78">
        <v>1</v>
      </c>
      <c r="AV217" s="78">
        <v>2</v>
      </c>
      <c r="AW217" s="78">
        <v>1</v>
      </c>
      <c r="AX217" s="78">
        <v>4</v>
      </c>
      <c r="AY217" s="78">
        <v>1</v>
      </c>
      <c r="AZ217" s="78">
        <v>2</v>
      </c>
      <c r="BA217" s="78">
        <v>0.5</v>
      </c>
      <c r="BB217" s="78">
        <v>0.5</v>
      </c>
      <c r="BC217" s="78">
        <v>0.5</v>
      </c>
      <c r="BD217" s="78">
        <v>1</v>
      </c>
      <c r="BE217" s="78">
        <v>0.5</v>
      </c>
      <c r="BF217" s="78">
        <v>1</v>
      </c>
      <c r="BG217" s="78">
        <v>8</v>
      </c>
      <c r="BH217" s="137">
        <v>0.75</v>
      </c>
      <c r="BJ217" s="143" t="s">
        <v>766</v>
      </c>
      <c r="BK217" s="143" t="s">
        <v>728</v>
      </c>
      <c r="BL217" s="143" t="s">
        <v>842</v>
      </c>
      <c r="BM217" s="143">
        <v>2893</v>
      </c>
      <c r="BN217" s="78">
        <v>1</v>
      </c>
      <c r="BO217" s="78">
        <v>4</v>
      </c>
      <c r="BP217" s="78">
        <v>7</v>
      </c>
      <c r="BQ217" s="78">
        <v>3</v>
      </c>
      <c r="BR217" s="78">
        <v>3</v>
      </c>
      <c r="BS217" s="78">
        <v>0</v>
      </c>
      <c r="BT217" s="78">
        <v>2</v>
      </c>
      <c r="BU217" s="137">
        <v>0.86956520000000004</v>
      </c>
      <c r="BW217" s="143" t="s">
        <v>766</v>
      </c>
      <c r="BX217" s="143" t="s">
        <v>728</v>
      </c>
      <c r="BY217" s="143" t="s">
        <v>842</v>
      </c>
      <c r="BZ217" s="143">
        <v>2893</v>
      </c>
      <c r="CM217" s="143" t="s">
        <v>766</v>
      </c>
      <c r="CN217" s="143" t="s">
        <v>728</v>
      </c>
      <c r="CO217" s="143" t="s">
        <v>842</v>
      </c>
      <c r="CP217" s="143">
        <v>2893</v>
      </c>
      <c r="CQ217" s="78">
        <v>8</v>
      </c>
      <c r="CR217" s="78">
        <v>6</v>
      </c>
      <c r="CS217" s="78">
        <v>4</v>
      </c>
      <c r="CT217" s="78">
        <v>4</v>
      </c>
      <c r="CU217" s="78">
        <v>0</v>
      </c>
      <c r="CV217" s="78">
        <v>8</v>
      </c>
      <c r="CW217" s="137">
        <v>0.57692310000000002</v>
      </c>
      <c r="CY217" s="143" t="s">
        <v>766</v>
      </c>
      <c r="CZ217" s="143" t="s">
        <v>728</v>
      </c>
      <c r="DA217" s="143" t="s">
        <v>842</v>
      </c>
      <c r="DB217" s="143">
        <v>2893</v>
      </c>
      <c r="DC217" s="78">
        <v>0</v>
      </c>
      <c r="DD217" s="137">
        <v>0</v>
      </c>
      <c r="DE217" s="137">
        <v>0</v>
      </c>
      <c r="DG217" s="143" t="s">
        <v>766</v>
      </c>
      <c r="DH217" s="143" t="s">
        <v>728</v>
      </c>
      <c r="DI217" s="143" t="s">
        <v>842</v>
      </c>
      <c r="DJ217" s="143">
        <v>2893</v>
      </c>
      <c r="DK217" s="78">
        <v>2</v>
      </c>
      <c r="DL217" s="78">
        <v>0</v>
      </c>
      <c r="DM217" s="78">
        <v>0</v>
      </c>
      <c r="DN217" s="78">
        <v>5</v>
      </c>
      <c r="DO217" s="78">
        <v>2</v>
      </c>
      <c r="DP217" s="78">
        <v>3</v>
      </c>
      <c r="DQ217" s="78">
        <v>8</v>
      </c>
      <c r="DR217" s="78">
        <v>0</v>
      </c>
      <c r="DS217" s="78">
        <v>1</v>
      </c>
      <c r="DT217" s="78">
        <v>0</v>
      </c>
      <c r="DU217" s="78">
        <v>0</v>
      </c>
      <c r="DV217" s="137">
        <v>0.7241379</v>
      </c>
      <c r="DX217" s="143" t="s">
        <v>766</v>
      </c>
      <c r="DY217" s="143" t="s">
        <v>728</v>
      </c>
      <c r="DZ217" s="143" t="s">
        <v>842</v>
      </c>
      <c r="EA217" s="143">
        <v>2893</v>
      </c>
      <c r="EB217" s="78">
        <v>1</v>
      </c>
      <c r="EC217" s="78">
        <v>8</v>
      </c>
      <c r="ED217" s="78">
        <v>0</v>
      </c>
      <c r="EE217" s="78">
        <v>4</v>
      </c>
      <c r="EF217" s="78">
        <v>0</v>
      </c>
      <c r="EG217" s="78">
        <v>1</v>
      </c>
      <c r="EH217" s="78">
        <v>0</v>
      </c>
      <c r="EI217" s="78">
        <v>1</v>
      </c>
      <c r="EJ217" s="78">
        <v>1</v>
      </c>
      <c r="EK217" s="78">
        <v>1</v>
      </c>
      <c r="EL217" s="78">
        <v>1</v>
      </c>
      <c r="EM217" s="78">
        <v>1</v>
      </c>
      <c r="EN217" s="78">
        <v>1</v>
      </c>
      <c r="EO217" s="78">
        <v>1</v>
      </c>
      <c r="EP217" s="78">
        <v>1</v>
      </c>
      <c r="EQ217" s="137">
        <v>0.81481479999999995</v>
      </c>
      <c r="ES217" s="143" t="s">
        <v>766</v>
      </c>
      <c r="ET217" s="143" t="s">
        <v>728</v>
      </c>
      <c r="EU217" s="143" t="s">
        <v>842</v>
      </c>
      <c r="EV217" s="143">
        <v>2893</v>
      </c>
      <c r="EW217" s="78">
        <v>0</v>
      </c>
      <c r="EX217" s="78">
        <v>1</v>
      </c>
      <c r="EY217" s="78">
        <v>3</v>
      </c>
      <c r="EZ217" s="78">
        <v>2</v>
      </c>
      <c r="FA217" s="78">
        <v>0.5</v>
      </c>
      <c r="FB217" s="78">
        <v>3</v>
      </c>
      <c r="FC217" s="78">
        <v>2</v>
      </c>
      <c r="FD217" s="78">
        <v>1</v>
      </c>
      <c r="FE217" s="137">
        <v>0.96153840000000002</v>
      </c>
      <c r="FG217" s="137">
        <v>0.4954268</v>
      </c>
    </row>
    <row r="218" spans="1:163" x14ac:dyDescent="0.35">
      <c r="A218" s="143" t="s">
        <v>766</v>
      </c>
      <c r="B218" s="143" t="s">
        <v>728</v>
      </c>
      <c r="C218" s="143" t="s">
        <v>841</v>
      </c>
      <c r="D218" s="143">
        <v>3238</v>
      </c>
      <c r="E218" s="78">
        <v>0</v>
      </c>
      <c r="F218" s="78">
        <v>2</v>
      </c>
      <c r="G218" s="78">
        <v>1</v>
      </c>
      <c r="H218" s="78">
        <v>4</v>
      </c>
      <c r="I218" s="78">
        <v>1</v>
      </c>
      <c r="J218" s="78">
        <v>0</v>
      </c>
      <c r="K218" s="78">
        <v>1</v>
      </c>
      <c r="L218" s="78">
        <v>1</v>
      </c>
      <c r="M218" s="78">
        <v>2</v>
      </c>
      <c r="N218" s="137">
        <v>0.85714290000000004</v>
      </c>
      <c r="P218" s="143" t="s">
        <v>766</v>
      </c>
      <c r="Q218" s="143" t="s">
        <v>728</v>
      </c>
      <c r="R218" s="143" t="s">
        <v>841</v>
      </c>
      <c r="S218" s="143">
        <v>3238</v>
      </c>
      <c r="T218" s="78">
        <v>1</v>
      </c>
      <c r="U218" s="78">
        <v>1</v>
      </c>
      <c r="V218" s="78">
        <v>2.5</v>
      </c>
      <c r="W218" s="78">
        <v>2</v>
      </c>
      <c r="X218" s="78">
        <v>0</v>
      </c>
      <c r="Y218" s="78">
        <v>1</v>
      </c>
      <c r="Z218" s="78">
        <v>0</v>
      </c>
      <c r="AA218" s="78">
        <v>0</v>
      </c>
      <c r="AB218" s="78">
        <v>0</v>
      </c>
      <c r="AC218" s="78">
        <v>0</v>
      </c>
      <c r="AD218" s="137">
        <v>0.22058820000000001</v>
      </c>
      <c r="AF218" s="143" t="s">
        <v>766</v>
      </c>
      <c r="AG218" s="143" t="s">
        <v>728</v>
      </c>
      <c r="AH218" s="143" t="s">
        <v>841</v>
      </c>
      <c r="AI218" s="143">
        <v>3238</v>
      </c>
      <c r="AJ218" s="78">
        <v>1</v>
      </c>
      <c r="AK218" s="78">
        <v>0</v>
      </c>
      <c r="AL218" s="78">
        <v>0</v>
      </c>
      <c r="AM218" s="78">
        <v>6</v>
      </c>
      <c r="AN218" s="78">
        <v>1</v>
      </c>
      <c r="AO218" s="78">
        <v>0</v>
      </c>
      <c r="AP218" s="78">
        <v>2</v>
      </c>
      <c r="AQ218" s="78">
        <v>1</v>
      </c>
      <c r="AR218" s="78">
        <v>2</v>
      </c>
      <c r="AS218" s="78">
        <v>2</v>
      </c>
      <c r="AT218" s="78">
        <v>2</v>
      </c>
      <c r="AU218" s="78">
        <v>1</v>
      </c>
      <c r="AV218" s="78">
        <v>2</v>
      </c>
      <c r="AW218" s="78">
        <v>1</v>
      </c>
      <c r="AX218" s="78">
        <v>4</v>
      </c>
      <c r="AY218" s="78">
        <v>1</v>
      </c>
      <c r="AZ218" s="78">
        <v>2</v>
      </c>
      <c r="BA218" s="78">
        <v>0.5</v>
      </c>
      <c r="BB218" s="78">
        <v>0.5</v>
      </c>
      <c r="BC218" s="78">
        <v>0.5</v>
      </c>
      <c r="BD218" s="78">
        <v>1</v>
      </c>
      <c r="BE218" s="78">
        <v>0</v>
      </c>
      <c r="BF218" s="78">
        <v>1</v>
      </c>
      <c r="BG218" s="78">
        <v>8</v>
      </c>
      <c r="BH218" s="137">
        <v>0.89772730000000001</v>
      </c>
      <c r="BJ218" s="143" t="s">
        <v>766</v>
      </c>
      <c r="BK218" s="143" t="s">
        <v>728</v>
      </c>
      <c r="BL218" s="143" t="s">
        <v>841</v>
      </c>
      <c r="BM218" s="143">
        <v>3238</v>
      </c>
      <c r="BN218" s="78">
        <v>1</v>
      </c>
      <c r="BO218" s="78">
        <v>4</v>
      </c>
      <c r="BP218" s="78">
        <v>7</v>
      </c>
      <c r="BQ218" s="78">
        <v>3</v>
      </c>
      <c r="BR218" s="78">
        <v>3</v>
      </c>
      <c r="BS218" s="78">
        <v>3</v>
      </c>
      <c r="BT218" s="78">
        <v>2</v>
      </c>
      <c r="BU218" s="137">
        <v>1</v>
      </c>
      <c r="BW218" s="143" t="s">
        <v>766</v>
      </c>
      <c r="BX218" s="143" t="s">
        <v>728</v>
      </c>
      <c r="BY218" s="143" t="s">
        <v>841</v>
      </c>
      <c r="BZ218" s="143">
        <v>3238</v>
      </c>
      <c r="CA218" s="78">
        <v>1</v>
      </c>
      <c r="CB218" s="78">
        <v>0</v>
      </c>
      <c r="CC218" s="78">
        <v>0</v>
      </c>
      <c r="CD218" s="78">
        <v>2</v>
      </c>
      <c r="CE218" s="78">
        <v>1</v>
      </c>
      <c r="CF218" s="78">
        <v>2</v>
      </c>
      <c r="CG218" s="78">
        <v>1</v>
      </c>
      <c r="CH218" s="78">
        <v>2</v>
      </c>
      <c r="CI218" s="78">
        <v>1</v>
      </c>
      <c r="CJ218" s="78">
        <v>0</v>
      </c>
      <c r="CK218" s="137">
        <v>0.66666669999999995</v>
      </c>
      <c r="CM218" s="143" t="s">
        <v>766</v>
      </c>
      <c r="CN218" s="143" t="s">
        <v>728</v>
      </c>
      <c r="CO218" s="143" t="s">
        <v>841</v>
      </c>
      <c r="CP218" s="143">
        <v>3238</v>
      </c>
      <c r="CQ218" s="78">
        <v>8</v>
      </c>
      <c r="CR218" s="78">
        <v>6</v>
      </c>
      <c r="CS218" s="78">
        <v>8</v>
      </c>
      <c r="CT218" s="78">
        <v>4</v>
      </c>
      <c r="CU218" s="78">
        <v>2</v>
      </c>
      <c r="CV218" s="78">
        <v>8</v>
      </c>
      <c r="CW218" s="137">
        <v>0.69230769999999997</v>
      </c>
      <c r="CY218" s="143" t="s">
        <v>766</v>
      </c>
      <c r="CZ218" s="143" t="s">
        <v>728</v>
      </c>
      <c r="DA218" s="143" t="s">
        <v>841</v>
      </c>
      <c r="DB218" s="143">
        <v>3238</v>
      </c>
      <c r="DC218" s="78">
        <v>0</v>
      </c>
      <c r="DD218" s="137">
        <v>0</v>
      </c>
      <c r="DE218" s="137">
        <v>0</v>
      </c>
      <c r="DG218" s="143" t="s">
        <v>766</v>
      </c>
      <c r="DH218" s="143" t="s">
        <v>728</v>
      </c>
      <c r="DI218" s="143" t="s">
        <v>841</v>
      </c>
      <c r="DJ218" s="143">
        <v>3238</v>
      </c>
      <c r="DK218" s="78">
        <v>2</v>
      </c>
      <c r="DL218" s="78">
        <v>1</v>
      </c>
      <c r="DM218" s="78">
        <v>1</v>
      </c>
      <c r="DN218" s="78">
        <v>5</v>
      </c>
      <c r="DO218" s="78">
        <v>0</v>
      </c>
      <c r="DP218" s="78">
        <v>3</v>
      </c>
      <c r="DQ218" s="78">
        <v>8</v>
      </c>
      <c r="DR218" s="78">
        <v>1</v>
      </c>
      <c r="DS218" s="78">
        <v>1</v>
      </c>
      <c r="DT218" s="78">
        <v>0</v>
      </c>
      <c r="DU218" s="78">
        <v>0</v>
      </c>
      <c r="DV218" s="137">
        <v>0.75862070000000004</v>
      </c>
      <c r="DX218" s="143" t="s">
        <v>766</v>
      </c>
      <c r="DY218" s="143" t="s">
        <v>728</v>
      </c>
      <c r="DZ218" s="143" t="s">
        <v>841</v>
      </c>
      <c r="EA218" s="143">
        <v>3238</v>
      </c>
      <c r="EB218" s="78">
        <v>1</v>
      </c>
      <c r="EC218" s="78">
        <v>8</v>
      </c>
      <c r="ED218" s="78">
        <v>0</v>
      </c>
      <c r="EE218" s="78">
        <v>4</v>
      </c>
      <c r="EF218" s="78">
        <v>3</v>
      </c>
      <c r="EG218" s="78">
        <v>1</v>
      </c>
      <c r="EH218" s="78">
        <v>1</v>
      </c>
      <c r="EI218" s="78">
        <v>1</v>
      </c>
      <c r="EJ218" s="78">
        <v>1</v>
      </c>
      <c r="EK218" s="78">
        <v>1</v>
      </c>
      <c r="EL218" s="78">
        <v>1</v>
      </c>
      <c r="EM218" s="78">
        <v>1</v>
      </c>
      <c r="EN218" s="78">
        <v>0</v>
      </c>
      <c r="EO218" s="78">
        <v>1</v>
      </c>
      <c r="EP218" s="78">
        <v>0</v>
      </c>
      <c r="EQ218" s="137">
        <v>0.88888889999999998</v>
      </c>
      <c r="ES218" s="143" t="s">
        <v>766</v>
      </c>
      <c r="ET218" s="143" t="s">
        <v>728</v>
      </c>
      <c r="EU218" s="143" t="s">
        <v>841</v>
      </c>
      <c r="EV218" s="143">
        <v>3238</v>
      </c>
      <c r="EW218" s="78">
        <v>0</v>
      </c>
      <c r="EX218" s="78">
        <v>0</v>
      </c>
      <c r="EY218" s="78">
        <v>3</v>
      </c>
      <c r="EZ218" s="78">
        <v>2</v>
      </c>
      <c r="FA218" s="78">
        <v>0.5</v>
      </c>
      <c r="FB218" s="78">
        <v>3</v>
      </c>
      <c r="FC218" s="78">
        <v>2</v>
      </c>
      <c r="FD218" s="78">
        <v>1</v>
      </c>
      <c r="FE218" s="137">
        <v>0.88461540000000005</v>
      </c>
      <c r="FG218" s="137">
        <v>0.54081630000000003</v>
      </c>
    </row>
    <row r="219" spans="1:163" x14ac:dyDescent="0.35">
      <c r="A219" s="143" t="s">
        <v>766</v>
      </c>
      <c r="B219" s="143" t="s">
        <v>728</v>
      </c>
      <c r="C219" s="143" t="s">
        <v>842</v>
      </c>
      <c r="D219" s="143">
        <v>3239</v>
      </c>
      <c r="E219" s="78">
        <v>0</v>
      </c>
      <c r="F219" s="78">
        <v>1.5</v>
      </c>
      <c r="G219" s="78">
        <v>0</v>
      </c>
      <c r="H219" s="78">
        <v>0</v>
      </c>
      <c r="I219" s="78">
        <v>1</v>
      </c>
      <c r="J219" s="78">
        <v>0</v>
      </c>
      <c r="K219" s="78">
        <v>1</v>
      </c>
      <c r="L219" s="78">
        <v>1</v>
      </c>
      <c r="M219" s="78">
        <v>2</v>
      </c>
      <c r="N219" s="137">
        <v>0.46428570000000002</v>
      </c>
      <c r="P219" s="143" t="s">
        <v>766</v>
      </c>
      <c r="Q219" s="143" t="s">
        <v>728</v>
      </c>
      <c r="R219" s="143" t="s">
        <v>842</v>
      </c>
      <c r="S219" s="143">
        <v>3239</v>
      </c>
      <c r="T219" s="78">
        <v>0</v>
      </c>
      <c r="U219" s="78">
        <v>0</v>
      </c>
      <c r="V219" s="78">
        <v>0</v>
      </c>
      <c r="W219" s="78">
        <v>0</v>
      </c>
      <c r="X219" s="78">
        <v>0</v>
      </c>
      <c r="Y219" s="78">
        <v>0</v>
      </c>
      <c r="Z219" s="78">
        <v>0</v>
      </c>
      <c r="AA219" s="78">
        <v>0</v>
      </c>
      <c r="AB219" s="78">
        <v>0</v>
      </c>
      <c r="AC219" s="78">
        <v>0</v>
      </c>
      <c r="AD219" s="137">
        <v>0</v>
      </c>
      <c r="AF219" s="143" t="s">
        <v>766</v>
      </c>
      <c r="AG219" s="143" t="s">
        <v>728</v>
      </c>
      <c r="AH219" s="143" t="s">
        <v>842</v>
      </c>
      <c r="AI219" s="143">
        <v>3239</v>
      </c>
      <c r="AJ219" s="78">
        <v>0</v>
      </c>
      <c r="AK219" s="78">
        <v>0</v>
      </c>
      <c r="AL219" s="78">
        <v>1</v>
      </c>
      <c r="AM219" s="78">
        <v>0</v>
      </c>
      <c r="AN219" s="78">
        <v>0</v>
      </c>
      <c r="AO219" s="78">
        <v>2</v>
      </c>
      <c r="AP219" s="78">
        <v>1</v>
      </c>
      <c r="AQ219" s="78">
        <v>1</v>
      </c>
      <c r="AR219" s="78">
        <v>0</v>
      </c>
      <c r="AS219" s="78">
        <v>0</v>
      </c>
      <c r="AT219" s="78">
        <v>0</v>
      </c>
      <c r="AU219" s="78">
        <v>0</v>
      </c>
      <c r="AV219" s="78">
        <v>2</v>
      </c>
      <c r="AW219" s="78">
        <v>0</v>
      </c>
      <c r="AX219" s="78">
        <v>0</v>
      </c>
      <c r="AY219" s="78">
        <v>1</v>
      </c>
      <c r="AZ219" s="78">
        <v>0</v>
      </c>
      <c r="BA219" s="78">
        <v>0.5</v>
      </c>
      <c r="BB219" s="78">
        <v>0.5</v>
      </c>
      <c r="BC219" s="78">
        <v>0.5</v>
      </c>
      <c r="BD219" s="78">
        <v>0</v>
      </c>
      <c r="BE219" s="78">
        <v>0.5</v>
      </c>
      <c r="BF219" s="78">
        <v>0</v>
      </c>
      <c r="BG219" s="78">
        <v>8</v>
      </c>
      <c r="BH219" s="137">
        <v>0.40909089999999998</v>
      </c>
      <c r="BJ219" s="143" t="s">
        <v>766</v>
      </c>
      <c r="BK219" s="143" t="s">
        <v>728</v>
      </c>
      <c r="BL219" s="143" t="s">
        <v>842</v>
      </c>
      <c r="BM219" s="143">
        <v>3239</v>
      </c>
      <c r="BN219" s="78">
        <v>1</v>
      </c>
      <c r="BO219" s="78">
        <v>0</v>
      </c>
      <c r="BP219" s="78">
        <v>0</v>
      </c>
      <c r="BQ219" s="78">
        <v>0</v>
      </c>
      <c r="BR219" s="78">
        <v>0</v>
      </c>
      <c r="BS219" s="78">
        <v>3</v>
      </c>
      <c r="BT219" s="78">
        <v>2</v>
      </c>
      <c r="BU219" s="137">
        <v>0.26086959999999998</v>
      </c>
      <c r="BW219" s="143" t="s">
        <v>766</v>
      </c>
      <c r="BX219" s="143" t="s">
        <v>728</v>
      </c>
      <c r="BY219" s="143" t="s">
        <v>842</v>
      </c>
      <c r="BZ219" s="143">
        <v>3239</v>
      </c>
      <c r="CA219" s="78">
        <v>1</v>
      </c>
      <c r="CB219" s="78">
        <v>0</v>
      </c>
      <c r="CC219" s="78">
        <v>1</v>
      </c>
      <c r="CD219" s="78">
        <v>2</v>
      </c>
      <c r="CE219" s="78">
        <v>0</v>
      </c>
      <c r="CF219" s="78">
        <v>2</v>
      </c>
      <c r="CG219" s="78">
        <v>1</v>
      </c>
      <c r="CH219" s="78">
        <v>0</v>
      </c>
      <c r="CI219" s="78">
        <v>1</v>
      </c>
      <c r="CJ219" s="78">
        <v>0</v>
      </c>
      <c r="CK219" s="137">
        <v>0.53333339999999996</v>
      </c>
      <c r="CM219" s="143" t="s">
        <v>766</v>
      </c>
      <c r="CN219" s="143" t="s">
        <v>728</v>
      </c>
      <c r="CO219" s="143" t="s">
        <v>842</v>
      </c>
      <c r="CP219" s="143">
        <v>3239</v>
      </c>
      <c r="CQ219" s="78">
        <v>0</v>
      </c>
      <c r="CR219" s="78">
        <v>0</v>
      </c>
      <c r="CS219" s="78">
        <v>0</v>
      </c>
      <c r="CT219" s="78">
        <v>4</v>
      </c>
      <c r="CU219" s="78">
        <v>0</v>
      </c>
      <c r="CV219" s="78">
        <v>8</v>
      </c>
      <c r="CW219" s="137">
        <v>0.23076920000000001</v>
      </c>
      <c r="CY219" s="143" t="s">
        <v>766</v>
      </c>
      <c r="CZ219" s="143" t="s">
        <v>728</v>
      </c>
      <c r="DA219" s="143" t="s">
        <v>842</v>
      </c>
      <c r="DB219" s="143">
        <v>3239</v>
      </c>
      <c r="DC219" s="78">
        <v>0</v>
      </c>
      <c r="DD219" s="137">
        <v>0</v>
      </c>
      <c r="DE219" s="137">
        <v>0</v>
      </c>
      <c r="DG219" s="143" t="s">
        <v>766</v>
      </c>
      <c r="DH219" s="143" t="s">
        <v>728</v>
      </c>
      <c r="DI219" s="143" t="s">
        <v>842</v>
      </c>
      <c r="DJ219" s="143">
        <v>3239</v>
      </c>
      <c r="DK219" s="78">
        <v>2</v>
      </c>
      <c r="DL219" s="78">
        <v>1</v>
      </c>
      <c r="DM219" s="78">
        <v>0</v>
      </c>
      <c r="DN219" s="78">
        <v>0</v>
      </c>
      <c r="DO219" s="78">
        <v>2</v>
      </c>
      <c r="DP219" s="78">
        <v>3</v>
      </c>
      <c r="DQ219" s="78">
        <v>8</v>
      </c>
      <c r="DR219" s="78">
        <v>1</v>
      </c>
      <c r="DS219" s="78">
        <v>1</v>
      </c>
      <c r="DT219" s="78">
        <v>0</v>
      </c>
      <c r="DU219" s="78">
        <v>0</v>
      </c>
      <c r="DV219" s="137">
        <v>0.62068959999999995</v>
      </c>
      <c r="DX219" s="143" t="s">
        <v>766</v>
      </c>
      <c r="DY219" s="143" t="s">
        <v>728</v>
      </c>
      <c r="DZ219" s="143" t="s">
        <v>842</v>
      </c>
      <c r="EA219" s="143">
        <v>3239</v>
      </c>
      <c r="EB219" s="78">
        <v>0</v>
      </c>
      <c r="EC219" s="78">
        <v>8</v>
      </c>
      <c r="ED219" s="78">
        <v>0</v>
      </c>
      <c r="EE219" s="78">
        <v>4</v>
      </c>
      <c r="EF219" s="78">
        <v>0</v>
      </c>
      <c r="EG219" s="78">
        <v>1</v>
      </c>
      <c r="EH219" s="78">
        <v>0</v>
      </c>
      <c r="EI219" s="78">
        <v>1</v>
      </c>
      <c r="EJ219" s="78">
        <v>1</v>
      </c>
      <c r="EK219" s="78">
        <v>1</v>
      </c>
      <c r="EL219" s="78">
        <v>0</v>
      </c>
      <c r="EM219" s="78">
        <v>0</v>
      </c>
      <c r="EN219" s="78">
        <v>1</v>
      </c>
      <c r="EO219" s="78">
        <v>1</v>
      </c>
      <c r="EP219" s="78">
        <v>0</v>
      </c>
      <c r="EQ219" s="137">
        <v>0.66666669999999995</v>
      </c>
      <c r="ES219" s="143" t="s">
        <v>766</v>
      </c>
      <c r="ET219" s="143" t="s">
        <v>728</v>
      </c>
      <c r="EU219" s="143" t="s">
        <v>842</v>
      </c>
      <c r="EV219" s="143">
        <v>3239</v>
      </c>
      <c r="EW219" s="78">
        <v>0</v>
      </c>
      <c r="EX219" s="78">
        <v>0</v>
      </c>
      <c r="EY219" s="78">
        <v>0</v>
      </c>
      <c r="EZ219" s="78">
        <v>0</v>
      </c>
      <c r="FA219" s="78">
        <v>0.5</v>
      </c>
      <c r="FB219" s="78">
        <v>3</v>
      </c>
      <c r="FC219" s="78">
        <v>2</v>
      </c>
      <c r="FD219" s="78">
        <v>1</v>
      </c>
      <c r="FE219" s="137">
        <v>0.5</v>
      </c>
      <c r="FG219" s="137">
        <v>0.27113700000000002</v>
      </c>
    </row>
  </sheetData>
  <autoFilter ref="A2:FG267" xr:uid="{00000000-0009-0000-0000-000007000000}"/>
  <mergeCells count="11">
    <mergeCell ref="FG1:FG2"/>
    <mergeCell ref="E1:N1"/>
    <mergeCell ref="T1:AD1"/>
    <mergeCell ref="AJ1:BH1"/>
    <mergeCell ref="BN1:BU1"/>
    <mergeCell ref="CA1:CK1"/>
    <mergeCell ref="CQ1:CW1"/>
    <mergeCell ref="DC1:DE1"/>
    <mergeCell ref="DK1:DV1"/>
    <mergeCell ref="EB1:EQ1"/>
    <mergeCell ref="EW1:FE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3ED55-D028-4EF9-9309-A97635D0F585}">
  <sheetPr>
    <tabColor theme="4" tint="0.39997558519241921"/>
  </sheetPr>
  <dimension ref="A1:CU36"/>
  <sheetViews>
    <sheetView zoomScale="59" zoomScaleNormal="59" workbookViewId="0">
      <pane xSplit="2" topLeftCell="C1" activePane="topRight" state="frozen"/>
      <selection activeCell="A2" sqref="A2"/>
      <selection pane="topRight" activeCell="BD40" sqref="BD40"/>
    </sheetView>
  </sheetViews>
  <sheetFormatPr defaultColWidth="20.5" defaultRowHeight="15.5" x14ac:dyDescent="0.35"/>
  <cols>
    <col min="1" max="2" width="20.5" style="280"/>
    <col min="3" max="21" width="20.5" style="129"/>
    <col min="22" max="22" width="20.5" style="129" customWidth="1"/>
    <col min="23" max="49" width="20.5" style="129"/>
    <col min="50" max="51" width="3.5" style="280" customWidth="1"/>
    <col min="52" max="99" width="20.5" style="280"/>
    <col min="100" max="16384" width="20.5" style="281"/>
  </cols>
  <sheetData>
    <row r="1" spans="1:99" s="120" customFormat="1" ht="72.75" customHeight="1" x14ac:dyDescent="0.35">
      <c r="A1" s="306"/>
      <c r="B1" s="306"/>
      <c r="C1" s="392" t="s">
        <v>844</v>
      </c>
      <c r="D1" s="392"/>
      <c r="E1" s="392"/>
      <c r="F1" s="392"/>
      <c r="G1" s="392"/>
      <c r="H1" s="392"/>
      <c r="I1" s="392"/>
      <c r="J1" s="392"/>
      <c r="K1" s="392"/>
      <c r="L1" s="392"/>
      <c r="M1" s="392"/>
      <c r="N1" s="392"/>
      <c r="O1" s="392"/>
      <c r="P1" s="392"/>
      <c r="Q1" s="392"/>
      <c r="R1" s="392"/>
      <c r="S1" s="392"/>
      <c r="T1" s="392"/>
      <c r="U1" s="392"/>
      <c r="V1" s="392"/>
      <c r="W1" s="392"/>
      <c r="X1" s="392"/>
      <c r="Y1" s="392"/>
      <c r="Z1" s="392"/>
      <c r="AA1" s="392"/>
      <c r="AB1" s="392"/>
      <c r="AC1" s="392"/>
      <c r="AD1" s="392"/>
      <c r="AE1" s="392"/>
      <c r="AF1" s="392"/>
      <c r="AG1" s="392"/>
      <c r="AH1" s="393"/>
      <c r="AI1" s="393"/>
      <c r="AJ1" s="393"/>
      <c r="AK1" s="393"/>
      <c r="AL1" s="393"/>
      <c r="AM1" s="393"/>
      <c r="AN1" s="393"/>
      <c r="AO1" s="393"/>
      <c r="AP1" s="393"/>
      <c r="AQ1" s="393"/>
      <c r="AR1" s="393"/>
      <c r="AS1" s="393"/>
      <c r="AT1" s="393"/>
      <c r="AU1" s="393"/>
      <c r="AV1" s="393"/>
      <c r="AW1" s="393"/>
      <c r="AY1" s="278"/>
      <c r="AZ1" s="306"/>
      <c r="BA1" s="306"/>
      <c r="BB1" s="388" t="s">
        <v>845</v>
      </c>
      <c r="BC1" s="388"/>
      <c r="BD1" s="388"/>
      <c r="BE1" s="388"/>
      <c r="BF1" s="388"/>
      <c r="BG1" s="388"/>
      <c r="BH1" s="388"/>
      <c r="BI1" s="388"/>
      <c r="BJ1" s="388"/>
      <c r="BK1" s="388"/>
      <c r="BL1" s="388"/>
      <c r="BM1" s="388"/>
      <c r="BN1" s="388"/>
      <c r="BO1" s="388"/>
      <c r="BP1" s="388"/>
      <c r="BQ1" s="388"/>
      <c r="BR1" s="388"/>
      <c r="BS1" s="388"/>
      <c r="BT1" s="388"/>
      <c r="BU1" s="388"/>
      <c r="BV1" s="388"/>
      <c r="BW1" s="388"/>
      <c r="BX1" s="388"/>
      <c r="BY1" s="388"/>
      <c r="BZ1" s="388"/>
      <c r="CA1" s="388"/>
      <c r="CB1" s="388"/>
      <c r="CC1" s="388"/>
      <c r="CD1" s="388"/>
      <c r="CE1" s="388"/>
      <c r="CF1" s="388"/>
      <c r="CG1" s="389"/>
      <c r="CH1" s="389"/>
      <c r="CI1" s="389"/>
      <c r="CJ1" s="389"/>
      <c r="CK1" s="389"/>
      <c r="CL1" s="389"/>
      <c r="CM1" s="389"/>
      <c r="CN1" s="389"/>
      <c r="CO1" s="389"/>
      <c r="CP1" s="389"/>
      <c r="CQ1" s="389"/>
      <c r="CR1" s="389"/>
      <c r="CS1" s="389"/>
      <c r="CT1" s="389"/>
      <c r="CU1" s="389"/>
    </row>
    <row r="2" spans="1:99" s="110" customFormat="1" ht="154.5" customHeight="1" x14ac:dyDescent="0.35">
      <c r="A2" s="292" t="s">
        <v>699</v>
      </c>
      <c r="B2" s="292" t="s">
        <v>813</v>
      </c>
      <c r="C2" s="301" t="s">
        <v>846</v>
      </c>
      <c r="D2" s="301" t="s">
        <v>847</v>
      </c>
      <c r="E2" s="301" t="s">
        <v>848</v>
      </c>
      <c r="F2" s="301" t="s">
        <v>849</v>
      </c>
      <c r="G2" s="301" t="s">
        <v>850</v>
      </c>
      <c r="H2" s="301" t="s">
        <v>851</v>
      </c>
      <c r="I2" s="301" t="s">
        <v>852</v>
      </c>
      <c r="J2" s="301" t="s">
        <v>853</v>
      </c>
      <c r="K2" s="301" t="s">
        <v>854</v>
      </c>
      <c r="L2" s="301" t="s">
        <v>855</v>
      </c>
      <c r="M2" s="301" t="s">
        <v>856</v>
      </c>
      <c r="N2" s="301" t="s">
        <v>857</v>
      </c>
      <c r="O2" s="301" t="s">
        <v>858</v>
      </c>
      <c r="P2" s="301" t="s">
        <v>859</v>
      </c>
      <c r="Q2" s="301" t="s">
        <v>860</v>
      </c>
      <c r="R2" s="301" t="s">
        <v>861</v>
      </c>
      <c r="S2" s="301" t="s">
        <v>862</v>
      </c>
      <c r="T2" s="301" t="s">
        <v>863</v>
      </c>
      <c r="U2" s="301" t="s">
        <v>864</v>
      </c>
      <c r="V2" s="301" t="s">
        <v>865</v>
      </c>
      <c r="W2" s="301" t="s">
        <v>866</v>
      </c>
      <c r="X2" s="301" t="s">
        <v>867</v>
      </c>
      <c r="Y2" s="301" t="s">
        <v>868</v>
      </c>
      <c r="Z2" s="301" t="s">
        <v>869</v>
      </c>
      <c r="AA2" s="301" t="s">
        <v>870</v>
      </c>
      <c r="AB2" s="301" t="s">
        <v>871</v>
      </c>
      <c r="AC2" s="301" t="s">
        <v>872</v>
      </c>
      <c r="AD2" s="301" t="s">
        <v>873</v>
      </c>
      <c r="AE2" s="301" t="s">
        <v>874</v>
      </c>
      <c r="AF2" s="301" t="s">
        <v>875</v>
      </c>
      <c r="AG2" s="301" t="s">
        <v>876</v>
      </c>
      <c r="AH2" s="301" t="s">
        <v>877</v>
      </c>
      <c r="AI2" s="301" t="s">
        <v>878</v>
      </c>
      <c r="AJ2" s="301" t="s">
        <v>879</v>
      </c>
      <c r="AK2" s="301" t="s">
        <v>880</v>
      </c>
      <c r="AL2" s="301" t="s">
        <v>881</v>
      </c>
      <c r="AM2" s="301" t="s">
        <v>882</v>
      </c>
      <c r="AN2" s="301" t="s">
        <v>883</v>
      </c>
      <c r="AO2" s="301" t="s">
        <v>884</v>
      </c>
      <c r="AP2" s="301" t="s">
        <v>885</v>
      </c>
      <c r="AQ2" s="301" t="s">
        <v>886</v>
      </c>
      <c r="AR2" s="301" t="s">
        <v>887</v>
      </c>
      <c r="AS2" s="301" t="s">
        <v>888</v>
      </c>
      <c r="AT2" s="301" t="s">
        <v>889</v>
      </c>
      <c r="AU2" s="301" t="s">
        <v>890</v>
      </c>
      <c r="AV2" s="301" t="s">
        <v>891</v>
      </c>
      <c r="AW2" s="302" t="s">
        <v>892</v>
      </c>
      <c r="AX2" s="321"/>
      <c r="AY2" s="323"/>
      <c r="AZ2" s="292" t="s">
        <v>699</v>
      </c>
      <c r="BA2" s="292" t="s">
        <v>813</v>
      </c>
      <c r="BB2" s="300" t="s">
        <v>893</v>
      </c>
      <c r="BC2" s="300" t="s">
        <v>894</v>
      </c>
      <c r="BD2" s="300" t="s">
        <v>895</v>
      </c>
      <c r="BE2" s="300" t="s">
        <v>896</v>
      </c>
      <c r="BF2" s="300" t="s">
        <v>897</v>
      </c>
      <c r="BG2" s="300" t="s">
        <v>898</v>
      </c>
      <c r="BH2" s="300" t="s">
        <v>899</v>
      </c>
      <c r="BI2" s="300" t="s">
        <v>900</v>
      </c>
      <c r="BJ2" s="300" t="s">
        <v>901</v>
      </c>
      <c r="BK2" s="300" t="s">
        <v>902</v>
      </c>
      <c r="BL2" s="300" t="s">
        <v>903</v>
      </c>
      <c r="BM2" s="300" t="s">
        <v>904</v>
      </c>
      <c r="BN2" s="300" t="s">
        <v>905</v>
      </c>
      <c r="BO2" s="300" t="s">
        <v>906</v>
      </c>
      <c r="BP2" s="300" t="s">
        <v>907</v>
      </c>
      <c r="BQ2" s="300" t="s">
        <v>908</v>
      </c>
      <c r="BR2" s="300" t="s">
        <v>909</v>
      </c>
      <c r="BS2" s="300" t="s">
        <v>910</v>
      </c>
      <c r="BT2" s="300" t="s">
        <v>911</v>
      </c>
      <c r="BU2" s="300" t="s">
        <v>912</v>
      </c>
      <c r="BV2" s="300" t="s">
        <v>913</v>
      </c>
      <c r="BW2" s="300" t="s">
        <v>914</v>
      </c>
      <c r="BX2" s="300" t="s">
        <v>915</v>
      </c>
      <c r="BY2" s="300" t="s">
        <v>916</v>
      </c>
      <c r="BZ2" s="300" t="s">
        <v>917</v>
      </c>
      <c r="CA2" s="300" t="s">
        <v>918</v>
      </c>
      <c r="CB2" s="300" t="s">
        <v>919</v>
      </c>
      <c r="CC2" s="300" t="s">
        <v>920</v>
      </c>
      <c r="CD2" s="300" t="s">
        <v>921</v>
      </c>
      <c r="CE2" s="300" t="s">
        <v>922</v>
      </c>
      <c r="CF2" s="300" t="s">
        <v>923</v>
      </c>
      <c r="CG2" s="300" t="s">
        <v>924</v>
      </c>
      <c r="CH2" s="300" t="s">
        <v>925</v>
      </c>
      <c r="CI2" s="300" t="s">
        <v>926</v>
      </c>
      <c r="CJ2" s="300" t="s">
        <v>927</v>
      </c>
      <c r="CK2" s="300" t="s">
        <v>928</v>
      </c>
      <c r="CL2" s="300" t="s">
        <v>929</v>
      </c>
      <c r="CM2" s="300" t="s">
        <v>930</v>
      </c>
      <c r="CN2" s="300" t="s">
        <v>931</v>
      </c>
      <c r="CO2" s="300" t="s">
        <v>932</v>
      </c>
      <c r="CP2" s="300" t="s">
        <v>933</v>
      </c>
      <c r="CQ2" s="300" t="s">
        <v>934</v>
      </c>
      <c r="CR2" s="300" t="s">
        <v>935</v>
      </c>
      <c r="CS2" s="300" t="s">
        <v>936</v>
      </c>
      <c r="CT2" s="300" t="s">
        <v>937</v>
      </c>
      <c r="CU2" s="300" t="s">
        <v>938</v>
      </c>
    </row>
    <row r="3" spans="1:99" customFormat="1" x14ac:dyDescent="0.35">
      <c r="A3" s="143" t="s">
        <v>719</v>
      </c>
      <c r="B3" s="143" t="s">
        <v>720</v>
      </c>
      <c r="C3" s="137">
        <v>1</v>
      </c>
      <c r="D3" s="137">
        <v>0.83333330000000005</v>
      </c>
      <c r="E3" s="137">
        <v>0.83333330000000005</v>
      </c>
      <c r="F3" s="137">
        <v>0.3333333</v>
      </c>
      <c r="G3" s="137">
        <v>0.66666669999999995</v>
      </c>
      <c r="H3" s="137">
        <v>0.66666669999999995</v>
      </c>
      <c r="I3" s="137">
        <v>0.5</v>
      </c>
      <c r="J3" s="137">
        <v>1</v>
      </c>
      <c r="K3" s="137">
        <v>0.5</v>
      </c>
      <c r="L3" s="137">
        <v>0.83333330000000005</v>
      </c>
      <c r="M3" s="137">
        <v>1</v>
      </c>
      <c r="N3" s="137">
        <v>1</v>
      </c>
      <c r="O3" s="137">
        <v>1</v>
      </c>
      <c r="P3" s="137">
        <v>0.83333330000000005</v>
      </c>
      <c r="Q3" s="137">
        <v>0.66666669999999995</v>
      </c>
      <c r="R3" s="137">
        <v>0.66666669999999995</v>
      </c>
      <c r="S3" s="137">
        <v>0.83333330000000005</v>
      </c>
      <c r="T3" s="137">
        <v>0.3333333</v>
      </c>
      <c r="U3" s="137">
        <v>0.1666667</v>
      </c>
      <c r="V3" s="137">
        <v>0.83333330000000005</v>
      </c>
      <c r="W3" s="137">
        <v>0.83333330000000005</v>
      </c>
      <c r="X3" s="137">
        <v>0.83333330000000005</v>
      </c>
      <c r="Y3" s="137">
        <v>0.66666669999999995</v>
      </c>
      <c r="Z3" s="137">
        <v>0.5</v>
      </c>
      <c r="AA3" s="137">
        <v>0.66666669999999995</v>
      </c>
      <c r="AB3" s="137">
        <v>0.1666667</v>
      </c>
      <c r="AC3" s="137">
        <v>0.66666669999999995</v>
      </c>
      <c r="AD3" s="137">
        <v>0.5</v>
      </c>
      <c r="AE3" s="137">
        <v>0.66666669999999995</v>
      </c>
      <c r="AF3" s="137">
        <v>0</v>
      </c>
      <c r="AG3" s="137">
        <v>0.83333330000000005</v>
      </c>
      <c r="AH3" s="137">
        <v>0.83333330000000005</v>
      </c>
      <c r="AI3" s="137">
        <v>1</v>
      </c>
      <c r="AJ3" s="137">
        <v>0.66666669999999995</v>
      </c>
      <c r="AK3" s="137">
        <v>0.5</v>
      </c>
      <c r="AL3" s="137">
        <v>0.66666669999999995</v>
      </c>
      <c r="AM3" s="137">
        <v>0.83333330000000005</v>
      </c>
      <c r="AN3" s="137">
        <v>0.5</v>
      </c>
      <c r="AO3" s="137">
        <v>0.1666667</v>
      </c>
      <c r="AP3" s="137">
        <v>0.66666669999999995</v>
      </c>
      <c r="AQ3" s="137">
        <v>0.83333330000000005</v>
      </c>
      <c r="AR3" s="137">
        <v>0.66666669999999995</v>
      </c>
      <c r="AS3" s="137">
        <v>0.83333330000000005</v>
      </c>
      <c r="AT3" s="137">
        <v>0.83333330000000005</v>
      </c>
      <c r="AU3" s="137">
        <v>0.83333330000000005</v>
      </c>
      <c r="AV3" s="137">
        <v>0.1666667</v>
      </c>
      <c r="AW3" s="137">
        <v>0.67028989999999999</v>
      </c>
      <c r="AX3" s="78"/>
      <c r="AY3" s="279"/>
      <c r="AZ3" s="143" t="s">
        <v>719</v>
      </c>
      <c r="BA3" s="143" t="s">
        <v>720</v>
      </c>
      <c r="BB3" s="78" t="s">
        <v>939</v>
      </c>
      <c r="BC3" s="78" t="s">
        <v>940</v>
      </c>
      <c r="BD3" s="78" t="s">
        <v>941</v>
      </c>
      <c r="BE3" s="78" t="s">
        <v>942</v>
      </c>
      <c r="BF3" s="78" t="s">
        <v>943</v>
      </c>
      <c r="BG3" s="78" t="s">
        <v>944</v>
      </c>
      <c r="BH3" s="78" t="s">
        <v>945</v>
      </c>
      <c r="BI3" s="78" t="s">
        <v>946</v>
      </c>
      <c r="BJ3" s="78" t="s">
        <v>947</v>
      </c>
      <c r="BK3" s="78" t="s">
        <v>948</v>
      </c>
      <c r="BL3" s="78" t="s">
        <v>949</v>
      </c>
      <c r="BM3" s="78" t="s">
        <v>950</v>
      </c>
      <c r="BN3" s="78" t="s">
        <v>951</v>
      </c>
      <c r="BO3" s="78" t="s">
        <v>952</v>
      </c>
      <c r="BP3" s="78" t="s">
        <v>953</v>
      </c>
      <c r="BQ3" s="78" t="s">
        <v>954</v>
      </c>
      <c r="BR3" s="78" t="s">
        <v>955</v>
      </c>
      <c r="BS3" s="78" t="s">
        <v>956</v>
      </c>
      <c r="BT3" s="78" t="s">
        <v>957</v>
      </c>
      <c r="BU3" s="78" t="s">
        <v>958</v>
      </c>
      <c r="BV3" s="78" t="s">
        <v>959</v>
      </c>
      <c r="BW3" s="78" t="s">
        <v>960</v>
      </c>
      <c r="BX3" s="78" t="s">
        <v>961</v>
      </c>
      <c r="BY3" s="78" t="s">
        <v>962</v>
      </c>
      <c r="BZ3" s="78" t="s">
        <v>963</v>
      </c>
      <c r="CA3" s="78" t="s">
        <v>964</v>
      </c>
      <c r="CB3" s="78" t="s">
        <v>965</v>
      </c>
      <c r="CC3" s="78" t="s">
        <v>966</v>
      </c>
      <c r="CD3" s="78" t="s">
        <v>967</v>
      </c>
      <c r="CE3" s="78" t="s">
        <v>968</v>
      </c>
      <c r="CF3" s="78" t="s">
        <v>969</v>
      </c>
      <c r="CG3" s="78" t="s">
        <v>970</v>
      </c>
      <c r="CH3" s="78" t="s">
        <v>971</v>
      </c>
      <c r="CI3" s="78" t="s">
        <v>972</v>
      </c>
      <c r="CJ3" s="78" t="s">
        <v>973</v>
      </c>
      <c r="CK3" s="78" t="s">
        <v>974</v>
      </c>
      <c r="CL3" s="78" t="s">
        <v>975</v>
      </c>
      <c r="CM3" s="78" t="s">
        <v>976</v>
      </c>
      <c r="CN3" s="78" t="s">
        <v>977</v>
      </c>
      <c r="CO3" s="78" t="s">
        <v>978</v>
      </c>
      <c r="CP3" s="78" t="s">
        <v>979</v>
      </c>
      <c r="CQ3" s="78" t="s">
        <v>980</v>
      </c>
      <c r="CR3" s="78" t="s">
        <v>981</v>
      </c>
      <c r="CS3" s="78" t="s">
        <v>982</v>
      </c>
      <c r="CT3" s="78" t="s">
        <v>983</v>
      </c>
      <c r="CU3" s="78" t="s">
        <v>984</v>
      </c>
    </row>
    <row r="4" spans="1:99" customFormat="1" x14ac:dyDescent="0.35">
      <c r="A4" s="143" t="s">
        <v>721</v>
      </c>
      <c r="B4" s="143" t="s">
        <v>722</v>
      </c>
      <c r="C4" s="137">
        <v>1</v>
      </c>
      <c r="D4" s="137">
        <v>1</v>
      </c>
      <c r="E4" s="137">
        <v>1</v>
      </c>
      <c r="F4" s="137">
        <v>1</v>
      </c>
      <c r="G4" s="137">
        <v>1</v>
      </c>
      <c r="H4" s="137">
        <v>1</v>
      </c>
      <c r="I4" s="137">
        <v>1</v>
      </c>
      <c r="J4" s="137">
        <v>1</v>
      </c>
      <c r="K4" s="137">
        <v>1</v>
      </c>
      <c r="L4" s="137">
        <v>1</v>
      </c>
      <c r="M4" s="137">
        <v>1</v>
      </c>
      <c r="N4" s="137">
        <v>1</v>
      </c>
      <c r="O4" s="137">
        <v>1</v>
      </c>
      <c r="P4" s="137">
        <v>1</v>
      </c>
      <c r="Q4" s="137">
        <v>0</v>
      </c>
      <c r="R4" s="137">
        <v>0.75</v>
      </c>
      <c r="S4" s="137">
        <v>1</v>
      </c>
      <c r="T4" s="137">
        <v>1</v>
      </c>
      <c r="U4" s="137">
        <v>0</v>
      </c>
      <c r="V4" s="137">
        <v>1</v>
      </c>
      <c r="W4" s="137">
        <v>1</v>
      </c>
      <c r="X4" s="137">
        <v>1</v>
      </c>
      <c r="Y4" s="137">
        <v>0.25</v>
      </c>
      <c r="Z4" s="137">
        <v>1</v>
      </c>
      <c r="AA4" s="137">
        <v>1</v>
      </c>
      <c r="AB4" s="137">
        <v>0.25</v>
      </c>
      <c r="AC4" s="137">
        <v>0.5</v>
      </c>
      <c r="AD4" s="137">
        <v>0.25</v>
      </c>
      <c r="AE4" s="137">
        <v>0.75</v>
      </c>
      <c r="AF4" s="137">
        <v>0.25</v>
      </c>
      <c r="AG4" s="137">
        <v>1</v>
      </c>
      <c r="AH4" s="137">
        <v>1</v>
      </c>
      <c r="AI4" s="137">
        <v>1</v>
      </c>
      <c r="AJ4" s="137">
        <v>1</v>
      </c>
      <c r="AK4" s="137">
        <v>1</v>
      </c>
      <c r="AL4" s="137">
        <v>1</v>
      </c>
      <c r="AM4" s="137">
        <v>1</v>
      </c>
      <c r="AN4" s="137">
        <v>1</v>
      </c>
      <c r="AO4" s="137">
        <v>0.75</v>
      </c>
      <c r="AP4" s="137">
        <v>1</v>
      </c>
      <c r="AQ4" s="137">
        <v>1</v>
      </c>
      <c r="AR4" s="137">
        <v>1</v>
      </c>
      <c r="AS4" s="137">
        <v>1</v>
      </c>
      <c r="AT4" s="137">
        <v>1</v>
      </c>
      <c r="AU4" s="137">
        <v>1</v>
      </c>
      <c r="AV4" s="137">
        <v>0.25</v>
      </c>
      <c r="AW4" s="137">
        <v>0.84782610000000003</v>
      </c>
      <c r="AX4" s="78"/>
      <c r="AY4" s="279"/>
      <c r="AZ4" s="143" t="s">
        <v>721</v>
      </c>
      <c r="BA4" s="143" t="s">
        <v>722</v>
      </c>
      <c r="BB4" s="78" t="s">
        <v>985</v>
      </c>
      <c r="BC4" s="78" t="s">
        <v>986</v>
      </c>
      <c r="BD4" s="78" t="s">
        <v>987</v>
      </c>
      <c r="BE4" s="78" t="s">
        <v>988</v>
      </c>
      <c r="BF4" s="78" t="s">
        <v>989</v>
      </c>
      <c r="BG4" s="78" t="s">
        <v>990</v>
      </c>
      <c r="BH4" s="78" t="s">
        <v>991</v>
      </c>
      <c r="BI4" s="78" t="s">
        <v>992</v>
      </c>
      <c r="BJ4" s="78" t="s">
        <v>993</v>
      </c>
      <c r="BK4" s="78" t="s">
        <v>994</v>
      </c>
      <c r="BL4" s="78" t="s">
        <v>995</v>
      </c>
      <c r="BM4" s="78" t="s">
        <v>996</v>
      </c>
      <c r="BN4" s="78" t="s">
        <v>997</v>
      </c>
      <c r="BO4" s="78" t="s">
        <v>998</v>
      </c>
      <c r="BP4" s="78" t="s">
        <v>968</v>
      </c>
      <c r="BQ4" s="78" t="s">
        <v>999</v>
      </c>
      <c r="BR4" s="78" t="s">
        <v>1000</v>
      </c>
      <c r="BS4" s="78" t="s">
        <v>1001</v>
      </c>
      <c r="BT4" s="78" t="s">
        <v>968</v>
      </c>
      <c r="BU4" s="78" t="s">
        <v>1002</v>
      </c>
      <c r="BV4" s="78" t="s">
        <v>1003</v>
      </c>
      <c r="BW4" s="78" t="s">
        <v>1004</v>
      </c>
      <c r="BX4" s="78" t="s">
        <v>1005</v>
      </c>
      <c r="BY4" s="78" t="s">
        <v>1006</v>
      </c>
      <c r="BZ4" s="78" t="s">
        <v>1007</v>
      </c>
      <c r="CA4" s="78" t="s">
        <v>1008</v>
      </c>
      <c r="CB4" s="78" t="s">
        <v>1009</v>
      </c>
      <c r="CC4" s="78" t="s">
        <v>1010</v>
      </c>
      <c r="CD4" s="78" t="s">
        <v>1011</v>
      </c>
      <c r="CE4" s="78" t="s">
        <v>1012</v>
      </c>
      <c r="CF4" s="78" t="s">
        <v>1013</v>
      </c>
      <c r="CG4" s="78" t="s">
        <v>1014</v>
      </c>
      <c r="CH4" s="78" t="s">
        <v>1015</v>
      </c>
      <c r="CI4" s="78" t="s">
        <v>1016</v>
      </c>
      <c r="CJ4" s="78" t="s">
        <v>1017</v>
      </c>
      <c r="CK4" s="78" t="s">
        <v>1018</v>
      </c>
      <c r="CL4" s="78" t="s">
        <v>1019</v>
      </c>
      <c r="CM4" s="78" t="s">
        <v>1020</v>
      </c>
      <c r="CN4" s="78" t="s">
        <v>1021</v>
      </c>
      <c r="CO4" s="78" t="s">
        <v>1022</v>
      </c>
      <c r="CP4" s="78" t="s">
        <v>1023</v>
      </c>
      <c r="CQ4" s="78" t="s">
        <v>1024</v>
      </c>
      <c r="CR4" s="78" t="s">
        <v>1025</v>
      </c>
      <c r="CS4" s="78" t="s">
        <v>1026</v>
      </c>
      <c r="CT4" s="78" t="s">
        <v>1027</v>
      </c>
      <c r="CU4" s="78" t="s">
        <v>1028</v>
      </c>
    </row>
    <row r="5" spans="1:99" customFormat="1" x14ac:dyDescent="0.35">
      <c r="A5" s="143" t="s">
        <v>723</v>
      </c>
      <c r="B5" s="143" t="s">
        <v>720</v>
      </c>
      <c r="C5" s="137">
        <v>1</v>
      </c>
      <c r="D5" s="137">
        <v>0.83333330000000005</v>
      </c>
      <c r="E5" s="137">
        <v>1</v>
      </c>
      <c r="F5" s="137">
        <v>0.3333333</v>
      </c>
      <c r="G5" s="137">
        <v>1</v>
      </c>
      <c r="H5" s="137">
        <v>0.83333330000000005</v>
      </c>
      <c r="I5" s="137">
        <v>0.83333330000000005</v>
      </c>
      <c r="J5" s="137">
        <v>1</v>
      </c>
      <c r="K5" s="137">
        <v>1</v>
      </c>
      <c r="L5" s="137">
        <v>1</v>
      </c>
      <c r="M5" s="137">
        <v>1</v>
      </c>
      <c r="N5" s="137">
        <v>1</v>
      </c>
      <c r="O5" s="137">
        <v>1</v>
      </c>
      <c r="P5" s="137">
        <v>1</v>
      </c>
      <c r="Q5" s="137">
        <v>0.1666667</v>
      </c>
      <c r="R5" s="137">
        <v>0.83333330000000005</v>
      </c>
      <c r="S5" s="137">
        <v>0.83333330000000005</v>
      </c>
      <c r="T5" s="137">
        <v>1</v>
      </c>
      <c r="U5" s="137">
        <v>0</v>
      </c>
      <c r="V5" s="137">
        <v>1</v>
      </c>
      <c r="W5" s="137">
        <v>1</v>
      </c>
      <c r="X5" s="137">
        <v>1</v>
      </c>
      <c r="Y5" s="137">
        <v>0.83333330000000005</v>
      </c>
      <c r="Z5" s="137">
        <v>1</v>
      </c>
      <c r="AA5" s="137">
        <v>1</v>
      </c>
      <c r="AB5" s="137">
        <v>0.83333330000000005</v>
      </c>
      <c r="AC5" s="137">
        <v>0.66666669999999995</v>
      </c>
      <c r="AD5" s="137">
        <v>0.66666669999999995</v>
      </c>
      <c r="AE5" s="137">
        <v>0.83333330000000005</v>
      </c>
      <c r="AF5" s="137">
        <v>0</v>
      </c>
      <c r="AG5" s="137">
        <v>0.83333330000000005</v>
      </c>
      <c r="AH5" s="137">
        <v>0.66666669999999995</v>
      </c>
      <c r="AI5" s="137">
        <v>0.83333330000000005</v>
      </c>
      <c r="AJ5" s="137">
        <v>0.66666669999999995</v>
      </c>
      <c r="AK5" s="137">
        <v>1</v>
      </c>
      <c r="AL5" s="137">
        <v>0.66666669999999995</v>
      </c>
      <c r="AM5" s="137">
        <v>0.1666667</v>
      </c>
      <c r="AN5" s="137">
        <v>1</v>
      </c>
      <c r="AO5" s="137">
        <v>0.83333330000000005</v>
      </c>
      <c r="AP5" s="137">
        <v>0.83333330000000005</v>
      </c>
      <c r="AQ5" s="137">
        <v>0.83333330000000005</v>
      </c>
      <c r="AR5" s="137">
        <v>0.5</v>
      </c>
      <c r="AS5" s="137">
        <v>0.5</v>
      </c>
      <c r="AT5" s="137">
        <v>1</v>
      </c>
      <c r="AU5" s="137">
        <v>0.66666669999999995</v>
      </c>
      <c r="AV5" s="137">
        <v>0.1666667</v>
      </c>
      <c r="AW5" s="137">
        <v>0.77536229999999995</v>
      </c>
      <c r="AX5" s="78"/>
      <c r="AY5" s="279"/>
      <c r="AZ5" s="143" t="s">
        <v>723</v>
      </c>
      <c r="BA5" s="143" t="s">
        <v>720</v>
      </c>
      <c r="BB5" s="78" t="s">
        <v>2711</v>
      </c>
      <c r="BC5" s="78" t="s">
        <v>2712</v>
      </c>
      <c r="BD5" s="78" t="s">
        <v>2713</v>
      </c>
      <c r="BE5" s="78" t="s">
        <v>1029</v>
      </c>
      <c r="BF5" s="78" t="s">
        <v>2714</v>
      </c>
      <c r="BG5" s="78" t="s">
        <v>2715</v>
      </c>
      <c r="BH5" s="78" t="s">
        <v>2716</v>
      </c>
      <c r="BI5" s="78" t="s">
        <v>2717</v>
      </c>
      <c r="BJ5" s="78" t="s">
        <v>2718</v>
      </c>
      <c r="BK5" s="78" t="s">
        <v>2719</v>
      </c>
      <c r="BL5" s="78" t="s">
        <v>2720</v>
      </c>
      <c r="BM5" s="78" t="s">
        <v>2721</v>
      </c>
      <c r="BN5" s="78" t="s">
        <v>2722</v>
      </c>
      <c r="BO5" s="78" t="s">
        <v>2723</v>
      </c>
      <c r="BP5" s="78" t="s">
        <v>1030</v>
      </c>
      <c r="BQ5" s="78" t="s">
        <v>2724</v>
      </c>
      <c r="BR5" s="78" t="s">
        <v>2725</v>
      </c>
      <c r="BS5" s="78" t="s">
        <v>2726</v>
      </c>
      <c r="BT5" s="78" t="s">
        <v>968</v>
      </c>
      <c r="BU5" s="78" t="s">
        <v>2727</v>
      </c>
      <c r="BV5" s="78" t="s">
        <v>2728</v>
      </c>
      <c r="BW5" s="78" t="s">
        <v>2729</v>
      </c>
      <c r="BX5" s="78" t="s">
        <v>2730</v>
      </c>
      <c r="BY5" s="78" t="s">
        <v>2731</v>
      </c>
      <c r="BZ5" s="78" t="s">
        <v>2732</v>
      </c>
      <c r="CA5" s="78" t="s">
        <v>1031</v>
      </c>
      <c r="CB5" s="78" t="s">
        <v>2733</v>
      </c>
      <c r="CC5" s="78" t="s">
        <v>2734</v>
      </c>
      <c r="CD5" s="78" t="s">
        <v>1032</v>
      </c>
      <c r="CE5" s="78" t="s">
        <v>968</v>
      </c>
      <c r="CF5" s="78" t="s">
        <v>2735</v>
      </c>
      <c r="CG5" s="78" t="s">
        <v>2736</v>
      </c>
      <c r="CH5" s="78" t="s">
        <v>2737</v>
      </c>
      <c r="CI5" s="78" t="s">
        <v>2738</v>
      </c>
      <c r="CJ5" s="78" t="s">
        <v>2739</v>
      </c>
      <c r="CK5" s="78" t="s">
        <v>2740</v>
      </c>
      <c r="CL5" s="78" t="s">
        <v>2741</v>
      </c>
      <c r="CM5" s="78" t="s">
        <v>2742</v>
      </c>
      <c r="CN5" s="78" t="s">
        <v>2743</v>
      </c>
      <c r="CO5" s="78" t="s">
        <v>2744</v>
      </c>
      <c r="CP5" s="78" t="s">
        <v>2745</v>
      </c>
      <c r="CQ5" s="78" t="s">
        <v>2746</v>
      </c>
      <c r="CR5" s="78" t="s">
        <v>1033</v>
      </c>
      <c r="CS5" s="78" t="s">
        <v>2747</v>
      </c>
      <c r="CT5" s="78" t="s">
        <v>2748</v>
      </c>
      <c r="CU5" s="78" t="s">
        <v>1034</v>
      </c>
    </row>
    <row r="6" spans="1:99" customFormat="1" x14ac:dyDescent="0.35">
      <c r="A6" s="143" t="s">
        <v>724</v>
      </c>
      <c r="B6" s="143" t="s">
        <v>725</v>
      </c>
      <c r="C6" s="137">
        <v>0.7</v>
      </c>
      <c r="D6" s="137">
        <v>0.7</v>
      </c>
      <c r="E6" s="137">
        <v>0.7</v>
      </c>
      <c r="F6" s="137">
        <v>0.4</v>
      </c>
      <c r="G6" s="137">
        <v>0.7</v>
      </c>
      <c r="H6" s="137">
        <v>0.7</v>
      </c>
      <c r="I6" s="137">
        <v>0.6</v>
      </c>
      <c r="J6" s="137">
        <v>0.6</v>
      </c>
      <c r="K6" s="137">
        <v>0.7</v>
      </c>
      <c r="L6" s="137">
        <v>0.7</v>
      </c>
      <c r="M6" s="137">
        <v>0.7</v>
      </c>
      <c r="N6" s="137">
        <v>0.8</v>
      </c>
      <c r="O6" s="137">
        <v>0.7</v>
      </c>
      <c r="P6" s="137">
        <v>0.7</v>
      </c>
      <c r="Q6" s="137">
        <v>0.4</v>
      </c>
      <c r="R6" s="137">
        <v>0.7</v>
      </c>
      <c r="S6" s="137">
        <v>0.7</v>
      </c>
      <c r="T6" s="137">
        <v>0.4</v>
      </c>
      <c r="U6" s="137">
        <v>0</v>
      </c>
      <c r="V6" s="137">
        <v>0.8</v>
      </c>
      <c r="W6" s="137">
        <v>0.7</v>
      </c>
      <c r="X6" s="137">
        <v>0.4</v>
      </c>
      <c r="Y6" s="137">
        <v>0.7</v>
      </c>
      <c r="Z6" s="137">
        <v>0.7</v>
      </c>
      <c r="AA6" s="137">
        <v>0.6</v>
      </c>
      <c r="AB6" s="137">
        <v>0.3</v>
      </c>
      <c r="AC6" s="137">
        <v>0.4</v>
      </c>
      <c r="AD6" s="137">
        <v>0.2</v>
      </c>
      <c r="AE6" s="137">
        <v>0.4</v>
      </c>
      <c r="AF6" s="137">
        <v>0</v>
      </c>
      <c r="AG6" s="137">
        <v>0.7</v>
      </c>
      <c r="AH6" s="137">
        <v>0.7</v>
      </c>
      <c r="AI6" s="137">
        <v>0.7</v>
      </c>
      <c r="AJ6" s="137">
        <v>0.6</v>
      </c>
      <c r="AK6" s="137">
        <v>0.5</v>
      </c>
      <c r="AL6" s="137">
        <v>0.7</v>
      </c>
      <c r="AM6" s="137">
        <v>0.5</v>
      </c>
      <c r="AN6" s="137">
        <v>0.6</v>
      </c>
      <c r="AO6" s="137">
        <v>0.7</v>
      </c>
      <c r="AP6" s="137">
        <v>0.7</v>
      </c>
      <c r="AQ6" s="137">
        <v>0.5</v>
      </c>
      <c r="AR6" s="137">
        <v>0.2</v>
      </c>
      <c r="AS6" s="137">
        <v>0.5</v>
      </c>
      <c r="AT6" s="137">
        <v>0.7</v>
      </c>
      <c r="AU6" s="137">
        <v>0.7</v>
      </c>
      <c r="AV6" s="137">
        <v>0.2</v>
      </c>
      <c r="AW6" s="137">
        <v>0.56521739999999998</v>
      </c>
      <c r="AX6" s="78"/>
      <c r="AY6" s="279"/>
      <c r="AZ6" s="143" t="s">
        <v>724</v>
      </c>
      <c r="BA6" s="143" t="s">
        <v>725</v>
      </c>
      <c r="BB6" s="78" t="s">
        <v>1035</v>
      </c>
      <c r="BC6" s="78" t="s">
        <v>1036</v>
      </c>
      <c r="BD6" s="78" t="s">
        <v>1037</v>
      </c>
      <c r="BE6" s="78" t="s">
        <v>1038</v>
      </c>
      <c r="BF6" s="78" t="s">
        <v>1039</v>
      </c>
      <c r="BG6" s="78" t="s">
        <v>1040</v>
      </c>
      <c r="BH6" s="78" t="s">
        <v>1041</v>
      </c>
      <c r="BI6" s="78" t="s">
        <v>1042</v>
      </c>
      <c r="BJ6" s="78" t="s">
        <v>1043</v>
      </c>
      <c r="BK6" s="78" t="s">
        <v>1044</v>
      </c>
      <c r="BL6" s="78" t="s">
        <v>1045</v>
      </c>
      <c r="BM6" s="78" t="s">
        <v>1046</v>
      </c>
      <c r="BN6" s="78" t="s">
        <v>1047</v>
      </c>
      <c r="BO6" s="78" t="s">
        <v>1048</v>
      </c>
      <c r="BP6" s="78" t="s">
        <v>1049</v>
      </c>
      <c r="BQ6" s="78" t="s">
        <v>1050</v>
      </c>
      <c r="BR6" s="78" t="s">
        <v>1051</v>
      </c>
      <c r="BS6" s="78" t="s">
        <v>1052</v>
      </c>
      <c r="BT6" s="78" t="s">
        <v>968</v>
      </c>
      <c r="BU6" s="78" t="s">
        <v>1053</v>
      </c>
      <c r="BV6" s="78" t="s">
        <v>1054</v>
      </c>
      <c r="BW6" s="78" t="s">
        <v>1055</v>
      </c>
      <c r="BX6" s="78" t="s">
        <v>1056</v>
      </c>
      <c r="BY6" s="78" t="s">
        <v>1057</v>
      </c>
      <c r="BZ6" s="78" t="s">
        <v>1058</v>
      </c>
      <c r="CA6" s="78" t="s">
        <v>1059</v>
      </c>
      <c r="CB6" s="78" t="s">
        <v>1060</v>
      </c>
      <c r="CC6" s="78" t="s">
        <v>1061</v>
      </c>
      <c r="CD6" s="78" t="s">
        <v>1062</v>
      </c>
      <c r="CE6" s="78" t="s">
        <v>968</v>
      </c>
      <c r="CF6" s="78" t="s">
        <v>1063</v>
      </c>
      <c r="CG6" s="78" t="s">
        <v>1064</v>
      </c>
      <c r="CH6" s="78" t="s">
        <v>1065</v>
      </c>
      <c r="CI6" s="78" t="s">
        <v>1066</v>
      </c>
      <c r="CJ6" s="78" t="s">
        <v>1067</v>
      </c>
      <c r="CK6" s="78" t="s">
        <v>1068</v>
      </c>
      <c r="CL6" s="78" t="s">
        <v>1069</v>
      </c>
      <c r="CM6" s="78" t="s">
        <v>1070</v>
      </c>
      <c r="CN6" s="78" t="s">
        <v>1071</v>
      </c>
      <c r="CO6" s="78" t="s">
        <v>1072</v>
      </c>
      <c r="CP6" s="78" t="s">
        <v>1073</v>
      </c>
      <c r="CQ6" s="78" t="s">
        <v>1074</v>
      </c>
      <c r="CR6" s="78" t="s">
        <v>1075</v>
      </c>
      <c r="CS6" s="78" t="s">
        <v>1076</v>
      </c>
      <c r="CT6" s="78" t="s">
        <v>1077</v>
      </c>
      <c r="CU6" s="78" t="s">
        <v>1078</v>
      </c>
    </row>
    <row r="7" spans="1:99" customFormat="1" x14ac:dyDescent="0.35">
      <c r="A7" s="143" t="s">
        <v>726</v>
      </c>
      <c r="B7" s="143" t="s">
        <v>720</v>
      </c>
      <c r="C7" s="137">
        <v>1</v>
      </c>
      <c r="D7" s="137">
        <v>1</v>
      </c>
      <c r="E7" s="137">
        <v>1</v>
      </c>
      <c r="F7" s="137">
        <v>0.8</v>
      </c>
      <c r="G7" s="137">
        <v>1</v>
      </c>
      <c r="H7" s="137">
        <v>1</v>
      </c>
      <c r="I7" s="137">
        <v>1</v>
      </c>
      <c r="J7" s="137">
        <v>1</v>
      </c>
      <c r="K7" s="137">
        <v>1</v>
      </c>
      <c r="L7" s="137">
        <v>1</v>
      </c>
      <c r="M7" s="137">
        <v>1</v>
      </c>
      <c r="N7" s="137">
        <v>1</v>
      </c>
      <c r="O7" s="137">
        <v>1</v>
      </c>
      <c r="P7" s="137">
        <v>1</v>
      </c>
      <c r="Q7" s="137">
        <v>0.4</v>
      </c>
      <c r="R7" s="137">
        <v>1</v>
      </c>
      <c r="S7" s="137">
        <v>1</v>
      </c>
      <c r="T7" s="137">
        <v>0.6</v>
      </c>
      <c r="U7" s="137">
        <v>0</v>
      </c>
      <c r="V7" s="137">
        <v>0.8</v>
      </c>
      <c r="W7" s="137">
        <v>1</v>
      </c>
      <c r="X7" s="137">
        <v>1</v>
      </c>
      <c r="Y7" s="137">
        <v>1</v>
      </c>
      <c r="Z7" s="137">
        <v>1</v>
      </c>
      <c r="AA7" s="137">
        <v>1</v>
      </c>
      <c r="AB7" s="137">
        <v>0.4</v>
      </c>
      <c r="AC7" s="137">
        <v>0.4</v>
      </c>
      <c r="AD7" s="137">
        <v>0.4</v>
      </c>
      <c r="AE7" s="137">
        <v>0.4</v>
      </c>
      <c r="AF7" s="137">
        <v>0</v>
      </c>
      <c r="AG7" s="137">
        <v>1</v>
      </c>
      <c r="AH7" s="137">
        <v>0.6</v>
      </c>
      <c r="AI7" s="137">
        <v>0.8</v>
      </c>
      <c r="AJ7" s="137">
        <v>1</v>
      </c>
      <c r="AK7" s="137">
        <v>1</v>
      </c>
      <c r="AL7" s="137">
        <v>1</v>
      </c>
      <c r="AM7" s="137">
        <v>1</v>
      </c>
      <c r="AN7" s="137">
        <v>1</v>
      </c>
      <c r="AO7" s="137">
        <v>1</v>
      </c>
      <c r="AP7" s="137">
        <v>1</v>
      </c>
      <c r="AQ7" s="137">
        <v>1</v>
      </c>
      <c r="AR7" s="137">
        <v>0.8</v>
      </c>
      <c r="AS7" s="137">
        <v>1</v>
      </c>
      <c r="AT7" s="137">
        <v>1</v>
      </c>
      <c r="AU7" s="137">
        <v>1</v>
      </c>
      <c r="AV7" s="137">
        <v>0.6</v>
      </c>
      <c r="AW7" s="137">
        <v>0.84782610000000003</v>
      </c>
      <c r="AX7" s="78"/>
      <c r="AY7" s="279"/>
      <c r="AZ7" s="143" t="s">
        <v>726</v>
      </c>
      <c r="BA7" s="143" t="s">
        <v>720</v>
      </c>
      <c r="BB7" s="78" t="s">
        <v>1079</v>
      </c>
      <c r="BC7" s="78" t="s">
        <v>1080</v>
      </c>
      <c r="BD7" s="78" t="s">
        <v>1081</v>
      </c>
      <c r="BE7" s="78" t="s">
        <v>1082</v>
      </c>
      <c r="BF7" s="78" t="s">
        <v>1083</v>
      </c>
      <c r="BG7" s="78" t="s">
        <v>1084</v>
      </c>
      <c r="BH7" s="78" t="s">
        <v>1085</v>
      </c>
      <c r="BI7" s="78" t="s">
        <v>1086</v>
      </c>
      <c r="BJ7" s="78" t="s">
        <v>1087</v>
      </c>
      <c r="BK7" s="78" t="s">
        <v>1088</v>
      </c>
      <c r="BL7" s="78" t="s">
        <v>1089</v>
      </c>
      <c r="BM7" s="78" t="s">
        <v>1090</v>
      </c>
      <c r="BN7" s="78" t="s">
        <v>1091</v>
      </c>
      <c r="BO7" s="78" t="s">
        <v>1092</v>
      </c>
      <c r="BP7" s="78" t="s">
        <v>1093</v>
      </c>
      <c r="BQ7" s="78" t="s">
        <v>1094</v>
      </c>
      <c r="BR7" s="78" t="s">
        <v>1095</v>
      </c>
      <c r="BS7" s="78" t="s">
        <v>1096</v>
      </c>
      <c r="BT7" s="78" t="s">
        <v>1097</v>
      </c>
      <c r="BU7" s="78" t="s">
        <v>1098</v>
      </c>
      <c r="BV7" s="78" t="s">
        <v>1099</v>
      </c>
      <c r="BW7" s="78" t="s">
        <v>1100</v>
      </c>
      <c r="BX7" s="78" t="s">
        <v>1101</v>
      </c>
      <c r="BY7" s="78" t="s">
        <v>1102</v>
      </c>
      <c r="BZ7" s="78" t="s">
        <v>1103</v>
      </c>
      <c r="CA7" s="78" t="s">
        <v>1104</v>
      </c>
      <c r="CB7" s="78" t="s">
        <v>1105</v>
      </c>
      <c r="CC7" s="78" t="s">
        <v>1106</v>
      </c>
      <c r="CD7" s="78" t="s">
        <v>1107</v>
      </c>
      <c r="CE7" s="78" t="s">
        <v>968</v>
      </c>
      <c r="CF7" s="78" t="s">
        <v>1108</v>
      </c>
      <c r="CG7" s="78" t="s">
        <v>1109</v>
      </c>
      <c r="CH7" s="78" t="s">
        <v>1110</v>
      </c>
      <c r="CI7" s="78" t="s">
        <v>1111</v>
      </c>
      <c r="CJ7" s="78" t="s">
        <v>1112</v>
      </c>
      <c r="CK7" s="78" t="s">
        <v>1113</v>
      </c>
      <c r="CL7" s="78" t="s">
        <v>1114</v>
      </c>
      <c r="CM7" s="78" t="s">
        <v>1115</v>
      </c>
      <c r="CN7" s="78" t="s">
        <v>1116</v>
      </c>
      <c r="CO7" s="78" t="s">
        <v>1117</v>
      </c>
      <c r="CP7" s="78" t="s">
        <v>1118</v>
      </c>
      <c r="CQ7" s="78" t="s">
        <v>1119</v>
      </c>
      <c r="CR7" s="78" t="s">
        <v>1120</v>
      </c>
      <c r="CS7" s="78" t="s">
        <v>1121</v>
      </c>
      <c r="CT7" s="78" t="s">
        <v>1122</v>
      </c>
      <c r="CU7" s="78" t="s">
        <v>1123</v>
      </c>
    </row>
    <row r="8" spans="1:99" customFormat="1" x14ac:dyDescent="0.35">
      <c r="A8" s="143" t="s">
        <v>727</v>
      </c>
      <c r="B8" s="143" t="s">
        <v>728</v>
      </c>
      <c r="C8" s="137">
        <v>0.75</v>
      </c>
      <c r="D8" s="137">
        <v>1</v>
      </c>
      <c r="E8" s="137">
        <v>0.75</v>
      </c>
      <c r="F8" s="137">
        <v>0.25</v>
      </c>
      <c r="G8" s="137">
        <v>0.75</v>
      </c>
      <c r="H8" s="137">
        <v>1</v>
      </c>
      <c r="I8" s="137">
        <v>1</v>
      </c>
      <c r="J8" s="137">
        <v>0.75</v>
      </c>
      <c r="K8" s="137">
        <v>0.75</v>
      </c>
      <c r="L8" s="137">
        <v>1</v>
      </c>
      <c r="M8" s="137">
        <v>1</v>
      </c>
      <c r="N8" s="137">
        <v>1</v>
      </c>
      <c r="O8" s="137">
        <v>1</v>
      </c>
      <c r="P8" s="137">
        <v>1</v>
      </c>
      <c r="Q8" s="137">
        <v>0.25</v>
      </c>
      <c r="R8" s="137">
        <v>0.25</v>
      </c>
      <c r="S8" s="137">
        <v>1</v>
      </c>
      <c r="T8" s="137">
        <v>0.5</v>
      </c>
      <c r="U8" s="137">
        <v>0</v>
      </c>
      <c r="V8" s="137">
        <v>0.75</v>
      </c>
      <c r="W8" s="137">
        <v>1</v>
      </c>
      <c r="X8" s="137">
        <v>1</v>
      </c>
      <c r="Y8" s="137">
        <v>0.75</v>
      </c>
      <c r="Z8" s="137">
        <v>0.75</v>
      </c>
      <c r="AA8" s="137">
        <v>0.75</v>
      </c>
      <c r="AB8" s="137">
        <v>0</v>
      </c>
      <c r="AC8" s="137">
        <v>0</v>
      </c>
      <c r="AD8" s="137">
        <v>0</v>
      </c>
      <c r="AE8" s="137">
        <v>0.5</v>
      </c>
      <c r="AF8" s="137">
        <v>0</v>
      </c>
      <c r="AG8" s="137">
        <v>1</v>
      </c>
      <c r="AH8" s="137">
        <v>0.75</v>
      </c>
      <c r="AI8" s="137">
        <v>1</v>
      </c>
      <c r="AJ8" s="137">
        <v>0.5</v>
      </c>
      <c r="AK8" s="137">
        <v>1</v>
      </c>
      <c r="AL8" s="137">
        <v>1</v>
      </c>
      <c r="AM8" s="137">
        <v>1</v>
      </c>
      <c r="AN8" s="137">
        <v>0.75</v>
      </c>
      <c r="AO8" s="137">
        <v>0.75</v>
      </c>
      <c r="AP8" s="137">
        <v>0.75</v>
      </c>
      <c r="AQ8" s="137">
        <v>0.75</v>
      </c>
      <c r="AR8" s="137">
        <v>0.75</v>
      </c>
      <c r="AS8" s="137">
        <v>0.75</v>
      </c>
      <c r="AT8" s="137">
        <v>1</v>
      </c>
      <c r="AU8" s="137">
        <v>1</v>
      </c>
      <c r="AV8" s="137">
        <v>0</v>
      </c>
      <c r="AW8" s="137">
        <v>0.70108700000000002</v>
      </c>
      <c r="AX8" s="78"/>
      <c r="AY8" s="279"/>
      <c r="AZ8" s="143" t="s">
        <v>727</v>
      </c>
      <c r="BA8" s="143" t="s">
        <v>728</v>
      </c>
      <c r="BB8" s="78" t="s">
        <v>1124</v>
      </c>
      <c r="BC8" s="78" t="s">
        <v>1125</v>
      </c>
      <c r="BD8" s="78" t="s">
        <v>1126</v>
      </c>
      <c r="BE8" s="78" t="s">
        <v>1127</v>
      </c>
      <c r="BF8" s="78" t="s">
        <v>1128</v>
      </c>
      <c r="BG8" s="78" t="s">
        <v>1129</v>
      </c>
      <c r="BH8" s="78" t="s">
        <v>1130</v>
      </c>
      <c r="BI8" s="78" t="s">
        <v>1131</v>
      </c>
      <c r="BJ8" s="78" t="s">
        <v>1132</v>
      </c>
      <c r="BK8" s="78" t="s">
        <v>1133</v>
      </c>
      <c r="BL8" s="78" t="s">
        <v>1134</v>
      </c>
      <c r="BM8" s="78" t="s">
        <v>1135</v>
      </c>
      <c r="BN8" s="78" t="s">
        <v>1136</v>
      </c>
      <c r="BO8" s="78" t="s">
        <v>1137</v>
      </c>
      <c r="BP8" s="78" t="s">
        <v>1138</v>
      </c>
      <c r="BQ8" s="78" t="s">
        <v>1139</v>
      </c>
      <c r="BR8" s="78" t="s">
        <v>1140</v>
      </c>
      <c r="BS8" s="78" t="s">
        <v>1141</v>
      </c>
      <c r="BT8" s="78" t="s">
        <v>968</v>
      </c>
      <c r="BU8" s="78" t="s">
        <v>1142</v>
      </c>
      <c r="BV8" s="78" t="s">
        <v>1143</v>
      </c>
      <c r="BW8" s="78" t="s">
        <v>1144</v>
      </c>
      <c r="BX8" s="78" t="s">
        <v>1145</v>
      </c>
      <c r="BY8" s="78" t="s">
        <v>1146</v>
      </c>
      <c r="BZ8" s="78" t="s">
        <v>1147</v>
      </c>
      <c r="CA8" s="78" t="s">
        <v>968</v>
      </c>
      <c r="CB8" s="78" t="s">
        <v>968</v>
      </c>
      <c r="CC8" s="78" t="s">
        <v>968</v>
      </c>
      <c r="CD8" s="78" t="s">
        <v>1148</v>
      </c>
      <c r="CE8" s="78" t="s">
        <v>968</v>
      </c>
      <c r="CF8" s="78" t="s">
        <v>1149</v>
      </c>
      <c r="CG8" s="78" t="s">
        <v>1150</v>
      </c>
      <c r="CH8" s="78" t="s">
        <v>1151</v>
      </c>
      <c r="CI8" s="78" t="s">
        <v>1152</v>
      </c>
      <c r="CJ8" s="78" t="s">
        <v>1153</v>
      </c>
      <c r="CK8" s="78" t="s">
        <v>1154</v>
      </c>
      <c r="CL8" s="78" t="s">
        <v>1155</v>
      </c>
      <c r="CM8" s="78" t="s">
        <v>1156</v>
      </c>
      <c r="CN8" s="78" t="s">
        <v>1157</v>
      </c>
      <c r="CO8" s="78" t="s">
        <v>1158</v>
      </c>
      <c r="CP8" s="78" t="s">
        <v>1159</v>
      </c>
      <c r="CQ8" s="78" t="s">
        <v>1160</v>
      </c>
      <c r="CR8" s="78" t="s">
        <v>1161</v>
      </c>
      <c r="CS8" s="78" t="s">
        <v>1162</v>
      </c>
      <c r="CT8" s="78" t="s">
        <v>1163</v>
      </c>
      <c r="CU8" s="78" t="s">
        <v>968</v>
      </c>
    </row>
    <row r="9" spans="1:99" customFormat="1" x14ac:dyDescent="0.35">
      <c r="A9" s="143" t="s">
        <v>729</v>
      </c>
      <c r="B9" s="143" t="s">
        <v>730</v>
      </c>
      <c r="C9" s="137">
        <v>1</v>
      </c>
      <c r="D9" s="137">
        <v>1</v>
      </c>
      <c r="E9" s="137">
        <v>0.8</v>
      </c>
      <c r="F9" s="137">
        <v>0.8</v>
      </c>
      <c r="G9" s="137">
        <v>1</v>
      </c>
      <c r="H9" s="137">
        <v>1</v>
      </c>
      <c r="I9" s="137">
        <v>0.8</v>
      </c>
      <c r="J9" s="137">
        <v>0.8</v>
      </c>
      <c r="K9" s="137">
        <v>1</v>
      </c>
      <c r="L9" s="137">
        <v>1</v>
      </c>
      <c r="M9" s="137">
        <v>0.8</v>
      </c>
      <c r="N9" s="137">
        <v>1</v>
      </c>
      <c r="O9" s="137">
        <v>1</v>
      </c>
      <c r="P9" s="137">
        <v>1</v>
      </c>
      <c r="Q9" s="137">
        <v>0.8</v>
      </c>
      <c r="R9" s="137">
        <v>1</v>
      </c>
      <c r="S9" s="137">
        <v>0.8</v>
      </c>
      <c r="T9" s="137">
        <v>0.8</v>
      </c>
      <c r="U9" s="137">
        <v>0</v>
      </c>
      <c r="V9" s="137">
        <v>1</v>
      </c>
      <c r="W9" s="137">
        <v>1</v>
      </c>
      <c r="X9" s="137">
        <v>1</v>
      </c>
      <c r="Y9" s="137">
        <v>1</v>
      </c>
      <c r="Z9" s="137">
        <v>1</v>
      </c>
      <c r="AA9" s="137">
        <v>1</v>
      </c>
      <c r="AB9" s="137">
        <v>0.4</v>
      </c>
      <c r="AC9" s="137">
        <v>0.8</v>
      </c>
      <c r="AD9" s="137">
        <v>0.8</v>
      </c>
      <c r="AE9" s="137">
        <v>1</v>
      </c>
      <c r="AF9" s="137">
        <v>0</v>
      </c>
      <c r="AG9" s="137">
        <v>0.8</v>
      </c>
      <c r="AH9" s="137">
        <v>1</v>
      </c>
      <c r="AI9" s="137">
        <v>0.8</v>
      </c>
      <c r="AJ9" s="137">
        <v>1</v>
      </c>
      <c r="AK9" s="137">
        <v>1</v>
      </c>
      <c r="AL9" s="137">
        <v>0.8</v>
      </c>
      <c r="AM9" s="137">
        <v>0.8</v>
      </c>
      <c r="AN9" s="137">
        <v>1</v>
      </c>
      <c r="AO9" s="137">
        <v>0.8</v>
      </c>
      <c r="AP9" s="137">
        <v>1</v>
      </c>
      <c r="AQ9" s="137">
        <v>1</v>
      </c>
      <c r="AR9" s="137">
        <v>0.2</v>
      </c>
      <c r="AS9" s="137">
        <v>0.8</v>
      </c>
      <c r="AT9" s="137">
        <v>1</v>
      </c>
      <c r="AU9" s="137">
        <v>1</v>
      </c>
      <c r="AV9" s="137">
        <v>0.2</v>
      </c>
      <c r="AW9" s="137">
        <v>0.83913040000000005</v>
      </c>
      <c r="AX9" s="78"/>
      <c r="AY9" s="279"/>
      <c r="AZ9" s="143" t="s">
        <v>729</v>
      </c>
      <c r="BA9" s="143" t="s">
        <v>730</v>
      </c>
      <c r="BB9" s="78" t="s">
        <v>1164</v>
      </c>
      <c r="BC9" s="78" t="s">
        <v>1165</v>
      </c>
      <c r="BD9" s="78" t="s">
        <v>1166</v>
      </c>
      <c r="BE9" s="78" t="s">
        <v>1167</v>
      </c>
      <c r="BF9" s="78" t="s">
        <v>1168</v>
      </c>
      <c r="BG9" s="78" t="s">
        <v>1169</v>
      </c>
      <c r="BH9" s="78" t="s">
        <v>1170</v>
      </c>
      <c r="BI9" s="78" t="s">
        <v>1171</v>
      </c>
      <c r="BJ9" s="78" t="s">
        <v>1172</v>
      </c>
      <c r="BK9" s="78" t="s">
        <v>1173</v>
      </c>
      <c r="BL9" s="78" t="s">
        <v>1174</v>
      </c>
      <c r="BM9" s="78" t="s">
        <v>1175</v>
      </c>
      <c r="BN9" s="78" t="s">
        <v>1176</v>
      </c>
      <c r="BO9" s="78" t="s">
        <v>1177</v>
      </c>
      <c r="BP9" s="78" t="s">
        <v>1178</v>
      </c>
      <c r="BQ9" s="78" t="s">
        <v>1179</v>
      </c>
      <c r="BR9" s="78" t="s">
        <v>1180</v>
      </c>
      <c r="BS9" s="78" t="s">
        <v>1181</v>
      </c>
      <c r="BT9" s="78" t="s">
        <v>968</v>
      </c>
      <c r="BU9" s="78" t="s">
        <v>1182</v>
      </c>
      <c r="BV9" s="78" t="s">
        <v>1183</v>
      </c>
      <c r="BW9" s="78" t="s">
        <v>1184</v>
      </c>
      <c r="BX9" s="78" t="s">
        <v>1185</v>
      </c>
      <c r="BY9" s="78" t="s">
        <v>1186</v>
      </c>
      <c r="BZ9" s="78" t="s">
        <v>1187</v>
      </c>
      <c r="CA9" s="78" t="s">
        <v>1188</v>
      </c>
      <c r="CB9" s="78" t="s">
        <v>1189</v>
      </c>
      <c r="CC9" s="78" t="s">
        <v>1190</v>
      </c>
      <c r="CD9" s="78" t="s">
        <v>1191</v>
      </c>
      <c r="CE9" s="78" t="s">
        <v>968</v>
      </c>
      <c r="CF9" s="78" t="s">
        <v>1192</v>
      </c>
      <c r="CG9" s="78" t="s">
        <v>1193</v>
      </c>
      <c r="CH9" s="78" t="s">
        <v>1194</v>
      </c>
      <c r="CI9" s="78" t="s">
        <v>1195</v>
      </c>
      <c r="CJ9" s="78" t="s">
        <v>1196</v>
      </c>
      <c r="CK9" s="78" t="s">
        <v>1197</v>
      </c>
      <c r="CL9" s="78" t="s">
        <v>1198</v>
      </c>
      <c r="CM9" s="78" t="s">
        <v>1199</v>
      </c>
      <c r="CN9" s="78" t="s">
        <v>1200</v>
      </c>
      <c r="CO9" s="78" t="s">
        <v>1201</v>
      </c>
      <c r="CP9" s="78" t="s">
        <v>1202</v>
      </c>
      <c r="CQ9" s="78" t="s">
        <v>1203</v>
      </c>
      <c r="CR9" s="78" t="s">
        <v>1204</v>
      </c>
      <c r="CS9" s="78" t="s">
        <v>1205</v>
      </c>
      <c r="CT9" s="78" t="s">
        <v>1206</v>
      </c>
      <c r="CU9" s="78" t="s">
        <v>1082</v>
      </c>
    </row>
    <row r="10" spans="1:99" customFormat="1" x14ac:dyDescent="0.35">
      <c r="A10" s="143" t="s">
        <v>731</v>
      </c>
      <c r="B10" s="143" t="s">
        <v>722</v>
      </c>
      <c r="C10" s="137">
        <v>0.625</v>
      </c>
      <c r="D10" s="137">
        <v>0.5</v>
      </c>
      <c r="E10" s="137">
        <v>0.875</v>
      </c>
      <c r="F10" s="137">
        <v>0.875</v>
      </c>
      <c r="G10" s="137">
        <v>1</v>
      </c>
      <c r="H10" s="137">
        <v>0.875</v>
      </c>
      <c r="I10" s="137">
        <v>0.75</v>
      </c>
      <c r="J10" s="137">
        <v>0.625</v>
      </c>
      <c r="K10" s="137">
        <v>1</v>
      </c>
      <c r="L10" s="137">
        <v>0.875</v>
      </c>
      <c r="M10" s="137">
        <v>0.75</v>
      </c>
      <c r="N10" s="137">
        <v>1</v>
      </c>
      <c r="O10" s="137">
        <v>0.375</v>
      </c>
      <c r="P10" s="137">
        <v>0.875</v>
      </c>
      <c r="Q10" s="137">
        <v>0.625</v>
      </c>
      <c r="R10" s="137">
        <v>0.875</v>
      </c>
      <c r="S10" s="137">
        <v>0.75</v>
      </c>
      <c r="T10" s="137">
        <v>0.125</v>
      </c>
      <c r="U10" s="137">
        <v>0</v>
      </c>
      <c r="V10" s="137">
        <v>1</v>
      </c>
      <c r="W10" s="137">
        <v>1</v>
      </c>
      <c r="X10" s="137">
        <v>0.375</v>
      </c>
      <c r="Y10" s="137">
        <v>0.25</v>
      </c>
      <c r="Z10" s="137">
        <v>0.5</v>
      </c>
      <c r="AA10" s="137">
        <v>0.75</v>
      </c>
      <c r="AB10" s="137">
        <v>0.5</v>
      </c>
      <c r="AC10" s="137">
        <v>0.5</v>
      </c>
      <c r="AD10" s="137">
        <v>0.5</v>
      </c>
      <c r="AE10" s="137">
        <v>0.5</v>
      </c>
      <c r="AF10" s="137">
        <v>0</v>
      </c>
      <c r="AG10" s="137">
        <v>0.625</v>
      </c>
      <c r="AH10" s="137">
        <v>1</v>
      </c>
      <c r="AI10" s="137">
        <v>0.875</v>
      </c>
      <c r="AJ10" s="137">
        <v>0.5</v>
      </c>
      <c r="AK10" s="137">
        <v>0.5</v>
      </c>
      <c r="AL10" s="137">
        <v>0.125</v>
      </c>
      <c r="AM10" s="137">
        <v>0.875</v>
      </c>
      <c r="AN10" s="137">
        <v>1</v>
      </c>
      <c r="AO10" s="137">
        <v>0.625</v>
      </c>
      <c r="AP10" s="137">
        <v>0.75</v>
      </c>
      <c r="AQ10" s="137">
        <v>0.625</v>
      </c>
      <c r="AR10" s="137">
        <v>0.625</v>
      </c>
      <c r="AS10" s="137">
        <v>0.625</v>
      </c>
      <c r="AT10" s="137">
        <v>1</v>
      </c>
      <c r="AU10" s="137">
        <v>1</v>
      </c>
      <c r="AV10" s="137">
        <v>0.125</v>
      </c>
      <c r="AW10" s="137">
        <v>0.65489129999999995</v>
      </c>
      <c r="AX10" s="78"/>
      <c r="AY10" s="279"/>
      <c r="AZ10" s="143" t="s">
        <v>731</v>
      </c>
      <c r="BA10" s="143" t="s">
        <v>722</v>
      </c>
      <c r="BB10" s="78" t="s">
        <v>1207</v>
      </c>
      <c r="BC10" s="78" t="s">
        <v>1208</v>
      </c>
      <c r="BD10" s="78" t="s">
        <v>1209</v>
      </c>
      <c r="BE10" s="78" t="s">
        <v>1210</v>
      </c>
      <c r="BF10" s="78" t="s">
        <v>1211</v>
      </c>
      <c r="BG10" s="78" t="s">
        <v>1212</v>
      </c>
      <c r="BH10" s="78" t="s">
        <v>1213</v>
      </c>
      <c r="BI10" s="78" t="s">
        <v>1214</v>
      </c>
      <c r="BJ10" s="78" t="s">
        <v>1215</v>
      </c>
      <c r="BK10" s="78" t="s">
        <v>1216</v>
      </c>
      <c r="BL10" s="78" t="s">
        <v>1217</v>
      </c>
      <c r="BM10" s="78" t="s">
        <v>1218</v>
      </c>
      <c r="BN10" s="78" t="s">
        <v>1219</v>
      </c>
      <c r="BO10" s="78" t="s">
        <v>1220</v>
      </c>
      <c r="BP10" s="78" t="s">
        <v>1221</v>
      </c>
      <c r="BQ10" s="78" t="s">
        <v>1222</v>
      </c>
      <c r="BR10" s="78" t="s">
        <v>1223</v>
      </c>
      <c r="BS10" s="78" t="s">
        <v>1224</v>
      </c>
      <c r="BT10" s="78" t="s">
        <v>1225</v>
      </c>
      <c r="BU10" s="78" t="s">
        <v>1226</v>
      </c>
      <c r="BV10" s="78" t="s">
        <v>1227</v>
      </c>
      <c r="BW10" s="78" t="s">
        <v>1228</v>
      </c>
      <c r="BX10" s="78" t="s">
        <v>1229</v>
      </c>
      <c r="BY10" s="78" t="s">
        <v>1230</v>
      </c>
      <c r="BZ10" s="78" t="s">
        <v>1231</v>
      </c>
      <c r="CA10" s="78" t="s">
        <v>1232</v>
      </c>
      <c r="CB10" s="78" t="s">
        <v>1233</v>
      </c>
      <c r="CC10" s="78" t="s">
        <v>1234</v>
      </c>
      <c r="CD10" s="78" t="s">
        <v>1235</v>
      </c>
      <c r="CE10" s="78" t="s">
        <v>968</v>
      </c>
      <c r="CF10" s="78" t="s">
        <v>1236</v>
      </c>
      <c r="CG10" s="78" t="s">
        <v>1237</v>
      </c>
      <c r="CH10" s="78" t="s">
        <v>1238</v>
      </c>
      <c r="CI10" s="78" t="s">
        <v>1239</v>
      </c>
      <c r="CJ10" s="78" t="s">
        <v>1240</v>
      </c>
      <c r="CK10" s="78" t="s">
        <v>1241</v>
      </c>
      <c r="CL10" s="78" t="s">
        <v>1242</v>
      </c>
      <c r="CM10" s="78" t="s">
        <v>1243</v>
      </c>
      <c r="CN10" s="78" t="s">
        <v>1244</v>
      </c>
      <c r="CO10" s="78" t="s">
        <v>1245</v>
      </c>
      <c r="CP10" s="78" t="s">
        <v>1246</v>
      </c>
      <c r="CQ10" s="78" t="s">
        <v>1247</v>
      </c>
      <c r="CR10" s="78" t="s">
        <v>1248</v>
      </c>
      <c r="CS10" s="78" t="s">
        <v>1249</v>
      </c>
      <c r="CT10" s="78" t="s">
        <v>1250</v>
      </c>
      <c r="CU10" s="78" t="s">
        <v>1251</v>
      </c>
    </row>
    <row r="11" spans="1:99" customFormat="1" x14ac:dyDescent="0.35">
      <c r="A11" s="143" t="s">
        <v>732</v>
      </c>
      <c r="B11" s="143" t="s">
        <v>730</v>
      </c>
      <c r="C11" s="137">
        <v>1</v>
      </c>
      <c r="D11" s="137">
        <v>0.5</v>
      </c>
      <c r="E11" s="137">
        <v>0.7</v>
      </c>
      <c r="F11" s="137">
        <v>0.8</v>
      </c>
      <c r="G11" s="137">
        <v>1</v>
      </c>
      <c r="H11" s="137">
        <v>0.8</v>
      </c>
      <c r="I11" s="137">
        <v>0.8</v>
      </c>
      <c r="J11" s="137">
        <v>0.6</v>
      </c>
      <c r="K11" s="137">
        <v>1</v>
      </c>
      <c r="L11" s="137">
        <v>0.9</v>
      </c>
      <c r="M11" s="137">
        <v>0.8</v>
      </c>
      <c r="N11" s="137">
        <v>1</v>
      </c>
      <c r="O11" s="137">
        <v>0.9</v>
      </c>
      <c r="P11" s="137">
        <v>0.7</v>
      </c>
      <c r="Q11" s="137">
        <v>0.3</v>
      </c>
      <c r="R11" s="137">
        <v>0.9</v>
      </c>
      <c r="S11" s="137">
        <v>1</v>
      </c>
      <c r="T11" s="137">
        <v>0.3</v>
      </c>
      <c r="U11" s="137">
        <v>0</v>
      </c>
      <c r="V11" s="137">
        <v>0.9</v>
      </c>
      <c r="W11" s="137">
        <v>1</v>
      </c>
      <c r="X11" s="137">
        <v>1</v>
      </c>
      <c r="Y11" s="137">
        <v>0.9</v>
      </c>
      <c r="Z11" s="137">
        <v>1</v>
      </c>
      <c r="AA11" s="137">
        <v>0.8</v>
      </c>
      <c r="AB11" s="137">
        <v>0.3</v>
      </c>
      <c r="AC11" s="137">
        <v>0.5</v>
      </c>
      <c r="AD11" s="137">
        <v>0.4</v>
      </c>
      <c r="AE11" s="137">
        <v>1</v>
      </c>
      <c r="AF11" s="137">
        <v>0</v>
      </c>
      <c r="AG11" s="137">
        <v>0.9</v>
      </c>
      <c r="AH11" s="137">
        <v>1</v>
      </c>
      <c r="AI11" s="137">
        <v>1</v>
      </c>
      <c r="AJ11" s="137">
        <v>0.8</v>
      </c>
      <c r="AK11" s="137">
        <v>1</v>
      </c>
      <c r="AL11" s="137">
        <v>1</v>
      </c>
      <c r="AM11" s="137">
        <v>1</v>
      </c>
      <c r="AN11" s="137">
        <v>1</v>
      </c>
      <c r="AO11" s="137">
        <v>0.8</v>
      </c>
      <c r="AP11" s="137">
        <v>0.8</v>
      </c>
      <c r="AQ11" s="137">
        <v>1</v>
      </c>
      <c r="AR11" s="137">
        <v>0.5</v>
      </c>
      <c r="AS11" s="137">
        <v>0.7</v>
      </c>
      <c r="AT11" s="137">
        <v>0.8</v>
      </c>
      <c r="AU11" s="137">
        <v>0.3</v>
      </c>
      <c r="AV11" s="137">
        <v>0.6</v>
      </c>
      <c r="AW11" s="137">
        <v>0.76086960000000003</v>
      </c>
      <c r="AX11" s="78"/>
      <c r="AY11" s="279"/>
      <c r="AZ11" s="143" t="s">
        <v>732</v>
      </c>
      <c r="BA11" s="143" t="s">
        <v>730</v>
      </c>
      <c r="BB11" s="78" t="s">
        <v>1252</v>
      </c>
      <c r="BC11" s="78" t="s">
        <v>1253</v>
      </c>
      <c r="BD11" s="78" t="s">
        <v>1254</v>
      </c>
      <c r="BE11" s="78" t="s">
        <v>1255</v>
      </c>
      <c r="BF11" s="78" t="s">
        <v>1256</v>
      </c>
      <c r="BG11" s="78" t="s">
        <v>1257</v>
      </c>
      <c r="BH11" s="78" t="s">
        <v>1258</v>
      </c>
      <c r="BI11" s="78" t="s">
        <v>1259</v>
      </c>
      <c r="BJ11" s="78" t="s">
        <v>1260</v>
      </c>
      <c r="BK11" s="78" t="s">
        <v>1261</v>
      </c>
      <c r="BL11" s="78" t="s">
        <v>1262</v>
      </c>
      <c r="BM11" s="78" t="s">
        <v>1263</v>
      </c>
      <c r="BN11" s="78" t="s">
        <v>1264</v>
      </c>
      <c r="BO11" s="78" t="s">
        <v>1265</v>
      </c>
      <c r="BP11" s="78" t="s">
        <v>1266</v>
      </c>
      <c r="BQ11" s="78" t="s">
        <v>1267</v>
      </c>
      <c r="BR11" s="78" t="s">
        <v>1268</v>
      </c>
      <c r="BS11" s="78" t="s">
        <v>1269</v>
      </c>
      <c r="BT11" s="78" t="s">
        <v>968</v>
      </c>
      <c r="BU11" s="78" t="s">
        <v>1270</v>
      </c>
      <c r="BV11" s="78" t="s">
        <v>1271</v>
      </c>
      <c r="BW11" s="78" t="s">
        <v>1272</v>
      </c>
      <c r="BX11" s="78" t="s">
        <v>1273</v>
      </c>
      <c r="BY11" s="78" t="s">
        <v>1274</v>
      </c>
      <c r="BZ11" s="78" t="s">
        <v>1275</v>
      </c>
      <c r="CA11" s="78" t="s">
        <v>1276</v>
      </c>
      <c r="CB11" s="78" t="s">
        <v>1277</v>
      </c>
      <c r="CC11" s="78" t="s">
        <v>1278</v>
      </c>
      <c r="CD11" s="78" t="s">
        <v>1279</v>
      </c>
      <c r="CE11" s="78" t="s">
        <v>968</v>
      </c>
      <c r="CF11" s="78" t="s">
        <v>1280</v>
      </c>
      <c r="CG11" s="78" t="s">
        <v>1281</v>
      </c>
      <c r="CH11" s="78" t="s">
        <v>1282</v>
      </c>
      <c r="CI11" s="78" t="s">
        <v>1283</v>
      </c>
      <c r="CJ11" s="78" t="s">
        <v>1284</v>
      </c>
      <c r="CK11" s="78" t="s">
        <v>1285</v>
      </c>
      <c r="CL11" s="78" t="s">
        <v>1286</v>
      </c>
      <c r="CM11" s="78" t="s">
        <v>1287</v>
      </c>
      <c r="CN11" s="78" t="s">
        <v>1288</v>
      </c>
      <c r="CO11" s="78" t="s">
        <v>1289</v>
      </c>
      <c r="CP11" s="78" t="s">
        <v>1290</v>
      </c>
      <c r="CQ11" s="78" t="s">
        <v>1291</v>
      </c>
      <c r="CR11" s="78" t="s">
        <v>1292</v>
      </c>
      <c r="CS11" s="78" t="s">
        <v>1293</v>
      </c>
      <c r="CT11" s="78" t="s">
        <v>1294</v>
      </c>
      <c r="CU11" s="78" t="s">
        <v>1295</v>
      </c>
    </row>
    <row r="12" spans="1:99" customFormat="1" x14ac:dyDescent="0.35">
      <c r="A12" s="143" t="s">
        <v>733</v>
      </c>
      <c r="B12" s="143" t="s">
        <v>734</v>
      </c>
      <c r="C12" s="137">
        <v>1</v>
      </c>
      <c r="D12" s="137">
        <v>1</v>
      </c>
      <c r="E12" s="137">
        <v>1</v>
      </c>
      <c r="F12" s="137">
        <v>0.75</v>
      </c>
      <c r="G12" s="137">
        <v>1</v>
      </c>
      <c r="H12" s="137">
        <v>1</v>
      </c>
      <c r="I12" s="137">
        <v>1</v>
      </c>
      <c r="J12" s="137">
        <v>1</v>
      </c>
      <c r="K12" s="137">
        <v>1</v>
      </c>
      <c r="L12" s="137">
        <v>1</v>
      </c>
      <c r="M12" s="137">
        <v>1</v>
      </c>
      <c r="N12" s="137">
        <v>1</v>
      </c>
      <c r="O12" s="137">
        <v>1</v>
      </c>
      <c r="P12" s="137">
        <v>1</v>
      </c>
      <c r="Q12" s="137">
        <v>0.5</v>
      </c>
      <c r="R12" s="137">
        <v>1</v>
      </c>
      <c r="S12" s="137">
        <v>1</v>
      </c>
      <c r="T12" s="137">
        <v>1</v>
      </c>
      <c r="U12" s="137">
        <v>0</v>
      </c>
      <c r="V12" s="137">
        <v>1</v>
      </c>
      <c r="W12" s="137">
        <v>1</v>
      </c>
      <c r="X12" s="137">
        <v>1</v>
      </c>
      <c r="Y12" s="137">
        <v>0.75</v>
      </c>
      <c r="Z12" s="137">
        <v>1</v>
      </c>
      <c r="AA12" s="137">
        <v>1</v>
      </c>
      <c r="AB12" s="137">
        <v>0.25</v>
      </c>
      <c r="AC12" s="137">
        <v>0.75</v>
      </c>
      <c r="AD12" s="137">
        <v>0.75</v>
      </c>
      <c r="AE12" s="137">
        <v>1</v>
      </c>
      <c r="AF12" s="137">
        <v>0</v>
      </c>
      <c r="AG12" s="137">
        <v>1</v>
      </c>
      <c r="AH12" s="137">
        <v>0.75</v>
      </c>
      <c r="AI12" s="137">
        <v>1</v>
      </c>
      <c r="AJ12" s="137">
        <v>1</v>
      </c>
      <c r="AK12" s="137">
        <v>1</v>
      </c>
      <c r="AL12" s="137">
        <v>1</v>
      </c>
      <c r="AM12" s="137">
        <v>1</v>
      </c>
      <c r="AN12" s="137">
        <v>1</v>
      </c>
      <c r="AO12" s="137">
        <v>1</v>
      </c>
      <c r="AP12" s="137">
        <v>1</v>
      </c>
      <c r="AQ12" s="137">
        <v>1</v>
      </c>
      <c r="AR12" s="137">
        <v>1</v>
      </c>
      <c r="AS12" s="137">
        <v>1</v>
      </c>
      <c r="AT12" s="137">
        <v>1</v>
      </c>
      <c r="AU12" s="137">
        <v>1</v>
      </c>
      <c r="AV12" s="137">
        <v>0.25</v>
      </c>
      <c r="AW12" s="137">
        <v>0.88586960000000003</v>
      </c>
      <c r="AX12" s="78"/>
      <c r="AY12" s="279"/>
      <c r="AZ12" s="143" t="s">
        <v>733</v>
      </c>
      <c r="BA12" s="143" t="s">
        <v>734</v>
      </c>
      <c r="BB12" s="78" t="s">
        <v>2749</v>
      </c>
      <c r="BC12" s="78" t="s">
        <v>2750</v>
      </c>
      <c r="BD12" s="78" t="s">
        <v>2751</v>
      </c>
      <c r="BE12" s="78" t="s">
        <v>2752</v>
      </c>
      <c r="BF12" s="78" t="s">
        <v>2753</v>
      </c>
      <c r="BG12" s="78" t="s">
        <v>2754</v>
      </c>
      <c r="BH12" s="78" t="s">
        <v>2755</v>
      </c>
      <c r="BI12" s="78" t="s">
        <v>2756</v>
      </c>
      <c r="BJ12" s="78" t="s">
        <v>2757</v>
      </c>
      <c r="BK12" s="78" t="s">
        <v>2758</v>
      </c>
      <c r="BL12" s="78" t="s">
        <v>2759</v>
      </c>
      <c r="BM12" s="78" t="s">
        <v>2760</v>
      </c>
      <c r="BN12" s="78" t="s">
        <v>2761</v>
      </c>
      <c r="BO12" s="78" t="s">
        <v>2762</v>
      </c>
      <c r="BP12" s="78" t="s">
        <v>1296</v>
      </c>
      <c r="BQ12" s="78" t="s">
        <v>2763</v>
      </c>
      <c r="BR12" s="78" t="s">
        <v>2764</v>
      </c>
      <c r="BS12" s="78" t="s">
        <v>2765</v>
      </c>
      <c r="BT12" s="78" t="s">
        <v>968</v>
      </c>
      <c r="BU12" s="78" t="s">
        <v>2766</v>
      </c>
      <c r="BV12" s="78" t="s">
        <v>2767</v>
      </c>
      <c r="BW12" s="78" t="s">
        <v>2768</v>
      </c>
      <c r="BX12" s="78" t="s">
        <v>2769</v>
      </c>
      <c r="BY12" s="78" t="s">
        <v>2770</v>
      </c>
      <c r="BZ12" s="78" t="s">
        <v>2771</v>
      </c>
      <c r="CA12" s="78" t="s">
        <v>1297</v>
      </c>
      <c r="CB12" s="78" t="s">
        <v>2772</v>
      </c>
      <c r="CC12" s="78" t="s">
        <v>2773</v>
      </c>
      <c r="CD12" s="78" t="s">
        <v>2774</v>
      </c>
      <c r="CE12" s="78" t="s">
        <v>968</v>
      </c>
      <c r="CF12" s="78" t="s">
        <v>2775</v>
      </c>
      <c r="CG12" s="78" t="s">
        <v>2776</v>
      </c>
      <c r="CH12" s="78" t="s">
        <v>2777</v>
      </c>
      <c r="CI12" s="78" t="s">
        <v>2778</v>
      </c>
      <c r="CJ12" s="78" t="s">
        <v>2779</v>
      </c>
      <c r="CK12" s="78" t="s">
        <v>2780</v>
      </c>
      <c r="CL12" s="78" t="s">
        <v>2781</v>
      </c>
      <c r="CM12" s="78" t="s">
        <v>2782</v>
      </c>
      <c r="CN12" s="78" t="s">
        <v>2783</v>
      </c>
      <c r="CO12" s="78" t="s">
        <v>2784</v>
      </c>
      <c r="CP12" s="78" t="s">
        <v>2785</v>
      </c>
      <c r="CQ12" s="78" t="s">
        <v>2786</v>
      </c>
      <c r="CR12" s="78" t="s">
        <v>2787</v>
      </c>
      <c r="CS12" s="78" t="s">
        <v>2788</v>
      </c>
      <c r="CT12" s="78" t="s">
        <v>2789</v>
      </c>
      <c r="CU12" s="78" t="s">
        <v>2790</v>
      </c>
    </row>
    <row r="13" spans="1:99" customFormat="1" x14ac:dyDescent="0.35">
      <c r="A13" s="143" t="s">
        <v>735</v>
      </c>
      <c r="B13" s="143" t="s">
        <v>736</v>
      </c>
      <c r="C13" s="137">
        <v>1</v>
      </c>
      <c r="D13" s="137">
        <v>1</v>
      </c>
      <c r="E13" s="137">
        <v>1</v>
      </c>
      <c r="F13" s="137">
        <v>0.55555560000000004</v>
      </c>
      <c r="G13" s="137">
        <v>0.88888889999999998</v>
      </c>
      <c r="H13" s="137">
        <v>1</v>
      </c>
      <c r="I13" s="137">
        <v>0.88888889999999998</v>
      </c>
      <c r="J13" s="137">
        <v>0.77777779999999996</v>
      </c>
      <c r="K13" s="137">
        <v>1</v>
      </c>
      <c r="L13" s="137">
        <v>1</v>
      </c>
      <c r="M13" s="137">
        <v>0.88888889999999998</v>
      </c>
      <c r="N13" s="137">
        <v>0.77777779999999996</v>
      </c>
      <c r="O13" s="137">
        <v>0.88888889999999998</v>
      </c>
      <c r="P13" s="137">
        <v>0.77777779999999996</v>
      </c>
      <c r="Q13" s="137">
        <v>0</v>
      </c>
      <c r="R13" s="137">
        <v>1</v>
      </c>
      <c r="S13" s="137">
        <v>0.88888889999999998</v>
      </c>
      <c r="T13" s="137">
        <v>0.55555560000000004</v>
      </c>
      <c r="U13" s="137">
        <v>0</v>
      </c>
      <c r="V13" s="137">
        <v>1</v>
      </c>
      <c r="W13" s="137">
        <v>1</v>
      </c>
      <c r="X13" s="137">
        <v>0.44444440000000002</v>
      </c>
      <c r="Y13" s="137">
        <v>0.44444440000000002</v>
      </c>
      <c r="Z13" s="137">
        <v>0.88888889999999998</v>
      </c>
      <c r="AA13" s="137">
        <v>0.66666669999999995</v>
      </c>
      <c r="AB13" s="137">
        <v>0.22222220000000001</v>
      </c>
      <c r="AC13" s="137">
        <v>0.22222220000000001</v>
      </c>
      <c r="AD13" s="137">
        <v>0.22222220000000001</v>
      </c>
      <c r="AE13" s="137">
        <v>0.44444440000000002</v>
      </c>
      <c r="AF13" s="137">
        <v>0</v>
      </c>
      <c r="AG13" s="137">
        <v>0.88888889999999998</v>
      </c>
      <c r="AH13" s="137">
        <v>0.88888889999999998</v>
      </c>
      <c r="AI13" s="137">
        <v>0.77777779999999996</v>
      </c>
      <c r="AJ13" s="137">
        <v>0.66666669999999995</v>
      </c>
      <c r="AK13" s="137">
        <v>0.1111111</v>
      </c>
      <c r="AL13" s="137">
        <v>0.55555560000000004</v>
      </c>
      <c r="AM13" s="137">
        <v>0.77777779999999996</v>
      </c>
      <c r="AN13" s="137">
        <v>1</v>
      </c>
      <c r="AO13" s="137">
        <v>1</v>
      </c>
      <c r="AP13" s="137">
        <v>0.88888889999999998</v>
      </c>
      <c r="AQ13" s="137">
        <v>0.77777779999999996</v>
      </c>
      <c r="AR13" s="137">
        <v>0.44444440000000002</v>
      </c>
      <c r="AS13" s="137">
        <v>1</v>
      </c>
      <c r="AT13" s="137">
        <v>0.88888889999999998</v>
      </c>
      <c r="AU13" s="137">
        <v>0.77777779999999996</v>
      </c>
      <c r="AV13" s="137">
        <v>1</v>
      </c>
      <c r="AW13" s="137">
        <v>0.71497580000000005</v>
      </c>
      <c r="AX13" s="78"/>
      <c r="AY13" s="279"/>
      <c r="AZ13" s="143" t="s">
        <v>735</v>
      </c>
      <c r="BA13" s="143" t="s">
        <v>736</v>
      </c>
      <c r="BB13" s="78" t="s">
        <v>1299</v>
      </c>
      <c r="BC13" s="78" t="s">
        <v>1300</v>
      </c>
      <c r="BD13" s="78" t="s">
        <v>1301</v>
      </c>
      <c r="BE13" s="78" t="s">
        <v>1302</v>
      </c>
      <c r="BF13" s="78" t="s">
        <v>1303</v>
      </c>
      <c r="BG13" s="78" t="s">
        <v>1304</v>
      </c>
      <c r="BH13" s="78" t="s">
        <v>1305</v>
      </c>
      <c r="BI13" s="78" t="s">
        <v>1306</v>
      </c>
      <c r="BJ13" s="78" t="s">
        <v>1307</v>
      </c>
      <c r="BK13" s="78" t="s">
        <v>1308</v>
      </c>
      <c r="BL13" s="78" t="s">
        <v>1309</v>
      </c>
      <c r="BM13" s="78" t="s">
        <v>1310</v>
      </c>
      <c r="BN13" s="78" t="s">
        <v>1311</v>
      </c>
      <c r="BO13" s="78" t="s">
        <v>1312</v>
      </c>
      <c r="BP13" s="78" t="s">
        <v>968</v>
      </c>
      <c r="BQ13" s="78" t="s">
        <v>1313</v>
      </c>
      <c r="BR13" s="78" t="s">
        <v>1314</v>
      </c>
      <c r="BS13" s="78" t="s">
        <v>1315</v>
      </c>
      <c r="BT13" s="78" t="s">
        <v>968</v>
      </c>
      <c r="BU13" s="78" t="s">
        <v>1316</v>
      </c>
      <c r="BV13" s="78" t="s">
        <v>1317</v>
      </c>
      <c r="BW13" s="78" t="s">
        <v>1318</v>
      </c>
      <c r="BX13" s="78" t="s">
        <v>1319</v>
      </c>
      <c r="BY13" s="78" t="s">
        <v>1320</v>
      </c>
      <c r="BZ13" s="78" t="s">
        <v>1321</v>
      </c>
      <c r="CA13" s="78" t="s">
        <v>1322</v>
      </c>
      <c r="CB13" s="78" t="s">
        <v>1323</v>
      </c>
      <c r="CC13" s="78" t="s">
        <v>1324</v>
      </c>
      <c r="CD13" s="78" t="s">
        <v>1325</v>
      </c>
      <c r="CE13" s="78" t="s">
        <v>1326</v>
      </c>
      <c r="CF13" s="78" t="s">
        <v>1327</v>
      </c>
      <c r="CG13" s="78" t="s">
        <v>1328</v>
      </c>
      <c r="CH13" s="78" t="s">
        <v>1329</v>
      </c>
      <c r="CI13" s="78" t="s">
        <v>1330</v>
      </c>
      <c r="CJ13" s="78" t="s">
        <v>1331</v>
      </c>
      <c r="CK13" s="78" t="s">
        <v>1332</v>
      </c>
      <c r="CL13" s="78" t="s">
        <v>1333</v>
      </c>
      <c r="CM13" s="78" t="s">
        <v>1334</v>
      </c>
      <c r="CN13" s="78" t="s">
        <v>1335</v>
      </c>
      <c r="CO13" s="78" t="s">
        <v>1336</v>
      </c>
      <c r="CP13" s="78" t="s">
        <v>1337</v>
      </c>
      <c r="CQ13" s="78" t="s">
        <v>1338</v>
      </c>
      <c r="CR13" s="78" t="s">
        <v>1339</v>
      </c>
      <c r="CS13" s="78" t="s">
        <v>1340</v>
      </c>
      <c r="CT13" s="78" t="s">
        <v>1341</v>
      </c>
      <c r="CU13" s="78" t="s">
        <v>1342</v>
      </c>
    </row>
    <row r="14" spans="1:99" customFormat="1" x14ac:dyDescent="0.35">
      <c r="A14" s="143" t="s">
        <v>737</v>
      </c>
      <c r="B14" s="143" t="s">
        <v>736</v>
      </c>
      <c r="C14" s="137">
        <v>0.7</v>
      </c>
      <c r="D14" s="137">
        <v>1</v>
      </c>
      <c r="E14" s="137">
        <v>0.9</v>
      </c>
      <c r="F14" s="137">
        <v>1</v>
      </c>
      <c r="G14" s="137">
        <v>1</v>
      </c>
      <c r="H14" s="137">
        <v>1</v>
      </c>
      <c r="I14" s="137">
        <v>1</v>
      </c>
      <c r="J14" s="137">
        <v>1</v>
      </c>
      <c r="K14" s="137">
        <v>0.9</v>
      </c>
      <c r="L14" s="137">
        <v>0.8</v>
      </c>
      <c r="M14" s="137">
        <v>1</v>
      </c>
      <c r="N14" s="137">
        <v>1</v>
      </c>
      <c r="O14" s="137">
        <v>0.9</v>
      </c>
      <c r="P14" s="137">
        <v>1</v>
      </c>
      <c r="Q14" s="137">
        <v>0.2</v>
      </c>
      <c r="R14" s="137">
        <v>1</v>
      </c>
      <c r="S14" s="137">
        <v>0.9</v>
      </c>
      <c r="T14" s="137">
        <v>0.6</v>
      </c>
      <c r="U14" s="137">
        <v>0</v>
      </c>
      <c r="V14" s="137">
        <v>1</v>
      </c>
      <c r="W14" s="137">
        <v>0.9</v>
      </c>
      <c r="X14" s="137">
        <v>0.3</v>
      </c>
      <c r="Y14" s="137">
        <v>1</v>
      </c>
      <c r="Z14" s="137">
        <v>1</v>
      </c>
      <c r="AA14" s="137">
        <v>1</v>
      </c>
      <c r="AB14" s="137">
        <v>0.3</v>
      </c>
      <c r="AC14" s="137">
        <v>0.8</v>
      </c>
      <c r="AD14" s="137">
        <v>0.8</v>
      </c>
      <c r="AE14" s="137">
        <v>0.5</v>
      </c>
      <c r="AF14" s="137">
        <v>0</v>
      </c>
      <c r="AG14" s="137">
        <v>1</v>
      </c>
      <c r="AH14" s="137">
        <v>0.4</v>
      </c>
      <c r="AI14" s="137">
        <v>1</v>
      </c>
      <c r="AJ14" s="137">
        <v>0.8</v>
      </c>
      <c r="AK14" s="137">
        <v>0.8</v>
      </c>
      <c r="AL14" s="137">
        <v>0.7</v>
      </c>
      <c r="AM14" s="137">
        <v>0.9</v>
      </c>
      <c r="AN14" s="137">
        <v>0.9</v>
      </c>
      <c r="AO14" s="137">
        <v>0.9</v>
      </c>
      <c r="AP14" s="137">
        <v>1</v>
      </c>
      <c r="AQ14" s="137">
        <v>0.9</v>
      </c>
      <c r="AR14" s="137">
        <v>0.9</v>
      </c>
      <c r="AS14" s="137">
        <v>1</v>
      </c>
      <c r="AT14" s="137">
        <v>1</v>
      </c>
      <c r="AU14" s="137">
        <v>0.9</v>
      </c>
      <c r="AV14" s="137">
        <v>0.2</v>
      </c>
      <c r="AW14" s="137">
        <v>0.8</v>
      </c>
      <c r="AX14" s="78"/>
      <c r="AY14" s="279"/>
      <c r="AZ14" s="143" t="s">
        <v>737</v>
      </c>
      <c r="BA14" s="143" t="s">
        <v>736</v>
      </c>
      <c r="BB14" s="78" t="s">
        <v>1343</v>
      </c>
      <c r="BC14" s="78" t="s">
        <v>1344</v>
      </c>
      <c r="BD14" s="78" t="s">
        <v>1345</v>
      </c>
      <c r="BE14" s="78" t="s">
        <v>1346</v>
      </c>
      <c r="BF14" s="78" t="s">
        <v>1347</v>
      </c>
      <c r="BG14" s="78" t="s">
        <v>1348</v>
      </c>
      <c r="BH14" s="78" t="s">
        <v>1349</v>
      </c>
      <c r="BI14" s="78" t="s">
        <v>1350</v>
      </c>
      <c r="BJ14" s="78" t="s">
        <v>1351</v>
      </c>
      <c r="BK14" s="78" t="s">
        <v>1352</v>
      </c>
      <c r="BL14" s="78" t="s">
        <v>1353</v>
      </c>
      <c r="BM14" s="78" t="s">
        <v>1354</v>
      </c>
      <c r="BN14" s="78" t="s">
        <v>1355</v>
      </c>
      <c r="BO14" s="78" t="s">
        <v>1356</v>
      </c>
      <c r="BP14" s="78" t="s">
        <v>1357</v>
      </c>
      <c r="BQ14" s="78" t="s">
        <v>1358</v>
      </c>
      <c r="BR14" s="78" t="s">
        <v>1359</v>
      </c>
      <c r="BS14" s="78" t="s">
        <v>1360</v>
      </c>
      <c r="BT14" s="78" t="s">
        <v>968</v>
      </c>
      <c r="BU14" s="78" t="s">
        <v>1361</v>
      </c>
      <c r="BV14" s="78" t="s">
        <v>1362</v>
      </c>
      <c r="BW14" s="78" t="s">
        <v>1363</v>
      </c>
      <c r="BX14" s="78" t="s">
        <v>1364</v>
      </c>
      <c r="BY14" s="78" t="s">
        <v>1365</v>
      </c>
      <c r="BZ14" s="78" t="s">
        <v>1366</v>
      </c>
      <c r="CA14" s="78" t="s">
        <v>957</v>
      </c>
      <c r="CB14" s="78" t="s">
        <v>1367</v>
      </c>
      <c r="CC14" s="78" t="s">
        <v>1368</v>
      </c>
      <c r="CD14" s="78" t="s">
        <v>1369</v>
      </c>
      <c r="CE14" s="78" t="s">
        <v>968</v>
      </c>
      <c r="CF14" s="78" t="s">
        <v>1370</v>
      </c>
      <c r="CG14" s="78" t="s">
        <v>1371</v>
      </c>
      <c r="CH14" s="78" t="s">
        <v>1372</v>
      </c>
      <c r="CI14" s="78" t="s">
        <v>1373</v>
      </c>
      <c r="CJ14" s="78" t="s">
        <v>1374</v>
      </c>
      <c r="CK14" s="78" t="s">
        <v>1375</v>
      </c>
      <c r="CL14" s="78" t="s">
        <v>1376</v>
      </c>
      <c r="CM14" s="78" t="s">
        <v>1377</v>
      </c>
      <c r="CN14" s="78" t="s">
        <v>1378</v>
      </c>
      <c r="CO14" s="78" t="s">
        <v>1379</v>
      </c>
      <c r="CP14" s="78" t="s">
        <v>1380</v>
      </c>
      <c r="CQ14" s="78" t="s">
        <v>1381</v>
      </c>
      <c r="CR14" s="78" t="s">
        <v>1382</v>
      </c>
      <c r="CS14" s="78" t="s">
        <v>1383</v>
      </c>
      <c r="CT14" s="78" t="s">
        <v>1298</v>
      </c>
      <c r="CU14" s="78" t="s">
        <v>1384</v>
      </c>
    </row>
    <row r="15" spans="1:99" customFormat="1" x14ac:dyDescent="0.35">
      <c r="A15" s="143" t="s">
        <v>738</v>
      </c>
      <c r="B15" s="143" t="s">
        <v>722</v>
      </c>
      <c r="C15" s="137">
        <v>0.66666669999999995</v>
      </c>
      <c r="D15" s="137">
        <v>0.66666669999999995</v>
      </c>
      <c r="E15" s="137">
        <v>0.83333330000000005</v>
      </c>
      <c r="F15" s="137">
        <v>0.66666669999999995</v>
      </c>
      <c r="G15" s="137">
        <v>1</v>
      </c>
      <c r="H15" s="137">
        <v>1</v>
      </c>
      <c r="I15" s="137">
        <v>0.83333330000000005</v>
      </c>
      <c r="J15" s="137">
        <v>0.66666669999999995</v>
      </c>
      <c r="K15" s="137">
        <v>1</v>
      </c>
      <c r="L15" s="137">
        <v>0.83333330000000005</v>
      </c>
      <c r="M15" s="137">
        <v>1</v>
      </c>
      <c r="N15" s="137">
        <v>1</v>
      </c>
      <c r="O15" s="137">
        <v>0.66666669999999995</v>
      </c>
      <c r="P15" s="137">
        <v>0.83333330000000005</v>
      </c>
      <c r="Q15" s="137">
        <v>0.1666667</v>
      </c>
      <c r="R15" s="137">
        <v>0.83333330000000005</v>
      </c>
      <c r="S15" s="137">
        <v>0.83333330000000005</v>
      </c>
      <c r="T15" s="137">
        <v>0.3333333</v>
      </c>
      <c r="U15" s="137">
        <v>0</v>
      </c>
      <c r="V15" s="137">
        <v>1</v>
      </c>
      <c r="W15" s="137">
        <v>0.83333330000000005</v>
      </c>
      <c r="X15" s="137">
        <v>0.3333333</v>
      </c>
      <c r="Y15" s="137">
        <v>0</v>
      </c>
      <c r="Z15" s="137">
        <v>1</v>
      </c>
      <c r="AA15" s="137">
        <v>0.66666669999999995</v>
      </c>
      <c r="AB15" s="137">
        <v>0.3333333</v>
      </c>
      <c r="AC15" s="137">
        <v>0.5</v>
      </c>
      <c r="AD15" s="137">
        <v>0.3333333</v>
      </c>
      <c r="AE15" s="137">
        <v>0.5</v>
      </c>
      <c r="AF15" s="137">
        <v>0</v>
      </c>
      <c r="AG15" s="137">
        <v>1</v>
      </c>
      <c r="AH15" s="137">
        <v>1</v>
      </c>
      <c r="AI15" s="137">
        <v>0.83333330000000005</v>
      </c>
      <c r="AJ15" s="137">
        <v>0.83333330000000005</v>
      </c>
      <c r="AK15" s="137">
        <v>1</v>
      </c>
      <c r="AL15" s="137">
        <v>1</v>
      </c>
      <c r="AM15" s="137">
        <v>1</v>
      </c>
      <c r="AN15" s="137">
        <v>1</v>
      </c>
      <c r="AO15" s="137">
        <v>0.83333330000000005</v>
      </c>
      <c r="AP15" s="137">
        <v>0.66666669999999995</v>
      </c>
      <c r="AQ15" s="137">
        <v>0.5</v>
      </c>
      <c r="AR15" s="137">
        <v>0.1666667</v>
      </c>
      <c r="AS15" s="137">
        <v>0.83333330000000005</v>
      </c>
      <c r="AT15" s="137">
        <v>1</v>
      </c>
      <c r="AU15" s="137">
        <v>1</v>
      </c>
      <c r="AV15" s="137">
        <v>0</v>
      </c>
      <c r="AW15" s="137">
        <v>0.69565220000000005</v>
      </c>
      <c r="AX15" s="78"/>
      <c r="AY15" s="279"/>
      <c r="AZ15" s="143" t="s">
        <v>738</v>
      </c>
      <c r="BA15" s="143" t="s">
        <v>722</v>
      </c>
      <c r="BB15" s="78" t="s">
        <v>1385</v>
      </c>
      <c r="BC15" s="78" t="s">
        <v>1386</v>
      </c>
      <c r="BD15" s="78" t="s">
        <v>1387</v>
      </c>
      <c r="BE15" s="78" t="s">
        <v>1388</v>
      </c>
      <c r="BF15" s="78" t="s">
        <v>1389</v>
      </c>
      <c r="BG15" s="78" t="s">
        <v>1390</v>
      </c>
      <c r="BH15" s="78" t="s">
        <v>1391</v>
      </c>
      <c r="BI15" s="78" t="s">
        <v>1392</v>
      </c>
      <c r="BJ15" s="78" t="s">
        <v>1393</v>
      </c>
      <c r="BK15" s="78" t="s">
        <v>1394</v>
      </c>
      <c r="BL15" s="78" t="s">
        <v>1395</v>
      </c>
      <c r="BM15" s="78" t="s">
        <v>1396</v>
      </c>
      <c r="BN15" s="78" t="s">
        <v>1397</v>
      </c>
      <c r="BO15" s="78" t="s">
        <v>1398</v>
      </c>
      <c r="BP15" s="78" t="s">
        <v>1399</v>
      </c>
      <c r="BQ15" s="78" t="s">
        <v>1400</v>
      </c>
      <c r="BR15" s="78" t="s">
        <v>1401</v>
      </c>
      <c r="BS15" s="78" t="s">
        <v>1402</v>
      </c>
      <c r="BT15" s="78" t="s">
        <v>968</v>
      </c>
      <c r="BU15" s="78" t="s">
        <v>1403</v>
      </c>
      <c r="BV15" s="78" t="s">
        <v>1404</v>
      </c>
      <c r="BW15" s="78" t="s">
        <v>1405</v>
      </c>
      <c r="BX15" s="78" t="s">
        <v>1406</v>
      </c>
      <c r="BY15" s="78" t="s">
        <v>1407</v>
      </c>
      <c r="BZ15" s="78" t="s">
        <v>1408</v>
      </c>
      <c r="CA15" s="78" t="s">
        <v>1409</v>
      </c>
      <c r="CB15" s="78" t="s">
        <v>1410</v>
      </c>
      <c r="CC15" s="78" t="s">
        <v>1411</v>
      </c>
      <c r="CD15" s="78" t="s">
        <v>1412</v>
      </c>
      <c r="CE15" s="78" t="s">
        <v>968</v>
      </c>
      <c r="CF15" s="78" t="s">
        <v>1413</v>
      </c>
      <c r="CG15" s="78" t="s">
        <v>1414</v>
      </c>
      <c r="CH15" s="78" t="s">
        <v>1415</v>
      </c>
      <c r="CI15" s="78" t="s">
        <v>1416</v>
      </c>
      <c r="CJ15" s="78" t="s">
        <v>1417</v>
      </c>
      <c r="CK15" s="78" t="s">
        <v>1418</v>
      </c>
      <c r="CL15" s="78" t="s">
        <v>1419</v>
      </c>
      <c r="CM15" s="78" t="s">
        <v>1420</v>
      </c>
      <c r="CN15" s="78" t="s">
        <v>1421</v>
      </c>
      <c r="CO15" s="78" t="s">
        <v>1422</v>
      </c>
      <c r="CP15" s="78" t="s">
        <v>1423</v>
      </c>
      <c r="CQ15" s="78" t="s">
        <v>1331</v>
      </c>
      <c r="CR15" s="78" t="s">
        <v>1424</v>
      </c>
      <c r="CS15" s="78" t="s">
        <v>1425</v>
      </c>
      <c r="CT15" s="78" t="s">
        <v>1426</v>
      </c>
      <c r="CU15" s="78" t="s">
        <v>968</v>
      </c>
    </row>
    <row r="16" spans="1:99" customFormat="1" x14ac:dyDescent="0.35">
      <c r="A16" s="143" t="s">
        <v>739</v>
      </c>
      <c r="B16" s="143" t="s">
        <v>720</v>
      </c>
      <c r="C16" s="137">
        <v>1</v>
      </c>
      <c r="D16" s="137">
        <v>0.44444440000000002</v>
      </c>
      <c r="E16" s="137">
        <v>0.88888889999999998</v>
      </c>
      <c r="F16" s="137">
        <v>0.77777779999999996</v>
      </c>
      <c r="G16" s="137">
        <v>1</v>
      </c>
      <c r="H16" s="137">
        <v>1</v>
      </c>
      <c r="I16" s="137">
        <v>0.77777779999999996</v>
      </c>
      <c r="J16" s="137">
        <v>1</v>
      </c>
      <c r="K16" s="137">
        <v>1</v>
      </c>
      <c r="L16" s="137">
        <v>1</v>
      </c>
      <c r="M16" s="137">
        <v>1</v>
      </c>
      <c r="N16" s="137">
        <v>1</v>
      </c>
      <c r="O16" s="137">
        <v>0.66666669999999995</v>
      </c>
      <c r="P16" s="137">
        <v>1</v>
      </c>
      <c r="Q16" s="137">
        <v>0.1111111</v>
      </c>
      <c r="R16" s="137">
        <v>1</v>
      </c>
      <c r="S16" s="137">
        <v>1</v>
      </c>
      <c r="T16" s="137">
        <v>1</v>
      </c>
      <c r="U16" s="137">
        <v>0.1111111</v>
      </c>
      <c r="V16" s="137">
        <v>1</v>
      </c>
      <c r="W16" s="137">
        <v>1</v>
      </c>
      <c r="X16" s="137">
        <v>1</v>
      </c>
      <c r="Y16" s="137">
        <v>1</v>
      </c>
      <c r="Z16" s="137">
        <v>1</v>
      </c>
      <c r="AA16" s="137">
        <v>0.88888889999999998</v>
      </c>
      <c r="AB16" s="137">
        <v>0.3333333</v>
      </c>
      <c r="AC16" s="137">
        <v>0.22222220000000001</v>
      </c>
      <c r="AD16" s="137">
        <v>0.3333333</v>
      </c>
      <c r="AE16" s="137">
        <v>0.77777779999999996</v>
      </c>
      <c r="AF16" s="137">
        <v>0</v>
      </c>
      <c r="AG16" s="137">
        <v>1</v>
      </c>
      <c r="AH16" s="137">
        <v>0.88888889999999998</v>
      </c>
      <c r="AI16" s="137">
        <v>1</v>
      </c>
      <c r="AJ16" s="137">
        <v>1</v>
      </c>
      <c r="AK16" s="137">
        <v>1</v>
      </c>
      <c r="AL16" s="137">
        <v>0.66666669999999995</v>
      </c>
      <c r="AM16" s="137">
        <v>1</v>
      </c>
      <c r="AN16" s="137">
        <v>1</v>
      </c>
      <c r="AO16" s="137">
        <v>1</v>
      </c>
      <c r="AP16" s="137">
        <v>0.88888889999999998</v>
      </c>
      <c r="AQ16" s="137">
        <v>0.77777779999999996</v>
      </c>
      <c r="AR16" s="137">
        <v>0.88888889999999998</v>
      </c>
      <c r="AS16" s="137">
        <v>0.88888889999999998</v>
      </c>
      <c r="AT16" s="137">
        <v>1</v>
      </c>
      <c r="AU16" s="137">
        <v>1</v>
      </c>
      <c r="AV16" s="137">
        <v>0.44444440000000002</v>
      </c>
      <c r="AW16" s="137">
        <v>0.82125599999999999</v>
      </c>
      <c r="AX16" s="78"/>
      <c r="AY16" s="279"/>
      <c r="AZ16" s="143" t="s">
        <v>739</v>
      </c>
      <c r="BA16" s="143" t="s">
        <v>720</v>
      </c>
      <c r="BB16" s="78" t="s">
        <v>1427</v>
      </c>
      <c r="BC16" s="78" t="s">
        <v>1428</v>
      </c>
      <c r="BD16" s="78" t="s">
        <v>1429</v>
      </c>
      <c r="BE16" s="78" t="s">
        <v>1430</v>
      </c>
      <c r="BF16" s="78" t="s">
        <v>1431</v>
      </c>
      <c r="BG16" s="78" t="s">
        <v>1432</v>
      </c>
      <c r="BH16" s="78" t="s">
        <v>1433</v>
      </c>
      <c r="BI16" s="78" t="s">
        <v>1434</v>
      </c>
      <c r="BJ16" s="78" t="s">
        <v>1435</v>
      </c>
      <c r="BK16" s="78" t="s">
        <v>1436</v>
      </c>
      <c r="BL16" s="78" t="s">
        <v>1437</v>
      </c>
      <c r="BM16" s="78" t="s">
        <v>1438</v>
      </c>
      <c r="BN16" s="78" t="s">
        <v>1439</v>
      </c>
      <c r="BO16" s="78" t="s">
        <v>1440</v>
      </c>
      <c r="BP16" s="78" t="s">
        <v>1441</v>
      </c>
      <c r="BQ16" s="78" t="s">
        <v>1442</v>
      </c>
      <c r="BR16" s="78" t="s">
        <v>1443</v>
      </c>
      <c r="BS16" s="78" t="s">
        <v>1444</v>
      </c>
      <c r="BT16" s="78" t="s">
        <v>1445</v>
      </c>
      <c r="BU16" s="78" t="s">
        <v>1446</v>
      </c>
      <c r="BV16" s="78" t="s">
        <v>1447</v>
      </c>
      <c r="BW16" s="78" t="s">
        <v>1448</v>
      </c>
      <c r="BX16" s="78" t="s">
        <v>1449</v>
      </c>
      <c r="BY16" s="78" t="s">
        <v>1450</v>
      </c>
      <c r="BZ16" s="78" t="s">
        <v>1451</v>
      </c>
      <c r="CA16" s="78" t="s">
        <v>1452</v>
      </c>
      <c r="CB16" s="78" t="s">
        <v>1453</v>
      </c>
      <c r="CC16" s="78" t="s">
        <v>1454</v>
      </c>
      <c r="CD16" s="78" t="s">
        <v>1455</v>
      </c>
      <c r="CE16" s="78" t="s">
        <v>968</v>
      </c>
      <c r="CF16" s="78" t="s">
        <v>1456</v>
      </c>
      <c r="CG16" s="78" t="s">
        <v>1457</v>
      </c>
      <c r="CH16" s="78" t="s">
        <v>1458</v>
      </c>
      <c r="CI16" s="78" t="s">
        <v>1459</v>
      </c>
      <c r="CJ16" s="78" t="s">
        <v>1460</v>
      </c>
      <c r="CK16" s="78" t="s">
        <v>1461</v>
      </c>
      <c r="CL16" s="78" t="s">
        <v>1462</v>
      </c>
      <c r="CM16" s="78" t="s">
        <v>1463</v>
      </c>
      <c r="CN16" s="78" t="s">
        <v>1464</v>
      </c>
      <c r="CO16" s="78" t="s">
        <v>1465</v>
      </c>
      <c r="CP16" s="78" t="s">
        <v>1466</v>
      </c>
      <c r="CQ16" s="78" t="s">
        <v>1467</v>
      </c>
      <c r="CR16" s="78" t="s">
        <v>1468</v>
      </c>
      <c r="CS16" s="78" t="s">
        <v>1469</v>
      </c>
      <c r="CT16" s="78" t="s">
        <v>1470</v>
      </c>
      <c r="CU16" s="78" t="s">
        <v>1471</v>
      </c>
    </row>
    <row r="17" spans="1:99" customFormat="1" x14ac:dyDescent="0.35">
      <c r="A17" s="143" t="s">
        <v>740</v>
      </c>
      <c r="B17" s="143" t="s">
        <v>730</v>
      </c>
      <c r="C17" s="137">
        <v>0.875</v>
      </c>
      <c r="D17" s="137">
        <v>0.875</v>
      </c>
      <c r="E17" s="137">
        <v>0.875</v>
      </c>
      <c r="F17" s="137">
        <v>0.125</v>
      </c>
      <c r="G17" s="137">
        <v>1</v>
      </c>
      <c r="H17" s="137">
        <v>1</v>
      </c>
      <c r="I17" s="137">
        <v>0.75</v>
      </c>
      <c r="J17" s="137">
        <v>0.875</v>
      </c>
      <c r="K17" s="137">
        <v>1</v>
      </c>
      <c r="L17" s="137">
        <v>1</v>
      </c>
      <c r="M17" s="137">
        <v>1</v>
      </c>
      <c r="N17" s="137">
        <v>1</v>
      </c>
      <c r="O17" s="137">
        <v>0.875</v>
      </c>
      <c r="P17" s="137">
        <v>0.875</v>
      </c>
      <c r="Q17" s="137">
        <v>0.75</v>
      </c>
      <c r="R17" s="137">
        <v>0.875</v>
      </c>
      <c r="S17" s="137">
        <v>0.875</v>
      </c>
      <c r="T17" s="137">
        <v>0.75</v>
      </c>
      <c r="U17" s="137">
        <v>0</v>
      </c>
      <c r="V17" s="137">
        <v>1</v>
      </c>
      <c r="W17" s="137">
        <v>1</v>
      </c>
      <c r="X17" s="137">
        <v>0.25</v>
      </c>
      <c r="Y17" s="137">
        <v>1</v>
      </c>
      <c r="Z17" s="137">
        <v>1</v>
      </c>
      <c r="AA17" s="137">
        <v>0.875</v>
      </c>
      <c r="AB17" s="137">
        <v>0.375</v>
      </c>
      <c r="AC17" s="137">
        <v>0.5</v>
      </c>
      <c r="AD17" s="137">
        <v>0.5</v>
      </c>
      <c r="AE17" s="137">
        <v>0.5</v>
      </c>
      <c r="AF17" s="137">
        <v>0</v>
      </c>
      <c r="AG17" s="137">
        <v>0.625</v>
      </c>
      <c r="AH17" s="137">
        <v>0.875</v>
      </c>
      <c r="AI17" s="137">
        <v>1</v>
      </c>
      <c r="AJ17" s="137">
        <v>1</v>
      </c>
      <c r="AK17" s="137">
        <v>1</v>
      </c>
      <c r="AL17" s="137">
        <v>0.625</v>
      </c>
      <c r="AM17" s="137">
        <v>1</v>
      </c>
      <c r="AN17" s="137">
        <v>1</v>
      </c>
      <c r="AO17" s="137">
        <v>1</v>
      </c>
      <c r="AP17" s="137">
        <v>1</v>
      </c>
      <c r="AQ17" s="137">
        <v>1</v>
      </c>
      <c r="AR17" s="137">
        <v>0.625</v>
      </c>
      <c r="AS17" s="137">
        <v>0.75</v>
      </c>
      <c r="AT17" s="137">
        <v>1</v>
      </c>
      <c r="AU17" s="137">
        <v>0.625</v>
      </c>
      <c r="AV17" s="137">
        <v>0.125</v>
      </c>
      <c r="AW17" s="137">
        <v>0.77445649999999999</v>
      </c>
      <c r="AX17" s="78"/>
      <c r="AY17" s="279"/>
      <c r="AZ17" s="143" t="s">
        <v>740</v>
      </c>
      <c r="BA17" s="143" t="s">
        <v>730</v>
      </c>
      <c r="BB17" s="78" t="s">
        <v>1472</v>
      </c>
      <c r="BC17" s="78" t="s">
        <v>1473</v>
      </c>
      <c r="BD17" s="78" t="s">
        <v>1474</v>
      </c>
      <c r="BE17" s="78" t="s">
        <v>1475</v>
      </c>
      <c r="BF17" s="78" t="s">
        <v>1476</v>
      </c>
      <c r="BG17" s="78" t="s">
        <v>1477</v>
      </c>
      <c r="BH17" s="78" t="s">
        <v>1478</v>
      </c>
      <c r="BI17" s="78" t="s">
        <v>1479</v>
      </c>
      <c r="BJ17" s="78" t="s">
        <v>1480</v>
      </c>
      <c r="BK17" s="78" t="s">
        <v>1481</v>
      </c>
      <c r="BL17" s="78" t="s">
        <v>1482</v>
      </c>
      <c r="BM17" s="78" t="s">
        <v>1483</v>
      </c>
      <c r="BN17" s="78" t="s">
        <v>1484</v>
      </c>
      <c r="BO17" s="78" t="s">
        <v>1485</v>
      </c>
      <c r="BP17" s="78" t="s">
        <v>1486</v>
      </c>
      <c r="BQ17" s="78" t="s">
        <v>1487</v>
      </c>
      <c r="BR17" s="78" t="s">
        <v>1488</v>
      </c>
      <c r="BS17" s="78" t="s">
        <v>1489</v>
      </c>
      <c r="BT17" s="78" t="s">
        <v>968</v>
      </c>
      <c r="BU17" s="78" t="s">
        <v>1490</v>
      </c>
      <c r="BV17" s="78" t="s">
        <v>1491</v>
      </c>
      <c r="BW17" s="78" t="s">
        <v>1492</v>
      </c>
      <c r="BX17" s="78" t="s">
        <v>1493</v>
      </c>
      <c r="BY17" s="78" t="s">
        <v>1494</v>
      </c>
      <c r="BZ17" s="78" t="s">
        <v>1495</v>
      </c>
      <c r="CA17" s="78" t="s">
        <v>1496</v>
      </c>
      <c r="CB17" s="78" t="s">
        <v>1497</v>
      </c>
      <c r="CC17" s="78" t="s">
        <v>1498</v>
      </c>
      <c r="CD17" s="78" t="s">
        <v>1499</v>
      </c>
      <c r="CE17" s="78" t="s">
        <v>968</v>
      </c>
      <c r="CF17" s="78" t="s">
        <v>1500</v>
      </c>
      <c r="CG17" s="78" t="s">
        <v>1501</v>
      </c>
      <c r="CH17" s="78" t="s">
        <v>1502</v>
      </c>
      <c r="CI17" s="78" t="s">
        <v>1503</v>
      </c>
      <c r="CJ17" s="78" t="s">
        <v>1504</v>
      </c>
      <c r="CK17" s="78" t="s">
        <v>1505</v>
      </c>
      <c r="CL17" s="78" t="s">
        <v>1506</v>
      </c>
      <c r="CM17" s="78" t="s">
        <v>1507</v>
      </c>
      <c r="CN17" s="78" t="s">
        <v>1508</v>
      </c>
      <c r="CO17" s="78" t="s">
        <v>1509</v>
      </c>
      <c r="CP17" s="78" t="s">
        <v>1510</v>
      </c>
      <c r="CQ17" s="78" t="s">
        <v>1511</v>
      </c>
      <c r="CR17" s="78" t="s">
        <v>1512</v>
      </c>
      <c r="CS17" s="78" t="s">
        <v>1513</v>
      </c>
      <c r="CT17" s="78" t="s">
        <v>1514</v>
      </c>
      <c r="CU17" s="78" t="s">
        <v>1515</v>
      </c>
    </row>
    <row r="18" spans="1:99" customFormat="1" x14ac:dyDescent="0.35">
      <c r="A18" s="143" t="s">
        <v>741</v>
      </c>
      <c r="B18" s="143" t="s">
        <v>736</v>
      </c>
      <c r="C18" s="137">
        <v>0.83333330000000005</v>
      </c>
      <c r="D18" s="137">
        <v>0.5</v>
      </c>
      <c r="E18" s="137">
        <v>0.83333330000000005</v>
      </c>
      <c r="F18" s="137">
        <v>0.83333330000000005</v>
      </c>
      <c r="G18" s="137">
        <v>0.83333330000000005</v>
      </c>
      <c r="H18" s="137">
        <v>1</v>
      </c>
      <c r="I18" s="137">
        <v>0.66666669999999995</v>
      </c>
      <c r="J18" s="137">
        <v>0.66666669999999995</v>
      </c>
      <c r="K18" s="137">
        <v>0.83333330000000005</v>
      </c>
      <c r="L18" s="137">
        <v>0.66666669999999995</v>
      </c>
      <c r="M18" s="137">
        <v>1</v>
      </c>
      <c r="N18" s="137">
        <v>0.83333330000000005</v>
      </c>
      <c r="O18" s="137">
        <v>0.66666669999999995</v>
      </c>
      <c r="P18" s="137">
        <v>0.66666669999999995</v>
      </c>
      <c r="Q18" s="137">
        <v>0</v>
      </c>
      <c r="R18" s="137">
        <v>0.66666669999999995</v>
      </c>
      <c r="S18" s="137">
        <v>0.83333330000000005</v>
      </c>
      <c r="T18" s="137">
        <v>1</v>
      </c>
      <c r="U18" s="137">
        <v>0</v>
      </c>
      <c r="V18" s="137">
        <v>0.5</v>
      </c>
      <c r="W18" s="137">
        <v>0.83333330000000005</v>
      </c>
      <c r="X18" s="137">
        <v>0.3333333</v>
      </c>
      <c r="Y18" s="137">
        <v>0.5</v>
      </c>
      <c r="Z18" s="137">
        <v>0.5</v>
      </c>
      <c r="AA18" s="137">
        <v>0.5</v>
      </c>
      <c r="AB18" s="137">
        <v>0.3333333</v>
      </c>
      <c r="AC18" s="137">
        <v>0.83333330000000005</v>
      </c>
      <c r="AD18" s="137">
        <v>0.66666669999999995</v>
      </c>
      <c r="AE18" s="137">
        <v>0.5</v>
      </c>
      <c r="AF18" s="137">
        <v>0</v>
      </c>
      <c r="AG18" s="137">
        <v>0.83333330000000005</v>
      </c>
      <c r="AH18" s="137">
        <v>0.66666669999999995</v>
      </c>
      <c r="AI18" s="137">
        <v>0.83333330000000005</v>
      </c>
      <c r="AJ18" s="137">
        <v>0.66666669999999995</v>
      </c>
      <c r="AK18" s="137">
        <v>0.3333333</v>
      </c>
      <c r="AL18" s="137">
        <v>0</v>
      </c>
      <c r="AM18" s="137">
        <v>0.83333330000000005</v>
      </c>
      <c r="AN18" s="137">
        <v>1</v>
      </c>
      <c r="AO18" s="137">
        <v>0.83333330000000005</v>
      </c>
      <c r="AP18" s="137">
        <v>0.83333330000000005</v>
      </c>
      <c r="AQ18" s="137">
        <v>0.5</v>
      </c>
      <c r="AR18" s="137">
        <v>0.1666667</v>
      </c>
      <c r="AS18" s="137">
        <v>0.66666669999999995</v>
      </c>
      <c r="AT18" s="137">
        <v>1</v>
      </c>
      <c r="AU18" s="137">
        <v>1</v>
      </c>
      <c r="AV18" s="137">
        <v>0.3333333</v>
      </c>
      <c r="AW18" s="137">
        <v>0.6376811</v>
      </c>
      <c r="AX18" s="78"/>
      <c r="AY18" s="279"/>
      <c r="AZ18" s="143" t="s">
        <v>741</v>
      </c>
      <c r="BA18" s="143" t="s">
        <v>736</v>
      </c>
      <c r="BB18" s="78" t="s">
        <v>1516</v>
      </c>
      <c r="BC18" s="78" t="s">
        <v>1517</v>
      </c>
      <c r="BD18" s="78" t="s">
        <v>1518</v>
      </c>
      <c r="BE18" s="78" t="s">
        <v>1519</v>
      </c>
      <c r="BF18" s="78" t="s">
        <v>1520</v>
      </c>
      <c r="BG18" s="78" t="s">
        <v>1521</v>
      </c>
      <c r="BH18" s="78" t="s">
        <v>1522</v>
      </c>
      <c r="BI18" s="78" t="s">
        <v>1523</v>
      </c>
      <c r="BJ18" s="78" t="s">
        <v>1524</v>
      </c>
      <c r="BK18" s="78" t="s">
        <v>1525</v>
      </c>
      <c r="BL18" s="78" t="s">
        <v>1526</v>
      </c>
      <c r="BM18" s="78" t="s">
        <v>1527</v>
      </c>
      <c r="BN18" s="78" t="s">
        <v>1528</v>
      </c>
      <c r="BO18" s="78" t="s">
        <v>1529</v>
      </c>
      <c r="BP18" s="78" t="s">
        <v>968</v>
      </c>
      <c r="BQ18" s="78" t="s">
        <v>1530</v>
      </c>
      <c r="BR18" s="78" t="s">
        <v>1531</v>
      </c>
      <c r="BS18" s="78" t="s">
        <v>1532</v>
      </c>
      <c r="BT18" s="78" t="s">
        <v>968</v>
      </c>
      <c r="BU18" s="78" t="s">
        <v>1533</v>
      </c>
      <c r="BV18" s="78" t="s">
        <v>1534</v>
      </c>
      <c r="BW18" s="78" t="s">
        <v>1535</v>
      </c>
      <c r="BX18" s="78" t="s">
        <v>1536</v>
      </c>
      <c r="BY18" s="78" t="s">
        <v>1537</v>
      </c>
      <c r="BZ18" s="78" t="s">
        <v>1538</v>
      </c>
      <c r="CA18" s="78" t="s">
        <v>1539</v>
      </c>
      <c r="CB18" s="78" t="s">
        <v>1540</v>
      </c>
      <c r="CC18" s="78" t="s">
        <v>1541</v>
      </c>
      <c r="CD18" s="78" t="s">
        <v>1542</v>
      </c>
      <c r="CE18" s="78" t="s">
        <v>968</v>
      </c>
      <c r="CF18" s="78" t="s">
        <v>1543</v>
      </c>
      <c r="CG18" s="78" t="s">
        <v>1544</v>
      </c>
      <c r="CH18" s="78" t="s">
        <v>1545</v>
      </c>
      <c r="CI18" s="78" t="s">
        <v>1546</v>
      </c>
      <c r="CJ18" s="78" t="s">
        <v>1547</v>
      </c>
      <c r="CK18" s="78" t="s">
        <v>1241</v>
      </c>
      <c r="CL18" s="78" t="s">
        <v>1548</v>
      </c>
      <c r="CM18" s="78" t="s">
        <v>1549</v>
      </c>
      <c r="CN18" s="78" t="s">
        <v>1550</v>
      </c>
      <c r="CO18" s="78" t="s">
        <v>1551</v>
      </c>
      <c r="CP18" s="78" t="s">
        <v>1552</v>
      </c>
      <c r="CQ18" s="78" t="s">
        <v>1553</v>
      </c>
      <c r="CR18" s="78" t="s">
        <v>1554</v>
      </c>
      <c r="CS18" s="78" t="s">
        <v>1555</v>
      </c>
      <c r="CT18" s="78" t="s">
        <v>1556</v>
      </c>
      <c r="CU18" s="78" t="s">
        <v>1557</v>
      </c>
    </row>
    <row r="19" spans="1:99" customFormat="1" x14ac:dyDescent="0.35">
      <c r="A19" s="143" t="s">
        <v>742</v>
      </c>
      <c r="B19" s="143" t="s">
        <v>743</v>
      </c>
      <c r="C19" s="137">
        <v>1</v>
      </c>
      <c r="D19" s="137">
        <v>0.8</v>
      </c>
      <c r="E19" s="137">
        <v>1</v>
      </c>
      <c r="F19" s="137">
        <v>1</v>
      </c>
      <c r="G19" s="137">
        <v>1</v>
      </c>
      <c r="H19" s="137">
        <v>1</v>
      </c>
      <c r="I19" s="137">
        <v>1</v>
      </c>
      <c r="J19" s="137">
        <v>1</v>
      </c>
      <c r="K19" s="137">
        <v>1</v>
      </c>
      <c r="L19" s="137">
        <v>1</v>
      </c>
      <c r="M19" s="137">
        <v>1</v>
      </c>
      <c r="N19" s="137">
        <v>1</v>
      </c>
      <c r="O19" s="137">
        <v>0.8</v>
      </c>
      <c r="P19" s="137">
        <v>1</v>
      </c>
      <c r="Q19" s="137">
        <v>0.8</v>
      </c>
      <c r="R19" s="137">
        <v>1</v>
      </c>
      <c r="S19" s="137">
        <v>1</v>
      </c>
      <c r="T19" s="137">
        <v>1</v>
      </c>
      <c r="U19" s="137">
        <v>0</v>
      </c>
      <c r="V19" s="137">
        <v>1</v>
      </c>
      <c r="W19" s="137">
        <v>1</v>
      </c>
      <c r="X19" s="137">
        <v>1</v>
      </c>
      <c r="Y19" s="137">
        <v>1</v>
      </c>
      <c r="Z19" s="137">
        <v>1</v>
      </c>
      <c r="AA19" s="137">
        <v>1</v>
      </c>
      <c r="AB19" s="137">
        <v>0.6</v>
      </c>
      <c r="AC19" s="137">
        <v>0.6</v>
      </c>
      <c r="AD19" s="137">
        <v>0.6</v>
      </c>
      <c r="AE19" s="137">
        <v>1</v>
      </c>
      <c r="AF19" s="137">
        <v>0</v>
      </c>
      <c r="AG19" s="137">
        <v>1</v>
      </c>
      <c r="AH19" s="137">
        <v>1</v>
      </c>
      <c r="AI19" s="137">
        <v>1</v>
      </c>
      <c r="AJ19" s="137">
        <v>1</v>
      </c>
      <c r="AK19" s="137">
        <v>1</v>
      </c>
      <c r="AL19" s="137">
        <v>0.4</v>
      </c>
      <c r="AM19" s="137">
        <v>0.6</v>
      </c>
      <c r="AN19" s="137">
        <v>0.8</v>
      </c>
      <c r="AO19" s="137">
        <v>1</v>
      </c>
      <c r="AP19" s="137">
        <v>1</v>
      </c>
      <c r="AQ19" s="137">
        <v>1</v>
      </c>
      <c r="AR19" s="137">
        <v>0.6</v>
      </c>
      <c r="AS19" s="137">
        <v>1</v>
      </c>
      <c r="AT19" s="137">
        <v>1</v>
      </c>
      <c r="AU19" s="137">
        <v>1</v>
      </c>
      <c r="AV19" s="137">
        <v>0.4</v>
      </c>
      <c r="AW19" s="137">
        <v>0.86956520000000004</v>
      </c>
      <c r="AX19" s="78"/>
      <c r="AY19" s="279"/>
      <c r="AZ19" s="143" t="s">
        <v>742</v>
      </c>
      <c r="BA19" s="143" t="s">
        <v>743</v>
      </c>
      <c r="BB19" s="78" t="s">
        <v>1558</v>
      </c>
      <c r="BC19" s="78" t="s">
        <v>1559</v>
      </c>
      <c r="BD19" s="78" t="s">
        <v>1560</v>
      </c>
      <c r="BE19" s="78" t="s">
        <v>1561</v>
      </c>
      <c r="BF19" s="78" t="s">
        <v>1562</v>
      </c>
      <c r="BG19" s="78" t="s">
        <v>1563</v>
      </c>
      <c r="BH19" s="78" t="s">
        <v>1564</v>
      </c>
      <c r="BI19" s="78" t="s">
        <v>1565</v>
      </c>
      <c r="BJ19" s="78" t="s">
        <v>1566</v>
      </c>
      <c r="BK19" s="78" t="s">
        <v>1567</v>
      </c>
      <c r="BL19" s="78" t="s">
        <v>1568</v>
      </c>
      <c r="BM19" s="78" t="s">
        <v>1569</v>
      </c>
      <c r="BN19" s="78" t="s">
        <v>1570</v>
      </c>
      <c r="BO19" s="78" t="s">
        <v>1571</v>
      </c>
      <c r="BP19" s="78" t="s">
        <v>1572</v>
      </c>
      <c r="BQ19" s="78" t="s">
        <v>1573</v>
      </c>
      <c r="BR19" s="78" t="s">
        <v>1574</v>
      </c>
      <c r="BS19" s="78" t="s">
        <v>1575</v>
      </c>
      <c r="BT19" s="78" t="s">
        <v>968</v>
      </c>
      <c r="BU19" s="78" t="s">
        <v>1576</v>
      </c>
      <c r="BV19" s="78" t="s">
        <v>1577</v>
      </c>
      <c r="BW19" s="78" t="s">
        <v>1578</v>
      </c>
      <c r="BX19" s="78" t="s">
        <v>1579</v>
      </c>
      <c r="BY19" s="78" t="s">
        <v>1580</v>
      </c>
      <c r="BZ19" s="78" t="s">
        <v>1581</v>
      </c>
      <c r="CA19" s="78" t="s">
        <v>1582</v>
      </c>
      <c r="CB19" s="78" t="s">
        <v>1583</v>
      </c>
      <c r="CC19" s="78" t="s">
        <v>1584</v>
      </c>
      <c r="CD19" s="78" t="s">
        <v>1585</v>
      </c>
      <c r="CE19" s="78" t="s">
        <v>968</v>
      </c>
      <c r="CF19" s="78" t="s">
        <v>1586</v>
      </c>
      <c r="CG19" s="78" t="s">
        <v>1587</v>
      </c>
      <c r="CH19" s="78" t="s">
        <v>1588</v>
      </c>
      <c r="CI19" s="78" t="s">
        <v>1589</v>
      </c>
      <c r="CJ19" s="78" t="s">
        <v>1590</v>
      </c>
      <c r="CK19" s="78" t="s">
        <v>1591</v>
      </c>
      <c r="CL19" s="78" t="s">
        <v>1592</v>
      </c>
      <c r="CM19" s="78" t="s">
        <v>1593</v>
      </c>
      <c r="CN19" s="78" t="s">
        <v>1594</v>
      </c>
      <c r="CO19" s="78" t="s">
        <v>1595</v>
      </c>
      <c r="CP19" s="78" t="s">
        <v>1596</v>
      </c>
      <c r="CQ19" s="78" t="s">
        <v>1597</v>
      </c>
      <c r="CR19" s="78" t="s">
        <v>1598</v>
      </c>
      <c r="CS19" s="78" t="s">
        <v>1599</v>
      </c>
      <c r="CT19" s="78" t="s">
        <v>1600</v>
      </c>
      <c r="CU19" s="78" t="s">
        <v>1601</v>
      </c>
    </row>
    <row r="20" spans="1:99" customFormat="1" x14ac:dyDescent="0.35">
      <c r="A20" s="143" t="s">
        <v>744</v>
      </c>
      <c r="B20" s="143" t="s">
        <v>743</v>
      </c>
      <c r="C20" s="137">
        <v>1</v>
      </c>
      <c r="D20" s="137">
        <v>1</v>
      </c>
      <c r="E20" s="137">
        <v>1</v>
      </c>
      <c r="F20" s="137">
        <v>1</v>
      </c>
      <c r="G20" s="137">
        <v>1</v>
      </c>
      <c r="H20" s="137">
        <v>1</v>
      </c>
      <c r="I20" s="137">
        <v>0.8</v>
      </c>
      <c r="J20" s="137">
        <v>1</v>
      </c>
      <c r="K20" s="137">
        <v>1</v>
      </c>
      <c r="L20" s="137">
        <v>1</v>
      </c>
      <c r="M20" s="137">
        <v>1</v>
      </c>
      <c r="N20" s="137">
        <v>1</v>
      </c>
      <c r="O20" s="137">
        <v>0.8</v>
      </c>
      <c r="P20" s="137">
        <v>1</v>
      </c>
      <c r="Q20" s="137">
        <v>0.2</v>
      </c>
      <c r="R20" s="137">
        <v>0.8</v>
      </c>
      <c r="S20" s="137">
        <v>0.8</v>
      </c>
      <c r="T20" s="137">
        <v>0.8</v>
      </c>
      <c r="U20" s="137">
        <v>0</v>
      </c>
      <c r="V20" s="137">
        <v>1</v>
      </c>
      <c r="W20" s="137">
        <v>0.8</v>
      </c>
      <c r="X20" s="137">
        <v>1</v>
      </c>
      <c r="Y20" s="137">
        <v>0.6</v>
      </c>
      <c r="Z20" s="137">
        <v>0.8</v>
      </c>
      <c r="AA20" s="137">
        <v>0.8</v>
      </c>
      <c r="AB20" s="137">
        <v>0.4</v>
      </c>
      <c r="AC20" s="137">
        <v>0.6</v>
      </c>
      <c r="AD20" s="137">
        <v>0.4</v>
      </c>
      <c r="AE20" s="137">
        <v>0.6</v>
      </c>
      <c r="AF20" s="137">
        <v>0</v>
      </c>
      <c r="AG20" s="137">
        <v>0.8</v>
      </c>
      <c r="AH20" s="137">
        <v>0.8</v>
      </c>
      <c r="AI20" s="137">
        <v>1</v>
      </c>
      <c r="AJ20" s="137">
        <v>1</v>
      </c>
      <c r="AK20" s="137">
        <v>1</v>
      </c>
      <c r="AL20" s="137">
        <v>0.8</v>
      </c>
      <c r="AM20" s="137">
        <v>1</v>
      </c>
      <c r="AN20" s="137">
        <v>1</v>
      </c>
      <c r="AO20" s="137">
        <v>1</v>
      </c>
      <c r="AP20" s="137">
        <v>1</v>
      </c>
      <c r="AQ20" s="137">
        <v>0.8</v>
      </c>
      <c r="AR20" s="137">
        <v>0.6</v>
      </c>
      <c r="AS20" s="137">
        <v>0.8</v>
      </c>
      <c r="AT20" s="137">
        <v>1</v>
      </c>
      <c r="AU20" s="137">
        <v>0.8</v>
      </c>
      <c r="AV20" s="137">
        <v>0.2</v>
      </c>
      <c r="AW20" s="137">
        <v>0.8</v>
      </c>
      <c r="AX20" s="78"/>
      <c r="AY20" s="279"/>
      <c r="AZ20" s="143" t="s">
        <v>744</v>
      </c>
      <c r="BA20" s="143" t="s">
        <v>743</v>
      </c>
      <c r="BB20" s="78" t="s">
        <v>1602</v>
      </c>
      <c r="BC20" s="78" t="s">
        <v>1603</v>
      </c>
      <c r="BD20" s="78" t="s">
        <v>1604</v>
      </c>
      <c r="BE20" s="78" t="s">
        <v>1605</v>
      </c>
      <c r="BF20" s="78" t="s">
        <v>1606</v>
      </c>
      <c r="BG20" s="78" t="s">
        <v>1607</v>
      </c>
      <c r="BH20" s="78" t="s">
        <v>1608</v>
      </c>
      <c r="BI20" s="78" t="s">
        <v>1609</v>
      </c>
      <c r="BJ20" s="78" t="s">
        <v>1610</v>
      </c>
      <c r="BK20" s="78" t="s">
        <v>1611</v>
      </c>
      <c r="BL20" s="78" t="s">
        <v>1612</v>
      </c>
      <c r="BM20" s="78" t="s">
        <v>1613</v>
      </c>
      <c r="BN20" s="78" t="s">
        <v>1614</v>
      </c>
      <c r="BO20" s="78" t="s">
        <v>1615</v>
      </c>
      <c r="BP20" s="78" t="s">
        <v>1616</v>
      </c>
      <c r="BQ20" s="78" t="s">
        <v>1617</v>
      </c>
      <c r="BR20" s="78" t="s">
        <v>1618</v>
      </c>
      <c r="BS20" s="78" t="s">
        <v>1619</v>
      </c>
      <c r="BT20" s="78" t="s">
        <v>968</v>
      </c>
      <c r="BU20" s="78" t="s">
        <v>1620</v>
      </c>
      <c r="BV20" s="78" t="s">
        <v>1621</v>
      </c>
      <c r="BW20" s="78" t="s">
        <v>1622</v>
      </c>
      <c r="BX20" s="78" t="s">
        <v>1623</v>
      </c>
      <c r="BY20" s="78" t="s">
        <v>1624</v>
      </c>
      <c r="BZ20" s="78" t="s">
        <v>1625</v>
      </c>
      <c r="CA20" s="78" t="s">
        <v>1626</v>
      </c>
      <c r="CB20" s="78" t="s">
        <v>1627</v>
      </c>
      <c r="CC20" s="78" t="s">
        <v>1628</v>
      </c>
      <c r="CD20" s="78" t="s">
        <v>1629</v>
      </c>
      <c r="CE20" s="78" t="s">
        <v>968</v>
      </c>
      <c r="CF20" s="78" t="s">
        <v>1630</v>
      </c>
      <c r="CG20" s="78" t="s">
        <v>1631</v>
      </c>
      <c r="CH20" s="78" t="s">
        <v>1632</v>
      </c>
      <c r="CI20" s="78" t="s">
        <v>1633</v>
      </c>
      <c r="CJ20" s="78" t="s">
        <v>1634</v>
      </c>
      <c r="CK20" s="78" t="s">
        <v>1635</v>
      </c>
      <c r="CL20" s="78" t="s">
        <v>1636</v>
      </c>
      <c r="CM20" s="78" t="s">
        <v>1637</v>
      </c>
      <c r="CN20" s="78" t="s">
        <v>1638</v>
      </c>
      <c r="CO20" s="78" t="s">
        <v>1639</v>
      </c>
      <c r="CP20" s="78" t="s">
        <v>1640</v>
      </c>
      <c r="CQ20" s="78" t="s">
        <v>1641</v>
      </c>
      <c r="CR20" s="78" t="s">
        <v>1642</v>
      </c>
      <c r="CS20" s="78" t="s">
        <v>1643</v>
      </c>
      <c r="CT20" s="78" t="s">
        <v>1644</v>
      </c>
      <c r="CU20" s="78" t="s">
        <v>1645</v>
      </c>
    </row>
    <row r="21" spans="1:99" customFormat="1" x14ac:dyDescent="0.35">
      <c r="A21" s="143" t="s">
        <v>745</v>
      </c>
      <c r="B21" s="143" t="s">
        <v>730</v>
      </c>
      <c r="C21" s="137">
        <v>0.57142859999999995</v>
      </c>
      <c r="D21" s="137">
        <v>0.71428570000000002</v>
      </c>
      <c r="E21" s="137">
        <v>0.57142859999999995</v>
      </c>
      <c r="F21" s="137">
        <v>0.57142859999999995</v>
      </c>
      <c r="G21" s="137">
        <v>0.85714290000000004</v>
      </c>
      <c r="H21" s="137">
        <v>1</v>
      </c>
      <c r="I21" s="137">
        <v>0.85714290000000004</v>
      </c>
      <c r="J21" s="137">
        <v>0.57142859999999995</v>
      </c>
      <c r="K21" s="137">
        <v>1</v>
      </c>
      <c r="L21" s="137">
        <v>1</v>
      </c>
      <c r="M21" s="137">
        <v>0.71428570000000002</v>
      </c>
      <c r="N21" s="137">
        <v>1</v>
      </c>
      <c r="O21" s="137">
        <v>0.28571429999999998</v>
      </c>
      <c r="P21" s="137">
        <v>0.42857139999999999</v>
      </c>
      <c r="Q21" s="137">
        <v>0.42857139999999999</v>
      </c>
      <c r="R21" s="137">
        <v>0.28571429999999998</v>
      </c>
      <c r="S21" s="137">
        <v>0.71428570000000002</v>
      </c>
      <c r="T21" s="137">
        <v>0.85714290000000004</v>
      </c>
      <c r="U21" s="137">
        <v>0</v>
      </c>
      <c r="V21" s="137">
        <v>0.71428570000000002</v>
      </c>
      <c r="W21" s="137">
        <v>0.85714290000000004</v>
      </c>
      <c r="X21" s="137">
        <v>0.85714290000000004</v>
      </c>
      <c r="Y21" s="137">
        <v>0.71428570000000002</v>
      </c>
      <c r="Z21" s="137">
        <v>1</v>
      </c>
      <c r="AA21" s="137">
        <v>1</v>
      </c>
      <c r="AB21" s="137">
        <v>0.28571429999999998</v>
      </c>
      <c r="AC21" s="137">
        <v>0.42857139999999999</v>
      </c>
      <c r="AD21" s="137">
        <v>0.14285709999999999</v>
      </c>
      <c r="AE21" s="137">
        <v>0.42857139999999999</v>
      </c>
      <c r="AF21" s="137">
        <v>0</v>
      </c>
      <c r="AG21" s="137">
        <v>0.85714290000000004</v>
      </c>
      <c r="AH21" s="137">
        <v>0.85714290000000004</v>
      </c>
      <c r="AI21" s="137">
        <v>0.57142859999999995</v>
      </c>
      <c r="AJ21" s="137">
        <v>0.85714290000000004</v>
      </c>
      <c r="AK21" s="137">
        <v>1</v>
      </c>
      <c r="AL21" s="137">
        <v>0.71428570000000002</v>
      </c>
      <c r="AM21" s="137">
        <v>0.71428570000000002</v>
      </c>
      <c r="AN21" s="137">
        <v>1</v>
      </c>
      <c r="AO21" s="137">
        <v>1</v>
      </c>
      <c r="AP21" s="137">
        <v>0.85714290000000004</v>
      </c>
      <c r="AQ21" s="137">
        <v>0.57142859999999995</v>
      </c>
      <c r="AR21" s="137">
        <v>0.71428570000000002</v>
      </c>
      <c r="AS21" s="137">
        <v>0.85714290000000004</v>
      </c>
      <c r="AT21" s="137">
        <v>0.85714290000000004</v>
      </c>
      <c r="AU21" s="137">
        <v>1</v>
      </c>
      <c r="AV21" s="137">
        <v>0</v>
      </c>
      <c r="AW21" s="137">
        <v>0.68012419999999996</v>
      </c>
      <c r="AX21" s="78"/>
      <c r="AY21" s="279"/>
      <c r="AZ21" s="143" t="s">
        <v>745</v>
      </c>
      <c r="BA21" s="143" t="s">
        <v>730</v>
      </c>
      <c r="BB21" s="78" t="s">
        <v>1646</v>
      </c>
      <c r="BC21" s="78" t="s">
        <v>1647</v>
      </c>
      <c r="BD21" s="78" t="s">
        <v>1648</v>
      </c>
      <c r="BE21" s="78" t="s">
        <v>1649</v>
      </c>
      <c r="BF21" s="78" t="s">
        <v>1650</v>
      </c>
      <c r="BG21" s="78" t="s">
        <v>1651</v>
      </c>
      <c r="BH21" s="78" t="s">
        <v>1652</v>
      </c>
      <c r="BI21" s="78" t="s">
        <v>1653</v>
      </c>
      <c r="BJ21" s="78" t="s">
        <v>1654</v>
      </c>
      <c r="BK21" s="78" t="s">
        <v>1655</v>
      </c>
      <c r="BL21" s="78" t="s">
        <v>1656</v>
      </c>
      <c r="BM21" s="78" t="s">
        <v>1657</v>
      </c>
      <c r="BN21" s="78" t="s">
        <v>1658</v>
      </c>
      <c r="BO21" s="78" t="s">
        <v>1659</v>
      </c>
      <c r="BP21" s="78" t="s">
        <v>1660</v>
      </c>
      <c r="BQ21" s="78" t="s">
        <v>1661</v>
      </c>
      <c r="BR21" s="78" t="s">
        <v>1662</v>
      </c>
      <c r="BS21" s="78" t="s">
        <v>1663</v>
      </c>
      <c r="BT21" s="78" t="s">
        <v>968</v>
      </c>
      <c r="BU21" s="78" t="s">
        <v>1664</v>
      </c>
      <c r="BV21" s="78" t="s">
        <v>1665</v>
      </c>
      <c r="BW21" s="78" t="s">
        <v>1666</v>
      </c>
      <c r="BX21" s="78" t="s">
        <v>1667</v>
      </c>
      <c r="BY21" s="78" t="s">
        <v>1668</v>
      </c>
      <c r="BZ21" s="78" t="s">
        <v>1669</v>
      </c>
      <c r="CA21" s="78" t="s">
        <v>1670</v>
      </c>
      <c r="CB21" s="78" t="s">
        <v>1671</v>
      </c>
      <c r="CC21" s="78" t="s">
        <v>1672</v>
      </c>
      <c r="CD21" s="78" t="s">
        <v>1673</v>
      </c>
      <c r="CE21" s="78" t="s">
        <v>968</v>
      </c>
      <c r="CF21" s="78" t="s">
        <v>1674</v>
      </c>
      <c r="CG21" s="78" t="s">
        <v>1675</v>
      </c>
      <c r="CH21" s="78" t="s">
        <v>1676</v>
      </c>
      <c r="CI21" s="78" t="s">
        <v>1677</v>
      </c>
      <c r="CJ21" s="78" t="s">
        <v>1678</v>
      </c>
      <c r="CK21" s="78" t="s">
        <v>1679</v>
      </c>
      <c r="CL21" s="78" t="s">
        <v>1680</v>
      </c>
      <c r="CM21" s="78" t="s">
        <v>1681</v>
      </c>
      <c r="CN21" s="78" t="s">
        <v>1682</v>
      </c>
      <c r="CO21" s="78" t="s">
        <v>1683</v>
      </c>
      <c r="CP21" s="78" t="s">
        <v>1684</v>
      </c>
      <c r="CQ21" s="78" t="s">
        <v>1685</v>
      </c>
      <c r="CR21" s="78" t="s">
        <v>1686</v>
      </c>
      <c r="CS21" s="78" t="s">
        <v>1687</v>
      </c>
      <c r="CT21" s="78" t="s">
        <v>1688</v>
      </c>
      <c r="CU21" s="78" t="s">
        <v>968</v>
      </c>
    </row>
    <row r="22" spans="1:99" customFormat="1" x14ac:dyDescent="0.35">
      <c r="A22" s="143" t="s">
        <v>746</v>
      </c>
      <c r="B22" s="143" t="s">
        <v>743</v>
      </c>
      <c r="C22" s="137">
        <v>1</v>
      </c>
      <c r="D22" s="137">
        <v>1</v>
      </c>
      <c r="E22" s="137">
        <v>1</v>
      </c>
      <c r="F22" s="137">
        <v>1</v>
      </c>
      <c r="G22" s="137">
        <v>1</v>
      </c>
      <c r="H22" s="137">
        <v>1</v>
      </c>
      <c r="I22" s="137">
        <v>1</v>
      </c>
      <c r="J22" s="137">
        <v>1</v>
      </c>
      <c r="K22" s="137">
        <v>1</v>
      </c>
      <c r="L22" s="137">
        <v>1</v>
      </c>
      <c r="M22" s="137">
        <v>1</v>
      </c>
      <c r="N22" s="137">
        <v>1</v>
      </c>
      <c r="O22" s="137">
        <v>1</v>
      </c>
      <c r="P22" s="137">
        <v>1</v>
      </c>
      <c r="Q22" s="137">
        <v>0.8</v>
      </c>
      <c r="R22" s="137">
        <v>1</v>
      </c>
      <c r="S22" s="137">
        <v>1</v>
      </c>
      <c r="T22" s="137">
        <v>1</v>
      </c>
      <c r="U22" s="137">
        <v>0</v>
      </c>
      <c r="V22" s="137">
        <v>1</v>
      </c>
      <c r="W22" s="137">
        <v>0.6</v>
      </c>
      <c r="X22" s="137">
        <v>1</v>
      </c>
      <c r="Y22" s="137">
        <v>1</v>
      </c>
      <c r="Z22" s="137">
        <v>1</v>
      </c>
      <c r="AA22" s="137">
        <v>0.6</v>
      </c>
      <c r="AB22" s="137">
        <v>0.2</v>
      </c>
      <c r="AC22" s="137">
        <v>0.2</v>
      </c>
      <c r="AD22" s="137">
        <v>0.2</v>
      </c>
      <c r="AE22" s="137">
        <v>1</v>
      </c>
      <c r="AF22" s="137">
        <v>0</v>
      </c>
      <c r="AG22" s="137">
        <v>1</v>
      </c>
      <c r="AH22" s="137">
        <v>1</v>
      </c>
      <c r="AI22" s="137">
        <v>1</v>
      </c>
      <c r="AJ22" s="137">
        <v>0.8</v>
      </c>
      <c r="AK22" s="137">
        <v>0.8</v>
      </c>
      <c r="AL22" s="137">
        <v>0.4</v>
      </c>
      <c r="AM22" s="137">
        <v>1</v>
      </c>
      <c r="AN22" s="137">
        <v>0.8</v>
      </c>
      <c r="AO22" s="137">
        <v>1</v>
      </c>
      <c r="AP22" s="137">
        <v>0.6</v>
      </c>
      <c r="AQ22" s="137">
        <v>0.2</v>
      </c>
      <c r="AR22" s="137">
        <v>0.6</v>
      </c>
      <c r="AS22" s="137">
        <v>1</v>
      </c>
      <c r="AT22" s="137">
        <v>1</v>
      </c>
      <c r="AU22" s="137">
        <v>0.8</v>
      </c>
      <c r="AV22" s="137">
        <v>0</v>
      </c>
      <c r="AW22" s="137">
        <v>0.79565220000000003</v>
      </c>
      <c r="AX22" s="78"/>
      <c r="AY22" s="279"/>
      <c r="AZ22" s="143" t="s">
        <v>746</v>
      </c>
      <c r="BA22" s="143" t="s">
        <v>743</v>
      </c>
      <c r="BB22" s="78" t="s">
        <v>1689</v>
      </c>
      <c r="BC22" s="78" t="s">
        <v>1690</v>
      </c>
      <c r="BD22" s="78" t="s">
        <v>1691</v>
      </c>
      <c r="BE22" s="78" t="s">
        <v>1692</v>
      </c>
      <c r="BF22" s="78" t="s">
        <v>1693</v>
      </c>
      <c r="BG22" s="78" t="s">
        <v>1694</v>
      </c>
      <c r="BH22" s="78" t="s">
        <v>1695</v>
      </c>
      <c r="BI22" s="78" t="s">
        <v>1696</v>
      </c>
      <c r="BJ22" s="78" t="s">
        <v>1697</v>
      </c>
      <c r="BK22" s="78" t="s">
        <v>1698</v>
      </c>
      <c r="BL22" s="78" t="s">
        <v>1699</v>
      </c>
      <c r="BM22" s="78" t="s">
        <v>1700</v>
      </c>
      <c r="BN22" s="78" t="s">
        <v>1701</v>
      </c>
      <c r="BO22" s="78" t="s">
        <v>1702</v>
      </c>
      <c r="BP22" s="78" t="s">
        <v>1703</v>
      </c>
      <c r="BQ22" s="78" t="s">
        <v>1704</v>
      </c>
      <c r="BR22" s="78" t="s">
        <v>1705</v>
      </c>
      <c r="BS22" s="78" t="s">
        <v>1706</v>
      </c>
      <c r="BT22" s="78" t="s">
        <v>968</v>
      </c>
      <c r="BU22" s="78" t="s">
        <v>1707</v>
      </c>
      <c r="BV22" s="78" t="s">
        <v>1708</v>
      </c>
      <c r="BW22" s="78" t="s">
        <v>1709</v>
      </c>
      <c r="BX22" s="78" t="s">
        <v>1710</v>
      </c>
      <c r="BY22" s="78" t="s">
        <v>1711</v>
      </c>
      <c r="BZ22" s="78" t="s">
        <v>1712</v>
      </c>
      <c r="CA22" s="78" t="s">
        <v>1008</v>
      </c>
      <c r="CB22" s="78" t="s">
        <v>1713</v>
      </c>
      <c r="CC22" s="78" t="s">
        <v>1714</v>
      </c>
      <c r="CD22" s="78" t="s">
        <v>1715</v>
      </c>
      <c r="CE22" s="78" t="s">
        <v>968</v>
      </c>
      <c r="CF22" s="78" t="s">
        <v>1716</v>
      </c>
      <c r="CG22" s="78" t="s">
        <v>1717</v>
      </c>
      <c r="CH22" s="78" t="s">
        <v>1718</v>
      </c>
      <c r="CI22" s="78" t="s">
        <v>1719</v>
      </c>
      <c r="CJ22" s="78" t="s">
        <v>1720</v>
      </c>
      <c r="CK22" s="78" t="s">
        <v>1721</v>
      </c>
      <c r="CL22" s="78" t="s">
        <v>1722</v>
      </c>
      <c r="CM22" s="78" t="s">
        <v>1723</v>
      </c>
      <c r="CN22" s="78" t="s">
        <v>1724</v>
      </c>
      <c r="CO22" s="78" t="s">
        <v>1725</v>
      </c>
      <c r="CP22" s="78" t="s">
        <v>1726</v>
      </c>
      <c r="CQ22" s="78" t="s">
        <v>1727</v>
      </c>
      <c r="CR22" s="78" t="s">
        <v>1728</v>
      </c>
      <c r="CS22" s="78" t="s">
        <v>1729</v>
      </c>
      <c r="CT22" s="78" t="s">
        <v>1730</v>
      </c>
      <c r="CU22" s="78" t="s">
        <v>968</v>
      </c>
    </row>
    <row r="23" spans="1:99" customFormat="1" x14ac:dyDescent="0.35">
      <c r="A23" s="143" t="s">
        <v>747</v>
      </c>
      <c r="B23" s="143" t="s">
        <v>748</v>
      </c>
      <c r="C23" s="137">
        <v>1</v>
      </c>
      <c r="D23" s="137">
        <v>1</v>
      </c>
      <c r="E23" s="137">
        <v>1</v>
      </c>
      <c r="F23" s="137">
        <v>1</v>
      </c>
      <c r="G23" s="137">
        <v>1</v>
      </c>
      <c r="H23" s="137">
        <v>1</v>
      </c>
      <c r="I23" s="137">
        <v>1</v>
      </c>
      <c r="J23" s="137">
        <v>1</v>
      </c>
      <c r="K23" s="137">
        <v>1</v>
      </c>
      <c r="L23" s="137">
        <v>1</v>
      </c>
      <c r="M23" s="137">
        <v>1</v>
      </c>
      <c r="N23" s="137">
        <v>1</v>
      </c>
      <c r="O23" s="137">
        <v>1</v>
      </c>
      <c r="P23" s="137">
        <v>0.625</v>
      </c>
      <c r="Q23" s="137">
        <v>0</v>
      </c>
      <c r="R23" s="137">
        <v>1</v>
      </c>
      <c r="S23" s="137">
        <v>1</v>
      </c>
      <c r="T23" s="137">
        <v>0.875</v>
      </c>
      <c r="U23" s="137">
        <v>0</v>
      </c>
      <c r="V23" s="137">
        <v>1</v>
      </c>
      <c r="W23" s="137">
        <v>1</v>
      </c>
      <c r="X23" s="137">
        <v>0.75</v>
      </c>
      <c r="Y23" s="137">
        <v>1</v>
      </c>
      <c r="Z23" s="137">
        <v>0.625</v>
      </c>
      <c r="AA23" s="137">
        <v>1</v>
      </c>
      <c r="AB23" s="137">
        <v>0.625</v>
      </c>
      <c r="AC23" s="137">
        <v>0.5</v>
      </c>
      <c r="AD23" s="137">
        <v>0.375</v>
      </c>
      <c r="AE23" s="137">
        <v>0.375</v>
      </c>
      <c r="AF23" s="137">
        <v>0</v>
      </c>
      <c r="AG23" s="137">
        <v>0.75</v>
      </c>
      <c r="AH23" s="137">
        <v>1</v>
      </c>
      <c r="AI23" s="137">
        <v>1</v>
      </c>
      <c r="AJ23" s="137">
        <v>0.5</v>
      </c>
      <c r="AK23" s="137">
        <v>0.75</v>
      </c>
      <c r="AL23" s="137">
        <v>0.125</v>
      </c>
      <c r="AM23" s="137">
        <v>1</v>
      </c>
      <c r="AN23" s="137">
        <v>0.875</v>
      </c>
      <c r="AO23" s="137">
        <v>1</v>
      </c>
      <c r="AP23" s="137">
        <v>1</v>
      </c>
      <c r="AQ23" s="137">
        <v>0.125</v>
      </c>
      <c r="AR23" s="137">
        <v>0.875</v>
      </c>
      <c r="AS23" s="137">
        <v>1</v>
      </c>
      <c r="AT23" s="137">
        <v>1</v>
      </c>
      <c r="AU23" s="137">
        <v>0.875</v>
      </c>
      <c r="AV23" s="137">
        <v>0.125</v>
      </c>
      <c r="AW23" s="137">
        <v>0.77717389999999997</v>
      </c>
      <c r="AX23" s="78"/>
      <c r="AY23" s="279"/>
      <c r="AZ23" s="143" t="s">
        <v>747</v>
      </c>
      <c r="BA23" s="143" t="s">
        <v>748</v>
      </c>
      <c r="BB23" s="78" t="s">
        <v>1731</v>
      </c>
      <c r="BC23" s="78" t="s">
        <v>1732</v>
      </c>
      <c r="BD23" s="78" t="s">
        <v>1733</v>
      </c>
      <c r="BE23" s="78" t="s">
        <v>1734</v>
      </c>
      <c r="BF23" s="78" t="s">
        <v>1735</v>
      </c>
      <c r="BG23" s="78" t="s">
        <v>1736</v>
      </c>
      <c r="BH23" s="78" t="s">
        <v>1737</v>
      </c>
      <c r="BI23" s="78" t="s">
        <v>1738</v>
      </c>
      <c r="BJ23" s="78" t="s">
        <v>1739</v>
      </c>
      <c r="BK23" s="78" t="s">
        <v>1740</v>
      </c>
      <c r="BL23" s="78" t="s">
        <v>1741</v>
      </c>
      <c r="BM23" s="78" t="s">
        <v>1742</v>
      </c>
      <c r="BN23" s="78" t="s">
        <v>1743</v>
      </c>
      <c r="BO23" s="78" t="s">
        <v>1744</v>
      </c>
      <c r="BP23" s="78" t="s">
        <v>968</v>
      </c>
      <c r="BQ23" s="78" t="s">
        <v>1745</v>
      </c>
      <c r="BR23" s="78" t="s">
        <v>1746</v>
      </c>
      <c r="BS23" s="78" t="s">
        <v>1747</v>
      </c>
      <c r="BT23" s="78" t="s">
        <v>968</v>
      </c>
      <c r="BU23" s="78" t="s">
        <v>1748</v>
      </c>
      <c r="BV23" s="78" t="s">
        <v>1749</v>
      </c>
      <c r="BW23" s="78" t="s">
        <v>1750</v>
      </c>
      <c r="BX23" s="78" t="s">
        <v>1751</v>
      </c>
      <c r="BY23" s="78" t="s">
        <v>1752</v>
      </c>
      <c r="BZ23" s="78" t="s">
        <v>1753</v>
      </c>
      <c r="CA23" s="78" t="s">
        <v>1399</v>
      </c>
      <c r="CB23" s="78" t="s">
        <v>1754</v>
      </c>
      <c r="CC23" s="78" t="s">
        <v>1755</v>
      </c>
      <c r="CD23" s="78" t="s">
        <v>1756</v>
      </c>
      <c r="CE23" s="78" t="s">
        <v>968</v>
      </c>
      <c r="CF23" s="78" t="s">
        <v>1757</v>
      </c>
      <c r="CG23" s="78" t="s">
        <v>1758</v>
      </c>
      <c r="CH23" s="78" t="s">
        <v>1759</v>
      </c>
      <c r="CI23" s="78" t="s">
        <v>1760</v>
      </c>
      <c r="CJ23" s="78" t="s">
        <v>1761</v>
      </c>
      <c r="CK23" s="78" t="s">
        <v>1762</v>
      </c>
      <c r="CL23" s="78" t="s">
        <v>1763</v>
      </c>
      <c r="CM23" s="78" t="s">
        <v>1764</v>
      </c>
      <c r="CN23" s="78" t="s">
        <v>1765</v>
      </c>
      <c r="CO23" s="78" t="s">
        <v>1766</v>
      </c>
      <c r="CP23" s="78" t="s">
        <v>1399</v>
      </c>
      <c r="CQ23" s="78" t="s">
        <v>1767</v>
      </c>
      <c r="CR23" s="78" t="s">
        <v>1768</v>
      </c>
      <c r="CS23" s="78" t="s">
        <v>1769</v>
      </c>
      <c r="CT23" s="78" t="s">
        <v>1770</v>
      </c>
      <c r="CU23" s="78" t="s">
        <v>1771</v>
      </c>
    </row>
    <row r="24" spans="1:99" customFormat="1" x14ac:dyDescent="0.35">
      <c r="A24" s="143" t="s">
        <v>749</v>
      </c>
      <c r="B24" s="143" t="s">
        <v>730</v>
      </c>
      <c r="C24" s="137">
        <v>0.66666669999999995</v>
      </c>
      <c r="D24" s="137">
        <v>0.3333333</v>
      </c>
      <c r="E24" s="137">
        <v>0.58333330000000005</v>
      </c>
      <c r="F24" s="137">
        <v>0.4166667</v>
      </c>
      <c r="G24" s="137">
        <v>0.91666669999999995</v>
      </c>
      <c r="H24" s="137">
        <v>0.91666669999999995</v>
      </c>
      <c r="I24" s="137">
        <v>1</v>
      </c>
      <c r="J24" s="137">
        <v>0.3333333</v>
      </c>
      <c r="K24" s="137">
        <v>0.91666669999999995</v>
      </c>
      <c r="L24" s="137">
        <v>0.83333330000000005</v>
      </c>
      <c r="M24" s="137">
        <v>0.66666669999999995</v>
      </c>
      <c r="N24" s="137">
        <v>0.83333330000000005</v>
      </c>
      <c r="O24" s="137">
        <v>0.4166667</v>
      </c>
      <c r="P24" s="137">
        <v>0.75</v>
      </c>
      <c r="Q24" s="137">
        <v>0.66666669999999995</v>
      </c>
      <c r="R24" s="137">
        <v>0.66666669999999995</v>
      </c>
      <c r="S24" s="137">
        <v>1</v>
      </c>
      <c r="T24" s="137">
        <v>1</v>
      </c>
      <c r="U24" s="137">
        <v>8.3333299999999999E-2</v>
      </c>
      <c r="V24" s="137">
        <v>0.83333330000000005</v>
      </c>
      <c r="W24" s="137">
        <v>0.66666669999999995</v>
      </c>
      <c r="X24" s="137">
        <v>0.58333330000000005</v>
      </c>
      <c r="Y24" s="137">
        <v>8.3333299999999999E-2</v>
      </c>
      <c r="Z24" s="137">
        <v>0.75</v>
      </c>
      <c r="AA24" s="137">
        <v>0.75</v>
      </c>
      <c r="AB24" s="137">
        <v>0.3333333</v>
      </c>
      <c r="AC24" s="137">
        <v>0.58333330000000005</v>
      </c>
      <c r="AD24" s="137">
        <v>0.5</v>
      </c>
      <c r="AE24" s="137">
        <v>0.66666669999999995</v>
      </c>
      <c r="AF24" s="137">
        <v>0</v>
      </c>
      <c r="AG24" s="137">
        <v>0.91666669999999995</v>
      </c>
      <c r="AH24" s="137">
        <v>0.66666669999999995</v>
      </c>
      <c r="AI24" s="137">
        <v>0.83333330000000005</v>
      </c>
      <c r="AJ24" s="137">
        <v>0.3333333</v>
      </c>
      <c r="AK24" s="137">
        <v>0.83333330000000005</v>
      </c>
      <c r="AL24" s="137">
        <v>0.83333330000000005</v>
      </c>
      <c r="AM24" s="137">
        <v>1</v>
      </c>
      <c r="AN24" s="137">
        <v>0.83333330000000005</v>
      </c>
      <c r="AO24" s="137">
        <v>0.83333330000000005</v>
      </c>
      <c r="AP24" s="137">
        <v>0.91666669999999995</v>
      </c>
      <c r="AQ24" s="137">
        <v>0.91666669999999995</v>
      </c>
      <c r="AR24" s="137">
        <v>0.3333333</v>
      </c>
      <c r="AS24" s="137">
        <v>0.83333330000000005</v>
      </c>
      <c r="AT24" s="137">
        <v>0.66666669999999995</v>
      </c>
      <c r="AU24" s="137">
        <v>1</v>
      </c>
      <c r="AV24" s="137">
        <v>8.3333299999999999E-2</v>
      </c>
      <c r="AW24" s="137">
        <v>0.66485510000000003</v>
      </c>
      <c r="AX24" s="78"/>
      <c r="AY24" s="279"/>
      <c r="AZ24" s="143" t="s">
        <v>749</v>
      </c>
      <c r="BA24" s="143" t="s">
        <v>730</v>
      </c>
      <c r="BB24" s="78" t="s">
        <v>1772</v>
      </c>
      <c r="BC24" s="78" t="s">
        <v>1773</v>
      </c>
      <c r="BD24" s="78" t="s">
        <v>1774</v>
      </c>
      <c r="BE24" s="78" t="s">
        <v>1332</v>
      </c>
      <c r="BF24" s="78" t="s">
        <v>1775</v>
      </c>
      <c r="BG24" s="78" t="s">
        <v>1776</v>
      </c>
      <c r="BH24" s="78" t="s">
        <v>1777</v>
      </c>
      <c r="BI24" s="78" t="s">
        <v>1778</v>
      </c>
      <c r="BJ24" s="78" t="s">
        <v>1779</v>
      </c>
      <c r="BK24" s="78" t="s">
        <v>1780</v>
      </c>
      <c r="BL24" s="78" t="s">
        <v>1781</v>
      </c>
      <c r="BM24" s="78" t="s">
        <v>1782</v>
      </c>
      <c r="BN24" s="78" t="s">
        <v>1783</v>
      </c>
      <c r="BO24" s="78" t="s">
        <v>1784</v>
      </c>
      <c r="BP24" s="78" t="s">
        <v>1785</v>
      </c>
      <c r="BQ24" s="78" t="s">
        <v>1786</v>
      </c>
      <c r="BR24" s="78" t="s">
        <v>1787</v>
      </c>
      <c r="BS24" s="78" t="s">
        <v>1788</v>
      </c>
      <c r="BT24" s="78" t="s">
        <v>1789</v>
      </c>
      <c r="BU24" s="78" t="s">
        <v>1790</v>
      </c>
      <c r="BV24" s="78" t="s">
        <v>1791</v>
      </c>
      <c r="BW24" s="78" t="s">
        <v>1792</v>
      </c>
      <c r="BX24" s="78" t="s">
        <v>1793</v>
      </c>
      <c r="BY24" s="78" t="s">
        <v>1794</v>
      </c>
      <c r="BZ24" s="78" t="s">
        <v>1795</v>
      </c>
      <c r="CA24" s="78" t="s">
        <v>1796</v>
      </c>
      <c r="CB24" s="78" t="s">
        <v>1797</v>
      </c>
      <c r="CC24" s="78" t="s">
        <v>1798</v>
      </c>
      <c r="CD24" s="78" t="s">
        <v>1799</v>
      </c>
      <c r="CE24" s="78" t="s">
        <v>968</v>
      </c>
      <c r="CF24" s="78" t="s">
        <v>1800</v>
      </c>
      <c r="CG24" s="78" t="s">
        <v>1801</v>
      </c>
      <c r="CH24" s="78" t="s">
        <v>1802</v>
      </c>
      <c r="CI24" s="78" t="s">
        <v>1803</v>
      </c>
      <c r="CJ24" s="78" t="s">
        <v>1804</v>
      </c>
      <c r="CK24" s="78" t="s">
        <v>1805</v>
      </c>
      <c r="CL24" s="78" t="s">
        <v>1806</v>
      </c>
      <c r="CM24" s="78" t="s">
        <v>1807</v>
      </c>
      <c r="CN24" s="78" t="s">
        <v>1808</v>
      </c>
      <c r="CO24" s="78" t="s">
        <v>1809</v>
      </c>
      <c r="CP24" s="78" t="s">
        <v>1810</v>
      </c>
      <c r="CQ24" s="78" t="s">
        <v>1811</v>
      </c>
      <c r="CR24" s="78" t="s">
        <v>1812</v>
      </c>
      <c r="CS24" s="78" t="s">
        <v>1813</v>
      </c>
      <c r="CT24" s="78" t="s">
        <v>1814</v>
      </c>
      <c r="CU24" s="78" t="s">
        <v>1645</v>
      </c>
    </row>
    <row r="25" spans="1:99" customFormat="1" x14ac:dyDescent="0.35">
      <c r="A25" s="143" t="s">
        <v>750</v>
      </c>
      <c r="B25" s="143" t="s">
        <v>751</v>
      </c>
      <c r="C25" s="137">
        <v>1</v>
      </c>
      <c r="D25" s="137">
        <v>1</v>
      </c>
      <c r="E25" s="137">
        <v>1</v>
      </c>
      <c r="F25" s="137">
        <v>1</v>
      </c>
      <c r="G25" s="137">
        <v>1</v>
      </c>
      <c r="H25" s="137">
        <v>1</v>
      </c>
      <c r="I25" s="137">
        <v>1</v>
      </c>
      <c r="J25" s="137">
        <v>1</v>
      </c>
      <c r="K25" s="137">
        <v>1</v>
      </c>
      <c r="L25" s="137">
        <v>1</v>
      </c>
      <c r="M25" s="137">
        <v>1</v>
      </c>
      <c r="N25" s="137">
        <v>1</v>
      </c>
      <c r="O25" s="137">
        <v>1</v>
      </c>
      <c r="P25" s="137">
        <v>0.83333330000000005</v>
      </c>
      <c r="Q25" s="137">
        <v>0.83333330000000005</v>
      </c>
      <c r="R25" s="137">
        <v>1</v>
      </c>
      <c r="S25" s="137">
        <v>1</v>
      </c>
      <c r="T25" s="137">
        <v>1</v>
      </c>
      <c r="U25" s="137">
        <v>0</v>
      </c>
      <c r="V25" s="137">
        <v>1</v>
      </c>
      <c r="W25" s="137">
        <v>1</v>
      </c>
      <c r="X25" s="137">
        <v>0</v>
      </c>
      <c r="Y25" s="137">
        <v>0.83333330000000005</v>
      </c>
      <c r="Z25" s="137">
        <v>1</v>
      </c>
      <c r="AA25" s="137">
        <v>0.66666669999999995</v>
      </c>
      <c r="AB25" s="137">
        <v>0</v>
      </c>
      <c r="AC25" s="137">
        <v>0.5</v>
      </c>
      <c r="AD25" s="137">
        <v>0.5</v>
      </c>
      <c r="AE25" s="137">
        <v>1</v>
      </c>
      <c r="AF25" s="137">
        <v>0</v>
      </c>
      <c r="AG25" s="137">
        <v>1</v>
      </c>
      <c r="AH25" s="137">
        <v>1</v>
      </c>
      <c r="AI25" s="137">
        <v>1</v>
      </c>
      <c r="AJ25" s="137">
        <v>1</v>
      </c>
      <c r="AK25" s="137">
        <v>1</v>
      </c>
      <c r="AL25" s="137">
        <v>1</v>
      </c>
      <c r="AM25" s="137">
        <v>1</v>
      </c>
      <c r="AN25" s="137">
        <v>1</v>
      </c>
      <c r="AO25" s="137">
        <v>1</v>
      </c>
      <c r="AP25" s="137">
        <v>1</v>
      </c>
      <c r="AQ25" s="137">
        <v>1</v>
      </c>
      <c r="AR25" s="137">
        <v>0.66666669999999995</v>
      </c>
      <c r="AS25" s="137">
        <v>1</v>
      </c>
      <c r="AT25" s="137">
        <v>1</v>
      </c>
      <c r="AU25" s="137">
        <v>1</v>
      </c>
      <c r="AV25" s="137">
        <v>0.3333333</v>
      </c>
      <c r="AW25" s="137">
        <v>0.85144929999999996</v>
      </c>
      <c r="AX25" s="78"/>
      <c r="AY25" s="279"/>
      <c r="AZ25" s="143" t="s">
        <v>750</v>
      </c>
      <c r="BA25" s="143" t="s">
        <v>751</v>
      </c>
      <c r="BB25" s="78" t="s">
        <v>1815</v>
      </c>
      <c r="BC25" s="78" t="s">
        <v>1816</v>
      </c>
      <c r="BD25" s="78" t="s">
        <v>1817</v>
      </c>
      <c r="BE25" s="78" t="s">
        <v>1818</v>
      </c>
      <c r="BF25" s="78" t="s">
        <v>1819</v>
      </c>
      <c r="BG25" s="78" t="s">
        <v>1820</v>
      </c>
      <c r="BH25" s="78" t="s">
        <v>1821</v>
      </c>
      <c r="BI25" s="78" t="s">
        <v>1822</v>
      </c>
      <c r="BJ25" s="78" t="s">
        <v>1823</v>
      </c>
      <c r="BK25" s="78" t="s">
        <v>1824</v>
      </c>
      <c r="BL25" s="78" t="s">
        <v>1825</v>
      </c>
      <c r="BM25" s="78" t="s">
        <v>1826</v>
      </c>
      <c r="BN25" s="78" t="s">
        <v>1827</v>
      </c>
      <c r="BO25" s="78" t="s">
        <v>1828</v>
      </c>
      <c r="BP25" s="78" t="s">
        <v>1829</v>
      </c>
      <c r="BQ25" s="78" t="s">
        <v>1830</v>
      </c>
      <c r="BR25" s="78" t="s">
        <v>1831</v>
      </c>
      <c r="BS25" s="78" t="s">
        <v>957</v>
      </c>
      <c r="BT25" s="78" t="s">
        <v>968</v>
      </c>
      <c r="BU25" s="78" t="s">
        <v>1832</v>
      </c>
      <c r="BV25" s="78" t="s">
        <v>1833</v>
      </c>
      <c r="BW25" s="78" t="s">
        <v>1834</v>
      </c>
      <c r="BX25" s="78" t="s">
        <v>1835</v>
      </c>
      <c r="BY25" s="78" t="s">
        <v>1836</v>
      </c>
      <c r="BZ25" s="78" t="s">
        <v>1837</v>
      </c>
      <c r="CA25" s="78" t="s">
        <v>968</v>
      </c>
      <c r="CB25" s="78" t="s">
        <v>1838</v>
      </c>
      <c r="CC25" s="78" t="s">
        <v>1839</v>
      </c>
      <c r="CD25" s="78" t="s">
        <v>1840</v>
      </c>
      <c r="CE25" s="78" t="s">
        <v>968</v>
      </c>
      <c r="CF25" s="78" t="s">
        <v>1841</v>
      </c>
      <c r="CG25" s="78" t="s">
        <v>1842</v>
      </c>
      <c r="CH25" s="78" t="s">
        <v>1843</v>
      </c>
      <c r="CI25" s="78" t="s">
        <v>1844</v>
      </c>
      <c r="CJ25" s="78" t="s">
        <v>1845</v>
      </c>
      <c r="CK25" s="78" t="s">
        <v>1846</v>
      </c>
      <c r="CL25" s="78" t="s">
        <v>1847</v>
      </c>
      <c r="CM25" s="78" t="s">
        <v>1848</v>
      </c>
      <c r="CN25" s="78" t="s">
        <v>1849</v>
      </c>
      <c r="CO25" s="78" t="s">
        <v>1850</v>
      </c>
      <c r="CP25" s="78" t="s">
        <v>1851</v>
      </c>
      <c r="CQ25" s="78" t="s">
        <v>1852</v>
      </c>
      <c r="CR25" s="78" t="s">
        <v>1853</v>
      </c>
      <c r="CS25" s="78" t="s">
        <v>1854</v>
      </c>
      <c r="CT25" s="78" t="s">
        <v>1855</v>
      </c>
      <c r="CU25" s="78" t="s">
        <v>1856</v>
      </c>
    </row>
    <row r="26" spans="1:99" customFormat="1" x14ac:dyDescent="0.35">
      <c r="A26" s="143" t="s">
        <v>752</v>
      </c>
      <c r="B26" s="143" t="s">
        <v>753</v>
      </c>
      <c r="C26" s="137">
        <v>1</v>
      </c>
      <c r="D26" s="137">
        <v>1</v>
      </c>
      <c r="E26" s="137">
        <v>1</v>
      </c>
      <c r="F26" s="137">
        <v>1</v>
      </c>
      <c r="G26" s="137">
        <v>1</v>
      </c>
      <c r="H26" s="137">
        <v>1</v>
      </c>
      <c r="I26" s="137">
        <v>0.75</v>
      </c>
      <c r="J26" s="137">
        <v>0.75</v>
      </c>
      <c r="K26" s="137">
        <v>0.25</v>
      </c>
      <c r="L26" s="137">
        <v>0.5</v>
      </c>
      <c r="M26" s="137">
        <v>1</v>
      </c>
      <c r="N26" s="137">
        <v>1</v>
      </c>
      <c r="O26" s="137">
        <v>1</v>
      </c>
      <c r="P26" s="137">
        <v>1</v>
      </c>
      <c r="Q26" s="137">
        <v>0.5</v>
      </c>
      <c r="R26" s="137">
        <v>0.75</v>
      </c>
      <c r="S26" s="137">
        <v>1</v>
      </c>
      <c r="T26" s="137">
        <v>1</v>
      </c>
      <c r="U26" s="137">
        <v>0</v>
      </c>
      <c r="V26" s="137">
        <v>1</v>
      </c>
      <c r="W26" s="137">
        <v>1</v>
      </c>
      <c r="X26" s="137">
        <v>1</v>
      </c>
      <c r="Y26" s="137">
        <v>0</v>
      </c>
      <c r="Z26" s="137">
        <v>1</v>
      </c>
      <c r="AA26" s="137">
        <v>0.25</v>
      </c>
      <c r="AB26" s="137">
        <v>0.25</v>
      </c>
      <c r="AC26" s="137">
        <v>1</v>
      </c>
      <c r="AD26" s="137">
        <v>1</v>
      </c>
      <c r="AE26" s="137">
        <v>1</v>
      </c>
      <c r="AF26" s="137">
        <v>0</v>
      </c>
      <c r="AG26" s="137">
        <v>0.75</v>
      </c>
      <c r="AH26" s="137">
        <v>1</v>
      </c>
      <c r="AI26" s="137">
        <v>1</v>
      </c>
      <c r="AJ26" s="137">
        <v>1</v>
      </c>
      <c r="AK26" s="137">
        <v>1</v>
      </c>
      <c r="AL26" s="137">
        <v>1</v>
      </c>
      <c r="AM26" s="137">
        <v>1</v>
      </c>
      <c r="AN26" s="137">
        <v>1</v>
      </c>
      <c r="AO26" s="137">
        <v>1</v>
      </c>
      <c r="AP26" s="137">
        <v>1</v>
      </c>
      <c r="AQ26" s="137">
        <v>1</v>
      </c>
      <c r="AR26" s="137">
        <v>0.5</v>
      </c>
      <c r="AS26" s="137">
        <v>0.75</v>
      </c>
      <c r="AT26" s="137">
        <v>0.75</v>
      </c>
      <c r="AU26" s="137">
        <v>1</v>
      </c>
      <c r="AV26" s="137">
        <v>0.5</v>
      </c>
      <c r="AW26" s="137">
        <v>0.80978260000000002</v>
      </c>
      <c r="AX26" s="78"/>
      <c r="AY26" s="279"/>
      <c r="AZ26" s="143" t="s">
        <v>752</v>
      </c>
      <c r="BA26" s="143" t="s">
        <v>753</v>
      </c>
      <c r="BB26" s="78" t="s">
        <v>1857</v>
      </c>
      <c r="BC26" s="78" t="s">
        <v>1858</v>
      </c>
      <c r="BD26" s="78" t="s">
        <v>1859</v>
      </c>
      <c r="BE26" s="78" t="s">
        <v>1860</v>
      </c>
      <c r="BF26" s="78" t="s">
        <v>1861</v>
      </c>
      <c r="BG26" s="78" t="s">
        <v>1862</v>
      </c>
      <c r="BH26" s="78" t="s">
        <v>1863</v>
      </c>
      <c r="BI26" s="78" t="s">
        <v>1864</v>
      </c>
      <c r="BJ26" s="78" t="s">
        <v>1865</v>
      </c>
      <c r="BK26" s="78" t="s">
        <v>1866</v>
      </c>
      <c r="BL26" s="78" t="s">
        <v>1867</v>
      </c>
      <c r="BM26" s="78" t="s">
        <v>1868</v>
      </c>
      <c r="BN26" s="78" t="s">
        <v>1869</v>
      </c>
      <c r="BO26" s="78" t="s">
        <v>1870</v>
      </c>
      <c r="BP26" s="78" t="s">
        <v>1871</v>
      </c>
      <c r="BQ26" s="78" t="s">
        <v>1872</v>
      </c>
      <c r="BR26" s="78" t="s">
        <v>1873</v>
      </c>
      <c r="BS26" s="78" t="s">
        <v>1874</v>
      </c>
      <c r="BT26" s="78" t="s">
        <v>968</v>
      </c>
      <c r="BU26" s="78" t="s">
        <v>1875</v>
      </c>
      <c r="BV26" s="78" t="s">
        <v>1876</v>
      </c>
      <c r="BW26" s="78" t="s">
        <v>1877</v>
      </c>
      <c r="BX26" s="78" t="s">
        <v>968</v>
      </c>
      <c r="BY26" s="78" t="s">
        <v>1878</v>
      </c>
      <c r="BZ26" s="78" t="s">
        <v>1879</v>
      </c>
      <c r="CA26" s="78" t="s">
        <v>1880</v>
      </c>
      <c r="CB26" s="78" t="s">
        <v>1881</v>
      </c>
      <c r="CC26" s="78" t="s">
        <v>1882</v>
      </c>
      <c r="CD26" s="78" t="s">
        <v>1883</v>
      </c>
      <c r="CE26" s="78" t="s">
        <v>968</v>
      </c>
      <c r="CF26" s="78" t="s">
        <v>1884</v>
      </c>
      <c r="CG26" s="78" t="s">
        <v>1885</v>
      </c>
      <c r="CH26" s="78" t="s">
        <v>1886</v>
      </c>
      <c r="CI26" s="78" t="s">
        <v>1887</v>
      </c>
      <c r="CJ26" s="78" t="s">
        <v>1888</v>
      </c>
      <c r="CK26" s="78" t="s">
        <v>1889</v>
      </c>
      <c r="CL26" s="78" t="s">
        <v>1890</v>
      </c>
      <c r="CM26" s="78" t="s">
        <v>1891</v>
      </c>
      <c r="CN26" s="78" t="s">
        <v>1892</v>
      </c>
      <c r="CO26" s="78" t="s">
        <v>1893</v>
      </c>
      <c r="CP26" s="78" t="s">
        <v>1894</v>
      </c>
      <c r="CQ26" s="78" t="s">
        <v>1895</v>
      </c>
      <c r="CR26" s="78" t="s">
        <v>1896</v>
      </c>
      <c r="CS26" s="78" t="s">
        <v>1897</v>
      </c>
      <c r="CT26" s="78" t="s">
        <v>1898</v>
      </c>
      <c r="CU26" s="78" t="s">
        <v>1093</v>
      </c>
    </row>
    <row r="27" spans="1:99" customFormat="1" x14ac:dyDescent="0.35">
      <c r="A27" s="143" t="s">
        <v>754</v>
      </c>
      <c r="B27" s="143" t="s">
        <v>736</v>
      </c>
      <c r="C27" s="137">
        <v>1</v>
      </c>
      <c r="D27" s="137">
        <v>1</v>
      </c>
      <c r="E27" s="137">
        <v>1</v>
      </c>
      <c r="F27" s="137">
        <v>0.83333330000000005</v>
      </c>
      <c r="G27" s="137">
        <v>0.83333330000000005</v>
      </c>
      <c r="H27" s="137">
        <v>1</v>
      </c>
      <c r="I27" s="137">
        <v>0.83333330000000005</v>
      </c>
      <c r="J27" s="137">
        <v>1</v>
      </c>
      <c r="K27" s="137">
        <v>1</v>
      </c>
      <c r="L27" s="137">
        <v>1</v>
      </c>
      <c r="M27" s="137">
        <v>1</v>
      </c>
      <c r="N27" s="137">
        <v>1</v>
      </c>
      <c r="O27" s="137">
        <v>0.83333330000000005</v>
      </c>
      <c r="P27" s="137">
        <v>1</v>
      </c>
      <c r="Q27" s="137">
        <v>0</v>
      </c>
      <c r="R27" s="137">
        <v>1</v>
      </c>
      <c r="S27" s="137">
        <v>1</v>
      </c>
      <c r="T27" s="137">
        <v>0.83333330000000005</v>
      </c>
      <c r="U27" s="137">
        <v>0</v>
      </c>
      <c r="V27" s="137">
        <v>1</v>
      </c>
      <c r="W27" s="137">
        <v>1</v>
      </c>
      <c r="X27" s="137">
        <v>1</v>
      </c>
      <c r="Y27" s="137">
        <v>0.5</v>
      </c>
      <c r="Z27" s="137">
        <v>0.83333330000000005</v>
      </c>
      <c r="AA27" s="137">
        <v>0.5</v>
      </c>
      <c r="AB27" s="137">
        <v>0.83333330000000005</v>
      </c>
      <c r="AC27" s="137">
        <v>0.66666669999999995</v>
      </c>
      <c r="AD27" s="137">
        <v>1</v>
      </c>
      <c r="AE27" s="137">
        <v>0.83333330000000005</v>
      </c>
      <c r="AF27" s="137">
        <v>0</v>
      </c>
      <c r="AG27" s="137">
        <v>0.83333330000000005</v>
      </c>
      <c r="AH27" s="137">
        <v>1</v>
      </c>
      <c r="AI27" s="137">
        <v>1</v>
      </c>
      <c r="AJ27" s="137">
        <v>0.3333333</v>
      </c>
      <c r="AK27" s="137">
        <v>0.83333330000000005</v>
      </c>
      <c r="AL27" s="137">
        <v>0.3333333</v>
      </c>
      <c r="AM27" s="137">
        <v>1</v>
      </c>
      <c r="AN27" s="137">
        <v>1</v>
      </c>
      <c r="AO27" s="137">
        <v>1</v>
      </c>
      <c r="AP27" s="137">
        <v>0.66666669999999995</v>
      </c>
      <c r="AQ27" s="137">
        <v>1</v>
      </c>
      <c r="AR27" s="137">
        <v>1</v>
      </c>
      <c r="AS27" s="137">
        <v>1</v>
      </c>
      <c r="AT27" s="137">
        <v>1</v>
      </c>
      <c r="AU27" s="137">
        <v>1</v>
      </c>
      <c r="AV27" s="137">
        <v>0.83333330000000005</v>
      </c>
      <c r="AW27" s="137">
        <v>0.82971010000000001</v>
      </c>
      <c r="AX27" s="78"/>
      <c r="AY27" s="279"/>
      <c r="AZ27" s="143" t="s">
        <v>754</v>
      </c>
      <c r="BA27" s="143" t="s">
        <v>736</v>
      </c>
      <c r="BB27" s="78" t="s">
        <v>1899</v>
      </c>
      <c r="BC27" s="78" t="s">
        <v>1900</v>
      </c>
      <c r="BD27" s="78" t="s">
        <v>1901</v>
      </c>
      <c r="BE27" s="78" t="s">
        <v>1902</v>
      </c>
      <c r="BF27" s="78" t="s">
        <v>1903</v>
      </c>
      <c r="BG27" s="78" t="s">
        <v>1904</v>
      </c>
      <c r="BH27" s="78" t="s">
        <v>1905</v>
      </c>
      <c r="BI27" s="78" t="s">
        <v>1906</v>
      </c>
      <c r="BJ27" s="78" t="s">
        <v>1907</v>
      </c>
      <c r="BK27" s="78" t="s">
        <v>1908</v>
      </c>
      <c r="BL27" s="78" t="s">
        <v>1909</v>
      </c>
      <c r="BM27" s="78" t="s">
        <v>1910</v>
      </c>
      <c r="BN27" s="78" t="s">
        <v>1911</v>
      </c>
      <c r="BO27" s="78" t="s">
        <v>1912</v>
      </c>
      <c r="BP27" s="78" t="s">
        <v>968</v>
      </c>
      <c r="BQ27" s="78" t="s">
        <v>1913</v>
      </c>
      <c r="BR27" s="78" t="s">
        <v>1914</v>
      </c>
      <c r="BS27" s="78" t="s">
        <v>1915</v>
      </c>
      <c r="BT27" s="78" t="s">
        <v>968</v>
      </c>
      <c r="BU27" s="78" t="s">
        <v>1916</v>
      </c>
      <c r="BV27" s="78" t="s">
        <v>1917</v>
      </c>
      <c r="BW27" s="78" t="s">
        <v>1918</v>
      </c>
      <c r="BX27" s="78" t="s">
        <v>1919</v>
      </c>
      <c r="BY27" s="78" t="s">
        <v>1920</v>
      </c>
      <c r="BZ27" s="78" t="s">
        <v>1921</v>
      </c>
      <c r="CA27" s="78" t="s">
        <v>1922</v>
      </c>
      <c r="CB27" s="78" t="s">
        <v>1923</v>
      </c>
      <c r="CC27" s="78" t="s">
        <v>1924</v>
      </c>
      <c r="CD27" s="78" t="s">
        <v>1925</v>
      </c>
      <c r="CE27" s="78" t="s">
        <v>968</v>
      </c>
      <c r="CF27" s="78" t="s">
        <v>1926</v>
      </c>
      <c r="CG27" s="78" t="s">
        <v>1927</v>
      </c>
      <c r="CH27" s="78" t="s">
        <v>1928</v>
      </c>
      <c r="CI27" s="78" t="s">
        <v>1929</v>
      </c>
      <c r="CJ27" s="78" t="s">
        <v>1930</v>
      </c>
      <c r="CK27" s="78" t="s">
        <v>1931</v>
      </c>
      <c r="CL27" s="78" t="s">
        <v>1932</v>
      </c>
      <c r="CM27" s="78" t="s">
        <v>1933</v>
      </c>
      <c r="CN27" s="78" t="s">
        <v>1934</v>
      </c>
      <c r="CO27" s="78" t="s">
        <v>1935</v>
      </c>
      <c r="CP27" s="78" t="s">
        <v>1936</v>
      </c>
      <c r="CQ27" s="78" t="s">
        <v>1937</v>
      </c>
      <c r="CR27" s="78" t="s">
        <v>1938</v>
      </c>
      <c r="CS27" s="78" t="s">
        <v>1939</v>
      </c>
      <c r="CT27" s="78" t="s">
        <v>1940</v>
      </c>
      <c r="CU27" s="78" t="s">
        <v>1941</v>
      </c>
    </row>
    <row r="28" spans="1:99" customFormat="1" x14ac:dyDescent="0.35">
      <c r="A28" s="143" t="s">
        <v>755</v>
      </c>
      <c r="B28" s="143" t="s">
        <v>753</v>
      </c>
      <c r="C28" s="137">
        <v>1</v>
      </c>
      <c r="D28" s="137">
        <v>1</v>
      </c>
      <c r="E28" s="137">
        <v>0.83333330000000005</v>
      </c>
      <c r="F28" s="137">
        <v>0.3333333</v>
      </c>
      <c r="G28" s="137">
        <v>1</v>
      </c>
      <c r="H28" s="137">
        <v>1</v>
      </c>
      <c r="I28" s="137">
        <v>1</v>
      </c>
      <c r="J28" s="137">
        <v>0.83333330000000005</v>
      </c>
      <c r="K28" s="137">
        <v>1</v>
      </c>
      <c r="L28" s="137">
        <v>1</v>
      </c>
      <c r="M28" s="137">
        <v>1</v>
      </c>
      <c r="N28" s="137">
        <v>1</v>
      </c>
      <c r="O28" s="137">
        <v>1</v>
      </c>
      <c r="P28" s="137">
        <v>0.66666669999999995</v>
      </c>
      <c r="Q28" s="137">
        <v>0.1666667</v>
      </c>
      <c r="R28" s="137">
        <v>0.3333333</v>
      </c>
      <c r="S28" s="137">
        <v>1</v>
      </c>
      <c r="T28" s="137">
        <v>0.5</v>
      </c>
      <c r="U28" s="137">
        <v>0.1666667</v>
      </c>
      <c r="V28" s="137">
        <v>0.83333330000000005</v>
      </c>
      <c r="W28" s="137">
        <v>1</v>
      </c>
      <c r="X28" s="137">
        <v>0.1666667</v>
      </c>
      <c r="Y28" s="137">
        <v>0.3333333</v>
      </c>
      <c r="Z28" s="137">
        <v>0.5</v>
      </c>
      <c r="AA28" s="137">
        <v>0.1666667</v>
      </c>
      <c r="AB28" s="137">
        <v>0.3333333</v>
      </c>
      <c r="AC28" s="137">
        <v>0.66666669999999995</v>
      </c>
      <c r="AD28" s="137">
        <v>0.83333330000000005</v>
      </c>
      <c r="AE28" s="137">
        <v>0.3333333</v>
      </c>
      <c r="AF28" s="137">
        <v>0</v>
      </c>
      <c r="AG28" s="137">
        <v>0.5</v>
      </c>
      <c r="AH28" s="137">
        <v>0.3333333</v>
      </c>
      <c r="AI28" s="137">
        <v>1</v>
      </c>
      <c r="AJ28" s="137">
        <v>0.66666669999999995</v>
      </c>
      <c r="AK28" s="137">
        <v>0.5</v>
      </c>
      <c r="AL28" s="137">
        <v>0.66666669999999995</v>
      </c>
      <c r="AM28" s="137">
        <v>0.83333330000000005</v>
      </c>
      <c r="AN28" s="137">
        <v>0.83333330000000005</v>
      </c>
      <c r="AO28" s="137">
        <v>1</v>
      </c>
      <c r="AP28" s="137">
        <v>0.83333330000000005</v>
      </c>
      <c r="AQ28" s="137">
        <v>0.83333330000000005</v>
      </c>
      <c r="AR28" s="137">
        <v>0.66666669999999995</v>
      </c>
      <c r="AS28" s="137">
        <v>1</v>
      </c>
      <c r="AT28" s="137">
        <v>0.83333330000000005</v>
      </c>
      <c r="AU28" s="137">
        <v>0.66666669999999995</v>
      </c>
      <c r="AV28" s="137">
        <v>0</v>
      </c>
      <c r="AW28" s="137">
        <v>0.67753620000000003</v>
      </c>
      <c r="AX28" s="78"/>
      <c r="AY28" s="279"/>
      <c r="AZ28" s="143" t="s">
        <v>755</v>
      </c>
      <c r="BA28" s="143" t="s">
        <v>753</v>
      </c>
      <c r="BB28" s="78" t="s">
        <v>1942</v>
      </c>
      <c r="BC28" s="78" t="s">
        <v>1943</v>
      </c>
      <c r="BD28" s="78" t="s">
        <v>1944</v>
      </c>
      <c r="BE28" s="78" t="s">
        <v>1945</v>
      </c>
      <c r="BF28" s="78" t="s">
        <v>1946</v>
      </c>
      <c r="BG28" s="78" t="s">
        <v>1947</v>
      </c>
      <c r="BH28" s="78" t="s">
        <v>1948</v>
      </c>
      <c r="BI28" s="78" t="s">
        <v>1949</v>
      </c>
      <c r="BJ28" s="78" t="s">
        <v>1950</v>
      </c>
      <c r="BK28" s="78" t="s">
        <v>1951</v>
      </c>
      <c r="BL28" s="78" t="s">
        <v>1952</v>
      </c>
      <c r="BM28" s="78" t="s">
        <v>1953</v>
      </c>
      <c r="BN28" s="78" t="s">
        <v>1954</v>
      </c>
      <c r="BO28" s="78" t="s">
        <v>1955</v>
      </c>
      <c r="BP28" s="78" t="s">
        <v>1956</v>
      </c>
      <c r="BQ28" s="78" t="s">
        <v>1957</v>
      </c>
      <c r="BR28" s="78" t="s">
        <v>1958</v>
      </c>
      <c r="BS28" s="78" t="s">
        <v>1959</v>
      </c>
      <c r="BT28" s="78" t="s">
        <v>1960</v>
      </c>
      <c r="BU28" s="78" t="s">
        <v>1961</v>
      </c>
      <c r="BV28" s="78" t="s">
        <v>1962</v>
      </c>
      <c r="BW28" s="78" t="s">
        <v>1963</v>
      </c>
      <c r="BX28" s="78" t="s">
        <v>1964</v>
      </c>
      <c r="BY28" s="78" t="s">
        <v>1965</v>
      </c>
      <c r="BZ28" s="78" t="s">
        <v>1966</v>
      </c>
      <c r="CA28" s="78" t="s">
        <v>1967</v>
      </c>
      <c r="CB28" s="78" t="s">
        <v>1968</v>
      </c>
      <c r="CC28" s="78" t="s">
        <v>1969</v>
      </c>
      <c r="CD28" s="78" t="s">
        <v>1970</v>
      </c>
      <c r="CE28" s="78" t="s">
        <v>1971</v>
      </c>
      <c r="CF28" s="78" t="s">
        <v>1972</v>
      </c>
      <c r="CG28" s="78" t="s">
        <v>1973</v>
      </c>
      <c r="CH28" s="78" t="s">
        <v>1974</v>
      </c>
      <c r="CI28" s="78" t="s">
        <v>1975</v>
      </c>
      <c r="CJ28" s="78" t="s">
        <v>1976</v>
      </c>
      <c r="CK28" s="78" t="s">
        <v>1977</v>
      </c>
      <c r="CL28" s="78" t="s">
        <v>1978</v>
      </c>
      <c r="CM28" s="78" t="s">
        <v>1979</v>
      </c>
      <c r="CN28" s="78" t="s">
        <v>1980</v>
      </c>
      <c r="CO28" s="78" t="s">
        <v>1981</v>
      </c>
      <c r="CP28" s="78" t="s">
        <v>1982</v>
      </c>
      <c r="CQ28" s="78" t="s">
        <v>1983</v>
      </c>
      <c r="CR28" s="78" t="s">
        <v>1984</v>
      </c>
      <c r="CS28" s="78" t="s">
        <v>1985</v>
      </c>
      <c r="CT28" s="78" t="s">
        <v>1986</v>
      </c>
      <c r="CU28" s="78" t="s">
        <v>968</v>
      </c>
    </row>
    <row r="29" spans="1:99" customFormat="1" x14ac:dyDescent="0.35">
      <c r="A29" s="143" t="s">
        <v>756</v>
      </c>
      <c r="B29" s="143" t="s">
        <v>728</v>
      </c>
      <c r="C29" s="137">
        <v>1</v>
      </c>
      <c r="D29" s="137">
        <v>0.5</v>
      </c>
      <c r="E29" s="137">
        <v>0.25</v>
      </c>
      <c r="F29" s="137">
        <v>0</v>
      </c>
      <c r="G29" s="137">
        <v>1</v>
      </c>
      <c r="H29" s="137">
        <v>1</v>
      </c>
      <c r="I29" s="137">
        <v>0.75</v>
      </c>
      <c r="J29" s="137">
        <v>0.25</v>
      </c>
      <c r="K29" s="137">
        <v>0.5</v>
      </c>
      <c r="L29" s="137">
        <v>0.75</v>
      </c>
      <c r="M29" s="137">
        <v>0.5</v>
      </c>
      <c r="N29" s="137">
        <v>0.75</v>
      </c>
      <c r="O29" s="137">
        <v>1</v>
      </c>
      <c r="P29" s="137">
        <v>0.75</v>
      </c>
      <c r="Q29" s="137">
        <v>0.25</v>
      </c>
      <c r="R29" s="137">
        <v>0.25</v>
      </c>
      <c r="S29" s="137">
        <v>0.75</v>
      </c>
      <c r="T29" s="137">
        <v>0.75</v>
      </c>
      <c r="U29" s="137">
        <v>0</v>
      </c>
      <c r="V29" s="137">
        <v>0.75</v>
      </c>
      <c r="W29" s="137">
        <v>0.75</v>
      </c>
      <c r="X29" s="137">
        <v>0.75</v>
      </c>
      <c r="Y29" s="137">
        <v>1</v>
      </c>
      <c r="Z29" s="137">
        <v>1</v>
      </c>
      <c r="AA29" s="137">
        <v>0.25</v>
      </c>
      <c r="AB29" s="137">
        <v>0</v>
      </c>
      <c r="AC29" s="137">
        <v>0.5</v>
      </c>
      <c r="AD29" s="137">
        <v>0.5</v>
      </c>
      <c r="AE29" s="137">
        <v>0.25</v>
      </c>
      <c r="AF29" s="137">
        <v>0</v>
      </c>
      <c r="AG29" s="137">
        <v>0.25</v>
      </c>
      <c r="AH29" s="137">
        <v>0.25</v>
      </c>
      <c r="AI29" s="137">
        <v>1</v>
      </c>
      <c r="AJ29" s="137">
        <v>0.75</v>
      </c>
      <c r="AK29" s="137">
        <v>0.25</v>
      </c>
      <c r="AL29" s="137">
        <v>0.5</v>
      </c>
      <c r="AM29" s="137">
        <v>0.5</v>
      </c>
      <c r="AN29" s="137">
        <v>0.5</v>
      </c>
      <c r="AO29" s="137">
        <v>0.5</v>
      </c>
      <c r="AP29" s="137">
        <v>1</v>
      </c>
      <c r="AQ29" s="137">
        <v>1</v>
      </c>
      <c r="AR29" s="137">
        <v>0.25</v>
      </c>
      <c r="AS29" s="137">
        <v>1</v>
      </c>
      <c r="AT29" s="137">
        <v>1</v>
      </c>
      <c r="AU29" s="137">
        <v>0.5</v>
      </c>
      <c r="AV29" s="137">
        <v>0</v>
      </c>
      <c r="AW29" s="137">
        <v>0.56521739999999998</v>
      </c>
      <c r="AX29" s="78"/>
      <c r="AY29" s="279"/>
      <c r="AZ29" s="143" t="s">
        <v>756</v>
      </c>
      <c r="BA29" s="143" t="s">
        <v>728</v>
      </c>
      <c r="BB29" s="78" t="s">
        <v>1987</v>
      </c>
      <c r="BC29" s="78" t="s">
        <v>1988</v>
      </c>
      <c r="BD29" s="78" t="s">
        <v>1989</v>
      </c>
      <c r="BE29" s="78" t="s">
        <v>968</v>
      </c>
      <c r="BF29" s="78" t="s">
        <v>1990</v>
      </c>
      <c r="BG29" s="78" t="s">
        <v>1991</v>
      </c>
      <c r="BH29" s="78" t="s">
        <v>1992</v>
      </c>
      <c r="BI29" s="78" t="s">
        <v>1993</v>
      </c>
      <c r="BJ29" s="78" t="s">
        <v>1994</v>
      </c>
      <c r="BK29" s="78" t="s">
        <v>1995</v>
      </c>
      <c r="BL29" s="78" t="s">
        <v>1996</v>
      </c>
      <c r="BM29" s="78" t="s">
        <v>1997</v>
      </c>
      <c r="BN29" s="78" t="s">
        <v>1998</v>
      </c>
      <c r="BO29" s="78" t="s">
        <v>1999</v>
      </c>
      <c r="BP29" s="78" t="s">
        <v>2000</v>
      </c>
      <c r="BQ29" s="78" t="s">
        <v>2001</v>
      </c>
      <c r="BR29" s="78" t="s">
        <v>2002</v>
      </c>
      <c r="BS29" s="78" t="s">
        <v>2003</v>
      </c>
      <c r="BT29" s="78" t="s">
        <v>968</v>
      </c>
      <c r="BU29" s="78" t="s">
        <v>2004</v>
      </c>
      <c r="BV29" s="78" t="s">
        <v>2005</v>
      </c>
      <c r="BW29" s="78" t="s">
        <v>2006</v>
      </c>
      <c r="BX29" s="78" t="s">
        <v>2007</v>
      </c>
      <c r="BY29" s="78" t="s">
        <v>2008</v>
      </c>
      <c r="BZ29" s="78" t="s">
        <v>2009</v>
      </c>
      <c r="CA29" s="78" t="s">
        <v>968</v>
      </c>
      <c r="CB29" s="78" t="s">
        <v>2010</v>
      </c>
      <c r="CC29" s="78" t="s">
        <v>2011</v>
      </c>
      <c r="CD29" s="78" t="s">
        <v>2012</v>
      </c>
      <c r="CE29" s="78" t="s">
        <v>968</v>
      </c>
      <c r="CF29" s="78" t="s">
        <v>2013</v>
      </c>
      <c r="CG29" s="78" t="s">
        <v>1880</v>
      </c>
      <c r="CH29" s="78" t="s">
        <v>2014</v>
      </c>
      <c r="CI29" s="78" t="s">
        <v>2015</v>
      </c>
      <c r="CJ29" s="78" t="s">
        <v>2016</v>
      </c>
      <c r="CK29" s="78" t="s">
        <v>2017</v>
      </c>
      <c r="CL29" s="78" t="s">
        <v>2018</v>
      </c>
      <c r="CM29" s="78" t="s">
        <v>2019</v>
      </c>
      <c r="CN29" s="78" t="s">
        <v>2020</v>
      </c>
      <c r="CO29" s="78" t="s">
        <v>2021</v>
      </c>
      <c r="CP29" s="78" t="s">
        <v>2022</v>
      </c>
      <c r="CQ29" s="78" t="s">
        <v>2023</v>
      </c>
      <c r="CR29" s="78" t="s">
        <v>2024</v>
      </c>
      <c r="CS29" s="78" t="s">
        <v>2025</v>
      </c>
      <c r="CT29" s="78" t="s">
        <v>2026</v>
      </c>
      <c r="CU29" s="78" t="s">
        <v>968</v>
      </c>
    </row>
    <row r="30" spans="1:99" customFormat="1" x14ac:dyDescent="0.35">
      <c r="A30" s="143" t="s">
        <v>757</v>
      </c>
      <c r="B30" s="143" t="s">
        <v>730</v>
      </c>
      <c r="C30" s="137">
        <v>1</v>
      </c>
      <c r="D30" s="137">
        <v>0.8</v>
      </c>
      <c r="E30" s="137">
        <v>0.8</v>
      </c>
      <c r="F30" s="137">
        <v>0.6</v>
      </c>
      <c r="G30" s="137">
        <v>1</v>
      </c>
      <c r="H30" s="137">
        <v>0.8</v>
      </c>
      <c r="I30" s="137">
        <v>0.8</v>
      </c>
      <c r="J30" s="137">
        <v>0.8</v>
      </c>
      <c r="K30" s="137">
        <v>1</v>
      </c>
      <c r="L30" s="137">
        <v>0.8</v>
      </c>
      <c r="M30" s="137">
        <v>0.8</v>
      </c>
      <c r="N30" s="137">
        <v>0.8</v>
      </c>
      <c r="O30" s="137">
        <v>0.8</v>
      </c>
      <c r="P30" s="137">
        <v>0.8</v>
      </c>
      <c r="Q30" s="137">
        <v>0.2</v>
      </c>
      <c r="R30" s="137">
        <v>0.8</v>
      </c>
      <c r="S30" s="137">
        <v>0.6</v>
      </c>
      <c r="T30" s="137">
        <v>0.8</v>
      </c>
      <c r="U30" s="137">
        <v>0</v>
      </c>
      <c r="V30" s="137">
        <v>1</v>
      </c>
      <c r="W30" s="137">
        <v>1</v>
      </c>
      <c r="X30" s="137">
        <v>0.8</v>
      </c>
      <c r="Y30" s="137">
        <v>0.8</v>
      </c>
      <c r="Z30" s="137">
        <v>0.8</v>
      </c>
      <c r="AA30" s="137">
        <v>0.8</v>
      </c>
      <c r="AB30" s="137">
        <v>0.4</v>
      </c>
      <c r="AC30" s="137">
        <v>0.2</v>
      </c>
      <c r="AD30" s="137">
        <v>0.4</v>
      </c>
      <c r="AE30" s="137">
        <v>0.2</v>
      </c>
      <c r="AF30" s="137">
        <v>0</v>
      </c>
      <c r="AG30" s="137">
        <v>0.8</v>
      </c>
      <c r="AH30" s="137">
        <v>0.6</v>
      </c>
      <c r="AI30" s="137">
        <v>1</v>
      </c>
      <c r="AJ30" s="137">
        <v>0.2</v>
      </c>
      <c r="AK30" s="137">
        <v>0.8</v>
      </c>
      <c r="AL30" s="137">
        <v>0.2</v>
      </c>
      <c r="AM30" s="137">
        <v>0.6</v>
      </c>
      <c r="AN30" s="137">
        <v>1</v>
      </c>
      <c r="AO30" s="137">
        <v>1</v>
      </c>
      <c r="AP30" s="137">
        <v>0.8</v>
      </c>
      <c r="AQ30" s="137">
        <v>1</v>
      </c>
      <c r="AR30" s="137">
        <v>0.6</v>
      </c>
      <c r="AS30" s="137">
        <v>0.8</v>
      </c>
      <c r="AT30" s="137">
        <v>1</v>
      </c>
      <c r="AU30" s="137">
        <v>0.6</v>
      </c>
      <c r="AV30" s="137">
        <v>0</v>
      </c>
      <c r="AW30" s="137">
        <v>0.68260869999999996</v>
      </c>
      <c r="AX30" s="78"/>
      <c r="AY30" s="279"/>
      <c r="AZ30" s="143" t="s">
        <v>757</v>
      </c>
      <c r="BA30" s="143" t="s">
        <v>730</v>
      </c>
      <c r="BB30" s="78" t="s">
        <v>2027</v>
      </c>
      <c r="BC30" s="78" t="s">
        <v>2028</v>
      </c>
      <c r="BD30" s="78" t="s">
        <v>2029</v>
      </c>
      <c r="BE30" s="78" t="s">
        <v>2030</v>
      </c>
      <c r="BF30" s="78" t="s">
        <v>2031</v>
      </c>
      <c r="BG30" s="78" t="s">
        <v>2032</v>
      </c>
      <c r="BH30" s="78" t="s">
        <v>2033</v>
      </c>
      <c r="BI30" s="78" t="s">
        <v>2034</v>
      </c>
      <c r="BJ30" s="78" t="s">
        <v>2035</v>
      </c>
      <c r="BK30" s="78" t="s">
        <v>2036</v>
      </c>
      <c r="BL30" s="78" t="s">
        <v>2037</v>
      </c>
      <c r="BM30" s="78" t="s">
        <v>2038</v>
      </c>
      <c r="BN30" s="78" t="s">
        <v>2039</v>
      </c>
      <c r="BO30" s="78" t="s">
        <v>2040</v>
      </c>
      <c r="BP30" s="78" t="s">
        <v>957</v>
      </c>
      <c r="BQ30" s="78" t="s">
        <v>2041</v>
      </c>
      <c r="BR30" s="78" t="s">
        <v>2042</v>
      </c>
      <c r="BS30" s="78" t="s">
        <v>957</v>
      </c>
      <c r="BT30" s="78" t="s">
        <v>968</v>
      </c>
      <c r="BU30" s="78" t="s">
        <v>2043</v>
      </c>
      <c r="BV30" s="78" t="s">
        <v>2044</v>
      </c>
      <c r="BW30" s="78" t="s">
        <v>2045</v>
      </c>
      <c r="BX30" s="78" t="s">
        <v>2046</v>
      </c>
      <c r="BY30" s="78" t="s">
        <v>2047</v>
      </c>
      <c r="BZ30" s="78" t="s">
        <v>2048</v>
      </c>
      <c r="CA30" s="78" t="s">
        <v>2049</v>
      </c>
      <c r="CB30" s="78" t="s">
        <v>2050</v>
      </c>
      <c r="CC30" s="78" t="s">
        <v>2051</v>
      </c>
      <c r="CD30" s="78" t="s">
        <v>957</v>
      </c>
      <c r="CE30" s="78" t="s">
        <v>968</v>
      </c>
      <c r="CF30" s="78" t="s">
        <v>2052</v>
      </c>
      <c r="CG30" s="78" t="s">
        <v>2053</v>
      </c>
      <c r="CH30" s="78" t="s">
        <v>2054</v>
      </c>
      <c r="CI30" s="78" t="s">
        <v>2055</v>
      </c>
      <c r="CJ30" s="78" t="s">
        <v>2056</v>
      </c>
      <c r="CK30" s="78" t="s">
        <v>2057</v>
      </c>
      <c r="CL30" s="78" t="s">
        <v>2058</v>
      </c>
      <c r="CM30" s="78" t="s">
        <v>2059</v>
      </c>
      <c r="CN30" s="78" t="s">
        <v>2060</v>
      </c>
      <c r="CO30" s="78" t="s">
        <v>2061</v>
      </c>
      <c r="CP30" s="78" t="s">
        <v>2062</v>
      </c>
      <c r="CQ30" s="78" t="s">
        <v>2063</v>
      </c>
      <c r="CR30" s="78" t="s">
        <v>2064</v>
      </c>
      <c r="CS30" s="78" t="s">
        <v>2065</v>
      </c>
      <c r="CT30" s="78" t="s">
        <v>2066</v>
      </c>
      <c r="CU30" s="78" t="s">
        <v>968</v>
      </c>
    </row>
    <row r="31" spans="1:99" customFormat="1" x14ac:dyDescent="0.35">
      <c r="A31" s="143" t="s">
        <v>758</v>
      </c>
      <c r="B31" s="143" t="s">
        <v>759</v>
      </c>
      <c r="C31" s="137">
        <v>1</v>
      </c>
      <c r="D31" s="137">
        <v>1</v>
      </c>
      <c r="E31" s="137">
        <v>0.83333330000000005</v>
      </c>
      <c r="F31" s="137">
        <v>1</v>
      </c>
      <c r="G31" s="137">
        <v>1</v>
      </c>
      <c r="H31" s="137">
        <v>0.5</v>
      </c>
      <c r="I31" s="137">
        <v>0.83333330000000005</v>
      </c>
      <c r="J31" s="137">
        <v>0.83333330000000005</v>
      </c>
      <c r="K31" s="137">
        <v>1</v>
      </c>
      <c r="L31" s="137">
        <v>1</v>
      </c>
      <c r="M31" s="137">
        <v>1</v>
      </c>
      <c r="N31" s="137">
        <v>1</v>
      </c>
      <c r="O31" s="137">
        <v>0.83333330000000005</v>
      </c>
      <c r="P31" s="137">
        <v>0.83333330000000005</v>
      </c>
      <c r="Q31" s="137">
        <v>0.3333333</v>
      </c>
      <c r="R31" s="137">
        <v>0.83333330000000005</v>
      </c>
      <c r="S31" s="137">
        <v>1</v>
      </c>
      <c r="T31" s="137">
        <v>0.66666669999999995</v>
      </c>
      <c r="U31" s="137">
        <v>0</v>
      </c>
      <c r="V31" s="137">
        <v>1</v>
      </c>
      <c r="W31" s="137">
        <v>1</v>
      </c>
      <c r="X31" s="137">
        <v>1</v>
      </c>
      <c r="Y31" s="137">
        <v>1</v>
      </c>
      <c r="Z31" s="137">
        <v>1</v>
      </c>
      <c r="AA31" s="137">
        <v>0.83333330000000005</v>
      </c>
      <c r="AB31" s="137">
        <v>0.3333333</v>
      </c>
      <c r="AC31" s="137">
        <v>0.3333333</v>
      </c>
      <c r="AD31" s="137">
        <v>0.3333333</v>
      </c>
      <c r="AE31" s="137">
        <v>0.3333333</v>
      </c>
      <c r="AF31" s="137">
        <v>0</v>
      </c>
      <c r="AG31" s="137">
        <v>1</v>
      </c>
      <c r="AH31" s="137">
        <v>0.83333330000000005</v>
      </c>
      <c r="AI31" s="137">
        <v>1</v>
      </c>
      <c r="AJ31" s="137">
        <v>0.83333330000000005</v>
      </c>
      <c r="AK31" s="137">
        <v>0.83333330000000005</v>
      </c>
      <c r="AL31" s="137">
        <v>1</v>
      </c>
      <c r="AM31" s="137">
        <v>1</v>
      </c>
      <c r="AN31" s="137">
        <v>0.83333330000000005</v>
      </c>
      <c r="AO31" s="137">
        <v>1</v>
      </c>
      <c r="AP31" s="137">
        <v>0.1666667</v>
      </c>
      <c r="AQ31" s="137">
        <v>0.83333330000000005</v>
      </c>
      <c r="AR31" s="137">
        <v>0.66666669999999995</v>
      </c>
      <c r="AS31" s="137">
        <v>0.83333330000000005</v>
      </c>
      <c r="AT31" s="137">
        <v>0.5</v>
      </c>
      <c r="AU31" s="137">
        <v>1</v>
      </c>
      <c r="AV31" s="137">
        <v>0.1666667</v>
      </c>
      <c r="AW31" s="137">
        <v>0.76449279999999997</v>
      </c>
      <c r="AX31" s="78"/>
      <c r="AY31" s="279"/>
      <c r="AZ31" s="143" t="s">
        <v>758</v>
      </c>
      <c r="BA31" s="143" t="s">
        <v>759</v>
      </c>
      <c r="BB31" s="78" t="s">
        <v>2067</v>
      </c>
      <c r="BC31" s="78" t="s">
        <v>2068</v>
      </c>
      <c r="BD31" s="78" t="s">
        <v>2069</v>
      </c>
      <c r="BE31" s="78" t="s">
        <v>2070</v>
      </c>
      <c r="BF31" s="78" t="s">
        <v>2071</v>
      </c>
      <c r="BG31" s="78" t="s">
        <v>2072</v>
      </c>
      <c r="BH31" s="78" t="s">
        <v>2073</v>
      </c>
      <c r="BI31" s="78" t="s">
        <v>2074</v>
      </c>
      <c r="BJ31" s="78" t="s">
        <v>2075</v>
      </c>
      <c r="BK31" s="78" t="s">
        <v>2076</v>
      </c>
      <c r="BL31" s="78" t="s">
        <v>2077</v>
      </c>
      <c r="BM31" s="78" t="s">
        <v>2078</v>
      </c>
      <c r="BN31" s="78" t="s">
        <v>2079</v>
      </c>
      <c r="BO31" s="78" t="s">
        <v>2080</v>
      </c>
      <c r="BP31" s="78" t="s">
        <v>2081</v>
      </c>
      <c r="BQ31" s="78" t="s">
        <v>2082</v>
      </c>
      <c r="BR31" s="78" t="s">
        <v>2083</v>
      </c>
      <c r="BS31" s="78" t="s">
        <v>2084</v>
      </c>
      <c r="BT31" s="78" t="s">
        <v>968</v>
      </c>
      <c r="BU31" s="78" t="s">
        <v>2085</v>
      </c>
      <c r="BV31" s="78" t="s">
        <v>2086</v>
      </c>
      <c r="BW31" s="78" t="s">
        <v>2087</v>
      </c>
      <c r="BX31" s="78" t="s">
        <v>2088</v>
      </c>
      <c r="BY31" s="78" t="s">
        <v>2089</v>
      </c>
      <c r="BZ31" s="78" t="s">
        <v>2090</v>
      </c>
      <c r="CA31" s="78" t="s">
        <v>2091</v>
      </c>
      <c r="CB31" s="78" t="s">
        <v>2092</v>
      </c>
      <c r="CC31" s="78" t="s">
        <v>2093</v>
      </c>
      <c r="CD31" s="78" t="s">
        <v>2094</v>
      </c>
      <c r="CE31" s="78" t="s">
        <v>968</v>
      </c>
      <c r="CF31" s="78" t="s">
        <v>2095</v>
      </c>
      <c r="CG31" s="78" t="s">
        <v>2096</v>
      </c>
      <c r="CH31" s="78" t="s">
        <v>2097</v>
      </c>
      <c r="CI31" s="78" t="s">
        <v>2098</v>
      </c>
      <c r="CJ31" s="78" t="s">
        <v>2099</v>
      </c>
      <c r="CK31" s="78" t="s">
        <v>2100</v>
      </c>
      <c r="CL31" s="78" t="s">
        <v>2101</v>
      </c>
      <c r="CM31" s="78" t="s">
        <v>2102</v>
      </c>
      <c r="CN31" s="78" t="s">
        <v>2103</v>
      </c>
      <c r="CO31" s="78" t="s">
        <v>2104</v>
      </c>
      <c r="CP31" s="78" t="s">
        <v>2105</v>
      </c>
      <c r="CQ31" s="78" t="s">
        <v>2106</v>
      </c>
      <c r="CR31" s="78" t="s">
        <v>2107</v>
      </c>
      <c r="CS31" s="78" t="s">
        <v>2108</v>
      </c>
      <c r="CT31" s="78" t="s">
        <v>2109</v>
      </c>
      <c r="CU31" s="78" t="s">
        <v>2110</v>
      </c>
    </row>
    <row r="32" spans="1:99" customFormat="1" x14ac:dyDescent="0.35">
      <c r="A32" s="143" t="s">
        <v>760</v>
      </c>
      <c r="B32" s="143" t="s">
        <v>759</v>
      </c>
      <c r="C32" s="137">
        <v>1</v>
      </c>
      <c r="D32" s="137">
        <v>0.6</v>
      </c>
      <c r="E32" s="137">
        <v>1</v>
      </c>
      <c r="F32" s="137">
        <v>0.4</v>
      </c>
      <c r="G32" s="137">
        <v>1</v>
      </c>
      <c r="H32" s="137">
        <v>0.6</v>
      </c>
      <c r="I32" s="137">
        <v>0.8</v>
      </c>
      <c r="J32" s="137">
        <v>0.4</v>
      </c>
      <c r="K32" s="137">
        <v>1</v>
      </c>
      <c r="L32" s="137">
        <v>0.6</v>
      </c>
      <c r="M32" s="137">
        <v>1</v>
      </c>
      <c r="N32" s="137">
        <v>1</v>
      </c>
      <c r="O32" s="137">
        <v>1</v>
      </c>
      <c r="P32" s="137">
        <v>1</v>
      </c>
      <c r="Q32" s="137">
        <v>0.2</v>
      </c>
      <c r="R32" s="137">
        <v>0.6</v>
      </c>
      <c r="S32" s="137">
        <v>1</v>
      </c>
      <c r="T32" s="137">
        <v>0.6</v>
      </c>
      <c r="U32" s="137">
        <v>0.2</v>
      </c>
      <c r="V32" s="137">
        <v>1</v>
      </c>
      <c r="W32" s="137">
        <v>0.6</v>
      </c>
      <c r="X32" s="137">
        <v>0.6</v>
      </c>
      <c r="Y32" s="137">
        <v>1</v>
      </c>
      <c r="Z32" s="137">
        <v>1</v>
      </c>
      <c r="AA32" s="137">
        <v>1</v>
      </c>
      <c r="AB32" s="137">
        <v>0.4</v>
      </c>
      <c r="AC32" s="137">
        <v>0.4</v>
      </c>
      <c r="AD32" s="137">
        <v>0.4</v>
      </c>
      <c r="AE32" s="137">
        <v>0.8</v>
      </c>
      <c r="AF32" s="137">
        <v>0</v>
      </c>
      <c r="AG32" s="137">
        <v>1</v>
      </c>
      <c r="AH32" s="137">
        <v>1</v>
      </c>
      <c r="AI32" s="137">
        <v>1</v>
      </c>
      <c r="AJ32" s="137">
        <v>1</v>
      </c>
      <c r="AK32" s="137">
        <v>1</v>
      </c>
      <c r="AL32" s="137">
        <v>0.6</v>
      </c>
      <c r="AM32" s="137">
        <v>1</v>
      </c>
      <c r="AN32" s="137">
        <v>0.8</v>
      </c>
      <c r="AO32" s="137">
        <v>1</v>
      </c>
      <c r="AP32" s="137">
        <v>1</v>
      </c>
      <c r="AQ32" s="137">
        <v>1</v>
      </c>
      <c r="AR32" s="137">
        <v>0.8</v>
      </c>
      <c r="AS32" s="137">
        <v>0.6</v>
      </c>
      <c r="AT32" s="137">
        <v>1</v>
      </c>
      <c r="AU32" s="137">
        <v>1</v>
      </c>
      <c r="AV32" s="137">
        <v>0</v>
      </c>
      <c r="AW32" s="137">
        <v>0.76086960000000003</v>
      </c>
      <c r="AX32" s="78"/>
      <c r="AY32" s="279"/>
      <c r="AZ32" s="143" t="s">
        <v>760</v>
      </c>
      <c r="BA32" s="143" t="s">
        <v>759</v>
      </c>
      <c r="BB32" s="78" t="s">
        <v>2111</v>
      </c>
      <c r="BC32" s="78" t="s">
        <v>2112</v>
      </c>
      <c r="BD32" s="78" t="s">
        <v>2113</v>
      </c>
      <c r="BE32" s="78" t="s">
        <v>2114</v>
      </c>
      <c r="BF32" s="78" t="s">
        <v>2115</v>
      </c>
      <c r="BG32" s="78" t="s">
        <v>2116</v>
      </c>
      <c r="BH32" s="78" t="s">
        <v>2117</v>
      </c>
      <c r="BI32" s="78" t="s">
        <v>2118</v>
      </c>
      <c r="BJ32" s="78" t="s">
        <v>2119</v>
      </c>
      <c r="BK32" s="78" t="s">
        <v>2120</v>
      </c>
      <c r="BL32" s="78" t="s">
        <v>2121</v>
      </c>
      <c r="BM32" s="78" t="s">
        <v>2122</v>
      </c>
      <c r="BN32" s="78" t="s">
        <v>2123</v>
      </c>
      <c r="BO32" s="78" t="s">
        <v>2124</v>
      </c>
      <c r="BP32" s="78" t="s">
        <v>984</v>
      </c>
      <c r="BQ32" s="78" t="s">
        <v>2125</v>
      </c>
      <c r="BR32" s="78" t="s">
        <v>2126</v>
      </c>
      <c r="BS32" s="78" t="s">
        <v>2127</v>
      </c>
      <c r="BT32" s="78" t="s">
        <v>2128</v>
      </c>
      <c r="BU32" s="78" t="s">
        <v>2129</v>
      </c>
      <c r="BV32" s="78" t="s">
        <v>2130</v>
      </c>
      <c r="BW32" s="78" t="s">
        <v>2131</v>
      </c>
      <c r="BX32" s="78" t="s">
        <v>2132</v>
      </c>
      <c r="BY32" s="78" t="s">
        <v>2133</v>
      </c>
      <c r="BZ32" s="78" t="s">
        <v>2134</v>
      </c>
      <c r="CA32" s="78" t="s">
        <v>2135</v>
      </c>
      <c r="CB32" s="78" t="s">
        <v>2136</v>
      </c>
      <c r="CC32" s="78" t="s">
        <v>2137</v>
      </c>
      <c r="CD32" s="78" t="s">
        <v>2138</v>
      </c>
      <c r="CE32" s="78" t="s">
        <v>968</v>
      </c>
      <c r="CF32" s="78" t="s">
        <v>2139</v>
      </c>
      <c r="CG32" s="78" t="s">
        <v>2140</v>
      </c>
      <c r="CH32" s="78" t="s">
        <v>2141</v>
      </c>
      <c r="CI32" s="78" t="s">
        <v>2142</v>
      </c>
      <c r="CJ32" s="78" t="s">
        <v>2143</v>
      </c>
      <c r="CK32" s="78" t="s">
        <v>2144</v>
      </c>
      <c r="CL32" s="78" t="s">
        <v>2145</v>
      </c>
      <c r="CM32" s="78" t="s">
        <v>2146</v>
      </c>
      <c r="CN32" s="78" t="s">
        <v>2147</v>
      </c>
      <c r="CO32" s="78" t="s">
        <v>2148</v>
      </c>
      <c r="CP32" s="78" t="s">
        <v>2149</v>
      </c>
      <c r="CQ32" s="78" t="s">
        <v>2150</v>
      </c>
      <c r="CR32" s="78" t="s">
        <v>2151</v>
      </c>
      <c r="CS32" s="78" t="s">
        <v>2152</v>
      </c>
      <c r="CT32" s="78" t="s">
        <v>2153</v>
      </c>
      <c r="CU32" s="78" t="s">
        <v>968</v>
      </c>
    </row>
    <row r="33" spans="1:99" customFormat="1" x14ac:dyDescent="0.35">
      <c r="A33" s="143" t="s">
        <v>761</v>
      </c>
      <c r="B33" s="143" t="s">
        <v>720</v>
      </c>
      <c r="C33" s="137">
        <v>1</v>
      </c>
      <c r="D33" s="137">
        <v>1</v>
      </c>
      <c r="E33" s="137">
        <v>0.71428570000000002</v>
      </c>
      <c r="F33" s="137">
        <v>1</v>
      </c>
      <c r="G33" s="137">
        <v>1</v>
      </c>
      <c r="H33" s="137">
        <v>1</v>
      </c>
      <c r="I33" s="137">
        <v>1</v>
      </c>
      <c r="J33" s="137">
        <v>1</v>
      </c>
      <c r="K33" s="137">
        <v>1</v>
      </c>
      <c r="L33" s="137">
        <v>1</v>
      </c>
      <c r="M33" s="137">
        <v>0.57142859999999995</v>
      </c>
      <c r="N33" s="137">
        <v>1</v>
      </c>
      <c r="O33" s="137">
        <v>0.71428570000000002</v>
      </c>
      <c r="P33" s="137">
        <v>1</v>
      </c>
      <c r="Q33" s="137">
        <v>0.14285709999999999</v>
      </c>
      <c r="R33" s="137">
        <v>1</v>
      </c>
      <c r="S33" s="137">
        <v>0.85714290000000004</v>
      </c>
      <c r="T33" s="137">
        <v>1</v>
      </c>
      <c r="U33" s="137">
        <v>0</v>
      </c>
      <c r="V33" s="137">
        <v>1</v>
      </c>
      <c r="W33" s="137">
        <v>1</v>
      </c>
      <c r="X33" s="137">
        <v>1</v>
      </c>
      <c r="Y33" s="137">
        <v>0.85714290000000004</v>
      </c>
      <c r="Z33" s="137">
        <v>0.85714290000000004</v>
      </c>
      <c r="AA33" s="137">
        <v>1</v>
      </c>
      <c r="AB33" s="137">
        <v>0.28571429999999998</v>
      </c>
      <c r="AC33" s="137">
        <v>0.42857139999999999</v>
      </c>
      <c r="AD33" s="137">
        <v>0.42857139999999999</v>
      </c>
      <c r="AE33" s="137">
        <v>0.42857139999999999</v>
      </c>
      <c r="AF33" s="137">
        <v>0</v>
      </c>
      <c r="AG33" s="137">
        <v>1</v>
      </c>
      <c r="AH33" s="137">
        <v>1</v>
      </c>
      <c r="AI33" s="137">
        <v>0.71428570000000002</v>
      </c>
      <c r="AJ33" s="137">
        <v>1</v>
      </c>
      <c r="AK33" s="137">
        <v>0.71428570000000002</v>
      </c>
      <c r="AL33" s="137">
        <v>0.42857139999999999</v>
      </c>
      <c r="AM33" s="137">
        <v>1</v>
      </c>
      <c r="AN33" s="137">
        <v>0.71428570000000002</v>
      </c>
      <c r="AO33" s="137">
        <v>1</v>
      </c>
      <c r="AP33" s="137">
        <v>1</v>
      </c>
      <c r="AQ33" s="137">
        <v>0.85714290000000004</v>
      </c>
      <c r="AR33" s="137">
        <v>0.71428570000000002</v>
      </c>
      <c r="AS33" s="137">
        <v>0.57142859999999995</v>
      </c>
      <c r="AT33" s="137">
        <v>0.85714290000000004</v>
      </c>
      <c r="AU33" s="137">
        <v>0.85714290000000004</v>
      </c>
      <c r="AV33" s="137">
        <v>0</v>
      </c>
      <c r="AW33" s="137">
        <v>0.77639749999999996</v>
      </c>
      <c r="AX33" s="78"/>
      <c r="AY33" s="279"/>
      <c r="AZ33" s="143" t="s">
        <v>761</v>
      </c>
      <c r="BA33" s="143" t="s">
        <v>720</v>
      </c>
      <c r="BB33" s="78" t="s">
        <v>2154</v>
      </c>
      <c r="BC33" s="78" t="s">
        <v>2155</v>
      </c>
      <c r="BD33" s="78" t="s">
        <v>2156</v>
      </c>
      <c r="BE33" s="78" t="s">
        <v>2157</v>
      </c>
      <c r="BF33" s="78" t="s">
        <v>2158</v>
      </c>
      <c r="BG33" s="78" t="s">
        <v>2159</v>
      </c>
      <c r="BH33" s="78" t="s">
        <v>2160</v>
      </c>
      <c r="BI33" s="78" t="s">
        <v>2161</v>
      </c>
      <c r="BJ33" s="78" t="s">
        <v>2162</v>
      </c>
      <c r="BK33" s="78" t="s">
        <v>2163</v>
      </c>
      <c r="BL33" s="78" t="s">
        <v>2164</v>
      </c>
      <c r="BM33" s="78" t="s">
        <v>2165</v>
      </c>
      <c r="BN33" s="78" t="s">
        <v>2166</v>
      </c>
      <c r="BO33" s="78" t="s">
        <v>2167</v>
      </c>
      <c r="BP33" s="78" t="s">
        <v>1251</v>
      </c>
      <c r="BQ33" s="78" t="s">
        <v>2168</v>
      </c>
      <c r="BR33" s="78" t="s">
        <v>2169</v>
      </c>
      <c r="BS33" s="78" t="s">
        <v>2170</v>
      </c>
      <c r="BT33" s="78" t="s">
        <v>968</v>
      </c>
      <c r="BU33" s="78" t="s">
        <v>2171</v>
      </c>
      <c r="BV33" s="78" t="s">
        <v>2172</v>
      </c>
      <c r="BW33" s="78" t="s">
        <v>2173</v>
      </c>
      <c r="BX33" s="78" t="s">
        <v>2174</v>
      </c>
      <c r="BY33" s="78" t="s">
        <v>2175</v>
      </c>
      <c r="BZ33" s="78" t="s">
        <v>2176</v>
      </c>
      <c r="CA33" s="78" t="s">
        <v>2177</v>
      </c>
      <c r="CB33" s="78" t="s">
        <v>2178</v>
      </c>
      <c r="CC33" s="78" t="s">
        <v>2179</v>
      </c>
      <c r="CD33" s="78" t="s">
        <v>2180</v>
      </c>
      <c r="CE33" s="78" t="s">
        <v>968</v>
      </c>
      <c r="CF33" s="78" t="s">
        <v>2181</v>
      </c>
      <c r="CG33" s="78" t="s">
        <v>2182</v>
      </c>
      <c r="CH33" s="78" t="s">
        <v>2183</v>
      </c>
      <c r="CI33" s="78" t="s">
        <v>2184</v>
      </c>
      <c r="CJ33" s="78" t="s">
        <v>2185</v>
      </c>
      <c r="CK33" s="78" t="s">
        <v>2186</v>
      </c>
      <c r="CL33" s="78" t="s">
        <v>2187</v>
      </c>
      <c r="CM33" s="78" t="s">
        <v>2188</v>
      </c>
      <c r="CN33" s="78" t="s">
        <v>2189</v>
      </c>
      <c r="CO33" s="78" t="s">
        <v>2190</v>
      </c>
      <c r="CP33" s="78" t="s">
        <v>2191</v>
      </c>
      <c r="CQ33" s="78" t="s">
        <v>2192</v>
      </c>
      <c r="CR33" s="78" t="s">
        <v>2193</v>
      </c>
      <c r="CS33" s="78" t="s">
        <v>2194</v>
      </c>
      <c r="CT33" s="78" t="s">
        <v>2195</v>
      </c>
      <c r="CU33" s="78" t="s">
        <v>968</v>
      </c>
    </row>
    <row r="34" spans="1:99" customFormat="1" x14ac:dyDescent="0.35">
      <c r="A34" s="143" t="s">
        <v>762</v>
      </c>
      <c r="B34" s="143" t="s">
        <v>763</v>
      </c>
      <c r="C34" s="137">
        <v>0.8</v>
      </c>
      <c r="D34" s="137">
        <v>0.8</v>
      </c>
      <c r="E34" s="137">
        <v>0.8</v>
      </c>
      <c r="F34" s="137">
        <v>1</v>
      </c>
      <c r="G34" s="137">
        <v>0.8</v>
      </c>
      <c r="H34" s="137">
        <v>1</v>
      </c>
      <c r="I34" s="137">
        <v>0.8</v>
      </c>
      <c r="J34" s="137">
        <v>0.8</v>
      </c>
      <c r="K34" s="137">
        <v>1</v>
      </c>
      <c r="L34" s="137">
        <v>0.8</v>
      </c>
      <c r="M34" s="137">
        <v>1</v>
      </c>
      <c r="N34" s="137">
        <v>1</v>
      </c>
      <c r="O34" s="137">
        <v>0.8</v>
      </c>
      <c r="P34" s="137">
        <v>1</v>
      </c>
      <c r="Q34" s="137">
        <v>0.2</v>
      </c>
      <c r="R34" s="137">
        <v>1</v>
      </c>
      <c r="S34" s="137">
        <v>0.8</v>
      </c>
      <c r="T34" s="137">
        <v>0.6</v>
      </c>
      <c r="U34" s="137">
        <v>0</v>
      </c>
      <c r="V34" s="137">
        <v>1</v>
      </c>
      <c r="W34" s="137">
        <v>1</v>
      </c>
      <c r="X34" s="137">
        <v>0.8</v>
      </c>
      <c r="Y34" s="137">
        <v>1</v>
      </c>
      <c r="Z34" s="137">
        <v>1</v>
      </c>
      <c r="AA34" s="137">
        <v>0.6</v>
      </c>
      <c r="AB34" s="137">
        <v>0.2</v>
      </c>
      <c r="AC34" s="137">
        <v>0.2</v>
      </c>
      <c r="AD34" s="137">
        <v>0.2</v>
      </c>
      <c r="AE34" s="137">
        <v>0.6</v>
      </c>
      <c r="AF34" s="137">
        <v>0</v>
      </c>
      <c r="AG34" s="137">
        <v>0.8</v>
      </c>
      <c r="AH34" s="137">
        <v>0.6</v>
      </c>
      <c r="AI34" s="137">
        <v>0.6</v>
      </c>
      <c r="AJ34" s="137">
        <v>0.8</v>
      </c>
      <c r="AK34" s="137">
        <v>0.8</v>
      </c>
      <c r="AL34" s="137">
        <v>0.6</v>
      </c>
      <c r="AM34" s="137">
        <v>1</v>
      </c>
      <c r="AN34" s="137">
        <v>0.8</v>
      </c>
      <c r="AO34" s="137">
        <v>0.6</v>
      </c>
      <c r="AP34" s="137">
        <v>0.8</v>
      </c>
      <c r="AQ34" s="137">
        <v>0.4</v>
      </c>
      <c r="AR34" s="137">
        <v>0.2</v>
      </c>
      <c r="AS34" s="137">
        <v>0.8</v>
      </c>
      <c r="AT34" s="137">
        <v>0.8</v>
      </c>
      <c r="AU34" s="137">
        <v>0.6</v>
      </c>
      <c r="AV34" s="137">
        <v>0.2</v>
      </c>
      <c r="AW34" s="137">
        <v>0.69565220000000005</v>
      </c>
      <c r="AX34" s="78"/>
      <c r="AY34" s="279"/>
      <c r="AZ34" s="143" t="s">
        <v>762</v>
      </c>
      <c r="BA34" s="143" t="s">
        <v>763</v>
      </c>
      <c r="BB34" s="78" t="s">
        <v>2196</v>
      </c>
      <c r="BC34" s="78" t="s">
        <v>2197</v>
      </c>
      <c r="BD34" s="78" t="s">
        <v>2198</v>
      </c>
      <c r="BE34" s="78" t="s">
        <v>2199</v>
      </c>
      <c r="BF34" s="78" t="s">
        <v>2200</v>
      </c>
      <c r="BG34" s="78" t="s">
        <v>2201</v>
      </c>
      <c r="BH34" s="78" t="s">
        <v>2202</v>
      </c>
      <c r="BI34" s="78" t="s">
        <v>2203</v>
      </c>
      <c r="BJ34" s="78" t="s">
        <v>2204</v>
      </c>
      <c r="BK34" s="78" t="s">
        <v>2205</v>
      </c>
      <c r="BL34" s="78" t="s">
        <v>2206</v>
      </c>
      <c r="BM34" s="78" t="s">
        <v>2207</v>
      </c>
      <c r="BN34" s="78" t="s">
        <v>2208</v>
      </c>
      <c r="BO34" s="78" t="s">
        <v>2209</v>
      </c>
      <c r="BP34" s="78" t="s">
        <v>2210</v>
      </c>
      <c r="BQ34" s="78" t="s">
        <v>2211</v>
      </c>
      <c r="BR34" s="78" t="s">
        <v>2212</v>
      </c>
      <c r="BS34" s="78" t="s">
        <v>2213</v>
      </c>
      <c r="BT34" s="78" t="s">
        <v>968</v>
      </c>
      <c r="BU34" s="78" t="s">
        <v>2214</v>
      </c>
      <c r="BV34" s="78" t="s">
        <v>2215</v>
      </c>
      <c r="BW34" s="78" t="s">
        <v>2216</v>
      </c>
      <c r="BX34" s="78" t="s">
        <v>2217</v>
      </c>
      <c r="BY34" s="78" t="s">
        <v>2218</v>
      </c>
      <c r="BZ34" s="78" t="s">
        <v>2219</v>
      </c>
      <c r="CA34" s="78" t="s">
        <v>2220</v>
      </c>
      <c r="CB34" s="78" t="s">
        <v>2221</v>
      </c>
      <c r="CC34" s="78" t="s">
        <v>2222</v>
      </c>
      <c r="CD34" s="78" t="s">
        <v>2223</v>
      </c>
      <c r="CE34" s="78" t="s">
        <v>968</v>
      </c>
      <c r="CF34" s="78" t="s">
        <v>2224</v>
      </c>
      <c r="CG34" s="78" t="s">
        <v>2225</v>
      </c>
      <c r="CH34" s="78" t="s">
        <v>2226</v>
      </c>
      <c r="CI34" s="78" t="s">
        <v>2227</v>
      </c>
      <c r="CJ34" s="78" t="s">
        <v>2228</v>
      </c>
      <c r="CK34" s="78" t="s">
        <v>2229</v>
      </c>
      <c r="CL34" s="78" t="s">
        <v>2230</v>
      </c>
      <c r="CM34" s="78" t="s">
        <v>2231</v>
      </c>
      <c r="CN34" s="78" t="s">
        <v>2232</v>
      </c>
      <c r="CO34" s="78" t="s">
        <v>2233</v>
      </c>
      <c r="CP34" s="78" t="s">
        <v>2234</v>
      </c>
      <c r="CQ34" s="78" t="s">
        <v>984</v>
      </c>
      <c r="CR34" s="78" t="s">
        <v>2235</v>
      </c>
      <c r="CS34" s="78" t="s">
        <v>2236</v>
      </c>
      <c r="CT34" s="78" t="s">
        <v>2237</v>
      </c>
      <c r="CU34" s="78" t="s">
        <v>2238</v>
      </c>
    </row>
    <row r="35" spans="1:99" customFormat="1" x14ac:dyDescent="0.35">
      <c r="A35" s="143" t="s">
        <v>764</v>
      </c>
      <c r="B35" s="143" t="s">
        <v>765</v>
      </c>
      <c r="C35" s="137">
        <v>0.6</v>
      </c>
      <c r="D35" s="137">
        <v>0.8</v>
      </c>
      <c r="E35" s="137">
        <v>0.8</v>
      </c>
      <c r="F35" s="137">
        <v>0</v>
      </c>
      <c r="G35" s="137">
        <v>0.8</v>
      </c>
      <c r="H35" s="137">
        <v>0.4</v>
      </c>
      <c r="I35" s="137">
        <v>0.4</v>
      </c>
      <c r="J35" s="137">
        <v>0.4</v>
      </c>
      <c r="K35" s="137">
        <v>0.4</v>
      </c>
      <c r="L35" s="137">
        <v>0.4</v>
      </c>
      <c r="M35" s="137">
        <v>0.4</v>
      </c>
      <c r="N35" s="137">
        <v>0.4</v>
      </c>
      <c r="O35" s="137">
        <v>0.4</v>
      </c>
      <c r="P35" s="137">
        <v>0.4</v>
      </c>
      <c r="Q35" s="137">
        <v>0</v>
      </c>
      <c r="R35" s="137">
        <v>0.4</v>
      </c>
      <c r="S35" s="137">
        <v>0.4</v>
      </c>
      <c r="T35" s="137">
        <v>0</v>
      </c>
      <c r="U35" s="137">
        <v>0</v>
      </c>
      <c r="V35" s="137">
        <v>0.4</v>
      </c>
      <c r="W35" s="137">
        <v>0.4</v>
      </c>
      <c r="X35" s="137">
        <v>0.4</v>
      </c>
      <c r="Y35" s="137">
        <v>0.2</v>
      </c>
      <c r="Z35" s="137">
        <v>0.4</v>
      </c>
      <c r="AA35" s="137">
        <v>0.4</v>
      </c>
      <c r="AB35" s="137">
        <v>0</v>
      </c>
      <c r="AC35" s="137">
        <v>0.2</v>
      </c>
      <c r="AD35" s="137">
        <v>0.2</v>
      </c>
      <c r="AE35" s="137">
        <v>0.4</v>
      </c>
      <c r="AF35" s="137">
        <v>0</v>
      </c>
      <c r="AG35" s="137">
        <v>0.2</v>
      </c>
      <c r="AH35" s="137">
        <v>0.4</v>
      </c>
      <c r="AI35" s="137">
        <v>0.2</v>
      </c>
      <c r="AJ35" s="137">
        <v>0.4</v>
      </c>
      <c r="AK35" s="137">
        <v>0.2</v>
      </c>
      <c r="AL35" s="137">
        <v>0.2</v>
      </c>
      <c r="AM35" s="137">
        <v>0.4</v>
      </c>
      <c r="AN35" s="137">
        <v>0.4</v>
      </c>
      <c r="AO35" s="137">
        <v>0.4</v>
      </c>
      <c r="AP35" s="137">
        <v>0.4</v>
      </c>
      <c r="AQ35" s="137">
        <v>0.4</v>
      </c>
      <c r="AR35" s="137">
        <v>0.2</v>
      </c>
      <c r="AS35" s="137">
        <v>0.2</v>
      </c>
      <c r="AT35" s="137">
        <v>0.4</v>
      </c>
      <c r="AU35" s="137">
        <v>0.2</v>
      </c>
      <c r="AV35" s="137">
        <v>0</v>
      </c>
      <c r="AW35" s="137">
        <v>0.32608700000000002</v>
      </c>
      <c r="AX35" s="78"/>
      <c r="AY35" s="279"/>
      <c r="AZ35" s="143" t="s">
        <v>764</v>
      </c>
      <c r="BA35" s="143" t="s">
        <v>765</v>
      </c>
      <c r="BB35" s="78" t="s">
        <v>2239</v>
      </c>
      <c r="BC35" s="78" t="s">
        <v>2240</v>
      </c>
      <c r="BD35" s="78" t="s">
        <v>2241</v>
      </c>
      <c r="BE35" s="78" t="s">
        <v>968</v>
      </c>
      <c r="BF35" s="78" t="s">
        <v>2242</v>
      </c>
      <c r="BG35" s="78" t="s">
        <v>2243</v>
      </c>
      <c r="BH35" s="78" t="s">
        <v>2244</v>
      </c>
      <c r="BI35" s="78" t="s">
        <v>2245</v>
      </c>
      <c r="BJ35" s="78" t="s">
        <v>2246</v>
      </c>
      <c r="BK35" s="78" t="s">
        <v>2247</v>
      </c>
      <c r="BL35" s="78" t="s">
        <v>2248</v>
      </c>
      <c r="BM35" s="78" t="s">
        <v>2249</v>
      </c>
      <c r="BN35" s="78" t="s">
        <v>2250</v>
      </c>
      <c r="BO35" s="78" t="s">
        <v>2251</v>
      </c>
      <c r="BP35" s="78" t="s">
        <v>968</v>
      </c>
      <c r="BQ35" s="78" t="s">
        <v>2252</v>
      </c>
      <c r="BR35" s="78" t="s">
        <v>2253</v>
      </c>
      <c r="BS35" s="78" t="s">
        <v>968</v>
      </c>
      <c r="BT35" s="78" t="s">
        <v>968</v>
      </c>
      <c r="BU35" s="78" t="s">
        <v>2254</v>
      </c>
      <c r="BV35" s="78" t="s">
        <v>2255</v>
      </c>
      <c r="BW35" s="78" t="s">
        <v>2256</v>
      </c>
      <c r="BX35" s="78" t="s">
        <v>2257</v>
      </c>
      <c r="BY35" s="78" t="s">
        <v>2258</v>
      </c>
      <c r="BZ35" s="78" t="s">
        <v>2259</v>
      </c>
      <c r="CA35" s="78" t="s">
        <v>968</v>
      </c>
      <c r="CB35" s="78" t="s">
        <v>2260</v>
      </c>
      <c r="CC35" s="78" t="s">
        <v>2261</v>
      </c>
      <c r="CD35" s="78" t="s">
        <v>2262</v>
      </c>
      <c r="CE35" s="78" t="s">
        <v>968</v>
      </c>
      <c r="CF35" s="78" t="s">
        <v>2263</v>
      </c>
      <c r="CG35" s="78" t="s">
        <v>2264</v>
      </c>
      <c r="CH35" s="78" t="s">
        <v>2265</v>
      </c>
      <c r="CI35" s="78" t="s">
        <v>2266</v>
      </c>
      <c r="CJ35" s="78" t="s">
        <v>2267</v>
      </c>
      <c r="CK35" s="78" t="s">
        <v>2268</v>
      </c>
      <c r="CL35" s="78" t="s">
        <v>1960</v>
      </c>
      <c r="CM35" s="78" t="s">
        <v>2269</v>
      </c>
      <c r="CN35" s="78" t="s">
        <v>2270</v>
      </c>
      <c r="CO35" s="78" t="s">
        <v>2271</v>
      </c>
      <c r="CP35" s="78" t="s">
        <v>2272</v>
      </c>
      <c r="CQ35" s="78" t="s">
        <v>2273</v>
      </c>
      <c r="CR35" s="78" t="s">
        <v>2274</v>
      </c>
      <c r="CS35" s="78" t="s">
        <v>2275</v>
      </c>
      <c r="CT35" s="78" t="s">
        <v>2110</v>
      </c>
      <c r="CU35" s="78" t="s">
        <v>968</v>
      </c>
    </row>
    <row r="36" spans="1:99" customFormat="1" x14ac:dyDescent="0.35">
      <c r="A36" s="143" t="s">
        <v>766</v>
      </c>
      <c r="B36" s="143" t="s">
        <v>728</v>
      </c>
      <c r="C36" s="137">
        <v>1</v>
      </c>
      <c r="D36" s="137">
        <v>0.66666669999999995</v>
      </c>
      <c r="E36" s="137">
        <v>0.83333330000000005</v>
      </c>
      <c r="F36" s="137">
        <v>0.66666669999999995</v>
      </c>
      <c r="G36" s="137">
        <v>1</v>
      </c>
      <c r="H36" s="137">
        <v>0.83333330000000005</v>
      </c>
      <c r="I36" s="137">
        <v>0.83333330000000005</v>
      </c>
      <c r="J36" s="137">
        <v>0.83333330000000005</v>
      </c>
      <c r="K36" s="137">
        <v>1</v>
      </c>
      <c r="L36" s="137">
        <v>0.83333330000000005</v>
      </c>
      <c r="M36" s="137">
        <v>0.83333330000000005</v>
      </c>
      <c r="N36" s="137">
        <v>1</v>
      </c>
      <c r="O36" s="137">
        <v>1</v>
      </c>
      <c r="P36" s="137">
        <v>0.83333330000000005</v>
      </c>
      <c r="Q36" s="137">
        <v>0.66666669999999995</v>
      </c>
      <c r="R36" s="137">
        <v>0.83333330000000005</v>
      </c>
      <c r="S36" s="137">
        <v>1</v>
      </c>
      <c r="T36" s="137">
        <v>0.66666669999999995</v>
      </c>
      <c r="U36" s="137">
        <v>0.1666667</v>
      </c>
      <c r="V36" s="137">
        <v>1</v>
      </c>
      <c r="W36" s="137">
        <v>0.83333330000000005</v>
      </c>
      <c r="X36" s="137">
        <v>1</v>
      </c>
      <c r="Y36" s="137">
        <v>1</v>
      </c>
      <c r="Z36" s="137">
        <v>1</v>
      </c>
      <c r="AA36" s="137">
        <v>1</v>
      </c>
      <c r="AB36" s="137">
        <v>0.5</v>
      </c>
      <c r="AC36" s="137">
        <v>0.66666669999999995</v>
      </c>
      <c r="AD36" s="137">
        <v>0.83333330000000005</v>
      </c>
      <c r="AE36" s="137">
        <v>0.66666669999999995</v>
      </c>
      <c r="AF36" s="137">
        <v>0</v>
      </c>
      <c r="AG36" s="137">
        <v>1</v>
      </c>
      <c r="AH36" s="137">
        <v>0.83333330000000005</v>
      </c>
      <c r="AI36" s="137">
        <v>1</v>
      </c>
      <c r="AJ36" s="137">
        <v>1</v>
      </c>
      <c r="AK36" s="137">
        <v>1</v>
      </c>
      <c r="AL36" s="137">
        <v>1</v>
      </c>
      <c r="AM36" s="137">
        <v>1</v>
      </c>
      <c r="AN36" s="137">
        <v>1</v>
      </c>
      <c r="AO36" s="137">
        <v>1</v>
      </c>
      <c r="AP36" s="137">
        <v>0.83333330000000005</v>
      </c>
      <c r="AQ36" s="137">
        <v>1</v>
      </c>
      <c r="AR36" s="137">
        <v>0.83333330000000005</v>
      </c>
      <c r="AS36" s="137">
        <v>1</v>
      </c>
      <c r="AT36" s="137">
        <v>1</v>
      </c>
      <c r="AU36" s="137">
        <v>1</v>
      </c>
      <c r="AV36" s="137">
        <v>1</v>
      </c>
      <c r="AW36" s="137">
        <v>0.8586956</v>
      </c>
      <c r="AX36" s="78"/>
      <c r="AY36" s="279"/>
      <c r="AZ36" s="143" t="s">
        <v>766</v>
      </c>
      <c r="BA36" s="143" t="s">
        <v>728</v>
      </c>
      <c r="BB36" s="78" t="s">
        <v>2276</v>
      </c>
      <c r="BC36" s="78" t="s">
        <v>2277</v>
      </c>
      <c r="BD36" s="78" t="s">
        <v>2278</v>
      </c>
      <c r="BE36" s="78" t="s">
        <v>2279</v>
      </c>
      <c r="BF36" s="78" t="s">
        <v>2280</v>
      </c>
      <c r="BG36" s="78" t="s">
        <v>2281</v>
      </c>
      <c r="BH36" s="78" t="s">
        <v>2282</v>
      </c>
      <c r="BI36" s="78" t="s">
        <v>2283</v>
      </c>
      <c r="BJ36" s="78" t="s">
        <v>2284</v>
      </c>
      <c r="BK36" s="78" t="s">
        <v>2285</v>
      </c>
      <c r="BL36" s="78" t="s">
        <v>2286</v>
      </c>
      <c r="BM36" s="78" t="s">
        <v>2287</v>
      </c>
      <c r="BN36" s="78" t="s">
        <v>2288</v>
      </c>
      <c r="BO36" s="78" t="s">
        <v>2289</v>
      </c>
      <c r="BP36" s="78" t="s">
        <v>2290</v>
      </c>
      <c r="BQ36" s="78" t="s">
        <v>2291</v>
      </c>
      <c r="BR36" s="78" t="s">
        <v>2292</v>
      </c>
      <c r="BS36" s="78" t="s">
        <v>2293</v>
      </c>
      <c r="BT36" s="78" t="s">
        <v>2294</v>
      </c>
      <c r="BU36" s="78" t="s">
        <v>2295</v>
      </c>
      <c r="BV36" s="78" t="s">
        <v>2296</v>
      </c>
      <c r="BW36" s="78" t="s">
        <v>2297</v>
      </c>
      <c r="BX36" s="78" t="s">
        <v>2298</v>
      </c>
      <c r="BY36" s="78" t="s">
        <v>2299</v>
      </c>
      <c r="BZ36" s="78" t="s">
        <v>2300</v>
      </c>
      <c r="CA36" s="78" t="s">
        <v>2301</v>
      </c>
      <c r="CB36" s="78" t="s">
        <v>2302</v>
      </c>
      <c r="CC36" s="78" t="s">
        <v>2303</v>
      </c>
      <c r="CD36" s="78" t="s">
        <v>2304</v>
      </c>
      <c r="CE36" s="78" t="s">
        <v>968</v>
      </c>
      <c r="CF36" s="78" t="s">
        <v>2305</v>
      </c>
      <c r="CG36" s="78" t="s">
        <v>2306</v>
      </c>
      <c r="CH36" s="78" t="s">
        <v>2307</v>
      </c>
      <c r="CI36" s="78" t="s">
        <v>2308</v>
      </c>
      <c r="CJ36" s="78" t="s">
        <v>2309</v>
      </c>
      <c r="CK36" s="78" t="s">
        <v>2310</v>
      </c>
      <c r="CL36" s="78" t="s">
        <v>2311</v>
      </c>
      <c r="CM36" s="78" t="s">
        <v>2312</v>
      </c>
      <c r="CN36" s="78" t="s">
        <v>2313</v>
      </c>
      <c r="CO36" s="78" t="s">
        <v>2314</v>
      </c>
      <c r="CP36" s="78" t="s">
        <v>2315</v>
      </c>
      <c r="CQ36" s="78" t="s">
        <v>2316</v>
      </c>
      <c r="CR36" s="78" t="s">
        <v>2317</v>
      </c>
      <c r="CS36" s="78" t="s">
        <v>2318</v>
      </c>
      <c r="CT36" s="78" t="s">
        <v>2319</v>
      </c>
      <c r="CU36" s="78" t="s">
        <v>2320</v>
      </c>
    </row>
  </sheetData>
  <autoFilter ref="A2:CU36" xr:uid="{23E3ED55-D028-4EF9-9309-A97635D0F585}"/>
  <mergeCells count="2">
    <mergeCell ref="BB1:CU1"/>
    <mergeCell ref="C1:AW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ER2"/>
  <sheetViews>
    <sheetView workbookViewId="0"/>
  </sheetViews>
  <sheetFormatPr defaultColWidth="20.5" defaultRowHeight="15.5" x14ac:dyDescent="0.35"/>
  <cols>
    <col min="1" max="3" width="20.5" style="111"/>
    <col min="14" max="14" width="3.5" customWidth="1"/>
    <col min="15" max="17" width="20.5" style="111"/>
    <col min="29" max="29" width="4.33203125" customWidth="1"/>
    <col min="30" max="32" width="20.5" style="111"/>
    <col min="58" max="58" width="4.33203125" customWidth="1"/>
    <col min="59" max="61" width="20.5" style="111"/>
    <col min="70" max="70" width="4.33203125" customWidth="1"/>
    <col min="71" max="73" width="20.5" style="111"/>
    <col min="85" max="85" width="4.33203125" customWidth="1"/>
    <col min="86" max="88" width="20.5" style="111"/>
    <col min="96" max="96" width="4.33203125" customWidth="1"/>
    <col min="97" max="99" width="20.5" style="111"/>
    <col min="102" max="102" width="4.33203125" customWidth="1"/>
    <col min="103" max="105" width="20.5" style="111"/>
    <col min="114" max="114" width="4.33203125" customWidth="1"/>
    <col min="115" max="117" width="20.5" style="111"/>
    <col min="134" max="134" width="4.33203125" customWidth="1"/>
    <col min="135" max="137" width="20.5" style="111"/>
    <col min="146" max="146" width="21.33203125" customWidth="1"/>
    <col min="147" max="147" width="4.33203125" customWidth="1"/>
  </cols>
  <sheetData>
    <row r="1" spans="1:148" s="106" customFormat="1" ht="49" customHeight="1" x14ac:dyDescent="0.35">
      <c r="A1" s="105"/>
      <c r="B1" s="105"/>
      <c r="C1" s="105"/>
      <c r="D1" s="394" t="s">
        <v>2356</v>
      </c>
      <c r="E1" s="394"/>
      <c r="F1" s="394"/>
      <c r="G1" s="394"/>
      <c r="H1" s="394"/>
      <c r="I1" s="394"/>
      <c r="J1" s="394"/>
      <c r="K1" s="394"/>
      <c r="L1" s="394"/>
      <c r="M1" s="394"/>
      <c r="O1" s="105"/>
      <c r="P1" s="105"/>
      <c r="Q1" s="105"/>
      <c r="R1" s="394" t="s">
        <v>2357</v>
      </c>
      <c r="S1" s="394"/>
      <c r="T1" s="394"/>
      <c r="U1" s="394"/>
      <c r="V1" s="394"/>
      <c r="W1" s="394"/>
      <c r="X1" s="394"/>
      <c r="Y1" s="394"/>
      <c r="Z1" s="394"/>
      <c r="AA1" s="394"/>
      <c r="AB1" s="394"/>
      <c r="AD1" s="105"/>
      <c r="AE1" s="105"/>
      <c r="AF1" s="105"/>
      <c r="AG1" s="394" t="s">
        <v>2358</v>
      </c>
      <c r="AH1" s="394"/>
      <c r="AI1" s="394"/>
      <c r="AJ1" s="394"/>
      <c r="AK1" s="394"/>
      <c r="AL1" s="394"/>
      <c r="AM1" s="394"/>
      <c r="AN1" s="394"/>
      <c r="AO1" s="394"/>
      <c r="AP1" s="394"/>
      <c r="AQ1" s="394"/>
      <c r="AR1" s="394"/>
      <c r="AS1" s="394"/>
      <c r="AT1" s="394"/>
      <c r="AU1" s="394"/>
      <c r="AV1" s="394"/>
      <c r="AW1" s="394"/>
      <c r="AX1" s="394"/>
      <c r="AY1" s="394"/>
      <c r="AZ1" s="394"/>
      <c r="BA1" s="394"/>
      <c r="BB1" s="394"/>
      <c r="BC1" s="394"/>
      <c r="BD1" s="394"/>
      <c r="BE1" s="394"/>
      <c r="BG1" s="105"/>
      <c r="BH1" s="105"/>
      <c r="BI1" s="105"/>
      <c r="BJ1" s="394" t="s">
        <v>2359</v>
      </c>
      <c r="BK1" s="394"/>
      <c r="BL1" s="394"/>
      <c r="BM1" s="394"/>
      <c r="BN1" s="394"/>
      <c r="BO1" s="394"/>
      <c r="BP1" s="394"/>
      <c r="BQ1" s="394"/>
      <c r="BS1" s="105"/>
      <c r="BT1" s="105"/>
      <c r="BU1" s="105"/>
      <c r="BV1" s="394" t="s">
        <v>709</v>
      </c>
      <c r="BW1" s="394"/>
      <c r="BX1" s="394"/>
      <c r="BY1" s="394"/>
      <c r="BZ1" s="394"/>
      <c r="CA1" s="394"/>
      <c r="CB1" s="394"/>
      <c r="CC1" s="394"/>
      <c r="CD1" s="394"/>
      <c r="CE1" s="394"/>
      <c r="CF1" s="394"/>
      <c r="CH1" s="105"/>
      <c r="CI1" s="105"/>
      <c r="CJ1" s="105"/>
      <c r="CK1" s="394" t="s">
        <v>2360</v>
      </c>
      <c r="CL1" s="394"/>
      <c r="CM1" s="394"/>
      <c r="CN1" s="394"/>
      <c r="CO1" s="394"/>
      <c r="CP1" s="394"/>
      <c r="CQ1" s="394"/>
      <c r="CS1" s="105"/>
      <c r="CT1" s="105"/>
      <c r="CU1" s="105"/>
      <c r="CV1" s="395" t="s">
        <v>2361</v>
      </c>
      <c r="CW1" s="395"/>
      <c r="CY1" s="105"/>
      <c r="CZ1" s="105"/>
      <c r="DA1" s="105"/>
      <c r="DB1" s="394" t="s">
        <v>2362</v>
      </c>
      <c r="DC1" s="394"/>
      <c r="DD1" s="394"/>
      <c r="DE1" s="394"/>
      <c r="DF1" s="394"/>
      <c r="DG1" s="394"/>
      <c r="DH1" s="394"/>
      <c r="DI1" s="394"/>
      <c r="DK1" s="105"/>
      <c r="DL1" s="105"/>
      <c r="DM1" s="105"/>
      <c r="DN1" s="394" t="s">
        <v>713</v>
      </c>
      <c r="DO1" s="394"/>
      <c r="DP1" s="394"/>
      <c r="DQ1" s="394"/>
      <c r="DR1" s="394"/>
      <c r="DS1" s="394"/>
      <c r="DT1" s="394"/>
      <c r="DU1" s="394"/>
      <c r="DV1" s="394"/>
      <c r="DW1" s="394"/>
      <c r="DX1" s="394"/>
      <c r="DY1" s="394"/>
      <c r="DZ1" s="394"/>
      <c r="EA1" s="394"/>
      <c r="EB1" s="394"/>
      <c r="EC1" s="394"/>
      <c r="EE1" s="105"/>
      <c r="EF1" s="105"/>
      <c r="EG1" s="105"/>
      <c r="EH1" s="394" t="s">
        <v>2363</v>
      </c>
      <c r="EI1" s="396"/>
      <c r="EJ1" s="396"/>
      <c r="EK1" s="396"/>
      <c r="EL1" s="396"/>
      <c r="EM1" s="396"/>
      <c r="EN1" s="396"/>
      <c r="EO1" s="396"/>
      <c r="EP1" s="396"/>
      <c r="ER1" s="395" t="s">
        <v>2364</v>
      </c>
    </row>
    <row r="2" spans="1:148" s="110" customFormat="1" ht="154.5" customHeight="1" x14ac:dyDescent="0.35">
      <c r="A2" s="74" t="s">
        <v>699</v>
      </c>
      <c r="B2" s="74" t="s">
        <v>813</v>
      </c>
      <c r="C2" s="112" t="s">
        <v>2365</v>
      </c>
      <c r="D2" s="98" t="s">
        <v>21</v>
      </c>
      <c r="E2" s="98" t="s">
        <v>25</v>
      </c>
      <c r="F2" s="98" t="s">
        <v>816</v>
      </c>
      <c r="G2" s="98" t="s">
        <v>817</v>
      </c>
      <c r="H2" s="98" t="s">
        <v>818</v>
      </c>
      <c r="I2" s="98" t="s">
        <v>41</v>
      </c>
      <c r="J2" s="98" t="s">
        <v>44</v>
      </c>
      <c r="K2" s="98" t="s">
        <v>47</v>
      </c>
      <c r="L2" s="98" t="s">
        <v>50</v>
      </c>
      <c r="M2" s="74" t="s">
        <v>819</v>
      </c>
      <c r="N2" s="107"/>
      <c r="O2" s="74" t="s">
        <v>699</v>
      </c>
      <c r="P2" s="74" t="s">
        <v>813</v>
      </c>
      <c r="Q2" s="112" t="s">
        <v>2365</v>
      </c>
      <c r="R2" s="98" t="s">
        <v>54</v>
      </c>
      <c r="S2" s="98" t="s">
        <v>820</v>
      </c>
      <c r="T2" s="98" t="s">
        <v>821</v>
      </c>
      <c r="U2" s="98" t="s">
        <v>822</v>
      </c>
      <c r="V2" s="98" t="s">
        <v>823</v>
      </c>
      <c r="W2" s="98" t="s">
        <v>78</v>
      </c>
      <c r="X2" s="98" t="s">
        <v>824</v>
      </c>
      <c r="Y2" s="98" t="s">
        <v>798</v>
      </c>
      <c r="Z2" s="98" t="s">
        <v>90</v>
      </c>
      <c r="AA2" s="98" t="s">
        <v>92</v>
      </c>
      <c r="AB2" s="74" t="s">
        <v>825</v>
      </c>
      <c r="AC2" s="107"/>
      <c r="AD2" s="74" t="s">
        <v>699</v>
      </c>
      <c r="AE2" s="74" t="s">
        <v>813</v>
      </c>
      <c r="AF2" s="112" t="s">
        <v>2365</v>
      </c>
      <c r="AG2" s="98" t="s">
        <v>96</v>
      </c>
      <c r="AH2" s="98" t="s">
        <v>99</v>
      </c>
      <c r="AI2" s="98" t="s">
        <v>102</v>
      </c>
      <c r="AJ2" s="98" t="s">
        <v>105</v>
      </c>
      <c r="AK2" s="98" t="s">
        <v>826</v>
      </c>
      <c r="AL2" s="98" t="s">
        <v>113</v>
      </c>
      <c r="AM2" s="98" t="s">
        <v>116</v>
      </c>
      <c r="AN2" s="98" t="s">
        <v>120</v>
      </c>
      <c r="AO2" s="98" t="s">
        <v>123</v>
      </c>
      <c r="AP2" s="98" t="s">
        <v>125</v>
      </c>
      <c r="AQ2" s="98" t="s">
        <v>128</v>
      </c>
      <c r="AR2" s="98" t="s">
        <v>131</v>
      </c>
      <c r="AS2" s="98" t="s">
        <v>134</v>
      </c>
      <c r="AT2" s="98" t="s">
        <v>137</v>
      </c>
      <c r="AU2" s="98" t="s">
        <v>799</v>
      </c>
      <c r="AV2" s="98" t="s">
        <v>143</v>
      </c>
      <c r="AW2" s="98" t="s">
        <v>146</v>
      </c>
      <c r="AX2" s="98" t="s">
        <v>149</v>
      </c>
      <c r="AY2" s="98" t="s">
        <v>152</v>
      </c>
      <c r="AZ2" s="98" t="s">
        <v>155</v>
      </c>
      <c r="BA2" s="98" t="s">
        <v>158</v>
      </c>
      <c r="BB2" s="98" t="s">
        <v>161</v>
      </c>
      <c r="BC2" s="98" t="s">
        <v>164</v>
      </c>
      <c r="BD2" s="98" t="s">
        <v>167</v>
      </c>
      <c r="BE2" s="74" t="s">
        <v>827</v>
      </c>
      <c r="BF2" s="107"/>
      <c r="BG2" s="74" t="s">
        <v>699</v>
      </c>
      <c r="BH2" s="74" t="s">
        <v>813</v>
      </c>
      <c r="BI2" s="112" t="s">
        <v>2365</v>
      </c>
      <c r="BJ2" s="98" t="s">
        <v>173</v>
      </c>
      <c r="BK2" s="98" t="s">
        <v>176</v>
      </c>
      <c r="BL2" s="98" t="s">
        <v>179</v>
      </c>
      <c r="BM2" s="98" t="s">
        <v>182</v>
      </c>
      <c r="BN2" s="98" t="s">
        <v>185</v>
      </c>
      <c r="BO2" s="98" t="s">
        <v>188</v>
      </c>
      <c r="BP2" s="98" t="s">
        <v>191</v>
      </c>
      <c r="BQ2" s="74" t="s">
        <v>828</v>
      </c>
      <c r="BR2" s="107"/>
      <c r="BS2" s="74" t="s">
        <v>699</v>
      </c>
      <c r="BT2" s="74" t="s">
        <v>813</v>
      </c>
      <c r="BU2" s="112" t="s">
        <v>2365</v>
      </c>
      <c r="BV2" s="98" t="s">
        <v>195</v>
      </c>
      <c r="BW2" s="98" t="s">
        <v>198</v>
      </c>
      <c r="BX2" s="98" t="s">
        <v>201</v>
      </c>
      <c r="BY2" s="98" t="s">
        <v>204</v>
      </c>
      <c r="BZ2" s="98" t="s">
        <v>207</v>
      </c>
      <c r="CA2" s="98" t="s">
        <v>210</v>
      </c>
      <c r="CB2" s="98" t="s">
        <v>213</v>
      </c>
      <c r="CC2" s="98" t="s">
        <v>216</v>
      </c>
      <c r="CD2" s="98" t="s">
        <v>219</v>
      </c>
      <c r="CE2" s="98" t="s">
        <v>221</v>
      </c>
      <c r="CF2" s="74" t="s">
        <v>829</v>
      </c>
      <c r="CG2" s="107"/>
      <c r="CH2" s="74" t="s">
        <v>699</v>
      </c>
      <c r="CI2" s="74" t="s">
        <v>813</v>
      </c>
      <c r="CJ2" s="112" t="s">
        <v>2365</v>
      </c>
      <c r="CK2" s="98" t="s">
        <v>225</v>
      </c>
      <c r="CL2" s="98" t="s">
        <v>228</v>
      </c>
      <c r="CM2" s="98" t="s">
        <v>231</v>
      </c>
      <c r="CN2" s="98" t="s">
        <v>239</v>
      </c>
      <c r="CO2" s="98" t="s">
        <v>241</v>
      </c>
      <c r="CP2" s="98" t="s">
        <v>243</v>
      </c>
      <c r="CQ2" s="74" t="s">
        <v>830</v>
      </c>
      <c r="CR2" s="107"/>
      <c r="CS2" s="74" t="s">
        <v>699</v>
      </c>
      <c r="CT2" s="74" t="s">
        <v>813</v>
      </c>
      <c r="CU2" s="112" t="s">
        <v>2365</v>
      </c>
      <c r="CV2" s="109" t="s">
        <v>2366</v>
      </c>
      <c r="CW2" s="108" t="s">
        <v>833</v>
      </c>
      <c r="CX2" s="107"/>
      <c r="CY2" s="74" t="s">
        <v>699</v>
      </c>
      <c r="CZ2" s="74" t="s">
        <v>813</v>
      </c>
      <c r="DA2" s="112" t="s">
        <v>2365</v>
      </c>
      <c r="DB2" s="98" t="s">
        <v>272</v>
      </c>
      <c r="DC2" s="98" t="s">
        <v>274</v>
      </c>
      <c r="DD2" s="98" t="s">
        <v>278</v>
      </c>
      <c r="DE2" s="98" t="s">
        <v>287</v>
      </c>
      <c r="DF2" s="98" t="s">
        <v>290</v>
      </c>
      <c r="DG2" s="98" t="s">
        <v>293</v>
      </c>
      <c r="DH2" s="98" t="s">
        <v>296</v>
      </c>
      <c r="DI2" s="74" t="s">
        <v>838</v>
      </c>
      <c r="DJ2" s="107"/>
      <c r="DK2" s="74" t="s">
        <v>699</v>
      </c>
      <c r="DL2" s="74" t="s">
        <v>813</v>
      </c>
      <c r="DM2" s="112" t="s">
        <v>2365</v>
      </c>
      <c r="DN2" s="98" t="s">
        <v>300</v>
      </c>
      <c r="DO2" s="98" t="s">
        <v>303</v>
      </c>
      <c r="DP2" s="98" t="s">
        <v>309</v>
      </c>
      <c r="DQ2" s="98" t="s">
        <v>312</v>
      </c>
      <c r="DR2" s="98" t="s">
        <v>315</v>
      </c>
      <c r="DS2" s="98" t="s">
        <v>318</v>
      </c>
      <c r="DT2" s="98" t="s">
        <v>321</v>
      </c>
      <c r="DU2" s="98" t="s">
        <v>322</v>
      </c>
      <c r="DV2" s="98" t="s">
        <v>326</v>
      </c>
      <c r="DW2" s="98" t="s">
        <v>329</v>
      </c>
      <c r="DX2" s="98" t="s">
        <v>2367</v>
      </c>
      <c r="DY2" s="98" t="s">
        <v>333</v>
      </c>
      <c r="DZ2" s="98" t="s">
        <v>337</v>
      </c>
      <c r="EA2" s="98" t="s">
        <v>340</v>
      </c>
      <c r="EB2" s="98" t="s">
        <v>2368</v>
      </c>
      <c r="EC2" s="74" t="s">
        <v>839</v>
      </c>
      <c r="ED2" s="107"/>
      <c r="EE2" s="74" t="s">
        <v>699</v>
      </c>
      <c r="EF2" s="74" t="s">
        <v>813</v>
      </c>
      <c r="EG2" s="112" t="s">
        <v>2365</v>
      </c>
      <c r="EH2" s="98" t="s">
        <v>344</v>
      </c>
      <c r="EI2" s="98" t="s">
        <v>347</v>
      </c>
      <c r="EJ2" s="98" t="s">
        <v>350</v>
      </c>
      <c r="EK2" s="98" t="s">
        <v>353</v>
      </c>
      <c r="EL2" s="98" t="s">
        <v>355</v>
      </c>
      <c r="EM2" s="98" t="s">
        <v>358</v>
      </c>
      <c r="EN2" s="98" t="s">
        <v>361</v>
      </c>
      <c r="EO2" s="98" t="s">
        <v>364</v>
      </c>
      <c r="EP2" s="74" t="s">
        <v>2369</v>
      </c>
      <c r="EQ2" s="107"/>
      <c r="ER2" s="395"/>
    </row>
  </sheetData>
  <mergeCells count="11">
    <mergeCell ref="CV1:CW1"/>
    <mergeCell ref="DB1:DI1"/>
    <mergeCell ref="DN1:EC1"/>
    <mergeCell ref="EH1:EP1"/>
    <mergeCell ref="ER1:ER2"/>
    <mergeCell ref="CK1:CQ1"/>
    <mergeCell ref="D1:M1"/>
    <mergeCell ref="R1:AB1"/>
    <mergeCell ref="AG1:BE1"/>
    <mergeCell ref="BJ1:BQ1"/>
    <mergeCell ref="BV1:CF1"/>
  </mergeCell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AJ117"/>
  <sheetViews>
    <sheetView workbookViewId="0">
      <selection sqref="A1:B1"/>
    </sheetView>
  </sheetViews>
  <sheetFormatPr defaultColWidth="11" defaultRowHeight="15.5" x14ac:dyDescent="0.35"/>
  <cols>
    <col min="1" max="1" width="7.33203125" customWidth="1"/>
    <col min="2" max="2" width="61.83203125" style="21" customWidth="1"/>
    <col min="3" max="36" width="20.83203125" style="78" customWidth="1"/>
  </cols>
  <sheetData>
    <row r="1" spans="1:36" s="62" customFormat="1" ht="34.5" customHeight="1" x14ac:dyDescent="0.35">
      <c r="A1" s="400" t="s">
        <v>2370</v>
      </c>
      <c r="B1" s="381"/>
      <c r="C1" s="397" t="s">
        <v>719</v>
      </c>
      <c r="D1" s="397"/>
      <c r="E1" s="397"/>
      <c r="F1" s="397"/>
      <c r="G1" s="397"/>
      <c r="H1" s="397"/>
      <c r="I1" s="397"/>
      <c r="J1" s="397"/>
      <c r="K1" s="397"/>
      <c r="L1" s="397"/>
      <c r="M1" s="397"/>
      <c r="N1" s="397"/>
      <c r="O1" s="397"/>
      <c r="P1" s="397"/>
      <c r="Q1" s="397"/>
      <c r="R1" s="397"/>
      <c r="S1" s="397"/>
      <c r="T1" s="397"/>
      <c r="U1" s="397"/>
      <c r="V1" s="397"/>
      <c r="W1" s="397"/>
      <c r="X1" s="397"/>
      <c r="Y1" s="397"/>
      <c r="Z1" s="397"/>
      <c r="AA1" s="397"/>
      <c r="AB1" s="397"/>
      <c r="AC1" s="397"/>
      <c r="AD1" s="397"/>
      <c r="AE1" s="397"/>
      <c r="AF1" s="397"/>
      <c r="AG1" s="397"/>
      <c r="AH1" s="397"/>
      <c r="AI1" s="397"/>
      <c r="AJ1" s="397"/>
    </row>
    <row r="2" spans="1:36" s="7" customFormat="1" ht="20.25" customHeight="1" x14ac:dyDescent="0.35">
      <c r="A2" s="401" t="s">
        <v>2371</v>
      </c>
      <c r="B2" s="401"/>
      <c r="C2" s="398"/>
      <c r="D2" s="398"/>
      <c r="E2" s="398"/>
      <c r="F2" s="398"/>
      <c r="G2" s="398"/>
      <c r="H2" s="398"/>
      <c r="I2" s="398"/>
      <c r="J2" s="398"/>
      <c r="K2" s="398"/>
      <c r="L2" s="398"/>
      <c r="M2" s="398"/>
      <c r="N2" s="398"/>
      <c r="O2" s="398"/>
      <c r="P2" s="398"/>
      <c r="Q2" s="398"/>
      <c r="R2" s="398"/>
      <c r="S2" s="398"/>
      <c r="T2" s="398"/>
      <c r="U2" s="398"/>
      <c r="V2" s="398"/>
      <c r="W2" s="398"/>
      <c r="X2" s="398"/>
      <c r="Y2" s="398"/>
      <c r="Z2" s="398"/>
      <c r="AA2" s="398"/>
      <c r="AB2" s="398"/>
      <c r="AC2" s="398"/>
      <c r="AD2" s="398"/>
      <c r="AE2" s="398"/>
      <c r="AF2" s="398"/>
      <c r="AG2" s="398"/>
      <c r="AH2" s="398"/>
      <c r="AI2" s="398"/>
      <c r="AJ2" s="398"/>
    </row>
    <row r="3" spans="1:36" s="7" customFormat="1" ht="20.25" customHeight="1" x14ac:dyDescent="0.35">
      <c r="A3" s="54"/>
      <c r="B3" s="54" t="s">
        <v>700</v>
      </c>
      <c r="C3" s="74" t="s">
        <v>2372</v>
      </c>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row>
    <row r="4" spans="1:36" s="7" customFormat="1" ht="20.25" customHeight="1" x14ac:dyDescent="0.35">
      <c r="A4" s="401" t="s">
        <v>814</v>
      </c>
      <c r="B4" s="401"/>
      <c r="C4" s="74" t="s">
        <v>842</v>
      </c>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row>
    <row r="5" spans="1:36" s="7" customFormat="1" ht="20.25" customHeight="1" x14ac:dyDescent="0.35">
      <c r="A5" s="401" t="s">
        <v>815</v>
      </c>
      <c r="B5" s="401"/>
      <c r="C5" s="74">
        <v>123</v>
      </c>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row>
    <row r="6" spans="1:36" s="63" customFormat="1" ht="20.25" customHeight="1" x14ac:dyDescent="0.35">
      <c r="A6" s="381" t="s">
        <v>2373</v>
      </c>
      <c r="B6" s="381"/>
      <c r="C6" s="75">
        <f>SUM(C7:C15)/14</f>
        <v>0.8214285714285714</v>
      </c>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row>
    <row r="7" spans="1:36" s="72" customFormat="1" ht="20.25" customHeight="1" x14ac:dyDescent="0.3">
      <c r="A7" s="59">
        <v>1</v>
      </c>
      <c r="B7" s="60" t="s">
        <v>21</v>
      </c>
      <c r="C7" s="76">
        <v>0.5</v>
      </c>
      <c r="D7" s="76"/>
      <c r="E7" s="76"/>
      <c r="F7" s="76"/>
      <c r="G7" s="76"/>
      <c r="H7" s="76"/>
      <c r="I7" s="76"/>
      <c r="J7" s="76"/>
      <c r="K7" s="76"/>
      <c r="L7" s="76"/>
      <c r="M7" s="76"/>
      <c r="N7" s="76"/>
      <c r="O7" s="76"/>
      <c r="P7" s="76"/>
      <c r="Q7" s="76"/>
      <c r="R7" s="76"/>
      <c r="S7" s="76"/>
      <c r="T7" s="76"/>
      <c r="U7" s="76"/>
      <c r="V7" s="76"/>
      <c r="W7" s="76"/>
      <c r="X7" s="76"/>
      <c r="Y7" s="76"/>
      <c r="Z7" s="76"/>
      <c r="AA7" s="76"/>
      <c r="AB7" s="76"/>
      <c r="AC7" s="76"/>
      <c r="AD7" s="76"/>
      <c r="AE7" s="76"/>
      <c r="AF7" s="76"/>
      <c r="AG7" s="76"/>
      <c r="AH7" s="76"/>
      <c r="AI7" s="76"/>
      <c r="AJ7" s="76"/>
    </row>
    <row r="8" spans="1:36" s="72" customFormat="1" ht="20.25" customHeight="1" x14ac:dyDescent="0.3">
      <c r="A8" s="55">
        <v>2</v>
      </c>
      <c r="B8" s="56" t="s">
        <v>25</v>
      </c>
      <c r="C8" s="77">
        <v>2</v>
      </c>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s="72" customFormat="1" ht="20.25" customHeight="1" x14ac:dyDescent="0.3">
      <c r="A9" s="59">
        <v>3</v>
      </c>
      <c r="B9" s="60" t="s">
        <v>816</v>
      </c>
      <c r="C9" s="76">
        <v>1</v>
      </c>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row>
    <row r="10" spans="1:36" s="72" customFormat="1" ht="20.25" customHeight="1" x14ac:dyDescent="0.3">
      <c r="A10" s="55">
        <v>4</v>
      </c>
      <c r="B10" s="56" t="s">
        <v>817</v>
      </c>
      <c r="C10" s="77">
        <v>3</v>
      </c>
      <c r="D10" s="77"/>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s="72" customFormat="1" ht="20.25" customHeight="1" x14ac:dyDescent="0.3">
      <c r="A11" s="59">
        <v>5</v>
      </c>
      <c r="B11" s="60" t="s">
        <v>818</v>
      </c>
      <c r="C11" s="76">
        <v>1</v>
      </c>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row>
    <row r="12" spans="1:36" s="72" customFormat="1" ht="30" x14ac:dyDescent="0.3">
      <c r="A12" s="55">
        <v>6</v>
      </c>
      <c r="B12" s="56" t="s">
        <v>41</v>
      </c>
      <c r="C12" s="77">
        <v>1</v>
      </c>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s="72" customFormat="1" ht="20.25" customHeight="1" x14ac:dyDescent="0.3">
      <c r="A13" s="59">
        <v>7</v>
      </c>
      <c r="B13" s="60" t="s">
        <v>44</v>
      </c>
      <c r="C13" s="76">
        <v>1</v>
      </c>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row>
    <row r="14" spans="1:36" s="72" customFormat="1" ht="20.25" customHeight="1" x14ac:dyDescent="0.3">
      <c r="A14" s="55">
        <v>8</v>
      </c>
      <c r="B14" s="56" t="s">
        <v>47</v>
      </c>
      <c r="C14" s="77">
        <v>1</v>
      </c>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row>
    <row r="15" spans="1:36" s="72" customFormat="1" ht="20.25" customHeight="1" x14ac:dyDescent="0.3">
      <c r="A15" s="59">
        <v>9</v>
      </c>
      <c r="B15" s="60" t="s">
        <v>50</v>
      </c>
      <c r="C15" s="76">
        <v>1</v>
      </c>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row>
    <row r="16" spans="1:36" s="63" customFormat="1" ht="20.25" customHeight="1" x14ac:dyDescent="0.35">
      <c r="A16" s="381" t="s">
        <v>2374</v>
      </c>
      <c r="B16" s="381"/>
      <c r="C16" s="75">
        <f>SUM(C17:C26)/34</f>
        <v>0.61764705882352944</v>
      </c>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row>
    <row r="17" spans="1:3" s="72" customFormat="1" ht="20.25" customHeight="1" x14ac:dyDescent="0.3">
      <c r="A17" s="59">
        <v>1</v>
      </c>
      <c r="B17" s="60" t="s">
        <v>54</v>
      </c>
      <c r="C17" s="76">
        <v>1</v>
      </c>
    </row>
    <row r="18" spans="1:3" s="72" customFormat="1" ht="20.25" customHeight="1" x14ac:dyDescent="0.3">
      <c r="A18" s="55">
        <v>2</v>
      </c>
      <c r="B18" s="56" t="s">
        <v>820</v>
      </c>
      <c r="C18" s="77">
        <v>1</v>
      </c>
    </row>
    <row r="19" spans="1:3" s="72" customFormat="1" ht="20.25" customHeight="1" x14ac:dyDescent="0.3">
      <c r="A19" s="59">
        <v>3</v>
      </c>
      <c r="B19" s="60" t="s">
        <v>821</v>
      </c>
      <c r="C19" s="76">
        <v>2</v>
      </c>
    </row>
    <row r="20" spans="1:3" s="72" customFormat="1" ht="20.25" customHeight="1" x14ac:dyDescent="0.3">
      <c r="A20" s="55">
        <v>4</v>
      </c>
      <c r="B20" s="56" t="s">
        <v>822</v>
      </c>
      <c r="C20" s="77">
        <v>1</v>
      </c>
    </row>
    <row r="21" spans="1:3" s="72" customFormat="1" ht="20.25" customHeight="1" x14ac:dyDescent="0.3">
      <c r="A21" s="59">
        <v>5</v>
      </c>
      <c r="B21" s="60" t="s">
        <v>823</v>
      </c>
      <c r="C21" s="76">
        <v>8</v>
      </c>
    </row>
    <row r="22" spans="1:3" s="72" customFormat="1" ht="20.25" customHeight="1" x14ac:dyDescent="0.3">
      <c r="A22" s="55">
        <v>6</v>
      </c>
      <c r="B22" s="56" t="s">
        <v>78</v>
      </c>
      <c r="C22" s="77">
        <v>1</v>
      </c>
    </row>
    <row r="23" spans="1:3" s="72" customFormat="1" ht="20.25" customHeight="1" x14ac:dyDescent="0.3">
      <c r="A23" s="59">
        <v>7</v>
      </c>
      <c r="B23" s="60" t="s">
        <v>824</v>
      </c>
      <c r="C23" s="76">
        <v>1</v>
      </c>
    </row>
    <row r="24" spans="1:3" s="72" customFormat="1" ht="30" x14ac:dyDescent="0.3">
      <c r="A24" s="55">
        <v>8</v>
      </c>
      <c r="B24" s="56" t="s">
        <v>798</v>
      </c>
      <c r="C24" s="77">
        <v>1</v>
      </c>
    </row>
    <row r="25" spans="1:3" s="72" customFormat="1" ht="20.25" customHeight="1" x14ac:dyDescent="0.3">
      <c r="A25" s="59">
        <v>9</v>
      </c>
      <c r="B25" s="60" t="s">
        <v>90</v>
      </c>
      <c r="C25" s="76">
        <v>3</v>
      </c>
    </row>
    <row r="26" spans="1:3" s="72" customFormat="1" ht="20.25" customHeight="1" x14ac:dyDescent="0.3">
      <c r="A26" s="55">
        <v>10</v>
      </c>
      <c r="B26" s="56" t="s">
        <v>92</v>
      </c>
      <c r="C26" s="77">
        <v>2</v>
      </c>
    </row>
    <row r="27" spans="1:3" s="63" customFormat="1" ht="20.25" customHeight="1" x14ac:dyDescent="0.35">
      <c r="A27" s="381" t="s">
        <v>2375</v>
      </c>
      <c r="B27" s="381"/>
      <c r="C27" s="75">
        <f>SUM(C28:C51)/44</f>
        <v>0.77272727272727271</v>
      </c>
    </row>
    <row r="28" spans="1:3" s="72" customFormat="1" ht="20.25" customHeight="1" x14ac:dyDescent="0.3">
      <c r="A28" s="59">
        <v>1</v>
      </c>
      <c r="B28" s="60" t="s">
        <v>96</v>
      </c>
      <c r="C28" s="76">
        <v>1</v>
      </c>
    </row>
    <row r="29" spans="1:3" s="72" customFormat="1" ht="30" x14ac:dyDescent="0.3">
      <c r="A29" s="55">
        <v>2</v>
      </c>
      <c r="B29" s="56" t="s">
        <v>99</v>
      </c>
      <c r="C29" s="77">
        <v>1</v>
      </c>
    </row>
    <row r="30" spans="1:3" s="72" customFormat="1" ht="20.25" customHeight="1" x14ac:dyDescent="0.3">
      <c r="A30" s="59">
        <v>3</v>
      </c>
      <c r="B30" s="60" t="s">
        <v>102</v>
      </c>
      <c r="C30" s="76">
        <v>1</v>
      </c>
    </row>
    <row r="31" spans="1:3" s="72" customFormat="1" ht="20.25" customHeight="1" x14ac:dyDescent="0.3">
      <c r="A31" s="55">
        <v>4</v>
      </c>
      <c r="B31" s="56" t="s">
        <v>105</v>
      </c>
      <c r="C31" s="77">
        <v>4</v>
      </c>
    </row>
    <row r="32" spans="1:3" s="72" customFormat="1" ht="20.25" customHeight="1" x14ac:dyDescent="0.3">
      <c r="A32" s="59">
        <v>5</v>
      </c>
      <c r="B32" s="60" t="s">
        <v>826</v>
      </c>
      <c r="C32" s="76">
        <v>1</v>
      </c>
    </row>
    <row r="33" spans="1:3" s="72" customFormat="1" ht="20.25" customHeight="1" x14ac:dyDescent="0.3">
      <c r="A33" s="55">
        <v>6</v>
      </c>
      <c r="B33" s="56" t="s">
        <v>113</v>
      </c>
      <c r="C33" s="77">
        <v>2</v>
      </c>
    </row>
    <row r="34" spans="1:3" s="72" customFormat="1" ht="20.25" customHeight="1" x14ac:dyDescent="0.3">
      <c r="A34" s="59">
        <v>7</v>
      </c>
      <c r="B34" s="60" t="s">
        <v>116</v>
      </c>
      <c r="C34" s="76">
        <v>1</v>
      </c>
    </row>
    <row r="35" spans="1:3" s="72" customFormat="1" ht="20.25" customHeight="1" x14ac:dyDescent="0.3">
      <c r="A35" s="55">
        <v>8</v>
      </c>
      <c r="B35" s="56" t="s">
        <v>120</v>
      </c>
      <c r="C35" s="77">
        <v>1</v>
      </c>
    </row>
    <row r="36" spans="1:3" s="72" customFormat="1" ht="20.25" customHeight="1" x14ac:dyDescent="0.3">
      <c r="A36" s="59">
        <v>9</v>
      </c>
      <c r="B36" s="60" t="s">
        <v>123</v>
      </c>
      <c r="C36" s="76">
        <v>1</v>
      </c>
    </row>
    <row r="37" spans="1:3" s="72" customFormat="1" ht="20.25" customHeight="1" x14ac:dyDescent="0.3">
      <c r="A37" s="55">
        <v>10</v>
      </c>
      <c r="B37" s="56" t="s">
        <v>125</v>
      </c>
      <c r="C37" s="77">
        <v>1</v>
      </c>
    </row>
    <row r="38" spans="1:3" s="72" customFormat="1" ht="20.25" customHeight="1" x14ac:dyDescent="0.3">
      <c r="A38" s="59">
        <v>11</v>
      </c>
      <c r="B38" s="60" t="s">
        <v>128</v>
      </c>
      <c r="C38" s="76">
        <v>2</v>
      </c>
    </row>
    <row r="39" spans="1:3" s="72" customFormat="1" ht="20.25" customHeight="1" x14ac:dyDescent="0.3">
      <c r="A39" s="55">
        <v>12</v>
      </c>
      <c r="B39" s="56" t="s">
        <v>131</v>
      </c>
      <c r="C39" s="77">
        <v>1</v>
      </c>
    </row>
    <row r="40" spans="1:3" s="72" customFormat="1" ht="20.25" customHeight="1" x14ac:dyDescent="0.3">
      <c r="A40" s="59">
        <v>13</v>
      </c>
      <c r="B40" s="60" t="s">
        <v>134</v>
      </c>
      <c r="C40" s="76">
        <v>2</v>
      </c>
    </row>
    <row r="41" spans="1:3" s="72" customFormat="1" ht="20.25" customHeight="1" x14ac:dyDescent="0.3">
      <c r="A41" s="55">
        <v>14</v>
      </c>
      <c r="B41" s="56" t="s">
        <v>137</v>
      </c>
      <c r="C41" s="77">
        <v>1</v>
      </c>
    </row>
    <row r="42" spans="1:3" s="72" customFormat="1" ht="20.25" customHeight="1" x14ac:dyDescent="0.3">
      <c r="A42" s="59">
        <v>15</v>
      </c>
      <c r="B42" s="60" t="s">
        <v>799</v>
      </c>
      <c r="C42" s="76">
        <v>4</v>
      </c>
    </row>
    <row r="43" spans="1:3" s="72" customFormat="1" ht="30" x14ac:dyDescent="0.3">
      <c r="A43" s="55">
        <v>16</v>
      </c>
      <c r="B43" s="56" t="s">
        <v>143</v>
      </c>
      <c r="C43" s="77">
        <v>1</v>
      </c>
    </row>
    <row r="44" spans="1:3" s="72" customFormat="1" ht="20.25" customHeight="1" x14ac:dyDescent="0.3">
      <c r="A44" s="59">
        <v>17</v>
      </c>
      <c r="B44" s="60" t="s">
        <v>146</v>
      </c>
      <c r="C44" s="76">
        <v>2</v>
      </c>
    </row>
    <row r="45" spans="1:3" s="72" customFormat="1" ht="20.25" customHeight="1" x14ac:dyDescent="0.3">
      <c r="A45" s="55">
        <v>18</v>
      </c>
      <c r="B45" s="56" t="s">
        <v>149</v>
      </c>
      <c r="C45" s="77">
        <v>0.5</v>
      </c>
    </row>
    <row r="46" spans="1:3" s="72" customFormat="1" ht="20.25" customHeight="1" x14ac:dyDescent="0.3">
      <c r="A46" s="59">
        <v>19</v>
      </c>
      <c r="B46" s="60" t="s">
        <v>152</v>
      </c>
      <c r="C46" s="76">
        <v>0</v>
      </c>
    </row>
    <row r="47" spans="1:3" s="72" customFormat="1" ht="20.25" customHeight="1" x14ac:dyDescent="0.3">
      <c r="A47" s="55">
        <v>20</v>
      </c>
      <c r="B47" s="56" t="s">
        <v>155</v>
      </c>
      <c r="C47" s="77">
        <v>0</v>
      </c>
    </row>
    <row r="48" spans="1:3" s="72" customFormat="1" ht="20.25" customHeight="1" x14ac:dyDescent="0.3">
      <c r="A48" s="59">
        <v>21</v>
      </c>
      <c r="B48" s="60" t="s">
        <v>158</v>
      </c>
      <c r="C48" s="76">
        <v>1</v>
      </c>
    </row>
    <row r="49" spans="1:3" s="72" customFormat="1" ht="20.25" customHeight="1" x14ac:dyDescent="0.3">
      <c r="A49" s="55">
        <v>22</v>
      </c>
      <c r="B49" s="56" t="s">
        <v>161</v>
      </c>
      <c r="C49" s="77">
        <v>0.5</v>
      </c>
    </row>
    <row r="50" spans="1:3" s="72" customFormat="1" ht="30" x14ac:dyDescent="0.3">
      <c r="A50" s="59">
        <v>23</v>
      </c>
      <c r="B50" s="60" t="s">
        <v>164</v>
      </c>
      <c r="C50" s="76">
        <v>1</v>
      </c>
    </row>
    <row r="51" spans="1:3" s="72" customFormat="1" ht="30" x14ac:dyDescent="0.3">
      <c r="A51" s="55">
        <v>24</v>
      </c>
      <c r="B51" s="56" t="s">
        <v>167</v>
      </c>
      <c r="C51" s="77">
        <v>4</v>
      </c>
    </row>
    <row r="52" spans="1:3" s="63" customFormat="1" ht="20.25" customHeight="1" x14ac:dyDescent="0.35">
      <c r="A52" s="381" t="s">
        <v>2359</v>
      </c>
      <c r="B52" s="381"/>
      <c r="C52" s="75">
        <f>SUM(C53:C59)/23</f>
        <v>0.73913043478260865</v>
      </c>
    </row>
    <row r="53" spans="1:3" ht="20.25" customHeight="1" x14ac:dyDescent="0.35">
      <c r="A53" s="59">
        <v>1</v>
      </c>
      <c r="B53" s="60" t="s">
        <v>173</v>
      </c>
      <c r="C53" s="76">
        <v>1</v>
      </c>
    </row>
    <row r="54" spans="1:3" ht="20.25" customHeight="1" x14ac:dyDescent="0.35">
      <c r="A54" s="55">
        <v>2</v>
      </c>
      <c r="B54" s="56" t="s">
        <v>176</v>
      </c>
      <c r="C54" s="77">
        <v>3</v>
      </c>
    </row>
    <row r="55" spans="1:3" ht="20.25" customHeight="1" x14ac:dyDescent="0.35">
      <c r="A55" s="59">
        <v>3</v>
      </c>
      <c r="B55" s="60" t="s">
        <v>179</v>
      </c>
      <c r="C55" s="76">
        <v>4</v>
      </c>
    </row>
    <row r="56" spans="1:3" ht="20.25" customHeight="1" x14ac:dyDescent="0.35">
      <c r="A56" s="55">
        <v>4</v>
      </c>
      <c r="B56" s="56" t="s">
        <v>182</v>
      </c>
      <c r="C56" s="77">
        <v>3</v>
      </c>
    </row>
    <row r="57" spans="1:3" ht="20.25" customHeight="1" x14ac:dyDescent="0.35">
      <c r="A57" s="59">
        <v>5</v>
      </c>
      <c r="B57" s="60" t="s">
        <v>185</v>
      </c>
      <c r="C57" s="76">
        <v>3</v>
      </c>
    </row>
    <row r="58" spans="1:3" ht="30.5" x14ac:dyDescent="0.35">
      <c r="A58" s="55">
        <v>6</v>
      </c>
      <c r="B58" s="56" t="s">
        <v>188</v>
      </c>
      <c r="C58" s="77">
        <v>3</v>
      </c>
    </row>
    <row r="59" spans="1:3" ht="20.25" customHeight="1" x14ac:dyDescent="0.35">
      <c r="A59" s="59">
        <v>7</v>
      </c>
      <c r="B59" s="60" t="s">
        <v>191</v>
      </c>
      <c r="C59" s="76">
        <v>0</v>
      </c>
    </row>
    <row r="60" spans="1:3" s="63" customFormat="1" ht="20.25" customHeight="1" x14ac:dyDescent="0.35">
      <c r="A60" s="381" t="s">
        <v>2376</v>
      </c>
      <c r="B60" s="381"/>
      <c r="C60" s="75" t="s">
        <v>2377</v>
      </c>
    </row>
    <row r="61" spans="1:3" ht="20.25" customHeight="1" x14ac:dyDescent="0.35">
      <c r="A61" s="59">
        <v>1</v>
      </c>
      <c r="B61" s="60" t="s">
        <v>195</v>
      </c>
      <c r="C61" s="76" t="s">
        <v>2377</v>
      </c>
    </row>
    <row r="62" spans="1:3" ht="20.25" customHeight="1" x14ac:dyDescent="0.35">
      <c r="A62" s="55">
        <v>2</v>
      </c>
      <c r="B62" s="56" t="s">
        <v>198</v>
      </c>
      <c r="C62" s="77" t="s">
        <v>2377</v>
      </c>
    </row>
    <row r="63" spans="1:3" ht="20.25" customHeight="1" x14ac:dyDescent="0.35">
      <c r="A63" s="59">
        <v>3</v>
      </c>
      <c r="B63" s="60" t="s">
        <v>201</v>
      </c>
      <c r="C63" s="76" t="s">
        <v>2377</v>
      </c>
    </row>
    <row r="64" spans="1:3" ht="30.5" x14ac:dyDescent="0.35">
      <c r="A64" s="55">
        <v>4</v>
      </c>
      <c r="B64" s="56" t="s">
        <v>204</v>
      </c>
      <c r="C64" s="77" t="s">
        <v>2377</v>
      </c>
    </row>
    <row r="65" spans="1:3" ht="20.25" customHeight="1" x14ac:dyDescent="0.35">
      <c r="A65" s="59">
        <v>5</v>
      </c>
      <c r="B65" s="60" t="s">
        <v>207</v>
      </c>
      <c r="C65" s="76" t="s">
        <v>2377</v>
      </c>
    </row>
    <row r="66" spans="1:3" ht="20.25" customHeight="1" x14ac:dyDescent="0.35">
      <c r="A66" s="55">
        <v>6</v>
      </c>
      <c r="B66" s="56" t="s">
        <v>210</v>
      </c>
      <c r="C66" s="77" t="s">
        <v>2377</v>
      </c>
    </row>
    <row r="67" spans="1:3" ht="20.25" customHeight="1" x14ac:dyDescent="0.35">
      <c r="A67" s="59">
        <v>7</v>
      </c>
      <c r="B67" s="60" t="s">
        <v>213</v>
      </c>
      <c r="C67" s="76" t="s">
        <v>2377</v>
      </c>
    </row>
    <row r="68" spans="1:3" ht="20.25" customHeight="1" x14ac:dyDescent="0.35">
      <c r="A68" s="55">
        <v>8</v>
      </c>
      <c r="B68" s="56" t="s">
        <v>216</v>
      </c>
      <c r="C68" s="77" t="s">
        <v>2377</v>
      </c>
    </row>
    <row r="69" spans="1:3" ht="30.5" x14ac:dyDescent="0.35">
      <c r="A69" s="59">
        <v>9</v>
      </c>
      <c r="B69" s="60" t="s">
        <v>219</v>
      </c>
      <c r="C69" s="76" t="s">
        <v>2377</v>
      </c>
    </row>
    <row r="70" spans="1:3" ht="20.25" customHeight="1" x14ac:dyDescent="0.35">
      <c r="A70" s="55">
        <v>10</v>
      </c>
      <c r="B70" s="56" t="s">
        <v>221</v>
      </c>
      <c r="C70" s="77" t="s">
        <v>2377</v>
      </c>
    </row>
    <row r="71" spans="1:3" s="63" customFormat="1" ht="20.25" customHeight="1" x14ac:dyDescent="0.35">
      <c r="A71" s="381" t="s">
        <v>2360</v>
      </c>
      <c r="B71" s="381"/>
      <c r="C71" s="75">
        <f>SUM(C72:C77)/52</f>
        <v>0.65384615384615385</v>
      </c>
    </row>
    <row r="72" spans="1:3" ht="30.5" x14ac:dyDescent="0.35">
      <c r="A72" s="59">
        <v>1</v>
      </c>
      <c r="B72" s="60" t="s">
        <v>225</v>
      </c>
      <c r="C72" s="76">
        <v>5</v>
      </c>
    </row>
    <row r="73" spans="1:3" ht="30.5" x14ac:dyDescent="0.35">
      <c r="A73" s="55">
        <v>2</v>
      </c>
      <c r="B73" s="56" t="s">
        <v>228</v>
      </c>
      <c r="C73" s="77">
        <v>3</v>
      </c>
    </row>
    <row r="74" spans="1:3" ht="20.25" customHeight="1" x14ac:dyDescent="0.35">
      <c r="A74" s="59">
        <v>3</v>
      </c>
      <c r="B74" s="60" t="s">
        <v>231</v>
      </c>
      <c r="C74" s="76">
        <v>16</v>
      </c>
    </row>
    <row r="75" spans="1:3" ht="20.25" customHeight="1" x14ac:dyDescent="0.35">
      <c r="A75" s="55">
        <v>4</v>
      </c>
      <c r="B75" s="56" t="s">
        <v>239</v>
      </c>
      <c r="C75" s="77">
        <v>4</v>
      </c>
    </row>
    <row r="76" spans="1:3" ht="30.5" x14ac:dyDescent="0.35">
      <c r="A76" s="59">
        <v>5</v>
      </c>
      <c r="B76" s="60" t="s">
        <v>241</v>
      </c>
      <c r="C76" s="76">
        <v>2</v>
      </c>
    </row>
    <row r="77" spans="1:3" ht="20.25" customHeight="1" x14ac:dyDescent="0.35">
      <c r="A77" s="55">
        <v>6</v>
      </c>
      <c r="B77" s="56" t="s">
        <v>243</v>
      </c>
      <c r="C77" s="77">
        <v>4</v>
      </c>
    </row>
    <row r="78" spans="1:3" s="63" customFormat="1" ht="20.25" customHeight="1" x14ac:dyDescent="0.35">
      <c r="A78" s="381" t="s">
        <v>2378</v>
      </c>
      <c r="B78" s="381"/>
      <c r="C78" s="75">
        <f>C79/92</f>
        <v>0.5</v>
      </c>
    </row>
    <row r="79" spans="1:3" ht="20.25" customHeight="1" x14ac:dyDescent="0.35">
      <c r="A79" s="61" t="s">
        <v>800</v>
      </c>
      <c r="B79" s="60" t="s">
        <v>2366</v>
      </c>
      <c r="C79" s="76">
        <v>46</v>
      </c>
    </row>
    <row r="80" spans="1:3" s="63" customFormat="1" ht="20.25" customHeight="1" x14ac:dyDescent="0.35">
      <c r="A80" s="381" t="s">
        <v>2362</v>
      </c>
      <c r="B80" s="381"/>
      <c r="C80" s="75">
        <f>SUM(C81:C91)/29</f>
        <v>0.55172413793103448</v>
      </c>
    </row>
    <row r="81" spans="1:3" ht="30.5" x14ac:dyDescent="0.35">
      <c r="A81" s="59">
        <v>1</v>
      </c>
      <c r="B81" s="60" t="s">
        <v>255</v>
      </c>
      <c r="C81" s="76">
        <v>2</v>
      </c>
    </row>
    <row r="82" spans="1:3" ht="20.25" customHeight="1" x14ac:dyDescent="0.35">
      <c r="A82" s="55">
        <v>2</v>
      </c>
      <c r="B82" s="56" t="s">
        <v>258</v>
      </c>
      <c r="C82" s="77">
        <v>1</v>
      </c>
    </row>
    <row r="83" spans="1:3" ht="20.25" customHeight="1" x14ac:dyDescent="0.35">
      <c r="A83" s="59">
        <v>3</v>
      </c>
      <c r="B83" s="60" t="s">
        <v>261</v>
      </c>
      <c r="C83" s="76">
        <v>0</v>
      </c>
    </row>
    <row r="84" spans="1:3" ht="20.25" customHeight="1" x14ac:dyDescent="0.35">
      <c r="A84" s="55">
        <v>4</v>
      </c>
      <c r="B84" s="56" t="s">
        <v>264</v>
      </c>
      <c r="C84" s="77">
        <v>5</v>
      </c>
    </row>
    <row r="85" spans="1:3" ht="20.25" customHeight="1" x14ac:dyDescent="0.35">
      <c r="A85" s="59">
        <v>5</v>
      </c>
      <c r="B85" s="60" t="s">
        <v>272</v>
      </c>
      <c r="C85" s="76">
        <v>2</v>
      </c>
    </row>
    <row r="86" spans="1:3" ht="20.25" customHeight="1" x14ac:dyDescent="0.35">
      <c r="A86" s="55">
        <v>6</v>
      </c>
      <c r="B86" s="56" t="s">
        <v>274</v>
      </c>
      <c r="C86" s="77">
        <v>1</v>
      </c>
    </row>
    <row r="87" spans="1:3" ht="30.5" x14ac:dyDescent="0.35">
      <c r="A87" s="59">
        <v>7</v>
      </c>
      <c r="B87" s="60" t="s">
        <v>278</v>
      </c>
      <c r="C87" s="76">
        <v>3</v>
      </c>
    </row>
    <row r="88" spans="1:3" ht="20.25" customHeight="1" x14ac:dyDescent="0.35">
      <c r="A88" s="55">
        <v>8</v>
      </c>
      <c r="B88" s="56" t="s">
        <v>287</v>
      </c>
      <c r="C88" s="77">
        <v>1</v>
      </c>
    </row>
    <row r="89" spans="1:3" ht="20.25" customHeight="1" x14ac:dyDescent="0.35">
      <c r="A89" s="59">
        <v>9</v>
      </c>
      <c r="B89" s="60" t="s">
        <v>290</v>
      </c>
      <c r="C89" s="76">
        <v>0</v>
      </c>
    </row>
    <row r="90" spans="1:3" ht="20.25" customHeight="1" x14ac:dyDescent="0.35">
      <c r="A90" s="55">
        <v>10</v>
      </c>
      <c r="B90" s="56" t="s">
        <v>293</v>
      </c>
      <c r="C90" s="77">
        <v>0</v>
      </c>
    </row>
    <row r="91" spans="1:3" ht="20.25" customHeight="1" x14ac:dyDescent="0.35">
      <c r="A91" s="59">
        <v>11</v>
      </c>
      <c r="B91" s="60" t="s">
        <v>296</v>
      </c>
      <c r="C91" s="76">
        <v>1</v>
      </c>
    </row>
    <row r="92" spans="1:3" s="63" customFormat="1" ht="20.25" customHeight="1" x14ac:dyDescent="0.35">
      <c r="A92" s="381" t="s">
        <v>2379</v>
      </c>
      <c r="B92" s="381"/>
      <c r="C92" s="75">
        <f>SUM(C93:C107)/27</f>
        <v>0.70370370370370372</v>
      </c>
    </row>
    <row r="93" spans="1:3" ht="30.5" x14ac:dyDescent="0.35">
      <c r="A93" s="59">
        <v>1</v>
      </c>
      <c r="B93" s="60" t="s">
        <v>300</v>
      </c>
      <c r="C93" s="76">
        <v>1</v>
      </c>
    </row>
    <row r="94" spans="1:3" ht="20.25" customHeight="1" x14ac:dyDescent="0.35">
      <c r="A94" s="55">
        <v>2</v>
      </c>
      <c r="B94" s="56" t="s">
        <v>303</v>
      </c>
      <c r="C94" s="77">
        <v>6</v>
      </c>
    </row>
    <row r="95" spans="1:3" ht="20.25" customHeight="1" x14ac:dyDescent="0.35">
      <c r="A95" s="59">
        <v>3</v>
      </c>
      <c r="B95" s="60" t="s">
        <v>309</v>
      </c>
      <c r="C95" s="76">
        <v>3</v>
      </c>
    </row>
    <row r="96" spans="1:3" ht="20.25" customHeight="1" x14ac:dyDescent="0.35">
      <c r="A96" s="55">
        <v>4</v>
      </c>
      <c r="B96" s="56" t="s">
        <v>312</v>
      </c>
      <c r="C96" s="77">
        <v>1</v>
      </c>
    </row>
    <row r="97" spans="1:3" ht="20.25" customHeight="1" x14ac:dyDescent="0.35">
      <c r="A97" s="59">
        <v>5</v>
      </c>
      <c r="B97" s="60" t="s">
        <v>315</v>
      </c>
      <c r="C97" s="76">
        <v>1</v>
      </c>
    </row>
    <row r="98" spans="1:3" ht="20.25" customHeight="1" x14ac:dyDescent="0.35">
      <c r="A98" s="55">
        <v>6</v>
      </c>
      <c r="B98" s="56" t="s">
        <v>318</v>
      </c>
      <c r="C98" s="77">
        <v>1</v>
      </c>
    </row>
    <row r="99" spans="1:3" ht="20.25" customHeight="1" x14ac:dyDescent="0.35">
      <c r="A99" s="59">
        <v>7</v>
      </c>
      <c r="B99" s="60" t="s">
        <v>321</v>
      </c>
      <c r="C99" s="76">
        <v>1</v>
      </c>
    </row>
    <row r="100" spans="1:3" ht="20.25" customHeight="1" x14ac:dyDescent="0.35">
      <c r="A100" s="55">
        <v>8</v>
      </c>
      <c r="B100" s="56" t="s">
        <v>322</v>
      </c>
      <c r="C100" s="77">
        <v>0</v>
      </c>
    </row>
    <row r="101" spans="1:3" ht="20.25" customHeight="1" x14ac:dyDescent="0.35">
      <c r="A101" s="59">
        <v>9</v>
      </c>
      <c r="B101" s="60" t="s">
        <v>326</v>
      </c>
      <c r="C101" s="76">
        <v>0</v>
      </c>
    </row>
    <row r="102" spans="1:3" ht="30.5" x14ac:dyDescent="0.35">
      <c r="A102" s="55">
        <v>10</v>
      </c>
      <c r="B102" s="56" t="s">
        <v>329</v>
      </c>
      <c r="C102" s="77">
        <v>0</v>
      </c>
    </row>
    <row r="103" spans="1:3" x14ac:dyDescent="0.35">
      <c r="A103" s="59">
        <v>11</v>
      </c>
      <c r="B103" s="60" t="s">
        <v>2367</v>
      </c>
      <c r="C103" s="76">
        <v>1</v>
      </c>
    </row>
    <row r="104" spans="1:3" ht="30.5" x14ac:dyDescent="0.35">
      <c r="A104" s="55">
        <v>12</v>
      </c>
      <c r="B104" s="56" t="s">
        <v>333</v>
      </c>
      <c r="C104" s="77">
        <v>1</v>
      </c>
    </row>
    <row r="105" spans="1:3" x14ac:dyDescent="0.35">
      <c r="A105" s="59">
        <v>13</v>
      </c>
      <c r="B105" s="60" t="s">
        <v>337</v>
      </c>
      <c r="C105" s="76">
        <v>0</v>
      </c>
    </row>
    <row r="106" spans="1:3" x14ac:dyDescent="0.35">
      <c r="A106" s="55">
        <v>14</v>
      </c>
      <c r="B106" s="56" t="s">
        <v>340</v>
      </c>
      <c r="C106" s="77">
        <v>1</v>
      </c>
    </row>
    <row r="107" spans="1:3" ht="20.25" customHeight="1" x14ac:dyDescent="0.35">
      <c r="A107" s="59">
        <v>15</v>
      </c>
      <c r="B107" s="60" t="s">
        <v>2368</v>
      </c>
      <c r="C107" s="76">
        <v>2</v>
      </c>
    </row>
    <row r="108" spans="1:3" s="63" customFormat="1" ht="20.25" customHeight="1" x14ac:dyDescent="0.35">
      <c r="A108" s="381" t="s">
        <v>2380</v>
      </c>
      <c r="B108" s="381"/>
      <c r="C108" s="75">
        <f>SUM(C109:C116)/13</f>
        <v>0.5</v>
      </c>
    </row>
    <row r="109" spans="1:3" ht="45.5" x14ac:dyDescent="0.35">
      <c r="A109" s="59">
        <v>1</v>
      </c>
      <c r="B109" s="60" t="s">
        <v>344</v>
      </c>
      <c r="C109" s="76">
        <v>0</v>
      </c>
    </row>
    <row r="110" spans="1:3" ht="20.25" customHeight="1" x14ac:dyDescent="0.35">
      <c r="A110" s="55">
        <v>2</v>
      </c>
      <c r="B110" s="56" t="s">
        <v>347</v>
      </c>
      <c r="C110" s="77">
        <v>1</v>
      </c>
    </row>
    <row r="111" spans="1:3" ht="20.25" customHeight="1" x14ac:dyDescent="0.35">
      <c r="A111" s="59">
        <v>3</v>
      </c>
      <c r="B111" s="60" t="s">
        <v>350</v>
      </c>
      <c r="C111" s="76">
        <v>2</v>
      </c>
    </row>
    <row r="112" spans="1:3" ht="45.5" x14ac:dyDescent="0.35">
      <c r="A112" s="55">
        <v>4</v>
      </c>
      <c r="B112" s="56" t="s">
        <v>353</v>
      </c>
      <c r="C112" s="77">
        <v>1</v>
      </c>
    </row>
    <row r="113" spans="1:3" ht="20.25" customHeight="1" x14ac:dyDescent="0.35">
      <c r="A113" s="59">
        <v>5</v>
      </c>
      <c r="B113" s="60" t="s">
        <v>355</v>
      </c>
      <c r="C113" s="76">
        <v>0.5</v>
      </c>
    </row>
    <row r="114" spans="1:3" ht="20.25" customHeight="1" x14ac:dyDescent="0.35">
      <c r="A114" s="55">
        <v>6</v>
      </c>
      <c r="B114" s="56" t="s">
        <v>358</v>
      </c>
      <c r="C114" s="77">
        <v>1</v>
      </c>
    </row>
    <row r="115" spans="1:3" ht="20.25" customHeight="1" x14ac:dyDescent="0.35">
      <c r="A115" s="59">
        <v>7</v>
      </c>
      <c r="B115" s="60" t="s">
        <v>361</v>
      </c>
      <c r="C115" s="76">
        <v>0</v>
      </c>
    </row>
    <row r="116" spans="1:3" ht="20.25" customHeight="1" x14ac:dyDescent="0.35">
      <c r="A116" s="55">
        <v>8</v>
      </c>
      <c r="B116" s="56" t="s">
        <v>364</v>
      </c>
      <c r="C116" s="77">
        <v>1</v>
      </c>
    </row>
    <row r="117" spans="1:3" s="63" customFormat="1" ht="20.25" customHeight="1" x14ac:dyDescent="0.35">
      <c r="A117" s="399" t="s">
        <v>802</v>
      </c>
      <c r="B117" s="399"/>
      <c r="C117" s="75">
        <f>SUM(C109:C116,C93:C107,C81:C91,C79,C72:C77,C53:C59,C61:C69,C28:C51,C17:C25,C26,C7:C15)/(343-15)</f>
        <v>0.625</v>
      </c>
    </row>
  </sheetData>
  <mergeCells count="49">
    <mergeCell ref="D1:D2"/>
    <mergeCell ref="A16:B16"/>
    <mergeCell ref="A27:B27"/>
    <mergeCell ref="A52:B52"/>
    <mergeCell ref="A60:B60"/>
    <mergeCell ref="A1:B1"/>
    <mergeCell ref="A2:B2"/>
    <mergeCell ref="A4:B4"/>
    <mergeCell ref="A5:B5"/>
    <mergeCell ref="A6:B6"/>
    <mergeCell ref="A80:B80"/>
    <mergeCell ref="A92:B92"/>
    <mergeCell ref="A108:B108"/>
    <mergeCell ref="A117:B117"/>
    <mergeCell ref="C1:C2"/>
    <mergeCell ref="A71:B71"/>
    <mergeCell ref="A78:B78"/>
    <mergeCell ref="P1:P2"/>
    <mergeCell ref="E1:E2"/>
    <mergeCell ref="F1:F2"/>
    <mergeCell ref="G1:G2"/>
    <mergeCell ref="H1:H2"/>
    <mergeCell ref="I1:I2"/>
    <mergeCell ref="J1:J2"/>
    <mergeCell ref="K1:K2"/>
    <mergeCell ref="L1:L2"/>
    <mergeCell ref="M1:M2"/>
    <mergeCell ref="N1:N2"/>
    <mergeCell ref="O1:O2"/>
    <mergeCell ref="AB1:AB2"/>
    <mergeCell ref="Q1:Q2"/>
    <mergeCell ref="R1:R2"/>
    <mergeCell ref="S1:S2"/>
    <mergeCell ref="T1:T2"/>
    <mergeCell ref="U1:U2"/>
    <mergeCell ref="V1:V2"/>
    <mergeCell ref="W1:W2"/>
    <mergeCell ref="X1:X2"/>
    <mergeCell ref="Y1:Y2"/>
    <mergeCell ref="Z1:Z2"/>
    <mergeCell ref="AA1:AA2"/>
    <mergeCell ref="AI1:AI2"/>
    <mergeCell ref="AJ1:AJ2"/>
    <mergeCell ref="AC1:AC2"/>
    <mergeCell ref="AD1:AD2"/>
    <mergeCell ref="AE1:AE2"/>
    <mergeCell ref="AF1:AF2"/>
    <mergeCell ref="AG1:AG2"/>
    <mergeCell ref="AH1:AH2"/>
  </mergeCell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K92"/>
  <sheetViews>
    <sheetView workbookViewId="0">
      <selection sqref="A1:B1"/>
    </sheetView>
  </sheetViews>
  <sheetFormatPr defaultColWidth="11" defaultRowHeight="15.5" x14ac:dyDescent="0.35"/>
  <cols>
    <col min="1" max="1" width="7.33203125" customWidth="1"/>
    <col min="2" max="3" width="75.5" style="21" customWidth="1"/>
    <col min="4" max="37" width="20.83203125" customWidth="1"/>
  </cols>
  <sheetData>
    <row r="1" spans="1:37" s="7" customFormat="1" ht="31" thickBot="1" x14ac:dyDescent="0.4">
      <c r="A1" s="407" t="s">
        <v>2381</v>
      </c>
      <c r="B1" s="407"/>
      <c r="C1" s="47" t="s">
        <v>2382</v>
      </c>
      <c r="D1" s="2" t="s">
        <v>2383</v>
      </c>
      <c r="E1" s="26" t="s">
        <v>721</v>
      </c>
      <c r="F1" s="2" t="s">
        <v>723</v>
      </c>
      <c r="G1" s="2" t="s">
        <v>724</v>
      </c>
      <c r="H1" s="2" t="s">
        <v>726</v>
      </c>
      <c r="I1" s="2" t="s">
        <v>727</v>
      </c>
      <c r="J1" s="2" t="s">
        <v>729</v>
      </c>
      <c r="K1" s="2" t="s">
        <v>731</v>
      </c>
      <c r="L1" s="2" t="s">
        <v>732</v>
      </c>
      <c r="M1" s="2" t="s">
        <v>733</v>
      </c>
      <c r="N1" s="2" t="s">
        <v>735</v>
      </c>
      <c r="O1" s="2" t="s">
        <v>737</v>
      </c>
      <c r="P1" s="2" t="s">
        <v>738</v>
      </c>
      <c r="Q1" s="2" t="s">
        <v>739</v>
      </c>
      <c r="R1" s="2" t="s">
        <v>740</v>
      </c>
      <c r="S1" s="2" t="s">
        <v>741</v>
      </c>
      <c r="T1" s="2" t="s">
        <v>742</v>
      </c>
      <c r="U1" s="2" t="s">
        <v>744</v>
      </c>
      <c r="V1" s="2" t="s">
        <v>745</v>
      </c>
      <c r="W1" s="2" t="s">
        <v>746</v>
      </c>
      <c r="X1" s="2" t="s">
        <v>747</v>
      </c>
      <c r="Y1" s="2" t="s">
        <v>2384</v>
      </c>
      <c r="Z1" s="2" t="s">
        <v>750</v>
      </c>
      <c r="AA1" s="2" t="s">
        <v>752</v>
      </c>
      <c r="AB1" s="2" t="s">
        <v>754</v>
      </c>
      <c r="AC1" s="2" t="s">
        <v>755</v>
      </c>
      <c r="AD1" s="2" t="s">
        <v>756</v>
      </c>
      <c r="AE1" s="2" t="s">
        <v>757</v>
      </c>
      <c r="AF1" s="2" t="s">
        <v>758</v>
      </c>
      <c r="AG1" s="2" t="s">
        <v>2385</v>
      </c>
      <c r="AH1" s="2" t="s">
        <v>761</v>
      </c>
      <c r="AI1" s="2" t="s">
        <v>762</v>
      </c>
      <c r="AJ1" s="2" t="s">
        <v>764</v>
      </c>
      <c r="AK1" s="2" t="s">
        <v>766</v>
      </c>
    </row>
    <row r="2" spans="1:37" s="7" customFormat="1" ht="25" customHeight="1" thickBot="1" x14ac:dyDescent="0.4">
      <c r="A2" s="42"/>
      <c r="B2" s="41" t="s">
        <v>795</v>
      </c>
      <c r="C2" s="41"/>
      <c r="D2" s="34"/>
      <c r="E2" s="35"/>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row>
    <row r="3" spans="1:37" s="7" customFormat="1" ht="25" customHeight="1" thickBot="1" x14ac:dyDescent="0.4">
      <c r="A3" s="39"/>
      <c r="B3" s="40" t="s">
        <v>796</v>
      </c>
      <c r="C3" s="41"/>
      <c r="D3" s="34"/>
      <c r="E3" s="35"/>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row>
    <row r="4" spans="1:37" s="7" customFormat="1" ht="25" customHeight="1" thickBot="1" x14ac:dyDescent="0.4">
      <c r="A4" s="42"/>
      <c r="B4" s="41" t="s">
        <v>797</v>
      </c>
      <c r="C4" s="41"/>
      <c r="D4" s="34"/>
      <c r="E4" s="35"/>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row>
    <row r="5" spans="1:37" ht="25" customHeight="1" thickBot="1" x14ac:dyDescent="0.4">
      <c r="A5" s="404" t="s">
        <v>705</v>
      </c>
      <c r="B5" s="404"/>
      <c r="C5" s="11"/>
      <c r="D5" s="29"/>
      <c r="E5" s="29"/>
      <c r="F5" s="16"/>
      <c r="G5" s="13"/>
      <c r="H5" s="16"/>
      <c r="I5" s="16"/>
      <c r="J5" s="16"/>
      <c r="K5" s="16"/>
      <c r="L5" s="13"/>
      <c r="M5" s="13"/>
      <c r="N5" s="13"/>
      <c r="O5" s="13"/>
      <c r="P5" s="13"/>
      <c r="Q5" s="13"/>
      <c r="R5" s="13"/>
      <c r="S5" s="13"/>
      <c r="T5" s="13"/>
      <c r="U5" s="13"/>
      <c r="V5" s="13"/>
      <c r="W5" s="13"/>
      <c r="X5" s="13"/>
      <c r="Y5" s="13"/>
      <c r="Z5" s="13"/>
      <c r="AA5" s="13"/>
      <c r="AB5" s="13"/>
      <c r="AC5" s="13"/>
      <c r="AD5" s="13"/>
      <c r="AE5" s="13"/>
      <c r="AF5" s="13"/>
      <c r="AG5" s="13"/>
      <c r="AH5" s="13"/>
      <c r="AI5" s="13"/>
      <c r="AJ5" s="13"/>
      <c r="AK5" s="13"/>
    </row>
    <row r="6" spans="1:37" ht="25" customHeight="1" thickBot="1" x14ac:dyDescent="0.4">
      <c r="A6" s="409" t="s">
        <v>2386</v>
      </c>
      <c r="B6" s="409"/>
      <c r="C6" s="44"/>
      <c r="D6" s="12"/>
      <c r="E6" s="30"/>
      <c r="F6" s="17"/>
      <c r="G6" s="18"/>
      <c r="H6" s="17"/>
      <c r="I6" s="17"/>
      <c r="J6" s="17"/>
      <c r="K6" s="17"/>
      <c r="L6" s="18"/>
      <c r="M6" s="18"/>
      <c r="N6" s="18"/>
      <c r="O6" s="18"/>
      <c r="P6" s="18"/>
      <c r="Q6" s="18"/>
      <c r="R6" s="18"/>
      <c r="S6" s="18"/>
      <c r="T6" s="18"/>
      <c r="U6" s="18"/>
      <c r="V6" s="18"/>
      <c r="W6" s="18"/>
      <c r="X6" s="18"/>
      <c r="Y6" s="18"/>
      <c r="Z6" s="18"/>
      <c r="AA6" s="18"/>
      <c r="AB6" s="18"/>
      <c r="AC6" s="18"/>
      <c r="AD6" s="18"/>
      <c r="AE6" s="18"/>
      <c r="AF6" s="18"/>
      <c r="AG6" s="18"/>
      <c r="AH6" s="18"/>
      <c r="AI6" s="18"/>
      <c r="AJ6" s="18"/>
      <c r="AK6" s="18"/>
    </row>
    <row r="7" spans="1:37" ht="25" customHeight="1" thickBot="1" x14ac:dyDescent="0.4">
      <c r="A7" s="5">
        <v>1</v>
      </c>
      <c r="B7" s="20" t="s">
        <v>21</v>
      </c>
      <c r="C7" s="20"/>
      <c r="D7" s="5"/>
      <c r="E7" s="27"/>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ht="25" customHeight="1" thickBot="1" x14ac:dyDescent="0.4">
      <c r="A8" s="5">
        <v>2</v>
      </c>
      <c r="B8" s="20" t="s">
        <v>25</v>
      </c>
      <c r="C8" s="20"/>
      <c r="D8" s="4"/>
      <c r="E8" s="27"/>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row>
    <row r="9" spans="1:37" ht="25" customHeight="1" thickBot="1" x14ac:dyDescent="0.4">
      <c r="A9" s="24">
        <v>3</v>
      </c>
      <c r="B9" s="25" t="s">
        <v>32</v>
      </c>
      <c r="C9" s="25"/>
      <c r="D9" s="28"/>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row>
    <row r="10" spans="1:37" ht="85" customHeight="1" thickBot="1" x14ac:dyDescent="0.4">
      <c r="A10" s="5">
        <v>4</v>
      </c>
      <c r="B10" s="20" t="s">
        <v>2387</v>
      </c>
      <c r="C10" s="20" t="s">
        <v>2388</v>
      </c>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row>
    <row r="11" spans="1:37" ht="25" customHeight="1" thickBot="1" x14ac:dyDescent="0.4">
      <c r="A11" s="5">
        <v>5</v>
      </c>
      <c r="B11" s="20" t="s">
        <v>38</v>
      </c>
      <c r="C11" s="20"/>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row>
    <row r="12" spans="1:37" ht="25" customHeight="1" thickBot="1" x14ac:dyDescent="0.4">
      <c r="A12" s="5">
        <v>6</v>
      </c>
      <c r="B12" s="20" t="s">
        <v>2389</v>
      </c>
      <c r="C12" s="20"/>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row>
    <row r="13" spans="1:37" ht="61" thickBot="1" x14ac:dyDescent="0.4">
      <c r="A13" s="5">
        <v>7</v>
      </c>
      <c r="B13" s="20" t="s">
        <v>2390</v>
      </c>
      <c r="C13" s="20" t="s">
        <v>2391</v>
      </c>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row>
    <row r="14" spans="1:37" ht="25" customHeight="1" thickBot="1" x14ac:dyDescent="0.4">
      <c r="A14" s="408" t="s">
        <v>706</v>
      </c>
      <c r="B14" s="408"/>
      <c r="C14" s="2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row>
    <row r="15" spans="1:37" ht="25" customHeight="1" thickBot="1" x14ac:dyDescent="0.4">
      <c r="A15" s="410" t="s">
        <v>2392</v>
      </c>
      <c r="B15" s="411"/>
      <c r="C15" s="22"/>
      <c r="D15" s="12"/>
      <c r="E15" s="12"/>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row>
    <row r="16" spans="1:37" ht="25" customHeight="1" thickBot="1" x14ac:dyDescent="0.4">
      <c r="A16" s="5">
        <v>1</v>
      </c>
      <c r="B16" s="20" t="s">
        <v>54</v>
      </c>
      <c r="C16" s="20"/>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row>
    <row r="17" spans="1:37" ht="68.25" customHeight="1" thickBot="1" x14ac:dyDescent="0.4">
      <c r="A17" s="5">
        <v>2</v>
      </c>
      <c r="B17" s="20" t="s">
        <v>2393</v>
      </c>
      <c r="C17" s="20" t="s">
        <v>2394</v>
      </c>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row>
    <row r="18" spans="1:37" ht="50.25" customHeight="1" thickBot="1" x14ac:dyDescent="0.4">
      <c r="A18" s="5">
        <v>3</v>
      </c>
      <c r="B18" s="20" t="s">
        <v>2395</v>
      </c>
      <c r="C18" s="48" t="s">
        <v>2396</v>
      </c>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row>
    <row r="19" spans="1:37" ht="25" customHeight="1" thickBot="1" x14ac:dyDescent="0.4">
      <c r="A19" s="5">
        <v>4</v>
      </c>
      <c r="B19" s="20" t="s">
        <v>78</v>
      </c>
      <c r="C19" s="20"/>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row>
    <row r="20" spans="1:37" ht="25" customHeight="1" thickBot="1" x14ac:dyDescent="0.4">
      <c r="A20" s="5">
        <v>5</v>
      </c>
      <c r="B20" s="20" t="s">
        <v>80</v>
      </c>
      <c r="C20" s="20"/>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row>
    <row r="21" spans="1:37" ht="25" customHeight="1" thickBot="1" x14ac:dyDescent="0.4">
      <c r="A21" s="5">
        <v>6</v>
      </c>
      <c r="B21" s="20" t="s">
        <v>92</v>
      </c>
      <c r="C21" s="20"/>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row>
    <row r="22" spans="1:37" ht="25" customHeight="1" thickBot="1" x14ac:dyDescent="0.4">
      <c r="A22" s="404" t="s">
        <v>707</v>
      </c>
      <c r="B22" s="404"/>
      <c r="C22" s="11"/>
      <c r="D22" s="13"/>
      <c r="E22" s="16"/>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row>
    <row r="23" spans="1:37" ht="25" customHeight="1" thickBot="1" x14ac:dyDescent="0.4">
      <c r="A23" s="412" t="s">
        <v>2392</v>
      </c>
      <c r="B23" s="413"/>
      <c r="C23" s="22"/>
      <c r="D23" s="12"/>
      <c r="E23" s="31"/>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row>
    <row r="24" spans="1:37" ht="76" thickBot="1" x14ac:dyDescent="0.4">
      <c r="A24" s="5">
        <v>1</v>
      </c>
      <c r="B24" s="20" t="s">
        <v>2397</v>
      </c>
      <c r="C24" s="20" t="s">
        <v>2398</v>
      </c>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row>
    <row r="25" spans="1:37" ht="25" customHeight="1" thickBot="1" x14ac:dyDescent="0.4">
      <c r="A25" s="5">
        <v>2</v>
      </c>
      <c r="B25" s="20" t="s">
        <v>99</v>
      </c>
      <c r="C25" s="20"/>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row>
    <row r="26" spans="1:37" ht="31" thickBot="1" x14ac:dyDescent="0.4">
      <c r="A26" s="5">
        <v>3</v>
      </c>
      <c r="B26" s="20" t="s">
        <v>2399</v>
      </c>
      <c r="C26" s="20" t="s">
        <v>2400</v>
      </c>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row>
    <row r="27" spans="1:37" ht="16" thickBot="1" x14ac:dyDescent="0.4">
      <c r="A27" s="5">
        <v>4</v>
      </c>
      <c r="B27" s="20" t="s">
        <v>120</v>
      </c>
      <c r="C27" s="20"/>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row>
    <row r="28" spans="1:37" ht="25" customHeight="1" thickBot="1" x14ac:dyDescent="0.4">
      <c r="A28" s="5">
        <v>5</v>
      </c>
      <c r="B28" s="20" t="s">
        <v>123</v>
      </c>
      <c r="C28" s="20"/>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row>
    <row r="29" spans="1:37" ht="61" thickBot="1" x14ac:dyDescent="0.4">
      <c r="A29" s="5">
        <v>6</v>
      </c>
      <c r="B29" s="20" t="s">
        <v>2401</v>
      </c>
      <c r="C29" s="20" t="s">
        <v>2402</v>
      </c>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row>
    <row r="30" spans="1:37" ht="25" customHeight="1" thickBot="1" x14ac:dyDescent="0.4">
      <c r="A30" s="5">
        <v>7</v>
      </c>
      <c r="B30" s="20" t="s">
        <v>799</v>
      </c>
      <c r="C30" s="20"/>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row>
    <row r="31" spans="1:37" ht="31" thickBot="1" x14ac:dyDescent="0.4">
      <c r="A31" s="5">
        <v>8</v>
      </c>
      <c r="B31" s="20" t="s">
        <v>143</v>
      </c>
      <c r="C31" s="20"/>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row>
    <row r="32" spans="1:37" ht="25" customHeight="1" thickBot="1" x14ac:dyDescent="0.4">
      <c r="A32" s="5">
        <v>9</v>
      </c>
      <c r="B32" s="20" t="s">
        <v>146</v>
      </c>
      <c r="C32" s="20"/>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row>
    <row r="33" spans="1:37" ht="61" thickBot="1" x14ac:dyDescent="0.4">
      <c r="A33" s="5">
        <v>10</v>
      </c>
      <c r="B33" s="20" t="s">
        <v>2403</v>
      </c>
      <c r="C33" s="20" t="s">
        <v>2404</v>
      </c>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row>
    <row r="34" spans="1:37" ht="25" customHeight="1" thickBot="1" x14ac:dyDescent="0.4">
      <c r="A34" s="5">
        <v>11</v>
      </c>
      <c r="B34" s="20" t="s">
        <v>164</v>
      </c>
      <c r="C34" s="20"/>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row>
    <row r="35" spans="1:37" ht="31" thickBot="1" x14ac:dyDescent="0.4">
      <c r="A35" s="5">
        <v>12</v>
      </c>
      <c r="B35" s="20" t="s">
        <v>167</v>
      </c>
      <c r="C35" s="20"/>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row>
    <row r="36" spans="1:37" ht="25" customHeight="1" thickBot="1" x14ac:dyDescent="0.4">
      <c r="A36" s="404" t="s">
        <v>708</v>
      </c>
      <c r="B36" s="404"/>
      <c r="C36" s="11"/>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row>
    <row r="37" spans="1:37" ht="25" customHeight="1" thickBot="1" x14ac:dyDescent="0.4">
      <c r="A37" s="412" t="s">
        <v>2392</v>
      </c>
      <c r="B37" s="413"/>
      <c r="C37" s="22"/>
      <c r="D37" s="12"/>
      <c r="E37" s="12"/>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row>
    <row r="38" spans="1:37" ht="25" customHeight="1" thickBot="1" x14ac:dyDescent="0.4">
      <c r="A38" s="5">
        <v>1</v>
      </c>
      <c r="B38" s="20" t="s">
        <v>173</v>
      </c>
      <c r="C38" s="20"/>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row>
    <row r="39" spans="1:37" ht="25" customHeight="1" thickBot="1" x14ac:dyDescent="0.4">
      <c r="A39" s="5">
        <v>2</v>
      </c>
      <c r="B39" s="20" t="s">
        <v>176</v>
      </c>
      <c r="C39" s="20"/>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row>
    <row r="40" spans="1:37" ht="61" thickBot="1" x14ac:dyDescent="0.4">
      <c r="A40" s="5">
        <v>3</v>
      </c>
      <c r="B40" s="20" t="s">
        <v>2405</v>
      </c>
      <c r="C40" s="20" t="s">
        <v>2406</v>
      </c>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row>
    <row r="41" spans="1:37" ht="25" customHeight="1" thickBot="1" x14ac:dyDescent="0.4">
      <c r="A41" s="5">
        <v>4</v>
      </c>
      <c r="B41" s="20" t="s">
        <v>188</v>
      </c>
      <c r="C41" s="20"/>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row>
    <row r="42" spans="1:37" ht="25" customHeight="1" thickBot="1" x14ac:dyDescent="0.4">
      <c r="A42" s="5">
        <v>5</v>
      </c>
      <c r="B42" s="20" t="s">
        <v>191</v>
      </c>
      <c r="C42" s="20"/>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row>
    <row r="43" spans="1:37" ht="25" customHeight="1" thickBot="1" x14ac:dyDescent="0.4">
      <c r="A43" s="404" t="s">
        <v>709</v>
      </c>
      <c r="B43" s="404"/>
      <c r="C43" s="45"/>
      <c r="D43" s="14"/>
      <c r="E43" s="14"/>
      <c r="F43" s="13"/>
      <c r="G43" s="16"/>
      <c r="H43" s="13"/>
      <c r="I43" s="13"/>
      <c r="J43" s="16"/>
      <c r="K43" s="13"/>
      <c r="L43" s="16"/>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row>
    <row r="44" spans="1:37" ht="25" customHeight="1" thickBot="1" x14ac:dyDescent="0.4">
      <c r="A44" s="412" t="s">
        <v>2392</v>
      </c>
      <c r="B44" s="413"/>
      <c r="C44" s="46"/>
      <c r="D44" s="15"/>
      <c r="E44" s="19"/>
      <c r="F44" s="17"/>
      <c r="G44" s="17"/>
      <c r="H44" s="18"/>
      <c r="I44" s="18"/>
      <c r="J44" s="17"/>
      <c r="K44" s="18"/>
      <c r="L44" s="17"/>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row>
    <row r="45" spans="1:37" ht="31" thickBot="1" x14ac:dyDescent="0.4">
      <c r="A45" s="5">
        <v>1</v>
      </c>
      <c r="B45" s="20" t="s">
        <v>2407</v>
      </c>
      <c r="C45" s="20" t="s">
        <v>2408</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row>
    <row r="46" spans="1:37" ht="25" customHeight="1" thickBot="1" x14ac:dyDescent="0.4">
      <c r="A46" s="5">
        <v>2</v>
      </c>
      <c r="B46" s="20" t="s">
        <v>201</v>
      </c>
      <c r="C46" s="20"/>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row>
    <row r="47" spans="1:37" ht="31" thickBot="1" x14ac:dyDescent="0.4">
      <c r="A47" s="5">
        <v>3</v>
      </c>
      <c r="B47" s="20" t="s">
        <v>204</v>
      </c>
      <c r="C47" s="20"/>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row>
    <row r="48" spans="1:37" ht="25" customHeight="1" thickBot="1" x14ac:dyDescent="0.4">
      <c r="A48" s="5">
        <v>4</v>
      </c>
      <c r="B48" s="20" t="s">
        <v>207</v>
      </c>
      <c r="C48" s="20"/>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row>
    <row r="49" spans="1:37" ht="31" thickBot="1" x14ac:dyDescent="0.4">
      <c r="A49" s="5">
        <v>5</v>
      </c>
      <c r="B49" s="20" t="s">
        <v>2409</v>
      </c>
      <c r="C49" s="20" t="s">
        <v>2410</v>
      </c>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row>
    <row r="50" spans="1:37" ht="39" customHeight="1" thickBot="1" x14ac:dyDescent="0.4">
      <c r="A50" s="5">
        <v>6</v>
      </c>
      <c r="B50" s="20" t="s">
        <v>2411</v>
      </c>
      <c r="C50" s="20" t="s">
        <v>2412</v>
      </c>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row>
    <row r="51" spans="1:37" ht="25" customHeight="1" thickBot="1" x14ac:dyDescent="0.4">
      <c r="A51" s="5">
        <v>7</v>
      </c>
      <c r="B51" s="20" t="s">
        <v>221</v>
      </c>
      <c r="C51" s="20"/>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row>
    <row r="52" spans="1:37" ht="25" customHeight="1" thickBot="1" x14ac:dyDescent="0.4">
      <c r="A52" s="408" t="s">
        <v>710</v>
      </c>
      <c r="B52" s="408"/>
      <c r="C52" s="11"/>
      <c r="D52" s="16"/>
      <c r="E52" s="13"/>
      <c r="F52" s="16"/>
      <c r="G52" s="16"/>
      <c r="H52" s="16"/>
      <c r="I52" s="16"/>
      <c r="J52" s="16"/>
      <c r="K52" s="13"/>
      <c r="L52" s="16"/>
      <c r="M52" s="13"/>
      <c r="N52" s="16"/>
      <c r="O52" s="16"/>
      <c r="P52" s="13"/>
      <c r="Q52" s="13"/>
      <c r="R52" s="16"/>
      <c r="S52" s="16"/>
      <c r="T52" s="13"/>
      <c r="U52" s="16"/>
      <c r="V52" s="16"/>
      <c r="W52" s="16"/>
      <c r="X52" s="16"/>
      <c r="Y52" s="13"/>
      <c r="Z52" s="16"/>
      <c r="AA52" s="13"/>
      <c r="AB52" s="16"/>
      <c r="AC52" s="16"/>
      <c r="AD52" s="13"/>
      <c r="AE52" s="16"/>
      <c r="AF52" s="16"/>
      <c r="AG52" s="16"/>
      <c r="AH52" s="16"/>
      <c r="AI52" s="13"/>
      <c r="AJ52" s="13"/>
      <c r="AK52" s="16"/>
    </row>
    <row r="53" spans="1:37" ht="25" customHeight="1" thickBot="1" x14ac:dyDescent="0.4">
      <c r="A53" s="405" t="s">
        <v>2392</v>
      </c>
      <c r="B53" s="406"/>
      <c r="C53" s="32"/>
      <c r="D53" s="31"/>
      <c r="E53" s="12"/>
      <c r="F53" s="17"/>
      <c r="G53" s="17"/>
      <c r="H53" s="17"/>
      <c r="I53" s="17"/>
      <c r="J53" s="17"/>
      <c r="K53" s="18"/>
      <c r="L53" s="17"/>
      <c r="M53" s="18"/>
      <c r="N53" s="17"/>
      <c r="O53" s="17"/>
      <c r="P53" s="18"/>
      <c r="Q53" s="18"/>
      <c r="R53" s="17"/>
      <c r="S53" s="17"/>
      <c r="T53" s="18"/>
      <c r="U53" s="17"/>
      <c r="V53" s="17"/>
      <c r="W53" s="17"/>
      <c r="X53" s="17"/>
      <c r="Y53" s="18"/>
      <c r="Z53" s="17"/>
      <c r="AA53" s="18"/>
      <c r="AB53" s="17"/>
      <c r="AC53" s="17"/>
      <c r="AD53" s="18"/>
      <c r="AE53" s="17"/>
      <c r="AF53" s="17"/>
      <c r="AG53" s="17"/>
      <c r="AH53" s="17"/>
      <c r="AI53" s="18"/>
      <c r="AJ53" s="18"/>
      <c r="AK53" s="17"/>
    </row>
    <row r="54" spans="1:37" ht="34" customHeight="1" thickBot="1" x14ac:dyDescent="0.4">
      <c r="A54" s="5">
        <v>1</v>
      </c>
      <c r="B54" s="20" t="s">
        <v>2413</v>
      </c>
      <c r="C54" s="20" t="s">
        <v>2414</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row>
    <row r="55" spans="1:37" ht="31" thickBot="1" x14ac:dyDescent="0.4">
      <c r="A55" s="5">
        <v>2</v>
      </c>
      <c r="B55" s="20" t="s">
        <v>228</v>
      </c>
      <c r="C55" s="20"/>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row>
    <row r="56" spans="1:37" ht="25" customHeight="1" thickBot="1" x14ac:dyDescent="0.4">
      <c r="A56" s="5">
        <v>3</v>
      </c>
      <c r="B56" s="20" t="s">
        <v>231</v>
      </c>
      <c r="C56" s="20"/>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row>
    <row r="57" spans="1:37" ht="25" customHeight="1" thickBot="1" x14ac:dyDescent="0.4">
      <c r="A57" s="5">
        <v>4</v>
      </c>
      <c r="B57" s="20" t="s">
        <v>241</v>
      </c>
      <c r="C57" s="20"/>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row>
    <row r="58" spans="1:37" ht="25" customHeight="1" thickBot="1" x14ac:dyDescent="0.4">
      <c r="A58" s="5">
        <v>5</v>
      </c>
      <c r="B58" s="20" t="s">
        <v>243</v>
      </c>
      <c r="C58" s="20"/>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row>
    <row r="59" spans="1:37" ht="25" customHeight="1" thickBot="1" x14ac:dyDescent="0.4">
      <c r="A59" s="408" t="s">
        <v>711</v>
      </c>
      <c r="B59" s="408"/>
      <c r="C59" s="2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row>
    <row r="60" spans="1:37" ht="25" customHeight="1" thickBot="1" x14ac:dyDescent="0.4">
      <c r="A60" s="402" t="s">
        <v>2392</v>
      </c>
      <c r="B60" s="403"/>
      <c r="C60" s="33"/>
      <c r="D60" s="12"/>
      <c r="E60" s="12"/>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row>
    <row r="61" spans="1:37" ht="25" customHeight="1" thickBot="1" x14ac:dyDescent="0.4">
      <c r="A61" s="6" t="s">
        <v>800</v>
      </c>
      <c r="B61" s="20"/>
      <c r="C61" s="20"/>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row>
    <row r="62" spans="1:37" ht="25" customHeight="1" thickBot="1" x14ac:dyDescent="0.4">
      <c r="A62" s="404" t="s">
        <v>712</v>
      </c>
      <c r="B62" s="404"/>
      <c r="C62" s="11"/>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row>
    <row r="63" spans="1:37" ht="25" customHeight="1" thickBot="1" x14ac:dyDescent="0.4">
      <c r="A63" s="405" t="s">
        <v>2392</v>
      </c>
      <c r="B63" s="406"/>
      <c r="C63" s="33"/>
      <c r="D63" s="12"/>
      <c r="E63" s="12"/>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row>
    <row r="64" spans="1:37" ht="25" customHeight="1" thickBot="1" x14ac:dyDescent="0.4">
      <c r="A64" s="5">
        <v>1</v>
      </c>
      <c r="B64" s="20" t="s">
        <v>255</v>
      </c>
      <c r="C64" s="20"/>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row>
    <row r="65" spans="1:37" ht="25" customHeight="1" thickBot="1" x14ac:dyDescent="0.4">
      <c r="A65" s="5">
        <v>2</v>
      </c>
      <c r="B65" s="20" t="s">
        <v>258</v>
      </c>
      <c r="C65" s="20"/>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row>
    <row r="66" spans="1:37" ht="25" customHeight="1" thickBot="1" x14ac:dyDescent="0.4">
      <c r="A66" s="5">
        <v>3</v>
      </c>
      <c r="B66" s="20" t="s">
        <v>261</v>
      </c>
      <c r="C66" s="20"/>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row>
    <row r="67" spans="1:37" ht="25" customHeight="1" thickBot="1" x14ac:dyDescent="0.4">
      <c r="A67" s="5">
        <v>4</v>
      </c>
      <c r="B67" s="20" t="s">
        <v>274</v>
      </c>
      <c r="C67" s="20"/>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row>
    <row r="68" spans="1:37" ht="91" thickBot="1" x14ac:dyDescent="0.4">
      <c r="A68" s="5">
        <v>5</v>
      </c>
      <c r="B68" s="20" t="s">
        <v>2415</v>
      </c>
      <c r="C68" s="20" t="s">
        <v>2416</v>
      </c>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row>
    <row r="69" spans="1:37" ht="25" customHeight="1" thickBot="1" x14ac:dyDescent="0.4">
      <c r="A69" s="408" t="s">
        <v>713</v>
      </c>
      <c r="B69" s="408"/>
      <c r="C69" s="2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row>
    <row r="70" spans="1:37" ht="25" customHeight="1" thickBot="1" x14ac:dyDescent="0.4">
      <c r="A70" s="402" t="s">
        <v>2392</v>
      </c>
      <c r="B70" s="403"/>
      <c r="C70" s="33"/>
      <c r="D70" s="12"/>
      <c r="E70" s="12"/>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row>
    <row r="71" spans="1:37" ht="25" customHeight="1" thickBot="1" x14ac:dyDescent="0.4">
      <c r="A71" s="5">
        <v>1</v>
      </c>
      <c r="B71" s="20" t="s">
        <v>300</v>
      </c>
      <c r="C71" s="20"/>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row>
    <row r="72" spans="1:37" ht="25" customHeight="1" thickBot="1" x14ac:dyDescent="0.4">
      <c r="A72" s="5">
        <v>2</v>
      </c>
      <c r="B72" s="20" t="s">
        <v>303</v>
      </c>
      <c r="C72" s="20"/>
      <c r="D72" s="5"/>
      <c r="E72" s="5"/>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row>
    <row r="73" spans="1:37" ht="25" customHeight="1" thickBot="1" x14ac:dyDescent="0.4">
      <c r="A73" s="5">
        <v>3</v>
      </c>
      <c r="B73" s="20" t="s">
        <v>309</v>
      </c>
      <c r="C73" s="20"/>
      <c r="D73" s="5"/>
      <c r="E73" s="5"/>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row>
    <row r="74" spans="1:37" ht="25" customHeight="1" thickBot="1" x14ac:dyDescent="0.4">
      <c r="A74" s="5">
        <v>4</v>
      </c>
      <c r="B74" s="20" t="s">
        <v>312</v>
      </c>
      <c r="C74" s="20"/>
      <c r="D74" s="5"/>
      <c r="E74" s="5"/>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row>
    <row r="75" spans="1:37" ht="25" customHeight="1" thickBot="1" x14ac:dyDescent="0.4">
      <c r="A75" s="5">
        <v>5</v>
      </c>
      <c r="B75" s="20" t="s">
        <v>315</v>
      </c>
      <c r="C75" s="20"/>
      <c r="D75" s="5"/>
      <c r="E75" s="5"/>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row>
    <row r="76" spans="1:37" ht="61" thickBot="1" x14ac:dyDescent="0.4">
      <c r="A76" s="5">
        <v>6</v>
      </c>
      <c r="B76" s="20" t="s">
        <v>2417</v>
      </c>
      <c r="C76" s="20" t="s">
        <v>2418</v>
      </c>
      <c r="D76" s="5"/>
      <c r="E76" s="5"/>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row>
    <row r="77" spans="1:37" ht="31" thickBot="1" x14ac:dyDescent="0.4">
      <c r="A77" s="5">
        <v>7</v>
      </c>
      <c r="B77" s="20" t="s">
        <v>329</v>
      </c>
      <c r="C77" s="20"/>
      <c r="D77" s="5"/>
      <c r="E77" s="5"/>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row>
    <row r="78" spans="1:37" ht="25" customHeight="1" thickBot="1" x14ac:dyDescent="0.4">
      <c r="A78" s="5">
        <v>8</v>
      </c>
      <c r="B78" s="20" t="s">
        <v>2367</v>
      </c>
      <c r="C78" s="20"/>
      <c r="D78" s="5"/>
      <c r="E78" s="5"/>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row>
    <row r="79" spans="1:37" ht="25" customHeight="1" thickBot="1" x14ac:dyDescent="0.4">
      <c r="A79" s="5">
        <v>9</v>
      </c>
      <c r="B79" s="20" t="s">
        <v>333</v>
      </c>
      <c r="C79" s="20"/>
      <c r="D79" s="5"/>
      <c r="E79" s="5"/>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row>
    <row r="80" spans="1:37" ht="25" customHeight="1" thickBot="1" x14ac:dyDescent="0.4">
      <c r="A80" s="5">
        <v>10</v>
      </c>
      <c r="B80" s="20" t="s">
        <v>340</v>
      </c>
      <c r="C80" s="20"/>
      <c r="D80" s="5"/>
      <c r="E80" s="5"/>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row>
    <row r="81" spans="1:37" ht="25" customHeight="1" thickBot="1" x14ac:dyDescent="0.4">
      <c r="A81" s="5">
        <v>11</v>
      </c>
      <c r="B81" s="20" t="s">
        <v>2368</v>
      </c>
      <c r="C81" s="20"/>
      <c r="D81" s="5"/>
      <c r="E81" s="5"/>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row>
    <row r="82" spans="1:37" ht="25" customHeight="1" thickBot="1" x14ac:dyDescent="0.4">
      <c r="A82" s="404" t="s">
        <v>714</v>
      </c>
      <c r="B82" s="404"/>
      <c r="C82" s="11"/>
      <c r="D82" s="29"/>
      <c r="E82" s="29"/>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row>
    <row r="83" spans="1:37" ht="25" customHeight="1" thickBot="1" x14ac:dyDescent="0.4">
      <c r="A83" s="405" t="s">
        <v>2392</v>
      </c>
      <c r="B83" s="406"/>
      <c r="C83" s="33"/>
      <c r="D83" s="12"/>
      <c r="E83" s="12"/>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row>
    <row r="84" spans="1:37" ht="31" thickBot="1" x14ac:dyDescent="0.4">
      <c r="A84" s="5">
        <v>1</v>
      </c>
      <c r="B84" s="20" t="s">
        <v>344</v>
      </c>
      <c r="C84" s="20"/>
      <c r="D84" s="5"/>
      <c r="E84" s="5"/>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row>
    <row r="85" spans="1:37" ht="25" customHeight="1" thickBot="1" x14ac:dyDescent="0.4">
      <c r="A85" s="5">
        <v>2</v>
      </c>
      <c r="B85" s="20" t="s">
        <v>347</v>
      </c>
      <c r="C85" s="20"/>
      <c r="D85" s="5"/>
      <c r="E85" s="5"/>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row>
    <row r="86" spans="1:37" ht="29.25" customHeight="1" thickBot="1" x14ac:dyDescent="0.4">
      <c r="A86" s="5">
        <v>3</v>
      </c>
      <c r="B86" s="20" t="s">
        <v>350</v>
      </c>
      <c r="C86" s="20"/>
      <c r="D86" s="5"/>
      <c r="E86" s="5"/>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row>
    <row r="87" spans="1:37" ht="46" thickBot="1" x14ac:dyDescent="0.4">
      <c r="A87" s="5">
        <v>4</v>
      </c>
      <c r="B87" s="20" t="s">
        <v>353</v>
      </c>
      <c r="C87" s="20"/>
      <c r="D87" s="5"/>
      <c r="E87" s="5"/>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row>
    <row r="88" spans="1:37" ht="25" customHeight="1" thickBot="1" x14ac:dyDescent="0.4">
      <c r="A88" s="5">
        <v>5</v>
      </c>
      <c r="B88" s="20" t="s">
        <v>355</v>
      </c>
      <c r="C88" s="20"/>
      <c r="D88" s="5"/>
      <c r="E88" s="5"/>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row>
    <row r="89" spans="1:37" ht="25" customHeight="1" thickBot="1" x14ac:dyDescent="0.4">
      <c r="A89" s="5">
        <v>6</v>
      </c>
      <c r="B89" s="20" t="s">
        <v>358</v>
      </c>
      <c r="C89" s="20"/>
      <c r="D89" s="5"/>
      <c r="E89" s="5"/>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row>
    <row r="90" spans="1:37" ht="25" customHeight="1" thickBot="1" x14ac:dyDescent="0.4">
      <c r="A90" s="5">
        <v>7</v>
      </c>
      <c r="B90" s="20" t="s">
        <v>361</v>
      </c>
      <c r="C90" s="20"/>
      <c r="D90" s="5"/>
      <c r="E90" s="5"/>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row>
    <row r="91" spans="1:37" ht="25" customHeight="1" thickBot="1" x14ac:dyDescent="0.4">
      <c r="A91" s="5">
        <v>8</v>
      </c>
      <c r="B91" s="20" t="s">
        <v>364</v>
      </c>
      <c r="C91" s="20"/>
      <c r="D91" s="5"/>
      <c r="E91" s="5"/>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row>
    <row r="92" spans="1:37" ht="25" customHeight="1" thickBot="1" x14ac:dyDescent="0.4">
      <c r="A92" s="407" t="s">
        <v>802</v>
      </c>
      <c r="B92" s="407"/>
      <c r="C92" s="8"/>
      <c r="D92" s="9"/>
      <c r="E92" s="9"/>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row>
  </sheetData>
  <mergeCells count="22">
    <mergeCell ref="A52:B52"/>
    <mergeCell ref="A1:B1"/>
    <mergeCell ref="A5:B5"/>
    <mergeCell ref="A6:B6"/>
    <mergeCell ref="A14:B14"/>
    <mergeCell ref="A15:B15"/>
    <mergeCell ref="A22:B22"/>
    <mergeCell ref="A23:B23"/>
    <mergeCell ref="A36:B36"/>
    <mergeCell ref="A37:B37"/>
    <mergeCell ref="A43:B43"/>
    <mergeCell ref="A44:B44"/>
    <mergeCell ref="A70:B70"/>
    <mergeCell ref="A82:B82"/>
    <mergeCell ref="A83:B83"/>
    <mergeCell ref="A92:B92"/>
    <mergeCell ref="A53:B53"/>
    <mergeCell ref="A59:B59"/>
    <mergeCell ref="A60:B60"/>
    <mergeCell ref="A62:B62"/>
    <mergeCell ref="A63:B63"/>
    <mergeCell ref="A69:B69"/>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22"/>
  <sheetViews>
    <sheetView workbookViewId="0">
      <selection sqref="A1:B1"/>
    </sheetView>
  </sheetViews>
  <sheetFormatPr defaultColWidth="11" defaultRowHeight="15.5" x14ac:dyDescent="0.35"/>
  <cols>
    <col min="1" max="1" width="7.33203125" customWidth="1"/>
    <col min="2" max="2" width="75.5" style="21" customWidth="1"/>
    <col min="3" max="122" width="20.83203125" customWidth="1"/>
  </cols>
  <sheetData>
    <row r="1" spans="1:2" s="7" customFormat="1" ht="25" customHeight="1" thickBot="1" x14ac:dyDescent="0.4">
      <c r="A1" s="414" t="s">
        <v>2419</v>
      </c>
      <c r="B1" s="415"/>
    </row>
    <row r="2" spans="1:2" s="7" customFormat="1" ht="25" customHeight="1" thickBot="1" x14ac:dyDescent="0.4">
      <c r="A2" s="42"/>
      <c r="B2" s="41" t="s">
        <v>2420</v>
      </c>
    </row>
    <row r="3" spans="1:2" s="7" customFormat="1" ht="25" customHeight="1" thickBot="1" x14ac:dyDescent="0.4">
      <c r="A3" s="42"/>
      <c r="B3" s="41" t="s">
        <v>2421</v>
      </c>
    </row>
    <row r="4" spans="1:2" s="7" customFormat="1" ht="25" customHeight="1" thickBot="1" x14ac:dyDescent="0.4">
      <c r="A4" s="42"/>
      <c r="B4" s="41" t="s">
        <v>815</v>
      </c>
    </row>
    <row r="5" spans="1:2" s="7" customFormat="1" ht="25" customHeight="1" thickBot="1" x14ac:dyDescent="0.4">
      <c r="A5" s="39"/>
      <c r="B5" s="40" t="s">
        <v>2422</v>
      </c>
    </row>
    <row r="6" spans="1:2" s="7" customFormat="1" ht="25" customHeight="1" thickBot="1" x14ac:dyDescent="0.4">
      <c r="A6" s="42"/>
      <c r="B6" s="41" t="s">
        <v>2423</v>
      </c>
    </row>
    <row r="7" spans="1:2" ht="25" customHeight="1" thickBot="1" x14ac:dyDescent="0.4">
      <c r="A7" s="404" t="s">
        <v>2424</v>
      </c>
      <c r="B7" s="404"/>
    </row>
    <row r="8" spans="1:2" ht="25" customHeight="1" thickBot="1" x14ac:dyDescent="0.4">
      <c r="A8" s="409" t="s">
        <v>2392</v>
      </c>
      <c r="B8" s="409"/>
    </row>
    <row r="9" spans="1:2" ht="25" customHeight="1" thickBot="1" x14ac:dyDescent="0.4">
      <c r="A9" s="36">
        <v>1</v>
      </c>
      <c r="B9" s="1" t="s">
        <v>2425</v>
      </c>
    </row>
    <row r="10" spans="1:2" ht="25" customHeight="1" thickBot="1" x14ac:dyDescent="0.4">
      <c r="A10" s="408" t="s">
        <v>717</v>
      </c>
      <c r="B10" s="408"/>
    </row>
    <row r="11" spans="1:2" ht="25" customHeight="1" thickBot="1" x14ac:dyDescent="0.4">
      <c r="A11" s="410" t="s">
        <v>2392</v>
      </c>
      <c r="B11" s="411"/>
    </row>
    <row r="12" spans="1:2" ht="25" customHeight="1" thickBot="1" x14ac:dyDescent="0.4">
      <c r="A12" s="5">
        <v>1</v>
      </c>
      <c r="B12" s="20" t="s">
        <v>2425</v>
      </c>
    </row>
    <row r="13" spans="1:2" ht="25" customHeight="1" thickBot="1" x14ac:dyDescent="0.4">
      <c r="A13" s="5">
        <v>2</v>
      </c>
      <c r="B13" s="20" t="s">
        <v>2334</v>
      </c>
    </row>
    <row r="14" spans="1:2" ht="25" customHeight="1" thickBot="1" x14ac:dyDescent="0.4">
      <c r="A14" s="416" t="s">
        <v>2426</v>
      </c>
      <c r="B14" s="417"/>
    </row>
    <row r="15" spans="1:2" ht="25" customHeight="1" thickBot="1" x14ac:dyDescent="0.4">
      <c r="A15" s="412" t="s">
        <v>2392</v>
      </c>
      <c r="B15" s="413"/>
    </row>
    <row r="16" spans="1:2" ht="25" customHeight="1" thickBot="1" x14ac:dyDescent="0.4">
      <c r="A16" s="37" t="s">
        <v>2336</v>
      </c>
      <c r="B16" s="20" t="s">
        <v>2337</v>
      </c>
    </row>
    <row r="17" spans="1:2" ht="25" customHeight="1" thickBot="1" x14ac:dyDescent="0.4">
      <c r="A17" s="37" t="s">
        <v>2338</v>
      </c>
      <c r="B17" s="20" t="s">
        <v>2427</v>
      </c>
    </row>
    <row r="18" spans="1:2" ht="25" customHeight="1" thickBot="1" x14ac:dyDescent="0.4">
      <c r="A18" s="37" t="s">
        <v>2428</v>
      </c>
      <c r="B18" s="20" t="s">
        <v>2429</v>
      </c>
    </row>
    <row r="19" spans="1:2" ht="26.25" customHeight="1" thickBot="1" x14ac:dyDescent="0.4">
      <c r="A19" s="37" t="s">
        <v>2340</v>
      </c>
      <c r="B19" s="20" t="s">
        <v>2430</v>
      </c>
    </row>
    <row r="20" spans="1:2" ht="25" customHeight="1" thickBot="1" x14ac:dyDescent="0.4">
      <c r="A20" s="37" t="s">
        <v>2342</v>
      </c>
      <c r="B20" s="20" t="s">
        <v>2343</v>
      </c>
    </row>
    <row r="21" spans="1:2" ht="31" thickBot="1" x14ac:dyDescent="0.4">
      <c r="A21" s="37" t="s">
        <v>2344</v>
      </c>
      <c r="B21" s="20" t="s">
        <v>2345</v>
      </c>
    </row>
    <row r="22" spans="1:2" ht="25" customHeight="1" thickBot="1" x14ac:dyDescent="0.4">
      <c r="A22" s="407" t="s">
        <v>802</v>
      </c>
      <c r="B22" s="407"/>
    </row>
  </sheetData>
  <mergeCells count="8">
    <mergeCell ref="A15:B15"/>
    <mergeCell ref="A22:B22"/>
    <mergeCell ref="A1:B1"/>
    <mergeCell ref="A7:B7"/>
    <mergeCell ref="A8:B8"/>
    <mergeCell ref="A10:B10"/>
    <mergeCell ref="A11:B11"/>
    <mergeCell ref="A14:B14"/>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A1:AA2"/>
  <sheetViews>
    <sheetView workbookViewId="0"/>
  </sheetViews>
  <sheetFormatPr defaultColWidth="20.5" defaultRowHeight="15.5" x14ac:dyDescent="0.35"/>
  <cols>
    <col min="1" max="4" width="20.5" style="111"/>
    <col min="6" max="6" width="5" style="115" customWidth="1"/>
    <col min="7" max="10" width="20.5" style="111"/>
    <col min="14" max="14" width="5" style="115" customWidth="1"/>
    <col min="15" max="18" width="20.5" style="111"/>
    <col min="26" max="26" width="3.5" customWidth="1"/>
  </cols>
  <sheetData>
    <row r="1" spans="1:27" s="106" customFormat="1" ht="49" customHeight="1" x14ac:dyDescent="0.35">
      <c r="A1" s="105"/>
      <c r="B1" s="105"/>
      <c r="C1" s="105"/>
      <c r="D1" s="394" t="s">
        <v>2431</v>
      </c>
      <c r="E1" s="394"/>
      <c r="F1" s="113"/>
      <c r="G1" s="105"/>
      <c r="H1" s="105"/>
      <c r="I1" s="105"/>
      <c r="J1" s="394" t="s">
        <v>2432</v>
      </c>
      <c r="K1" s="394"/>
      <c r="L1" s="394"/>
      <c r="M1" s="394"/>
      <c r="N1" s="113"/>
      <c r="O1" s="105"/>
      <c r="P1" s="105"/>
      <c r="Q1" s="105"/>
      <c r="R1" s="105"/>
      <c r="S1" s="394" t="s">
        <v>2426</v>
      </c>
      <c r="T1" s="394"/>
      <c r="U1" s="394"/>
      <c r="V1" s="394"/>
      <c r="W1" s="394"/>
      <c r="X1" s="394"/>
      <c r="Y1" s="394"/>
      <c r="AA1" s="395" t="s">
        <v>2433</v>
      </c>
    </row>
    <row r="2" spans="1:27" s="110" customFormat="1" ht="154.5" customHeight="1" x14ac:dyDescent="0.35">
      <c r="A2" s="74" t="s">
        <v>699</v>
      </c>
      <c r="B2" s="74" t="s">
        <v>813</v>
      </c>
      <c r="C2" s="112" t="s">
        <v>2434</v>
      </c>
      <c r="D2" s="112" t="s">
        <v>2435</v>
      </c>
      <c r="E2" s="52" t="s">
        <v>2436</v>
      </c>
      <c r="F2" s="114"/>
      <c r="G2" s="74" t="s">
        <v>699</v>
      </c>
      <c r="H2" s="74" t="s">
        <v>813</v>
      </c>
      <c r="I2" s="112" t="s">
        <v>2434</v>
      </c>
      <c r="J2" s="112" t="s">
        <v>2437</v>
      </c>
      <c r="K2" s="52" t="s">
        <v>2436</v>
      </c>
      <c r="L2" s="52" t="s">
        <v>2438</v>
      </c>
      <c r="M2" s="52" t="s">
        <v>2439</v>
      </c>
      <c r="N2" s="114"/>
      <c r="O2" s="74" t="s">
        <v>699</v>
      </c>
      <c r="P2" s="74" t="s">
        <v>813</v>
      </c>
      <c r="Q2" s="112" t="s">
        <v>2434</v>
      </c>
      <c r="R2" s="112" t="s">
        <v>2440</v>
      </c>
      <c r="S2" s="98" t="s">
        <v>2337</v>
      </c>
      <c r="T2" s="98" t="s">
        <v>2427</v>
      </c>
      <c r="U2" s="98" t="s">
        <v>2429</v>
      </c>
      <c r="V2" s="98" t="s">
        <v>2430</v>
      </c>
      <c r="W2" s="98" t="s">
        <v>2343</v>
      </c>
      <c r="X2" s="98" t="s">
        <v>2345</v>
      </c>
      <c r="Y2" s="74" t="s">
        <v>2441</v>
      </c>
      <c r="Z2" s="107"/>
      <c r="AA2" s="395"/>
    </row>
  </sheetData>
  <mergeCells count="4">
    <mergeCell ref="D1:E1"/>
    <mergeCell ref="J1:M1"/>
    <mergeCell ref="S1:Y1"/>
    <mergeCell ref="AA1:AA2"/>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AJ25"/>
  <sheetViews>
    <sheetView workbookViewId="0">
      <selection sqref="A1:B1"/>
    </sheetView>
  </sheetViews>
  <sheetFormatPr defaultColWidth="11" defaultRowHeight="15.5" x14ac:dyDescent="0.35"/>
  <cols>
    <col min="1" max="1" width="7.33203125" customWidth="1"/>
    <col min="2" max="2" width="75.5" style="21" customWidth="1"/>
    <col min="3" max="36" width="20.83203125" style="70" customWidth="1"/>
  </cols>
  <sheetData>
    <row r="1" spans="1:36" s="62" customFormat="1" ht="37.5" customHeight="1" x14ac:dyDescent="0.35">
      <c r="A1" s="400" t="s">
        <v>2442</v>
      </c>
      <c r="B1" s="381"/>
      <c r="C1" s="53" t="s">
        <v>2383</v>
      </c>
      <c r="D1" s="53" t="s">
        <v>721</v>
      </c>
      <c r="E1" s="53" t="s">
        <v>723</v>
      </c>
      <c r="F1" s="53" t="s">
        <v>724</v>
      </c>
      <c r="G1" s="53" t="s">
        <v>726</v>
      </c>
      <c r="H1" s="53" t="s">
        <v>727</v>
      </c>
      <c r="I1" s="53" t="s">
        <v>729</v>
      </c>
      <c r="J1" s="53" t="s">
        <v>731</v>
      </c>
      <c r="K1" s="53" t="s">
        <v>732</v>
      </c>
      <c r="L1" s="53" t="s">
        <v>733</v>
      </c>
      <c r="M1" s="53" t="s">
        <v>735</v>
      </c>
      <c r="N1" s="53" t="s">
        <v>737</v>
      </c>
      <c r="O1" s="53" t="s">
        <v>738</v>
      </c>
      <c r="P1" s="53" t="s">
        <v>739</v>
      </c>
      <c r="Q1" s="53" t="s">
        <v>740</v>
      </c>
      <c r="R1" s="53" t="s">
        <v>741</v>
      </c>
      <c r="S1" s="53" t="s">
        <v>742</v>
      </c>
      <c r="T1" s="53" t="s">
        <v>744</v>
      </c>
      <c r="U1" s="53" t="s">
        <v>745</v>
      </c>
      <c r="V1" s="53" t="s">
        <v>746</v>
      </c>
      <c r="W1" s="53" t="s">
        <v>747</v>
      </c>
      <c r="X1" s="53" t="s">
        <v>2384</v>
      </c>
      <c r="Y1" s="53" t="s">
        <v>750</v>
      </c>
      <c r="Z1" s="53" t="s">
        <v>752</v>
      </c>
      <c r="AA1" s="53" t="s">
        <v>754</v>
      </c>
      <c r="AB1" s="53" t="s">
        <v>755</v>
      </c>
      <c r="AC1" s="53" t="s">
        <v>756</v>
      </c>
      <c r="AD1" s="53" t="s">
        <v>757</v>
      </c>
      <c r="AE1" s="53" t="s">
        <v>758</v>
      </c>
      <c r="AF1" s="53" t="s">
        <v>2385</v>
      </c>
      <c r="AG1" s="53" t="s">
        <v>761</v>
      </c>
      <c r="AH1" s="53" t="s">
        <v>762</v>
      </c>
      <c r="AI1" s="53" t="s">
        <v>764</v>
      </c>
      <c r="AJ1" s="53" t="s">
        <v>766</v>
      </c>
    </row>
    <row r="2" spans="1:36" s="62" customFormat="1" ht="22.5" customHeight="1" x14ac:dyDescent="0.35">
      <c r="A2" s="52"/>
      <c r="B2" s="116" t="s">
        <v>700</v>
      </c>
      <c r="C2" s="53" t="s">
        <v>2372</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row>
    <row r="3" spans="1:36" s="7" customFormat="1" ht="25" customHeight="1" x14ac:dyDescent="0.35">
      <c r="A3" s="65"/>
      <c r="B3" s="66" t="s">
        <v>794</v>
      </c>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row>
    <row r="4" spans="1:36" s="82" customFormat="1" ht="25" customHeight="1" x14ac:dyDescent="0.35">
      <c r="A4" s="83"/>
      <c r="B4" s="84" t="s">
        <v>2321</v>
      </c>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row>
    <row r="5" spans="1:36" s="82" customFormat="1" ht="25" customHeight="1" x14ac:dyDescent="0.35">
      <c r="A5" s="79"/>
      <c r="B5" s="80" t="s">
        <v>2322</v>
      </c>
      <c r="C5" s="81">
        <v>4</v>
      </c>
      <c r="D5" s="81"/>
      <c r="E5" s="81"/>
      <c r="F5" s="81"/>
      <c r="G5" s="81"/>
      <c r="H5" s="81"/>
      <c r="I5" s="81"/>
      <c r="J5" s="81"/>
      <c r="K5" s="81"/>
      <c r="L5" s="81"/>
      <c r="M5" s="81"/>
      <c r="N5" s="81"/>
      <c r="O5" s="81"/>
      <c r="P5" s="81"/>
      <c r="Q5" s="81"/>
      <c r="R5" s="81"/>
      <c r="S5" s="81"/>
      <c r="T5" s="81"/>
      <c r="U5" s="81"/>
      <c r="V5" s="81"/>
      <c r="W5" s="81"/>
      <c r="X5" s="81"/>
      <c r="Y5" s="81"/>
      <c r="Z5" s="81"/>
      <c r="AA5" s="81"/>
      <c r="AB5" s="81"/>
      <c r="AC5" s="81"/>
      <c r="AD5" s="81"/>
      <c r="AE5" s="81"/>
      <c r="AF5" s="81"/>
      <c r="AG5" s="81"/>
      <c r="AH5" s="81"/>
      <c r="AI5" s="81"/>
      <c r="AJ5" s="81"/>
    </row>
    <row r="6" spans="1:36" s="82" customFormat="1" ht="25" customHeight="1" x14ac:dyDescent="0.35">
      <c r="A6" s="83"/>
      <c r="B6" s="84" t="s">
        <v>2323</v>
      </c>
      <c r="C6" s="85">
        <v>2</v>
      </c>
      <c r="D6" s="85"/>
      <c r="E6" s="85"/>
      <c r="F6" s="85"/>
      <c r="G6" s="85"/>
      <c r="H6" s="85"/>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5"/>
    </row>
    <row r="7" spans="1:36" s="82" customFormat="1" ht="25" customHeight="1" x14ac:dyDescent="0.35">
      <c r="A7" s="79"/>
      <c r="B7" s="80" t="s">
        <v>2324</v>
      </c>
      <c r="C7" s="81">
        <v>1</v>
      </c>
      <c r="D7" s="81"/>
      <c r="E7" s="81"/>
      <c r="F7" s="81"/>
      <c r="G7" s="81"/>
      <c r="H7" s="81"/>
      <c r="I7" s="81"/>
      <c r="J7" s="81"/>
      <c r="K7" s="81"/>
      <c r="L7" s="81"/>
      <c r="M7" s="81"/>
      <c r="N7" s="81"/>
      <c r="O7" s="81"/>
      <c r="P7" s="81"/>
      <c r="Q7" s="81"/>
      <c r="R7" s="81"/>
      <c r="S7" s="81"/>
      <c r="T7" s="81"/>
      <c r="U7" s="81"/>
      <c r="V7" s="81"/>
      <c r="W7" s="81"/>
      <c r="X7" s="81"/>
      <c r="Y7" s="81"/>
      <c r="Z7" s="81"/>
      <c r="AA7" s="81"/>
      <c r="AB7" s="81"/>
      <c r="AC7" s="81"/>
      <c r="AD7" s="81"/>
      <c r="AE7" s="81"/>
      <c r="AF7" s="81"/>
      <c r="AG7" s="81"/>
      <c r="AH7" s="81"/>
      <c r="AI7" s="81"/>
      <c r="AJ7" s="81"/>
    </row>
    <row r="8" spans="1:36" s="82" customFormat="1" ht="25" customHeight="1" x14ac:dyDescent="0.35">
      <c r="A8" s="83"/>
      <c r="B8" s="84" t="s">
        <v>2326</v>
      </c>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row>
    <row r="9" spans="1:36" s="82" customFormat="1" ht="25" customHeight="1" x14ac:dyDescent="0.35">
      <c r="A9" s="79"/>
      <c r="B9" s="80" t="s">
        <v>2321</v>
      </c>
      <c r="C9" s="81"/>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row>
    <row r="10" spans="1:36" s="82" customFormat="1" ht="25" customHeight="1" x14ac:dyDescent="0.35">
      <c r="A10" s="83"/>
      <c r="B10" s="84" t="s">
        <v>2327</v>
      </c>
      <c r="C10" s="85">
        <v>14</v>
      </c>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row>
    <row r="11" spans="1:36" s="82" customFormat="1" ht="24.75" customHeight="1" x14ac:dyDescent="0.35">
      <c r="A11" s="83"/>
      <c r="B11" s="84" t="s">
        <v>2328</v>
      </c>
      <c r="C11" s="85">
        <v>14</v>
      </c>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row>
    <row r="12" spans="1:36" s="82" customFormat="1" ht="24.75" customHeight="1" x14ac:dyDescent="0.35">
      <c r="A12" s="79"/>
      <c r="B12" s="80" t="s">
        <v>2329</v>
      </c>
      <c r="C12" s="81">
        <v>14</v>
      </c>
      <c r="D12" s="81"/>
      <c r="E12" s="81"/>
      <c r="F12" s="81"/>
      <c r="G12" s="81"/>
      <c r="H12" s="81"/>
      <c r="I12" s="81"/>
      <c r="J12" s="81"/>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row>
    <row r="13" spans="1:36" s="63" customFormat="1" ht="25" customHeight="1" x14ac:dyDescent="0.35">
      <c r="A13" s="399" t="s">
        <v>2424</v>
      </c>
      <c r="B13" s="399"/>
      <c r="C13" s="71">
        <v>0.65</v>
      </c>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row>
    <row r="14" spans="1:36" ht="25" customHeight="1" x14ac:dyDescent="0.35">
      <c r="A14" s="58">
        <v>1</v>
      </c>
      <c r="B14" s="67" t="s">
        <v>2425</v>
      </c>
      <c r="C14" s="69">
        <v>0.65</v>
      </c>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row>
    <row r="15" spans="1:36" s="63" customFormat="1" ht="25" customHeight="1" x14ac:dyDescent="0.35">
      <c r="A15" s="399" t="s">
        <v>717</v>
      </c>
      <c r="B15" s="399"/>
      <c r="C15" s="71">
        <v>0.65</v>
      </c>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row>
    <row r="16" spans="1:36" ht="25" customHeight="1" x14ac:dyDescent="0.35">
      <c r="A16" s="59">
        <v>1</v>
      </c>
      <c r="B16" s="60" t="s">
        <v>2425</v>
      </c>
      <c r="C16" s="69">
        <v>0.65</v>
      </c>
      <c r="D16" s="69"/>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row>
    <row r="17" spans="1:36" s="72" customFormat="1" ht="25" customHeight="1" x14ac:dyDescent="0.3">
      <c r="A17" s="55">
        <v>2</v>
      </c>
      <c r="B17" s="56" t="s">
        <v>2334</v>
      </c>
      <c r="C17" s="73">
        <v>0.65</v>
      </c>
      <c r="D17" s="73"/>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row>
    <row r="18" spans="1:36" s="63" customFormat="1" ht="25" customHeight="1" x14ac:dyDescent="0.35">
      <c r="A18" s="399" t="s">
        <v>2426</v>
      </c>
      <c r="B18" s="399"/>
      <c r="C18" s="71">
        <v>0.65</v>
      </c>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row>
    <row r="19" spans="1:36" s="72" customFormat="1" ht="25" customHeight="1" x14ac:dyDescent="0.3">
      <c r="A19" s="58" t="s">
        <v>2336</v>
      </c>
      <c r="B19" s="60" t="s">
        <v>2337</v>
      </c>
      <c r="C19" s="69">
        <v>0.65</v>
      </c>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row>
    <row r="20" spans="1:36" s="72" customFormat="1" ht="25" customHeight="1" x14ac:dyDescent="0.3">
      <c r="A20" s="64" t="s">
        <v>2338</v>
      </c>
      <c r="B20" s="56" t="s">
        <v>2427</v>
      </c>
      <c r="C20" s="73">
        <v>0.65</v>
      </c>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row>
    <row r="21" spans="1:36" s="72" customFormat="1" ht="25" customHeight="1" x14ac:dyDescent="0.3">
      <c r="A21" s="58" t="s">
        <v>2428</v>
      </c>
      <c r="B21" s="60" t="s">
        <v>2429</v>
      </c>
      <c r="C21" s="69">
        <v>0.65</v>
      </c>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row>
    <row r="22" spans="1:36" s="72" customFormat="1" ht="30" x14ac:dyDescent="0.3">
      <c r="A22" s="64" t="s">
        <v>2340</v>
      </c>
      <c r="B22" s="56" t="s">
        <v>2430</v>
      </c>
      <c r="C22" s="73">
        <v>0.65</v>
      </c>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row>
    <row r="23" spans="1:36" s="72" customFormat="1" ht="25" customHeight="1" x14ac:dyDescent="0.3">
      <c r="A23" s="58" t="s">
        <v>2342</v>
      </c>
      <c r="B23" s="60" t="s">
        <v>2343</v>
      </c>
      <c r="C23" s="69">
        <v>0.65</v>
      </c>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row>
    <row r="24" spans="1:36" s="72" customFormat="1" ht="30" x14ac:dyDescent="0.3">
      <c r="A24" s="64" t="s">
        <v>2344</v>
      </c>
      <c r="B24" s="56" t="s">
        <v>2345</v>
      </c>
      <c r="C24" s="73">
        <v>0.65</v>
      </c>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row>
    <row r="25" spans="1:36" s="63" customFormat="1" ht="25" customHeight="1" x14ac:dyDescent="0.35">
      <c r="A25" s="399" t="s">
        <v>802</v>
      </c>
      <c r="B25" s="399"/>
      <c r="C25" s="71">
        <v>0.65</v>
      </c>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row>
  </sheetData>
  <mergeCells count="5">
    <mergeCell ref="A1:B1"/>
    <mergeCell ref="A13:B13"/>
    <mergeCell ref="A15:B15"/>
    <mergeCell ref="A18:B18"/>
    <mergeCell ref="A25:B25"/>
  </mergeCells>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A1:AJ16"/>
  <sheetViews>
    <sheetView workbookViewId="0">
      <selection sqref="A1:B1"/>
    </sheetView>
  </sheetViews>
  <sheetFormatPr defaultColWidth="15.83203125" defaultRowHeight="15.5" x14ac:dyDescent="0.35"/>
  <cols>
    <col min="1" max="1" width="6.5" style="57" customWidth="1"/>
    <col min="2" max="2" width="50" style="57" customWidth="1"/>
    <col min="3" max="16384" width="15.83203125" style="57"/>
  </cols>
  <sheetData>
    <row r="1" spans="1:36" s="86" customFormat="1" ht="34.5" customHeight="1" x14ac:dyDescent="0.35">
      <c r="A1" s="400" t="s">
        <v>2443</v>
      </c>
      <c r="B1" s="381"/>
      <c r="C1" s="53" t="s">
        <v>2383</v>
      </c>
      <c r="D1" s="53" t="s">
        <v>721</v>
      </c>
      <c r="E1" s="53" t="s">
        <v>723</v>
      </c>
      <c r="F1" s="53" t="s">
        <v>724</v>
      </c>
      <c r="G1" s="53" t="s">
        <v>726</v>
      </c>
      <c r="H1" s="53" t="s">
        <v>727</v>
      </c>
      <c r="I1" s="53" t="s">
        <v>729</v>
      </c>
      <c r="J1" s="53" t="s">
        <v>731</v>
      </c>
      <c r="K1" s="53" t="s">
        <v>732</v>
      </c>
      <c r="L1" s="53" t="s">
        <v>733</v>
      </c>
      <c r="M1" s="53" t="s">
        <v>735</v>
      </c>
      <c r="N1" s="53" t="s">
        <v>737</v>
      </c>
      <c r="O1" s="53" t="s">
        <v>738</v>
      </c>
      <c r="P1" s="53" t="s">
        <v>739</v>
      </c>
      <c r="Q1" s="53" t="s">
        <v>740</v>
      </c>
      <c r="R1" s="53" t="s">
        <v>741</v>
      </c>
      <c r="S1" s="53" t="s">
        <v>742</v>
      </c>
      <c r="T1" s="53" t="s">
        <v>744</v>
      </c>
      <c r="U1" s="53" t="s">
        <v>745</v>
      </c>
      <c r="V1" s="53" t="s">
        <v>746</v>
      </c>
      <c r="W1" s="53" t="s">
        <v>747</v>
      </c>
      <c r="X1" s="53" t="s">
        <v>2384</v>
      </c>
      <c r="Y1" s="53" t="s">
        <v>750</v>
      </c>
      <c r="Z1" s="53" t="s">
        <v>752</v>
      </c>
      <c r="AA1" s="53" t="s">
        <v>754</v>
      </c>
      <c r="AB1" s="53" t="s">
        <v>755</v>
      </c>
      <c r="AC1" s="53" t="s">
        <v>756</v>
      </c>
      <c r="AD1" s="53" t="s">
        <v>757</v>
      </c>
      <c r="AE1" s="53" t="s">
        <v>758</v>
      </c>
      <c r="AF1" s="53" t="s">
        <v>2385</v>
      </c>
      <c r="AG1" s="53" t="s">
        <v>761</v>
      </c>
      <c r="AH1" s="53" t="s">
        <v>762</v>
      </c>
      <c r="AI1" s="53" t="s">
        <v>764</v>
      </c>
      <c r="AJ1" s="53" t="s">
        <v>766</v>
      </c>
    </row>
    <row r="2" spans="1:36" s="86" customFormat="1" ht="25" customHeight="1" x14ac:dyDescent="0.35">
      <c r="A2" s="87" t="s">
        <v>2444</v>
      </c>
      <c r="B2" s="88"/>
      <c r="C2" s="89">
        <v>0.8</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row>
    <row r="3" spans="1:36" s="92" customFormat="1" ht="25" customHeight="1" x14ac:dyDescent="0.35">
      <c r="A3" s="90"/>
      <c r="B3" s="90" t="s">
        <v>705</v>
      </c>
      <c r="C3" s="91">
        <v>0.8</v>
      </c>
    </row>
    <row r="4" spans="1:36" s="94" customFormat="1" ht="25" customHeight="1" x14ac:dyDescent="0.35">
      <c r="A4" s="93"/>
      <c r="B4" s="93" t="s">
        <v>706</v>
      </c>
      <c r="C4" s="97">
        <v>0.8</v>
      </c>
    </row>
    <row r="5" spans="1:36" s="92" customFormat="1" ht="25" customHeight="1" x14ac:dyDescent="0.35">
      <c r="A5" s="90"/>
      <c r="B5" s="90" t="s">
        <v>707</v>
      </c>
      <c r="C5" s="91">
        <v>0.8</v>
      </c>
    </row>
    <row r="6" spans="1:36" s="94" customFormat="1" ht="25" customHeight="1" x14ac:dyDescent="0.35">
      <c r="A6" s="93"/>
      <c r="B6" s="93" t="s">
        <v>708</v>
      </c>
      <c r="C6" s="97">
        <v>0.8</v>
      </c>
    </row>
    <row r="7" spans="1:36" s="92" customFormat="1" ht="25" customHeight="1" x14ac:dyDescent="0.35">
      <c r="A7" s="90"/>
      <c r="B7" s="90" t="s">
        <v>709</v>
      </c>
      <c r="C7" s="91">
        <v>0.8</v>
      </c>
    </row>
    <row r="8" spans="1:36" s="94" customFormat="1" ht="25" customHeight="1" x14ac:dyDescent="0.35">
      <c r="A8" s="93"/>
      <c r="B8" s="93" t="s">
        <v>710</v>
      </c>
      <c r="C8" s="97">
        <v>0.8</v>
      </c>
    </row>
    <row r="9" spans="1:36" s="92" customFormat="1" ht="25" customHeight="1" x14ac:dyDescent="0.35">
      <c r="A9" s="90"/>
      <c r="B9" s="90" t="s">
        <v>711</v>
      </c>
      <c r="C9" s="91">
        <v>0.8</v>
      </c>
    </row>
    <row r="10" spans="1:36" s="94" customFormat="1" ht="26.25" customHeight="1" x14ac:dyDescent="0.35">
      <c r="A10" s="93"/>
      <c r="B10" s="93" t="s">
        <v>712</v>
      </c>
      <c r="C10" s="97">
        <v>0.8</v>
      </c>
    </row>
    <row r="11" spans="1:36" s="92" customFormat="1" ht="25" customHeight="1" x14ac:dyDescent="0.35">
      <c r="A11" s="90"/>
      <c r="B11" s="90" t="s">
        <v>713</v>
      </c>
      <c r="C11" s="91">
        <v>0.8</v>
      </c>
    </row>
    <row r="12" spans="1:36" s="94" customFormat="1" ht="25" customHeight="1" x14ac:dyDescent="0.35">
      <c r="A12" s="93"/>
      <c r="B12" s="93" t="s">
        <v>714</v>
      </c>
      <c r="C12" s="97">
        <v>0.8</v>
      </c>
    </row>
    <row r="13" spans="1:36" s="53" customFormat="1" ht="24" customHeight="1" x14ac:dyDescent="0.35">
      <c r="A13" s="87" t="s">
        <v>2445</v>
      </c>
      <c r="B13" s="88"/>
      <c r="C13" s="89">
        <v>0.8</v>
      </c>
    </row>
    <row r="14" spans="1:36" s="92" customFormat="1" ht="25" customHeight="1" x14ac:dyDescent="0.35">
      <c r="A14" s="90"/>
      <c r="B14" s="95" t="s">
        <v>2424</v>
      </c>
      <c r="C14" s="91">
        <v>0.8</v>
      </c>
    </row>
    <row r="15" spans="1:36" s="94" customFormat="1" ht="25" customHeight="1" x14ac:dyDescent="0.35">
      <c r="A15" s="93"/>
      <c r="B15" s="96" t="s">
        <v>717</v>
      </c>
      <c r="C15" s="97">
        <v>0.8</v>
      </c>
    </row>
    <row r="16" spans="1:36" s="53" customFormat="1" ht="24" customHeight="1" x14ac:dyDescent="0.35">
      <c r="A16" s="87" t="s">
        <v>2446</v>
      </c>
      <c r="B16" s="88"/>
      <c r="C16" s="89">
        <v>0.8</v>
      </c>
    </row>
  </sheetData>
  <mergeCells count="1">
    <mergeCell ref="A1:B1"/>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249977111117893"/>
  </sheetPr>
  <dimension ref="A1:AO81"/>
  <sheetViews>
    <sheetView zoomScale="51" zoomScaleNormal="51" workbookViewId="0">
      <pane xSplit="6" ySplit="3" topLeftCell="G4" activePane="bottomRight" state="frozen"/>
      <selection pane="topRight" activeCell="G1" sqref="G1"/>
      <selection pane="bottomLeft" activeCell="A5" sqref="A5"/>
      <selection pane="bottomRight" activeCell="B23" sqref="B23"/>
    </sheetView>
  </sheetViews>
  <sheetFormatPr defaultColWidth="11" defaultRowHeight="18.5" x14ac:dyDescent="0.45"/>
  <cols>
    <col min="1" max="1" width="7.33203125" customWidth="1"/>
    <col min="2" max="2" width="75.5" style="21" customWidth="1"/>
    <col min="3" max="6" width="21" style="185" customWidth="1"/>
    <col min="7" max="7" width="21" style="168" customWidth="1"/>
    <col min="8" max="40" width="20.83203125" style="168" customWidth="1"/>
  </cols>
  <sheetData>
    <row r="1" spans="1:41" s="326" customFormat="1" ht="37.5" customHeight="1" x14ac:dyDescent="0.35">
      <c r="A1" s="378" t="s">
        <v>2792</v>
      </c>
      <c r="B1" s="379"/>
      <c r="C1" s="420" t="s">
        <v>767</v>
      </c>
      <c r="D1" s="420"/>
      <c r="E1" s="420"/>
      <c r="F1" s="420"/>
      <c r="G1" s="332" t="s">
        <v>719</v>
      </c>
      <c r="H1" s="332" t="s">
        <v>721</v>
      </c>
      <c r="I1" s="332" t="s">
        <v>723</v>
      </c>
      <c r="J1" s="332" t="s">
        <v>724</v>
      </c>
      <c r="K1" s="332" t="s">
        <v>726</v>
      </c>
      <c r="L1" s="332" t="s">
        <v>727</v>
      </c>
      <c r="M1" s="332" t="s">
        <v>729</v>
      </c>
      <c r="N1" s="332" t="s">
        <v>731</v>
      </c>
      <c r="O1" s="332" t="s">
        <v>732</v>
      </c>
      <c r="P1" s="332" t="s">
        <v>733</v>
      </c>
      <c r="Q1" s="332" t="s">
        <v>735</v>
      </c>
      <c r="R1" s="332" t="s">
        <v>737</v>
      </c>
      <c r="S1" s="332" t="s">
        <v>738</v>
      </c>
      <c r="T1" s="332" t="s">
        <v>739</v>
      </c>
      <c r="U1" s="332" t="s">
        <v>740</v>
      </c>
      <c r="V1" s="332" t="s">
        <v>741</v>
      </c>
      <c r="W1" s="332" t="s">
        <v>742</v>
      </c>
      <c r="X1" s="332" t="s">
        <v>744</v>
      </c>
      <c r="Y1" s="332" t="s">
        <v>745</v>
      </c>
      <c r="Z1" s="332" t="s">
        <v>746</v>
      </c>
      <c r="AA1" s="332" t="s">
        <v>747</v>
      </c>
      <c r="AB1" s="332" t="s">
        <v>749</v>
      </c>
      <c r="AC1" s="332" t="s">
        <v>750</v>
      </c>
      <c r="AD1" s="332" t="s">
        <v>752</v>
      </c>
      <c r="AE1" s="332" t="s">
        <v>754</v>
      </c>
      <c r="AF1" s="332" t="s">
        <v>755</v>
      </c>
      <c r="AG1" s="332" t="s">
        <v>756</v>
      </c>
      <c r="AH1" s="332" t="s">
        <v>757</v>
      </c>
      <c r="AI1" s="332" t="s">
        <v>758</v>
      </c>
      <c r="AJ1" s="332" t="s">
        <v>789</v>
      </c>
      <c r="AK1" s="332" t="s">
        <v>761</v>
      </c>
      <c r="AL1" s="332" t="s">
        <v>762</v>
      </c>
      <c r="AM1" s="332" t="s">
        <v>764</v>
      </c>
      <c r="AN1" s="332" t="s">
        <v>766</v>
      </c>
    </row>
    <row r="2" spans="1:41" s="326" customFormat="1" ht="25" customHeight="1" x14ac:dyDescent="0.35">
      <c r="A2" s="333"/>
      <c r="B2" s="334" t="s">
        <v>700</v>
      </c>
      <c r="C2" s="380" t="s">
        <v>790</v>
      </c>
      <c r="D2" s="380" t="s">
        <v>791</v>
      </c>
      <c r="E2" s="380" t="s">
        <v>792</v>
      </c>
      <c r="F2" s="380" t="s">
        <v>793</v>
      </c>
      <c r="G2" s="332" t="s">
        <v>720</v>
      </c>
      <c r="H2" s="332" t="s">
        <v>722</v>
      </c>
      <c r="I2" s="332" t="s">
        <v>720</v>
      </c>
      <c r="J2" s="332" t="s">
        <v>725</v>
      </c>
      <c r="K2" s="332" t="s">
        <v>720</v>
      </c>
      <c r="L2" s="332" t="s">
        <v>728</v>
      </c>
      <c r="M2" s="332" t="s">
        <v>730</v>
      </c>
      <c r="N2" s="332" t="s">
        <v>722</v>
      </c>
      <c r="O2" s="332" t="s">
        <v>730</v>
      </c>
      <c r="P2" s="332" t="s">
        <v>734</v>
      </c>
      <c r="Q2" s="332" t="s">
        <v>736</v>
      </c>
      <c r="R2" s="332" t="s">
        <v>736</v>
      </c>
      <c r="S2" s="332" t="s">
        <v>722</v>
      </c>
      <c r="T2" s="332" t="s">
        <v>720</v>
      </c>
      <c r="U2" s="332" t="s">
        <v>730</v>
      </c>
      <c r="V2" s="332" t="s">
        <v>736</v>
      </c>
      <c r="W2" s="332" t="s">
        <v>743</v>
      </c>
      <c r="X2" s="332" t="s">
        <v>743</v>
      </c>
      <c r="Y2" s="332" t="s">
        <v>730</v>
      </c>
      <c r="Z2" s="332" t="s">
        <v>743</v>
      </c>
      <c r="AA2" s="332" t="s">
        <v>748</v>
      </c>
      <c r="AB2" s="332" t="s">
        <v>730</v>
      </c>
      <c r="AC2" s="332" t="s">
        <v>751</v>
      </c>
      <c r="AD2" s="332" t="s">
        <v>753</v>
      </c>
      <c r="AE2" s="332" t="s">
        <v>736</v>
      </c>
      <c r="AF2" s="332" t="s">
        <v>753</v>
      </c>
      <c r="AG2" s="332" t="s">
        <v>728</v>
      </c>
      <c r="AH2" s="332" t="s">
        <v>730</v>
      </c>
      <c r="AI2" s="332" t="s">
        <v>759</v>
      </c>
      <c r="AJ2" s="332" t="s">
        <v>759</v>
      </c>
      <c r="AK2" s="332" t="s">
        <v>720</v>
      </c>
      <c r="AL2" s="332" t="s">
        <v>763</v>
      </c>
      <c r="AM2" s="332" t="s">
        <v>765</v>
      </c>
      <c r="AN2" s="332" t="s">
        <v>728</v>
      </c>
    </row>
    <row r="3" spans="1:41" s="326" customFormat="1" ht="25" customHeight="1" x14ac:dyDescent="0.35">
      <c r="A3" s="333"/>
      <c r="B3" s="334" t="s">
        <v>794</v>
      </c>
      <c r="C3" s="380"/>
      <c r="D3" s="380"/>
      <c r="E3" s="380"/>
      <c r="F3" s="380"/>
      <c r="G3" s="332"/>
      <c r="H3" s="332"/>
      <c r="I3" s="332"/>
      <c r="J3" s="332"/>
      <c r="K3" s="332"/>
      <c r="L3" s="332"/>
      <c r="M3" s="332"/>
      <c r="N3" s="332"/>
      <c r="O3" s="332"/>
      <c r="P3" s="332"/>
      <c r="Q3" s="332"/>
      <c r="R3" s="332"/>
      <c r="S3" s="332"/>
      <c r="T3" s="332"/>
      <c r="U3" s="332"/>
      <c r="V3" s="332"/>
      <c r="W3" s="332"/>
      <c r="X3" s="332"/>
      <c r="Y3" s="332"/>
      <c r="Z3" s="332"/>
      <c r="AA3" s="332"/>
      <c r="AB3" s="332"/>
      <c r="AC3" s="332"/>
      <c r="AD3" s="332"/>
      <c r="AE3" s="332"/>
      <c r="AF3" s="332"/>
      <c r="AG3" s="332"/>
      <c r="AH3" s="332"/>
      <c r="AI3" s="332"/>
      <c r="AJ3" s="332"/>
      <c r="AK3" s="332"/>
      <c r="AL3" s="332"/>
      <c r="AM3" s="332"/>
      <c r="AN3" s="332"/>
    </row>
    <row r="4" spans="1:41" s="146" customFormat="1" ht="31.5" customHeight="1" x14ac:dyDescent="0.35">
      <c r="A4" s="329"/>
      <c r="B4" s="330" t="s">
        <v>2321</v>
      </c>
      <c r="C4" s="331"/>
      <c r="D4" s="331"/>
      <c r="E4" s="331"/>
      <c r="F4" s="331"/>
      <c r="G4" s="331">
        <v>9</v>
      </c>
      <c r="H4" s="331">
        <v>5</v>
      </c>
      <c r="I4" s="331">
        <v>4</v>
      </c>
      <c r="J4" s="331">
        <v>6</v>
      </c>
      <c r="K4" s="331">
        <v>6</v>
      </c>
      <c r="L4" s="331">
        <v>6</v>
      </c>
      <c r="M4" s="331">
        <v>6</v>
      </c>
      <c r="N4" s="331">
        <v>4</v>
      </c>
      <c r="O4" s="331">
        <v>6</v>
      </c>
      <c r="P4" s="331">
        <v>6</v>
      </c>
      <c r="Q4" s="331">
        <v>6</v>
      </c>
      <c r="R4" s="331">
        <v>6</v>
      </c>
      <c r="S4" s="331">
        <v>5</v>
      </c>
      <c r="T4" s="331">
        <v>2</v>
      </c>
      <c r="U4" s="331">
        <v>8</v>
      </c>
      <c r="V4" s="331">
        <v>4</v>
      </c>
      <c r="W4" s="331">
        <v>5</v>
      </c>
      <c r="X4" s="331">
        <v>6</v>
      </c>
      <c r="Y4" s="331">
        <v>4</v>
      </c>
      <c r="Z4" s="331">
        <v>5</v>
      </c>
      <c r="AA4" s="331">
        <v>3</v>
      </c>
      <c r="AB4" s="331">
        <v>4</v>
      </c>
      <c r="AC4" s="331">
        <v>4</v>
      </c>
      <c r="AD4" s="331">
        <v>7</v>
      </c>
      <c r="AE4" s="331">
        <v>5</v>
      </c>
      <c r="AF4" s="331">
        <v>5</v>
      </c>
      <c r="AG4" s="331">
        <v>7</v>
      </c>
      <c r="AH4" s="331">
        <v>5</v>
      </c>
      <c r="AI4" s="331">
        <v>5</v>
      </c>
      <c r="AJ4" s="331">
        <v>6</v>
      </c>
      <c r="AK4" s="331">
        <v>4</v>
      </c>
      <c r="AL4" s="331">
        <v>6</v>
      </c>
      <c r="AM4" s="331">
        <v>5</v>
      </c>
      <c r="AN4" s="331">
        <v>5</v>
      </c>
      <c r="AO4" s="270"/>
    </row>
    <row r="5" spans="1:41" s="146" customFormat="1" ht="31.5" customHeight="1" x14ac:dyDescent="0.35">
      <c r="A5" s="147"/>
      <c r="B5" s="148" t="s">
        <v>2322</v>
      </c>
      <c r="C5" s="181"/>
      <c r="D5" s="181"/>
      <c r="E5" s="181"/>
      <c r="F5" s="181"/>
      <c r="G5" s="160">
        <v>4</v>
      </c>
      <c r="H5" s="160">
        <v>3</v>
      </c>
      <c r="I5" s="160">
        <v>3</v>
      </c>
      <c r="J5" s="160">
        <v>6</v>
      </c>
      <c r="K5" s="160">
        <v>3</v>
      </c>
      <c r="L5" s="160">
        <v>3</v>
      </c>
      <c r="M5" s="160">
        <v>2</v>
      </c>
      <c r="N5" s="160">
        <v>4</v>
      </c>
      <c r="O5" s="160">
        <v>5</v>
      </c>
      <c r="P5" s="160">
        <v>3</v>
      </c>
      <c r="Q5" s="160">
        <v>6</v>
      </c>
      <c r="R5" s="160">
        <v>5</v>
      </c>
      <c r="S5" s="160">
        <v>4</v>
      </c>
      <c r="T5" s="160">
        <v>6</v>
      </c>
      <c r="U5" s="160">
        <v>4</v>
      </c>
      <c r="V5" s="160">
        <v>4</v>
      </c>
      <c r="W5" s="160">
        <v>2</v>
      </c>
      <c r="X5" s="160">
        <v>3</v>
      </c>
      <c r="Y5" s="160">
        <v>4</v>
      </c>
      <c r="Z5" s="160">
        <v>3</v>
      </c>
      <c r="AA5" s="160">
        <v>5</v>
      </c>
      <c r="AB5" s="160">
        <v>9</v>
      </c>
      <c r="AC5" s="160">
        <v>4</v>
      </c>
      <c r="AD5" s="160">
        <v>2</v>
      </c>
      <c r="AE5" s="160">
        <v>3</v>
      </c>
      <c r="AF5" s="160">
        <v>4</v>
      </c>
      <c r="AG5" s="160">
        <v>2</v>
      </c>
      <c r="AH5" s="160">
        <v>5</v>
      </c>
      <c r="AI5" s="160">
        <v>4</v>
      </c>
      <c r="AJ5" s="160">
        <v>3</v>
      </c>
      <c r="AK5" s="160">
        <v>4</v>
      </c>
      <c r="AL5" s="160">
        <v>3</v>
      </c>
      <c r="AM5" s="160">
        <v>4</v>
      </c>
      <c r="AN5" s="160">
        <v>3</v>
      </c>
      <c r="AO5" s="270"/>
    </row>
    <row r="6" spans="1:41" s="146" customFormat="1" ht="31.5" customHeight="1" x14ac:dyDescent="0.35">
      <c r="A6" s="144"/>
      <c r="B6" s="145" t="s">
        <v>2323</v>
      </c>
      <c r="C6" s="159"/>
      <c r="D6" s="159"/>
      <c r="E6" s="159"/>
      <c r="F6" s="159"/>
      <c r="G6" s="159">
        <v>2</v>
      </c>
      <c r="H6" s="159">
        <v>1</v>
      </c>
      <c r="I6" s="159">
        <v>2</v>
      </c>
      <c r="J6" s="159">
        <v>3</v>
      </c>
      <c r="K6" s="159">
        <v>1</v>
      </c>
      <c r="L6" s="159">
        <v>1</v>
      </c>
      <c r="M6" s="159">
        <v>2</v>
      </c>
      <c r="N6" s="159">
        <v>3</v>
      </c>
      <c r="O6" s="159">
        <v>4</v>
      </c>
      <c r="P6" s="159">
        <v>0</v>
      </c>
      <c r="Q6" s="159">
        <v>2</v>
      </c>
      <c r="R6" s="159">
        <v>4</v>
      </c>
      <c r="S6" s="159">
        <v>1</v>
      </c>
      <c r="T6" s="159">
        <v>2</v>
      </c>
      <c r="U6" s="159">
        <v>3</v>
      </c>
      <c r="V6" s="159">
        <v>2</v>
      </c>
      <c r="W6" s="159">
        <v>3</v>
      </c>
      <c r="X6" s="159">
        <v>1</v>
      </c>
      <c r="Y6" s="159">
        <v>2</v>
      </c>
      <c r="Z6" s="159">
        <v>2</v>
      </c>
      <c r="AA6" s="159">
        <v>2</v>
      </c>
      <c r="AB6" s="159">
        <v>2</v>
      </c>
      <c r="AC6" s="159">
        <v>2</v>
      </c>
      <c r="AD6" s="159">
        <v>1</v>
      </c>
      <c r="AE6" s="159">
        <v>2</v>
      </c>
      <c r="AF6" s="159">
        <v>1</v>
      </c>
      <c r="AG6" s="159">
        <v>1</v>
      </c>
      <c r="AH6" s="159">
        <v>0</v>
      </c>
      <c r="AI6" s="159">
        <v>1</v>
      </c>
      <c r="AJ6" s="159">
        <v>1</v>
      </c>
      <c r="AK6" s="159">
        <v>2</v>
      </c>
      <c r="AL6" s="159">
        <v>1</v>
      </c>
      <c r="AM6" s="159">
        <v>1</v>
      </c>
      <c r="AN6" s="159">
        <v>2</v>
      </c>
      <c r="AO6" s="270"/>
    </row>
    <row r="7" spans="1:41" s="146" customFormat="1" ht="31.5" customHeight="1" x14ac:dyDescent="0.35">
      <c r="A7" s="147"/>
      <c r="B7" s="148" t="s">
        <v>2324</v>
      </c>
      <c r="C7" s="181"/>
      <c r="D7" s="181"/>
      <c r="E7" s="181"/>
      <c r="F7" s="181"/>
      <c r="G7" s="160">
        <v>0</v>
      </c>
      <c r="H7" s="160">
        <v>0</v>
      </c>
      <c r="I7" s="160">
        <v>1</v>
      </c>
      <c r="J7" s="160">
        <v>1</v>
      </c>
      <c r="K7" s="160">
        <v>1</v>
      </c>
      <c r="L7" s="160">
        <v>0</v>
      </c>
      <c r="M7" s="160">
        <v>1</v>
      </c>
      <c r="N7" s="160">
        <v>1</v>
      </c>
      <c r="O7" s="160">
        <v>1</v>
      </c>
      <c r="P7" s="160">
        <v>1</v>
      </c>
      <c r="Q7" s="160">
        <v>1</v>
      </c>
      <c r="R7" s="160">
        <v>1</v>
      </c>
      <c r="S7" s="160">
        <v>1</v>
      </c>
      <c r="T7" s="160">
        <v>1</v>
      </c>
      <c r="U7" s="160">
        <v>1</v>
      </c>
      <c r="V7" s="160">
        <v>0</v>
      </c>
      <c r="W7" s="160">
        <v>0</v>
      </c>
      <c r="X7" s="160">
        <v>1</v>
      </c>
      <c r="Y7" s="160">
        <v>1</v>
      </c>
      <c r="Z7" s="160">
        <v>0</v>
      </c>
      <c r="AA7" s="160">
        <v>1</v>
      </c>
      <c r="AB7" s="160">
        <v>1</v>
      </c>
      <c r="AC7" s="160">
        <v>0</v>
      </c>
      <c r="AD7" s="160">
        <v>1</v>
      </c>
      <c r="AE7" s="160">
        <v>1</v>
      </c>
      <c r="AF7" s="160">
        <v>1</v>
      </c>
      <c r="AG7" s="160">
        <v>1</v>
      </c>
      <c r="AH7" s="160">
        <v>0</v>
      </c>
      <c r="AI7" s="160">
        <v>1</v>
      </c>
      <c r="AJ7" s="160">
        <v>1</v>
      </c>
      <c r="AK7" s="160">
        <v>1</v>
      </c>
      <c r="AL7" s="160">
        <v>1</v>
      </c>
      <c r="AM7" s="160">
        <v>0</v>
      </c>
      <c r="AN7" s="160">
        <v>1</v>
      </c>
      <c r="AO7" s="270"/>
    </row>
    <row r="8" spans="1:41" s="146" customFormat="1" ht="31.5" customHeight="1" x14ac:dyDescent="0.35">
      <c r="A8" s="144"/>
      <c r="B8" s="145" t="s">
        <v>2325</v>
      </c>
      <c r="C8" s="159"/>
      <c r="D8" s="159"/>
      <c r="E8" s="159"/>
      <c r="F8" s="159"/>
      <c r="G8" s="159">
        <v>1</v>
      </c>
      <c r="H8" s="159">
        <v>1</v>
      </c>
      <c r="I8" s="159">
        <v>0</v>
      </c>
      <c r="J8" s="159">
        <v>0</v>
      </c>
      <c r="K8" s="159">
        <v>0</v>
      </c>
      <c r="L8" s="159">
        <v>1</v>
      </c>
      <c r="M8" s="159">
        <v>0</v>
      </c>
      <c r="N8" s="159">
        <v>0</v>
      </c>
      <c r="O8" s="159">
        <v>0</v>
      </c>
      <c r="P8" s="159">
        <v>0</v>
      </c>
      <c r="Q8" s="159">
        <v>0</v>
      </c>
      <c r="R8" s="159">
        <v>0</v>
      </c>
      <c r="S8" s="159">
        <v>0</v>
      </c>
      <c r="T8" s="159">
        <v>0</v>
      </c>
      <c r="U8" s="159">
        <v>0</v>
      </c>
      <c r="V8" s="159">
        <v>1</v>
      </c>
      <c r="W8" s="159">
        <v>1</v>
      </c>
      <c r="X8" s="159">
        <v>0</v>
      </c>
      <c r="Y8" s="159">
        <v>0</v>
      </c>
      <c r="Z8" s="159">
        <v>1</v>
      </c>
      <c r="AA8" s="159">
        <v>0</v>
      </c>
      <c r="AB8" s="159">
        <v>0</v>
      </c>
      <c r="AC8" s="159">
        <v>1</v>
      </c>
      <c r="AD8" s="159">
        <v>0</v>
      </c>
      <c r="AE8" s="159">
        <v>0</v>
      </c>
      <c r="AF8" s="159">
        <v>0</v>
      </c>
      <c r="AG8" s="159">
        <v>0</v>
      </c>
      <c r="AH8" s="159">
        <v>1</v>
      </c>
      <c r="AI8" s="159">
        <v>0</v>
      </c>
      <c r="AJ8" s="159">
        <v>0</v>
      </c>
      <c r="AK8" s="159">
        <v>0</v>
      </c>
      <c r="AL8" s="159">
        <v>0</v>
      </c>
      <c r="AM8" s="159">
        <v>1</v>
      </c>
      <c r="AN8" s="159">
        <v>0</v>
      </c>
      <c r="AO8" s="270"/>
    </row>
    <row r="9" spans="1:41" s="146" customFormat="1" ht="31.5" customHeight="1" x14ac:dyDescent="0.35">
      <c r="A9" s="147"/>
      <c r="B9" s="148" t="s">
        <v>2326</v>
      </c>
      <c r="C9" s="181"/>
      <c r="D9" s="181"/>
      <c r="E9" s="181"/>
      <c r="F9" s="181"/>
      <c r="G9" s="160">
        <v>0</v>
      </c>
      <c r="H9" s="160">
        <v>0</v>
      </c>
      <c r="I9" s="160">
        <v>0</v>
      </c>
      <c r="J9" s="160">
        <v>0</v>
      </c>
      <c r="K9" s="160">
        <v>0</v>
      </c>
      <c r="L9" s="160">
        <v>0</v>
      </c>
      <c r="M9" s="160">
        <v>0</v>
      </c>
      <c r="N9" s="160">
        <v>0</v>
      </c>
      <c r="O9" s="160">
        <v>0</v>
      </c>
      <c r="P9" s="160">
        <v>0</v>
      </c>
      <c r="Q9" s="160">
        <v>0</v>
      </c>
      <c r="R9" s="160">
        <v>0</v>
      </c>
      <c r="S9" s="160">
        <v>0</v>
      </c>
      <c r="T9" s="160">
        <v>0</v>
      </c>
      <c r="U9" s="160">
        <v>0</v>
      </c>
      <c r="V9" s="160">
        <v>0</v>
      </c>
      <c r="W9" s="160">
        <v>0</v>
      </c>
      <c r="X9" s="160">
        <v>0</v>
      </c>
      <c r="Y9" s="160">
        <v>0</v>
      </c>
      <c r="Z9" s="160">
        <v>0</v>
      </c>
      <c r="AA9" s="160">
        <v>0</v>
      </c>
      <c r="AB9" s="160">
        <v>0</v>
      </c>
      <c r="AC9" s="160">
        <v>0</v>
      </c>
      <c r="AD9" s="160">
        <v>0</v>
      </c>
      <c r="AE9" s="160">
        <v>0</v>
      </c>
      <c r="AF9" s="160">
        <v>0</v>
      </c>
      <c r="AG9" s="160">
        <v>0</v>
      </c>
      <c r="AH9" s="160">
        <v>0</v>
      </c>
      <c r="AI9" s="160">
        <v>0</v>
      </c>
      <c r="AJ9" s="160">
        <v>0</v>
      </c>
      <c r="AK9" s="160">
        <v>0</v>
      </c>
      <c r="AL9" s="160">
        <v>0</v>
      </c>
      <c r="AM9" s="160">
        <v>0</v>
      </c>
      <c r="AN9" s="160">
        <v>0</v>
      </c>
      <c r="AO9" s="270"/>
    </row>
    <row r="10" spans="1:41" s="146" customFormat="1" ht="31.5" customHeight="1" x14ac:dyDescent="0.35">
      <c r="A10" s="144"/>
      <c r="B10" s="145" t="s">
        <v>2327</v>
      </c>
      <c r="C10" s="159"/>
      <c r="D10" s="159"/>
      <c r="E10" s="159"/>
      <c r="F10" s="159"/>
      <c r="G10" s="159">
        <v>16</v>
      </c>
      <c r="H10" s="159">
        <v>10</v>
      </c>
      <c r="I10" s="159">
        <v>10</v>
      </c>
      <c r="J10" s="159">
        <v>19</v>
      </c>
      <c r="K10" s="159">
        <v>11</v>
      </c>
      <c r="L10" s="159">
        <v>11</v>
      </c>
      <c r="M10" s="159">
        <v>11</v>
      </c>
      <c r="N10" s="159">
        <v>14</v>
      </c>
      <c r="O10" s="159">
        <v>16</v>
      </c>
      <c r="P10" s="159">
        <v>11</v>
      </c>
      <c r="Q10" s="159">
        <v>16</v>
      </c>
      <c r="R10" s="159">
        <v>16</v>
      </c>
      <c r="S10" s="159">
        <v>20</v>
      </c>
      <c r="T10" s="159">
        <v>11</v>
      </c>
      <c r="U10" s="159">
        <v>17</v>
      </c>
      <c r="V10" s="159">
        <v>11</v>
      </c>
      <c r="W10" s="159">
        <v>12</v>
      </c>
      <c r="X10" s="159">
        <v>11</v>
      </c>
      <c r="Y10" s="159">
        <v>11</v>
      </c>
      <c r="Z10" s="159">
        <v>11</v>
      </c>
      <c r="AA10" s="159">
        <v>11</v>
      </c>
      <c r="AB10" s="159">
        <v>16</v>
      </c>
      <c r="AC10" s="159">
        <v>11</v>
      </c>
      <c r="AD10" s="159">
        <v>17</v>
      </c>
      <c r="AE10" s="159">
        <v>11</v>
      </c>
      <c r="AF10" s="159">
        <v>18</v>
      </c>
      <c r="AG10" s="159">
        <v>12</v>
      </c>
      <c r="AH10" s="159">
        <v>11</v>
      </c>
      <c r="AI10" s="159">
        <v>12</v>
      </c>
      <c r="AJ10" s="159">
        <v>10</v>
      </c>
      <c r="AK10" s="159">
        <v>11</v>
      </c>
      <c r="AL10" s="159">
        <v>11</v>
      </c>
      <c r="AM10" s="159">
        <v>13</v>
      </c>
      <c r="AN10" s="159">
        <v>8</v>
      </c>
    </row>
    <row r="11" spans="1:41" s="146" customFormat="1" ht="31.5" customHeight="1" x14ac:dyDescent="0.35">
      <c r="A11" s="147"/>
      <c r="B11" s="148" t="s">
        <v>2328</v>
      </c>
      <c r="C11" s="181"/>
      <c r="D11" s="181"/>
      <c r="E11" s="181"/>
      <c r="F11" s="181"/>
      <c r="G11" s="160">
        <v>16</v>
      </c>
      <c r="H11" s="160">
        <v>10</v>
      </c>
      <c r="I11" s="160">
        <v>10</v>
      </c>
      <c r="J11" s="160">
        <v>13</v>
      </c>
      <c r="K11" s="160">
        <v>11</v>
      </c>
      <c r="L11" s="160">
        <v>11</v>
      </c>
      <c r="M11" s="160">
        <v>11</v>
      </c>
      <c r="N11" s="160">
        <v>9</v>
      </c>
      <c r="O11" s="160">
        <v>15</v>
      </c>
      <c r="P11" s="160">
        <v>10</v>
      </c>
      <c r="Q11" s="160">
        <v>14</v>
      </c>
      <c r="R11" s="160">
        <v>16</v>
      </c>
      <c r="S11" s="160">
        <v>8</v>
      </c>
      <c r="T11" s="160">
        <v>11</v>
      </c>
      <c r="U11" s="160">
        <v>15</v>
      </c>
      <c r="V11" s="160">
        <v>11</v>
      </c>
      <c r="W11" s="160">
        <v>10</v>
      </c>
      <c r="X11" s="160">
        <v>11</v>
      </c>
      <c r="Y11" s="160">
        <v>11</v>
      </c>
      <c r="Z11" s="160">
        <v>11</v>
      </c>
      <c r="AA11" s="160">
        <v>11</v>
      </c>
      <c r="AB11" s="160">
        <v>16</v>
      </c>
      <c r="AC11" s="160">
        <v>11</v>
      </c>
      <c r="AD11" s="160">
        <v>6</v>
      </c>
      <c r="AE11" s="160">
        <v>11</v>
      </c>
      <c r="AF11" s="160">
        <v>4</v>
      </c>
      <c r="AG11" s="160">
        <v>9</v>
      </c>
      <c r="AH11" s="160">
        <v>11</v>
      </c>
      <c r="AI11" s="160">
        <v>9</v>
      </c>
      <c r="AJ11" s="160">
        <v>11</v>
      </c>
      <c r="AK11" s="160">
        <v>11</v>
      </c>
      <c r="AL11" s="160">
        <v>11</v>
      </c>
      <c r="AM11" s="160">
        <v>7</v>
      </c>
      <c r="AN11" s="160">
        <v>10</v>
      </c>
    </row>
    <row r="12" spans="1:41" s="146" customFormat="1" ht="31.5" customHeight="1" x14ac:dyDescent="0.35">
      <c r="A12" s="282"/>
      <c r="B12" s="283" t="s">
        <v>2329</v>
      </c>
      <c r="C12" s="284"/>
      <c r="D12" s="284"/>
      <c r="E12" s="284"/>
      <c r="F12" s="284"/>
      <c r="G12" s="284">
        <v>64</v>
      </c>
      <c r="H12" s="284">
        <v>40</v>
      </c>
      <c r="I12" s="284">
        <v>40</v>
      </c>
      <c r="J12" s="284">
        <v>64</v>
      </c>
      <c r="K12" s="284">
        <v>44</v>
      </c>
      <c r="L12" s="284">
        <v>44</v>
      </c>
      <c r="M12" s="284">
        <v>44</v>
      </c>
      <c r="N12" s="284">
        <v>46</v>
      </c>
      <c r="O12" s="284">
        <v>62</v>
      </c>
      <c r="P12" s="284">
        <v>40</v>
      </c>
      <c r="Q12" s="284">
        <v>58</v>
      </c>
      <c r="R12" s="284">
        <v>64</v>
      </c>
      <c r="S12" s="284">
        <v>42</v>
      </c>
      <c r="T12" s="284">
        <v>44</v>
      </c>
      <c r="U12" s="284">
        <v>62</v>
      </c>
      <c r="V12" s="284">
        <v>44</v>
      </c>
      <c r="W12" s="284">
        <v>44</v>
      </c>
      <c r="X12" s="284">
        <v>44</v>
      </c>
      <c r="Y12" s="284">
        <v>44</v>
      </c>
      <c r="Z12" s="284">
        <v>44</v>
      </c>
      <c r="AA12" s="284">
        <v>44</v>
      </c>
      <c r="AB12" s="284">
        <v>60</v>
      </c>
      <c r="AC12" s="284">
        <v>44</v>
      </c>
      <c r="AD12" s="284">
        <v>42</v>
      </c>
      <c r="AE12" s="284">
        <v>44</v>
      </c>
      <c r="AF12" s="284">
        <v>44</v>
      </c>
      <c r="AG12" s="284">
        <v>42</v>
      </c>
      <c r="AH12" s="284">
        <v>44</v>
      </c>
      <c r="AI12" s="284">
        <v>44</v>
      </c>
      <c r="AJ12" s="284">
        <v>44</v>
      </c>
      <c r="AK12" s="284">
        <v>44</v>
      </c>
      <c r="AL12" s="284">
        <v>44</v>
      </c>
      <c r="AM12" s="284">
        <v>38</v>
      </c>
      <c r="AN12" s="284">
        <v>40</v>
      </c>
    </row>
    <row r="13" spans="1:41" s="288" customFormat="1" ht="31.5" customHeight="1" x14ac:dyDescent="0.35">
      <c r="A13" s="285"/>
      <c r="B13" s="286"/>
      <c r="C13" s="287"/>
      <c r="D13" s="287"/>
      <c r="E13" s="287"/>
      <c r="F13" s="287"/>
      <c r="G13" s="287"/>
      <c r="H13" s="287"/>
      <c r="I13" s="287"/>
      <c r="J13" s="287"/>
      <c r="K13" s="287"/>
      <c r="L13" s="287"/>
      <c r="M13" s="287"/>
      <c r="N13" s="287"/>
      <c r="O13" s="287"/>
      <c r="P13" s="287"/>
      <c r="Q13" s="287"/>
      <c r="R13" s="287"/>
      <c r="S13" s="287"/>
      <c r="T13" s="287"/>
      <c r="U13" s="287"/>
      <c r="V13" s="287"/>
      <c r="W13" s="287"/>
      <c r="X13" s="287"/>
      <c r="Y13" s="287"/>
      <c r="Z13" s="287"/>
      <c r="AA13" s="287"/>
      <c r="AB13" s="287"/>
      <c r="AC13" s="287"/>
      <c r="AD13" s="287"/>
      <c r="AE13" s="287"/>
      <c r="AF13" s="287"/>
      <c r="AG13" s="287"/>
      <c r="AH13" s="287"/>
      <c r="AI13" s="287"/>
      <c r="AJ13" s="287"/>
      <c r="AK13" s="287"/>
      <c r="AL13" s="287"/>
      <c r="AM13" s="287"/>
      <c r="AN13" s="287"/>
    </row>
    <row r="14" spans="1:41" s="326" customFormat="1" ht="37.5" customHeight="1" x14ac:dyDescent="0.35">
      <c r="A14" s="378" t="s">
        <v>2792</v>
      </c>
      <c r="B14" s="379"/>
      <c r="C14" s="420" t="s">
        <v>3171</v>
      </c>
      <c r="D14" s="420"/>
      <c r="E14" s="420"/>
      <c r="F14" s="420"/>
      <c r="G14" s="332" t="s">
        <v>719</v>
      </c>
      <c r="H14" s="332" t="s">
        <v>721</v>
      </c>
      <c r="I14" s="332" t="s">
        <v>723</v>
      </c>
      <c r="J14" s="332" t="s">
        <v>724</v>
      </c>
      <c r="K14" s="332" t="s">
        <v>726</v>
      </c>
      <c r="L14" s="332" t="s">
        <v>727</v>
      </c>
      <c r="M14" s="332" t="s">
        <v>729</v>
      </c>
      <c r="N14" s="332" t="s">
        <v>731</v>
      </c>
      <c r="O14" s="332" t="s">
        <v>732</v>
      </c>
      <c r="P14" s="332" t="s">
        <v>733</v>
      </c>
      <c r="Q14" s="332" t="s">
        <v>735</v>
      </c>
      <c r="R14" s="332" t="s">
        <v>737</v>
      </c>
      <c r="S14" s="332" t="s">
        <v>738</v>
      </c>
      <c r="T14" s="332" t="s">
        <v>739</v>
      </c>
      <c r="U14" s="332" t="s">
        <v>740</v>
      </c>
      <c r="V14" s="332" t="s">
        <v>741</v>
      </c>
      <c r="W14" s="332" t="s">
        <v>742</v>
      </c>
      <c r="X14" s="332" t="s">
        <v>744</v>
      </c>
      <c r="Y14" s="332" t="s">
        <v>745</v>
      </c>
      <c r="Z14" s="332" t="s">
        <v>746</v>
      </c>
      <c r="AA14" s="332" t="s">
        <v>747</v>
      </c>
      <c r="AB14" s="332" t="s">
        <v>749</v>
      </c>
      <c r="AC14" s="332" t="s">
        <v>750</v>
      </c>
      <c r="AD14" s="332" t="s">
        <v>752</v>
      </c>
      <c r="AE14" s="332" t="s">
        <v>754</v>
      </c>
      <c r="AF14" s="332" t="s">
        <v>755</v>
      </c>
      <c r="AG14" s="332" t="s">
        <v>756</v>
      </c>
      <c r="AH14" s="332" t="s">
        <v>757</v>
      </c>
      <c r="AI14" s="332" t="s">
        <v>758</v>
      </c>
      <c r="AJ14" s="332" t="s">
        <v>789</v>
      </c>
      <c r="AK14" s="332" t="s">
        <v>761</v>
      </c>
      <c r="AL14" s="332" t="s">
        <v>762</v>
      </c>
      <c r="AM14" s="332" t="s">
        <v>764</v>
      </c>
      <c r="AN14" s="332" t="s">
        <v>766</v>
      </c>
    </row>
    <row r="15" spans="1:41" s="342" customFormat="1" ht="31.5" customHeight="1" x14ac:dyDescent="0.35">
      <c r="A15" s="419" t="s">
        <v>2330</v>
      </c>
      <c r="B15" s="419"/>
      <c r="C15" s="339">
        <v>0.55962190000000001</v>
      </c>
      <c r="D15" s="339">
        <v>0.56312499999999999</v>
      </c>
      <c r="E15" s="339">
        <v>0.32782610000000001</v>
      </c>
      <c r="F15" s="339">
        <v>0.66833339999999997</v>
      </c>
      <c r="G15" s="340">
        <v>0.58265626000000004</v>
      </c>
      <c r="H15" s="341">
        <v>0.53675002000000005</v>
      </c>
      <c r="I15" s="341">
        <v>0.62800001999999999</v>
      </c>
      <c r="J15" s="341">
        <v>0.56828122999999997</v>
      </c>
      <c r="K15" s="341">
        <v>0.62704545</v>
      </c>
      <c r="L15" s="341">
        <v>0.52318180000000003</v>
      </c>
      <c r="M15" s="341">
        <v>0.63227272000000001</v>
      </c>
      <c r="N15" s="341">
        <v>0.52347827000000002</v>
      </c>
      <c r="O15" s="341">
        <v>0.63951612000000002</v>
      </c>
      <c r="P15" s="341">
        <v>0.66833335000000005</v>
      </c>
      <c r="Q15" s="341">
        <v>0.44316666999999998</v>
      </c>
      <c r="R15" s="341">
        <v>0.55796873999999996</v>
      </c>
      <c r="S15" s="341">
        <v>0.57410717</v>
      </c>
      <c r="T15" s="341">
        <v>0.55340909999999999</v>
      </c>
      <c r="U15" s="341">
        <v>0.50546873000000003</v>
      </c>
      <c r="V15" s="341">
        <v>0.48454546999999998</v>
      </c>
      <c r="W15" s="341">
        <v>0.57340908000000002</v>
      </c>
      <c r="X15" s="341">
        <v>0.66022729999999996</v>
      </c>
      <c r="Y15" s="341">
        <v>0.49659091</v>
      </c>
      <c r="Z15" s="341">
        <v>0.59727275000000002</v>
      </c>
      <c r="AA15" s="341">
        <v>0.61500001000000004</v>
      </c>
      <c r="AB15" s="341">
        <v>0.55437499000000001</v>
      </c>
      <c r="AC15" s="341">
        <v>0.60750002000000003</v>
      </c>
      <c r="AD15" s="341">
        <v>0.32782608000000002</v>
      </c>
      <c r="AE15" s="341">
        <v>0.61613636999999999</v>
      </c>
      <c r="AF15" s="341">
        <v>0.52954542999999998</v>
      </c>
      <c r="AG15" s="341">
        <v>0.62261902999999996</v>
      </c>
      <c r="AH15" s="341">
        <v>0.52818178999999998</v>
      </c>
      <c r="AI15" s="341">
        <v>0.58904761000000005</v>
      </c>
      <c r="AJ15" s="341">
        <v>0.53523809</v>
      </c>
      <c r="AK15" s="341">
        <v>0.55000000999999998</v>
      </c>
      <c r="AL15" s="341">
        <v>0.50840907999999996</v>
      </c>
      <c r="AM15" s="341">
        <v>0.47424999000000001</v>
      </c>
      <c r="AN15" s="341">
        <v>0.59333329999999995</v>
      </c>
    </row>
    <row r="16" spans="1:41" s="146" customFormat="1" ht="31.5" customHeight="1" x14ac:dyDescent="0.35">
      <c r="A16" s="335" t="s">
        <v>2331</v>
      </c>
      <c r="B16" s="336"/>
      <c r="C16" s="337">
        <v>0.44625920000000002</v>
      </c>
      <c r="D16" s="337">
        <v>0.44863639999999999</v>
      </c>
      <c r="E16" s="337">
        <v>0.2405882</v>
      </c>
      <c r="F16" s="337">
        <v>0.56727269999999996</v>
      </c>
      <c r="G16" s="338">
        <v>0.43812500999999998</v>
      </c>
      <c r="H16" s="338">
        <v>0.41199999999999998</v>
      </c>
      <c r="I16" s="338">
        <v>0.47799998999999999</v>
      </c>
      <c r="J16" s="338">
        <v>0.50368422000000002</v>
      </c>
      <c r="K16" s="338">
        <v>0.48363634999999999</v>
      </c>
      <c r="L16" s="338">
        <v>0.41454544999999998</v>
      </c>
      <c r="M16" s="338">
        <v>0.44454545000000001</v>
      </c>
      <c r="N16" s="338">
        <v>0.37</v>
      </c>
      <c r="O16" s="338">
        <v>0.55437499000000001</v>
      </c>
      <c r="P16" s="338">
        <v>0.51363634999999996</v>
      </c>
      <c r="Q16" s="338">
        <v>0.33000001000000001</v>
      </c>
      <c r="R16" s="338">
        <v>0.38124998999999998</v>
      </c>
      <c r="S16" s="338">
        <v>0.51200002</v>
      </c>
      <c r="T16" s="338">
        <v>0.47363635999999998</v>
      </c>
      <c r="U16" s="338">
        <v>0.45411765999999998</v>
      </c>
      <c r="V16" s="338">
        <v>0.40636364000000003</v>
      </c>
      <c r="W16" s="338">
        <v>0.45916667999999999</v>
      </c>
      <c r="X16" s="338">
        <v>0.56727271999999995</v>
      </c>
      <c r="Y16" s="338">
        <v>0.36636363999999999</v>
      </c>
      <c r="Z16" s="338">
        <v>0.45272726000000002</v>
      </c>
      <c r="AA16" s="338">
        <v>0.42545455999999998</v>
      </c>
      <c r="AB16" s="338">
        <v>0.44312500999999999</v>
      </c>
      <c r="AC16" s="338">
        <v>0.51999998000000003</v>
      </c>
      <c r="AD16" s="338">
        <v>0.24058822999999999</v>
      </c>
      <c r="AE16" s="338">
        <v>0.54363638000000003</v>
      </c>
      <c r="AF16" s="338">
        <v>0.51833331999999999</v>
      </c>
      <c r="AG16" s="338">
        <v>0.49166666999999997</v>
      </c>
      <c r="AH16" s="338">
        <v>0.38181818000000001</v>
      </c>
      <c r="AI16" s="338">
        <v>0.52999996999999999</v>
      </c>
      <c r="AJ16" s="338">
        <v>0.41499998999999999</v>
      </c>
      <c r="AK16" s="338">
        <v>0.41818180999999999</v>
      </c>
      <c r="AL16" s="338">
        <v>0.41090908999999998</v>
      </c>
      <c r="AM16" s="338">
        <v>0.35615384999999999</v>
      </c>
      <c r="AN16" s="338">
        <v>0.46250001000000002</v>
      </c>
    </row>
    <row r="17" spans="1:41" s="150" customFormat="1" ht="31.5" customHeight="1" x14ac:dyDescent="0.35">
      <c r="A17" s="149">
        <v>1</v>
      </c>
      <c r="B17" s="90" t="s">
        <v>2332</v>
      </c>
      <c r="C17" s="183">
        <v>0.44625920000000002</v>
      </c>
      <c r="D17" s="183">
        <v>0.44863639999999999</v>
      </c>
      <c r="E17" s="183">
        <v>0.2405882</v>
      </c>
      <c r="F17" s="183">
        <v>0.56727269999999996</v>
      </c>
      <c r="G17" s="164">
        <v>0.43812500999999998</v>
      </c>
      <c r="H17" s="164">
        <v>0.41199999999999998</v>
      </c>
      <c r="I17" s="164">
        <v>0.47799998999999999</v>
      </c>
      <c r="J17" s="164">
        <v>0.50368422000000002</v>
      </c>
      <c r="K17" s="164">
        <v>0.48363634999999999</v>
      </c>
      <c r="L17" s="164">
        <v>0.41454544999999998</v>
      </c>
      <c r="M17" s="164">
        <v>0.44454545000000001</v>
      </c>
      <c r="N17" s="164">
        <v>0.37</v>
      </c>
      <c r="O17" s="164">
        <v>0.55437499000000001</v>
      </c>
      <c r="P17" s="164">
        <v>0.51363634999999996</v>
      </c>
      <c r="Q17" s="164">
        <v>0.33000001000000001</v>
      </c>
      <c r="R17" s="164">
        <v>0.38124998999999998</v>
      </c>
      <c r="S17" s="164">
        <v>0.51200002</v>
      </c>
      <c r="T17" s="164">
        <v>0.47363635999999998</v>
      </c>
      <c r="U17" s="164">
        <v>0.45411765999999998</v>
      </c>
      <c r="V17" s="164">
        <v>0.40636364000000003</v>
      </c>
      <c r="W17" s="164">
        <v>0.45916667999999999</v>
      </c>
      <c r="X17" s="164">
        <v>0.56727271999999995</v>
      </c>
      <c r="Y17" s="164">
        <v>0.36636363999999999</v>
      </c>
      <c r="Z17" s="164">
        <v>0.45272726000000002</v>
      </c>
      <c r="AA17" s="164">
        <v>0.42545455999999998</v>
      </c>
      <c r="AB17" s="164">
        <v>0.44312500999999999</v>
      </c>
      <c r="AC17" s="164">
        <v>0.51999998000000003</v>
      </c>
      <c r="AD17" s="164">
        <v>0.24058822999999999</v>
      </c>
      <c r="AE17" s="164">
        <v>0.54363638000000003</v>
      </c>
      <c r="AF17" s="164">
        <v>0.51833331999999999</v>
      </c>
      <c r="AG17" s="164">
        <v>0.49166666999999997</v>
      </c>
      <c r="AH17" s="164">
        <v>0.38181818000000001</v>
      </c>
      <c r="AI17" s="164">
        <v>0.52999996999999999</v>
      </c>
      <c r="AJ17" s="164">
        <v>0.41499998999999999</v>
      </c>
      <c r="AK17" s="164">
        <v>0.41818180999999999</v>
      </c>
      <c r="AL17" s="164">
        <v>0.41090908999999998</v>
      </c>
      <c r="AM17" s="164">
        <v>0.35615384999999999</v>
      </c>
      <c r="AN17" s="164">
        <v>0.46250001000000002</v>
      </c>
    </row>
    <row r="18" spans="1:41" s="146" customFormat="1" ht="31.5" customHeight="1" x14ac:dyDescent="0.35">
      <c r="A18" s="147" t="s">
        <v>2333</v>
      </c>
      <c r="B18" s="148"/>
      <c r="C18" s="182">
        <v>0.6906871</v>
      </c>
      <c r="D18" s="182">
        <v>0.69110389999999999</v>
      </c>
      <c r="E18" s="182">
        <v>0.56272730000000004</v>
      </c>
      <c r="F18" s="182">
        <v>0.83850000000000002</v>
      </c>
      <c r="G18" s="163">
        <v>0.72718751000000004</v>
      </c>
      <c r="H18" s="163">
        <v>0.66149997999999999</v>
      </c>
      <c r="I18" s="163">
        <v>0.77800000000000002</v>
      </c>
      <c r="J18" s="163">
        <v>0.66269230999999995</v>
      </c>
      <c r="K18" s="163">
        <v>0.77045452999999997</v>
      </c>
      <c r="L18" s="163">
        <v>0.63181818000000001</v>
      </c>
      <c r="M18" s="163">
        <v>0.81999999000000001</v>
      </c>
      <c r="N18" s="163">
        <v>0.76222223</v>
      </c>
      <c r="O18" s="163">
        <v>0.73033333</v>
      </c>
      <c r="P18" s="163">
        <v>0.83850002000000001</v>
      </c>
      <c r="Q18" s="163">
        <v>0.57249998999999996</v>
      </c>
      <c r="R18" s="163">
        <v>0.73468750999999999</v>
      </c>
      <c r="S18" s="163">
        <v>0.729375</v>
      </c>
      <c r="T18" s="163">
        <v>0.63318180999999996</v>
      </c>
      <c r="U18" s="163">
        <v>0.56366664</v>
      </c>
      <c r="V18" s="163">
        <v>0.56272727</v>
      </c>
      <c r="W18" s="163">
        <v>0.71050000000000002</v>
      </c>
      <c r="X18" s="163">
        <v>0.75318182</v>
      </c>
      <c r="Y18" s="163">
        <v>0.62681818</v>
      </c>
      <c r="Z18" s="163">
        <v>0.74181819000000004</v>
      </c>
      <c r="AA18" s="163">
        <v>0.80454546000000005</v>
      </c>
      <c r="AB18" s="163">
        <v>0.66562498000000003</v>
      </c>
      <c r="AC18" s="163">
        <v>0.69499999000000001</v>
      </c>
      <c r="AD18" s="163">
        <v>0.57499999000000002</v>
      </c>
      <c r="AE18" s="163">
        <v>0.68863635999999995</v>
      </c>
      <c r="AF18" s="163">
        <v>0.57999997999999997</v>
      </c>
      <c r="AG18" s="163">
        <v>0.79722219999999999</v>
      </c>
      <c r="AH18" s="163">
        <v>0.67454546999999998</v>
      </c>
      <c r="AI18" s="163">
        <v>0.66777777999999999</v>
      </c>
      <c r="AJ18" s="163">
        <v>0.64454544000000003</v>
      </c>
      <c r="AK18" s="163">
        <v>0.68181818999999999</v>
      </c>
      <c r="AL18" s="163">
        <v>0.60590911000000003</v>
      </c>
      <c r="AM18" s="163">
        <v>0.69357144999999998</v>
      </c>
      <c r="AN18" s="163">
        <v>0.69800001</v>
      </c>
    </row>
    <row r="19" spans="1:41" s="150" customFormat="1" ht="31.5" customHeight="1" x14ac:dyDescent="0.35">
      <c r="A19" s="95">
        <v>1</v>
      </c>
      <c r="B19" s="151" t="s">
        <v>2332</v>
      </c>
      <c r="C19" s="183">
        <v>0.74149659999999995</v>
      </c>
      <c r="D19" s="183">
        <v>0.74494950000000004</v>
      </c>
      <c r="E19" s="183">
        <v>0.52777779999999996</v>
      </c>
      <c r="F19" s="183">
        <v>0.9393939</v>
      </c>
      <c r="G19" s="164">
        <v>0.78125</v>
      </c>
      <c r="H19" s="164">
        <v>0.76111114000000002</v>
      </c>
      <c r="I19" s="164">
        <v>0.83333330999999999</v>
      </c>
      <c r="J19" s="164">
        <v>0.70512819000000004</v>
      </c>
      <c r="K19" s="164">
        <v>0.74747472999999998</v>
      </c>
      <c r="L19" s="164">
        <v>0.73232322999999999</v>
      </c>
      <c r="M19" s="164">
        <v>0.76262629000000004</v>
      </c>
      <c r="N19" s="164">
        <v>0.90123456999999996</v>
      </c>
      <c r="O19" s="164">
        <v>0.88518518000000002</v>
      </c>
      <c r="P19" s="164">
        <v>0.91111112000000005</v>
      </c>
      <c r="Q19" s="164">
        <v>0.60317463000000004</v>
      </c>
      <c r="R19" s="164">
        <v>0.71180558000000005</v>
      </c>
      <c r="S19" s="164">
        <v>0.88888889999999998</v>
      </c>
      <c r="T19" s="164">
        <v>0.67171716999999997</v>
      </c>
      <c r="U19" s="164">
        <v>0.59259260000000002</v>
      </c>
      <c r="V19" s="164">
        <v>0.59090905999999999</v>
      </c>
      <c r="W19" s="164">
        <v>0.71111113000000004</v>
      </c>
      <c r="X19" s="164">
        <v>0.83333330999999999</v>
      </c>
      <c r="Y19" s="164">
        <v>0.64646464999999997</v>
      </c>
      <c r="Z19" s="164">
        <v>0.75252527000000002</v>
      </c>
      <c r="AA19" s="164">
        <v>0.93939393999999998</v>
      </c>
      <c r="AB19" s="164">
        <v>0.70486110000000002</v>
      </c>
      <c r="AC19" s="164">
        <v>0.75252527000000002</v>
      </c>
      <c r="AD19" s="164">
        <v>0.61111110000000002</v>
      </c>
      <c r="AE19" s="164">
        <v>0.75757574999999999</v>
      </c>
      <c r="AF19" s="164">
        <v>0.52777779000000002</v>
      </c>
      <c r="AG19" s="164">
        <v>0.91358024000000004</v>
      </c>
      <c r="AH19" s="164">
        <v>0.74242425000000001</v>
      </c>
      <c r="AI19" s="164">
        <v>0.75925927999999998</v>
      </c>
      <c r="AJ19" s="164">
        <v>0.69191921000000001</v>
      </c>
      <c r="AK19" s="164">
        <v>0.73232322999999999</v>
      </c>
      <c r="AL19" s="164">
        <v>0.62626261000000005</v>
      </c>
      <c r="AM19" s="164">
        <v>0.81746030000000003</v>
      </c>
      <c r="AN19" s="164">
        <v>0.61111110000000002</v>
      </c>
    </row>
    <row r="20" spans="1:41" s="153" customFormat="1" ht="31.5" customHeight="1" x14ac:dyDescent="0.35">
      <c r="A20" s="96">
        <v>2</v>
      </c>
      <c r="B20" s="152" t="s">
        <v>2334</v>
      </c>
      <c r="C20" s="184">
        <v>0.63104110000000002</v>
      </c>
      <c r="D20" s="184">
        <v>0.6102919</v>
      </c>
      <c r="E20" s="184">
        <v>0.51383400000000001</v>
      </c>
      <c r="F20" s="184">
        <v>0.88735180000000002</v>
      </c>
      <c r="G20" s="165">
        <v>0.66372281</v>
      </c>
      <c r="H20" s="165">
        <v>0.54456519999999997</v>
      </c>
      <c r="I20" s="165">
        <v>0.71304345000000002</v>
      </c>
      <c r="J20" s="165">
        <v>0.61287623999999996</v>
      </c>
      <c r="K20" s="165">
        <v>0.79743081000000005</v>
      </c>
      <c r="L20" s="165">
        <v>0.51383400000000001</v>
      </c>
      <c r="M20" s="165">
        <v>0.88735174999999999</v>
      </c>
      <c r="N20" s="165">
        <v>0.59903382999999999</v>
      </c>
      <c r="O20" s="165">
        <v>0.54855072999999999</v>
      </c>
      <c r="P20" s="165">
        <v>0.75326084999999998</v>
      </c>
      <c r="Q20" s="165">
        <v>0.53649068</v>
      </c>
      <c r="R20" s="165">
        <v>0.76154893999999995</v>
      </c>
      <c r="S20" s="165">
        <v>0.54211955999999994</v>
      </c>
      <c r="T20" s="165">
        <v>0.58794469000000005</v>
      </c>
      <c r="U20" s="165">
        <v>0.52971016999999998</v>
      </c>
      <c r="V20" s="165">
        <v>0.52964425000000004</v>
      </c>
      <c r="W20" s="165">
        <v>0.70978260000000004</v>
      </c>
      <c r="X20" s="165">
        <v>0.65909094000000001</v>
      </c>
      <c r="Y20" s="165">
        <v>0.60375493999999996</v>
      </c>
      <c r="Z20" s="165">
        <v>0.72924900000000004</v>
      </c>
      <c r="AA20" s="165">
        <v>0.64624506000000004</v>
      </c>
      <c r="AB20" s="165">
        <v>0.61956518999999999</v>
      </c>
      <c r="AC20" s="165">
        <v>0.62747037000000006</v>
      </c>
      <c r="AD20" s="165">
        <v>0.53260869</v>
      </c>
      <c r="AE20" s="165">
        <v>0.60770749999999996</v>
      </c>
      <c r="AF20" s="165">
        <v>0.64130436999999996</v>
      </c>
      <c r="AG20" s="165">
        <v>0.66062801999999998</v>
      </c>
      <c r="AH20" s="165">
        <v>0.59486169</v>
      </c>
      <c r="AI20" s="165">
        <v>0.56038648000000002</v>
      </c>
      <c r="AJ20" s="165">
        <v>0.58893280999999997</v>
      </c>
      <c r="AK20" s="165">
        <v>0.62252962999999994</v>
      </c>
      <c r="AL20" s="165">
        <v>0.58201581000000002</v>
      </c>
      <c r="AM20" s="165">
        <v>0.54813665</v>
      </c>
      <c r="AN20" s="165">
        <v>0.80000000999999998</v>
      </c>
    </row>
    <row r="21" spans="1:41" s="119" customFormat="1" ht="31.5" customHeight="1" x14ac:dyDescent="0.35">
      <c r="A21" s="418" t="s">
        <v>2335</v>
      </c>
      <c r="B21" s="418"/>
      <c r="C21" s="180">
        <v>0.44756509999999999</v>
      </c>
      <c r="D21" s="180">
        <v>0.43414770000000003</v>
      </c>
      <c r="E21" s="180">
        <v>0.23857139999999999</v>
      </c>
      <c r="F21" s="180">
        <v>0.67068179999999999</v>
      </c>
      <c r="G21" s="161">
        <v>0.33460939000000001</v>
      </c>
      <c r="H21" s="162">
        <v>0.39187499999999997</v>
      </c>
      <c r="I21" s="162">
        <v>0.53237498000000005</v>
      </c>
      <c r="J21" s="162">
        <v>0.42500000999999998</v>
      </c>
      <c r="K21" s="162">
        <v>0.53079546</v>
      </c>
      <c r="L21" s="162">
        <v>0.56999999000000001</v>
      </c>
      <c r="M21" s="162">
        <v>0.44329544999999998</v>
      </c>
      <c r="N21" s="162">
        <v>0.41804345999999998</v>
      </c>
      <c r="O21" s="162">
        <v>0.26741936999999999</v>
      </c>
      <c r="P21" s="162">
        <v>0.46562499000000002</v>
      </c>
      <c r="Q21" s="162">
        <v>0.30810344000000001</v>
      </c>
      <c r="R21" s="162">
        <v>0.41765624000000001</v>
      </c>
      <c r="S21" s="162">
        <v>0.56952380999999996</v>
      </c>
      <c r="T21" s="162">
        <v>0.51625001000000004</v>
      </c>
      <c r="U21" s="162">
        <v>0.27524194000000002</v>
      </c>
      <c r="V21" s="162">
        <v>0.54124998999999996</v>
      </c>
      <c r="W21" s="162">
        <v>0.60818183000000003</v>
      </c>
      <c r="X21" s="162">
        <v>0.65681820999999996</v>
      </c>
      <c r="Y21" s="162">
        <v>0.32988637999999998</v>
      </c>
      <c r="Z21" s="162">
        <v>0.67068183000000003</v>
      </c>
      <c r="AA21" s="162">
        <v>0.63284092999999997</v>
      </c>
      <c r="AB21" s="162">
        <v>0.29991665000000001</v>
      </c>
      <c r="AC21" s="162">
        <v>0.56602275000000002</v>
      </c>
      <c r="AD21" s="162">
        <v>0.23857144</v>
      </c>
      <c r="AE21" s="162">
        <v>0.37068182</v>
      </c>
      <c r="AF21" s="162">
        <v>0.40284091</v>
      </c>
      <c r="AG21" s="162">
        <v>0.38380954</v>
      </c>
      <c r="AH21" s="162">
        <v>0.25670453999999998</v>
      </c>
      <c r="AI21" s="162">
        <v>0.37079546000000002</v>
      </c>
      <c r="AJ21" s="162">
        <v>0.37</v>
      </c>
      <c r="AK21" s="162">
        <v>0.56647729999999996</v>
      </c>
      <c r="AL21" s="162">
        <v>0.45795456000000001</v>
      </c>
      <c r="AM21" s="162">
        <v>0.52434212000000002</v>
      </c>
      <c r="AN21" s="162">
        <v>0.50362498</v>
      </c>
    </row>
    <row r="22" spans="1:41" s="153" customFormat="1" ht="31.5" customHeight="1" x14ac:dyDescent="0.35">
      <c r="A22" s="149" t="s">
        <v>2336</v>
      </c>
      <c r="B22" s="151" t="s">
        <v>2337</v>
      </c>
      <c r="C22" s="183">
        <v>0.50418719999999995</v>
      </c>
      <c r="D22" s="183">
        <v>0.4760721</v>
      </c>
      <c r="E22" s="183">
        <v>0.3030602</v>
      </c>
      <c r="F22" s="183">
        <v>0.77877359999999995</v>
      </c>
      <c r="G22" s="166">
        <v>0.37339842000000001</v>
      </c>
      <c r="H22" s="166">
        <v>0.40661478000000001</v>
      </c>
      <c r="I22" s="166">
        <v>0.625</v>
      </c>
      <c r="J22" s="166">
        <v>0.48147057999999998</v>
      </c>
      <c r="K22" s="166">
        <v>0.59355961999999995</v>
      </c>
      <c r="L22" s="166">
        <v>0.66808873000000002</v>
      </c>
      <c r="M22" s="166">
        <v>0.47867298000000003</v>
      </c>
      <c r="N22" s="166">
        <v>0.51062088999999999</v>
      </c>
      <c r="O22" s="166">
        <v>0.31871167</v>
      </c>
      <c r="P22" s="166">
        <v>0.58017927000000002</v>
      </c>
      <c r="Q22" s="166">
        <v>0.38507934999999999</v>
      </c>
      <c r="R22" s="166">
        <v>0.46869069000000002</v>
      </c>
      <c r="S22" s="166">
        <v>0.63004035000000003</v>
      </c>
      <c r="T22" s="166">
        <v>0.47219649000000002</v>
      </c>
      <c r="U22" s="166">
        <v>0.32023193999999999</v>
      </c>
      <c r="V22" s="166">
        <v>0.55590910000000004</v>
      </c>
      <c r="W22" s="166">
        <v>0.68879997999999998</v>
      </c>
      <c r="X22" s="166">
        <v>0.71153843000000006</v>
      </c>
      <c r="Y22" s="166">
        <v>0.36635515000000002</v>
      </c>
      <c r="Z22" s="166">
        <v>0.77877361000000001</v>
      </c>
      <c r="AA22" s="166">
        <v>0.74443495000000004</v>
      </c>
      <c r="AB22" s="166">
        <v>0.34327847</v>
      </c>
      <c r="AC22" s="166">
        <v>0.58716029000000003</v>
      </c>
      <c r="AD22" s="166">
        <v>0.3030602</v>
      </c>
      <c r="AE22" s="166">
        <v>0.45273402000000001</v>
      </c>
      <c r="AF22" s="166">
        <v>0.47347122000000003</v>
      </c>
      <c r="AG22" s="166">
        <v>0.45019724999999999</v>
      </c>
      <c r="AH22" s="166">
        <v>0.35518157</v>
      </c>
      <c r="AI22" s="166">
        <v>0.41001946</v>
      </c>
      <c r="AJ22" s="166">
        <v>0.45742905</v>
      </c>
      <c r="AK22" s="166">
        <v>0.62355554000000002</v>
      </c>
      <c r="AL22" s="166">
        <v>0.45895850999999999</v>
      </c>
      <c r="AM22" s="166">
        <v>0.53928953000000002</v>
      </c>
      <c r="AN22" s="166">
        <v>0.52966100000000005</v>
      </c>
    </row>
    <row r="23" spans="1:41" s="153" customFormat="1" ht="31.5" customHeight="1" x14ac:dyDescent="0.35">
      <c r="A23" s="154" t="s">
        <v>2338</v>
      </c>
      <c r="B23" s="152" t="s">
        <v>2339</v>
      </c>
      <c r="C23" s="184">
        <v>0.44419029999999998</v>
      </c>
      <c r="D23" s="184">
        <v>0.42333809999999999</v>
      </c>
      <c r="E23" s="184">
        <v>0.1886727</v>
      </c>
      <c r="F23" s="184">
        <v>0.65666670000000005</v>
      </c>
      <c r="G23" s="255">
        <v>0.31803169999999997</v>
      </c>
      <c r="H23" s="255">
        <v>0.43623804999999999</v>
      </c>
      <c r="I23" s="255">
        <v>0.52216214000000005</v>
      </c>
      <c r="J23" s="255">
        <v>0.40085638000000001</v>
      </c>
      <c r="K23" s="255">
        <v>0.61707318</v>
      </c>
      <c r="L23" s="255">
        <v>0.61361456000000003</v>
      </c>
      <c r="M23" s="255">
        <v>0.38862783000000001</v>
      </c>
      <c r="N23" s="255">
        <v>0.40733773000000001</v>
      </c>
      <c r="O23" s="255">
        <v>0.18867269</v>
      </c>
      <c r="P23" s="255">
        <v>0.49411765000000002</v>
      </c>
      <c r="Q23" s="255">
        <v>0.29830383999999999</v>
      </c>
      <c r="R23" s="255">
        <v>0.41043815</v>
      </c>
      <c r="S23" s="255">
        <v>0.59044713000000004</v>
      </c>
      <c r="T23" s="255">
        <v>0.49715369999999998</v>
      </c>
      <c r="U23" s="255">
        <v>0.24509803999999999</v>
      </c>
      <c r="V23" s="255">
        <v>0.57560973999999998</v>
      </c>
      <c r="W23" s="255">
        <v>0.62343901000000002</v>
      </c>
      <c r="X23" s="255">
        <v>0.65252524999999995</v>
      </c>
      <c r="Y23" s="255">
        <v>0.27706691999999999</v>
      </c>
      <c r="Z23" s="255">
        <v>0.65666670000000005</v>
      </c>
      <c r="AA23" s="255">
        <v>0.63872832000000002</v>
      </c>
      <c r="AB23" s="255">
        <v>0.38035962000000001</v>
      </c>
      <c r="AC23" s="255">
        <v>0.57495253999999996</v>
      </c>
      <c r="AD23" s="255">
        <v>0.26195425</v>
      </c>
      <c r="AE23" s="255">
        <v>0.38249999000000001</v>
      </c>
      <c r="AF23" s="255">
        <v>0.38499024999999998</v>
      </c>
      <c r="AG23" s="255">
        <v>0.34052631</v>
      </c>
      <c r="AH23" s="255">
        <v>0.22908561</v>
      </c>
      <c r="AI23" s="255">
        <v>0.30837438</v>
      </c>
      <c r="AJ23" s="255">
        <v>0.32264334</v>
      </c>
      <c r="AK23" s="255">
        <v>0.57383549</v>
      </c>
      <c r="AL23" s="255">
        <v>0.53754944000000005</v>
      </c>
      <c r="AM23" s="255">
        <v>0.49286562</v>
      </c>
      <c r="AN23" s="255">
        <v>0.46062567999999998</v>
      </c>
      <c r="AO23" s="256"/>
    </row>
    <row r="24" spans="1:41" s="153" customFormat="1" ht="31.5" customHeight="1" x14ac:dyDescent="0.35">
      <c r="A24" s="149" t="s">
        <v>2340</v>
      </c>
      <c r="B24" s="151" t="s">
        <v>2341</v>
      </c>
      <c r="C24" s="183">
        <v>0.61021630000000004</v>
      </c>
      <c r="D24" s="183">
        <v>0.61771889999999996</v>
      </c>
      <c r="E24" s="183">
        <v>0.33141209999999999</v>
      </c>
      <c r="F24" s="183">
        <v>0.87168140000000005</v>
      </c>
      <c r="G24" s="257">
        <v>0.52653927</v>
      </c>
      <c r="H24" s="257">
        <v>0.63716817000000003</v>
      </c>
      <c r="I24" s="257">
        <v>0.67525774000000005</v>
      </c>
      <c r="J24" s="257">
        <v>0.61979169000000001</v>
      </c>
      <c r="K24" s="257">
        <v>0.65430266000000004</v>
      </c>
      <c r="L24" s="257">
        <v>0.73313344000000003</v>
      </c>
      <c r="M24" s="257">
        <v>0.71582179999999995</v>
      </c>
      <c r="N24" s="257">
        <v>0.61356931999999997</v>
      </c>
      <c r="O24" s="257">
        <v>0.49196141999999998</v>
      </c>
      <c r="P24" s="257">
        <v>0.55873494999999995</v>
      </c>
      <c r="Q24" s="257">
        <v>0.36201116</v>
      </c>
      <c r="R24" s="257">
        <v>0.62536871000000005</v>
      </c>
      <c r="S24" s="257">
        <v>0.59264707999999999</v>
      </c>
      <c r="T24" s="257">
        <v>0.87168139</v>
      </c>
      <c r="U24" s="257">
        <v>0.49222797000000001</v>
      </c>
      <c r="V24" s="257">
        <v>0.72873902000000002</v>
      </c>
      <c r="W24" s="257">
        <v>0.69999999000000002</v>
      </c>
      <c r="X24" s="257">
        <v>0.72166425000000001</v>
      </c>
      <c r="Y24" s="257">
        <v>0.65731167999999995</v>
      </c>
      <c r="Z24" s="257">
        <v>0.85833334999999999</v>
      </c>
      <c r="AA24" s="257">
        <v>0.73065477999999995</v>
      </c>
      <c r="AB24" s="257">
        <v>0.41878452999999999</v>
      </c>
      <c r="AC24" s="257">
        <v>0.74261606000000002</v>
      </c>
      <c r="AD24" s="257">
        <v>0.33141210999999998</v>
      </c>
      <c r="AE24" s="257">
        <v>0.48295452999999999</v>
      </c>
      <c r="AF24" s="257">
        <v>0.49025488</v>
      </c>
      <c r="AG24" s="257">
        <v>0.61142856000000001</v>
      </c>
      <c r="AH24" s="257">
        <v>0.46814813999999999</v>
      </c>
      <c r="AI24" s="257">
        <v>0.57022470000000003</v>
      </c>
      <c r="AJ24" s="257">
        <v>0.45259938</v>
      </c>
      <c r="AK24" s="257">
        <v>0.66273934000000001</v>
      </c>
      <c r="AL24" s="257">
        <v>0.59169053999999999</v>
      </c>
      <c r="AM24" s="257">
        <v>0.74193549000000003</v>
      </c>
      <c r="AN24" s="257">
        <v>0.61564624000000001</v>
      </c>
      <c r="AO24" s="256"/>
    </row>
    <row r="25" spans="1:41" s="153" customFormat="1" ht="31.5" customHeight="1" x14ac:dyDescent="0.35">
      <c r="A25" s="154" t="s">
        <v>2342</v>
      </c>
      <c r="B25" s="152" t="s">
        <v>2343</v>
      </c>
      <c r="C25" s="184">
        <v>0.37668659999999998</v>
      </c>
      <c r="D25" s="184">
        <v>0.37212679999999998</v>
      </c>
      <c r="E25" s="184">
        <v>0.1096154</v>
      </c>
      <c r="F25" s="184">
        <v>0.64552240000000005</v>
      </c>
      <c r="G25" s="255">
        <v>0.27170870000000003</v>
      </c>
      <c r="H25" s="255">
        <v>0.27235773000000002</v>
      </c>
      <c r="I25" s="255">
        <v>0.50523560999999995</v>
      </c>
      <c r="J25" s="255">
        <v>0.43389830000000001</v>
      </c>
      <c r="K25" s="255">
        <v>0.36480686000000001</v>
      </c>
      <c r="L25" s="255">
        <v>0.47631580000000001</v>
      </c>
      <c r="M25" s="255">
        <v>0.35185185000000002</v>
      </c>
      <c r="N25" s="255">
        <v>0.24603174999999999</v>
      </c>
      <c r="O25" s="255">
        <v>0.18051576999999999</v>
      </c>
      <c r="P25" s="255">
        <v>0.29904306000000003</v>
      </c>
      <c r="Q25" s="255">
        <v>0.31439393999999998</v>
      </c>
      <c r="R25" s="255">
        <v>0.35842292999999997</v>
      </c>
      <c r="S25" s="255">
        <v>0.58730161000000003</v>
      </c>
      <c r="T25" s="255">
        <v>0.47982064000000002</v>
      </c>
      <c r="U25" s="255">
        <v>0.26332288999999998</v>
      </c>
      <c r="V25" s="255">
        <v>0.4507874</v>
      </c>
      <c r="W25" s="255">
        <v>0.48453607999999998</v>
      </c>
      <c r="X25" s="255">
        <v>0.64552242000000004</v>
      </c>
      <c r="Y25" s="255">
        <v>0.26288657999999998</v>
      </c>
      <c r="Z25" s="255">
        <v>0.61353712999999999</v>
      </c>
      <c r="AA25" s="255">
        <v>0.48529410000000001</v>
      </c>
      <c r="AB25" s="255">
        <v>0.21296297</v>
      </c>
      <c r="AC25" s="255">
        <v>0.46774194000000002</v>
      </c>
      <c r="AD25" s="255">
        <v>0.10961538999999999</v>
      </c>
      <c r="AE25" s="255">
        <v>0.35251799</v>
      </c>
      <c r="AF25" s="255">
        <v>0.37944663000000001</v>
      </c>
      <c r="AG25" s="255">
        <v>0.22794117</v>
      </c>
      <c r="AH25" s="255">
        <v>0.11111111</v>
      </c>
      <c r="AI25" s="255">
        <v>0.40740739999999998</v>
      </c>
      <c r="AJ25" s="255">
        <v>0.32207205999999999</v>
      </c>
      <c r="AK25" s="255">
        <v>0.52895755</v>
      </c>
      <c r="AL25" s="255">
        <v>0.40495867000000002</v>
      </c>
      <c r="AM25" s="255">
        <v>0.51984125000000003</v>
      </c>
      <c r="AN25" s="255">
        <v>0.41517857000000002</v>
      </c>
      <c r="AO25" s="256"/>
    </row>
    <row r="26" spans="1:41" s="153" customFormat="1" ht="31.5" customHeight="1" x14ac:dyDescent="0.35">
      <c r="A26" s="149" t="s">
        <v>2344</v>
      </c>
      <c r="B26" s="151" t="s">
        <v>2345</v>
      </c>
      <c r="C26" s="183">
        <v>0.32169629999999999</v>
      </c>
      <c r="D26" s="183">
        <v>0.31179970000000001</v>
      </c>
      <c r="E26" s="183">
        <v>0.1137218</v>
      </c>
      <c r="F26" s="183">
        <v>0.56243949999999998</v>
      </c>
      <c r="G26" s="257">
        <v>0.22501571000000001</v>
      </c>
      <c r="H26" s="257">
        <v>0.25154003000000003</v>
      </c>
      <c r="I26" s="257">
        <v>0.36894163000000002</v>
      </c>
      <c r="J26" s="257">
        <v>0.27083333999999998</v>
      </c>
      <c r="K26" s="257">
        <v>0.37753220999999998</v>
      </c>
      <c r="L26" s="257">
        <v>0.36467486999999998</v>
      </c>
      <c r="M26" s="257">
        <v>0.34495413000000003</v>
      </c>
      <c r="N26" s="257">
        <v>0.28735632</v>
      </c>
      <c r="O26" s="257">
        <v>0.18799999000000001</v>
      </c>
      <c r="P26" s="257">
        <v>0.32890703999999998</v>
      </c>
      <c r="Q26" s="257">
        <v>0.19778699999999999</v>
      </c>
      <c r="R26" s="257">
        <v>0.27127658999999998</v>
      </c>
      <c r="S26" s="257">
        <v>0.46826922999999998</v>
      </c>
      <c r="T26" s="257">
        <v>0.37882766000000001</v>
      </c>
      <c r="U26" s="257">
        <v>0.1302682</v>
      </c>
      <c r="V26" s="257">
        <v>0.41843319000000001</v>
      </c>
      <c r="W26" s="257">
        <v>0.49409628</v>
      </c>
      <c r="X26" s="257">
        <v>0.56243949999999998</v>
      </c>
      <c r="Y26" s="257">
        <v>0.17061612000000001</v>
      </c>
      <c r="Z26" s="257">
        <v>0.48291367000000002</v>
      </c>
      <c r="AA26" s="257">
        <v>0.50538598999999995</v>
      </c>
      <c r="AB26" s="257">
        <v>0.15035644000000001</v>
      </c>
      <c r="AC26" s="257">
        <v>0.46472662999999997</v>
      </c>
      <c r="AD26" s="257">
        <v>0.15430267</v>
      </c>
      <c r="AE26" s="257">
        <v>0.21112159</v>
      </c>
      <c r="AF26" s="257">
        <v>0.30486685000000002</v>
      </c>
      <c r="AG26" s="257">
        <v>0.28225805999999998</v>
      </c>
      <c r="AH26" s="257">
        <v>0.1137218</v>
      </c>
      <c r="AI26" s="257">
        <v>0.23691723000000001</v>
      </c>
      <c r="AJ26" s="257">
        <v>0.28744185</v>
      </c>
      <c r="AK26" s="257">
        <v>0.45650139000000001</v>
      </c>
      <c r="AL26" s="257">
        <v>0.31873253000000001</v>
      </c>
      <c r="AM26" s="257">
        <v>0.37942857000000002</v>
      </c>
      <c r="AN26" s="257">
        <v>0.48923077999999998</v>
      </c>
      <c r="AO26" s="256"/>
    </row>
    <row r="27" spans="1:41" s="146" customFormat="1" ht="31.5" customHeight="1" x14ac:dyDescent="0.35">
      <c r="A27" s="147" t="s">
        <v>2346</v>
      </c>
      <c r="B27" s="148"/>
      <c r="C27" s="182">
        <v>0.46240579999999998</v>
      </c>
      <c r="D27" s="182">
        <v>0.44950000000000001</v>
      </c>
      <c r="E27" s="182">
        <v>0.23</v>
      </c>
      <c r="F27" s="182">
        <v>0.76200000000000001</v>
      </c>
      <c r="G27" s="163">
        <v>0.42375001000000001</v>
      </c>
      <c r="H27" s="163">
        <v>0.44333333000000003</v>
      </c>
      <c r="I27" s="163">
        <v>0.48249998999999999</v>
      </c>
      <c r="J27" s="163">
        <v>0.54000002000000003</v>
      </c>
      <c r="K27" s="163">
        <v>0.51749997999999997</v>
      </c>
      <c r="L27" s="163">
        <v>0.63249999000000001</v>
      </c>
      <c r="M27" s="163">
        <v>0.31777778000000001</v>
      </c>
      <c r="N27" s="163">
        <v>0.44400001</v>
      </c>
      <c r="O27" s="163">
        <v>0.34125</v>
      </c>
      <c r="P27" s="163">
        <v>0.50749999000000001</v>
      </c>
      <c r="Q27" s="163">
        <v>0.29428570999999998</v>
      </c>
      <c r="R27" s="163">
        <v>0.42222222999999998</v>
      </c>
      <c r="S27" s="163">
        <v>0.74833333000000002</v>
      </c>
      <c r="T27" s="163">
        <v>0.52600002000000001</v>
      </c>
      <c r="U27" s="163">
        <v>0.26714285999999998</v>
      </c>
      <c r="V27" s="163">
        <v>0.67428571000000004</v>
      </c>
      <c r="W27" s="163">
        <v>0.76200002</v>
      </c>
      <c r="X27" s="163">
        <v>0.68599999</v>
      </c>
      <c r="Y27" s="163">
        <v>0.33000001000000001</v>
      </c>
      <c r="Z27" s="163">
        <v>0.67666667999999996</v>
      </c>
      <c r="AA27" s="163">
        <v>0.72000003000000001</v>
      </c>
      <c r="AB27" s="163">
        <v>0.37099999</v>
      </c>
      <c r="AC27" s="163">
        <v>0.23</v>
      </c>
      <c r="AD27" s="163">
        <v>0.26166666</v>
      </c>
      <c r="AE27" s="163">
        <v>0.48666668000000002</v>
      </c>
      <c r="AF27" s="163">
        <v>0.41666666000000002</v>
      </c>
      <c r="AG27" s="163">
        <v>0.36500000999999999</v>
      </c>
      <c r="AH27" s="163">
        <v>0.23499999999999999</v>
      </c>
      <c r="AI27" s="163">
        <v>0.34625</v>
      </c>
      <c r="AJ27" s="163">
        <v>0.23999999</v>
      </c>
      <c r="AK27" s="163">
        <v>0.54500002000000003</v>
      </c>
      <c r="AL27" s="163">
        <v>0.45500001000000001</v>
      </c>
      <c r="AM27" s="163">
        <v>0.46500000000000002</v>
      </c>
      <c r="AN27" s="163">
        <v>0.54750001000000004</v>
      </c>
    </row>
    <row r="28" spans="1:41" s="153" customFormat="1" ht="31.5" customHeight="1" x14ac:dyDescent="0.35">
      <c r="A28" s="149" t="s">
        <v>2336</v>
      </c>
      <c r="B28" s="151" t="s">
        <v>2337</v>
      </c>
      <c r="C28" s="183">
        <v>0.56668609999999997</v>
      </c>
      <c r="D28" s="183">
        <v>0.52592589999999995</v>
      </c>
      <c r="E28" s="183">
        <v>0.29629630000000001</v>
      </c>
      <c r="F28" s="183">
        <v>0.84444450000000004</v>
      </c>
      <c r="G28" s="166">
        <v>0.56944441999999995</v>
      </c>
      <c r="H28" s="164">
        <v>0.44444444999999999</v>
      </c>
      <c r="I28" s="164">
        <v>0.72222220999999998</v>
      </c>
      <c r="J28" s="164">
        <v>0.71111113000000004</v>
      </c>
      <c r="K28" s="164">
        <v>0.72222220999999998</v>
      </c>
      <c r="L28" s="164">
        <v>0.72222220999999998</v>
      </c>
      <c r="M28" s="164">
        <v>0.51851851000000004</v>
      </c>
      <c r="N28" s="164">
        <v>0.71111113000000004</v>
      </c>
      <c r="O28" s="164">
        <v>0.38888889999999998</v>
      </c>
      <c r="P28" s="164">
        <v>0.66666669000000001</v>
      </c>
      <c r="Q28" s="164">
        <v>0.41269842000000001</v>
      </c>
      <c r="R28" s="164">
        <v>0.51851851000000004</v>
      </c>
      <c r="S28" s="164">
        <v>0.83333330999999999</v>
      </c>
      <c r="T28" s="164">
        <v>0.53333335999999998</v>
      </c>
      <c r="U28" s="164">
        <v>0.41269842000000001</v>
      </c>
      <c r="V28" s="164">
        <v>0.61904764000000001</v>
      </c>
      <c r="W28" s="164">
        <v>0.84444445000000001</v>
      </c>
      <c r="X28" s="164">
        <v>0.82222223000000005</v>
      </c>
      <c r="Y28" s="164">
        <v>0.41269842000000001</v>
      </c>
      <c r="Z28" s="164">
        <v>0.81481481</v>
      </c>
      <c r="AA28" s="164">
        <v>0.80555558000000005</v>
      </c>
      <c r="AB28" s="164">
        <v>0.42222222999999998</v>
      </c>
      <c r="AC28" s="164">
        <v>0.37037036000000001</v>
      </c>
      <c r="AD28" s="164">
        <v>0.33333333999999998</v>
      </c>
      <c r="AE28" s="164">
        <v>0.51851851000000004</v>
      </c>
      <c r="AF28" s="164">
        <v>0.37037036000000001</v>
      </c>
      <c r="AG28" s="164">
        <v>0.47222220999999998</v>
      </c>
      <c r="AH28" s="164">
        <v>0.29629630000000001</v>
      </c>
      <c r="AI28" s="164">
        <v>0.41666666000000002</v>
      </c>
      <c r="AJ28" s="164">
        <v>0.48148149000000001</v>
      </c>
      <c r="AK28" s="164">
        <v>0.74074072000000002</v>
      </c>
      <c r="AL28" s="164">
        <v>0.44444444999999999</v>
      </c>
      <c r="AM28" s="164">
        <v>0.58333330999999999</v>
      </c>
      <c r="AN28" s="164">
        <v>0.61111110000000002</v>
      </c>
    </row>
    <row r="29" spans="1:41" s="153" customFormat="1" ht="31.5" customHeight="1" x14ac:dyDescent="0.35">
      <c r="A29" s="154" t="s">
        <v>2338</v>
      </c>
      <c r="B29" s="152" t="s">
        <v>2339</v>
      </c>
      <c r="C29" s="184">
        <v>0.47158559999999999</v>
      </c>
      <c r="D29" s="184">
        <v>0.47348479999999998</v>
      </c>
      <c r="E29" s="184">
        <v>0.18181820000000001</v>
      </c>
      <c r="F29" s="184">
        <v>0.81818179999999996</v>
      </c>
      <c r="G29" s="167">
        <v>0.46590909000000003</v>
      </c>
      <c r="H29" s="165">
        <v>0.48484850000000002</v>
      </c>
      <c r="I29" s="165">
        <v>0.43181818999999999</v>
      </c>
      <c r="J29" s="165">
        <v>0.40000001000000002</v>
      </c>
      <c r="K29" s="165">
        <v>0.56818181000000001</v>
      </c>
      <c r="L29" s="165">
        <v>0.63636362999999996</v>
      </c>
      <c r="M29" s="165">
        <v>0.35353535000000003</v>
      </c>
      <c r="N29" s="165">
        <v>0.45454547000000001</v>
      </c>
      <c r="O29" s="165">
        <v>0.26136363000000001</v>
      </c>
      <c r="P29" s="165">
        <v>0.5</v>
      </c>
      <c r="Q29" s="165">
        <v>0.27272728000000002</v>
      </c>
      <c r="R29" s="165">
        <v>0.41414141999999998</v>
      </c>
      <c r="S29" s="165">
        <v>0.80303031000000002</v>
      </c>
      <c r="T29" s="165">
        <v>0.49090909999999999</v>
      </c>
      <c r="U29" s="165">
        <v>0.25974026</v>
      </c>
      <c r="V29" s="165">
        <v>0.66233766000000005</v>
      </c>
      <c r="W29" s="165">
        <v>0.81818181000000001</v>
      </c>
      <c r="X29" s="165">
        <v>0.70909089000000003</v>
      </c>
      <c r="Y29" s="165">
        <v>0.20779221</v>
      </c>
      <c r="Z29" s="165">
        <v>0.68181818999999999</v>
      </c>
      <c r="AA29" s="165">
        <v>0.79545456000000003</v>
      </c>
      <c r="AB29" s="165">
        <v>0.49090909999999999</v>
      </c>
      <c r="AC29" s="165">
        <v>0.39393940999999999</v>
      </c>
      <c r="AD29" s="165">
        <v>0.27272728000000002</v>
      </c>
      <c r="AE29" s="165">
        <v>0.53030299999999997</v>
      </c>
      <c r="AF29" s="165">
        <v>0.46969696999999999</v>
      </c>
      <c r="AG29" s="165">
        <v>0.47727271999999998</v>
      </c>
      <c r="AH29" s="165">
        <v>0.18181818999999999</v>
      </c>
      <c r="AI29" s="165">
        <v>0.31818181000000001</v>
      </c>
      <c r="AJ29" s="165">
        <v>0.24242425000000001</v>
      </c>
      <c r="AK29" s="165">
        <v>0.53030299999999997</v>
      </c>
      <c r="AL29" s="165">
        <v>0.52272724999999998</v>
      </c>
      <c r="AM29" s="165">
        <v>0.40909090999999997</v>
      </c>
      <c r="AN29" s="165">
        <v>0.52272724999999998</v>
      </c>
    </row>
    <row r="30" spans="1:41" s="153" customFormat="1" ht="31.5" customHeight="1" x14ac:dyDescent="0.35">
      <c r="A30" s="149" t="s">
        <v>2340</v>
      </c>
      <c r="B30" s="151" t="s">
        <v>2341</v>
      </c>
      <c r="C30" s="183">
        <v>0.67367239999999995</v>
      </c>
      <c r="D30" s="183">
        <v>0.6875</v>
      </c>
      <c r="E30" s="183">
        <v>0.2142857</v>
      </c>
      <c r="F30" s="183">
        <v>0.96428570000000002</v>
      </c>
      <c r="G30" s="166">
        <v>0.65625</v>
      </c>
      <c r="H30" s="164">
        <v>0.70833330999999999</v>
      </c>
      <c r="I30" s="164">
        <v>0.6875</v>
      </c>
      <c r="J30" s="164">
        <v>0.69999999000000002</v>
      </c>
      <c r="K30" s="164">
        <v>0.875</v>
      </c>
      <c r="L30" s="164">
        <v>0.875</v>
      </c>
      <c r="M30" s="164">
        <v>0.5</v>
      </c>
      <c r="N30" s="164">
        <v>0.75</v>
      </c>
      <c r="O30" s="164">
        <v>0.78125</v>
      </c>
      <c r="P30" s="164">
        <v>0.6875</v>
      </c>
      <c r="Q30" s="164">
        <v>0.21428572000000001</v>
      </c>
      <c r="R30" s="164">
        <v>0.69444441999999995</v>
      </c>
      <c r="S30" s="164">
        <v>0.79166669000000001</v>
      </c>
      <c r="T30" s="164">
        <v>0.80000000999999998</v>
      </c>
      <c r="U30" s="164">
        <v>0.32142857000000002</v>
      </c>
      <c r="V30" s="164">
        <v>0.96428572999999995</v>
      </c>
      <c r="W30" s="164">
        <v>0.94999999000000002</v>
      </c>
      <c r="X30" s="164">
        <v>0.60000001999999997</v>
      </c>
      <c r="Y30" s="164">
        <v>0.75</v>
      </c>
      <c r="Z30" s="164">
        <v>0.91666669000000001</v>
      </c>
      <c r="AA30" s="164">
        <v>0.8125</v>
      </c>
      <c r="AB30" s="164">
        <v>0.64999998000000003</v>
      </c>
      <c r="AC30" s="164">
        <v>0.33333333999999998</v>
      </c>
      <c r="AD30" s="164">
        <v>0.66666669000000001</v>
      </c>
      <c r="AE30" s="164">
        <v>0.66666669000000001</v>
      </c>
      <c r="AF30" s="164">
        <v>0.58333330999999999</v>
      </c>
      <c r="AG30" s="164">
        <v>0.625</v>
      </c>
      <c r="AH30" s="164">
        <v>0.66666669000000001</v>
      </c>
      <c r="AI30" s="164">
        <v>0.5</v>
      </c>
      <c r="AJ30" s="164">
        <v>0.33333333999999998</v>
      </c>
      <c r="AK30" s="164">
        <v>0.75</v>
      </c>
      <c r="AL30" s="164">
        <v>0.53125</v>
      </c>
      <c r="AM30" s="164">
        <v>0.875</v>
      </c>
      <c r="AN30" s="164">
        <v>0.6875</v>
      </c>
    </row>
    <row r="31" spans="1:41" s="153" customFormat="1" ht="31.5" customHeight="1" x14ac:dyDescent="0.35">
      <c r="A31" s="154" t="s">
        <v>2342</v>
      </c>
      <c r="B31" s="152" t="s">
        <v>2343</v>
      </c>
      <c r="C31" s="184">
        <v>0.33964640000000001</v>
      </c>
      <c r="D31" s="184">
        <v>0.35357139999999998</v>
      </c>
      <c r="E31" s="184">
        <v>0</v>
      </c>
      <c r="F31" s="184">
        <v>0.76666670000000003</v>
      </c>
      <c r="G31" s="167">
        <v>0.22499999000000001</v>
      </c>
      <c r="H31" s="165">
        <v>0.38333333000000003</v>
      </c>
      <c r="I31" s="165">
        <v>0.42500000999999998</v>
      </c>
      <c r="J31" s="165">
        <v>0.60000001999999997</v>
      </c>
      <c r="K31" s="165">
        <v>0.125</v>
      </c>
      <c r="L31" s="165">
        <v>0.625</v>
      </c>
      <c r="M31" s="165">
        <v>0.15555556000000001</v>
      </c>
      <c r="N31" s="165">
        <v>0.08</v>
      </c>
      <c r="O31" s="165">
        <v>0.22499999000000001</v>
      </c>
      <c r="P31" s="165">
        <v>0.32499999000000002</v>
      </c>
      <c r="Q31" s="165">
        <v>0.35714287</v>
      </c>
      <c r="R31" s="165">
        <v>0.27777779000000002</v>
      </c>
      <c r="S31" s="165">
        <v>0.76666665000000001</v>
      </c>
      <c r="T31" s="165">
        <v>0.57999997999999997</v>
      </c>
      <c r="U31" s="165">
        <v>0.21428572000000001</v>
      </c>
      <c r="V31" s="165">
        <v>0.57142859999999995</v>
      </c>
      <c r="W31" s="165">
        <v>0.57999997999999997</v>
      </c>
      <c r="X31" s="165">
        <v>0.72000003000000001</v>
      </c>
      <c r="Y31" s="165">
        <v>0.21428572000000001</v>
      </c>
      <c r="Z31" s="165">
        <v>0.53333335999999998</v>
      </c>
      <c r="AA31" s="165">
        <v>0.55000000999999998</v>
      </c>
      <c r="AB31" s="165">
        <v>0.16</v>
      </c>
      <c r="AC31" s="165">
        <v>0</v>
      </c>
      <c r="AD31" s="165">
        <v>0</v>
      </c>
      <c r="AE31" s="165">
        <v>0.36666666999999997</v>
      </c>
      <c r="AF31" s="165">
        <v>0.43333334000000001</v>
      </c>
      <c r="AG31" s="165">
        <v>0</v>
      </c>
      <c r="AH31" s="165">
        <v>0</v>
      </c>
      <c r="AI31" s="165">
        <v>0.33750001000000002</v>
      </c>
      <c r="AJ31" s="165">
        <v>0</v>
      </c>
      <c r="AK31" s="165">
        <v>0.41666666000000002</v>
      </c>
      <c r="AL31" s="165">
        <v>0.34999998999999998</v>
      </c>
      <c r="AM31" s="165">
        <v>0.375</v>
      </c>
      <c r="AN31" s="165">
        <v>0.57499999000000002</v>
      </c>
    </row>
    <row r="32" spans="1:41" s="153" customFormat="1" ht="31.5" customHeight="1" x14ac:dyDescent="0.35">
      <c r="A32" s="149" t="s">
        <v>2344</v>
      </c>
      <c r="B32" s="151" t="s">
        <v>2345</v>
      </c>
      <c r="C32" s="183">
        <v>0.26994859999999998</v>
      </c>
      <c r="D32" s="183">
        <v>0.22928570000000001</v>
      </c>
      <c r="E32" s="183">
        <v>4.1666700000000001E-2</v>
      </c>
      <c r="F32" s="183">
        <v>0.63749999999999996</v>
      </c>
      <c r="G32" s="166">
        <v>0.21250000999999999</v>
      </c>
      <c r="H32" s="164">
        <v>0.19166665999999999</v>
      </c>
      <c r="I32" s="164">
        <v>0.17499999999999999</v>
      </c>
      <c r="J32" s="164">
        <v>0.31999999000000001</v>
      </c>
      <c r="K32" s="164">
        <v>0.3125</v>
      </c>
      <c r="L32" s="164">
        <v>0.3125</v>
      </c>
      <c r="M32" s="164">
        <v>7.7777780000000005E-2</v>
      </c>
      <c r="N32" s="164">
        <v>0.25</v>
      </c>
      <c r="O32" s="164">
        <v>6.25E-2</v>
      </c>
      <c r="P32" s="164">
        <v>0.375</v>
      </c>
      <c r="Q32" s="164">
        <v>0.22857142999999999</v>
      </c>
      <c r="R32" s="164">
        <v>0.21666667000000001</v>
      </c>
      <c r="S32" s="164">
        <v>0.55000000999999998</v>
      </c>
      <c r="T32" s="164">
        <v>0.23</v>
      </c>
      <c r="U32" s="164">
        <v>0.14285714999999999</v>
      </c>
      <c r="V32" s="164">
        <v>0.55000000999999998</v>
      </c>
      <c r="W32" s="164">
        <v>0.62</v>
      </c>
      <c r="X32" s="164">
        <v>0.58999997000000004</v>
      </c>
      <c r="Y32" s="164">
        <v>8.5714289999999999E-2</v>
      </c>
      <c r="Z32" s="164">
        <v>0.44999999000000002</v>
      </c>
      <c r="AA32" s="164">
        <v>0.63749999000000002</v>
      </c>
      <c r="AB32" s="164">
        <v>0.125</v>
      </c>
      <c r="AC32" s="164">
        <v>0.05</v>
      </c>
      <c r="AD32" s="164">
        <v>4.1666670000000003E-2</v>
      </c>
      <c r="AE32" s="164">
        <v>0.34999998999999998</v>
      </c>
      <c r="AF32" s="164">
        <v>0.21666667000000001</v>
      </c>
      <c r="AG32" s="164">
        <v>0.25</v>
      </c>
      <c r="AH32" s="164">
        <v>4.1666670000000003E-2</v>
      </c>
      <c r="AI32" s="164">
        <v>0.16875000000000001</v>
      </c>
      <c r="AJ32" s="164">
        <v>0.16666666999999999</v>
      </c>
      <c r="AK32" s="164">
        <v>0.30833334000000001</v>
      </c>
      <c r="AL32" s="164">
        <v>0.41874999000000002</v>
      </c>
      <c r="AM32" s="164">
        <v>0.1</v>
      </c>
      <c r="AN32" s="164">
        <v>0.34999998999999998</v>
      </c>
    </row>
    <row r="33" spans="1:40" s="146" customFormat="1" ht="31.5" customHeight="1" x14ac:dyDescent="0.35">
      <c r="A33" s="147" t="s">
        <v>2347</v>
      </c>
      <c r="B33" s="148"/>
      <c r="C33" s="182">
        <v>0.44994089999999998</v>
      </c>
      <c r="D33" s="182">
        <v>0.45044640000000002</v>
      </c>
      <c r="E33" s="182">
        <v>0.20125000000000001</v>
      </c>
      <c r="F33" s="182">
        <v>0.77714289999999997</v>
      </c>
      <c r="G33" s="163">
        <v>0.34615385999999998</v>
      </c>
      <c r="H33" s="163">
        <v>0.40222222000000002</v>
      </c>
      <c r="I33" s="163">
        <v>0.53250003000000001</v>
      </c>
      <c r="J33" s="163">
        <v>0.51200002</v>
      </c>
      <c r="K33" s="163">
        <v>0.49142858</v>
      </c>
      <c r="L33" s="163">
        <v>0.498</v>
      </c>
      <c r="M33" s="163">
        <v>0.32800001000000001</v>
      </c>
      <c r="N33" s="163">
        <v>0.44374998999999998</v>
      </c>
      <c r="O33" s="163">
        <v>0.30000000999999998</v>
      </c>
      <c r="P33" s="163">
        <v>0.41999998999999999</v>
      </c>
      <c r="Q33" s="163">
        <v>0.50333333000000002</v>
      </c>
      <c r="R33" s="163">
        <v>0.37666666999999998</v>
      </c>
      <c r="S33" s="163">
        <v>0.745</v>
      </c>
      <c r="T33" s="163">
        <v>0.45714285999999998</v>
      </c>
      <c r="U33" s="163">
        <v>0.32090908000000001</v>
      </c>
      <c r="V33" s="163">
        <v>0.70166664999999995</v>
      </c>
      <c r="W33" s="163">
        <v>0.52333331000000005</v>
      </c>
      <c r="X33" s="163">
        <v>0.77714287999999998</v>
      </c>
      <c r="Y33" s="163">
        <v>0.31333333000000002</v>
      </c>
      <c r="Z33" s="163">
        <v>0.75999998999999996</v>
      </c>
      <c r="AA33" s="163">
        <v>0.61500001000000004</v>
      </c>
      <c r="AB33" s="163">
        <v>0.35818179999999999</v>
      </c>
      <c r="AC33" s="163">
        <v>0.53374999999999995</v>
      </c>
      <c r="AD33" s="163">
        <v>0.26800001000000001</v>
      </c>
      <c r="AE33" s="163">
        <v>0.27000001000000001</v>
      </c>
      <c r="AF33" s="163">
        <v>0.46714285</v>
      </c>
      <c r="AG33" s="163">
        <v>0.34875</v>
      </c>
      <c r="AH33" s="163">
        <v>0.20125000000000001</v>
      </c>
      <c r="AI33" s="163">
        <v>0.35499998999999999</v>
      </c>
      <c r="AJ33" s="163">
        <v>0.31999999000000001</v>
      </c>
      <c r="AK33" s="163">
        <v>0.47666666000000002</v>
      </c>
      <c r="AL33" s="163">
        <v>0.31999999000000001</v>
      </c>
      <c r="AM33" s="163">
        <v>0.47499998999999998</v>
      </c>
      <c r="AN33" s="163">
        <v>0.53666669</v>
      </c>
    </row>
    <row r="34" spans="1:40" s="153" customFormat="1" ht="31.5" customHeight="1" x14ac:dyDescent="0.35">
      <c r="A34" s="149" t="s">
        <v>2336</v>
      </c>
      <c r="B34" s="151" t="s">
        <v>2337</v>
      </c>
      <c r="C34" s="183">
        <v>0.56744119999999998</v>
      </c>
      <c r="D34" s="183">
        <v>0.54774840000000002</v>
      </c>
      <c r="E34" s="183">
        <v>0.378882</v>
      </c>
      <c r="F34" s="183">
        <v>0.87681160000000002</v>
      </c>
      <c r="G34" s="166">
        <v>0.44816053</v>
      </c>
      <c r="H34" s="164">
        <v>0.58937198000000002</v>
      </c>
      <c r="I34" s="164">
        <v>0.72826086999999995</v>
      </c>
      <c r="J34" s="164">
        <v>0.52173913000000005</v>
      </c>
      <c r="K34" s="164">
        <v>0.68944097000000004</v>
      </c>
      <c r="L34" s="164">
        <v>0.53043479000000004</v>
      </c>
      <c r="M34" s="164">
        <v>0.47826087</v>
      </c>
      <c r="N34" s="164">
        <v>0.61413044000000006</v>
      </c>
      <c r="O34" s="164">
        <v>0.45454547000000001</v>
      </c>
      <c r="P34" s="164">
        <v>0.60869563000000004</v>
      </c>
      <c r="Q34" s="164">
        <v>0.61594199999999999</v>
      </c>
      <c r="R34" s="164">
        <v>0.56521737999999999</v>
      </c>
      <c r="S34" s="164">
        <v>0.83152174999999995</v>
      </c>
      <c r="T34" s="164">
        <v>0.51552796000000001</v>
      </c>
      <c r="U34" s="164">
        <v>0.43478259000000002</v>
      </c>
      <c r="V34" s="164">
        <v>0.75362319</v>
      </c>
      <c r="W34" s="164">
        <v>0.65217393999999995</v>
      </c>
      <c r="X34" s="164">
        <v>0.71428572999999995</v>
      </c>
      <c r="Y34" s="164">
        <v>0.41545894999999999</v>
      </c>
      <c r="Z34" s="164">
        <v>0.87681162000000001</v>
      </c>
      <c r="AA34" s="164">
        <v>0.86956518999999999</v>
      </c>
      <c r="AB34" s="164">
        <v>0.41501975000000002</v>
      </c>
      <c r="AC34" s="164">
        <v>0.54891305999999995</v>
      </c>
      <c r="AD34" s="164">
        <v>0.45217392000000001</v>
      </c>
      <c r="AE34" s="164">
        <v>0.37888199</v>
      </c>
      <c r="AF34" s="164">
        <v>0.54658382999999999</v>
      </c>
      <c r="AG34" s="164">
        <v>0.47826087</v>
      </c>
      <c r="AH34" s="164">
        <v>0.42934781</v>
      </c>
      <c r="AI34" s="164">
        <v>0.48913044</v>
      </c>
      <c r="AJ34" s="164">
        <v>0.46739131</v>
      </c>
      <c r="AK34" s="164">
        <v>0.61594199999999999</v>
      </c>
      <c r="AL34" s="164">
        <v>0.44927537000000001</v>
      </c>
      <c r="AM34" s="164">
        <v>0.54891305999999995</v>
      </c>
      <c r="AN34" s="164">
        <v>0.56521737999999999</v>
      </c>
    </row>
    <row r="35" spans="1:40" s="153" customFormat="1" ht="31.5" customHeight="1" x14ac:dyDescent="0.35">
      <c r="A35" s="154" t="s">
        <v>2338</v>
      </c>
      <c r="B35" s="152" t="s">
        <v>2339</v>
      </c>
      <c r="C35" s="184">
        <v>0.44654939999999999</v>
      </c>
      <c r="D35" s="184">
        <v>0.42881940000000002</v>
      </c>
      <c r="E35" s="184">
        <v>8.3333299999999999E-2</v>
      </c>
      <c r="F35" s="184">
        <v>0.82142859999999995</v>
      </c>
      <c r="G35" s="167">
        <v>0.26923078</v>
      </c>
      <c r="H35" s="165">
        <v>0.37962963999999999</v>
      </c>
      <c r="I35" s="165">
        <v>0.4375</v>
      </c>
      <c r="J35" s="165">
        <v>0.45833333999999998</v>
      </c>
      <c r="K35" s="165">
        <v>0.63095235999999999</v>
      </c>
      <c r="L35" s="165">
        <v>0.60000001999999997</v>
      </c>
      <c r="M35" s="165">
        <v>0.36666666999999997</v>
      </c>
      <c r="N35" s="165">
        <v>0.39583333999999998</v>
      </c>
      <c r="O35" s="165">
        <v>8.3333340000000006E-2</v>
      </c>
      <c r="P35" s="165">
        <v>0.54166669000000001</v>
      </c>
      <c r="Q35" s="165">
        <v>0.45833333999999998</v>
      </c>
      <c r="R35" s="165">
        <v>0.40277779000000002</v>
      </c>
      <c r="S35" s="165">
        <v>0.72916669000000001</v>
      </c>
      <c r="T35" s="165">
        <v>0.46428570000000002</v>
      </c>
      <c r="U35" s="165">
        <v>0.33333333999999998</v>
      </c>
      <c r="V35" s="165">
        <v>0.81944441999999995</v>
      </c>
      <c r="W35" s="165">
        <v>0.52777779000000002</v>
      </c>
      <c r="X35" s="165">
        <v>0.82142859999999995</v>
      </c>
      <c r="Y35" s="165">
        <v>0.19444444999999999</v>
      </c>
      <c r="Z35" s="165">
        <v>0.77777779000000002</v>
      </c>
      <c r="AA35" s="165">
        <v>0.58333330999999999</v>
      </c>
      <c r="AB35" s="165">
        <v>0.47727271999999998</v>
      </c>
      <c r="AC35" s="165">
        <v>0.63541669000000001</v>
      </c>
      <c r="AD35" s="165">
        <v>0.36666666999999997</v>
      </c>
      <c r="AE35" s="165">
        <v>0.27380951999999997</v>
      </c>
      <c r="AF35" s="165">
        <v>0.34523809</v>
      </c>
      <c r="AG35" s="165">
        <v>0.375</v>
      </c>
      <c r="AH35" s="165">
        <v>0.1875</v>
      </c>
      <c r="AI35" s="165">
        <v>0.30208333999999998</v>
      </c>
      <c r="AJ35" s="165">
        <v>0.28125</v>
      </c>
      <c r="AK35" s="165">
        <v>0.5</v>
      </c>
      <c r="AL35" s="165">
        <v>0.30555555000000001</v>
      </c>
      <c r="AM35" s="165">
        <v>0.42708333999999998</v>
      </c>
      <c r="AN35" s="165">
        <v>0.43055555000000001</v>
      </c>
    </row>
    <row r="36" spans="1:40" s="153" customFormat="1" ht="31.5" customHeight="1" x14ac:dyDescent="0.35">
      <c r="A36" s="149" t="s">
        <v>2340</v>
      </c>
      <c r="B36" s="151" t="s">
        <v>2341</v>
      </c>
      <c r="C36" s="183">
        <v>0.62724469999999999</v>
      </c>
      <c r="D36" s="183">
        <v>0.67424240000000002</v>
      </c>
      <c r="E36" s="183">
        <v>0</v>
      </c>
      <c r="F36" s="183">
        <v>0.97222220000000004</v>
      </c>
      <c r="G36" s="166">
        <v>0.60256410000000005</v>
      </c>
      <c r="H36" s="164">
        <v>0.68518519</v>
      </c>
      <c r="I36" s="164">
        <v>0.66666669000000001</v>
      </c>
      <c r="J36" s="164">
        <v>0.80000000999999998</v>
      </c>
      <c r="K36" s="164">
        <v>0.54761903999999995</v>
      </c>
      <c r="L36" s="164">
        <v>0.69999999000000002</v>
      </c>
      <c r="M36" s="164">
        <v>0.5</v>
      </c>
      <c r="N36" s="164">
        <v>0.64583330999999999</v>
      </c>
      <c r="O36" s="164">
        <v>0.68181818999999999</v>
      </c>
      <c r="P36" s="164">
        <v>0.47222220999999998</v>
      </c>
      <c r="Q36" s="164">
        <v>0.5</v>
      </c>
      <c r="R36" s="164">
        <v>0.30555555000000001</v>
      </c>
      <c r="S36" s="164">
        <v>0.95833330999999999</v>
      </c>
      <c r="T36" s="164">
        <v>0.73809522000000005</v>
      </c>
      <c r="U36" s="164">
        <v>0.46969696999999999</v>
      </c>
      <c r="V36" s="164">
        <v>0.94444441999999995</v>
      </c>
      <c r="W36" s="164">
        <v>0.61111110000000002</v>
      </c>
      <c r="X36" s="164">
        <v>0.95238096000000005</v>
      </c>
      <c r="Y36" s="164">
        <v>0.70370370000000004</v>
      </c>
      <c r="Z36" s="164">
        <v>0.97222220999999998</v>
      </c>
      <c r="AA36" s="164">
        <v>0.75</v>
      </c>
      <c r="AB36" s="164">
        <v>0.71212118999999996</v>
      </c>
      <c r="AC36" s="164">
        <v>0.8125</v>
      </c>
      <c r="AD36" s="164">
        <v>0.33333333999999998</v>
      </c>
      <c r="AE36" s="164">
        <v>0.47619048000000003</v>
      </c>
      <c r="AF36" s="164">
        <v>0.66666669000000001</v>
      </c>
      <c r="AG36" s="164">
        <v>0.77083330999999999</v>
      </c>
      <c r="AH36" s="164">
        <v>0.3125</v>
      </c>
      <c r="AI36" s="164">
        <v>0.70833330999999999</v>
      </c>
      <c r="AJ36" s="164">
        <v>0.22916666999999999</v>
      </c>
      <c r="AK36" s="164">
        <v>0.61111110000000002</v>
      </c>
      <c r="AL36" s="164">
        <v>0</v>
      </c>
      <c r="AM36" s="164">
        <v>0.70833330999999999</v>
      </c>
      <c r="AN36" s="164">
        <v>0.77777779000000002</v>
      </c>
    </row>
    <row r="37" spans="1:40" s="153" customFormat="1" ht="31.5" customHeight="1" x14ac:dyDescent="0.35">
      <c r="A37" s="154" t="s">
        <v>2342</v>
      </c>
      <c r="B37" s="152" t="s">
        <v>2343</v>
      </c>
      <c r="C37" s="184">
        <v>0.383739</v>
      </c>
      <c r="D37" s="184">
        <v>0.38888889999999998</v>
      </c>
      <c r="E37" s="184">
        <v>4.1666700000000001E-2</v>
      </c>
      <c r="F37" s="184">
        <v>0.90476190000000001</v>
      </c>
      <c r="G37" s="167">
        <v>0.25641027</v>
      </c>
      <c r="H37" s="165">
        <v>0.18518518</v>
      </c>
      <c r="I37" s="165">
        <v>0.58333330999999999</v>
      </c>
      <c r="J37" s="165">
        <v>0.56666665999999999</v>
      </c>
      <c r="K37" s="165">
        <v>0.25396827</v>
      </c>
      <c r="L37" s="165">
        <v>0.44444444999999999</v>
      </c>
      <c r="M37" s="165">
        <v>0.21111110999999999</v>
      </c>
      <c r="N37" s="165">
        <v>0.38888889999999998</v>
      </c>
      <c r="O37" s="165">
        <v>0.15151516000000001</v>
      </c>
      <c r="P37" s="165">
        <v>0.24074075</v>
      </c>
      <c r="Q37" s="165">
        <v>0.62962960999999995</v>
      </c>
      <c r="R37" s="165">
        <v>0.35185185000000002</v>
      </c>
      <c r="S37" s="165">
        <v>0.70833330999999999</v>
      </c>
      <c r="T37" s="165">
        <v>0.38095238999999997</v>
      </c>
      <c r="U37" s="165">
        <v>0.33333333999999998</v>
      </c>
      <c r="V37" s="165">
        <v>0.48148149000000001</v>
      </c>
      <c r="W37" s="165">
        <v>0.42592594</v>
      </c>
      <c r="X37" s="165">
        <v>0.90476190999999995</v>
      </c>
      <c r="Y37" s="165">
        <v>0.29629630000000001</v>
      </c>
      <c r="Z37" s="165">
        <v>0.74074072000000002</v>
      </c>
      <c r="AA37" s="165">
        <v>0.40740739999999998</v>
      </c>
      <c r="AB37" s="165">
        <v>0.23232322999999999</v>
      </c>
      <c r="AC37" s="165">
        <v>0.38888889999999998</v>
      </c>
      <c r="AD37" s="165">
        <v>4.4444450000000003E-2</v>
      </c>
      <c r="AE37" s="165">
        <v>0.14285714999999999</v>
      </c>
      <c r="AF37" s="165">
        <v>0.58730161000000003</v>
      </c>
      <c r="AG37" s="165">
        <v>8.3333340000000006E-2</v>
      </c>
      <c r="AH37" s="165">
        <v>4.1666670000000003E-2</v>
      </c>
      <c r="AI37" s="165">
        <v>0.30555555000000001</v>
      </c>
      <c r="AJ37" s="165">
        <v>0.38888889999999998</v>
      </c>
      <c r="AK37" s="165">
        <v>0.40740739999999998</v>
      </c>
      <c r="AL37" s="165">
        <v>0.40740739999999998</v>
      </c>
      <c r="AM37" s="165">
        <v>0.55555558000000005</v>
      </c>
      <c r="AN37" s="165">
        <v>0.51851851000000004</v>
      </c>
    </row>
    <row r="38" spans="1:40" s="153" customFormat="1" ht="31.5" customHeight="1" x14ac:dyDescent="0.35">
      <c r="A38" s="149" t="s">
        <v>2344</v>
      </c>
      <c r="B38" s="151" t="s">
        <v>2345</v>
      </c>
      <c r="C38" s="183">
        <v>0.29528330000000003</v>
      </c>
      <c r="D38" s="183">
        <v>0.29209489999999999</v>
      </c>
      <c r="E38" s="183">
        <v>5.4347800000000002E-2</v>
      </c>
      <c r="F38" s="183">
        <v>0.60248449999999998</v>
      </c>
      <c r="G38" s="166">
        <v>0.26086956</v>
      </c>
      <c r="H38" s="164">
        <v>0.26086956</v>
      </c>
      <c r="I38" s="164">
        <v>0.32608696999999998</v>
      </c>
      <c r="J38" s="164">
        <v>0.36521738999999998</v>
      </c>
      <c r="K38" s="164">
        <v>0.30434781</v>
      </c>
      <c r="L38" s="164">
        <v>0.29565217999999999</v>
      </c>
      <c r="M38" s="164">
        <v>0.13913043</v>
      </c>
      <c r="N38" s="164">
        <v>0.26086956</v>
      </c>
      <c r="O38" s="164">
        <v>0.28853756000000003</v>
      </c>
      <c r="P38" s="164">
        <v>0.21739130000000001</v>
      </c>
      <c r="Q38" s="164">
        <v>0.34057971999999997</v>
      </c>
      <c r="R38" s="164">
        <v>0.21739130000000001</v>
      </c>
      <c r="S38" s="164">
        <v>0.59239131</v>
      </c>
      <c r="T38" s="164">
        <v>0.30434781</v>
      </c>
      <c r="U38" s="164">
        <v>0.10671936999999999</v>
      </c>
      <c r="V38" s="164">
        <v>0.57246375000000005</v>
      </c>
      <c r="W38" s="164">
        <v>0.42028984000000003</v>
      </c>
      <c r="X38" s="164">
        <v>0.60248446</v>
      </c>
      <c r="Y38" s="164">
        <v>0.14492753</v>
      </c>
      <c r="Z38" s="164">
        <v>0.5289855</v>
      </c>
      <c r="AA38" s="164">
        <v>0.48550725</v>
      </c>
      <c r="AB38" s="164">
        <v>9.0909089999999998E-2</v>
      </c>
      <c r="AC38" s="164">
        <v>0.38043477999999997</v>
      </c>
      <c r="AD38" s="164">
        <v>0.12173913</v>
      </c>
      <c r="AE38" s="164">
        <v>0.14906833</v>
      </c>
      <c r="AF38" s="164">
        <v>0.3167702</v>
      </c>
      <c r="AG38" s="164">
        <v>0.17934783000000001</v>
      </c>
      <c r="AH38" s="164">
        <v>5.4347819999999998E-2</v>
      </c>
      <c r="AI38" s="164">
        <v>0.13043478</v>
      </c>
      <c r="AJ38" s="164">
        <v>0.20652172999999999</v>
      </c>
      <c r="AK38" s="164">
        <v>0.29710143999999999</v>
      </c>
      <c r="AL38" s="164">
        <v>0.30434781</v>
      </c>
      <c r="AM38" s="164">
        <v>0.26630433999999997</v>
      </c>
      <c r="AN38" s="164">
        <v>0.50724638</v>
      </c>
    </row>
    <row r="39" spans="1:40" s="146" customFormat="1" ht="31.5" customHeight="1" x14ac:dyDescent="0.35">
      <c r="A39" s="147" t="s">
        <v>2348</v>
      </c>
      <c r="B39" s="148"/>
      <c r="C39" s="182">
        <v>0.3711141</v>
      </c>
      <c r="D39" s="182">
        <v>0.383631</v>
      </c>
      <c r="E39" s="182">
        <v>0.06</v>
      </c>
      <c r="F39" s="182">
        <v>0.70499999999999996</v>
      </c>
      <c r="G39" s="163">
        <v>0.27000001000000001</v>
      </c>
      <c r="H39" s="163">
        <v>0.28499999999999998</v>
      </c>
      <c r="I39" s="163">
        <v>0.49399999</v>
      </c>
      <c r="J39" s="163">
        <v>0.28909089999999998</v>
      </c>
      <c r="K39" s="163">
        <v>0.21285714</v>
      </c>
      <c r="L39" s="163">
        <v>0.42444443999999998</v>
      </c>
      <c r="M39" s="163">
        <v>0.06</v>
      </c>
      <c r="N39" s="163">
        <v>0.35124999000000001</v>
      </c>
      <c r="O39" s="163">
        <v>0.25</v>
      </c>
      <c r="P39" s="163">
        <v>0.48750000999999998</v>
      </c>
      <c r="Q39" s="163">
        <v>0.18000000999999999</v>
      </c>
      <c r="R39" s="163">
        <v>0.38583331999999998</v>
      </c>
      <c r="S39" s="163">
        <v>0.47</v>
      </c>
      <c r="T39" s="163">
        <v>0.49777779</v>
      </c>
      <c r="U39" s="163">
        <v>0.29888889000000002</v>
      </c>
      <c r="V39" s="163">
        <v>0.46285715999999999</v>
      </c>
      <c r="W39" s="163">
        <v>0.51400000000000001</v>
      </c>
      <c r="X39" s="163">
        <v>0.70499997999999997</v>
      </c>
      <c r="Y39" s="163">
        <v>0.108</v>
      </c>
      <c r="Z39" s="163">
        <v>0.57499999000000002</v>
      </c>
      <c r="AA39" s="163">
        <v>0.60857141000000003</v>
      </c>
      <c r="AB39" s="163">
        <v>0.26600000000000001</v>
      </c>
      <c r="AC39" s="163">
        <v>0.58285712999999995</v>
      </c>
      <c r="AD39" s="163">
        <v>0.25999999000000001</v>
      </c>
      <c r="AE39" s="163">
        <v>0.19374999000000001</v>
      </c>
      <c r="AF39" s="163">
        <v>0.52285713</v>
      </c>
      <c r="AG39" s="163">
        <v>0.38142857000000002</v>
      </c>
      <c r="AH39" s="163">
        <v>0.1575</v>
      </c>
      <c r="AI39" s="163">
        <v>0.12800001</v>
      </c>
      <c r="AJ39" s="163">
        <v>0.27000001000000001</v>
      </c>
      <c r="AK39" s="163">
        <v>0.48625001000000001</v>
      </c>
      <c r="AL39" s="163">
        <v>0.39750001000000001</v>
      </c>
      <c r="AM39" s="163">
        <v>0.49333334000000001</v>
      </c>
      <c r="AN39" s="163">
        <v>0.54833335000000005</v>
      </c>
    </row>
    <row r="40" spans="1:40" s="153" customFormat="1" ht="31.5" customHeight="1" x14ac:dyDescent="0.35">
      <c r="A40" s="149" t="s">
        <v>2336</v>
      </c>
      <c r="B40" s="151" t="s">
        <v>2337</v>
      </c>
      <c r="C40" s="183">
        <v>0.39674429999999999</v>
      </c>
      <c r="D40" s="183">
        <v>0.38825759999999998</v>
      </c>
      <c r="E40" s="183">
        <v>9.0909100000000007E-2</v>
      </c>
      <c r="F40" s="183">
        <v>0.72727269999999999</v>
      </c>
      <c r="G40" s="166">
        <v>0.15584414999999999</v>
      </c>
      <c r="H40" s="164">
        <v>0.36363636999999999</v>
      </c>
      <c r="I40" s="164">
        <v>0.50909090000000001</v>
      </c>
      <c r="J40" s="164">
        <v>0.23140495999999999</v>
      </c>
      <c r="K40" s="164">
        <v>0.22077922999999999</v>
      </c>
      <c r="L40" s="164">
        <v>0.57575756</v>
      </c>
      <c r="M40" s="164">
        <v>9.0909089999999998E-2</v>
      </c>
      <c r="N40" s="164">
        <v>0.48863636999999999</v>
      </c>
      <c r="O40" s="164">
        <v>0.23376622999999999</v>
      </c>
      <c r="P40" s="164">
        <v>0.52272724999999998</v>
      </c>
      <c r="Q40" s="164">
        <v>0.25252523999999998</v>
      </c>
      <c r="R40" s="164">
        <v>0.28030303000000001</v>
      </c>
      <c r="S40" s="164">
        <v>0.63636362999999996</v>
      </c>
      <c r="T40" s="164">
        <v>0.36363636999999999</v>
      </c>
      <c r="U40" s="164">
        <v>0.20202020000000001</v>
      </c>
      <c r="V40" s="164">
        <v>0.45454547000000001</v>
      </c>
      <c r="W40" s="164">
        <v>0.56363635999999995</v>
      </c>
      <c r="X40" s="164">
        <v>0.72727275000000002</v>
      </c>
      <c r="Y40" s="164">
        <v>0.10909091</v>
      </c>
      <c r="Z40" s="164">
        <v>0.71212118999999996</v>
      </c>
      <c r="AA40" s="164">
        <v>0.71428572999999995</v>
      </c>
      <c r="AB40" s="164">
        <v>0.33636364000000002</v>
      </c>
      <c r="AC40" s="164">
        <v>0.63636362999999996</v>
      </c>
      <c r="AD40" s="164">
        <v>0.25974026</v>
      </c>
      <c r="AE40" s="164">
        <v>0.25</v>
      </c>
      <c r="AF40" s="164">
        <v>0.58441555000000001</v>
      </c>
      <c r="AG40" s="164">
        <v>0.41558442000000001</v>
      </c>
      <c r="AH40" s="164">
        <v>0.18181818999999999</v>
      </c>
      <c r="AI40" s="164">
        <v>0.18181818999999999</v>
      </c>
      <c r="AJ40" s="164">
        <v>0.45454547000000001</v>
      </c>
      <c r="AK40" s="164">
        <v>0.44318181000000001</v>
      </c>
      <c r="AL40" s="164">
        <v>0.39772728000000002</v>
      </c>
      <c r="AM40" s="164">
        <v>0.37878788000000002</v>
      </c>
      <c r="AN40" s="164">
        <v>0.56060606000000002</v>
      </c>
    </row>
    <row r="41" spans="1:40" s="153" customFormat="1" ht="31.5" customHeight="1" x14ac:dyDescent="0.35">
      <c r="A41" s="154" t="s">
        <v>2338</v>
      </c>
      <c r="B41" s="152" t="s">
        <v>2339</v>
      </c>
      <c r="C41" s="184">
        <v>0.43444129999999997</v>
      </c>
      <c r="D41" s="184">
        <v>0.4342857</v>
      </c>
      <c r="E41" s="184">
        <v>6.4000000000000001E-2</v>
      </c>
      <c r="F41" s="184">
        <v>0.71</v>
      </c>
      <c r="G41" s="167">
        <v>0.40571426999999999</v>
      </c>
      <c r="H41" s="165">
        <v>0.38999999000000002</v>
      </c>
      <c r="I41" s="165">
        <v>0.50400001000000005</v>
      </c>
      <c r="J41" s="165">
        <v>0.37090909</v>
      </c>
      <c r="K41" s="165">
        <v>0.54285717</v>
      </c>
      <c r="L41" s="165">
        <v>0.35555555999999999</v>
      </c>
      <c r="M41" s="165">
        <v>0.16</v>
      </c>
      <c r="N41" s="165">
        <v>0.375</v>
      </c>
      <c r="O41" s="165">
        <v>0.34857142000000002</v>
      </c>
      <c r="P41" s="165">
        <v>0.70999997999999997</v>
      </c>
      <c r="Q41" s="165">
        <v>0.33777775999999998</v>
      </c>
      <c r="R41" s="165">
        <v>0.64333331999999999</v>
      </c>
      <c r="S41" s="165">
        <v>0.52666663999999996</v>
      </c>
      <c r="T41" s="165">
        <v>0.59555553999999999</v>
      </c>
      <c r="U41" s="165">
        <v>0.27111109999999999</v>
      </c>
      <c r="V41" s="165">
        <v>0.46285715999999999</v>
      </c>
      <c r="W41" s="165">
        <v>0.68000000999999999</v>
      </c>
      <c r="X41" s="165">
        <v>0.62</v>
      </c>
      <c r="Y41" s="165">
        <v>0.17599999999999999</v>
      </c>
      <c r="Z41" s="165">
        <v>0.59333329999999995</v>
      </c>
      <c r="AA41" s="165">
        <v>0.66857140999999998</v>
      </c>
      <c r="AB41" s="165">
        <v>0.40000001000000002</v>
      </c>
      <c r="AC41" s="165">
        <v>0.65142858000000003</v>
      </c>
      <c r="AD41" s="165">
        <v>0.30857142999999998</v>
      </c>
      <c r="AE41" s="165">
        <v>0.20999999</v>
      </c>
      <c r="AF41" s="165">
        <v>0.46857142000000002</v>
      </c>
      <c r="AG41" s="165">
        <v>0.31428572999999999</v>
      </c>
      <c r="AH41" s="165">
        <v>0.18000000999999999</v>
      </c>
      <c r="AI41" s="165">
        <v>6.4000000000000001E-2</v>
      </c>
      <c r="AJ41" s="165">
        <v>0.248</v>
      </c>
      <c r="AK41" s="165">
        <v>0.46500000000000002</v>
      </c>
      <c r="AL41" s="165">
        <v>0.64999998000000003</v>
      </c>
      <c r="AM41" s="165">
        <v>0.52666663999999996</v>
      </c>
      <c r="AN41" s="165">
        <v>0.54666667999999996</v>
      </c>
    </row>
    <row r="42" spans="1:40" s="153" customFormat="1" ht="31.5" customHeight="1" x14ac:dyDescent="0.35">
      <c r="A42" s="149" t="s">
        <v>2340</v>
      </c>
      <c r="B42" s="151" t="s">
        <v>2341</v>
      </c>
      <c r="C42" s="183">
        <v>0.4457219</v>
      </c>
      <c r="D42" s="183">
        <v>0.5</v>
      </c>
      <c r="E42" s="183">
        <v>0</v>
      </c>
      <c r="F42" s="183">
        <v>1</v>
      </c>
      <c r="G42" s="166">
        <v>0.42857142999999998</v>
      </c>
      <c r="H42" s="164">
        <v>0.25</v>
      </c>
      <c r="I42" s="164">
        <v>0.69999999000000002</v>
      </c>
      <c r="J42" s="164">
        <v>0.45454547000000001</v>
      </c>
      <c r="K42" s="164">
        <v>0</v>
      </c>
      <c r="L42" s="164">
        <v>0.66666669000000001</v>
      </c>
      <c r="M42" s="164">
        <v>0</v>
      </c>
      <c r="N42" s="164">
        <v>0.375</v>
      </c>
      <c r="O42" s="164">
        <v>0.14285714999999999</v>
      </c>
      <c r="P42" s="164">
        <v>0.5</v>
      </c>
      <c r="Q42" s="164">
        <v>0</v>
      </c>
      <c r="R42" s="164">
        <v>0.5</v>
      </c>
      <c r="S42" s="164">
        <v>0.5</v>
      </c>
      <c r="T42" s="164">
        <v>1</v>
      </c>
      <c r="U42" s="164">
        <v>0.66666669000000001</v>
      </c>
      <c r="V42" s="164">
        <v>0.71428572999999995</v>
      </c>
      <c r="W42" s="164">
        <v>0.40000001000000002</v>
      </c>
      <c r="X42" s="164">
        <v>1</v>
      </c>
      <c r="Y42" s="164">
        <v>0</v>
      </c>
      <c r="Z42" s="164">
        <v>0.83333330999999999</v>
      </c>
      <c r="AA42" s="164">
        <v>0.71428572999999995</v>
      </c>
      <c r="AB42" s="164">
        <v>0.2</v>
      </c>
      <c r="AC42" s="164">
        <v>0.57142859999999995</v>
      </c>
      <c r="AD42" s="164">
        <v>0.28571429999999998</v>
      </c>
      <c r="AE42" s="164">
        <v>0</v>
      </c>
      <c r="AF42" s="164">
        <v>0.57142859999999995</v>
      </c>
      <c r="AG42" s="164">
        <v>0.57142859999999995</v>
      </c>
      <c r="AH42" s="164">
        <v>0.25</v>
      </c>
      <c r="AI42" s="164">
        <v>0.2</v>
      </c>
      <c r="AJ42" s="164">
        <v>0.2</v>
      </c>
      <c r="AK42" s="164">
        <v>0.625</v>
      </c>
      <c r="AL42" s="164">
        <v>0.5</v>
      </c>
      <c r="AM42" s="164">
        <v>0.66666669000000001</v>
      </c>
      <c r="AN42" s="164">
        <v>0.66666669000000001</v>
      </c>
    </row>
    <row r="43" spans="1:40" s="153" customFormat="1" ht="31.5" customHeight="1" x14ac:dyDescent="0.35">
      <c r="A43" s="154" t="s">
        <v>2344</v>
      </c>
      <c r="B43" s="152" t="s">
        <v>2345</v>
      </c>
      <c r="C43" s="184">
        <v>0.2608354</v>
      </c>
      <c r="D43" s="184">
        <v>0.2281145</v>
      </c>
      <c r="E43" s="184">
        <v>0</v>
      </c>
      <c r="F43" s="184">
        <v>0.57575759999999998</v>
      </c>
      <c r="G43" s="167">
        <v>0.14718614999999999</v>
      </c>
      <c r="H43" s="165">
        <v>0.17424242000000001</v>
      </c>
      <c r="I43" s="165">
        <v>0.35151514</v>
      </c>
      <c r="J43" s="165">
        <v>0.16528925</v>
      </c>
      <c r="K43" s="165">
        <v>8.6580089999999998E-2</v>
      </c>
      <c r="L43" s="165">
        <v>0.22895621999999999</v>
      </c>
      <c r="M43" s="165">
        <v>0</v>
      </c>
      <c r="N43" s="165">
        <v>0.22727273000000001</v>
      </c>
      <c r="O43" s="165">
        <v>0.25108224000000001</v>
      </c>
      <c r="P43" s="165">
        <v>0.28787878</v>
      </c>
      <c r="Q43" s="165">
        <v>0.12121212000000001</v>
      </c>
      <c r="R43" s="165">
        <v>0.19191918999999999</v>
      </c>
      <c r="S43" s="165">
        <v>0.29797980000000002</v>
      </c>
      <c r="T43" s="165">
        <v>0.20875421</v>
      </c>
      <c r="U43" s="165">
        <v>0.16161616000000001</v>
      </c>
      <c r="V43" s="165">
        <v>0.31601732999999999</v>
      </c>
      <c r="W43" s="165">
        <v>0.42424244</v>
      </c>
      <c r="X43" s="165">
        <v>0.57575756</v>
      </c>
      <c r="Y43" s="165">
        <v>0.12121212000000001</v>
      </c>
      <c r="Z43" s="165">
        <v>0.3131313</v>
      </c>
      <c r="AA43" s="165">
        <v>0.42857142999999998</v>
      </c>
      <c r="AB43" s="165">
        <v>0.15757576000000001</v>
      </c>
      <c r="AC43" s="165">
        <v>0.50216448000000002</v>
      </c>
      <c r="AD43" s="165">
        <v>0.20779221</v>
      </c>
      <c r="AE43" s="165">
        <v>0.26136363000000001</v>
      </c>
      <c r="AF43" s="165">
        <v>0.49350649000000002</v>
      </c>
      <c r="AG43" s="165">
        <v>0.29437228999999998</v>
      </c>
      <c r="AH43" s="165">
        <v>6.8181820000000004E-2</v>
      </c>
      <c r="AI43" s="165">
        <v>9.6969689999999997E-2</v>
      </c>
      <c r="AJ43" s="165">
        <v>0.20606060000000001</v>
      </c>
      <c r="AK43" s="165">
        <v>0.44696968999999998</v>
      </c>
      <c r="AL43" s="165">
        <v>0.14393939</v>
      </c>
      <c r="AM43" s="165">
        <v>0.43939393999999998</v>
      </c>
      <c r="AN43" s="165">
        <v>0.46969696999999999</v>
      </c>
    </row>
    <row r="44" spans="1:40" s="146" customFormat="1" ht="31.5" customHeight="1" x14ac:dyDescent="0.35">
      <c r="A44" s="147" t="s">
        <v>2349</v>
      </c>
      <c r="B44" s="148"/>
      <c r="C44" s="182">
        <v>0.60969850000000003</v>
      </c>
      <c r="D44" s="182">
        <v>0.60499999999999998</v>
      </c>
      <c r="E44" s="182">
        <v>0.14000000000000001</v>
      </c>
      <c r="F44" s="182">
        <v>0.92749999999999999</v>
      </c>
      <c r="G44" s="163">
        <v>0.42250000999999998</v>
      </c>
      <c r="H44" s="163">
        <v>0.14000000000000001</v>
      </c>
      <c r="I44" s="163">
        <v>0.625</v>
      </c>
      <c r="J44" s="163">
        <v>0.56833332999999997</v>
      </c>
      <c r="K44" s="163">
        <v>0.78250003000000001</v>
      </c>
      <c r="L44" s="163">
        <v>0.68000000999999999</v>
      </c>
      <c r="M44" s="163">
        <v>0.62</v>
      </c>
      <c r="N44" s="163">
        <v>0.63</v>
      </c>
      <c r="O44" s="163">
        <v>0.52666663999999996</v>
      </c>
      <c r="P44" s="163">
        <v>0.64333331999999999</v>
      </c>
      <c r="Q44" s="163">
        <v>0.45625000999999998</v>
      </c>
      <c r="R44" s="163">
        <v>0.51599996999999997</v>
      </c>
      <c r="S44" s="163">
        <v>0.32499999000000002</v>
      </c>
      <c r="T44" s="163">
        <v>0.72000003000000001</v>
      </c>
      <c r="U44" s="163">
        <v>0.56800002000000005</v>
      </c>
      <c r="V44" s="163">
        <v>0.76999998000000003</v>
      </c>
      <c r="W44" s="163">
        <v>0.81833332999999997</v>
      </c>
      <c r="X44" s="163">
        <v>0.92750001000000004</v>
      </c>
      <c r="Y44" s="163">
        <v>0.58999997000000004</v>
      </c>
      <c r="Z44" s="163">
        <v>0.86750000999999999</v>
      </c>
      <c r="AA44" s="163">
        <v>0.69199997000000002</v>
      </c>
      <c r="AB44" s="163">
        <v>0.55000000999999998</v>
      </c>
      <c r="AC44" s="163">
        <v>0.79500002000000003</v>
      </c>
      <c r="AD44" s="163">
        <v>0.41999998999999999</v>
      </c>
      <c r="AE44" s="163">
        <v>0.56000000000000005</v>
      </c>
      <c r="AF44" s="163">
        <v>0.88</v>
      </c>
      <c r="AG44" s="163">
        <v>0.66666669000000001</v>
      </c>
      <c r="AH44" s="163">
        <v>0.44499999000000001</v>
      </c>
      <c r="AI44" s="163">
        <v>0.50999998999999996</v>
      </c>
      <c r="AJ44" s="163">
        <v>0.58999997000000004</v>
      </c>
      <c r="AK44" s="163">
        <v>0.38999999000000002</v>
      </c>
      <c r="AL44" s="163">
        <v>0.57666664999999995</v>
      </c>
      <c r="AM44" s="163">
        <v>0.62250000000000005</v>
      </c>
      <c r="AN44" s="163">
        <v>0.83499997999999997</v>
      </c>
    </row>
    <row r="45" spans="1:40" s="153" customFormat="1" ht="31.5" customHeight="1" x14ac:dyDescent="0.35">
      <c r="A45" s="149" t="s">
        <v>2336</v>
      </c>
      <c r="B45" s="151" t="s">
        <v>2337</v>
      </c>
      <c r="C45" s="183">
        <v>0.69675240000000005</v>
      </c>
      <c r="D45" s="183">
        <v>0.69791669999999995</v>
      </c>
      <c r="E45" s="183">
        <v>0.25</v>
      </c>
      <c r="F45" s="183">
        <v>0.96875</v>
      </c>
      <c r="G45" s="166">
        <v>0.59375</v>
      </c>
      <c r="H45" s="164">
        <v>0.25</v>
      </c>
      <c r="I45" s="164">
        <v>0.6875</v>
      </c>
      <c r="J45" s="164">
        <v>0.625</v>
      </c>
      <c r="K45" s="164">
        <v>0.8125</v>
      </c>
      <c r="L45" s="164">
        <v>0.78125</v>
      </c>
      <c r="M45" s="164">
        <v>0.6875</v>
      </c>
      <c r="N45" s="164">
        <v>0.70833330999999999</v>
      </c>
      <c r="O45" s="164">
        <v>0.60416669000000001</v>
      </c>
      <c r="P45" s="164">
        <v>0.8125</v>
      </c>
      <c r="Q45" s="164">
        <v>0.5625</v>
      </c>
      <c r="R45" s="164">
        <v>0.60000001999999997</v>
      </c>
      <c r="S45" s="164">
        <v>0.3125</v>
      </c>
      <c r="T45" s="164">
        <v>0.875</v>
      </c>
      <c r="U45" s="164">
        <v>0.60000001999999997</v>
      </c>
      <c r="V45" s="164">
        <v>0.8125</v>
      </c>
      <c r="W45" s="164">
        <v>0.8125</v>
      </c>
      <c r="X45" s="164">
        <v>0.96875</v>
      </c>
      <c r="Y45" s="164">
        <v>0.625</v>
      </c>
      <c r="Z45" s="164">
        <v>0.96875</v>
      </c>
      <c r="AA45" s="164">
        <v>0.875</v>
      </c>
      <c r="AB45" s="164">
        <v>0.75</v>
      </c>
      <c r="AC45" s="164">
        <v>0.8125</v>
      </c>
      <c r="AD45" s="164">
        <v>0.375</v>
      </c>
      <c r="AE45" s="164">
        <v>0.75</v>
      </c>
      <c r="AF45" s="164">
        <v>0.875</v>
      </c>
      <c r="AG45" s="164">
        <v>0.83333330999999999</v>
      </c>
      <c r="AH45" s="164">
        <v>0.5</v>
      </c>
      <c r="AI45" s="164">
        <v>0.625</v>
      </c>
      <c r="AJ45" s="164">
        <v>0.6875</v>
      </c>
      <c r="AK45" s="164">
        <v>0.6875</v>
      </c>
      <c r="AL45" s="164">
        <v>0.625</v>
      </c>
      <c r="AM45" s="164">
        <v>0.71875</v>
      </c>
      <c r="AN45" s="164">
        <v>0.875</v>
      </c>
    </row>
    <row r="46" spans="1:40" s="153" customFormat="1" ht="31.5" customHeight="1" x14ac:dyDescent="0.35">
      <c r="A46" s="154" t="s">
        <v>2338</v>
      </c>
      <c r="B46" s="152" t="s">
        <v>2339</v>
      </c>
      <c r="C46" s="184">
        <v>0.37416670000000002</v>
      </c>
      <c r="D46" s="184">
        <v>0.315</v>
      </c>
      <c r="E46" s="184">
        <v>0</v>
      </c>
      <c r="F46" s="184">
        <v>0.9</v>
      </c>
      <c r="G46" s="167">
        <v>0.25</v>
      </c>
      <c r="H46" s="165">
        <v>0.2</v>
      </c>
      <c r="I46" s="165">
        <v>0.5</v>
      </c>
      <c r="J46" s="165">
        <v>0.36666666999999997</v>
      </c>
      <c r="K46" s="165">
        <v>0.60000001999999997</v>
      </c>
      <c r="L46" s="165">
        <v>0.5</v>
      </c>
      <c r="M46" s="165">
        <v>0.2</v>
      </c>
      <c r="N46" s="165">
        <v>0.53333335999999998</v>
      </c>
      <c r="O46" s="165">
        <v>0.13333333999999999</v>
      </c>
      <c r="P46" s="165">
        <v>0.60000001999999997</v>
      </c>
      <c r="Q46" s="165">
        <v>0.22499999000000001</v>
      </c>
      <c r="R46" s="165">
        <v>0.12</v>
      </c>
      <c r="S46" s="165">
        <v>0.40000001000000002</v>
      </c>
      <c r="T46" s="165">
        <v>0</v>
      </c>
      <c r="U46" s="165">
        <v>0.28000000000000003</v>
      </c>
      <c r="V46" s="165">
        <v>0.5</v>
      </c>
      <c r="W46" s="165">
        <v>0.83333330999999999</v>
      </c>
      <c r="X46" s="165">
        <v>0.89999998000000003</v>
      </c>
      <c r="Y46" s="165">
        <v>0.40000001000000002</v>
      </c>
      <c r="Z46" s="165">
        <v>0.69999999000000002</v>
      </c>
      <c r="AA46" s="165">
        <v>0.28000000000000003</v>
      </c>
      <c r="AB46" s="165">
        <v>0.2</v>
      </c>
      <c r="AC46" s="165">
        <v>0.64999998000000003</v>
      </c>
      <c r="AD46" s="165">
        <v>0.2</v>
      </c>
      <c r="AE46" s="165">
        <v>0</v>
      </c>
      <c r="AF46" s="165">
        <v>0.89999998000000003</v>
      </c>
      <c r="AG46" s="165">
        <v>0.2</v>
      </c>
      <c r="AH46" s="165">
        <v>0.1</v>
      </c>
      <c r="AI46" s="165">
        <v>0</v>
      </c>
      <c r="AJ46" s="165">
        <v>0.2</v>
      </c>
      <c r="AK46" s="165">
        <v>0.2</v>
      </c>
      <c r="AL46" s="165">
        <v>0.60000001999999997</v>
      </c>
      <c r="AM46" s="165">
        <v>0.34999998999999998</v>
      </c>
      <c r="AN46" s="165">
        <v>0.60000001999999997</v>
      </c>
    </row>
    <row r="47" spans="1:40" s="153" customFormat="1" ht="31.5" customHeight="1" x14ac:dyDescent="0.35">
      <c r="A47" s="149" t="s">
        <v>2340</v>
      </c>
      <c r="B47" s="151" t="s">
        <v>2341</v>
      </c>
      <c r="C47" s="183">
        <v>0.8534313</v>
      </c>
      <c r="D47" s="183">
        <v>1</v>
      </c>
      <c r="E47" s="183">
        <v>0</v>
      </c>
      <c r="F47" s="183">
        <v>1</v>
      </c>
      <c r="G47" s="166">
        <v>0.25</v>
      </c>
      <c r="H47" s="164">
        <v>0</v>
      </c>
      <c r="I47" s="164">
        <v>1</v>
      </c>
      <c r="J47" s="164">
        <v>1</v>
      </c>
      <c r="K47" s="164">
        <v>1</v>
      </c>
      <c r="L47" s="164">
        <v>1</v>
      </c>
      <c r="M47" s="164">
        <v>1</v>
      </c>
      <c r="N47" s="164">
        <v>1</v>
      </c>
      <c r="O47" s="164">
        <v>1</v>
      </c>
      <c r="P47" s="164">
        <v>0.83333330999999999</v>
      </c>
      <c r="Q47" s="164">
        <v>0.75</v>
      </c>
      <c r="R47" s="164">
        <v>0.80000000999999998</v>
      </c>
      <c r="S47" s="164">
        <v>0.5</v>
      </c>
      <c r="T47" s="164">
        <v>1</v>
      </c>
      <c r="U47" s="164">
        <v>1</v>
      </c>
      <c r="V47" s="164">
        <v>1</v>
      </c>
      <c r="W47" s="164">
        <v>1</v>
      </c>
      <c r="X47" s="164">
        <v>1</v>
      </c>
      <c r="Y47" s="164">
        <v>1</v>
      </c>
      <c r="Z47" s="164">
        <v>1</v>
      </c>
      <c r="AA47" s="164">
        <v>0.80000000999999998</v>
      </c>
      <c r="AB47" s="164">
        <v>1</v>
      </c>
      <c r="AC47" s="164">
        <v>1</v>
      </c>
      <c r="AD47" s="164">
        <v>1</v>
      </c>
      <c r="AE47" s="164">
        <v>1</v>
      </c>
      <c r="AF47" s="164">
        <v>1</v>
      </c>
      <c r="AG47" s="164">
        <v>1</v>
      </c>
      <c r="AH47" s="164">
        <v>1</v>
      </c>
      <c r="AI47" s="164">
        <v>1</v>
      </c>
      <c r="AJ47" s="164">
        <v>0.66666669000000001</v>
      </c>
      <c r="AK47" s="164">
        <v>0</v>
      </c>
      <c r="AL47" s="164">
        <v>0.66666669000000001</v>
      </c>
      <c r="AM47" s="164">
        <v>0.75</v>
      </c>
      <c r="AN47" s="164">
        <v>1</v>
      </c>
    </row>
    <row r="48" spans="1:40" s="153" customFormat="1" ht="31.5" customHeight="1" x14ac:dyDescent="0.35">
      <c r="A48" s="154" t="s">
        <v>2344</v>
      </c>
      <c r="B48" s="152" t="s">
        <v>2345</v>
      </c>
      <c r="C48" s="184">
        <v>0.42738969999999998</v>
      </c>
      <c r="D48" s="184">
        <v>0.37083329999999998</v>
      </c>
      <c r="E48" s="184">
        <v>0</v>
      </c>
      <c r="F48" s="184">
        <v>0.85</v>
      </c>
      <c r="G48" s="167">
        <v>0.42500000999999998</v>
      </c>
      <c r="H48" s="165">
        <v>0</v>
      </c>
      <c r="I48" s="165">
        <v>0.25</v>
      </c>
      <c r="J48" s="165">
        <v>0.22499999000000001</v>
      </c>
      <c r="K48" s="165">
        <v>0.6875</v>
      </c>
      <c r="L48" s="165">
        <v>0.33750001000000002</v>
      </c>
      <c r="M48" s="165">
        <v>0.52499998000000003</v>
      </c>
      <c r="N48" s="165">
        <v>0.2</v>
      </c>
      <c r="O48" s="165">
        <v>0.29166666000000002</v>
      </c>
      <c r="P48" s="165">
        <v>0.15833332999999999</v>
      </c>
      <c r="Q48" s="165">
        <v>0.18125000999999999</v>
      </c>
      <c r="R48" s="165">
        <v>0.46000001000000001</v>
      </c>
      <c r="S48" s="165">
        <v>0.1</v>
      </c>
      <c r="T48" s="165">
        <v>0.85000001999999997</v>
      </c>
      <c r="U48" s="165">
        <v>0.36000000999999998</v>
      </c>
      <c r="V48" s="165">
        <v>0.72500001999999997</v>
      </c>
      <c r="W48" s="165">
        <v>0.63333333000000003</v>
      </c>
      <c r="X48" s="165">
        <v>0.80000000999999998</v>
      </c>
      <c r="Y48" s="165">
        <v>0.30000000999999998</v>
      </c>
      <c r="Z48" s="165">
        <v>0.69999999000000002</v>
      </c>
      <c r="AA48" s="165">
        <v>0.63</v>
      </c>
      <c r="AB48" s="165">
        <v>0.05</v>
      </c>
      <c r="AC48" s="165">
        <v>0.69999999000000002</v>
      </c>
      <c r="AD48" s="165">
        <v>0.15000000999999999</v>
      </c>
      <c r="AE48" s="165">
        <v>0.30000000999999998</v>
      </c>
      <c r="AF48" s="165">
        <v>0.75</v>
      </c>
      <c r="AG48" s="165">
        <v>0.46666667000000001</v>
      </c>
      <c r="AH48" s="165">
        <v>0.125</v>
      </c>
      <c r="AI48" s="165">
        <v>0.30000000999999998</v>
      </c>
      <c r="AJ48" s="165">
        <v>0.70833330999999999</v>
      </c>
      <c r="AK48" s="165">
        <v>0.375</v>
      </c>
      <c r="AL48" s="165">
        <v>0.36666666999999997</v>
      </c>
      <c r="AM48" s="165">
        <v>0.57499999000000002</v>
      </c>
      <c r="AN48" s="165">
        <v>0.82499999000000002</v>
      </c>
    </row>
    <row r="49" spans="1:40" s="146" customFormat="1" ht="31.5" customHeight="1" x14ac:dyDescent="0.35">
      <c r="A49" s="147" t="s">
        <v>2350</v>
      </c>
      <c r="B49" s="148"/>
      <c r="C49" s="182">
        <v>0.52363159999999997</v>
      </c>
      <c r="D49" s="182">
        <v>0.5</v>
      </c>
      <c r="E49" s="182">
        <v>0.15</v>
      </c>
      <c r="F49" s="182">
        <v>0.89500000000000002</v>
      </c>
      <c r="G49" s="163">
        <v>0.45714285999999998</v>
      </c>
      <c r="H49" s="163">
        <v>0.38499999000000001</v>
      </c>
      <c r="I49" s="163">
        <v>0.62</v>
      </c>
      <c r="J49" s="163">
        <v>0.43000000999999999</v>
      </c>
      <c r="K49" s="163">
        <v>0.71799999000000003</v>
      </c>
      <c r="L49" s="163">
        <v>0.67250001000000004</v>
      </c>
      <c r="M49" s="163">
        <v>0.73714285999999996</v>
      </c>
      <c r="N49" s="163">
        <v>0.44800001</v>
      </c>
      <c r="O49" s="163">
        <v>0.30500000999999999</v>
      </c>
      <c r="P49" s="163">
        <v>0.35749998999999999</v>
      </c>
      <c r="Q49" s="163">
        <v>0.20999999</v>
      </c>
      <c r="R49" s="163">
        <v>0.54000002000000003</v>
      </c>
      <c r="S49" s="163">
        <v>0.5</v>
      </c>
      <c r="T49" s="163">
        <v>0.89499998000000003</v>
      </c>
      <c r="U49" s="163">
        <v>0.21333334000000001</v>
      </c>
      <c r="V49" s="163">
        <v>0.49250000999999999</v>
      </c>
      <c r="W49" s="163">
        <v>0.44999999000000002</v>
      </c>
      <c r="X49" s="163">
        <v>0.51749997999999997</v>
      </c>
      <c r="Y49" s="163">
        <v>0.43200000999999999</v>
      </c>
      <c r="Z49" s="163">
        <v>0.70749998000000003</v>
      </c>
      <c r="AA49" s="163">
        <v>0.70749998000000003</v>
      </c>
      <c r="AB49" s="163">
        <v>0.31</v>
      </c>
      <c r="AC49" s="163">
        <v>0.67000002000000003</v>
      </c>
      <c r="AD49" s="163">
        <v>0.15000000999999999</v>
      </c>
      <c r="AE49" s="163">
        <v>0.49428569999999999</v>
      </c>
      <c r="AF49" s="163">
        <v>0.32749999000000002</v>
      </c>
      <c r="AG49" s="163">
        <v>0.43000000999999999</v>
      </c>
      <c r="AH49" s="163">
        <v>0.5</v>
      </c>
      <c r="AI49" s="163">
        <v>0.58857143000000001</v>
      </c>
      <c r="AJ49" s="163">
        <v>0.69999999000000002</v>
      </c>
      <c r="AK49" s="163">
        <v>0.82499999000000002</v>
      </c>
      <c r="AL49" s="163">
        <v>0.58249998000000003</v>
      </c>
      <c r="AM49" s="163">
        <v>0.64999998000000003</v>
      </c>
      <c r="AN49" s="163">
        <v>0.77999996999999999</v>
      </c>
    </row>
    <row r="50" spans="1:40" s="153" customFormat="1" ht="31.5" customHeight="1" x14ac:dyDescent="0.35">
      <c r="A50" s="149" t="s">
        <v>2336</v>
      </c>
      <c r="B50" s="151" t="s">
        <v>2337</v>
      </c>
      <c r="C50" s="183">
        <v>0.50350490000000003</v>
      </c>
      <c r="D50" s="183">
        <v>0.51488100000000003</v>
      </c>
      <c r="E50" s="183">
        <v>7.4999999999999997E-2</v>
      </c>
      <c r="F50" s="183">
        <v>0.8125</v>
      </c>
      <c r="G50" s="166">
        <v>0.43571427000000001</v>
      </c>
      <c r="H50" s="164">
        <v>0.2</v>
      </c>
      <c r="I50" s="164">
        <v>0.67000002000000003</v>
      </c>
      <c r="J50" s="164">
        <v>0.52499998000000003</v>
      </c>
      <c r="K50" s="164">
        <v>0.64999998000000003</v>
      </c>
      <c r="L50" s="164">
        <v>0.63749999000000002</v>
      </c>
      <c r="M50" s="164">
        <v>0.48571428999999999</v>
      </c>
      <c r="N50" s="164">
        <v>0.56999999000000001</v>
      </c>
      <c r="O50" s="164">
        <v>7.4999999999999997E-2</v>
      </c>
      <c r="P50" s="164">
        <v>0.36250000999999998</v>
      </c>
      <c r="Q50" s="164">
        <v>0.30000000999999998</v>
      </c>
      <c r="R50" s="164">
        <v>0.52142858999999997</v>
      </c>
      <c r="S50" s="164">
        <v>0.63</v>
      </c>
      <c r="T50" s="164">
        <v>0.77499998000000003</v>
      </c>
      <c r="U50" s="164">
        <v>0.23333333000000001</v>
      </c>
      <c r="V50" s="164">
        <v>0.46250001000000002</v>
      </c>
      <c r="W50" s="164">
        <v>0.34999998999999998</v>
      </c>
      <c r="X50" s="164">
        <v>0.75</v>
      </c>
      <c r="Y50" s="164">
        <v>0.34</v>
      </c>
      <c r="Z50" s="164">
        <v>0.8125</v>
      </c>
      <c r="AA50" s="164">
        <v>0.8125</v>
      </c>
      <c r="AB50" s="164">
        <v>0.30000000999999998</v>
      </c>
      <c r="AC50" s="164">
        <v>0.50833333000000003</v>
      </c>
      <c r="AD50" s="164">
        <v>0.1875</v>
      </c>
      <c r="AE50" s="164">
        <v>0.54285717</v>
      </c>
      <c r="AF50" s="164">
        <v>0.5</v>
      </c>
      <c r="AG50" s="164">
        <v>0.43000000999999999</v>
      </c>
      <c r="AH50" s="164">
        <v>0.5</v>
      </c>
      <c r="AI50" s="164">
        <v>0.5642857</v>
      </c>
      <c r="AJ50" s="164">
        <v>0.44999999000000002</v>
      </c>
      <c r="AK50" s="164">
        <v>0.78750001999999997</v>
      </c>
      <c r="AL50" s="164">
        <v>0.57499999000000002</v>
      </c>
      <c r="AM50" s="164">
        <v>0.52499998000000003</v>
      </c>
      <c r="AN50" s="164">
        <v>0.64999998000000003</v>
      </c>
    </row>
    <row r="51" spans="1:40" s="153" customFormat="1" ht="31.5" customHeight="1" x14ac:dyDescent="0.35">
      <c r="A51" s="154" t="s">
        <v>2338</v>
      </c>
      <c r="B51" s="152" t="s">
        <v>2339</v>
      </c>
      <c r="C51" s="184">
        <v>0.61276079999999999</v>
      </c>
      <c r="D51" s="184">
        <v>0.63375000000000004</v>
      </c>
      <c r="E51" s="184">
        <v>6.25E-2</v>
      </c>
      <c r="F51" s="184">
        <v>1</v>
      </c>
      <c r="G51" s="167">
        <v>0.48571428999999999</v>
      </c>
      <c r="H51" s="165">
        <v>0.375</v>
      </c>
      <c r="I51" s="165">
        <v>0.82999997999999997</v>
      </c>
      <c r="J51" s="165">
        <v>0.4375</v>
      </c>
      <c r="K51" s="165">
        <v>0.69999999000000002</v>
      </c>
      <c r="L51" s="165">
        <v>0.76249999000000002</v>
      </c>
      <c r="M51" s="165">
        <v>0.75</v>
      </c>
      <c r="N51" s="165">
        <v>0.47</v>
      </c>
      <c r="O51" s="165">
        <v>0.25</v>
      </c>
      <c r="P51" s="165">
        <v>0.4375</v>
      </c>
      <c r="Q51" s="165">
        <v>0.625</v>
      </c>
      <c r="R51" s="165">
        <v>0.73571425999999995</v>
      </c>
      <c r="S51" s="165">
        <v>0.63</v>
      </c>
      <c r="T51" s="165">
        <v>1</v>
      </c>
      <c r="U51" s="165">
        <v>0.25</v>
      </c>
      <c r="V51" s="165">
        <v>0.6875</v>
      </c>
      <c r="W51" s="165">
        <v>0.40000001000000002</v>
      </c>
      <c r="X51" s="165">
        <v>0.5</v>
      </c>
      <c r="Y51" s="165">
        <v>0.55000000999999998</v>
      </c>
      <c r="Z51" s="165">
        <v>0.78750001999999997</v>
      </c>
      <c r="AA51" s="165">
        <v>0.8125</v>
      </c>
      <c r="AB51" s="165">
        <v>0.625</v>
      </c>
      <c r="AC51" s="165">
        <v>0.65833335999999998</v>
      </c>
      <c r="AD51" s="165">
        <v>6.25E-2</v>
      </c>
      <c r="AE51" s="165">
        <v>0.62857145000000003</v>
      </c>
      <c r="AF51" s="165">
        <v>0.63749999000000002</v>
      </c>
      <c r="AG51" s="165">
        <v>0.5</v>
      </c>
      <c r="AH51" s="165">
        <v>0.5</v>
      </c>
      <c r="AI51" s="165">
        <v>0.66428571999999997</v>
      </c>
      <c r="AJ51" s="165">
        <v>0.85000001999999997</v>
      </c>
      <c r="AK51" s="165">
        <v>0.89999998000000003</v>
      </c>
      <c r="AL51" s="165">
        <v>0.72500001999999997</v>
      </c>
      <c r="AM51" s="165">
        <v>0.70625000999999998</v>
      </c>
      <c r="AN51" s="165">
        <v>0.89999998000000003</v>
      </c>
    </row>
    <row r="52" spans="1:40" s="153" customFormat="1" ht="31.5" customHeight="1" x14ac:dyDescent="0.35">
      <c r="A52" s="149" t="s">
        <v>2340</v>
      </c>
      <c r="B52" s="151" t="s">
        <v>2341</v>
      </c>
      <c r="C52" s="183">
        <v>0.72960440000000004</v>
      </c>
      <c r="D52" s="183">
        <v>0.77500000000000002</v>
      </c>
      <c r="E52" s="183">
        <v>0</v>
      </c>
      <c r="F52" s="183">
        <v>1</v>
      </c>
      <c r="G52" s="166">
        <v>0.85714287</v>
      </c>
      <c r="H52" s="164">
        <v>1</v>
      </c>
      <c r="I52" s="164">
        <v>0.60000001999999997</v>
      </c>
      <c r="J52" s="164">
        <v>0.375</v>
      </c>
      <c r="K52" s="164">
        <v>0.89999998000000003</v>
      </c>
      <c r="L52" s="164">
        <v>0.75</v>
      </c>
      <c r="M52" s="164">
        <v>1</v>
      </c>
      <c r="N52" s="164">
        <v>0.69999999000000002</v>
      </c>
      <c r="O52" s="164">
        <v>0.75</v>
      </c>
      <c r="P52" s="164">
        <v>0.5</v>
      </c>
      <c r="Q52" s="164">
        <v>0</v>
      </c>
      <c r="R52" s="164">
        <v>0.85714287</v>
      </c>
      <c r="S52" s="164">
        <v>0.40000001000000002</v>
      </c>
      <c r="T52" s="164">
        <v>1</v>
      </c>
      <c r="U52" s="164">
        <v>0.33333333999999998</v>
      </c>
      <c r="V52" s="164">
        <v>0.75</v>
      </c>
      <c r="W52" s="164">
        <v>1</v>
      </c>
      <c r="X52" s="164">
        <v>0.5</v>
      </c>
      <c r="Y52" s="164">
        <v>0.80000000999999998</v>
      </c>
      <c r="Z52" s="164">
        <v>0.875</v>
      </c>
      <c r="AA52" s="164">
        <v>1</v>
      </c>
      <c r="AB52" s="164">
        <v>0.5</v>
      </c>
      <c r="AC52" s="164">
        <v>1</v>
      </c>
      <c r="AD52" s="164">
        <v>0.375</v>
      </c>
      <c r="AE52" s="164">
        <v>0.71428572999999995</v>
      </c>
      <c r="AF52" s="164">
        <v>0.375</v>
      </c>
      <c r="AG52" s="164">
        <v>0.60000001999999997</v>
      </c>
      <c r="AH52" s="164">
        <v>1</v>
      </c>
      <c r="AI52" s="164">
        <v>0.85714287</v>
      </c>
      <c r="AJ52" s="164">
        <v>1</v>
      </c>
      <c r="AK52" s="164">
        <v>0.875</v>
      </c>
      <c r="AL52" s="164">
        <v>0.75</v>
      </c>
      <c r="AM52" s="164">
        <v>0.8125</v>
      </c>
      <c r="AN52" s="164">
        <v>1</v>
      </c>
    </row>
    <row r="53" spans="1:40" s="153" customFormat="1" ht="31.5" customHeight="1" x14ac:dyDescent="0.35">
      <c r="A53" s="154" t="s">
        <v>2342</v>
      </c>
      <c r="B53" s="152" t="s">
        <v>2343</v>
      </c>
      <c r="C53" s="184">
        <v>0.4726803</v>
      </c>
      <c r="D53" s="184">
        <v>0.5</v>
      </c>
      <c r="E53" s="184">
        <v>0.125</v>
      </c>
      <c r="F53" s="184">
        <v>1</v>
      </c>
      <c r="G53" s="167">
        <v>0.39285713</v>
      </c>
      <c r="H53" s="165">
        <v>0.25</v>
      </c>
      <c r="I53" s="165">
        <v>0.60000001999999997</v>
      </c>
      <c r="J53" s="165">
        <v>0.5625</v>
      </c>
      <c r="K53" s="165">
        <v>0.69999999000000002</v>
      </c>
      <c r="L53" s="165">
        <v>0.5625</v>
      </c>
      <c r="M53" s="165">
        <v>0.82142859999999995</v>
      </c>
      <c r="N53" s="165">
        <v>0.30000000999999998</v>
      </c>
      <c r="O53" s="165">
        <v>0.25</v>
      </c>
      <c r="P53" s="165">
        <v>0.1875</v>
      </c>
      <c r="Q53" s="165">
        <v>0.125</v>
      </c>
      <c r="R53" s="165">
        <v>0.5</v>
      </c>
      <c r="S53" s="165">
        <v>0.40000001000000002</v>
      </c>
      <c r="T53" s="165">
        <v>1</v>
      </c>
      <c r="U53" s="165">
        <v>0.25</v>
      </c>
      <c r="V53" s="165">
        <v>0.3125</v>
      </c>
      <c r="W53" s="165">
        <v>0.5</v>
      </c>
      <c r="X53" s="165">
        <v>0.4375</v>
      </c>
      <c r="Y53" s="165">
        <v>0.34999998999999998</v>
      </c>
      <c r="Z53" s="165">
        <v>0.5625</v>
      </c>
      <c r="AA53" s="165">
        <v>0.5625</v>
      </c>
      <c r="AB53" s="165">
        <v>0.125</v>
      </c>
      <c r="AC53" s="165">
        <v>0.75</v>
      </c>
      <c r="AD53" s="165">
        <v>0.125</v>
      </c>
      <c r="AE53" s="165">
        <v>0.5</v>
      </c>
      <c r="AF53" s="165">
        <v>0.125</v>
      </c>
      <c r="AG53" s="165">
        <v>0.30000000999999998</v>
      </c>
      <c r="AH53" s="165">
        <v>0.5</v>
      </c>
      <c r="AI53" s="165">
        <v>0.57142859999999995</v>
      </c>
      <c r="AJ53" s="165">
        <v>0.66666669000000001</v>
      </c>
      <c r="AK53" s="165">
        <v>0.8125</v>
      </c>
      <c r="AL53" s="165">
        <v>0.5625</v>
      </c>
      <c r="AM53" s="165">
        <v>0.65625</v>
      </c>
      <c r="AN53" s="165">
        <v>0.75</v>
      </c>
    </row>
    <row r="54" spans="1:40" s="153" customFormat="1" ht="31.5" customHeight="1" x14ac:dyDescent="0.35">
      <c r="A54" s="149" t="s">
        <v>2344</v>
      </c>
      <c r="B54" s="151" t="s">
        <v>2345</v>
      </c>
      <c r="C54" s="183">
        <v>0.29960779999999998</v>
      </c>
      <c r="D54" s="183">
        <v>0.29285709999999998</v>
      </c>
      <c r="E54" s="183">
        <v>0</v>
      </c>
      <c r="F54" s="183">
        <v>0.75</v>
      </c>
      <c r="G54" s="166">
        <v>0.11428571</v>
      </c>
      <c r="H54" s="164">
        <v>0.1</v>
      </c>
      <c r="I54" s="164">
        <v>0.40000001000000002</v>
      </c>
      <c r="J54" s="164">
        <v>0.25</v>
      </c>
      <c r="K54" s="164">
        <v>0.63999998999999996</v>
      </c>
      <c r="L54" s="164">
        <v>0.64999998000000003</v>
      </c>
      <c r="M54" s="164">
        <v>0.62857145000000003</v>
      </c>
      <c r="N54" s="164">
        <v>0.2</v>
      </c>
      <c r="O54" s="164">
        <v>0.2</v>
      </c>
      <c r="P54" s="164">
        <v>0.30000000999999998</v>
      </c>
      <c r="Q54" s="164">
        <v>0</v>
      </c>
      <c r="R54" s="164">
        <v>8.5714289999999999E-2</v>
      </c>
      <c r="S54" s="164">
        <v>0.44</v>
      </c>
      <c r="T54" s="164">
        <v>0.69999999000000002</v>
      </c>
      <c r="U54" s="164">
        <v>0</v>
      </c>
      <c r="V54" s="164">
        <v>0.25</v>
      </c>
      <c r="W54" s="164">
        <v>0</v>
      </c>
      <c r="X54" s="164">
        <v>0.40000001000000002</v>
      </c>
      <c r="Y54" s="164">
        <v>0.12</v>
      </c>
      <c r="Z54" s="164">
        <v>0.5</v>
      </c>
      <c r="AA54" s="164">
        <v>0.34999998999999998</v>
      </c>
      <c r="AB54" s="164">
        <v>0</v>
      </c>
      <c r="AC54" s="164">
        <v>0.43333334000000001</v>
      </c>
      <c r="AD54" s="164">
        <v>0</v>
      </c>
      <c r="AE54" s="164">
        <v>8.5714289999999999E-2</v>
      </c>
      <c r="AF54" s="164">
        <v>0</v>
      </c>
      <c r="AG54" s="164">
        <v>0.31999999000000001</v>
      </c>
      <c r="AH54" s="164">
        <v>0</v>
      </c>
      <c r="AI54" s="164">
        <v>0.28571429999999998</v>
      </c>
      <c r="AJ54" s="164">
        <v>0.53333335999999998</v>
      </c>
      <c r="AK54" s="164">
        <v>0.75</v>
      </c>
      <c r="AL54" s="164">
        <v>0.30000000999999998</v>
      </c>
      <c r="AM54" s="164">
        <v>0.55000000999999998</v>
      </c>
      <c r="AN54" s="164">
        <v>0.60000001999999997</v>
      </c>
    </row>
    <row r="55" spans="1:40" s="146" customFormat="1" ht="31.5" customHeight="1" x14ac:dyDescent="0.35">
      <c r="A55" s="147" t="s">
        <v>2351</v>
      </c>
      <c r="B55" s="148"/>
      <c r="C55" s="182">
        <v>0.4050705</v>
      </c>
      <c r="D55" s="182">
        <v>0.38300000000000001</v>
      </c>
      <c r="E55" s="182">
        <v>0.11812499999999999</v>
      </c>
      <c r="F55" s="182">
        <v>0.69666669999999997</v>
      </c>
      <c r="G55" s="163">
        <v>0.23499999999999999</v>
      </c>
      <c r="H55" s="163">
        <v>0.39166667999999999</v>
      </c>
      <c r="I55" s="163">
        <v>0.38749999000000002</v>
      </c>
      <c r="J55" s="163">
        <v>0.38299999000000001</v>
      </c>
      <c r="K55" s="163">
        <v>0.59750002999999996</v>
      </c>
      <c r="L55" s="163">
        <v>0.45249999000000002</v>
      </c>
      <c r="M55" s="163"/>
      <c r="N55" s="163">
        <v>0.34250000000000003</v>
      </c>
      <c r="O55" s="163">
        <v>0.11812499999999999</v>
      </c>
      <c r="P55" s="163">
        <v>0.25749999000000001</v>
      </c>
      <c r="Q55" s="163">
        <v>0.20499999999999999</v>
      </c>
      <c r="R55" s="163">
        <v>0.375</v>
      </c>
      <c r="S55" s="163">
        <v>0.40333333999999998</v>
      </c>
      <c r="T55" s="163">
        <v>0.61750000999999999</v>
      </c>
      <c r="U55" s="163">
        <v>0.2175</v>
      </c>
      <c r="V55" s="163">
        <v>0.53600000999999997</v>
      </c>
      <c r="W55" s="163">
        <v>0.62</v>
      </c>
      <c r="X55" s="163">
        <v>0.6842857</v>
      </c>
      <c r="Y55" s="163">
        <v>0.36166668000000002</v>
      </c>
      <c r="Z55" s="163">
        <v>0.63833331999999998</v>
      </c>
      <c r="AA55" s="163">
        <v>0.62124997000000004</v>
      </c>
      <c r="AB55" s="163">
        <v>0.22833334</v>
      </c>
      <c r="AC55" s="163">
        <v>0.61624997999999997</v>
      </c>
      <c r="AD55" s="163">
        <v>0.17100000000000001</v>
      </c>
      <c r="AE55" s="163">
        <v>0.41249998999999998</v>
      </c>
      <c r="AF55" s="163">
        <v>0.32916667999999999</v>
      </c>
      <c r="AG55" s="163">
        <v>0.32600000000000001</v>
      </c>
      <c r="AH55" s="163">
        <v>0.30000000999999998</v>
      </c>
      <c r="AI55" s="163">
        <v>0.36375001000000001</v>
      </c>
      <c r="AJ55" s="163">
        <v>0.2</v>
      </c>
      <c r="AK55" s="163">
        <v>0.59100001999999996</v>
      </c>
      <c r="AL55" s="163">
        <v>0.69666665999999999</v>
      </c>
      <c r="AM55" s="163">
        <v>0.45124998999999999</v>
      </c>
      <c r="AN55" s="163">
        <v>0.23624999999999999</v>
      </c>
    </row>
    <row r="56" spans="1:40" s="153" customFormat="1" ht="31.5" customHeight="1" x14ac:dyDescent="0.35">
      <c r="A56" s="149" t="s">
        <v>2336</v>
      </c>
      <c r="B56" s="151" t="s">
        <v>2337</v>
      </c>
      <c r="C56" s="183">
        <v>0.40912609999999999</v>
      </c>
      <c r="D56" s="183">
        <v>0.39166669999999998</v>
      </c>
      <c r="E56" s="183">
        <v>6.5625000000000003E-2</v>
      </c>
      <c r="F56" s="183">
        <v>0.8142857</v>
      </c>
      <c r="G56" s="166">
        <v>9.5000000000000001E-2</v>
      </c>
      <c r="H56" s="164">
        <v>0.39166667999999999</v>
      </c>
      <c r="I56" s="164">
        <v>0.41249998999999998</v>
      </c>
      <c r="J56" s="164">
        <v>0.60500001999999997</v>
      </c>
      <c r="K56" s="164">
        <v>0.48750000999999998</v>
      </c>
      <c r="L56" s="164">
        <v>0.57499999000000002</v>
      </c>
      <c r="M56" s="164"/>
      <c r="N56" s="164">
        <v>0.34999998999999998</v>
      </c>
      <c r="O56" s="164">
        <v>6.5625000000000003E-2</v>
      </c>
      <c r="P56" s="164">
        <v>0.26249999000000002</v>
      </c>
      <c r="Q56" s="164">
        <v>0.33333333999999998</v>
      </c>
      <c r="R56" s="164">
        <v>0.315</v>
      </c>
      <c r="S56" s="164">
        <v>0.44999999000000002</v>
      </c>
      <c r="T56" s="164">
        <v>0.49583334000000001</v>
      </c>
      <c r="U56" s="164">
        <v>0.125</v>
      </c>
      <c r="V56" s="164">
        <v>0.5</v>
      </c>
      <c r="W56" s="164">
        <v>0.76666665000000001</v>
      </c>
      <c r="X56" s="164">
        <v>0.8142857</v>
      </c>
      <c r="Y56" s="164">
        <v>0.30833334000000001</v>
      </c>
      <c r="Z56" s="164">
        <v>0.67500000999999998</v>
      </c>
      <c r="AA56" s="164">
        <v>0.68124998000000003</v>
      </c>
      <c r="AB56" s="164">
        <v>0.30000000999999998</v>
      </c>
      <c r="AC56" s="164">
        <v>0.64375000999999998</v>
      </c>
      <c r="AD56" s="164">
        <v>0.155</v>
      </c>
      <c r="AE56" s="164">
        <v>0.48750000999999998</v>
      </c>
      <c r="AF56" s="164">
        <v>0.46250001000000002</v>
      </c>
      <c r="AG56" s="164">
        <v>0.30000000999999998</v>
      </c>
      <c r="AH56" s="164">
        <v>0.31999999000000001</v>
      </c>
      <c r="AI56" s="164">
        <v>0.30625001000000002</v>
      </c>
      <c r="AJ56" s="164">
        <v>0.1</v>
      </c>
      <c r="AK56" s="164">
        <v>0.625</v>
      </c>
      <c r="AL56" s="164">
        <v>0.36666666999999997</v>
      </c>
      <c r="AM56" s="164">
        <v>0.44374998999999998</v>
      </c>
      <c r="AN56" s="164">
        <v>0.28125</v>
      </c>
    </row>
    <row r="57" spans="1:40" s="153" customFormat="1" ht="31.5" customHeight="1" x14ac:dyDescent="0.35">
      <c r="A57" s="154" t="s">
        <v>2338</v>
      </c>
      <c r="B57" s="152" t="s">
        <v>2339</v>
      </c>
      <c r="C57" s="184">
        <v>0.39153680000000002</v>
      </c>
      <c r="D57" s="184">
        <v>0.33750000000000002</v>
      </c>
      <c r="E57" s="184">
        <v>0</v>
      </c>
      <c r="F57" s="184">
        <v>0.73750000000000004</v>
      </c>
      <c r="G57" s="167">
        <v>0.25999999000000001</v>
      </c>
      <c r="H57" s="165">
        <v>0.36666666999999997</v>
      </c>
      <c r="I57" s="165">
        <v>0.2</v>
      </c>
      <c r="J57" s="165">
        <v>0.5</v>
      </c>
      <c r="K57" s="165">
        <v>0.625</v>
      </c>
      <c r="L57" s="165">
        <v>0.60000001999999997</v>
      </c>
      <c r="M57" s="165"/>
      <c r="N57" s="165">
        <v>0.33750001000000002</v>
      </c>
      <c r="O57" s="165">
        <v>0.1</v>
      </c>
      <c r="P57" s="165">
        <v>0.30000000999999998</v>
      </c>
      <c r="Q57" s="165">
        <v>0.18333334000000001</v>
      </c>
      <c r="R57" s="165">
        <v>0.27000001000000001</v>
      </c>
      <c r="S57" s="165">
        <v>0.44999999000000002</v>
      </c>
      <c r="T57" s="165">
        <v>0.49166666999999997</v>
      </c>
      <c r="U57" s="165">
        <v>0.30000000999999998</v>
      </c>
      <c r="V57" s="165">
        <v>0.63999998999999996</v>
      </c>
      <c r="W57" s="165">
        <v>0.64999998000000003</v>
      </c>
      <c r="X57" s="165">
        <v>0.63571429000000002</v>
      </c>
      <c r="Y57" s="165">
        <v>0.31666665999999999</v>
      </c>
      <c r="Z57" s="165">
        <v>0.63333333000000003</v>
      </c>
      <c r="AA57" s="165">
        <v>0.73750000999999998</v>
      </c>
      <c r="AB57" s="165">
        <v>0.26666667999999999</v>
      </c>
      <c r="AC57" s="165">
        <v>0.61250000999999998</v>
      </c>
      <c r="AD57" s="165">
        <v>0.13</v>
      </c>
      <c r="AE57" s="165">
        <v>0.46666667000000001</v>
      </c>
      <c r="AF57" s="165">
        <v>0.29166666000000002</v>
      </c>
      <c r="AG57" s="165">
        <v>0.22</v>
      </c>
      <c r="AH57" s="165">
        <v>0.23999999</v>
      </c>
      <c r="AI57" s="165">
        <v>0.27500001000000002</v>
      </c>
      <c r="AJ57" s="165">
        <v>0</v>
      </c>
      <c r="AK57" s="165">
        <v>0.55000000999999998</v>
      </c>
      <c r="AL57" s="165">
        <v>0.58333330999999999</v>
      </c>
      <c r="AM57" s="165">
        <v>0.46250001000000002</v>
      </c>
      <c r="AN57" s="165">
        <v>0.22499999000000001</v>
      </c>
    </row>
    <row r="58" spans="1:40" s="153" customFormat="1" ht="31.5" customHeight="1" x14ac:dyDescent="0.35">
      <c r="A58" s="149" t="s">
        <v>2340</v>
      </c>
      <c r="B58" s="151" t="s">
        <v>2341</v>
      </c>
      <c r="C58" s="183">
        <v>0.47768759999999999</v>
      </c>
      <c r="D58" s="183">
        <v>0.5</v>
      </c>
      <c r="E58" s="183">
        <v>0</v>
      </c>
      <c r="F58" s="183">
        <v>1</v>
      </c>
      <c r="G58" s="166">
        <v>0.5</v>
      </c>
      <c r="H58" s="164">
        <v>0.66666669000000001</v>
      </c>
      <c r="I58" s="164">
        <v>0.5</v>
      </c>
      <c r="J58" s="164">
        <v>0.5</v>
      </c>
      <c r="K58" s="164">
        <v>0.75</v>
      </c>
      <c r="L58" s="164">
        <v>0.375</v>
      </c>
      <c r="M58" s="164"/>
      <c r="N58" s="164">
        <v>0.5</v>
      </c>
      <c r="O58" s="164">
        <v>6.25E-2</v>
      </c>
      <c r="P58" s="164">
        <v>0.25</v>
      </c>
      <c r="Q58" s="164">
        <v>0.25</v>
      </c>
      <c r="R58" s="164">
        <v>0.60000001999999997</v>
      </c>
      <c r="S58" s="164">
        <v>0.25</v>
      </c>
      <c r="T58" s="164">
        <v>0.91666669000000001</v>
      </c>
      <c r="U58" s="164">
        <v>0.125</v>
      </c>
      <c r="V58" s="164">
        <v>0.5</v>
      </c>
      <c r="W58" s="164">
        <v>0.33333333999999998</v>
      </c>
      <c r="X58" s="164">
        <v>0.64285713</v>
      </c>
      <c r="Y58" s="164">
        <v>0.66666669000000001</v>
      </c>
      <c r="Z58" s="164">
        <v>0.66666669000000001</v>
      </c>
      <c r="AA58" s="164">
        <v>0.625</v>
      </c>
      <c r="AB58" s="164">
        <v>0.16666666999999999</v>
      </c>
      <c r="AC58" s="164">
        <v>0.75</v>
      </c>
      <c r="AD58" s="164">
        <v>0</v>
      </c>
      <c r="AE58" s="164">
        <v>0.5</v>
      </c>
      <c r="AF58" s="164">
        <v>0.16666666999999999</v>
      </c>
      <c r="AG58" s="164">
        <v>0.40000001000000002</v>
      </c>
      <c r="AH58" s="164">
        <v>0.40000001000000002</v>
      </c>
      <c r="AI58" s="164">
        <v>0.625</v>
      </c>
      <c r="AJ58" s="164">
        <v>0.5</v>
      </c>
      <c r="AK58" s="164">
        <v>0.69999999000000002</v>
      </c>
      <c r="AL58" s="164">
        <v>1</v>
      </c>
      <c r="AM58" s="164">
        <v>0.625</v>
      </c>
      <c r="AN58" s="164">
        <v>0.25</v>
      </c>
    </row>
    <row r="59" spans="1:40" s="153" customFormat="1" ht="31.5" customHeight="1" x14ac:dyDescent="0.35">
      <c r="A59" s="154" t="s">
        <v>2342</v>
      </c>
      <c r="B59" s="152" t="s">
        <v>2343</v>
      </c>
      <c r="C59" s="184">
        <v>0.43091269999999998</v>
      </c>
      <c r="D59" s="184">
        <v>0.45</v>
      </c>
      <c r="E59" s="184">
        <v>0.16</v>
      </c>
      <c r="F59" s="184">
        <v>0.76666670000000003</v>
      </c>
      <c r="G59" s="167">
        <v>0.27000001000000001</v>
      </c>
      <c r="H59" s="165">
        <v>0.44999999000000002</v>
      </c>
      <c r="I59" s="165">
        <v>0.57499999000000002</v>
      </c>
      <c r="J59" s="165">
        <v>0.16</v>
      </c>
      <c r="K59" s="165">
        <v>0.625</v>
      </c>
      <c r="L59" s="165">
        <v>0.46250001000000002</v>
      </c>
      <c r="M59" s="165"/>
      <c r="N59" s="165">
        <v>0.21250000999999999</v>
      </c>
      <c r="O59" s="165">
        <v>0.17499999999999999</v>
      </c>
      <c r="P59" s="165">
        <v>0.41249998999999998</v>
      </c>
      <c r="Q59" s="165">
        <v>0.17499999999999999</v>
      </c>
      <c r="R59" s="165">
        <v>0.38999999000000002</v>
      </c>
      <c r="S59" s="165">
        <v>0.49166666999999997</v>
      </c>
      <c r="T59" s="165">
        <v>0.47499998999999998</v>
      </c>
      <c r="U59" s="165">
        <v>0.28749998999999998</v>
      </c>
      <c r="V59" s="165">
        <v>0.58999997000000004</v>
      </c>
      <c r="W59" s="165">
        <v>0.76666665000000001</v>
      </c>
      <c r="X59" s="165">
        <v>0.61428570999999998</v>
      </c>
      <c r="Y59" s="165">
        <v>0.30833334000000001</v>
      </c>
      <c r="Z59" s="165">
        <v>0.71666664000000002</v>
      </c>
      <c r="AA59" s="165">
        <v>0.625</v>
      </c>
      <c r="AB59" s="165">
        <v>0.28333332999999999</v>
      </c>
      <c r="AC59" s="165">
        <v>0.63749999000000002</v>
      </c>
      <c r="AD59" s="165">
        <v>0.22</v>
      </c>
      <c r="AE59" s="165">
        <v>0.48333332000000001</v>
      </c>
      <c r="AF59" s="165">
        <v>0.39166667999999999</v>
      </c>
      <c r="AG59" s="165">
        <v>0.50999998999999996</v>
      </c>
      <c r="AH59" s="165">
        <v>0.23999999</v>
      </c>
      <c r="AI59" s="165">
        <v>0.36250000999999998</v>
      </c>
      <c r="AJ59" s="165">
        <v>0.40000001000000002</v>
      </c>
      <c r="AK59" s="165">
        <v>0.57999997999999997</v>
      </c>
      <c r="AL59" s="165">
        <v>0.61666666999999997</v>
      </c>
      <c r="AM59" s="165">
        <v>0.47499998999999998</v>
      </c>
      <c r="AN59" s="165">
        <v>0.23749999999999999</v>
      </c>
    </row>
    <row r="60" spans="1:40" s="153" customFormat="1" ht="31.5" customHeight="1" x14ac:dyDescent="0.35">
      <c r="A60" s="149" t="s">
        <v>2344</v>
      </c>
      <c r="B60" s="151" t="s">
        <v>2345</v>
      </c>
      <c r="C60" s="183">
        <v>0.31608950000000002</v>
      </c>
      <c r="D60" s="183">
        <v>0.25</v>
      </c>
      <c r="E60" s="183">
        <v>0</v>
      </c>
      <c r="F60" s="183">
        <v>0.91666669999999995</v>
      </c>
      <c r="G60" s="166">
        <v>0.05</v>
      </c>
      <c r="H60" s="164">
        <v>8.3333340000000006E-2</v>
      </c>
      <c r="I60" s="164">
        <v>0.25</v>
      </c>
      <c r="J60" s="164">
        <v>0.15000000999999999</v>
      </c>
      <c r="K60" s="164">
        <v>0.5</v>
      </c>
      <c r="L60" s="164">
        <v>0.25</v>
      </c>
      <c r="M60" s="164"/>
      <c r="N60" s="164">
        <v>0.3125</v>
      </c>
      <c r="O60" s="164">
        <v>0.1875</v>
      </c>
      <c r="P60" s="164">
        <v>6.25E-2</v>
      </c>
      <c r="Q60" s="164">
        <v>8.3333340000000006E-2</v>
      </c>
      <c r="R60" s="164">
        <v>0.30000000999999998</v>
      </c>
      <c r="S60" s="164">
        <v>0.375</v>
      </c>
      <c r="T60" s="164">
        <v>0.70833330999999999</v>
      </c>
      <c r="U60" s="164">
        <v>0.25</v>
      </c>
      <c r="V60" s="164">
        <v>0.44999999000000002</v>
      </c>
      <c r="W60" s="164">
        <v>0.58333330999999999</v>
      </c>
      <c r="X60" s="164">
        <v>0.71428572999999995</v>
      </c>
      <c r="Y60" s="164">
        <v>0.20833333000000001</v>
      </c>
      <c r="Z60" s="164">
        <v>0.5</v>
      </c>
      <c r="AA60" s="164">
        <v>0.4375</v>
      </c>
      <c r="AB60" s="164">
        <v>0.125</v>
      </c>
      <c r="AC60" s="164">
        <v>0.4375</v>
      </c>
      <c r="AD60" s="164">
        <v>0.34999998999999998</v>
      </c>
      <c r="AE60" s="164">
        <v>0.125</v>
      </c>
      <c r="AF60" s="164">
        <v>0.33333333999999998</v>
      </c>
      <c r="AG60" s="164">
        <v>0.2</v>
      </c>
      <c r="AH60" s="164">
        <v>0.30000000999999998</v>
      </c>
      <c r="AI60" s="164">
        <v>0.25</v>
      </c>
      <c r="AJ60" s="164">
        <v>0</v>
      </c>
      <c r="AK60" s="164">
        <v>0.5</v>
      </c>
      <c r="AL60" s="164">
        <v>0.91666669000000001</v>
      </c>
      <c r="AM60" s="164">
        <v>0.25</v>
      </c>
      <c r="AN60" s="164">
        <v>0.1875</v>
      </c>
    </row>
    <row r="61" spans="1:40" s="146" customFormat="1" ht="31.5" customHeight="1" x14ac:dyDescent="0.35">
      <c r="A61" s="147" t="s">
        <v>2352</v>
      </c>
      <c r="B61" s="148"/>
      <c r="C61" s="182">
        <v>0.35981580000000002</v>
      </c>
      <c r="D61" s="182">
        <v>0.33267859999999999</v>
      </c>
      <c r="E61" s="182">
        <v>0.17499999999999999</v>
      </c>
      <c r="F61" s="182">
        <v>0.62571429999999995</v>
      </c>
      <c r="G61" s="163">
        <v>0.24166666000000001</v>
      </c>
      <c r="H61" s="163">
        <v>0.22600000000000001</v>
      </c>
      <c r="I61" s="163">
        <v>0.62571429999999995</v>
      </c>
      <c r="J61" s="163">
        <v>0.33785715999999999</v>
      </c>
      <c r="K61" s="163">
        <v>0.45500001000000001</v>
      </c>
      <c r="L61" s="163">
        <v>0.55800002999999998</v>
      </c>
      <c r="M61" s="163">
        <v>0.2175</v>
      </c>
      <c r="N61" s="163">
        <v>0.35166666000000002</v>
      </c>
      <c r="O61" s="163">
        <v>0.20916666</v>
      </c>
      <c r="P61" s="163">
        <v>0.41499998999999999</v>
      </c>
      <c r="Q61" s="163">
        <v>0.17499999999999999</v>
      </c>
      <c r="R61" s="163">
        <v>0.37166666999999998</v>
      </c>
      <c r="S61" s="163">
        <v>0.44999999000000002</v>
      </c>
      <c r="T61" s="163">
        <v>0.32749999000000002</v>
      </c>
      <c r="U61" s="163">
        <v>0.21375</v>
      </c>
      <c r="V61" s="163">
        <v>0.47624999000000001</v>
      </c>
      <c r="W61" s="163">
        <v>0.51999998000000003</v>
      </c>
      <c r="X61" s="163">
        <v>0.49599999</v>
      </c>
      <c r="Y61" s="163">
        <v>0.29624999000000002</v>
      </c>
      <c r="Z61" s="163">
        <v>0.52499998000000003</v>
      </c>
      <c r="AA61" s="163">
        <v>0.59500003000000001</v>
      </c>
      <c r="AB61" s="163">
        <v>0.19700000000000001</v>
      </c>
      <c r="AC61" s="163">
        <v>0.27000001000000001</v>
      </c>
      <c r="AD61" s="163">
        <v>0.23166666999999999</v>
      </c>
      <c r="AE61" s="163">
        <v>0.43700000999999999</v>
      </c>
      <c r="AF61" s="163">
        <v>0.215</v>
      </c>
      <c r="AG61" s="163">
        <v>0.31999999000000001</v>
      </c>
      <c r="AH61" s="163">
        <v>0.25874998999999999</v>
      </c>
      <c r="AI61" s="163">
        <v>0.29333332000000001</v>
      </c>
      <c r="AJ61" s="163">
        <v>0.28499999999999998</v>
      </c>
      <c r="AK61" s="163">
        <v>0.50999998999999996</v>
      </c>
      <c r="AL61" s="163">
        <v>0.35199999999999998</v>
      </c>
      <c r="AM61" s="163">
        <v>0.45500001000000001</v>
      </c>
      <c r="AN61" s="163">
        <v>0.32499999000000002</v>
      </c>
    </row>
    <row r="62" spans="1:40" s="153" customFormat="1" ht="31.5" customHeight="1" x14ac:dyDescent="0.35">
      <c r="A62" s="149" t="s">
        <v>2336</v>
      </c>
      <c r="B62" s="151" t="s">
        <v>2337</v>
      </c>
      <c r="C62" s="183">
        <v>0.39329550000000002</v>
      </c>
      <c r="D62" s="183">
        <v>0.34833330000000001</v>
      </c>
      <c r="E62" s="183">
        <v>0.12833330000000001</v>
      </c>
      <c r="F62" s="183">
        <v>0.76</v>
      </c>
      <c r="G62" s="166">
        <v>0.30166668000000002</v>
      </c>
      <c r="H62" s="164">
        <v>0.23400000000000001</v>
      </c>
      <c r="I62" s="164">
        <v>0.71142857999999998</v>
      </c>
      <c r="J62" s="164">
        <v>0.37428572999999998</v>
      </c>
      <c r="K62" s="164">
        <v>0.54750001000000004</v>
      </c>
      <c r="L62" s="164">
        <v>0.69199997000000002</v>
      </c>
      <c r="M62" s="164">
        <v>0.19</v>
      </c>
      <c r="N62" s="164">
        <v>0.35333332000000001</v>
      </c>
      <c r="O62" s="164">
        <v>0.18666667000000001</v>
      </c>
      <c r="P62" s="164">
        <v>0.37</v>
      </c>
      <c r="Q62" s="164">
        <v>0.12833333</v>
      </c>
      <c r="R62" s="164">
        <v>0.43000000999999999</v>
      </c>
      <c r="S62" s="164">
        <v>0.50999998999999996</v>
      </c>
      <c r="T62" s="164">
        <v>0.32499999000000002</v>
      </c>
      <c r="U62" s="164">
        <v>0.25</v>
      </c>
      <c r="V62" s="164">
        <v>0.47249999999999998</v>
      </c>
      <c r="W62" s="164">
        <v>0.61000001000000004</v>
      </c>
      <c r="X62" s="164">
        <v>0.54000002000000003</v>
      </c>
      <c r="Y62" s="164">
        <v>0.33500001000000001</v>
      </c>
      <c r="Z62" s="164">
        <v>0.75999998999999996</v>
      </c>
      <c r="AA62" s="164">
        <v>0.60500001999999997</v>
      </c>
      <c r="AB62" s="164">
        <v>0.19</v>
      </c>
      <c r="AC62" s="164">
        <v>0.30000000999999998</v>
      </c>
      <c r="AD62" s="164">
        <v>0.23666666</v>
      </c>
      <c r="AE62" s="164">
        <v>0.48399999999999999</v>
      </c>
      <c r="AF62" s="164">
        <v>0.23999999</v>
      </c>
      <c r="AG62" s="164">
        <v>0.32499999000000002</v>
      </c>
      <c r="AH62" s="164">
        <v>0.27000001000000001</v>
      </c>
      <c r="AI62" s="164">
        <v>0.31333333000000002</v>
      </c>
      <c r="AJ62" s="164">
        <v>0.28999998999999999</v>
      </c>
      <c r="AK62" s="164">
        <v>0.61599999999999999</v>
      </c>
      <c r="AL62" s="164">
        <v>0.37200000999999999</v>
      </c>
      <c r="AM62" s="164">
        <v>0.46500000000000002</v>
      </c>
      <c r="AN62" s="164">
        <v>0.34333332999999999</v>
      </c>
    </row>
    <row r="63" spans="1:40" s="153" customFormat="1" ht="31.5" customHeight="1" x14ac:dyDescent="0.35">
      <c r="A63" s="154" t="s">
        <v>2338</v>
      </c>
      <c r="B63" s="152" t="s">
        <v>2339</v>
      </c>
      <c r="C63" s="184">
        <v>0.51727239999999997</v>
      </c>
      <c r="D63" s="184">
        <v>0.51770839999999996</v>
      </c>
      <c r="E63" s="184">
        <v>0.25</v>
      </c>
      <c r="F63" s="184">
        <v>0.73750000000000004</v>
      </c>
      <c r="G63" s="167">
        <v>0.28749998999999998</v>
      </c>
      <c r="H63" s="165">
        <v>0.505</v>
      </c>
      <c r="I63" s="165">
        <v>0.6857143</v>
      </c>
      <c r="J63" s="165">
        <v>0.51071429000000002</v>
      </c>
      <c r="K63" s="165">
        <v>0.68124998000000003</v>
      </c>
      <c r="L63" s="165">
        <v>0.63999998999999996</v>
      </c>
      <c r="M63" s="165">
        <v>0.38749999000000002</v>
      </c>
      <c r="N63" s="165">
        <v>0.51666665000000001</v>
      </c>
      <c r="O63" s="165">
        <v>0.50416665999999999</v>
      </c>
      <c r="P63" s="165">
        <v>0.55000000999999998</v>
      </c>
      <c r="Q63" s="165">
        <v>0.40416667000000001</v>
      </c>
      <c r="R63" s="165">
        <v>0.60000001999999997</v>
      </c>
      <c r="S63" s="165">
        <v>0.625</v>
      </c>
      <c r="T63" s="165">
        <v>0.52499998000000003</v>
      </c>
      <c r="U63" s="165">
        <v>0.29374999000000002</v>
      </c>
      <c r="V63" s="165">
        <v>0.73750000999999998</v>
      </c>
      <c r="W63" s="165">
        <v>0.70833330999999999</v>
      </c>
      <c r="X63" s="165">
        <v>0.52999996999999999</v>
      </c>
      <c r="Y63" s="165">
        <v>0.51875000999999998</v>
      </c>
      <c r="Z63" s="165">
        <v>0.47499998999999998</v>
      </c>
      <c r="AA63" s="165">
        <v>0.58749998000000003</v>
      </c>
      <c r="AB63" s="165">
        <v>0.44</v>
      </c>
      <c r="AC63" s="165">
        <v>0.25</v>
      </c>
      <c r="AD63" s="165">
        <v>0.44999999000000002</v>
      </c>
      <c r="AE63" s="165">
        <v>0.59500003000000001</v>
      </c>
      <c r="AF63" s="165">
        <v>0.34999998999999998</v>
      </c>
      <c r="AG63" s="165">
        <v>0.51249999000000002</v>
      </c>
      <c r="AH63" s="165">
        <v>0.43125001000000002</v>
      </c>
      <c r="AI63" s="165">
        <v>0.43333334000000001</v>
      </c>
      <c r="AJ63" s="165">
        <v>0.5625</v>
      </c>
      <c r="AK63" s="165">
        <v>0.60000001999999997</v>
      </c>
      <c r="AL63" s="165">
        <v>0.56000000000000005</v>
      </c>
      <c r="AM63" s="165">
        <v>0.73750000999999998</v>
      </c>
      <c r="AN63" s="165">
        <v>0.39166667999999999</v>
      </c>
    </row>
    <row r="64" spans="1:40" s="153" customFormat="1" ht="31.5" customHeight="1" x14ac:dyDescent="0.35">
      <c r="A64" s="149" t="s">
        <v>2342</v>
      </c>
      <c r="B64" s="151" t="s">
        <v>2343</v>
      </c>
      <c r="C64" s="183">
        <v>0.1152591</v>
      </c>
      <c r="D64" s="183">
        <v>0.1</v>
      </c>
      <c r="E64" s="183">
        <v>0</v>
      </c>
      <c r="F64" s="183">
        <v>0.52</v>
      </c>
      <c r="G64" s="166">
        <v>0.2</v>
      </c>
      <c r="H64" s="164">
        <v>0</v>
      </c>
      <c r="I64" s="164">
        <v>0.25714287000000002</v>
      </c>
      <c r="J64" s="164">
        <v>0</v>
      </c>
      <c r="K64" s="164">
        <v>0.15000000999999999</v>
      </c>
      <c r="L64" s="164">
        <v>0.18000000999999999</v>
      </c>
      <c r="M64" s="164">
        <v>0.15000000999999999</v>
      </c>
      <c r="N64" s="164">
        <v>0.05</v>
      </c>
      <c r="O64" s="164">
        <v>0</v>
      </c>
      <c r="P64" s="164">
        <v>0</v>
      </c>
      <c r="Q64" s="164">
        <v>0</v>
      </c>
      <c r="R64" s="164">
        <v>0.1</v>
      </c>
      <c r="S64" s="164">
        <v>0.15000000999999999</v>
      </c>
      <c r="T64" s="164">
        <v>7.4999999999999997E-2</v>
      </c>
      <c r="U64" s="164">
        <v>0</v>
      </c>
      <c r="V64" s="164">
        <v>7.4999999999999997E-2</v>
      </c>
      <c r="W64" s="164">
        <v>0.1</v>
      </c>
      <c r="X64" s="164">
        <v>0.51999998000000003</v>
      </c>
      <c r="Y64" s="164">
        <v>0</v>
      </c>
      <c r="Z64" s="164">
        <v>0.30000000999999998</v>
      </c>
      <c r="AA64" s="164">
        <v>0.34999998999999998</v>
      </c>
      <c r="AB64" s="164">
        <v>0.06</v>
      </c>
      <c r="AC64" s="164">
        <v>0.30000000999999998</v>
      </c>
      <c r="AD64" s="164">
        <v>0.1</v>
      </c>
      <c r="AE64" s="164">
        <v>0.12</v>
      </c>
      <c r="AF64" s="164">
        <v>0.15000000999999999</v>
      </c>
      <c r="AG64" s="164">
        <v>0</v>
      </c>
      <c r="AH64" s="164">
        <v>7.4999999999999997E-2</v>
      </c>
      <c r="AI64" s="164">
        <v>0.1</v>
      </c>
      <c r="AJ64" s="164">
        <v>0</v>
      </c>
      <c r="AK64" s="164">
        <v>0.12</v>
      </c>
      <c r="AL64" s="164">
        <v>0.12</v>
      </c>
      <c r="AM64" s="164">
        <v>0</v>
      </c>
      <c r="AN64" s="164">
        <v>0.11666667</v>
      </c>
    </row>
    <row r="65" spans="1:40" s="153" customFormat="1" ht="31.5" customHeight="1" x14ac:dyDescent="0.35">
      <c r="A65" s="154" t="s">
        <v>2344</v>
      </c>
      <c r="B65" s="152" t="s">
        <v>2345</v>
      </c>
      <c r="C65" s="184">
        <v>0.2409384</v>
      </c>
      <c r="D65" s="184">
        <v>0.20499999999999999</v>
      </c>
      <c r="E65" s="184">
        <v>0.04</v>
      </c>
      <c r="F65" s="184">
        <v>0.7</v>
      </c>
      <c r="G65" s="167">
        <v>6.6666669999999997E-2</v>
      </c>
      <c r="H65" s="165">
        <v>0.04</v>
      </c>
      <c r="I65" s="165">
        <v>0.53571427000000005</v>
      </c>
      <c r="J65" s="165">
        <v>0.24285714</v>
      </c>
      <c r="K65" s="165">
        <v>0.15000000999999999</v>
      </c>
      <c r="L65" s="165">
        <v>0.33000001000000001</v>
      </c>
      <c r="M65" s="165">
        <v>0.15000000999999999</v>
      </c>
      <c r="N65" s="165">
        <v>0.33333333999999998</v>
      </c>
      <c r="O65" s="165">
        <v>7.4999999999999997E-2</v>
      </c>
      <c r="P65" s="165">
        <v>0.60000001999999997</v>
      </c>
      <c r="Q65" s="165">
        <v>0.15000000999999999</v>
      </c>
      <c r="R65" s="165">
        <v>0.13333333999999999</v>
      </c>
      <c r="S65" s="165">
        <v>0.27500001000000002</v>
      </c>
      <c r="T65" s="165">
        <v>0.26249999000000002</v>
      </c>
      <c r="U65" s="165">
        <v>0.15000000999999999</v>
      </c>
      <c r="V65" s="165">
        <v>0.42500000999999998</v>
      </c>
      <c r="W65" s="165">
        <v>0.31666665999999999</v>
      </c>
      <c r="X65" s="165">
        <v>0.34</v>
      </c>
      <c r="Y65" s="165">
        <v>0.125</v>
      </c>
      <c r="Z65" s="165">
        <v>0.1</v>
      </c>
      <c r="AA65" s="165">
        <v>0.69999999000000002</v>
      </c>
      <c r="AB65" s="165">
        <v>0.04</v>
      </c>
      <c r="AC65" s="165">
        <v>0.2</v>
      </c>
      <c r="AD65" s="165">
        <v>6.6666669999999997E-2</v>
      </c>
      <c r="AE65" s="165">
        <v>0.31999999000000001</v>
      </c>
      <c r="AF65" s="165">
        <v>0.05</v>
      </c>
      <c r="AG65" s="165">
        <v>0.27500001000000002</v>
      </c>
      <c r="AH65" s="165">
        <v>0.15000000999999999</v>
      </c>
      <c r="AI65" s="165">
        <v>0.2</v>
      </c>
      <c r="AJ65" s="165">
        <v>0.13750000000000001</v>
      </c>
      <c r="AK65" s="165">
        <v>0.34999998999999998</v>
      </c>
      <c r="AL65" s="165">
        <v>0.20999999</v>
      </c>
      <c r="AM65" s="165">
        <v>0.375</v>
      </c>
      <c r="AN65" s="165">
        <v>0.31666665999999999</v>
      </c>
    </row>
    <row r="66" spans="1:40" s="146" customFormat="1" ht="31.5" customHeight="1" x14ac:dyDescent="0.35">
      <c r="A66" s="147" t="s">
        <v>2353</v>
      </c>
      <c r="B66" s="148"/>
      <c r="C66" s="182">
        <v>0.41343220000000003</v>
      </c>
      <c r="D66" s="182">
        <v>0.44</v>
      </c>
      <c r="E66" s="182">
        <v>0.1128571</v>
      </c>
      <c r="F66" s="182">
        <v>0.69333330000000004</v>
      </c>
      <c r="G66" s="163">
        <v>0.29499998999999999</v>
      </c>
      <c r="H66" s="163">
        <v>0.69333332999999997</v>
      </c>
      <c r="I66" s="163">
        <v>0.47</v>
      </c>
      <c r="J66" s="163">
        <v>0.34999998999999998</v>
      </c>
      <c r="K66" s="163">
        <v>0.495</v>
      </c>
      <c r="L66" s="163">
        <v>0.68199997999999995</v>
      </c>
      <c r="M66" s="163">
        <v>0.47</v>
      </c>
      <c r="N66" s="163">
        <v>0.44</v>
      </c>
      <c r="O66" s="163">
        <v>0.17333333000000001</v>
      </c>
      <c r="P66" s="163">
        <v>0.42500000999999998</v>
      </c>
      <c r="Q66" s="163">
        <v>0.27800000000000002</v>
      </c>
      <c r="R66" s="163">
        <v>0.35142857</v>
      </c>
      <c r="S66" s="163">
        <v>0.68000000999999999</v>
      </c>
      <c r="T66" s="163">
        <v>0.45833333999999998</v>
      </c>
      <c r="U66" s="163">
        <v>0.11285713999999999</v>
      </c>
      <c r="V66" s="163">
        <v>0.33000001000000001</v>
      </c>
      <c r="W66" s="163">
        <v>0.54000002000000003</v>
      </c>
      <c r="X66" s="163">
        <v>0.44666665999999999</v>
      </c>
      <c r="Y66" s="163">
        <v>0.48666668000000002</v>
      </c>
      <c r="Z66" s="163">
        <v>0.57499999000000002</v>
      </c>
      <c r="AA66" s="163">
        <v>0.58249998000000003</v>
      </c>
      <c r="AB66" s="163">
        <v>0.17714286000000001</v>
      </c>
      <c r="AC66" s="163">
        <v>0.51200002</v>
      </c>
      <c r="AD66" s="163">
        <v>0.22</v>
      </c>
      <c r="AE66" s="163">
        <v>0.3175</v>
      </c>
      <c r="AF66" s="163">
        <v>0.30000000999999998</v>
      </c>
      <c r="AG66" s="163"/>
      <c r="AH66" s="163">
        <v>0.154</v>
      </c>
      <c r="AI66" s="163">
        <v>0.34749999999999998</v>
      </c>
      <c r="AJ66" s="163">
        <v>0.20999999</v>
      </c>
      <c r="AK66" s="163">
        <v>0.43000000999999999</v>
      </c>
      <c r="AL66" s="163">
        <v>0.51499998999999996</v>
      </c>
      <c r="AM66" s="163">
        <v>0.49000000999999999</v>
      </c>
      <c r="AN66" s="163">
        <v>0.63499998999999996</v>
      </c>
    </row>
    <row r="67" spans="1:40" s="153" customFormat="1" ht="31.5" customHeight="1" x14ac:dyDescent="0.35">
      <c r="A67" s="149" t="s">
        <v>2336</v>
      </c>
      <c r="B67" s="151" t="s">
        <v>2337</v>
      </c>
      <c r="C67" s="183">
        <v>0.52346079999999995</v>
      </c>
      <c r="D67" s="183">
        <v>0.54761899999999997</v>
      </c>
      <c r="E67" s="183">
        <v>0.21768709999999999</v>
      </c>
      <c r="F67" s="183">
        <v>0.80952380000000002</v>
      </c>
      <c r="G67" s="166">
        <v>0.40476191</v>
      </c>
      <c r="H67" s="164">
        <v>0.68253969999999997</v>
      </c>
      <c r="I67" s="164">
        <v>0.52380954999999996</v>
      </c>
      <c r="J67" s="164">
        <v>0.50595235999999999</v>
      </c>
      <c r="K67" s="164">
        <v>0.64285713</v>
      </c>
      <c r="L67" s="164">
        <v>0.79047619999999996</v>
      </c>
      <c r="M67" s="164">
        <v>0.66666669000000001</v>
      </c>
      <c r="N67" s="164">
        <v>0.40476191</v>
      </c>
      <c r="O67" s="164">
        <v>0.22222222</v>
      </c>
      <c r="P67" s="164">
        <v>0.63095235999999999</v>
      </c>
      <c r="Q67" s="164">
        <v>0.46666667000000001</v>
      </c>
      <c r="R67" s="164">
        <v>0.58503400999999999</v>
      </c>
      <c r="S67" s="164">
        <v>0.75</v>
      </c>
      <c r="T67" s="164">
        <v>0.51587300999999997</v>
      </c>
      <c r="U67" s="164">
        <v>0.21768707000000001</v>
      </c>
      <c r="V67" s="164">
        <v>0.54761903999999995</v>
      </c>
      <c r="W67" s="164">
        <v>0.69047617999999999</v>
      </c>
      <c r="X67" s="164">
        <v>0.49206348999999999</v>
      </c>
      <c r="Y67" s="164">
        <v>0.55555558000000005</v>
      </c>
      <c r="Z67" s="164">
        <v>0.60714287</v>
      </c>
      <c r="AA67" s="164">
        <v>0.59523809000000005</v>
      </c>
      <c r="AB67" s="164">
        <v>0.29251701000000002</v>
      </c>
      <c r="AC67" s="164">
        <v>0.55238098000000002</v>
      </c>
      <c r="AD67" s="164">
        <v>0.23809524000000001</v>
      </c>
      <c r="AE67" s="164">
        <v>0.5</v>
      </c>
      <c r="AF67" s="164">
        <v>0.33333333999999998</v>
      </c>
      <c r="AG67" s="164"/>
      <c r="AH67" s="164">
        <v>0.32380953000000001</v>
      </c>
      <c r="AI67" s="164">
        <v>0.5</v>
      </c>
      <c r="AJ67" s="164">
        <v>0.33333333999999998</v>
      </c>
      <c r="AK67" s="164">
        <v>0.57142859999999995</v>
      </c>
      <c r="AL67" s="164">
        <v>0.66666669000000001</v>
      </c>
      <c r="AM67" s="164">
        <v>0.80952382000000001</v>
      </c>
      <c r="AN67" s="164">
        <v>0.65476190999999995</v>
      </c>
    </row>
    <row r="68" spans="1:40" s="153" customFormat="1" ht="31.5" customHeight="1" x14ac:dyDescent="0.35">
      <c r="A68" s="154" t="s">
        <v>2338</v>
      </c>
      <c r="B68" s="152" t="s">
        <v>2339</v>
      </c>
      <c r="C68" s="184">
        <v>0.32883960000000001</v>
      </c>
      <c r="D68" s="184">
        <v>0.27500000000000002</v>
      </c>
      <c r="E68" s="184">
        <v>6.6666699999999995E-2</v>
      </c>
      <c r="F68" s="184">
        <v>0.86666670000000001</v>
      </c>
      <c r="G68" s="167">
        <v>0.19444444999999999</v>
      </c>
      <c r="H68" s="165">
        <v>0.63333333000000003</v>
      </c>
      <c r="I68" s="165">
        <v>0.33333333999999998</v>
      </c>
      <c r="J68" s="165">
        <v>0.21250000999999999</v>
      </c>
      <c r="K68" s="165">
        <v>0.48333332000000001</v>
      </c>
      <c r="L68" s="165">
        <v>0.86666666999999997</v>
      </c>
      <c r="M68" s="165">
        <v>0.22666666999999999</v>
      </c>
      <c r="N68" s="165">
        <v>0.38333333000000003</v>
      </c>
      <c r="O68" s="165">
        <v>7.7777780000000005E-2</v>
      </c>
      <c r="P68" s="165">
        <v>0.27500001000000002</v>
      </c>
      <c r="Q68" s="165">
        <v>0.13333333999999999</v>
      </c>
      <c r="R68" s="165">
        <v>0.2</v>
      </c>
      <c r="S68" s="165">
        <v>0.50833333000000003</v>
      </c>
      <c r="T68" s="165">
        <v>0.33888888</v>
      </c>
      <c r="U68" s="165">
        <v>0.10476191</v>
      </c>
      <c r="V68" s="165">
        <v>0.36666666999999997</v>
      </c>
      <c r="W68" s="165">
        <v>0.55000000999999998</v>
      </c>
      <c r="X68" s="165">
        <v>0.5</v>
      </c>
      <c r="Y68" s="165">
        <v>0.26666667999999999</v>
      </c>
      <c r="Z68" s="165">
        <v>0.56666665999999999</v>
      </c>
      <c r="AA68" s="165">
        <v>0.68333334000000001</v>
      </c>
      <c r="AB68" s="165">
        <v>0.2</v>
      </c>
      <c r="AC68" s="165">
        <v>0.46000001000000001</v>
      </c>
      <c r="AD68" s="165">
        <v>0.16666666999999999</v>
      </c>
      <c r="AE68" s="165">
        <v>0.17499999999999999</v>
      </c>
      <c r="AF68" s="165">
        <v>0.16666666999999999</v>
      </c>
      <c r="AG68" s="165"/>
      <c r="AH68" s="165">
        <v>0.15333334000000001</v>
      </c>
      <c r="AI68" s="165">
        <v>8.3333340000000006E-2</v>
      </c>
      <c r="AJ68" s="165">
        <v>0.21666667000000001</v>
      </c>
      <c r="AK68" s="165">
        <v>0.43333334000000001</v>
      </c>
      <c r="AL68" s="165">
        <v>0.44999999000000002</v>
      </c>
      <c r="AM68" s="165">
        <v>6.6666669999999997E-2</v>
      </c>
      <c r="AN68" s="165">
        <v>0.375</v>
      </c>
    </row>
    <row r="69" spans="1:40" s="153" customFormat="1" ht="31.5" customHeight="1" x14ac:dyDescent="0.35">
      <c r="A69" s="149" t="s">
        <v>2340</v>
      </c>
      <c r="B69" s="151" t="s">
        <v>2341</v>
      </c>
      <c r="C69" s="183">
        <v>0.5469096</v>
      </c>
      <c r="D69" s="183">
        <v>0.6</v>
      </c>
      <c r="E69" s="183">
        <v>0</v>
      </c>
      <c r="F69" s="183">
        <v>1</v>
      </c>
      <c r="G69" s="166">
        <v>0.33333333999999998</v>
      </c>
      <c r="H69" s="164">
        <v>0.77777779000000002</v>
      </c>
      <c r="I69" s="164">
        <v>1</v>
      </c>
      <c r="J69" s="164">
        <v>0.45833333999999998</v>
      </c>
      <c r="K69" s="164">
        <v>0.66666669000000001</v>
      </c>
      <c r="L69" s="164">
        <v>0.80000000999999998</v>
      </c>
      <c r="M69" s="164">
        <v>1</v>
      </c>
      <c r="N69" s="164">
        <v>0.66666669000000001</v>
      </c>
      <c r="O69" s="164">
        <v>0.33333333999999998</v>
      </c>
      <c r="P69" s="164">
        <v>0.33333333999999998</v>
      </c>
      <c r="Q69" s="164">
        <v>0.60000001999999997</v>
      </c>
      <c r="R69" s="164">
        <v>0.47619048000000003</v>
      </c>
      <c r="S69" s="164">
        <v>0.83333330999999999</v>
      </c>
      <c r="T69" s="164">
        <v>0.83333330999999999</v>
      </c>
      <c r="U69" s="164">
        <v>0.19047618999999999</v>
      </c>
      <c r="V69" s="164">
        <v>0.16666666999999999</v>
      </c>
      <c r="W69" s="164">
        <v>0.5</v>
      </c>
      <c r="X69" s="164">
        <v>0.33333333999999998</v>
      </c>
      <c r="Y69" s="164">
        <v>1</v>
      </c>
      <c r="Z69" s="164">
        <v>0.66666669000000001</v>
      </c>
      <c r="AA69" s="164">
        <v>0.66666669000000001</v>
      </c>
      <c r="AB69" s="164">
        <v>9.5238100000000006E-2</v>
      </c>
      <c r="AC69" s="164">
        <v>0.60000001999999997</v>
      </c>
      <c r="AD69" s="164">
        <v>0.33333333999999998</v>
      </c>
      <c r="AE69" s="164">
        <v>0.66666669000000001</v>
      </c>
      <c r="AF69" s="164">
        <v>1</v>
      </c>
      <c r="AG69" s="164"/>
      <c r="AH69" s="164">
        <v>0.13333333999999999</v>
      </c>
      <c r="AI69" s="164">
        <v>0.41666666000000002</v>
      </c>
      <c r="AJ69" s="164">
        <v>0.16666666999999999</v>
      </c>
      <c r="AK69" s="164">
        <v>0</v>
      </c>
      <c r="AL69" s="164">
        <v>0.66666669000000001</v>
      </c>
      <c r="AM69" s="164">
        <v>1</v>
      </c>
      <c r="AN69" s="164">
        <v>0.33333333999999998</v>
      </c>
    </row>
    <row r="70" spans="1:40" s="153" customFormat="1" ht="31.5" customHeight="1" x14ac:dyDescent="0.35">
      <c r="A70" s="154" t="s">
        <v>2344</v>
      </c>
      <c r="B70" s="152" t="s">
        <v>2345</v>
      </c>
      <c r="C70" s="184">
        <v>0.36122680000000001</v>
      </c>
      <c r="D70" s="184">
        <v>0.36274509999999999</v>
      </c>
      <c r="E70" s="184">
        <v>2.10084E-2</v>
      </c>
      <c r="F70" s="184">
        <v>0.98529409999999995</v>
      </c>
      <c r="G70" s="167">
        <v>0.2990196</v>
      </c>
      <c r="H70" s="165">
        <v>0.71568626000000002</v>
      </c>
      <c r="I70" s="165">
        <v>0.32352942000000001</v>
      </c>
      <c r="J70" s="165">
        <v>0.32720589999999999</v>
      </c>
      <c r="K70" s="165">
        <v>0.33823529000000002</v>
      </c>
      <c r="L70" s="165">
        <v>0.40000001000000002</v>
      </c>
      <c r="M70" s="165">
        <v>0.32941176999999999</v>
      </c>
      <c r="N70" s="165">
        <v>0.41176470999999998</v>
      </c>
      <c r="O70" s="165">
        <v>0.15686275</v>
      </c>
      <c r="P70" s="165">
        <v>0.47058823999999999</v>
      </c>
      <c r="Q70" s="165">
        <v>0.14705883</v>
      </c>
      <c r="R70" s="165">
        <v>0.28571429999999998</v>
      </c>
      <c r="S70" s="165">
        <v>0.72058820999999995</v>
      </c>
      <c r="T70" s="165">
        <v>0.36274510999999998</v>
      </c>
      <c r="U70" s="165">
        <v>2.10084E-2</v>
      </c>
      <c r="V70" s="165">
        <v>0.23529412</v>
      </c>
      <c r="W70" s="165">
        <v>0.45588234</v>
      </c>
      <c r="X70" s="165">
        <v>0.42156863</v>
      </c>
      <c r="Y70" s="165">
        <v>0.41176470999999998</v>
      </c>
      <c r="Z70" s="165">
        <v>0.52205884000000002</v>
      </c>
      <c r="AA70" s="165">
        <v>0.44852942000000001</v>
      </c>
      <c r="AB70" s="165">
        <v>0.12184874</v>
      </c>
      <c r="AC70" s="165">
        <v>0.49411765000000002</v>
      </c>
      <c r="AD70" s="165">
        <v>0.20588235999999999</v>
      </c>
      <c r="AE70" s="165">
        <v>0.17647059000000001</v>
      </c>
      <c r="AF70" s="165">
        <v>8.8235300000000003E-2</v>
      </c>
      <c r="AG70" s="165"/>
      <c r="AH70" s="165">
        <v>5.8823529999999999E-2</v>
      </c>
      <c r="AI70" s="165">
        <v>0.45588234</v>
      </c>
      <c r="AJ70" s="165">
        <v>0.14705883</v>
      </c>
      <c r="AK70" s="165">
        <v>0.52941179000000005</v>
      </c>
      <c r="AL70" s="165">
        <v>0.41176470999999998</v>
      </c>
      <c r="AM70" s="165">
        <v>0.44117646999999999</v>
      </c>
      <c r="AN70" s="165">
        <v>0.98529409999999995</v>
      </c>
    </row>
    <row r="71" spans="1:40" s="146" customFormat="1" ht="31.5" customHeight="1" x14ac:dyDescent="0.35">
      <c r="A71" s="147" t="s">
        <v>2354</v>
      </c>
      <c r="B71" s="148"/>
      <c r="C71" s="182">
        <v>0.4601518</v>
      </c>
      <c r="D71" s="182">
        <v>0.43774999999999997</v>
      </c>
      <c r="E71" s="182">
        <v>0.18</v>
      </c>
      <c r="F71" s="182">
        <v>1</v>
      </c>
      <c r="G71" s="163">
        <v>0.30714285000000002</v>
      </c>
      <c r="H71" s="163">
        <v>0.45249999000000002</v>
      </c>
      <c r="I71" s="163">
        <v>0.47</v>
      </c>
      <c r="J71" s="163">
        <v>0.41999998999999999</v>
      </c>
      <c r="K71" s="163">
        <v>0.70599997000000003</v>
      </c>
      <c r="L71" s="163">
        <v>0.70499997999999997</v>
      </c>
      <c r="M71" s="163">
        <v>0.53142858000000004</v>
      </c>
      <c r="N71" s="163">
        <v>0.41249998999999998</v>
      </c>
      <c r="O71" s="163">
        <v>0.20428571000000001</v>
      </c>
      <c r="P71" s="163">
        <v>0.55500000999999999</v>
      </c>
      <c r="Q71" s="163">
        <v>0.36000000999999998</v>
      </c>
      <c r="R71" s="163">
        <v>0.42300000999999998</v>
      </c>
      <c r="S71" s="163">
        <v>0.48666668000000002</v>
      </c>
      <c r="T71" s="163">
        <v>0.55000000999999998</v>
      </c>
      <c r="U71" s="163">
        <v>0.18000000999999999</v>
      </c>
      <c r="V71" s="163">
        <v>0.46399998999999997</v>
      </c>
      <c r="W71" s="163">
        <v>0.58166664999999995</v>
      </c>
      <c r="X71" s="163">
        <v>1</v>
      </c>
      <c r="Y71" s="163">
        <v>0.29333332000000001</v>
      </c>
      <c r="Z71" s="163">
        <v>0.61000001000000004</v>
      </c>
      <c r="AA71" s="163">
        <v>0.62599998999999995</v>
      </c>
      <c r="AB71" s="163">
        <v>0.31</v>
      </c>
      <c r="AC71" s="163">
        <v>0.60799998</v>
      </c>
      <c r="AD71" s="163">
        <v>0.26333331999999998</v>
      </c>
      <c r="AE71" s="163"/>
      <c r="AF71" s="163">
        <v>0.28666666000000002</v>
      </c>
      <c r="AG71" s="163">
        <v>0.34999998999999998</v>
      </c>
      <c r="AH71" s="163">
        <v>0.37333333000000002</v>
      </c>
      <c r="AI71" s="163">
        <v>0.30000000999999998</v>
      </c>
      <c r="AJ71" s="163">
        <v>0.375</v>
      </c>
      <c r="AK71" s="163">
        <v>0.67250001000000004</v>
      </c>
      <c r="AL71" s="163">
        <v>0.27250001000000001</v>
      </c>
      <c r="AM71" s="163"/>
      <c r="AN71" s="163">
        <v>0.57499999000000002</v>
      </c>
    </row>
    <row r="72" spans="1:40" s="153" customFormat="1" ht="31.5" customHeight="1" x14ac:dyDescent="0.35">
      <c r="A72" s="149" t="s">
        <v>2336</v>
      </c>
      <c r="B72" s="151" t="s">
        <v>2337</v>
      </c>
      <c r="C72" s="183">
        <v>0.50275029999999998</v>
      </c>
      <c r="D72" s="183">
        <v>0.47789120000000002</v>
      </c>
      <c r="E72" s="183">
        <v>0.22619049999999999</v>
      </c>
      <c r="F72" s="183">
        <v>1</v>
      </c>
      <c r="G72" s="166">
        <v>0.33163263999999998</v>
      </c>
      <c r="H72" s="164">
        <v>0.50892859999999995</v>
      </c>
      <c r="I72" s="164">
        <v>0.40476191</v>
      </c>
      <c r="J72" s="164">
        <v>0.46428570000000002</v>
      </c>
      <c r="K72" s="164">
        <v>0.69999999000000002</v>
      </c>
      <c r="L72" s="164">
        <v>0.69642859999999995</v>
      </c>
      <c r="M72" s="164">
        <v>0.47959184999999999</v>
      </c>
      <c r="N72" s="164">
        <v>0.50892859999999995</v>
      </c>
      <c r="O72" s="164">
        <v>0.32142857000000002</v>
      </c>
      <c r="P72" s="164">
        <v>0.54464287</v>
      </c>
      <c r="Q72" s="164">
        <v>0.41071429999999998</v>
      </c>
      <c r="R72" s="164">
        <v>0.46428570000000002</v>
      </c>
      <c r="S72" s="164">
        <v>0.5</v>
      </c>
      <c r="T72" s="164">
        <v>0.47619048000000003</v>
      </c>
      <c r="U72" s="164">
        <v>0.22619048</v>
      </c>
      <c r="V72" s="164">
        <v>0.55714284999999997</v>
      </c>
      <c r="W72" s="164">
        <v>0.70238096000000005</v>
      </c>
      <c r="X72" s="164">
        <v>1</v>
      </c>
      <c r="Y72" s="164">
        <v>0.39285713</v>
      </c>
      <c r="Z72" s="164">
        <v>0.67261903999999995</v>
      </c>
      <c r="AA72" s="164">
        <v>0.72142857000000005</v>
      </c>
      <c r="AB72" s="164">
        <v>0.29166666000000002</v>
      </c>
      <c r="AC72" s="164">
        <v>0.59285712000000002</v>
      </c>
      <c r="AD72" s="164">
        <v>0.42857142999999998</v>
      </c>
      <c r="AE72" s="164"/>
      <c r="AF72" s="164">
        <v>0.46428570000000002</v>
      </c>
      <c r="AG72" s="164">
        <v>0.36904761000000003</v>
      </c>
      <c r="AH72" s="164">
        <v>0.36904761000000003</v>
      </c>
      <c r="AI72" s="164">
        <v>0.28571429999999998</v>
      </c>
      <c r="AJ72" s="164">
        <v>0.48809522</v>
      </c>
      <c r="AK72" s="164">
        <v>0.70535713</v>
      </c>
      <c r="AL72" s="164">
        <v>0.3125</v>
      </c>
      <c r="AM72" s="164"/>
      <c r="AN72" s="164">
        <v>0.69642859999999995</v>
      </c>
    </row>
    <row r="73" spans="1:40" s="153" customFormat="1" ht="31.5" customHeight="1" x14ac:dyDescent="0.35">
      <c r="A73" s="154" t="s">
        <v>2338</v>
      </c>
      <c r="B73" s="152" t="s">
        <v>2339</v>
      </c>
      <c r="C73" s="184">
        <v>0.37940970000000002</v>
      </c>
      <c r="D73" s="184">
        <v>0.37047619999999998</v>
      </c>
      <c r="E73" s="184">
        <v>8.5714299999999993E-2</v>
      </c>
      <c r="F73" s="184">
        <v>1</v>
      </c>
      <c r="G73" s="167">
        <v>0.23333333000000001</v>
      </c>
      <c r="H73" s="165">
        <v>0.40833332999999999</v>
      </c>
      <c r="I73" s="165">
        <v>0.38888889999999998</v>
      </c>
      <c r="J73" s="165">
        <v>0.44</v>
      </c>
      <c r="K73" s="165">
        <v>0.66666669000000001</v>
      </c>
      <c r="L73" s="165">
        <v>0.74166666999999997</v>
      </c>
      <c r="M73" s="165">
        <v>0.38095238999999997</v>
      </c>
      <c r="N73" s="165">
        <v>0.25</v>
      </c>
      <c r="O73" s="165">
        <v>8.5714289999999999E-2</v>
      </c>
      <c r="P73" s="165">
        <v>0.48333332000000001</v>
      </c>
      <c r="Q73" s="165">
        <v>0.19444444999999999</v>
      </c>
      <c r="R73" s="165">
        <v>0.28000000000000003</v>
      </c>
      <c r="S73" s="165">
        <v>0.41111112</v>
      </c>
      <c r="T73" s="165">
        <v>0.45555556000000003</v>
      </c>
      <c r="U73" s="165">
        <v>0.16666666999999999</v>
      </c>
      <c r="V73" s="165">
        <v>0.36000000999999998</v>
      </c>
      <c r="W73" s="165">
        <v>0.38888889999999998</v>
      </c>
      <c r="X73" s="165">
        <v>1</v>
      </c>
      <c r="Y73" s="165">
        <v>0.14444445</v>
      </c>
      <c r="Z73" s="165">
        <v>0.51666665000000001</v>
      </c>
      <c r="AA73" s="165">
        <v>0.60666668000000001</v>
      </c>
      <c r="AB73" s="165">
        <v>0.22222222</v>
      </c>
      <c r="AC73" s="165">
        <v>0.52666663999999996</v>
      </c>
      <c r="AD73" s="165">
        <v>0.18888889</v>
      </c>
      <c r="AE73" s="165"/>
      <c r="AF73" s="165">
        <v>0.17777778</v>
      </c>
      <c r="AG73" s="165">
        <v>0.16666666999999999</v>
      </c>
      <c r="AH73" s="165">
        <v>0.33333333999999998</v>
      </c>
      <c r="AI73" s="165">
        <v>0.28333332999999999</v>
      </c>
      <c r="AJ73" s="165">
        <v>0.30555555000000001</v>
      </c>
      <c r="AK73" s="165">
        <v>0.72500001999999997</v>
      </c>
      <c r="AL73" s="165">
        <v>0.22499999000000001</v>
      </c>
      <c r="AM73" s="165"/>
      <c r="AN73" s="165">
        <v>0.38333333000000003</v>
      </c>
    </row>
    <row r="74" spans="1:40" s="153" customFormat="1" ht="31.5" customHeight="1" x14ac:dyDescent="0.35">
      <c r="A74" s="149" t="s">
        <v>2340</v>
      </c>
      <c r="B74" s="151" t="s">
        <v>2341</v>
      </c>
      <c r="C74" s="183">
        <v>0.55857520000000005</v>
      </c>
      <c r="D74" s="183">
        <v>0.58333330000000005</v>
      </c>
      <c r="E74" s="183">
        <v>0</v>
      </c>
      <c r="F74" s="183">
        <v>1</v>
      </c>
      <c r="G74" s="166">
        <v>0.30357142999999998</v>
      </c>
      <c r="H74" s="164">
        <v>0.5</v>
      </c>
      <c r="I74" s="164">
        <v>0.66666669000000001</v>
      </c>
      <c r="J74" s="164">
        <v>0.60000001999999997</v>
      </c>
      <c r="K74" s="164">
        <v>0.875</v>
      </c>
      <c r="L74" s="164">
        <v>0.84375</v>
      </c>
      <c r="M74" s="164">
        <v>0.91071427000000005</v>
      </c>
      <c r="N74" s="164">
        <v>0.59375</v>
      </c>
      <c r="O74" s="164">
        <v>0.33928570000000002</v>
      </c>
      <c r="P74" s="164">
        <v>0.6875</v>
      </c>
      <c r="Q74" s="164">
        <v>0.47916666000000002</v>
      </c>
      <c r="R74" s="164">
        <v>0.73750000999999998</v>
      </c>
      <c r="S74" s="164">
        <v>0.66666669000000001</v>
      </c>
      <c r="T74" s="164">
        <v>0.58333330999999999</v>
      </c>
      <c r="U74" s="164">
        <v>0.16666666999999999</v>
      </c>
      <c r="V74" s="164">
        <v>0.47499998999999998</v>
      </c>
      <c r="W74" s="164">
        <v>0.52083330999999999</v>
      </c>
      <c r="X74" s="164">
        <v>1</v>
      </c>
      <c r="Y74" s="164">
        <v>0.79166669000000001</v>
      </c>
      <c r="Z74" s="164">
        <v>0.79166669000000001</v>
      </c>
      <c r="AA74" s="164">
        <v>0.55000000999999998</v>
      </c>
      <c r="AB74" s="164">
        <v>0.52083330999999999</v>
      </c>
      <c r="AC74" s="164">
        <v>0.875</v>
      </c>
      <c r="AD74" s="164">
        <v>0</v>
      </c>
      <c r="AE74" s="164"/>
      <c r="AF74" s="164">
        <v>0.125</v>
      </c>
      <c r="AG74" s="164">
        <v>0.58333330999999999</v>
      </c>
      <c r="AH74" s="164">
        <v>0.66666669000000001</v>
      </c>
      <c r="AI74" s="164">
        <v>0.1875</v>
      </c>
      <c r="AJ74" s="164">
        <v>0.39583333999999998</v>
      </c>
      <c r="AK74" s="164">
        <v>0.5</v>
      </c>
      <c r="AL74" s="164">
        <v>0.25</v>
      </c>
      <c r="AM74" s="164"/>
      <c r="AN74" s="164">
        <v>0.6875</v>
      </c>
    </row>
    <row r="75" spans="1:40" s="153" customFormat="1" ht="31.5" customHeight="1" x14ac:dyDescent="0.35">
      <c r="A75" s="154" t="s">
        <v>2344</v>
      </c>
      <c r="B75" s="152" t="s">
        <v>2345</v>
      </c>
      <c r="C75" s="184">
        <v>0.4731552</v>
      </c>
      <c r="D75" s="184">
        <v>0.44117650000000003</v>
      </c>
      <c r="E75" s="184">
        <v>0.1568628</v>
      </c>
      <c r="F75" s="184">
        <v>1</v>
      </c>
      <c r="G75" s="167">
        <v>0.35294119000000002</v>
      </c>
      <c r="H75" s="165">
        <v>0.43382353000000001</v>
      </c>
      <c r="I75" s="165">
        <v>0.54901962999999998</v>
      </c>
      <c r="J75" s="165">
        <v>0.32352942000000001</v>
      </c>
      <c r="K75" s="165">
        <v>0.70588236999999998</v>
      </c>
      <c r="L75" s="165">
        <v>0.64705884000000002</v>
      </c>
      <c r="M75" s="165">
        <v>0.61764704999999998</v>
      </c>
      <c r="N75" s="165">
        <v>0.43382353000000001</v>
      </c>
      <c r="O75" s="165">
        <v>0.18067227</v>
      </c>
      <c r="P75" s="165">
        <v>0.59558820999999995</v>
      </c>
      <c r="Q75" s="165">
        <v>0.43627450000000001</v>
      </c>
      <c r="R75" s="165">
        <v>0.44117646999999999</v>
      </c>
      <c r="S75" s="165">
        <v>0.5</v>
      </c>
      <c r="T75" s="165">
        <v>0.68627453000000005</v>
      </c>
      <c r="U75" s="165">
        <v>0.15686275</v>
      </c>
      <c r="V75" s="165">
        <v>0.47647059000000003</v>
      </c>
      <c r="W75" s="165">
        <v>0.66666669000000001</v>
      </c>
      <c r="X75" s="165">
        <v>1</v>
      </c>
      <c r="Y75" s="165">
        <v>0.2254902</v>
      </c>
      <c r="Z75" s="165">
        <v>0.59803921000000004</v>
      </c>
      <c r="AA75" s="165">
        <v>0.58235294000000004</v>
      </c>
      <c r="AB75" s="165">
        <v>0.35294119000000002</v>
      </c>
      <c r="AC75" s="165">
        <v>0.62941175999999999</v>
      </c>
      <c r="AD75" s="165">
        <v>0.25490197999999997</v>
      </c>
      <c r="AE75" s="165"/>
      <c r="AF75" s="165">
        <v>0.27450982000000002</v>
      </c>
      <c r="AG75" s="165">
        <v>0.44117646999999999</v>
      </c>
      <c r="AH75" s="165">
        <v>0.34313726</v>
      </c>
      <c r="AI75" s="165">
        <v>0.35294119000000002</v>
      </c>
      <c r="AJ75" s="165">
        <v>0.33823529000000002</v>
      </c>
      <c r="AK75" s="165">
        <v>0.63970590000000005</v>
      </c>
      <c r="AL75" s="165">
        <v>0.28676470999999998</v>
      </c>
      <c r="AM75" s="165"/>
      <c r="AN75" s="165">
        <v>0.61764704999999998</v>
      </c>
    </row>
    <row r="76" spans="1:40" s="146" customFormat="1" ht="31.5" customHeight="1" x14ac:dyDescent="0.35">
      <c r="A76" s="147" t="s">
        <v>2355</v>
      </c>
      <c r="B76" s="148"/>
      <c r="C76" s="182">
        <v>0.42473329999999998</v>
      </c>
      <c r="D76" s="182">
        <v>0.40500000000000003</v>
      </c>
      <c r="E76" s="182">
        <v>0.2</v>
      </c>
      <c r="F76" s="182">
        <v>0.73333329999999997</v>
      </c>
      <c r="G76" s="163">
        <v>0.2</v>
      </c>
      <c r="H76" s="163">
        <v>0.38333333000000003</v>
      </c>
      <c r="I76" s="163">
        <v>0.44</v>
      </c>
      <c r="J76" s="163">
        <v>0.63</v>
      </c>
      <c r="K76" s="163">
        <v>0.52499998000000003</v>
      </c>
      <c r="L76" s="163"/>
      <c r="M76" s="163">
        <v>0.40000001000000002</v>
      </c>
      <c r="N76" s="163">
        <v>0.50999998999999996</v>
      </c>
      <c r="O76" s="163">
        <v>0.22</v>
      </c>
      <c r="P76" s="163">
        <v>0.49000000999999999</v>
      </c>
      <c r="Q76" s="163">
        <v>0.42333335</v>
      </c>
      <c r="R76" s="163"/>
      <c r="S76" s="163"/>
      <c r="T76" s="163">
        <v>0.47999998999999999</v>
      </c>
      <c r="U76" s="163">
        <v>0.31666665999999999</v>
      </c>
      <c r="V76" s="163">
        <v>0.28499999999999998</v>
      </c>
      <c r="W76" s="163">
        <v>0.625</v>
      </c>
      <c r="X76" s="163">
        <v>0.20499999999999999</v>
      </c>
      <c r="Y76" s="163">
        <v>0.40000001000000002</v>
      </c>
      <c r="Z76" s="163">
        <v>0.68500000000000005</v>
      </c>
      <c r="AA76" s="163">
        <v>0.40000001000000002</v>
      </c>
      <c r="AB76" s="163">
        <v>0.52999996999999999</v>
      </c>
      <c r="AC76" s="163">
        <v>0.33000001000000001</v>
      </c>
      <c r="AD76" s="163">
        <v>0.214</v>
      </c>
      <c r="AE76" s="163"/>
      <c r="AF76" s="163">
        <v>0.37</v>
      </c>
      <c r="AG76" s="163">
        <v>0.34599998999999998</v>
      </c>
      <c r="AH76" s="163">
        <v>0.23499999999999999</v>
      </c>
      <c r="AI76" s="163">
        <v>0.55500000999999999</v>
      </c>
      <c r="AJ76" s="163">
        <v>0.33333333999999998</v>
      </c>
      <c r="AK76" s="163">
        <v>0.73333334999999999</v>
      </c>
      <c r="AL76" s="163">
        <v>0.58499997999999997</v>
      </c>
      <c r="AM76" s="163">
        <v>0.41</v>
      </c>
      <c r="AN76" s="163">
        <v>0.48199998999999999</v>
      </c>
    </row>
    <row r="77" spans="1:40" s="153" customFormat="1" ht="31.5" customHeight="1" x14ac:dyDescent="0.35">
      <c r="A77" s="149" t="s">
        <v>2336</v>
      </c>
      <c r="B77" s="151" t="s">
        <v>2337</v>
      </c>
      <c r="C77" s="183">
        <v>0.4661111</v>
      </c>
      <c r="D77" s="183">
        <v>0.47499999999999998</v>
      </c>
      <c r="E77" s="183">
        <v>0</v>
      </c>
      <c r="F77" s="183">
        <v>0.75</v>
      </c>
      <c r="G77" s="166">
        <v>0</v>
      </c>
      <c r="H77" s="164">
        <v>0.26666667999999999</v>
      </c>
      <c r="I77" s="164">
        <v>0.64999998000000003</v>
      </c>
      <c r="J77" s="164">
        <v>0.75</v>
      </c>
      <c r="K77" s="164">
        <v>0.44999999000000002</v>
      </c>
      <c r="L77" s="164"/>
      <c r="M77" s="164">
        <v>0.15000000999999999</v>
      </c>
      <c r="N77" s="164">
        <v>0.60000001999999997</v>
      </c>
      <c r="O77" s="164">
        <v>0.26249999000000002</v>
      </c>
      <c r="P77" s="164">
        <v>0.44999999000000002</v>
      </c>
      <c r="Q77" s="164">
        <v>0.51666665000000001</v>
      </c>
      <c r="R77" s="164"/>
      <c r="S77" s="164"/>
      <c r="T77" s="164">
        <v>0.55000000999999998</v>
      </c>
      <c r="U77" s="164">
        <v>0.25833333000000003</v>
      </c>
      <c r="V77" s="164">
        <v>0.30000000999999998</v>
      </c>
      <c r="W77" s="164">
        <v>0.64999998000000003</v>
      </c>
      <c r="X77" s="164">
        <v>0.15000000999999999</v>
      </c>
      <c r="Y77" s="164">
        <v>0.55000000999999998</v>
      </c>
      <c r="Z77" s="164">
        <v>0.75</v>
      </c>
      <c r="AA77" s="164">
        <v>0.75</v>
      </c>
      <c r="AB77" s="164">
        <v>0.69999999000000002</v>
      </c>
      <c r="AC77" s="164">
        <v>0.44999999000000002</v>
      </c>
      <c r="AD77" s="164">
        <v>0.37</v>
      </c>
      <c r="AE77" s="164"/>
      <c r="AF77" s="164">
        <v>0.5</v>
      </c>
      <c r="AG77" s="164">
        <v>0.34</v>
      </c>
      <c r="AH77" s="164">
        <v>0.41249998999999998</v>
      </c>
      <c r="AI77" s="164">
        <v>0.44999999000000002</v>
      </c>
      <c r="AJ77" s="164">
        <v>0.31666665999999999</v>
      </c>
      <c r="AK77" s="164">
        <v>0.55000000999999998</v>
      </c>
      <c r="AL77" s="164">
        <v>0.69999999000000002</v>
      </c>
      <c r="AM77" s="164">
        <v>0.5</v>
      </c>
      <c r="AN77" s="164">
        <v>0.63999998999999996</v>
      </c>
    </row>
    <row r="78" spans="1:40" s="153" customFormat="1" ht="31.5" customHeight="1" x14ac:dyDescent="0.35">
      <c r="A78" s="154" t="s">
        <v>2338</v>
      </c>
      <c r="B78" s="152" t="s">
        <v>2339</v>
      </c>
      <c r="C78" s="184">
        <v>0.5126984</v>
      </c>
      <c r="D78" s="184">
        <v>0.53174600000000005</v>
      </c>
      <c r="E78" s="184">
        <v>0.17857139999999999</v>
      </c>
      <c r="F78" s="184">
        <v>0.95238100000000003</v>
      </c>
      <c r="G78" s="167">
        <v>0.57142859999999995</v>
      </c>
      <c r="H78" s="165">
        <v>0.44444444999999999</v>
      </c>
      <c r="I78" s="165">
        <v>0.71428572999999995</v>
      </c>
      <c r="J78" s="165">
        <v>0.55555558000000005</v>
      </c>
      <c r="K78" s="165">
        <v>0.65476190999999995</v>
      </c>
      <c r="L78" s="165"/>
      <c r="M78" s="165">
        <v>0.42857142999999998</v>
      </c>
      <c r="N78" s="165">
        <v>0.52380954999999996</v>
      </c>
      <c r="O78" s="165">
        <v>0.17857143</v>
      </c>
      <c r="P78" s="165">
        <v>0.57142859999999995</v>
      </c>
      <c r="Q78" s="165">
        <v>0.53968256999999997</v>
      </c>
      <c r="R78" s="165"/>
      <c r="S78" s="165"/>
      <c r="T78" s="165">
        <v>0.71428572999999995</v>
      </c>
      <c r="U78" s="165">
        <v>0.24603174999999999</v>
      </c>
      <c r="V78" s="165">
        <v>0.35714287</v>
      </c>
      <c r="W78" s="165">
        <v>0.71428572999999995</v>
      </c>
      <c r="X78" s="165">
        <v>0.19047618999999999</v>
      </c>
      <c r="Y78" s="165">
        <v>0.28571429999999998</v>
      </c>
      <c r="Z78" s="165">
        <v>0.84523809000000005</v>
      </c>
      <c r="AA78" s="165">
        <v>0.95238096000000005</v>
      </c>
      <c r="AB78" s="165">
        <v>0.69047617999999999</v>
      </c>
      <c r="AC78" s="165">
        <v>0.52380954999999996</v>
      </c>
      <c r="AD78" s="165">
        <v>0.36190476999999999</v>
      </c>
      <c r="AE78" s="165"/>
      <c r="AF78" s="165">
        <v>0.28571429999999998</v>
      </c>
      <c r="AG78" s="165">
        <v>0.33333333999999998</v>
      </c>
      <c r="AH78" s="165">
        <v>0.33333333999999998</v>
      </c>
      <c r="AI78" s="165">
        <v>0.54761903999999995</v>
      </c>
      <c r="AJ78" s="165">
        <v>0.34126984999999999</v>
      </c>
      <c r="AK78" s="165">
        <v>0.77777779000000002</v>
      </c>
      <c r="AL78" s="165">
        <v>0.72619045000000004</v>
      </c>
      <c r="AM78" s="165">
        <v>0.38095238999999997</v>
      </c>
      <c r="AN78" s="165">
        <v>0.59047620999999995</v>
      </c>
    </row>
    <row r="79" spans="1:40" s="153" customFormat="1" ht="31.5" customHeight="1" x14ac:dyDescent="0.35">
      <c r="A79" s="149" t="s">
        <v>2340</v>
      </c>
      <c r="B79" s="151" t="s">
        <v>2341</v>
      </c>
      <c r="C79" s="183">
        <v>0.5441667</v>
      </c>
      <c r="D79" s="183">
        <v>0.5</v>
      </c>
      <c r="E79" s="183">
        <v>0</v>
      </c>
      <c r="F79" s="183">
        <v>1</v>
      </c>
      <c r="G79" s="166">
        <v>0</v>
      </c>
      <c r="H79" s="164">
        <v>0.83333330999999999</v>
      </c>
      <c r="I79" s="164">
        <v>0</v>
      </c>
      <c r="J79" s="164">
        <v>0.83333330999999999</v>
      </c>
      <c r="K79" s="164">
        <v>0.875</v>
      </c>
      <c r="L79" s="164"/>
      <c r="M79" s="164">
        <v>0.5</v>
      </c>
      <c r="N79" s="164">
        <v>0.5</v>
      </c>
      <c r="O79" s="164">
        <v>0.375</v>
      </c>
      <c r="P79" s="164">
        <v>0.66666669000000001</v>
      </c>
      <c r="Q79" s="164">
        <v>0.66666669000000001</v>
      </c>
      <c r="R79" s="164"/>
      <c r="S79" s="164"/>
      <c r="T79" s="164">
        <v>0.5</v>
      </c>
      <c r="U79" s="164">
        <v>0.75</v>
      </c>
      <c r="V79" s="164">
        <v>0.5</v>
      </c>
      <c r="W79" s="164">
        <v>1</v>
      </c>
      <c r="X79" s="164">
        <v>0.25</v>
      </c>
      <c r="Y79" s="164">
        <v>1</v>
      </c>
      <c r="Z79" s="164">
        <v>0.875</v>
      </c>
      <c r="AA79" s="164">
        <v>0</v>
      </c>
      <c r="AB79" s="164">
        <v>0.5</v>
      </c>
      <c r="AC79" s="164">
        <v>0.5</v>
      </c>
      <c r="AD79" s="164">
        <v>0.1</v>
      </c>
      <c r="AE79" s="164"/>
      <c r="AF79" s="164">
        <v>0.5</v>
      </c>
      <c r="AG79" s="164">
        <v>0.5</v>
      </c>
      <c r="AH79" s="164">
        <v>0.25</v>
      </c>
      <c r="AI79" s="164">
        <v>0.5</v>
      </c>
      <c r="AJ79" s="164">
        <v>0.5</v>
      </c>
      <c r="AK79" s="164">
        <v>1</v>
      </c>
      <c r="AL79" s="164">
        <v>0.75</v>
      </c>
      <c r="AM79" s="164">
        <v>0.5</v>
      </c>
      <c r="AN79" s="164">
        <v>0.60000001999999997</v>
      </c>
    </row>
    <row r="80" spans="1:40" s="153" customFormat="1" ht="31.5" customHeight="1" x14ac:dyDescent="0.35">
      <c r="A80" s="154" t="s">
        <v>2342</v>
      </c>
      <c r="B80" s="152" t="s">
        <v>2343</v>
      </c>
      <c r="C80" s="184">
        <v>0.37705559999999999</v>
      </c>
      <c r="D80" s="184">
        <v>0.34375</v>
      </c>
      <c r="E80" s="184">
        <v>0.05</v>
      </c>
      <c r="F80" s="184">
        <v>0.85</v>
      </c>
      <c r="G80" s="167">
        <v>0.2</v>
      </c>
      <c r="H80" s="165">
        <v>0.34999998999999998</v>
      </c>
      <c r="I80" s="165">
        <v>0.80000000999999998</v>
      </c>
      <c r="J80" s="165">
        <v>0.55000000999999998</v>
      </c>
      <c r="K80" s="165">
        <v>0.33750001000000002</v>
      </c>
      <c r="L80" s="165"/>
      <c r="M80" s="165">
        <v>0.30000000999999998</v>
      </c>
      <c r="N80" s="165">
        <v>0.5</v>
      </c>
      <c r="O80" s="165">
        <v>0.27500001000000002</v>
      </c>
      <c r="P80" s="165">
        <v>0.41666666000000002</v>
      </c>
      <c r="Q80" s="165">
        <v>0.36666666999999997</v>
      </c>
      <c r="R80" s="165"/>
      <c r="S80" s="165"/>
      <c r="T80" s="165">
        <v>0.40000001000000002</v>
      </c>
      <c r="U80" s="165">
        <v>0.28333332999999999</v>
      </c>
      <c r="V80" s="165">
        <v>0.25</v>
      </c>
      <c r="W80" s="165">
        <v>0.55000000999999998</v>
      </c>
      <c r="X80" s="165">
        <v>0.32499999000000002</v>
      </c>
      <c r="Y80" s="165">
        <v>0.15000000999999999</v>
      </c>
      <c r="Z80" s="165">
        <v>0.57499999000000002</v>
      </c>
      <c r="AA80" s="165">
        <v>0.05</v>
      </c>
      <c r="AB80" s="165">
        <v>0.44999999000000002</v>
      </c>
      <c r="AC80" s="165">
        <v>0.15000000999999999</v>
      </c>
      <c r="AD80" s="165">
        <v>0.18000000999999999</v>
      </c>
      <c r="AE80" s="165"/>
      <c r="AF80" s="165">
        <v>0.15000000999999999</v>
      </c>
      <c r="AG80" s="165">
        <v>0.31</v>
      </c>
      <c r="AH80" s="165">
        <v>0.16249999000000001</v>
      </c>
      <c r="AI80" s="165">
        <v>0.80000000999999998</v>
      </c>
      <c r="AJ80" s="165">
        <v>0.32499999000000002</v>
      </c>
      <c r="AK80" s="165">
        <v>0.85000001999999997</v>
      </c>
      <c r="AL80" s="165">
        <v>0.375</v>
      </c>
      <c r="AM80" s="165">
        <v>0.44999999000000002</v>
      </c>
      <c r="AN80" s="165">
        <v>0.43000000999999999</v>
      </c>
    </row>
    <row r="81" spans="1:40" s="153" customFormat="1" ht="31.5" customHeight="1" x14ac:dyDescent="0.35">
      <c r="A81" s="149" t="s">
        <v>2344</v>
      </c>
      <c r="B81" s="151" t="s">
        <v>2345</v>
      </c>
      <c r="C81" s="183">
        <v>0.2084211</v>
      </c>
      <c r="D81" s="183">
        <v>0.2105263</v>
      </c>
      <c r="E81" s="183">
        <v>0</v>
      </c>
      <c r="F81" s="183">
        <v>0.63157890000000005</v>
      </c>
      <c r="G81" s="166">
        <v>0.21052631999999999</v>
      </c>
      <c r="H81" s="164">
        <v>0</v>
      </c>
      <c r="I81" s="164">
        <v>0</v>
      </c>
      <c r="J81" s="164">
        <v>0.45614033999999998</v>
      </c>
      <c r="K81" s="164">
        <v>0.28947368000000001</v>
      </c>
      <c r="L81" s="164"/>
      <c r="M81" s="164">
        <v>0.63157892000000004</v>
      </c>
      <c r="N81" s="164">
        <v>0.42105262999999998</v>
      </c>
      <c r="O81" s="164">
        <v>0</v>
      </c>
      <c r="P81" s="164">
        <v>0.33333333999999998</v>
      </c>
      <c r="Q81" s="164">
        <v>0</v>
      </c>
      <c r="R81" s="164"/>
      <c r="S81" s="164"/>
      <c r="T81" s="164">
        <v>0.21052631999999999</v>
      </c>
      <c r="U81" s="164">
        <v>3.5087720000000003E-2</v>
      </c>
      <c r="V81" s="164">
        <v>0</v>
      </c>
      <c r="W81" s="164">
        <v>0.18421051999999999</v>
      </c>
      <c r="X81" s="164">
        <v>0.10526315999999999</v>
      </c>
      <c r="Y81" s="164">
        <v>0</v>
      </c>
      <c r="Z81" s="164">
        <v>0.35526313999999998</v>
      </c>
      <c r="AA81" s="164">
        <v>0.21052631999999999</v>
      </c>
      <c r="AB81" s="164">
        <v>0.28947368000000001</v>
      </c>
      <c r="AC81" s="164">
        <v>0</v>
      </c>
      <c r="AD81" s="164">
        <v>4.210527E-2</v>
      </c>
      <c r="AE81" s="164"/>
      <c r="AF81" s="164">
        <v>0.42105262999999998</v>
      </c>
      <c r="AG81" s="164">
        <v>0.24210525999999999</v>
      </c>
      <c r="AH81" s="164">
        <v>0</v>
      </c>
      <c r="AI81" s="164">
        <v>0.47368421999999999</v>
      </c>
      <c r="AJ81" s="164">
        <v>0.1754386</v>
      </c>
      <c r="AK81" s="164">
        <v>0.47368421999999999</v>
      </c>
      <c r="AL81" s="164">
        <v>0.35526313999999998</v>
      </c>
      <c r="AM81" s="164">
        <v>0.21052631999999999</v>
      </c>
      <c r="AN81" s="164">
        <v>0.12631579000000001</v>
      </c>
    </row>
  </sheetData>
  <mergeCells count="10">
    <mergeCell ref="A1:B1"/>
    <mergeCell ref="A21:B21"/>
    <mergeCell ref="A15:B15"/>
    <mergeCell ref="C1:F1"/>
    <mergeCell ref="C2:C3"/>
    <mergeCell ref="D2:D3"/>
    <mergeCell ref="E2:E3"/>
    <mergeCell ref="F2:F3"/>
    <mergeCell ref="A14:B14"/>
    <mergeCell ref="C14:F14"/>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249977111117893"/>
  </sheetPr>
  <dimension ref="A1:V409"/>
  <sheetViews>
    <sheetView topLeftCell="A387" zoomScale="59" zoomScaleNormal="59" workbookViewId="0">
      <selection activeCell="J4" sqref="J4:J409"/>
    </sheetView>
  </sheetViews>
  <sheetFormatPr defaultColWidth="20.5" defaultRowHeight="15.5" x14ac:dyDescent="0.35"/>
  <cols>
    <col min="1" max="5" width="20.5" style="111"/>
    <col min="7" max="7" width="20.5" style="111"/>
    <col min="11" max="11" width="5" style="115" customWidth="1"/>
    <col min="12" max="16" width="20.5" style="111"/>
    <col min="23" max="23" width="3.5" customWidth="1"/>
  </cols>
  <sheetData>
    <row r="1" spans="1:22" s="106" customFormat="1" ht="49" customHeight="1" x14ac:dyDescent="0.35">
      <c r="A1" s="295"/>
      <c r="B1" s="295"/>
      <c r="C1" s="295"/>
      <c r="D1" s="295"/>
      <c r="E1" s="421" t="s">
        <v>2447</v>
      </c>
      <c r="F1" s="422"/>
      <c r="G1" s="422"/>
      <c r="H1" s="422"/>
      <c r="I1" s="422"/>
      <c r="J1" s="422"/>
      <c r="K1" s="113"/>
      <c r="L1" s="295"/>
      <c r="M1" s="295"/>
      <c r="N1" s="295"/>
      <c r="O1" s="297"/>
      <c r="P1" s="295"/>
      <c r="Q1" s="422" t="s">
        <v>2448</v>
      </c>
      <c r="R1" s="422"/>
      <c r="S1" s="422"/>
      <c r="T1" s="422"/>
      <c r="U1" s="422"/>
      <c r="V1" s="422"/>
    </row>
    <row r="2" spans="1:22" s="106" customFormat="1" ht="49" customHeight="1" x14ac:dyDescent="0.35">
      <c r="A2" s="296"/>
      <c r="B2" s="296"/>
      <c r="C2" s="296"/>
      <c r="D2" s="296"/>
      <c r="E2" s="421" t="s">
        <v>2449</v>
      </c>
      <c r="F2" s="422"/>
      <c r="G2" s="422" t="s">
        <v>2333</v>
      </c>
      <c r="H2" s="422"/>
      <c r="I2" s="422"/>
      <c r="J2" s="378" t="s">
        <v>718</v>
      </c>
      <c r="K2" s="113"/>
      <c r="L2" s="296"/>
      <c r="M2" s="296"/>
      <c r="N2" s="296"/>
      <c r="O2" s="298"/>
      <c r="P2" s="296"/>
      <c r="Q2" s="422"/>
      <c r="R2" s="422"/>
      <c r="S2" s="422"/>
      <c r="T2" s="422"/>
      <c r="U2" s="422"/>
      <c r="V2" s="422"/>
    </row>
    <row r="3" spans="1:22" s="110" customFormat="1" ht="154.5" customHeight="1" x14ac:dyDescent="0.35">
      <c r="A3" s="292" t="s">
        <v>699</v>
      </c>
      <c r="B3" s="292" t="s">
        <v>813</v>
      </c>
      <c r="C3" s="292" t="s">
        <v>815</v>
      </c>
      <c r="D3" s="292" t="s">
        <v>814</v>
      </c>
      <c r="E3" s="294" t="s">
        <v>2435</v>
      </c>
      <c r="F3" s="291" t="s">
        <v>2332</v>
      </c>
      <c r="G3" s="291" t="s">
        <v>2437</v>
      </c>
      <c r="H3" s="291" t="s">
        <v>2332</v>
      </c>
      <c r="I3" s="291" t="s">
        <v>2438</v>
      </c>
      <c r="J3" s="378"/>
      <c r="K3" s="289"/>
      <c r="L3" s="292" t="s">
        <v>699</v>
      </c>
      <c r="M3" s="292" t="s">
        <v>813</v>
      </c>
      <c r="N3" s="292" t="s">
        <v>815</v>
      </c>
      <c r="O3" s="293" t="s">
        <v>814</v>
      </c>
      <c r="P3" s="299" t="s">
        <v>2440</v>
      </c>
      <c r="Q3" s="300" t="s">
        <v>2337</v>
      </c>
      <c r="R3" s="300" t="s">
        <v>2450</v>
      </c>
      <c r="S3" s="301" t="s">
        <v>2430</v>
      </c>
      <c r="T3" s="301" t="s">
        <v>2343</v>
      </c>
      <c r="U3" s="301" t="s">
        <v>2345</v>
      </c>
      <c r="V3" s="302" t="s">
        <v>2451</v>
      </c>
    </row>
    <row r="4" spans="1:22" ht="18.5" x14ac:dyDescent="0.35">
      <c r="A4" s="141" t="s">
        <v>719</v>
      </c>
      <c r="B4" s="141" t="s">
        <v>720</v>
      </c>
      <c r="C4" s="141">
        <v>401</v>
      </c>
      <c r="D4" s="141" t="s">
        <v>841</v>
      </c>
      <c r="E4" s="141">
        <v>1</v>
      </c>
      <c r="F4" s="142">
        <v>0.1</v>
      </c>
      <c r="G4" s="141">
        <v>1</v>
      </c>
      <c r="H4" s="142">
        <v>0.83333330000000005</v>
      </c>
      <c r="I4" s="142">
        <v>0.59782610000000003</v>
      </c>
      <c r="J4" s="142">
        <v>0.41249999999999998</v>
      </c>
      <c r="K4" s="155"/>
      <c r="L4" s="141" t="s">
        <v>719</v>
      </c>
      <c r="M4" s="141" t="s">
        <v>720</v>
      </c>
      <c r="N4" s="141">
        <v>401</v>
      </c>
      <c r="O4" s="141" t="s">
        <v>841</v>
      </c>
      <c r="P4" s="141">
        <v>4</v>
      </c>
      <c r="Q4" s="142">
        <v>0.37804880000000002</v>
      </c>
      <c r="R4" s="142">
        <v>0.1875</v>
      </c>
      <c r="S4" s="142">
        <v>0.59701490000000002</v>
      </c>
      <c r="T4" s="142">
        <v>0.17241380000000001</v>
      </c>
      <c r="U4" s="142">
        <v>0.17525769999999999</v>
      </c>
      <c r="V4" s="142">
        <v>0.28999999999999998</v>
      </c>
    </row>
    <row r="5" spans="1:22" ht="18.5" x14ac:dyDescent="0.35">
      <c r="A5" s="141" t="s">
        <v>719</v>
      </c>
      <c r="B5" s="141" t="s">
        <v>720</v>
      </c>
      <c r="C5" s="141">
        <v>403</v>
      </c>
      <c r="D5" s="141" t="s">
        <v>2452</v>
      </c>
      <c r="E5" s="141">
        <v>1</v>
      </c>
      <c r="F5" s="142">
        <v>0.15</v>
      </c>
      <c r="G5" s="141">
        <v>1</v>
      </c>
      <c r="H5" s="142">
        <v>0.88888889999999998</v>
      </c>
      <c r="I5" s="142">
        <v>0.79347829999999997</v>
      </c>
      <c r="J5" s="142">
        <v>0.4975</v>
      </c>
      <c r="K5" s="155"/>
      <c r="L5" s="141" t="s">
        <v>719</v>
      </c>
      <c r="M5" s="141" t="s">
        <v>720</v>
      </c>
      <c r="N5" s="141">
        <v>403</v>
      </c>
      <c r="O5" s="141" t="s">
        <v>2452</v>
      </c>
      <c r="P5" s="141">
        <v>4</v>
      </c>
      <c r="Q5" s="142">
        <v>0.63461540000000005</v>
      </c>
      <c r="R5" s="142">
        <v>0.30851060000000002</v>
      </c>
      <c r="S5" s="142">
        <v>0.97014929999999999</v>
      </c>
      <c r="T5" s="142">
        <v>0.2631579</v>
      </c>
      <c r="U5" s="142">
        <v>0.29896909999999999</v>
      </c>
      <c r="V5" s="142">
        <v>0.4975</v>
      </c>
    </row>
    <row r="6" spans="1:22" ht="18.5" x14ac:dyDescent="0.35">
      <c r="A6" s="141" t="s">
        <v>719</v>
      </c>
      <c r="B6" s="141" t="s">
        <v>720</v>
      </c>
      <c r="C6" s="141">
        <v>417</v>
      </c>
      <c r="D6" s="141" t="s">
        <v>841</v>
      </c>
      <c r="E6" s="141">
        <v>1</v>
      </c>
      <c r="F6" s="142">
        <v>0.67</v>
      </c>
      <c r="G6" s="141">
        <v>1</v>
      </c>
      <c r="H6" s="142">
        <v>1</v>
      </c>
      <c r="I6" s="142">
        <v>0.94565220000000005</v>
      </c>
      <c r="J6" s="142">
        <v>0.82250000000000001</v>
      </c>
      <c r="K6" s="155"/>
      <c r="L6" s="141" t="s">
        <v>719</v>
      </c>
      <c r="M6" s="141" t="s">
        <v>720</v>
      </c>
      <c r="N6" s="141">
        <v>417</v>
      </c>
      <c r="O6" s="141" t="s">
        <v>841</v>
      </c>
      <c r="P6" s="141">
        <v>4</v>
      </c>
      <c r="Q6" s="142">
        <v>0.63063060000000004</v>
      </c>
      <c r="R6" s="142">
        <v>0.5</v>
      </c>
      <c r="S6" s="142">
        <v>0.5</v>
      </c>
      <c r="T6" s="142">
        <v>0.63157890000000005</v>
      </c>
      <c r="U6" s="142">
        <v>0.38144329999999999</v>
      </c>
      <c r="V6" s="142">
        <v>0.52</v>
      </c>
    </row>
    <row r="7" spans="1:22" ht="18.5" x14ac:dyDescent="0.35">
      <c r="A7" s="141" t="s">
        <v>719</v>
      </c>
      <c r="B7" s="141" t="s">
        <v>720</v>
      </c>
      <c r="C7" s="141">
        <v>1565</v>
      </c>
      <c r="D7" s="141" t="s">
        <v>842</v>
      </c>
      <c r="E7" s="141">
        <v>1</v>
      </c>
      <c r="F7" s="142">
        <v>0.59</v>
      </c>
      <c r="G7" s="141">
        <v>1</v>
      </c>
      <c r="H7" s="142">
        <v>0.66666669999999995</v>
      </c>
      <c r="I7" s="142">
        <v>0.54347829999999997</v>
      </c>
      <c r="J7" s="142">
        <v>0.6</v>
      </c>
      <c r="K7" s="155"/>
      <c r="L7" s="141" t="s">
        <v>719</v>
      </c>
      <c r="M7" s="141" t="s">
        <v>720</v>
      </c>
      <c r="N7" s="141">
        <v>1565</v>
      </c>
      <c r="O7" s="141" t="s">
        <v>842</v>
      </c>
      <c r="P7" s="141">
        <v>4</v>
      </c>
      <c r="Q7" s="142">
        <v>0.17441860000000001</v>
      </c>
      <c r="R7" s="142">
        <v>0.24242420000000001</v>
      </c>
      <c r="S7" s="142">
        <v>0.52238799999999996</v>
      </c>
      <c r="T7" s="142">
        <v>0.131579</v>
      </c>
      <c r="U7" s="142">
        <v>0.14545449999999999</v>
      </c>
      <c r="V7" s="142">
        <v>0.23749999999999999</v>
      </c>
    </row>
    <row r="8" spans="1:22" ht="18.5" x14ac:dyDescent="0.35">
      <c r="A8" s="141" t="s">
        <v>719</v>
      </c>
      <c r="B8" s="141" t="s">
        <v>720</v>
      </c>
      <c r="C8" s="141">
        <v>1712</v>
      </c>
      <c r="D8" s="141" t="s">
        <v>842</v>
      </c>
      <c r="E8" s="141">
        <v>1</v>
      </c>
      <c r="F8" s="142">
        <v>0.46</v>
      </c>
      <c r="G8" s="141">
        <v>1</v>
      </c>
      <c r="H8" s="142">
        <v>0.66666669999999995</v>
      </c>
      <c r="I8" s="142">
        <v>0.66304350000000001</v>
      </c>
      <c r="J8" s="142">
        <v>0.5625</v>
      </c>
      <c r="K8" s="155"/>
      <c r="L8" s="141" t="s">
        <v>719</v>
      </c>
      <c r="M8" s="141" t="s">
        <v>720</v>
      </c>
      <c r="N8" s="141">
        <v>1712</v>
      </c>
      <c r="O8" s="141" t="s">
        <v>842</v>
      </c>
      <c r="P8" s="141">
        <v>4</v>
      </c>
      <c r="Q8" s="142">
        <v>0.38888889999999998</v>
      </c>
      <c r="R8" s="142">
        <v>0.13207550000000001</v>
      </c>
      <c r="S8" s="142">
        <v>0.32727270000000003</v>
      </c>
      <c r="T8" s="142">
        <v>0</v>
      </c>
      <c r="U8" s="142">
        <v>0.26126129999999997</v>
      </c>
      <c r="V8" s="142">
        <v>0.24</v>
      </c>
    </row>
    <row r="9" spans="1:22" ht="18.5" x14ac:dyDescent="0.35">
      <c r="A9" s="141" t="s">
        <v>719</v>
      </c>
      <c r="B9" s="141" t="s">
        <v>720</v>
      </c>
      <c r="C9" s="141">
        <v>1979</v>
      </c>
      <c r="D9" s="141" t="s">
        <v>842</v>
      </c>
      <c r="E9" s="141">
        <v>1</v>
      </c>
      <c r="F9" s="142">
        <v>0.47</v>
      </c>
      <c r="G9" s="141">
        <v>1</v>
      </c>
      <c r="H9" s="142">
        <v>0.83333330000000005</v>
      </c>
      <c r="I9" s="142">
        <v>0.59782610000000003</v>
      </c>
      <c r="J9" s="142">
        <v>0.59750000000000003</v>
      </c>
      <c r="K9" s="155"/>
      <c r="L9" s="141" t="s">
        <v>719</v>
      </c>
      <c r="M9" s="141" t="s">
        <v>720</v>
      </c>
      <c r="N9" s="141">
        <v>1979</v>
      </c>
      <c r="O9" s="141" t="s">
        <v>842</v>
      </c>
      <c r="P9" s="141">
        <v>4</v>
      </c>
      <c r="Q9" s="142">
        <v>0.38288290000000003</v>
      </c>
      <c r="R9" s="142">
        <v>0.3139535</v>
      </c>
      <c r="S9" s="142">
        <v>0.80769230000000003</v>
      </c>
      <c r="T9" s="142">
        <v>0.27941179999999999</v>
      </c>
      <c r="U9" s="142">
        <v>0.2289157</v>
      </c>
      <c r="V9" s="142">
        <v>0.37375000000000003</v>
      </c>
    </row>
    <row r="10" spans="1:22" ht="18.5" x14ac:dyDescent="0.35">
      <c r="A10" s="141" t="s">
        <v>719</v>
      </c>
      <c r="B10" s="141" t="s">
        <v>720</v>
      </c>
      <c r="C10" s="141">
        <v>2064</v>
      </c>
      <c r="D10" s="141" t="s">
        <v>842</v>
      </c>
      <c r="E10" s="141">
        <v>1</v>
      </c>
      <c r="F10" s="142">
        <v>0.48</v>
      </c>
      <c r="G10" s="141">
        <v>1</v>
      </c>
      <c r="H10" s="142">
        <v>0.5</v>
      </c>
      <c r="I10" s="142">
        <v>0.53260870000000005</v>
      </c>
      <c r="J10" s="142">
        <v>0.4975</v>
      </c>
      <c r="K10" s="155"/>
      <c r="L10" s="141" t="s">
        <v>719</v>
      </c>
      <c r="M10" s="141" t="s">
        <v>720</v>
      </c>
      <c r="N10" s="141">
        <v>2064</v>
      </c>
      <c r="O10" s="141" t="s">
        <v>842</v>
      </c>
      <c r="P10" s="141">
        <v>4</v>
      </c>
      <c r="Q10" s="142">
        <v>0.1797753</v>
      </c>
      <c r="R10" s="142">
        <v>0.3608247</v>
      </c>
      <c r="S10" s="142">
        <v>0.05</v>
      </c>
      <c r="T10" s="142">
        <v>0.10344830000000001</v>
      </c>
      <c r="U10" s="142">
        <v>0.1354167</v>
      </c>
      <c r="V10" s="142">
        <v>0.1825</v>
      </c>
    </row>
    <row r="11" spans="1:22" ht="18.5" x14ac:dyDescent="0.35">
      <c r="A11" s="141" t="s">
        <v>719</v>
      </c>
      <c r="B11" s="141" t="s">
        <v>720</v>
      </c>
      <c r="C11" s="141">
        <v>2527</v>
      </c>
      <c r="D11" s="141" t="s">
        <v>663</v>
      </c>
      <c r="E11" s="141">
        <v>1</v>
      </c>
      <c r="F11" s="142">
        <v>0.18</v>
      </c>
      <c r="G11" s="141">
        <v>1</v>
      </c>
      <c r="H11" s="142">
        <v>1</v>
      </c>
      <c r="I11" s="142">
        <v>0.88043479999999996</v>
      </c>
      <c r="J11" s="142">
        <v>0.5625</v>
      </c>
      <c r="K11" s="155"/>
      <c r="L11" s="141" t="s">
        <v>719</v>
      </c>
      <c r="M11" s="141" t="s">
        <v>720</v>
      </c>
      <c r="N11" s="141">
        <v>2527</v>
      </c>
      <c r="O11" s="141" t="s">
        <v>663</v>
      </c>
      <c r="P11" s="141">
        <v>4</v>
      </c>
      <c r="Q11" s="142">
        <v>0.59090909999999996</v>
      </c>
      <c r="R11" s="142">
        <v>0.32183909999999999</v>
      </c>
      <c r="S11" s="142">
        <v>0.4166667</v>
      </c>
      <c r="T11" s="142">
        <v>0.3</v>
      </c>
      <c r="U11" s="142">
        <v>3.2258099999999998E-2</v>
      </c>
      <c r="V11" s="142">
        <v>0.34</v>
      </c>
    </row>
    <row r="12" spans="1:22" ht="18.5" x14ac:dyDescent="0.35">
      <c r="A12" s="141" t="s">
        <v>719</v>
      </c>
      <c r="B12" s="141" t="s">
        <v>720</v>
      </c>
      <c r="C12" s="141">
        <v>2570</v>
      </c>
      <c r="D12" s="141" t="s">
        <v>663</v>
      </c>
      <c r="E12" s="141">
        <v>1</v>
      </c>
      <c r="F12" s="142">
        <v>0.36</v>
      </c>
      <c r="G12" s="141">
        <v>1</v>
      </c>
      <c r="H12" s="142">
        <v>0.88888889999999998</v>
      </c>
      <c r="I12" s="142">
        <v>0.54347829999999997</v>
      </c>
      <c r="J12" s="142">
        <v>0.54500000000000004</v>
      </c>
      <c r="K12" s="155"/>
      <c r="L12" s="141" t="s">
        <v>719</v>
      </c>
      <c r="M12" s="141" t="s">
        <v>720</v>
      </c>
      <c r="N12" s="141">
        <v>2570</v>
      </c>
      <c r="O12" s="141" t="s">
        <v>663</v>
      </c>
      <c r="P12" s="141">
        <v>4</v>
      </c>
      <c r="Q12" s="142">
        <v>0.26363639999999999</v>
      </c>
      <c r="R12" s="142">
        <v>0.49473689999999998</v>
      </c>
      <c r="S12" s="142">
        <v>0.6323529</v>
      </c>
      <c r="T12" s="142">
        <v>0.5</v>
      </c>
      <c r="U12" s="142">
        <v>0.16822429999999999</v>
      </c>
      <c r="V12" s="142">
        <v>0.36749999999999999</v>
      </c>
    </row>
    <row r="13" spans="1:22" ht="18.5" x14ac:dyDescent="0.35">
      <c r="A13" s="141" t="s">
        <v>719</v>
      </c>
      <c r="B13" s="141" t="s">
        <v>720</v>
      </c>
      <c r="C13" s="141">
        <v>2584</v>
      </c>
      <c r="D13" s="141" t="s">
        <v>663</v>
      </c>
      <c r="E13" s="141">
        <v>1</v>
      </c>
      <c r="F13" s="142">
        <v>0.4</v>
      </c>
      <c r="G13" s="141">
        <v>1</v>
      </c>
      <c r="H13" s="142">
        <v>0.88888889999999998</v>
      </c>
      <c r="I13" s="142">
        <v>0.6086956</v>
      </c>
      <c r="J13" s="142">
        <v>0.57999999999999996</v>
      </c>
      <c r="K13" s="155"/>
      <c r="L13" s="141" t="s">
        <v>719</v>
      </c>
      <c r="M13" s="141" t="s">
        <v>720</v>
      </c>
      <c r="N13" s="141">
        <v>2584</v>
      </c>
      <c r="O13" s="141" t="s">
        <v>663</v>
      </c>
      <c r="P13" s="141">
        <v>4</v>
      </c>
      <c r="Q13" s="142">
        <v>0.33529409999999998</v>
      </c>
      <c r="R13" s="142">
        <v>0.51685389999999998</v>
      </c>
      <c r="S13" s="142">
        <v>0.69444439999999996</v>
      </c>
      <c r="T13" s="142">
        <v>0.24137929999999999</v>
      </c>
      <c r="U13" s="142">
        <v>0.2083333</v>
      </c>
      <c r="V13" s="142">
        <v>0.39624999999999999</v>
      </c>
    </row>
    <row r="14" spans="1:22" ht="18.5" x14ac:dyDescent="0.35">
      <c r="A14" s="141" t="s">
        <v>719</v>
      </c>
      <c r="B14" s="141" t="s">
        <v>720</v>
      </c>
      <c r="C14" s="141">
        <v>2880</v>
      </c>
      <c r="D14" s="141" t="s">
        <v>663</v>
      </c>
      <c r="E14" s="141">
        <v>1</v>
      </c>
      <c r="F14" s="142">
        <v>0.56999999999999995</v>
      </c>
      <c r="G14" s="141">
        <v>1</v>
      </c>
      <c r="H14" s="142">
        <v>0.1111111</v>
      </c>
      <c r="I14" s="142">
        <v>0.2065217</v>
      </c>
      <c r="J14" s="142">
        <v>0.36249999999999999</v>
      </c>
      <c r="K14" s="155"/>
      <c r="L14" s="141" t="s">
        <v>719</v>
      </c>
      <c r="M14" s="141" t="s">
        <v>720</v>
      </c>
      <c r="N14" s="141">
        <v>2880</v>
      </c>
      <c r="O14" s="141" t="s">
        <v>663</v>
      </c>
      <c r="P14" s="141">
        <v>4</v>
      </c>
      <c r="Q14" s="142">
        <v>0.3170732</v>
      </c>
      <c r="R14" s="142">
        <v>0.28125</v>
      </c>
      <c r="S14" s="142">
        <v>0.59701490000000002</v>
      </c>
      <c r="T14" s="142">
        <v>8.6206900000000003E-2</v>
      </c>
      <c r="U14" s="142">
        <v>5.1546399999999999E-2</v>
      </c>
      <c r="V14" s="142">
        <v>0.25750000000000001</v>
      </c>
    </row>
    <row r="15" spans="1:22" ht="18.5" x14ac:dyDescent="0.35">
      <c r="A15" s="141" t="s">
        <v>719</v>
      </c>
      <c r="B15" s="141" t="s">
        <v>720</v>
      </c>
      <c r="C15" s="141">
        <v>4263</v>
      </c>
      <c r="D15" s="141" t="s">
        <v>663</v>
      </c>
      <c r="E15" s="141">
        <v>1</v>
      </c>
      <c r="F15" s="142">
        <v>0.56999999999999995</v>
      </c>
      <c r="G15" s="141">
        <v>1</v>
      </c>
      <c r="H15" s="142">
        <v>0.94444439999999996</v>
      </c>
      <c r="I15" s="142">
        <v>0.77173910000000001</v>
      </c>
      <c r="J15" s="142">
        <v>0.71750000000000003</v>
      </c>
      <c r="K15" s="155"/>
      <c r="L15" s="141" t="s">
        <v>719</v>
      </c>
      <c r="M15" s="141" t="s">
        <v>720</v>
      </c>
      <c r="N15" s="141">
        <v>4263</v>
      </c>
      <c r="O15" s="141" t="s">
        <v>663</v>
      </c>
      <c r="P15" s="141">
        <v>4</v>
      </c>
      <c r="Q15" s="142">
        <v>0.32926830000000001</v>
      </c>
      <c r="R15" s="142">
        <v>0.15151519999999999</v>
      </c>
      <c r="S15" s="142">
        <v>0.125</v>
      </c>
      <c r="T15" s="142">
        <v>0.53571429999999998</v>
      </c>
      <c r="U15" s="142">
        <v>0.3</v>
      </c>
      <c r="V15" s="142">
        <v>0.27124999999999999</v>
      </c>
    </row>
    <row r="16" spans="1:22" ht="18.5" x14ac:dyDescent="0.35">
      <c r="A16" s="141" t="s">
        <v>719</v>
      </c>
      <c r="B16" s="141" t="s">
        <v>720</v>
      </c>
      <c r="C16" s="141">
        <v>4265</v>
      </c>
      <c r="D16" s="141" t="s">
        <v>663</v>
      </c>
      <c r="E16" s="141">
        <v>1</v>
      </c>
      <c r="F16" s="142">
        <v>0.47</v>
      </c>
      <c r="G16" s="141">
        <v>1</v>
      </c>
      <c r="H16" s="142">
        <v>0.44444440000000002</v>
      </c>
      <c r="I16" s="142">
        <v>0.47826089999999999</v>
      </c>
      <c r="J16" s="142">
        <v>0.46500000000000002</v>
      </c>
      <c r="K16" s="155"/>
      <c r="L16" s="141" t="s">
        <v>719</v>
      </c>
      <c r="M16" s="141" t="s">
        <v>720</v>
      </c>
      <c r="N16" s="141">
        <v>4265</v>
      </c>
      <c r="O16" s="141" t="s">
        <v>663</v>
      </c>
      <c r="P16" s="141">
        <v>4</v>
      </c>
      <c r="Q16" s="142">
        <v>0.2093023</v>
      </c>
      <c r="R16" s="142">
        <v>0.3535354</v>
      </c>
      <c r="S16" s="142">
        <v>0.59701490000000002</v>
      </c>
      <c r="T16" s="142">
        <v>0.3421053</v>
      </c>
      <c r="U16" s="142">
        <v>0.25454549999999998</v>
      </c>
      <c r="V16" s="142">
        <v>0.33500000000000002</v>
      </c>
    </row>
    <row r="17" spans="1:22" ht="18.5" x14ac:dyDescent="0.35">
      <c r="A17" s="141" t="s">
        <v>719</v>
      </c>
      <c r="B17" s="141" t="s">
        <v>720</v>
      </c>
      <c r="C17" s="141">
        <v>4283</v>
      </c>
      <c r="D17" s="141" t="s">
        <v>663</v>
      </c>
      <c r="E17" s="141">
        <v>1</v>
      </c>
      <c r="F17" s="142">
        <v>0.45</v>
      </c>
      <c r="G17" s="141">
        <v>1</v>
      </c>
      <c r="H17" s="142">
        <v>1</v>
      </c>
      <c r="I17" s="142">
        <v>0.78260870000000005</v>
      </c>
      <c r="J17" s="142">
        <v>0.67500000000000004</v>
      </c>
      <c r="K17" s="155"/>
      <c r="L17" s="141" t="s">
        <v>719</v>
      </c>
      <c r="M17" s="141" t="s">
        <v>720</v>
      </c>
      <c r="N17" s="141">
        <v>4283</v>
      </c>
      <c r="O17" s="141" t="s">
        <v>663</v>
      </c>
      <c r="P17" s="141">
        <v>4</v>
      </c>
      <c r="Q17" s="142">
        <v>0.1271186</v>
      </c>
      <c r="R17" s="142">
        <v>0.13402059999999999</v>
      </c>
      <c r="S17" s="142">
        <v>0.3125</v>
      </c>
      <c r="T17" s="142">
        <v>0</v>
      </c>
      <c r="U17" s="142">
        <v>0.1869159</v>
      </c>
      <c r="V17" s="142">
        <v>0.1575</v>
      </c>
    </row>
    <row r="18" spans="1:22" ht="18.5" x14ac:dyDescent="0.35">
      <c r="A18" s="141" t="s">
        <v>719</v>
      </c>
      <c r="B18" s="141" t="s">
        <v>720</v>
      </c>
      <c r="C18" s="141">
        <v>4287</v>
      </c>
      <c r="D18" s="141" t="s">
        <v>663</v>
      </c>
      <c r="E18" s="141">
        <v>1</v>
      </c>
      <c r="F18" s="142">
        <v>0.56000000000000005</v>
      </c>
      <c r="G18" s="141">
        <v>1</v>
      </c>
      <c r="H18" s="142">
        <v>0.83333330000000005</v>
      </c>
      <c r="I18" s="142">
        <v>0.69565220000000005</v>
      </c>
      <c r="J18" s="142">
        <v>0.66500000000000004</v>
      </c>
      <c r="K18" s="155"/>
      <c r="L18" s="141" t="s">
        <v>719</v>
      </c>
      <c r="M18" s="141" t="s">
        <v>720</v>
      </c>
      <c r="N18" s="141">
        <v>4287</v>
      </c>
      <c r="O18" s="141" t="s">
        <v>663</v>
      </c>
      <c r="P18" s="141">
        <v>4</v>
      </c>
      <c r="Q18" s="142">
        <v>0.5546219</v>
      </c>
      <c r="R18" s="142">
        <v>0.66145830000000005</v>
      </c>
      <c r="S18" s="142">
        <v>0.875</v>
      </c>
      <c r="T18" s="142">
        <v>0.85416669999999995</v>
      </c>
      <c r="U18" s="142">
        <v>0.58762879999999995</v>
      </c>
      <c r="V18" s="142">
        <v>0.65625</v>
      </c>
    </row>
    <row r="19" spans="1:22" ht="18.5" x14ac:dyDescent="0.35">
      <c r="A19" s="141" t="s">
        <v>719</v>
      </c>
      <c r="B19" s="141" t="s">
        <v>720</v>
      </c>
      <c r="C19" s="141">
        <v>4289</v>
      </c>
      <c r="D19" s="141" t="s">
        <v>663</v>
      </c>
      <c r="E19" s="141">
        <v>1</v>
      </c>
      <c r="F19" s="142">
        <v>0.53</v>
      </c>
      <c r="G19" s="141">
        <v>1</v>
      </c>
      <c r="H19" s="142">
        <v>1</v>
      </c>
      <c r="I19" s="142">
        <v>0.97826089999999999</v>
      </c>
      <c r="J19" s="142">
        <v>0.76</v>
      </c>
      <c r="K19" s="155"/>
      <c r="L19" s="141" t="s">
        <v>719</v>
      </c>
      <c r="M19" s="141" t="s">
        <v>720</v>
      </c>
      <c r="N19" s="141">
        <v>4289</v>
      </c>
      <c r="O19" s="141" t="s">
        <v>663</v>
      </c>
      <c r="P19" s="141">
        <v>4</v>
      </c>
      <c r="Q19" s="142">
        <v>0.36466169999999998</v>
      </c>
      <c r="R19" s="142">
        <v>0.15476190000000001</v>
      </c>
      <c r="S19" s="142">
        <v>0.1923077</v>
      </c>
      <c r="T19" s="142">
        <v>0.1458333</v>
      </c>
      <c r="U19" s="142">
        <v>0.16867470000000001</v>
      </c>
      <c r="V19" s="142">
        <v>0.23125000000000001</v>
      </c>
    </row>
    <row r="20" spans="1:22" ht="18.5" x14ac:dyDescent="0.35">
      <c r="A20" s="141" t="s">
        <v>721</v>
      </c>
      <c r="B20" s="141" t="s">
        <v>722</v>
      </c>
      <c r="C20" s="141">
        <v>612</v>
      </c>
      <c r="D20" s="141" t="s">
        <v>2452</v>
      </c>
      <c r="E20" s="141">
        <v>1</v>
      </c>
      <c r="F20" s="142">
        <v>0.55000000000000004</v>
      </c>
      <c r="G20" s="141">
        <v>1</v>
      </c>
      <c r="H20" s="142">
        <v>0.88888889999999998</v>
      </c>
      <c r="I20" s="142">
        <v>0.47826089999999999</v>
      </c>
      <c r="J20" s="142">
        <v>0.625</v>
      </c>
      <c r="K20" s="155"/>
      <c r="L20" s="141" t="s">
        <v>721</v>
      </c>
      <c r="M20" s="141" t="s">
        <v>722</v>
      </c>
      <c r="N20" s="141">
        <v>612</v>
      </c>
      <c r="O20" s="141" t="s">
        <v>2452</v>
      </c>
      <c r="P20" s="141">
        <v>4</v>
      </c>
      <c r="Q20" s="142">
        <v>0.50450450000000002</v>
      </c>
      <c r="R20" s="142">
        <v>0.65517239999999999</v>
      </c>
      <c r="S20" s="142">
        <v>0.80769230000000003</v>
      </c>
      <c r="T20" s="142">
        <v>0.45588230000000002</v>
      </c>
      <c r="U20" s="142">
        <v>0.34146339999999997</v>
      </c>
      <c r="V20" s="142">
        <v>0.53500000000000003</v>
      </c>
    </row>
    <row r="21" spans="1:22" ht="18.5" x14ac:dyDescent="0.35">
      <c r="A21" s="141" t="s">
        <v>721</v>
      </c>
      <c r="B21" s="141" t="s">
        <v>722</v>
      </c>
      <c r="C21" s="141">
        <v>613</v>
      </c>
      <c r="D21" s="141" t="s">
        <v>842</v>
      </c>
      <c r="E21" s="141">
        <v>1</v>
      </c>
      <c r="F21" s="142">
        <v>0.13</v>
      </c>
      <c r="G21" s="141">
        <v>1</v>
      </c>
      <c r="H21" s="142">
        <v>0.94444439999999996</v>
      </c>
      <c r="I21" s="142">
        <v>0.75</v>
      </c>
      <c r="J21" s="142">
        <v>0.49249999999999999</v>
      </c>
      <c r="K21" s="155"/>
      <c r="L21" s="141" t="s">
        <v>721</v>
      </c>
      <c r="M21" s="141" t="s">
        <v>722</v>
      </c>
      <c r="N21" s="141">
        <v>613</v>
      </c>
      <c r="O21" s="141" t="s">
        <v>842</v>
      </c>
      <c r="P21" s="141">
        <v>4</v>
      </c>
      <c r="Q21" s="142">
        <v>0.36559140000000001</v>
      </c>
      <c r="R21" s="142">
        <v>0.40404040000000002</v>
      </c>
      <c r="S21" s="142">
        <v>0.83333330000000005</v>
      </c>
      <c r="T21" s="142">
        <v>0.2631579</v>
      </c>
      <c r="U21" s="142">
        <v>0.3090909</v>
      </c>
      <c r="V21" s="142">
        <v>0.42</v>
      </c>
    </row>
    <row r="22" spans="1:22" ht="18.5" x14ac:dyDescent="0.35">
      <c r="A22" s="141" t="s">
        <v>721</v>
      </c>
      <c r="B22" s="141" t="s">
        <v>722</v>
      </c>
      <c r="C22" s="141">
        <v>615</v>
      </c>
      <c r="D22" s="141" t="s">
        <v>841</v>
      </c>
      <c r="E22" s="141">
        <v>1</v>
      </c>
      <c r="F22" s="142">
        <v>0.6</v>
      </c>
      <c r="G22" s="141">
        <v>1</v>
      </c>
      <c r="H22" s="142">
        <v>0.94444439999999996</v>
      </c>
      <c r="I22" s="142">
        <v>0.6086956</v>
      </c>
      <c r="J22" s="142">
        <v>0.69499999999999995</v>
      </c>
      <c r="K22" s="155"/>
      <c r="L22" s="141" t="s">
        <v>721</v>
      </c>
      <c r="M22" s="141" t="s">
        <v>722</v>
      </c>
      <c r="N22" s="141">
        <v>615</v>
      </c>
      <c r="O22" s="141" t="s">
        <v>841</v>
      </c>
      <c r="P22" s="141">
        <v>4</v>
      </c>
      <c r="Q22" s="142">
        <v>0.95555559999999995</v>
      </c>
      <c r="R22" s="142">
        <v>0.95283019999999996</v>
      </c>
      <c r="S22" s="142">
        <v>1</v>
      </c>
      <c r="T22" s="142">
        <v>0.73684210000000006</v>
      </c>
      <c r="U22" s="142">
        <v>0.69369369999999997</v>
      </c>
      <c r="V22" s="142">
        <v>0.86750000000000005</v>
      </c>
    </row>
    <row r="23" spans="1:22" ht="18.5" x14ac:dyDescent="0.35">
      <c r="A23" s="141" t="s">
        <v>721</v>
      </c>
      <c r="B23" s="141" t="s">
        <v>722</v>
      </c>
      <c r="C23" s="141">
        <v>1004</v>
      </c>
      <c r="D23" s="141" t="s">
        <v>842</v>
      </c>
      <c r="E23" s="141">
        <v>1</v>
      </c>
      <c r="F23" s="142">
        <v>0.53</v>
      </c>
      <c r="G23" s="141">
        <v>1</v>
      </c>
      <c r="H23" s="142">
        <v>0.94444439999999996</v>
      </c>
      <c r="I23" s="142">
        <v>0.58695649999999999</v>
      </c>
      <c r="J23" s="142">
        <v>0.65500000000000003</v>
      </c>
      <c r="K23" s="155"/>
      <c r="L23" s="141" t="s">
        <v>721</v>
      </c>
      <c r="M23" s="141" t="s">
        <v>722</v>
      </c>
      <c r="N23" s="141">
        <v>1004</v>
      </c>
      <c r="O23" s="141" t="s">
        <v>842</v>
      </c>
      <c r="P23" s="141">
        <v>4</v>
      </c>
      <c r="Q23" s="142">
        <v>0.35135139999999998</v>
      </c>
      <c r="R23" s="142">
        <v>0.31034479999999998</v>
      </c>
      <c r="S23" s="142">
        <v>0.86538459999999995</v>
      </c>
      <c r="T23" s="142">
        <v>0.32352940000000002</v>
      </c>
      <c r="U23" s="142">
        <v>0.17073169999999999</v>
      </c>
      <c r="V23" s="142">
        <v>0.36749999999999999</v>
      </c>
    </row>
    <row r="24" spans="1:22" ht="18.5" x14ac:dyDescent="0.35">
      <c r="A24" s="141" t="s">
        <v>721</v>
      </c>
      <c r="B24" s="141" t="s">
        <v>722</v>
      </c>
      <c r="C24" s="141">
        <v>1604</v>
      </c>
      <c r="D24" s="141" t="s">
        <v>842</v>
      </c>
      <c r="E24" s="141">
        <v>1</v>
      </c>
      <c r="F24" s="142">
        <v>0.6</v>
      </c>
      <c r="G24" s="141">
        <v>1</v>
      </c>
      <c r="H24" s="142">
        <v>0.83333330000000005</v>
      </c>
      <c r="I24" s="142">
        <v>0.56521739999999998</v>
      </c>
      <c r="J24" s="142">
        <v>0.65500000000000003</v>
      </c>
      <c r="K24" s="155"/>
      <c r="L24" s="141" t="s">
        <v>721</v>
      </c>
      <c r="M24" s="141" t="s">
        <v>722</v>
      </c>
      <c r="N24" s="141">
        <v>1604</v>
      </c>
      <c r="O24" s="141" t="s">
        <v>842</v>
      </c>
      <c r="P24" s="141">
        <v>4</v>
      </c>
      <c r="Q24" s="142">
        <v>0.39325840000000001</v>
      </c>
      <c r="R24" s="142">
        <v>0.42268040000000001</v>
      </c>
      <c r="S24" s="142">
        <v>0.71666660000000004</v>
      </c>
      <c r="T24" s="142">
        <v>3.4482800000000001E-2</v>
      </c>
      <c r="U24" s="142">
        <v>0.21875</v>
      </c>
      <c r="V24" s="142">
        <v>0.35499999999999998</v>
      </c>
    </row>
    <row r="25" spans="1:22" ht="18.5" x14ac:dyDescent="0.35">
      <c r="A25" s="141" t="s">
        <v>721</v>
      </c>
      <c r="B25" s="141" t="s">
        <v>722</v>
      </c>
      <c r="C25" s="141">
        <v>2359</v>
      </c>
      <c r="D25" s="141" t="s">
        <v>663</v>
      </c>
      <c r="E25" s="141">
        <v>1</v>
      </c>
      <c r="F25" s="142">
        <v>0.24</v>
      </c>
      <c r="G25" s="141">
        <v>1</v>
      </c>
      <c r="H25" s="142">
        <v>0.83333330000000005</v>
      </c>
      <c r="I25" s="142">
        <v>0.53260870000000005</v>
      </c>
      <c r="J25" s="142">
        <v>0.46750000000000003</v>
      </c>
      <c r="K25" s="155"/>
      <c r="L25" s="141" t="s">
        <v>721</v>
      </c>
      <c r="M25" s="141" t="s">
        <v>722</v>
      </c>
      <c r="N25" s="141">
        <v>2359</v>
      </c>
      <c r="O25" s="141" t="s">
        <v>663</v>
      </c>
      <c r="P25" s="141">
        <v>4</v>
      </c>
      <c r="Q25" s="142">
        <v>0.76744190000000001</v>
      </c>
      <c r="R25" s="142">
        <v>0.49494949999999999</v>
      </c>
      <c r="S25" s="142">
        <v>0.67164179999999996</v>
      </c>
      <c r="T25" s="142">
        <v>0.84210529999999995</v>
      </c>
      <c r="U25" s="142">
        <v>0.50909090000000001</v>
      </c>
      <c r="V25" s="142">
        <v>0.62</v>
      </c>
    </row>
    <row r="26" spans="1:22" ht="18.5" x14ac:dyDescent="0.35">
      <c r="A26" s="141" t="s">
        <v>721</v>
      </c>
      <c r="B26" s="141" t="s">
        <v>722</v>
      </c>
      <c r="C26" s="141">
        <v>2702</v>
      </c>
      <c r="D26" s="141" t="s">
        <v>663</v>
      </c>
      <c r="E26" s="141">
        <v>1</v>
      </c>
      <c r="F26" s="142">
        <v>0.3</v>
      </c>
      <c r="G26" s="141">
        <v>1</v>
      </c>
      <c r="H26" s="142">
        <v>0.77777779999999996</v>
      </c>
      <c r="I26" s="142">
        <v>0.54347829999999997</v>
      </c>
      <c r="J26" s="142">
        <v>0.48499999999999999</v>
      </c>
      <c r="K26" s="155"/>
      <c r="L26" s="141" t="s">
        <v>721</v>
      </c>
      <c r="M26" s="141" t="s">
        <v>722</v>
      </c>
      <c r="N26" s="141">
        <v>2702</v>
      </c>
      <c r="O26" s="141" t="s">
        <v>663</v>
      </c>
      <c r="P26" s="141">
        <v>4</v>
      </c>
      <c r="Q26" s="142">
        <v>0.13131309999999999</v>
      </c>
      <c r="R26" s="142">
        <v>0.1521739</v>
      </c>
      <c r="S26" s="142">
        <v>0.2</v>
      </c>
      <c r="T26" s="142">
        <v>0.15</v>
      </c>
      <c r="U26" s="142">
        <v>7.4468099999999995E-2</v>
      </c>
      <c r="V26" s="142">
        <v>0.13750000000000001</v>
      </c>
    </row>
    <row r="27" spans="1:22" ht="18.5" x14ac:dyDescent="0.35">
      <c r="A27" s="141" t="s">
        <v>721</v>
      </c>
      <c r="B27" s="141" t="s">
        <v>722</v>
      </c>
      <c r="C27" s="141">
        <v>3254</v>
      </c>
      <c r="D27" s="141" t="s">
        <v>663</v>
      </c>
      <c r="E27" s="141">
        <v>1</v>
      </c>
      <c r="F27" s="142">
        <v>0.1</v>
      </c>
      <c r="G27" s="141">
        <v>1</v>
      </c>
      <c r="H27" s="142">
        <v>5.5555599999999997E-2</v>
      </c>
      <c r="I27" s="142">
        <v>0.17391300000000001</v>
      </c>
      <c r="J27" s="142">
        <v>0.105</v>
      </c>
      <c r="K27" s="155"/>
      <c r="L27" s="141" t="s">
        <v>721</v>
      </c>
      <c r="M27" s="141" t="s">
        <v>722</v>
      </c>
      <c r="N27" s="141">
        <v>3254</v>
      </c>
      <c r="O27" s="141" t="s">
        <v>663</v>
      </c>
      <c r="P27" s="141">
        <v>4</v>
      </c>
      <c r="Q27" s="142">
        <v>0.15447150000000001</v>
      </c>
      <c r="R27" s="142">
        <v>0.15151519999999999</v>
      </c>
      <c r="S27" s="142">
        <v>0</v>
      </c>
      <c r="T27" s="142">
        <v>0</v>
      </c>
      <c r="U27" s="142">
        <v>0</v>
      </c>
      <c r="V27" s="142">
        <v>8.5000000000000006E-2</v>
      </c>
    </row>
    <row r="28" spans="1:22" ht="18.5" x14ac:dyDescent="0.35">
      <c r="A28" s="141" t="s">
        <v>721</v>
      </c>
      <c r="B28" s="141" t="s">
        <v>722</v>
      </c>
      <c r="C28" s="141">
        <v>3398</v>
      </c>
      <c r="D28" s="141" t="s">
        <v>663</v>
      </c>
      <c r="E28" s="141">
        <v>1</v>
      </c>
      <c r="F28" s="142">
        <v>0.53</v>
      </c>
      <c r="G28" s="141">
        <v>1</v>
      </c>
      <c r="H28" s="142">
        <v>0.77777779999999996</v>
      </c>
      <c r="I28" s="142">
        <v>0.69565220000000005</v>
      </c>
      <c r="J28" s="142">
        <v>0.63500000000000001</v>
      </c>
      <c r="K28" s="155"/>
      <c r="L28" s="141" t="s">
        <v>721</v>
      </c>
      <c r="M28" s="141" t="s">
        <v>722</v>
      </c>
      <c r="N28" s="141">
        <v>3398</v>
      </c>
      <c r="O28" s="141" t="s">
        <v>663</v>
      </c>
      <c r="P28" s="141">
        <v>4</v>
      </c>
      <c r="Q28" s="142">
        <v>0.30630629999999998</v>
      </c>
      <c r="R28" s="142">
        <v>0.4593023</v>
      </c>
      <c r="S28" s="142">
        <v>0.86538459999999995</v>
      </c>
      <c r="T28" s="142">
        <v>-2.9411799999999998E-2</v>
      </c>
      <c r="U28" s="142">
        <v>3.6144599999999999E-2</v>
      </c>
      <c r="V28" s="142">
        <v>0.29875000000000002</v>
      </c>
    </row>
    <row r="29" spans="1:22" ht="18.5" x14ac:dyDescent="0.35">
      <c r="A29" s="141" t="s">
        <v>721</v>
      </c>
      <c r="B29" s="141" t="s">
        <v>722</v>
      </c>
      <c r="C29" s="141">
        <v>4840</v>
      </c>
      <c r="D29" s="141" t="s">
        <v>663</v>
      </c>
      <c r="E29" s="141">
        <v>1</v>
      </c>
      <c r="F29" s="142">
        <v>0.54</v>
      </c>
      <c r="G29" s="141">
        <v>1</v>
      </c>
      <c r="H29" s="142">
        <v>0.61111110000000002</v>
      </c>
      <c r="I29" s="142">
        <v>0.51086960000000003</v>
      </c>
      <c r="J29" s="142">
        <v>0.55249999999999999</v>
      </c>
      <c r="K29" s="155"/>
      <c r="L29" s="141" t="s">
        <v>721</v>
      </c>
      <c r="M29" s="141" t="s">
        <v>722</v>
      </c>
      <c r="N29" s="141">
        <v>4840</v>
      </c>
      <c r="O29" s="141" t="s">
        <v>663</v>
      </c>
      <c r="P29" s="141">
        <v>4</v>
      </c>
      <c r="Q29" s="142">
        <v>0.31304349999999997</v>
      </c>
      <c r="R29" s="142">
        <v>0.3033708</v>
      </c>
      <c r="S29" s="142">
        <v>0.3846154</v>
      </c>
      <c r="T29" s="142">
        <v>0.1041667</v>
      </c>
      <c r="U29" s="142">
        <v>5.2083299999999999E-2</v>
      </c>
      <c r="V29" s="142">
        <v>0.23250000000000001</v>
      </c>
    </row>
    <row r="30" spans="1:22" ht="18.5" x14ac:dyDescent="0.35">
      <c r="A30" s="141" t="s">
        <v>723</v>
      </c>
      <c r="B30" s="141" t="s">
        <v>720</v>
      </c>
      <c r="C30" s="141">
        <v>460</v>
      </c>
      <c r="D30" s="141" t="s">
        <v>841</v>
      </c>
      <c r="E30" s="141">
        <v>1</v>
      </c>
      <c r="F30" s="142">
        <v>0.59</v>
      </c>
      <c r="G30" s="141">
        <v>1</v>
      </c>
      <c r="H30" s="142">
        <v>1</v>
      </c>
      <c r="I30" s="142">
        <v>0.88043479999999996</v>
      </c>
      <c r="J30" s="142">
        <v>0.76749999999999996</v>
      </c>
      <c r="K30" s="155"/>
      <c r="L30" s="141" t="s">
        <v>723</v>
      </c>
      <c r="M30" s="141" t="s">
        <v>720</v>
      </c>
      <c r="N30" s="141">
        <v>460</v>
      </c>
      <c r="O30" s="141" t="s">
        <v>841</v>
      </c>
      <c r="P30" s="141">
        <v>4</v>
      </c>
      <c r="Q30" s="142">
        <v>0.69565220000000005</v>
      </c>
      <c r="R30" s="142">
        <v>0.64606739999999996</v>
      </c>
      <c r="S30" s="142">
        <v>0.57692310000000002</v>
      </c>
      <c r="T30" s="142">
        <v>0.72916669999999995</v>
      </c>
      <c r="U30" s="142">
        <v>0.3541667</v>
      </c>
      <c r="V30" s="142">
        <v>0.59125000000000005</v>
      </c>
    </row>
    <row r="31" spans="1:22" ht="18.5" x14ac:dyDescent="0.35">
      <c r="A31" s="141" t="s">
        <v>723</v>
      </c>
      <c r="B31" s="141" t="s">
        <v>720</v>
      </c>
      <c r="C31" s="141">
        <v>462</v>
      </c>
      <c r="D31" s="141" t="s">
        <v>663</v>
      </c>
      <c r="E31" s="141">
        <v>1</v>
      </c>
      <c r="F31" s="142">
        <v>0.53</v>
      </c>
      <c r="G31" s="141">
        <v>1</v>
      </c>
      <c r="H31" s="142">
        <v>0.77777779999999996</v>
      </c>
      <c r="I31" s="142">
        <v>0.59782610000000003</v>
      </c>
      <c r="J31" s="142">
        <v>0.61250000000000004</v>
      </c>
      <c r="K31" s="155"/>
      <c r="L31" s="141" t="s">
        <v>723</v>
      </c>
      <c r="M31" s="141" t="s">
        <v>720</v>
      </c>
      <c r="N31" s="141">
        <v>462</v>
      </c>
      <c r="O31" s="141" t="s">
        <v>663</v>
      </c>
      <c r="P31" s="141">
        <v>4</v>
      </c>
      <c r="Q31" s="142">
        <v>0.49248120000000001</v>
      </c>
      <c r="R31" s="142">
        <v>0.41052630000000001</v>
      </c>
      <c r="S31" s="142">
        <v>1</v>
      </c>
      <c r="T31" s="142">
        <v>0.3</v>
      </c>
      <c r="U31" s="142">
        <v>0.59813079999999996</v>
      </c>
      <c r="V31" s="142">
        <v>0.56625000000000003</v>
      </c>
    </row>
    <row r="32" spans="1:22" ht="18.5" x14ac:dyDescent="0.35">
      <c r="A32" s="141" t="s">
        <v>723</v>
      </c>
      <c r="B32" s="141" t="s">
        <v>720</v>
      </c>
      <c r="C32" s="141">
        <v>488</v>
      </c>
      <c r="D32" s="141" t="s">
        <v>841</v>
      </c>
      <c r="E32" s="141">
        <v>1</v>
      </c>
      <c r="F32" s="142">
        <v>0.39</v>
      </c>
      <c r="G32" s="141">
        <v>1</v>
      </c>
      <c r="H32" s="142">
        <v>0.83333330000000005</v>
      </c>
      <c r="I32" s="142">
        <v>0.66304350000000001</v>
      </c>
      <c r="J32" s="142">
        <v>0.57250000000000001</v>
      </c>
      <c r="K32" s="155"/>
      <c r="L32" s="141" t="s">
        <v>723</v>
      </c>
      <c r="M32" s="141" t="s">
        <v>720</v>
      </c>
      <c r="N32" s="141">
        <v>488</v>
      </c>
      <c r="O32" s="141" t="s">
        <v>841</v>
      </c>
      <c r="P32" s="141">
        <v>4</v>
      </c>
      <c r="Q32" s="142">
        <v>0.49411759999999999</v>
      </c>
      <c r="R32" s="142">
        <v>0.46666669999999999</v>
      </c>
      <c r="S32" s="142">
        <v>0.13888890000000001</v>
      </c>
      <c r="T32" s="142">
        <v>0.65517239999999999</v>
      </c>
      <c r="U32" s="142">
        <v>0.17894740000000001</v>
      </c>
      <c r="V32" s="142">
        <v>0.3725</v>
      </c>
    </row>
    <row r="33" spans="1:22" ht="18.5" x14ac:dyDescent="0.35">
      <c r="A33" s="141" t="s">
        <v>723</v>
      </c>
      <c r="B33" s="141" t="s">
        <v>720</v>
      </c>
      <c r="C33" s="141">
        <v>1529</v>
      </c>
      <c r="D33" s="141" t="s">
        <v>843</v>
      </c>
      <c r="E33" s="141">
        <v>1</v>
      </c>
      <c r="F33" s="142">
        <v>0.6</v>
      </c>
      <c r="G33" s="141">
        <v>1</v>
      </c>
      <c r="H33" s="142">
        <v>0.94444439999999996</v>
      </c>
      <c r="I33" s="142">
        <v>0.8586956</v>
      </c>
      <c r="J33" s="142">
        <v>0.75249999999999995</v>
      </c>
      <c r="K33" s="155"/>
      <c r="L33" s="141" t="s">
        <v>723</v>
      </c>
      <c r="M33" s="141" t="s">
        <v>720</v>
      </c>
      <c r="N33" s="141">
        <v>1529</v>
      </c>
      <c r="O33" s="141" t="s">
        <v>843</v>
      </c>
      <c r="P33" s="141">
        <v>4</v>
      </c>
      <c r="Q33" s="142">
        <v>0.8106061</v>
      </c>
      <c r="R33" s="142">
        <v>0.75294119999999998</v>
      </c>
      <c r="S33" s="142">
        <v>1</v>
      </c>
      <c r="T33" s="142">
        <v>0.56666669999999997</v>
      </c>
      <c r="U33" s="142">
        <v>0.47311829999999999</v>
      </c>
      <c r="V33" s="142">
        <v>0.73</v>
      </c>
    </row>
    <row r="34" spans="1:22" ht="18.5" x14ac:dyDescent="0.35">
      <c r="A34" s="141" t="s">
        <v>723</v>
      </c>
      <c r="B34" s="141" t="s">
        <v>720</v>
      </c>
      <c r="C34" s="141">
        <v>1792</v>
      </c>
      <c r="D34" s="141" t="s">
        <v>842</v>
      </c>
      <c r="E34" s="141">
        <v>1</v>
      </c>
      <c r="F34" s="142">
        <v>0.59</v>
      </c>
      <c r="G34" s="141">
        <v>1</v>
      </c>
      <c r="H34" s="142">
        <v>1</v>
      </c>
      <c r="I34" s="142">
        <v>0.73913039999999997</v>
      </c>
      <c r="J34" s="142">
        <v>0.73499999999999999</v>
      </c>
      <c r="K34" s="155"/>
      <c r="L34" s="141" t="s">
        <v>723</v>
      </c>
      <c r="M34" s="141" t="s">
        <v>720</v>
      </c>
      <c r="N34" s="141">
        <v>1792</v>
      </c>
      <c r="O34" s="141" t="s">
        <v>842</v>
      </c>
      <c r="P34" s="141">
        <v>4</v>
      </c>
      <c r="Q34" s="142">
        <v>0.54545460000000001</v>
      </c>
      <c r="R34" s="142">
        <v>0.51149429999999996</v>
      </c>
      <c r="S34" s="142">
        <v>0.66666669999999995</v>
      </c>
      <c r="T34" s="142">
        <v>0.5</v>
      </c>
      <c r="U34" s="142">
        <v>0.1612903</v>
      </c>
      <c r="V34" s="142">
        <v>0.46124999999999999</v>
      </c>
    </row>
    <row r="35" spans="1:22" ht="18.5" x14ac:dyDescent="0.35">
      <c r="A35" s="141" t="s">
        <v>723</v>
      </c>
      <c r="B35" s="141" t="s">
        <v>720</v>
      </c>
      <c r="C35" s="141">
        <v>1808</v>
      </c>
      <c r="D35" s="141" t="s">
        <v>842</v>
      </c>
      <c r="E35" s="141">
        <v>1</v>
      </c>
      <c r="F35" s="142">
        <v>0.45</v>
      </c>
      <c r="G35" s="141">
        <v>1</v>
      </c>
      <c r="H35" s="142">
        <v>0.88888889999999998</v>
      </c>
      <c r="I35" s="142">
        <v>0.81521739999999998</v>
      </c>
      <c r="J35" s="142">
        <v>0.65249999999999997</v>
      </c>
      <c r="K35" s="155"/>
      <c r="L35" s="141" t="s">
        <v>723</v>
      </c>
      <c r="M35" s="141" t="s">
        <v>720</v>
      </c>
      <c r="N35" s="141">
        <v>1808</v>
      </c>
      <c r="O35" s="141" t="s">
        <v>842</v>
      </c>
      <c r="P35" s="141">
        <v>4</v>
      </c>
      <c r="Q35" s="142">
        <v>0.64516130000000005</v>
      </c>
      <c r="R35" s="142">
        <v>0.67676760000000002</v>
      </c>
      <c r="S35" s="142">
        <v>1</v>
      </c>
      <c r="T35" s="142">
        <v>0.4473684</v>
      </c>
      <c r="U35" s="142">
        <v>0.42727270000000001</v>
      </c>
      <c r="V35" s="142">
        <v>0.62749999999999995</v>
      </c>
    </row>
    <row r="36" spans="1:22" ht="18.5" x14ac:dyDescent="0.35">
      <c r="A36" s="141" t="s">
        <v>723</v>
      </c>
      <c r="B36" s="141" t="s">
        <v>720</v>
      </c>
      <c r="C36" s="141">
        <v>2623</v>
      </c>
      <c r="D36" s="141" t="s">
        <v>663</v>
      </c>
      <c r="E36" s="141">
        <v>1</v>
      </c>
      <c r="F36" s="142">
        <v>0.51</v>
      </c>
      <c r="G36" s="141">
        <v>1</v>
      </c>
      <c r="H36" s="142">
        <v>0.5</v>
      </c>
      <c r="I36" s="142">
        <v>0.52173910000000001</v>
      </c>
      <c r="J36" s="142">
        <v>0.51</v>
      </c>
      <c r="K36" s="155"/>
      <c r="L36" s="141" t="s">
        <v>723</v>
      </c>
      <c r="M36" s="141" t="s">
        <v>720</v>
      </c>
      <c r="N36" s="141">
        <v>2623</v>
      </c>
      <c r="O36" s="141" t="s">
        <v>663</v>
      </c>
      <c r="P36" s="141">
        <v>4</v>
      </c>
      <c r="Q36" s="142">
        <v>0.3595506</v>
      </c>
      <c r="R36" s="142">
        <v>0.2242991</v>
      </c>
      <c r="S36" s="142">
        <v>0.87301589999999996</v>
      </c>
      <c r="T36" s="142">
        <v>0.7</v>
      </c>
      <c r="U36" s="142">
        <v>0.3966942</v>
      </c>
      <c r="V36" s="142">
        <v>0.4325</v>
      </c>
    </row>
    <row r="37" spans="1:22" ht="18.5" x14ac:dyDescent="0.35">
      <c r="A37" s="141" t="s">
        <v>723</v>
      </c>
      <c r="B37" s="141" t="s">
        <v>720</v>
      </c>
      <c r="C37" s="141">
        <v>3022</v>
      </c>
      <c r="D37" s="141" t="s">
        <v>842</v>
      </c>
      <c r="E37" s="141">
        <v>1</v>
      </c>
      <c r="F37" s="142">
        <v>0.55000000000000004</v>
      </c>
      <c r="G37" s="141">
        <v>1</v>
      </c>
      <c r="H37" s="142">
        <v>0.77777779999999996</v>
      </c>
      <c r="I37" s="142">
        <v>0.68478260000000002</v>
      </c>
      <c r="J37" s="142">
        <v>0.64249999999999996</v>
      </c>
      <c r="K37" s="155"/>
      <c r="L37" s="141" t="s">
        <v>723</v>
      </c>
      <c r="M37" s="141" t="s">
        <v>720</v>
      </c>
      <c r="N37" s="141">
        <v>3022</v>
      </c>
      <c r="O37" s="141" t="s">
        <v>842</v>
      </c>
      <c r="P37" s="141">
        <v>4</v>
      </c>
      <c r="Q37" s="142">
        <v>0.73181819999999997</v>
      </c>
      <c r="R37" s="142">
        <v>0.62068959999999995</v>
      </c>
      <c r="S37" s="142">
        <v>0.58333330000000005</v>
      </c>
      <c r="T37" s="142">
        <v>0.24</v>
      </c>
      <c r="U37" s="142">
        <v>0.30107529999999999</v>
      </c>
      <c r="V37" s="142">
        <v>0.52375000000000005</v>
      </c>
    </row>
    <row r="38" spans="1:22" ht="18.5" x14ac:dyDescent="0.35">
      <c r="A38" s="141" t="s">
        <v>723</v>
      </c>
      <c r="B38" s="141" t="s">
        <v>720</v>
      </c>
      <c r="C38" s="141">
        <v>4193</v>
      </c>
      <c r="D38" s="141" t="s">
        <v>663</v>
      </c>
      <c r="E38" s="141">
        <v>1</v>
      </c>
      <c r="F38" s="142">
        <v>0.36</v>
      </c>
      <c r="G38" s="141">
        <v>1</v>
      </c>
      <c r="H38" s="142">
        <v>0.72222220000000004</v>
      </c>
      <c r="I38" s="142">
        <v>0.6413044</v>
      </c>
      <c r="J38" s="142">
        <v>0.52249999999999996</v>
      </c>
      <c r="K38" s="155"/>
      <c r="L38" s="141" t="s">
        <v>723</v>
      </c>
      <c r="M38" s="141" t="s">
        <v>720</v>
      </c>
      <c r="N38" s="141">
        <v>4193</v>
      </c>
      <c r="O38" s="141" t="s">
        <v>663</v>
      </c>
      <c r="P38" s="141">
        <v>4</v>
      </c>
      <c r="Q38" s="142">
        <v>0.77391299999999996</v>
      </c>
      <c r="R38" s="142">
        <v>0.73033709999999996</v>
      </c>
      <c r="S38" s="142">
        <v>0.76923079999999999</v>
      </c>
      <c r="T38" s="142">
        <v>0.60416669999999995</v>
      </c>
      <c r="U38" s="142">
        <v>0.4375</v>
      </c>
      <c r="V38" s="142">
        <v>0.66249999999999998</v>
      </c>
    </row>
    <row r="39" spans="1:22" ht="18.5" x14ac:dyDescent="0.35">
      <c r="A39" s="141" t="s">
        <v>723</v>
      </c>
      <c r="B39" s="141" t="s">
        <v>720</v>
      </c>
      <c r="C39" s="141">
        <v>4194</v>
      </c>
      <c r="D39" s="141" t="s">
        <v>663</v>
      </c>
      <c r="E39" s="141">
        <v>1</v>
      </c>
      <c r="F39" s="142">
        <v>0.21</v>
      </c>
      <c r="G39" s="141">
        <v>1</v>
      </c>
      <c r="H39" s="142">
        <v>0.88888889999999998</v>
      </c>
      <c r="I39" s="142">
        <v>0.72826089999999999</v>
      </c>
      <c r="J39" s="142">
        <v>0.51249999999999996</v>
      </c>
      <c r="K39" s="155"/>
      <c r="L39" s="141" t="s">
        <v>723</v>
      </c>
      <c r="M39" s="141" t="s">
        <v>720</v>
      </c>
      <c r="N39" s="141">
        <v>4194</v>
      </c>
      <c r="O39" s="141" t="s">
        <v>663</v>
      </c>
      <c r="P39" s="141">
        <v>4</v>
      </c>
      <c r="Q39" s="142">
        <v>0.60593220000000003</v>
      </c>
      <c r="R39" s="142">
        <v>0.26804119999999998</v>
      </c>
      <c r="S39" s="142">
        <v>0.1666667</v>
      </c>
      <c r="T39" s="142">
        <v>0.1</v>
      </c>
      <c r="U39" s="142">
        <v>0.31775700000000001</v>
      </c>
      <c r="V39" s="142">
        <v>0.35625000000000001</v>
      </c>
    </row>
    <row r="40" spans="1:22" ht="18.5" x14ac:dyDescent="0.35">
      <c r="A40" s="141" t="s">
        <v>724</v>
      </c>
      <c r="B40" s="141" t="s">
        <v>725</v>
      </c>
      <c r="C40" s="141">
        <v>548</v>
      </c>
      <c r="D40" s="141" t="s">
        <v>841</v>
      </c>
      <c r="E40" s="141">
        <v>1</v>
      </c>
      <c r="F40" s="142">
        <v>0.56999999999999995</v>
      </c>
      <c r="G40" s="141">
        <v>1</v>
      </c>
      <c r="H40" s="142">
        <v>0.38888889999999998</v>
      </c>
      <c r="I40" s="142">
        <v>0.48913040000000002</v>
      </c>
      <c r="J40" s="142">
        <v>0.50249999999999995</v>
      </c>
      <c r="K40" s="155"/>
      <c r="L40" s="141" t="s">
        <v>724</v>
      </c>
      <c r="M40" s="141" t="s">
        <v>725</v>
      </c>
      <c r="N40" s="141">
        <v>548</v>
      </c>
      <c r="O40" s="141" t="s">
        <v>841</v>
      </c>
      <c r="P40" s="141">
        <v>4</v>
      </c>
      <c r="Q40" s="142">
        <v>0.67415729999999996</v>
      </c>
      <c r="R40" s="142">
        <v>0.42056070000000001</v>
      </c>
      <c r="S40" s="142">
        <v>0.44444440000000002</v>
      </c>
      <c r="T40" s="142">
        <v>0.1</v>
      </c>
      <c r="U40" s="142">
        <v>0.21487600000000001</v>
      </c>
      <c r="V40" s="142">
        <v>0.40250000000000002</v>
      </c>
    </row>
    <row r="41" spans="1:22" ht="18.5" x14ac:dyDescent="0.35">
      <c r="A41" s="141" t="s">
        <v>724</v>
      </c>
      <c r="B41" s="141" t="s">
        <v>725</v>
      </c>
      <c r="C41" s="141">
        <v>565</v>
      </c>
      <c r="D41" s="141" t="s">
        <v>841</v>
      </c>
      <c r="E41" s="141">
        <v>1</v>
      </c>
      <c r="F41" s="142">
        <v>0.48</v>
      </c>
      <c r="G41" s="141">
        <v>1</v>
      </c>
      <c r="H41" s="142">
        <v>0.66666669999999995</v>
      </c>
      <c r="I41" s="142">
        <v>0.3043478</v>
      </c>
      <c r="J41" s="142">
        <v>0.49</v>
      </c>
      <c r="K41" s="155"/>
      <c r="L41" s="141" t="s">
        <v>724</v>
      </c>
      <c r="M41" s="141" t="s">
        <v>725</v>
      </c>
      <c r="N41" s="141">
        <v>565</v>
      </c>
      <c r="O41" s="141" t="s">
        <v>841</v>
      </c>
      <c r="P41" s="141">
        <v>4</v>
      </c>
      <c r="Q41" s="142">
        <v>0.6</v>
      </c>
      <c r="R41" s="142">
        <v>0.55056179999999999</v>
      </c>
      <c r="S41" s="142">
        <v>0.42307689999999998</v>
      </c>
      <c r="T41" s="142">
        <v>0.4166667</v>
      </c>
      <c r="U41" s="142">
        <v>0.4479167</v>
      </c>
      <c r="V41" s="142">
        <v>0.50749999999999995</v>
      </c>
    </row>
    <row r="42" spans="1:22" ht="18.5" x14ac:dyDescent="0.35">
      <c r="A42" s="141" t="s">
        <v>724</v>
      </c>
      <c r="B42" s="141" t="s">
        <v>725</v>
      </c>
      <c r="C42" s="141">
        <v>1081</v>
      </c>
      <c r="D42" s="141" t="s">
        <v>841</v>
      </c>
      <c r="E42" s="141">
        <v>1</v>
      </c>
      <c r="F42" s="142">
        <v>0.52</v>
      </c>
      <c r="G42" s="141">
        <v>1</v>
      </c>
      <c r="H42" s="142">
        <v>0.77777779999999996</v>
      </c>
      <c r="I42" s="142">
        <v>0.69565220000000005</v>
      </c>
      <c r="J42" s="142">
        <v>0.63</v>
      </c>
      <c r="K42" s="155"/>
      <c r="L42" s="141" t="s">
        <v>724</v>
      </c>
      <c r="M42" s="141" t="s">
        <v>725</v>
      </c>
      <c r="N42" s="141">
        <v>1081</v>
      </c>
      <c r="O42" s="141" t="s">
        <v>841</v>
      </c>
      <c r="P42" s="141">
        <v>4</v>
      </c>
      <c r="Q42" s="142">
        <v>0.41891889999999998</v>
      </c>
      <c r="R42" s="142">
        <v>0.38372089999999998</v>
      </c>
      <c r="S42" s="142">
        <v>0.67307689999999998</v>
      </c>
      <c r="T42" s="142">
        <v>0.14705879999999999</v>
      </c>
      <c r="U42" s="142">
        <v>0.27710839999999998</v>
      </c>
      <c r="V42" s="142">
        <v>0.36875000000000002</v>
      </c>
    </row>
    <row r="43" spans="1:22" ht="18.5" x14ac:dyDescent="0.35">
      <c r="A43" s="141" t="s">
        <v>724</v>
      </c>
      <c r="B43" s="141" t="s">
        <v>725</v>
      </c>
      <c r="C43" s="141">
        <v>1539</v>
      </c>
      <c r="D43" s="141" t="s">
        <v>843</v>
      </c>
      <c r="E43" s="141">
        <v>1</v>
      </c>
      <c r="F43" s="142">
        <v>0.23</v>
      </c>
      <c r="G43" s="141">
        <v>1</v>
      </c>
      <c r="H43" s="142">
        <v>0.72222220000000004</v>
      </c>
      <c r="I43" s="142">
        <v>0.6086956</v>
      </c>
      <c r="J43" s="142">
        <v>0.45</v>
      </c>
      <c r="K43" s="155"/>
      <c r="L43" s="141" t="s">
        <v>724</v>
      </c>
      <c r="M43" s="141" t="s">
        <v>725</v>
      </c>
      <c r="N43" s="141">
        <v>1539</v>
      </c>
      <c r="O43" s="141" t="s">
        <v>843</v>
      </c>
      <c r="P43" s="141">
        <v>4</v>
      </c>
      <c r="Q43" s="142">
        <v>0.3421053</v>
      </c>
      <c r="R43" s="142">
        <v>0.2</v>
      </c>
      <c r="S43" s="142">
        <v>0.45454549999999999</v>
      </c>
      <c r="T43" s="142">
        <v>0</v>
      </c>
      <c r="U43" s="142">
        <v>0.31775700000000001</v>
      </c>
      <c r="V43" s="142">
        <v>0.30875000000000002</v>
      </c>
    </row>
    <row r="44" spans="1:22" ht="18.5" x14ac:dyDescent="0.35">
      <c r="A44" s="141" t="s">
        <v>724</v>
      </c>
      <c r="B44" s="141" t="s">
        <v>725</v>
      </c>
      <c r="C44" s="141">
        <v>1762</v>
      </c>
      <c r="D44" s="141" t="s">
        <v>842</v>
      </c>
      <c r="E44" s="141">
        <v>1</v>
      </c>
      <c r="F44" s="142">
        <v>0.6</v>
      </c>
      <c r="G44" s="141">
        <v>1</v>
      </c>
      <c r="H44" s="142">
        <v>0.94444439999999996</v>
      </c>
      <c r="I44" s="142">
        <v>0.6413044</v>
      </c>
      <c r="J44" s="142">
        <v>0.70250000000000001</v>
      </c>
      <c r="K44" s="155"/>
      <c r="L44" s="141" t="s">
        <v>724</v>
      </c>
      <c r="M44" s="141" t="s">
        <v>725</v>
      </c>
      <c r="N44" s="141">
        <v>1762</v>
      </c>
      <c r="O44" s="141" t="s">
        <v>842</v>
      </c>
      <c r="P44" s="141">
        <v>4</v>
      </c>
      <c r="Q44" s="142">
        <v>0.45283020000000002</v>
      </c>
      <c r="R44" s="142">
        <v>0.45161289999999998</v>
      </c>
      <c r="S44" s="142">
        <v>0.8823529</v>
      </c>
      <c r="T44" s="142">
        <v>0.625</v>
      </c>
      <c r="U44" s="142">
        <v>0.29032259999999999</v>
      </c>
      <c r="V44" s="142">
        <v>0.505</v>
      </c>
    </row>
    <row r="45" spans="1:22" ht="18.5" x14ac:dyDescent="0.35">
      <c r="A45" s="141" t="s">
        <v>724</v>
      </c>
      <c r="B45" s="141" t="s">
        <v>725</v>
      </c>
      <c r="C45" s="141">
        <v>1830</v>
      </c>
      <c r="D45" s="141" t="s">
        <v>842</v>
      </c>
      <c r="E45" s="141">
        <v>1</v>
      </c>
      <c r="F45" s="142">
        <v>0.46</v>
      </c>
      <c r="G45" s="141">
        <v>1</v>
      </c>
      <c r="H45" s="142">
        <v>0.77777779999999996</v>
      </c>
      <c r="I45" s="142">
        <v>0.58695649999999999</v>
      </c>
      <c r="J45" s="142">
        <v>0.57499999999999996</v>
      </c>
      <c r="K45" s="155"/>
      <c r="L45" s="141" t="s">
        <v>724</v>
      </c>
      <c r="M45" s="141" t="s">
        <v>725</v>
      </c>
      <c r="N45" s="141">
        <v>1830</v>
      </c>
      <c r="O45" s="141" t="s">
        <v>842</v>
      </c>
      <c r="P45" s="141">
        <v>4</v>
      </c>
      <c r="Q45" s="142">
        <v>0.35338350000000002</v>
      </c>
      <c r="R45" s="142">
        <v>0.2105263</v>
      </c>
      <c r="S45" s="142">
        <v>0.81818179999999996</v>
      </c>
      <c r="T45" s="142">
        <v>0</v>
      </c>
      <c r="U45" s="142">
        <v>0.1401869</v>
      </c>
      <c r="V45" s="142">
        <v>0.3175</v>
      </c>
    </row>
    <row r="46" spans="1:22" ht="18.5" x14ac:dyDescent="0.35">
      <c r="A46" s="141" t="s">
        <v>724</v>
      </c>
      <c r="B46" s="141" t="s">
        <v>725</v>
      </c>
      <c r="C46" s="141">
        <v>2267</v>
      </c>
      <c r="D46" s="141" t="s">
        <v>663</v>
      </c>
      <c r="E46" s="141">
        <v>1</v>
      </c>
      <c r="F46" s="142">
        <v>0.6</v>
      </c>
      <c r="G46" s="141">
        <v>1</v>
      </c>
      <c r="H46" s="142">
        <v>0.66666669999999995</v>
      </c>
      <c r="I46" s="142">
        <v>0.58695649999999999</v>
      </c>
      <c r="J46" s="142">
        <v>0.61499999999999999</v>
      </c>
      <c r="K46" s="155"/>
      <c r="L46" s="141" t="s">
        <v>724</v>
      </c>
      <c r="M46" s="141" t="s">
        <v>725</v>
      </c>
      <c r="N46" s="141">
        <v>2267</v>
      </c>
      <c r="O46" s="141" t="s">
        <v>663</v>
      </c>
      <c r="P46" s="141">
        <v>4</v>
      </c>
      <c r="Q46" s="142">
        <v>0.71739129999999995</v>
      </c>
      <c r="R46" s="142">
        <v>0.66111109999999995</v>
      </c>
      <c r="S46" s="142">
        <v>0.96153840000000002</v>
      </c>
      <c r="T46" s="142">
        <v>0.625</v>
      </c>
      <c r="U46" s="142">
        <v>0.49473689999999998</v>
      </c>
      <c r="V46" s="142">
        <v>0.67249999999999999</v>
      </c>
    </row>
    <row r="47" spans="1:22" ht="18.5" x14ac:dyDescent="0.35">
      <c r="A47" s="141" t="s">
        <v>724</v>
      </c>
      <c r="B47" s="141" t="s">
        <v>725</v>
      </c>
      <c r="C47" s="141">
        <v>2273</v>
      </c>
      <c r="D47" s="141" t="s">
        <v>663</v>
      </c>
      <c r="E47" s="141">
        <v>1</v>
      </c>
      <c r="F47" s="142">
        <v>0.44</v>
      </c>
      <c r="G47" s="141">
        <v>1</v>
      </c>
      <c r="H47" s="142">
        <v>0.66666669999999995</v>
      </c>
      <c r="I47" s="142">
        <v>0.68478260000000002</v>
      </c>
      <c r="J47" s="142">
        <v>0.5575</v>
      </c>
      <c r="K47" s="155"/>
      <c r="L47" s="141" t="s">
        <v>724</v>
      </c>
      <c r="M47" s="141" t="s">
        <v>725</v>
      </c>
      <c r="N47" s="141">
        <v>2273</v>
      </c>
      <c r="O47" s="141" t="s">
        <v>663</v>
      </c>
      <c r="P47" s="141">
        <v>4</v>
      </c>
      <c r="Q47" s="142">
        <v>0.34051730000000002</v>
      </c>
      <c r="R47" s="142">
        <v>0.51515149999999998</v>
      </c>
      <c r="S47" s="142">
        <v>0.53191489999999997</v>
      </c>
      <c r="T47" s="142">
        <v>0.42857139999999999</v>
      </c>
      <c r="U47" s="142">
        <v>0.18181820000000001</v>
      </c>
      <c r="V47" s="142">
        <v>0.36875000000000002</v>
      </c>
    </row>
    <row r="48" spans="1:22" ht="18.5" x14ac:dyDescent="0.35">
      <c r="A48" s="141" t="s">
        <v>724</v>
      </c>
      <c r="B48" s="141" t="s">
        <v>725</v>
      </c>
      <c r="C48" s="141">
        <v>2377</v>
      </c>
      <c r="D48" s="141" t="s">
        <v>842</v>
      </c>
      <c r="E48" s="141">
        <v>2</v>
      </c>
      <c r="F48" s="142">
        <v>0.44500000000000001</v>
      </c>
      <c r="G48" s="141">
        <v>0</v>
      </c>
      <c r="H48" s="142"/>
      <c r="I48" s="142"/>
      <c r="J48" s="142">
        <v>0.44500000000000001</v>
      </c>
      <c r="K48" s="155"/>
      <c r="L48" s="141" t="s">
        <v>724</v>
      </c>
      <c r="M48" s="141" t="s">
        <v>725</v>
      </c>
      <c r="N48" s="141">
        <v>2377</v>
      </c>
      <c r="O48" s="141" t="s">
        <v>842</v>
      </c>
      <c r="P48" s="141">
        <v>4</v>
      </c>
      <c r="Q48" s="142">
        <v>0.55813959999999996</v>
      </c>
      <c r="R48" s="142">
        <v>0.28999999999999998</v>
      </c>
      <c r="S48" s="142">
        <v>0.29850749999999998</v>
      </c>
      <c r="T48" s="142">
        <v>0.68421050000000005</v>
      </c>
      <c r="U48" s="142">
        <v>0.1192661</v>
      </c>
      <c r="V48" s="142">
        <v>0.34</v>
      </c>
    </row>
    <row r="49" spans="1:22" ht="18.5" x14ac:dyDescent="0.35">
      <c r="A49" s="141" t="s">
        <v>724</v>
      </c>
      <c r="B49" s="141" t="s">
        <v>725</v>
      </c>
      <c r="C49" s="141">
        <v>2379</v>
      </c>
      <c r="D49" s="141" t="s">
        <v>842</v>
      </c>
      <c r="E49" s="141">
        <v>1</v>
      </c>
      <c r="F49" s="142">
        <v>0.56999999999999995</v>
      </c>
      <c r="G49" s="141">
        <v>1</v>
      </c>
      <c r="H49" s="142">
        <v>0.77777779999999996</v>
      </c>
      <c r="I49" s="142">
        <v>0.6413044</v>
      </c>
      <c r="J49" s="142">
        <v>0.64249999999999996</v>
      </c>
      <c r="K49" s="155"/>
      <c r="L49" s="141" t="s">
        <v>724</v>
      </c>
      <c r="M49" s="141" t="s">
        <v>725</v>
      </c>
      <c r="N49" s="141">
        <v>2379</v>
      </c>
      <c r="O49" s="141" t="s">
        <v>842</v>
      </c>
      <c r="P49" s="141">
        <v>4</v>
      </c>
      <c r="Q49" s="142">
        <v>0.41397850000000003</v>
      </c>
      <c r="R49" s="142">
        <v>0.3939394</v>
      </c>
      <c r="S49" s="142">
        <v>0.96666660000000004</v>
      </c>
      <c r="T49" s="142">
        <v>0.5263158</v>
      </c>
      <c r="U49" s="142">
        <v>0.28181820000000002</v>
      </c>
      <c r="V49" s="142">
        <v>0.46625</v>
      </c>
    </row>
    <row r="50" spans="1:22" ht="18.5" x14ac:dyDescent="0.35">
      <c r="A50" s="141" t="s">
        <v>724</v>
      </c>
      <c r="B50" s="141" t="s">
        <v>725</v>
      </c>
      <c r="C50" s="141">
        <v>2663</v>
      </c>
      <c r="D50" s="141" t="s">
        <v>842</v>
      </c>
      <c r="E50" s="141">
        <v>1</v>
      </c>
      <c r="F50" s="142">
        <v>0.61</v>
      </c>
      <c r="G50" s="141">
        <v>1</v>
      </c>
      <c r="H50" s="142">
        <v>0.72222220000000004</v>
      </c>
      <c r="I50" s="142">
        <v>0.70652170000000003</v>
      </c>
      <c r="J50" s="142">
        <v>0.66249999999999998</v>
      </c>
      <c r="K50" s="155"/>
      <c r="L50" s="141" t="s">
        <v>724</v>
      </c>
      <c r="M50" s="141" t="s">
        <v>725</v>
      </c>
      <c r="N50" s="141">
        <v>2663</v>
      </c>
      <c r="O50" s="141" t="s">
        <v>842</v>
      </c>
      <c r="P50" s="141">
        <v>4</v>
      </c>
      <c r="Q50" s="142">
        <v>0.60679609999999995</v>
      </c>
      <c r="R50" s="142">
        <v>0.53571429999999998</v>
      </c>
      <c r="S50" s="142">
        <v>0.55555560000000004</v>
      </c>
      <c r="T50" s="142">
        <v>0.24137929999999999</v>
      </c>
      <c r="U50" s="142">
        <v>7.2289199999999998E-2</v>
      </c>
      <c r="V50" s="142">
        <v>0.41875000000000001</v>
      </c>
    </row>
    <row r="51" spans="1:22" ht="18.5" x14ac:dyDescent="0.35">
      <c r="A51" s="141" t="s">
        <v>724</v>
      </c>
      <c r="B51" s="141" t="s">
        <v>725</v>
      </c>
      <c r="C51" s="141">
        <v>3109</v>
      </c>
      <c r="D51" s="141" t="s">
        <v>663</v>
      </c>
      <c r="E51" s="141">
        <v>1</v>
      </c>
      <c r="F51" s="142">
        <v>0.53</v>
      </c>
      <c r="G51" s="141">
        <v>1</v>
      </c>
      <c r="H51" s="142">
        <v>0.72222220000000004</v>
      </c>
      <c r="I51" s="142">
        <v>0.69565220000000005</v>
      </c>
      <c r="J51" s="142">
        <v>0.62</v>
      </c>
      <c r="K51" s="155"/>
      <c r="L51" s="141" t="s">
        <v>724</v>
      </c>
      <c r="M51" s="141" t="s">
        <v>725</v>
      </c>
      <c r="N51" s="141">
        <v>3109</v>
      </c>
      <c r="O51" s="141" t="s">
        <v>663</v>
      </c>
      <c r="P51" s="141">
        <v>4</v>
      </c>
      <c r="Q51" s="142">
        <v>0.47499999999999998</v>
      </c>
      <c r="R51" s="142">
        <v>0.36781609999999998</v>
      </c>
      <c r="S51" s="142">
        <v>0.4375</v>
      </c>
      <c r="T51" s="142">
        <v>0.61666670000000001</v>
      </c>
      <c r="U51" s="142">
        <v>8.6021500000000001E-2</v>
      </c>
      <c r="V51" s="142">
        <v>0.375</v>
      </c>
    </row>
    <row r="52" spans="1:22" ht="18.5" x14ac:dyDescent="0.35">
      <c r="A52" s="141" t="s">
        <v>724</v>
      </c>
      <c r="B52" s="141" t="s">
        <v>725</v>
      </c>
      <c r="C52" s="141">
        <v>3718</v>
      </c>
      <c r="D52" s="141" t="s">
        <v>663</v>
      </c>
      <c r="E52" s="141">
        <v>1</v>
      </c>
      <c r="F52" s="142">
        <v>0.67</v>
      </c>
      <c r="G52" s="141">
        <v>1</v>
      </c>
      <c r="H52" s="142">
        <v>0.66666669999999995</v>
      </c>
      <c r="I52" s="142">
        <v>0.72826089999999999</v>
      </c>
      <c r="J52" s="142">
        <v>0.6825</v>
      </c>
      <c r="K52" s="155"/>
      <c r="L52" s="141" t="s">
        <v>724</v>
      </c>
      <c r="M52" s="141" t="s">
        <v>725</v>
      </c>
      <c r="N52" s="141">
        <v>3718</v>
      </c>
      <c r="O52" s="141" t="s">
        <v>663</v>
      </c>
      <c r="P52" s="141">
        <v>4</v>
      </c>
      <c r="Q52" s="142">
        <v>0.59223300000000001</v>
      </c>
      <c r="R52" s="142">
        <v>0.4736842</v>
      </c>
      <c r="S52" s="142">
        <v>0.73333329999999997</v>
      </c>
      <c r="T52" s="142">
        <v>0.25</v>
      </c>
      <c r="U52" s="142">
        <v>0.42056070000000001</v>
      </c>
      <c r="V52" s="142">
        <v>0.52749999999999997</v>
      </c>
    </row>
    <row r="53" spans="1:22" ht="18.5" x14ac:dyDescent="0.35">
      <c r="A53" s="141" t="s">
        <v>724</v>
      </c>
      <c r="B53" s="141" t="s">
        <v>725</v>
      </c>
      <c r="C53" s="141">
        <v>3885</v>
      </c>
      <c r="D53" s="141" t="s">
        <v>842</v>
      </c>
      <c r="E53" s="141">
        <v>2</v>
      </c>
      <c r="F53" s="142">
        <v>0.45500000000000002</v>
      </c>
      <c r="G53" s="141">
        <v>0</v>
      </c>
      <c r="H53" s="142"/>
      <c r="I53" s="142"/>
      <c r="J53" s="142">
        <v>0.45500000000000002</v>
      </c>
      <c r="K53" s="155"/>
      <c r="L53" s="141" t="s">
        <v>724</v>
      </c>
      <c r="M53" s="141" t="s">
        <v>725</v>
      </c>
      <c r="N53" s="141">
        <v>3885</v>
      </c>
      <c r="O53" s="141" t="s">
        <v>842</v>
      </c>
      <c r="P53" s="141">
        <v>4</v>
      </c>
      <c r="Q53" s="142">
        <v>0.25531910000000002</v>
      </c>
      <c r="R53" s="142">
        <v>0.35779820000000001</v>
      </c>
      <c r="S53" s="142">
        <v>0.50909090000000001</v>
      </c>
      <c r="T53" s="142">
        <v>0.77777779999999996</v>
      </c>
      <c r="U53" s="142">
        <v>0.1693548</v>
      </c>
      <c r="V53" s="142">
        <v>0.315</v>
      </c>
    </row>
    <row r="54" spans="1:22" ht="18.5" x14ac:dyDescent="0.35">
      <c r="A54" s="141" t="s">
        <v>724</v>
      </c>
      <c r="B54" s="141" t="s">
        <v>725</v>
      </c>
      <c r="C54" s="141">
        <v>3887</v>
      </c>
      <c r="D54" s="141" t="s">
        <v>663</v>
      </c>
      <c r="E54" s="141">
        <v>1</v>
      </c>
      <c r="F54" s="142">
        <v>0.25</v>
      </c>
      <c r="G54" s="141">
        <v>1</v>
      </c>
      <c r="H54" s="142">
        <v>0.66666669999999995</v>
      </c>
      <c r="I54" s="142">
        <v>0.59782610000000003</v>
      </c>
      <c r="J54" s="142">
        <v>0.4425</v>
      </c>
      <c r="K54" s="155"/>
      <c r="L54" s="141" t="s">
        <v>724</v>
      </c>
      <c r="M54" s="141" t="s">
        <v>725</v>
      </c>
      <c r="N54" s="141">
        <v>3887</v>
      </c>
      <c r="O54" s="141" t="s">
        <v>663</v>
      </c>
      <c r="P54" s="141">
        <v>4</v>
      </c>
      <c r="Q54" s="142">
        <v>0.40671639999999998</v>
      </c>
      <c r="R54" s="142">
        <v>0.2765957</v>
      </c>
      <c r="S54" s="142">
        <v>0.78723410000000005</v>
      </c>
      <c r="T54" s="142">
        <v>0</v>
      </c>
      <c r="U54" s="142">
        <v>0.31958760000000003</v>
      </c>
      <c r="V54" s="142">
        <v>0.37125000000000002</v>
      </c>
    </row>
    <row r="55" spans="1:22" ht="18.5" x14ac:dyDescent="0.35">
      <c r="A55" s="141" t="s">
        <v>724</v>
      </c>
      <c r="B55" s="141" t="s">
        <v>725</v>
      </c>
      <c r="C55" s="141">
        <v>3888</v>
      </c>
      <c r="D55" s="141" t="s">
        <v>663</v>
      </c>
      <c r="E55" s="141">
        <v>2</v>
      </c>
      <c r="F55" s="142">
        <v>0.62</v>
      </c>
      <c r="G55" s="141">
        <v>0</v>
      </c>
      <c r="H55" s="142"/>
      <c r="I55" s="142"/>
      <c r="J55" s="142">
        <v>0.62</v>
      </c>
      <c r="K55" s="155"/>
      <c r="L55" s="141" t="s">
        <v>724</v>
      </c>
      <c r="M55" s="141" t="s">
        <v>725</v>
      </c>
      <c r="N55" s="141">
        <v>3888</v>
      </c>
      <c r="O55" s="141" t="s">
        <v>663</v>
      </c>
      <c r="P55" s="141">
        <v>4</v>
      </c>
      <c r="Q55" s="142">
        <v>0.60674150000000004</v>
      </c>
      <c r="R55" s="142">
        <v>0.3645833</v>
      </c>
      <c r="S55" s="142">
        <v>0.53333339999999996</v>
      </c>
      <c r="T55" s="142">
        <v>0.70689650000000004</v>
      </c>
      <c r="U55" s="142">
        <v>0.53608239999999996</v>
      </c>
      <c r="V55" s="142">
        <v>0.53500000000000003</v>
      </c>
    </row>
    <row r="56" spans="1:22" ht="18.5" x14ac:dyDescent="0.35">
      <c r="A56" s="141" t="s">
        <v>726</v>
      </c>
      <c r="B56" s="141" t="s">
        <v>720</v>
      </c>
      <c r="C56" s="141">
        <v>810</v>
      </c>
      <c r="D56" s="141" t="s">
        <v>843</v>
      </c>
      <c r="E56" s="141">
        <v>1</v>
      </c>
      <c r="F56" s="142">
        <v>0.65</v>
      </c>
      <c r="G56" s="141">
        <v>1</v>
      </c>
      <c r="H56" s="142">
        <v>0.83333330000000005</v>
      </c>
      <c r="I56" s="142">
        <v>0.94565220000000005</v>
      </c>
      <c r="J56" s="142">
        <v>0.76749999999999996</v>
      </c>
      <c r="K56" s="155"/>
      <c r="L56" s="141" t="s">
        <v>726</v>
      </c>
      <c r="M56" s="141" t="s">
        <v>720</v>
      </c>
      <c r="N56" s="141">
        <v>810</v>
      </c>
      <c r="O56" s="141" t="s">
        <v>843</v>
      </c>
      <c r="P56" s="141">
        <v>4</v>
      </c>
      <c r="Q56" s="142">
        <v>0.55681820000000004</v>
      </c>
      <c r="R56" s="142">
        <v>0.54081630000000003</v>
      </c>
      <c r="S56" s="142">
        <v>0.55882350000000003</v>
      </c>
      <c r="T56" s="142">
        <v>0.27500000000000002</v>
      </c>
      <c r="U56" s="142">
        <v>0.43396230000000002</v>
      </c>
      <c r="V56" s="142">
        <v>0.49249999999999999</v>
      </c>
    </row>
    <row r="57" spans="1:22" ht="18.5" x14ac:dyDescent="0.35">
      <c r="A57" s="141" t="s">
        <v>726</v>
      </c>
      <c r="B57" s="141" t="s">
        <v>720</v>
      </c>
      <c r="C57" s="141">
        <v>1163</v>
      </c>
      <c r="D57" s="141" t="s">
        <v>841</v>
      </c>
      <c r="E57" s="141">
        <v>1</v>
      </c>
      <c r="F57" s="142">
        <v>0.47</v>
      </c>
      <c r="G57" s="141">
        <v>1</v>
      </c>
      <c r="H57" s="142">
        <v>0.77777779999999996</v>
      </c>
      <c r="I57" s="142">
        <v>0.40217389999999997</v>
      </c>
      <c r="J57" s="142">
        <v>0.53749999999999998</v>
      </c>
      <c r="K57" s="155"/>
      <c r="L57" s="141" t="s">
        <v>726</v>
      </c>
      <c r="M57" s="141" t="s">
        <v>720</v>
      </c>
      <c r="N57" s="141">
        <v>1163</v>
      </c>
      <c r="O57" s="141" t="s">
        <v>841</v>
      </c>
      <c r="P57" s="141">
        <v>4</v>
      </c>
      <c r="Q57" s="142">
        <v>0.66666669999999995</v>
      </c>
      <c r="R57" s="142">
        <v>0.90588239999999998</v>
      </c>
      <c r="S57" s="142">
        <v>0.75</v>
      </c>
      <c r="T57" s="142">
        <v>0.875</v>
      </c>
      <c r="U57" s="142">
        <v>0.483871</v>
      </c>
      <c r="V57" s="142">
        <v>0.71250000000000002</v>
      </c>
    </row>
    <row r="58" spans="1:22" ht="18.5" x14ac:dyDescent="0.35">
      <c r="A58" s="141" t="s">
        <v>726</v>
      </c>
      <c r="B58" s="141" t="s">
        <v>720</v>
      </c>
      <c r="C58" s="141">
        <v>1573</v>
      </c>
      <c r="D58" s="141" t="s">
        <v>842</v>
      </c>
      <c r="E58" s="141">
        <v>1</v>
      </c>
      <c r="F58" s="142">
        <v>0.34</v>
      </c>
      <c r="G58" s="141">
        <v>1</v>
      </c>
      <c r="H58" s="142">
        <v>1</v>
      </c>
      <c r="I58" s="142">
        <v>0.81521739999999998</v>
      </c>
      <c r="J58" s="142">
        <v>0.62749999999999995</v>
      </c>
      <c r="K58" s="155"/>
      <c r="L58" s="141" t="s">
        <v>726</v>
      </c>
      <c r="M58" s="141" t="s">
        <v>720</v>
      </c>
      <c r="N58" s="141">
        <v>1573</v>
      </c>
      <c r="O58" s="141" t="s">
        <v>842</v>
      </c>
      <c r="P58" s="141">
        <v>4</v>
      </c>
      <c r="Q58" s="142">
        <v>0.7</v>
      </c>
      <c r="R58" s="142">
        <v>0.68867920000000005</v>
      </c>
      <c r="S58" s="142">
        <v>0.69090910000000005</v>
      </c>
      <c r="T58" s="142">
        <v>0</v>
      </c>
      <c r="U58" s="142">
        <v>0.44144139999999998</v>
      </c>
      <c r="V58" s="142">
        <v>0.5575</v>
      </c>
    </row>
    <row r="59" spans="1:22" ht="18.5" x14ac:dyDescent="0.35">
      <c r="A59" s="141" t="s">
        <v>726</v>
      </c>
      <c r="B59" s="141" t="s">
        <v>720</v>
      </c>
      <c r="C59" s="141">
        <v>1726</v>
      </c>
      <c r="D59" s="141" t="s">
        <v>842</v>
      </c>
      <c r="E59" s="141">
        <v>1</v>
      </c>
      <c r="F59" s="142">
        <v>0.55000000000000004</v>
      </c>
      <c r="G59" s="141">
        <v>1</v>
      </c>
      <c r="H59" s="142">
        <v>0.61111110000000002</v>
      </c>
      <c r="I59" s="142">
        <v>0.88043479999999996</v>
      </c>
      <c r="J59" s="142">
        <v>0.64249999999999996</v>
      </c>
      <c r="K59" s="155"/>
      <c r="L59" s="141" t="s">
        <v>726</v>
      </c>
      <c r="M59" s="141" t="s">
        <v>720</v>
      </c>
      <c r="N59" s="141">
        <v>1726</v>
      </c>
      <c r="O59" s="141" t="s">
        <v>842</v>
      </c>
      <c r="P59" s="141">
        <v>4</v>
      </c>
      <c r="Q59" s="142">
        <v>0.57303369999999998</v>
      </c>
      <c r="R59" s="142">
        <v>0.62886600000000004</v>
      </c>
      <c r="S59" s="142">
        <v>1</v>
      </c>
      <c r="T59" s="142">
        <v>0.29310350000000002</v>
      </c>
      <c r="U59" s="142">
        <v>0.3854167</v>
      </c>
      <c r="V59" s="142">
        <v>0.56499999999999995</v>
      </c>
    </row>
    <row r="60" spans="1:22" ht="18.5" x14ac:dyDescent="0.35">
      <c r="A60" s="141" t="s">
        <v>726</v>
      </c>
      <c r="B60" s="141" t="s">
        <v>720</v>
      </c>
      <c r="C60" s="141">
        <v>1818</v>
      </c>
      <c r="D60" s="141" t="s">
        <v>842</v>
      </c>
      <c r="E60" s="141">
        <v>1</v>
      </c>
      <c r="F60" s="142">
        <v>0.39</v>
      </c>
      <c r="G60" s="141">
        <v>1</v>
      </c>
      <c r="H60" s="142">
        <v>0.66666669999999995</v>
      </c>
      <c r="I60" s="142">
        <v>0.53260870000000005</v>
      </c>
      <c r="J60" s="142">
        <v>0.4975</v>
      </c>
      <c r="K60" s="155"/>
      <c r="L60" s="141" t="s">
        <v>726</v>
      </c>
      <c r="M60" s="141" t="s">
        <v>720</v>
      </c>
      <c r="N60" s="141">
        <v>1818</v>
      </c>
      <c r="O60" s="141" t="s">
        <v>842</v>
      </c>
      <c r="P60" s="141">
        <v>4</v>
      </c>
      <c r="Q60" s="142">
        <v>0.69892469999999995</v>
      </c>
      <c r="R60" s="142">
        <v>0.61616159999999998</v>
      </c>
      <c r="S60" s="142">
        <v>0.46666669999999999</v>
      </c>
      <c r="T60" s="142">
        <v>0.5526316</v>
      </c>
      <c r="U60" s="142">
        <v>0.56363640000000004</v>
      </c>
      <c r="V60" s="142">
        <v>0.59250000000000003</v>
      </c>
    </row>
    <row r="61" spans="1:22" ht="18.5" x14ac:dyDescent="0.35">
      <c r="A61" s="141" t="s">
        <v>726</v>
      </c>
      <c r="B61" s="141" t="s">
        <v>720</v>
      </c>
      <c r="C61" s="141">
        <v>1991</v>
      </c>
      <c r="D61" s="141" t="s">
        <v>663</v>
      </c>
      <c r="E61" s="141">
        <v>1</v>
      </c>
      <c r="F61" s="142">
        <v>0.31</v>
      </c>
      <c r="G61" s="141">
        <v>1</v>
      </c>
      <c r="H61" s="142">
        <v>0.66666669999999995</v>
      </c>
      <c r="I61" s="142">
        <v>1</v>
      </c>
      <c r="J61" s="142">
        <v>0.56499999999999995</v>
      </c>
      <c r="K61" s="155"/>
      <c r="L61" s="141" t="s">
        <v>726</v>
      </c>
      <c r="M61" s="141" t="s">
        <v>720</v>
      </c>
      <c r="N61" s="141">
        <v>1991</v>
      </c>
      <c r="O61" s="141" t="s">
        <v>663</v>
      </c>
      <c r="P61" s="141">
        <v>4</v>
      </c>
      <c r="Q61" s="142">
        <v>0.57575759999999998</v>
      </c>
      <c r="R61" s="142">
        <v>0.75294119999999998</v>
      </c>
      <c r="S61" s="142">
        <v>0.66666669999999995</v>
      </c>
      <c r="T61" s="142">
        <v>0.43333329999999998</v>
      </c>
      <c r="U61" s="142">
        <v>0.31182799999999999</v>
      </c>
      <c r="V61" s="142">
        <v>0.55500000000000005</v>
      </c>
    </row>
    <row r="62" spans="1:22" ht="18.5" x14ac:dyDescent="0.35">
      <c r="A62" s="141" t="s">
        <v>726</v>
      </c>
      <c r="B62" s="141" t="s">
        <v>720</v>
      </c>
      <c r="C62" s="141">
        <v>2764</v>
      </c>
      <c r="D62" s="141" t="s">
        <v>663</v>
      </c>
      <c r="E62" s="141">
        <v>1</v>
      </c>
      <c r="F62" s="142">
        <v>0.5</v>
      </c>
      <c r="G62" s="141">
        <v>1</v>
      </c>
      <c r="H62" s="142">
        <v>0.55555560000000004</v>
      </c>
      <c r="I62" s="142">
        <v>0.54347829999999997</v>
      </c>
      <c r="J62" s="142">
        <v>0.52500000000000002</v>
      </c>
      <c r="K62" s="155"/>
      <c r="L62" s="141" t="s">
        <v>726</v>
      </c>
      <c r="M62" s="141" t="s">
        <v>720</v>
      </c>
      <c r="N62" s="141">
        <v>2764</v>
      </c>
      <c r="O62" s="141" t="s">
        <v>663</v>
      </c>
      <c r="P62" s="141">
        <v>4</v>
      </c>
      <c r="Q62" s="142">
        <v>0.41071429999999998</v>
      </c>
      <c r="R62" s="142">
        <v>0.375</v>
      </c>
      <c r="S62" s="142">
        <v>0.63829789999999997</v>
      </c>
      <c r="T62" s="142">
        <v>4.1666700000000001E-2</v>
      </c>
      <c r="U62" s="142">
        <v>7.2164900000000004E-2</v>
      </c>
      <c r="V62" s="142">
        <v>0.30249999999999999</v>
      </c>
    </row>
    <row r="63" spans="1:22" ht="18.5" x14ac:dyDescent="0.35">
      <c r="A63" s="141" t="s">
        <v>726</v>
      </c>
      <c r="B63" s="141" t="s">
        <v>720</v>
      </c>
      <c r="C63" s="141">
        <v>2766</v>
      </c>
      <c r="D63" s="141" t="s">
        <v>663</v>
      </c>
      <c r="E63" s="141">
        <v>1</v>
      </c>
      <c r="F63" s="142">
        <v>0.33</v>
      </c>
      <c r="G63" s="141">
        <v>1</v>
      </c>
      <c r="H63" s="142">
        <v>0.72222220000000004</v>
      </c>
      <c r="I63" s="142">
        <v>0.83695649999999999</v>
      </c>
      <c r="J63" s="142">
        <v>0.55249999999999999</v>
      </c>
      <c r="K63" s="155"/>
      <c r="L63" s="141" t="s">
        <v>726</v>
      </c>
      <c r="M63" s="141" t="s">
        <v>720</v>
      </c>
      <c r="N63" s="141">
        <v>2766</v>
      </c>
      <c r="O63" s="141" t="s">
        <v>663</v>
      </c>
      <c r="P63" s="141">
        <v>4</v>
      </c>
      <c r="Q63" s="142">
        <v>0.60150369999999997</v>
      </c>
      <c r="R63" s="142">
        <v>0.72023809999999999</v>
      </c>
      <c r="S63" s="142">
        <v>0.80769230000000003</v>
      </c>
      <c r="T63" s="142">
        <v>0.2916667</v>
      </c>
      <c r="U63" s="142">
        <v>0.48192770000000001</v>
      </c>
      <c r="V63" s="142">
        <v>0.59125000000000005</v>
      </c>
    </row>
    <row r="64" spans="1:22" ht="18.5" x14ac:dyDescent="0.35">
      <c r="A64" s="141" t="s">
        <v>726</v>
      </c>
      <c r="B64" s="141" t="s">
        <v>720</v>
      </c>
      <c r="C64" s="141">
        <v>2768</v>
      </c>
      <c r="D64" s="141" t="s">
        <v>663</v>
      </c>
      <c r="E64" s="141">
        <v>1</v>
      </c>
      <c r="F64" s="142">
        <v>0.55000000000000004</v>
      </c>
      <c r="G64" s="141">
        <v>1</v>
      </c>
      <c r="H64" s="142">
        <v>0.94444439999999996</v>
      </c>
      <c r="I64" s="142">
        <v>0.93478260000000002</v>
      </c>
      <c r="J64" s="142">
        <v>0.745</v>
      </c>
      <c r="K64" s="155"/>
      <c r="L64" s="141" t="s">
        <v>726</v>
      </c>
      <c r="M64" s="141" t="s">
        <v>720</v>
      </c>
      <c r="N64" s="141">
        <v>2768</v>
      </c>
      <c r="O64" s="141" t="s">
        <v>663</v>
      </c>
      <c r="P64" s="141">
        <v>4</v>
      </c>
      <c r="Q64" s="142">
        <v>0.6608695</v>
      </c>
      <c r="R64" s="142">
        <v>0.67415729999999996</v>
      </c>
      <c r="S64" s="142">
        <v>0.42307689999999998</v>
      </c>
      <c r="T64" s="142">
        <v>0.54166669999999995</v>
      </c>
      <c r="U64" s="142">
        <v>0.3125</v>
      </c>
      <c r="V64" s="142">
        <v>0.53500000000000003</v>
      </c>
    </row>
    <row r="65" spans="1:22" ht="18.5" x14ac:dyDescent="0.35">
      <c r="A65" s="141" t="s">
        <v>726</v>
      </c>
      <c r="B65" s="141" t="s">
        <v>720</v>
      </c>
      <c r="C65" s="141">
        <v>3133</v>
      </c>
      <c r="D65" s="141" t="s">
        <v>663</v>
      </c>
      <c r="E65" s="141">
        <v>1</v>
      </c>
      <c r="F65" s="142">
        <v>0.7</v>
      </c>
      <c r="G65" s="141">
        <v>1</v>
      </c>
      <c r="H65" s="142">
        <v>0.55555560000000004</v>
      </c>
      <c r="I65" s="142">
        <v>0.97826089999999999</v>
      </c>
      <c r="J65" s="142">
        <v>0.72499999999999998</v>
      </c>
      <c r="K65" s="155"/>
      <c r="L65" s="141" t="s">
        <v>726</v>
      </c>
      <c r="M65" s="141" t="s">
        <v>720</v>
      </c>
      <c r="N65" s="141">
        <v>3133</v>
      </c>
      <c r="O65" s="141" t="s">
        <v>663</v>
      </c>
      <c r="P65" s="141">
        <v>4</v>
      </c>
      <c r="Q65" s="142">
        <v>0.65686270000000002</v>
      </c>
      <c r="R65" s="142">
        <v>0.60465120000000006</v>
      </c>
      <c r="S65" s="142">
        <v>0.75</v>
      </c>
      <c r="T65" s="142">
        <v>0.55000000000000004</v>
      </c>
      <c r="U65" s="142">
        <v>0.45652169999999997</v>
      </c>
      <c r="V65" s="142">
        <v>0.60750000000000004</v>
      </c>
    </row>
    <row r="66" spans="1:22" ht="18.5" x14ac:dyDescent="0.35">
      <c r="A66" s="141" t="s">
        <v>726</v>
      </c>
      <c r="B66" s="141" t="s">
        <v>720</v>
      </c>
      <c r="C66" s="141">
        <v>4351</v>
      </c>
      <c r="D66" s="141" t="s">
        <v>663</v>
      </c>
      <c r="E66" s="141">
        <v>1</v>
      </c>
      <c r="F66" s="142">
        <v>0.53</v>
      </c>
      <c r="G66" s="141">
        <v>1</v>
      </c>
      <c r="H66" s="142">
        <v>0.88888889999999998</v>
      </c>
      <c r="I66" s="142">
        <v>0.90217389999999997</v>
      </c>
      <c r="J66" s="142">
        <v>0.71250000000000002</v>
      </c>
      <c r="K66" s="155"/>
      <c r="L66" s="141" t="s">
        <v>726</v>
      </c>
      <c r="M66" s="141" t="s">
        <v>720</v>
      </c>
      <c r="N66" s="141">
        <v>4351</v>
      </c>
      <c r="O66" s="141" t="s">
        <v>663</v>
      </c>
      <c r="P66" s="141">
        <v>4</v>
      </c>
      <c r="Q66" s="142">
        <v>0.44086019999999998</v>
      </c>
      <c r="R66" s="142">
        <v>0.35</v>
      </c>
      <c r="S66" s="142">
        <v>0.38333329999999999</v>
      </c>
      <c r="T66" s="142">
        <v>0.2368421</v>
      </c>
      <c r="U66" s="142">
        <v>0.21100920000000001</v>
      </c>
      <c r="V66" s="142">
        <v>0.32750000000000001</v>
      </c>
    </row>
    <row r="67" spans="1:22" ht="18.5" x14ac:dyDescent="0.35">
      <c r="A67" s="141" t="s">
        <v>727</v>
      </c>
      <c r="B67" s="141" t="s">
        <v>728</v>
      </c>
      <c r="C67" s="141">
        <v>1836</v>
      </c>
      <c r="D67" s="141" t="s">
        <v>842</v>
      </c>
      <c r="E67" s="141">
        <v>1</v>
      </c>
      <c r="F67" s="142">
        <v>0.27</v>
      </c>
      <c r="G67" s="141">
        <v>1</v>
      </c>
      <c r="H67" s="142">
        <v>0.77777779999999996</v>
      </c>
      <c r="I67" s="142">
        <v>0.51086960000000003</v>
      </c>
      <c r="J67" s="142">
        <v>0.46250000000000002</v>
      </c>
      <c r="K67" s="155"/>
      <c r="L67" s="141" t="s">
        <v>727</v>
      </c>
      <c r="M67" s="141" t="s">
        <v>728</v>
      </c>
      <c r="N67" s="141">
        <v>1836</v>
      </c>
      <c r="O67" s="141" t="s">
        <v>842</v>
      </c>
      <c r="P67" s="141">
        <v>4</v>
      </c>
      <c r="Q67" s="142">
        <v>0.67021269999999999</v>
      </c>
      <c r="R67" s="142">
        <v>0.70642199999999999</v>
      </c>
      <c r="S67" s="142">
        <v>0.9636363</v>
      </c>
      <c r="T67" s="142">
        <v>0.1111111</v>
      </c>
      <c r="U67" s="142">
        <v>0.39516129999999999</v>
      </c>
      <c r="V67" s="142">
        <v>0.61</v>
      </c>
    </row>
    <row r="68" spans="1:22" ht="18.5" x14ac:dyDescent="0.35">
      <c r="A68" s="141" t="s">
        <v>727</v>
      </c>
      <c r="B68" s="141" t="s">
        <v>728</v>
      </c>
      <c r="C68" s="141">
        <v>1837</v>
      </c>
      <c r="D68" s="141" t="s">
        <v>2452</v>
      </c>
      <c r="E68" s="141">
        <v>1</v>
      </c>
      <c r="F68" s="142">
        <v>0.5</v>
      </c>
      <c r="G68" s="141">
        <v>1</v>
      </c>
      <c r="H68" s="142">
        <v>0.77777779999999996</v>
      </c>
      <c r="I68" s="142">
        <v>0.63043479999999996</v>
      </c>
      <c r="J68" s="142">
        <v>0.60499999999999998</v>
      </c>
      <c r="K68" s="155"/>
      <c r="L68" s="141" t="s">
        <v>727</v>
      </c>
      <c r="M68" s="141" t="s">
        <v>728</v>
      </c>
      <c r="N68" s="141">
        <v>1837</v>
      </c>
      <c r="O68" s="141" t="s">
        <v>2452</v>
      </c>
      <c r="P68" s="141">
        <v>4</v>
      </c>
      <c r="Q68" s="142">
        <v>0.78651680000000002</v>
      </c>
      <c r="R68" s="142">
        <v>0.8125</v>
      </c>
      <c r="S68" s="142">
        <v>1</v>
      </c>
      <c r="T68" s="142">
        <v>0.75862070000000004</v>
      </c>
      <c r="U68" s="142">
        <v>0.59793810000000003</v>
      </c>
      <c r="V68" s="142">
        <v>0.77500000000000002</v>
      </c>
    </row>
    <row r="69" spans="1:22" ht="18.5" x14ac:dyDescent="0.35">
      <c r="A69" s="141" t="s">
        <v>727</v>
      </c>
      <c r="B69" s="141" t="s">
        <v>728</v>
      </c>
      <c r="C69" s="141">
        <v>2200</v>
      </c>
      <c r="D69" s="141" t="s">
        <v>841</v>
      </c>
      <c r="E69" s="141">
        <v>1</v>
      </c>
      <c r="F69" s="142">
        <v>0.42</v>
      </c>
      <c r="G69" s="141">
        <v>1</v>
      </c>
      <c r="H69" s="142">
        <v>0.72222220000000004</v>
      </c>
      <c r="I69" s="142">
        <v>0.45652169999999997</v>
      </c>
      <c r="J69" s="142">
        <v>0.51</v>
      </c>
      <c r="K69" s="155"/>
      <c r="L69" s="141" t="s">
        <v>727</v>
      </c>
      <c r="M69" s="141" t="s">
        <v>728</v>
      </c>
      <c r="N69" s="141">
        <v>2200</v>
      </c>
      <c r="O69" s="141" t="s">
        <v>841</v>
      </c>
      <c r="P69" s="141">
        <v>4</v>
      </c>
      <c r="Q69" s="142">
        <v>0.89147290000000001</v>
      </c>
      <c r="R69" s="142">
        <v>0.76086960000000003</v>
      </c>
      <c r="S69" s="142">
        <v>0.90909090000000004</v>
      </c>
      <c r="T69" s="142">
        <v>0.63333329999999999</v>
      </c>
      <c r="U69" s="142">
        <v>0.40425529999999998</v>
      </c>
      <c r="V69" s="142">
        <v>0.73</v>
      </c>
    </row>
    <row r="70" spans="1:22" ht="18.5" x14ac:dyDescent="0.35">
      <c r="A70" s="141" t="s">
        <v>727</v>
      </c>
      <c r="B70" s="141" t="s">
        <v>728</v>
      </c>
      <c r="C70" s="141">
        <v>2207</v>
      </c>
      <c r="D70" s="141" t="s">
        <v>842</v>
      </c>
      <c r="E70" s="141">
        <v>1</v>
      </c>
      <c r="F70" s="142">
        <v>0.23</v>
      </c>
      <c r="G70" s="141">
        <v>1</v>
      </c>
      <c r="H70" s="142">
        <v>0.88888889999999998</v>
      </c>
      <c r="I70" s="142">
        <v>0.61956520000000004</v>
      </c>
      <c r="J70" s="142">
        <v>0.4975</v>
      </c>
      <c r="K70" s="155"/>
      <c r="L70" s="141" t="s">
        <v>727</v>
      </c>
      <c r="M70" s="141" t="s">
        <v>728</v>
      </c>
      <c r="N70" s="141">
        <v>2207</v>
      </c>
      <c r="O70" s="141" t="s">
        <v>842</v>
      </c>
      <c r="P70" s="141">
        <v>4</v>
      </c>
      <c r="Q70" s="142">
        <v>0.64534879999999994</v>
      </c>
      <c r="R70" s="142">
        <v>0.63636360000000003</v>
      </c>
      <c r="S70" s="142">
        <v>0.8208955</v>
      </c>
      <c r="T70" s="142">
        <v>0.68421050000000005</v>
      </c>
      <c r="U70" s="142">
        <v>0.26363639999999999</v>
      </c>
      <c r="V70" s="142">
        <v>0.57125000000000004</v>
      </c>
    </row>
    <row r="71" spans="1:22" ht="18.5" x14ac:dyDescent="0.35">
      <c r="A71" s="141" t="s">
        <v>727</v>
      </c>
      <c r="B71" s="141" t="s">
        <v>728</v>
      </c>
      <c r="C71" s="141">
        <v>2793</v>
      </c>
      <c r="D71" s="141" t="s">
        <v>663</v>
      </c>
      <c r="E71" s="141">
        <v>1</v>
      </c>
      <c r="F71" s="142">
        <v>0.22</v>
      </c>
      <c r="G71" s="141">
        <v>1</v>
      </c>
      <c r="H71" s="142">
        <v>0.77777779999999996</v>
      </c>
      <c r="I71" s="142">
        <v>0.45652169999999997</v>
      </c>
      <c r="J71" s="142">
        <v>0.42499999999999999</v>
      </c>
      <c r="K71" s="155"/>
      <c r="L71" s="141" t="s">
        <v>727</v>
      </c>
      <c r="M71" s="141" t="s">
        <v>728</v>
      </c>
      <c r="N71" s="141">
        <v>2793</v>
      </c>
      <c r="O71" s="141" t="s">
        <v>663</v>
      </c>
      <c r="P71" s="141">
        <v>4</v>
      </c>
      <c r="Q71" s="142">
        <v>0.76893940000000005</v>
      </c>
      <c r="R71" s="142">
        <v>0.59411760000000002</v>
      </c>
      <c r="S71" s="142">
        <v>1</v>
      </c>
      <c r="T71" s="142">
        <v>0.66666669999999995</v>
      </c>
      <c r="U71" s="142">
        <v>0.4946237</v>
      </c>
      <c r="V71" s="142">
        <v>0.69499999999999995</v>
      </c>
    </row>
    <row r="72" spans="1:22" ht="18.5" x14ac:dyDescent="0.35">
      <c r="A72" s="141" t="s">
        <v>727</v>
      </c>
      <c r="B72" s="141" t="s">
        <v>728</v>
      </c>
      <c r="C72" s="141">
        <v>3117</v>
      </c>
      <c r="D72" s="141" t="s">
        <v>663</v>
      </c>
      <c r="E72" s="141">
        <v>1</v>
      </c>
      <c r="F72" s="142">
        <v>0.49</v>
      </c>
      <c r="G72" s="141">
        <v>1</v>
      </c>
      <c r="H72" s="142">
        <v>0.66666669999999995</v>
      </c>
      <c r="I72" s="142">
        <v>0.48913040000000002</v>
      </c>
      <c r="J72" s="142">
        <v>0.53749999999999998</v>
      </c>
      <c r="K72" s="155"/>
      <c r="L72" s="141" t="s">
        <v>727</v>
      </c>
      <c r="M72" s="141" t="s">
        <v>728</v>
      </c>
      <c r="N72" s="141">
        <v>3117</v>
      </c>
      <c r="O72" s="141" t="s">
        <v>663</v>
      </c>
      <c r="P72" s="141">
        <v>4</v>
      </c>
      <c r="Q72" s="142">
        <v>0.49545450000000002</v>
      </c>
      <c r="R72" s="142">
        <v>0.64210529999999999</v>
      </c>
      <c r="S72" s="142">
        <v>0.77941179999999999</v>
      </c>
      <c r="T72" s="142">
        <v>0.4</v>
      </c>
      <c r="U72" s="142">
        <v>0.3084112</v>
      </c>
      <c r="V72" s="142">
        <v>0.52375000000000005</v>
      </c>
    </row>
    <row r="73" spans="1:22" ht="18.5" x14ac:dyDescent="0.35">
      <c r="A73" s="141" t="s">
        <v>727</v>
      </c>
      <c r="B73" s="141" t="s">
        <v>728</v>
      </c>
      <c r="C73" s="141">
        <v>3427</v>
      </c>
      <c r="D73" s="141" t="s">
        <v>663</v>
      </c>
      <c r="E73" s="141">
        <v>1</v>
      </c>
      <c r="F73" s="142">
        <v>0.47</v>
      </c>
      <c r="G73" s="141">
        <v>1</v>
      </c>
      <c r="H73" s="142">
        <v>0.72222220000000004</v>
      </c>
      <c r="I73" s="142">
        <v>0.4456522</v>
      </c>
      <c r="J73" s="142">
        <v>0.53249999999999997</v>
      </c>
      <c r="K73" s="155"/>
      <c r="L73" s="141" t="s">
        <v>727</v>
      </c>
      <c r="M73" s="141" t="s">
        <v>728</v>
      </c>
      <c r="N73" s="141">
        <v>3427</v>
      </c>
      <c r="O73" s="141" t="s">
        <v>663</v>
      </c>
      <c r="P73" s="141">
        <v>4</v>
      </c>
      <c r="Q73" s="142">
        <v>0.7</v>
      </c>
      <c r="R73" s="142">
        <v>0.64367819999999998</v>
      </c>
      <c r="S73" s="142">
        <v>0.83333330000000005</v>
      </c>
      <c r="T73" s="142">
        <v>0.3</v>
      </c>
      <c r="U73" s="142">
        <v>0.41935480000000003</v>
      </c>
      <c r="V73" s="142">
        <v>0.59250000000000003</v>
      </c>
    </row>
    <row r="74" spans="1:22" ht="18.5" x14ac:dyDescent="0.35">
      <c r="A74" s="141" t="s">
        <v>727</v>
      </c>
      <c r="B74" s="141" t="s">
        <v>728</v>
      </c>
      <c r="C74" s="141">
        <v>3962</v>
      </c>
      <c r="D74" s="141" t="s">
        <v>842</v>
      </c>
      <c r="E74" s="141">
        <v>1</v>
      </c>
      <c r="F74" s="142">
        <v>0.5</v>
      </c>
      <c r="G74" s="141">
        <v>1</v>
      </c>
      <c r="H74" s="142">
        <v>0.61111110000000002</v>
      </c>
      <c r="I74" s="142">
        <v>0.38043480000000002</v>
      </c>
      <c r="J74" s="142">
        <v>0.50249999999999995</v>
      </c>
      <c r="K74" s="155"/>
      <c r="L74" s="141" t="s">
        <v>727</v>
      </c>
      <c r="M74" s="141" t="s">
        <v>728</v>
      </c>
      <c r="N74" s="141">
        <v>3962</v>
      </c>
      <c r="O74" s="141" t="s">
        <v>842</v>
      </c>
      <c r="P74" s="141">
        <v>4</v>
      </c>
      <c r="Q74" s="142">
        <v>0.48749999999999999</v>
      </c>
      <c r="R74" s="142">
        <v>0.37931029999999999</v>
      </c>
      <c r="S74" s="142">
        <v>0.3125</v>
      </c>
      <c r="T74" s="142">
        <v>0.38333329999999999</v>
      </c>
      <c r="U74" s="142">
        <v>0.41935480000000003</v>
      </c>
      <c r="V74" s="142">
        <v>0.39750000000000002</v>
      </c>
    </row>
    <row r="75" spans="1:22" ht="18.5" x14ac:dyDescent="0.35">
      <c r="A75" s="141" t="s">
        <v>727</v>
      </c>
      <c r="B75" s="141" t="s">
        <v>728</v>
      </c>
      <c r="C75" s="141">
        <v>4046</v>
      </c>
      <c r="D75" s="141" t="s">
        <v>663</v>
      </c>
      <c r="E75" s="141">
        <v>1</v>
      </c>
      <c r="F75" s="142">
        <v>0.38</v>
      </c>
      <c r="G75" s="141">
        <v>1</v>
      </c>
      <c r="H75" s="142">
        <v>0.77777779999999996</v>
      </c>
      <c r="I75" s="142">
        <v>0.68478260000000002</v>
      </c>
      <c r="J75" s="142">
        <v>0.5575</v>
      </c>
      <c r="K75" s="155"/>
      <c r="L75" s="141" t="s">
        <v>727</v>
      </c>
      <c r="M75" s="141" t="s">
        <v>728</v>
      </c>
      <c r="N75" s="141">
        <v>4046</v>
      </c>
      <c r="O75" s="141" t="s">
        <v>663</v>
      </c>
      <c r="P75" s="141">
        <v>4</v>
      </c>
      <c r="Q75" s="142">
        <v>0.63414630000000005</v>
      </c>
      <c r="R75" s="142">
        <v>0.5606061</v>
      </c>
      <c r="S75" s="142">
        <v>0.95</v>
      </c>
      <c r="T75" s="142">
        <v>0.39285710000000001</v>
      </c>
      <c r="U75" s="142">
        <v>0.40909089999999998</v>
      </c>
      <c r="V75" s="142">
        <v>0.56874999999999998</v>
      </c>
    </row>
    <row r="76" spans="1:22" ht="18.5" x14ac:dyDescent="0.35">
      <c r="A76" s="141" t="s">
        <v>727</v>
      </c>
      <c r="B76" s="141" t="s">
        <v>728</v>
      </c>
      <c r="C76" s="141">
        <v>4051</v>
      </c>
      <c r="D76" s="141" t="s">
        <v>663</v>
      </c>
      <c r="E76" s="141">
        <v>1</v>
      </c>
      <c r="F76" s="142">
        <v>0.5</v>
      </c>
      <c r="G76" s="141">
        <v>1</v>
      </c>
      <c r="H76" s="142">
        <v>0.72222220000000004</v>
      </c>
      <c r="I76" s="142">
        <v>0.56521739999999998</v>
      </c>
      <c r="J76" s="142">
        <v>0.57499999999999996</v>
      </c>
      <c r="K76" s="155"/>
      <c r="L76" s="141" t="s">
        <v>727</v>
      </c>
      <c r="M76" s="141" t="s">
        <v>728</v>
      </c>
      <c r="N76" s="141">
        <v>4051</v>
      </c>
      <c r="O76" s="141" t="s">
        <v>663</v>
      </c>
      <c r="P76" s="141">
        <v>4</v>
      </c>
      <c r="Q76" s="142">
        <v>0.60465120000000006</v>
      </c>
      <c r="R76" s="142">
        <v>0.57575759999999998</v>
      </c>
      <c r="S76" s="142">
        <v>0.37313429999999997</v>
      </c>
      <c r="T76" s="142">
        <v>0.3421053</v>
      </c>
      <c r="U76" s="142">
        <v>0.26363639999999999</v>
      </c>
      <c r="V76" s="142">
        <v>0.44</v>
      </c>
    </row>
    <row r="77" spans="1:22" ht="18.5" x14ac:dyDescent="0.35">
      <c r="A77" s="141" t="s">
        <v>727</v>
      </c>
      <c r="B77" s="141" t="s">
        <v>728</v>
      </c>
      <c r="C77" s="141">
        <v>4052</v>
      </c>
      <c r="D77" s="141" t="s">
        <v>663</v>
      </c>
      <c r="E77" s="141">
        <v>1</v>
      </c>
      <c r="F77" s="142">
        <v>0.57999999999999996</v>
      </c>
      <c r="G77" s="141">
        <v>1</v>
      </c>
      <c r="H77" s="142">
        <v>0.61111110000000002</v>
      </c>
      <c r="I77" s="142">
        <v>0.41304350000000001</v>
      </c>
      <c r="J77" s="142">
        <v>0.55000000000000004</v>
      </c>
      <c r="K77" s="155"/>
      <c r="L77" s="141" t="s">
        <v>727</v>
      </c>
      <c r="M77" s="141" t="s">
        <v>728</v>
      </c>
      <c r="N77" s="141">
        <v>4052</v>
      </c>
      <c r="O77" s="141" t="s">
        <v>663</v>
      </c>
      <c r="P77" s="141">
        <v>4</v>
      </c>
      <c r="Q77" s="142">
        <v>0.58270670000000002</v>
      </c>
      <c r="R77" s="142">
        <v>0.41052630000000001</v>
      </c>
      <c r="S77" s="142">
        <v>0.36363640000000003</v>
      </c>
      <c r="T77" s="142">
        <v>0</v>
      </c>
      <c r="U77" s="142">
        <v>9.3457899999999997E-2</v>
      </c>
      <c r="V77" s="142">
        <v>0.36625000000000002</v>
      </c>
    </row>
    <row r="78" spans="1:22" ht="18.5" x14ac:dyDescent="0.35">
      <c r="A78" s="141" t="s">
        <v>729</v>
      </c>
      <c r="B78" s="141" t="s">
        <v>730</v>
      </c>
      <c r="C78" s="141">
        <v>674</v>
      </c>
      <c r="D78" s="141" t="s">
        <v>841</v>
      </c>
      <c r="E78" s="141">
        <v>1</v>
      </c>
      <c r="F78" s="142">
        <v>0.34</v>
      </c>
      <c r="G78" s="141">
        <v>1</v>
      </c>
      <c r="H78" s="142">
        <v>0.77777779999999996</v>
      </c>
      <c r="I78" s="142">
        <v>0.86956520000000004</v>
      </c>
      <c r="J78" s="142">
        <v>0.57999999999999996</v>
      </c>
      <c r="K78" s="155"/>
      <c r="L78" s="141" t="s">
        <v>729</v>
      </c>
      <c r="M78" s="141" t="s">
        <v>730</v>
      </c>
      <c r="N78" s="141">
        <v>674</v>
      </c>
      <c r="O78" s="141" t="s">
        <v>841</v>
      </c>
      <c r="P78" s="141">
        <v>4</v>
      </c>
      <c r="Q78" s="142">
        <v>0.52222219999999997</v>
      </c>
      <c r="R78" s="142">
        <v>0.36792449999999999</v>
      </c>
      <c r="S78" s="142">
        <v>0.69090910000000005</v>
      </c>
      <c r="T78" s="142">
        <v>0</v>
      </c>
      <c r="U78" s="142">
        <v>0.2882883</v>
      </c>
      <c r="V78" s="142">
        <v>0.39</v>
      </c>
    </row>
    <row r="79" spans="1:22" ht="18.5" x14ac:dyDescent="0.35">
      <c r="A79" s="141" t="s">
        <v>729</v>
      </c>
      <c r="B79" s="141" t="s">
        <v>730</v>
      </c>
      <c r="C79" s="141">
        <v>680</v>
      </c>
      <c r="D79" s="141" t="s">
        <v>841</v>
      </c>
      <c r="E79" s="141">
        <v>1</v>
      </c>
      <c r="F79" s="142">
        <v>0.43</v>
      </c>
      <c r="G79" s="141">
        <v>1</v>
      </c>
      <c r="H79" s="142">
        <v>0.61111110000000002</v>
      </c>
      <c r="I79" s="142">
        <v>1</v>
      </c>
      <c r="J79" s="142">
        <v>0.61</v>
      </c>
      <c r="K79" s="155"/>
      <c r="L79" s="141" t="s">
        <v>729</v>
      </c>
      <c r="M79" s="141" t="s">
        <v>730</v>
      </c>
      <c r="N79" s="141">
        <v>680</v>
      </c>
      <c r="O79" s="141" t="s">
        <v>841</v>
      </c>
      <c r="P79" s="141">
        <v>4</v>
      </c>
      <c r="Q79" s="142">
        <v>0.36486489999999999</v>
      </c>
      <c r="R79" s="142">
        <v>0.54069769999999995</v>
      </c>
      <c r="S79" s="142">
        <v>0.86538459999999995</v>
      </c>
      <c r="T79" s="142">
        <v>0.33823530000000002</v>
      </c>
      <c r="U79" s="142">
        <v>0.1204819</v>
      </c>
      <c r="V79" s="142">
        <v>0.41249999999999998</v>
      </c>
    </row>
    <row r="80" spans="1:22" ht="18.5" x14ac:dyDescent="0.35">
      <c r="A80" s="141" t="s">
        <v>729</v>
      </c>
      <c r="B80" s="141" t="s">
        <v>730</v>
      </c>
      <c r="C80" s="141">
        <v>681</v>
      </c>
      <c r="D80" s="141" t="s">
        <v>843</v>
      </c>
      <c r="E80" s="141">
        <v>1</v>
      </c>
      <c r="F80" s="142">
        <v>0.54</v>
      </c>
      <c r="G80" s="141">
        <v>1</v>
      </c>
      <c r="H80" s="142">
        <v>0.77777779999999996</v>
      </c>
      <c r="I80" s="142">
        <v>0.97826089999999999</v>
      </c>
      <c r="J80" s="142">
        <v>0.70499999999999996</v>
      </c>
      <c r="K80" s="155"/>
      <c r="L80" s="141" t="s">
        <v>729</v>
      </c>
      <c r="M80" s="141" t="s">
        <v>730</v>
      </c>
      <c r="N80" s="141">
        <v>681</v>
      </c>
      <c r="O80" s="141" t="s">
        <v>843</v>
      </c>
      <c r="P80" s="141">
        <v>4</v>
      </c>
      <c r="Q80" s="142">
        <v>0.68292679999999995</v>
      </c>
      <c r="R80" s="142">
        <v>0.53608239999999996</v>
      </c>
      <c r="S80" s="142">
        <v>0.74626859999999995</v>
      </c>
      <c r="T80" s="142">
        <v>0.2758621</v>
      </c>
      <c r="U80" s="142">
        <v>0.2708333</v>
      </c>
      <c r="V80" s="142">
        <v>0.5</v>
      </c>
    </row>
    <row r="81" spans="1:22" ht="18.5" x14ac:dyDescent="0.35">
      <c r="A81" s="141" t="s">
        <v>729</v>
      </c>
      <c r="B81" s="141" t="s">
        <v>730</v>
      </c>
      <c r="C81" s="141">
        <v>1917</v>
      </c>
      <c r="D81" s="141" t="s">
        <v>842</v>
      </c>
      <c r="E81" s="141">
        <v>1</v>
      </c>
      <c r="F81" s="142">
        <v>0.46</v>
      </c>
      <c r="G81" s="141">
        <v>1</v>
      </c>
      <c r="H81" s="142">
        <v>0.66666669999999995</v>
      </c>
      <c r="I81" s="142">
        <v>0.84782610000000003</v>
      </c>
      <c r="J81" s="142">
        <v>0.60499999999999998</v>
      </c>
      <c r="K81" s="155"/>
      <c r="L81" s="141" t="s">
        <v>729</v>
      </c>
      <c r="M81" s="141" t="s">
        <v>730</v>
      </c>
      <c r="N81" s="141">
        <v>1917</v>
      </c>
      <c r="O81" s="141" t="s">
        <v>842</v>
      </c>
      <c r="P81" s="141">
        <v>4</v>
      </c>
      <c r="Q81" s="142">
        <v>0.49438199999999999</v>
      </c>
      <c r="R81" s="142">
        <v>0.3020833</v>
      </c>
      <c r="S81" s="142">
        <v>0.8</v>
      </c>
      <c r="T81" s="142">
        <v>0.5</v>
      </c>
      <c r="U81" s="142">
        <v>0.22680410000000001</v>
      </c>
      <c r="V81" s="142">
        <v>0.43</v>
      </c>
    </row>
    <row r="82" spans="1:22" ht="18.5" x14ac:dyDescent="0.35">
      <c r="A82" s="141" t="s">
        <v>729</v>
      </c>
      <c r="B82" s="141" t="s">
        <v>730</v>
      </c>
      <c r="C82" s="141">
        <v>3040</v>
      </c>
      <c r="D82" s="141" t="s">
        <v>663</v>
      </c>
      <c r="E82" s="141">
        <v>1</v>
      </c>
      <c r="F82" s="142">
        <v>0.61</v>
      </c>
      <c r="G82" s="141">
        <v>1</v>
      </c>
      <c r="H82" s="142">
        <v>0.77777779999999996</v>
      </c>
      <c r="I82" s="142">
        <v>0.78260870000000005</v>
      </c>
      <c r="J82" s="142">
        <v>0.69499999999999995</v>
      </c>
      <c r="K82" s="155"/>
      <c r="L82" s="141" t="s">
        <v>729</v>
      </c>
      <c r="M82" s="141" t="s">
        <v>730</v>
      </c>
      <c r="N82" s="141">
        <v>3040</v>
      </c>
      <c r="O82" s="141" t="s">
        <v>663</v>
      </c>
      <c r="P82" s="141">
        <v>4</v>
      </c>
      <c r="Q82" s="142">
        <v>0.40909089999999998</v>
      </c>
      <c r="R82" s="142">
        <v>0.22680410000000001</v>
      </c>
      <c r="S82" s="142">
        <v>0.6323529</v>
      </c>
      <c r="T82" s="142">
        <v>0.72499999999999998</v>
      </c>
      <c r="U82" s="142">
        <v>0.42056070000000001</v>
      </c>
      <c r="V82" s="142">
        <v>0.4375</v>
      </c>
    </row>
    <row r="83" spans="1:22" ht="18.5" x14ac:dyDescent="0.35">
      <c r="A83" s="141" t="s">
        <v>729</v>
      </c>
      <c r="B83" s="141" t="s">
        <v>730</v>
      </c>
      <c r="C83" s="141">
        <v>3247</v>
      </c>
      <c r="D83" s="141" t="s">
        <v>663</v>
      </c>
      <c r="E83" s="141">
        <v>1</v>
      </c>
      <c r="F83" s="142">
        <v>0.27</v>
      </c>
      <c r="G83" s="141">
        <v>1</v>
      </c>
      <c r="H83" s="142">
        <v>0.77777779999999996</v>
      </c>
      <c r="I83" s="142">
        <v>0.88043479999999996</v>
      </c>
      <c r="J83" s="142">
        <v>0.54749999999999999</v>
      </c>
      <c r="K83" s="155"/>
      <c r="L83" s="141" t="s">
        <v>729</v>
      </c>
      <c r="M83" s="141" t="s">
        <v>730</v>
      </c>
      <c r="N83" s="141">
        <v>3247</v>
      </c>
      <c r="O83" s="141" t="s">
        <v>663</v>
      </c>
      <c r="P83" s="141">
        <v>4</v>
      </c>
      <c r="Q83" s="142">
        <v>0.5625</v>
      </c>
      <c r="R83" s="142">
        <v>0.26923079999999999</v>
      </c>
      <c r="S83" s="142">
        <v>0.78181820000000002</v>
      </c>
      <c r="T83" s="142">
        <v>0</v>
      </c>
      <c r="U83" s="142">
        <v>0.39639639999999998</v>
      </c>
      <c r="V83" s="142">
        <v>0.44500000000000001</v>
      </c>
    </row>
    <row r="84" spans="1:22" ht="18.5" x14ac:dyDescent="0.35">
      <c r="A84" s="141" t="s">
        <v>729</v>
      </c>
      <c r="B84" s="141" t="s">
        <v>730</v>
      </c>
      <c r="C84" s="141">
        <v>3900</v>
      </c>
      <c r="D84" s="141" t="s">
        <v>663</v>
      </c>
      <c r="E84" s="141">
        <v>1</v>
      </c>
      <c r="F84" s="142">
        <v>0.54</v>
      </c>
      <c r="G84" s="141">
        <v>1</v>
      </c>
      <c r="H84" s="142">
        <v>0.77777779999999996</v>
      </c>
      <c r="I84" s="142">
        <v>0.8913044</v>
      </c>
      <c r="J84" s="142">
        <v>0.68500000000000005</v>
      </c>
      <c r="K84" s="155"/>
      <c r="L84" s="141" t="s">
        <v>729</v>
      </c>
      <c r="M84" s="141" t="s">
        <v>730</v>
      </c>
      <c r="N84" s="141">
        <v>3900</v>
      </c>
      <c r="O84" s="141" t="s">
        <v>663</v>
      </c>
      <c r="P84" s="141">
        <v>4</v>
      </c>
      <c r="Q84" s="142">
        <v>0.58653840000000002</v>
      </c>
      <c r="R84" s="142">
        <v>0.29787229999999998</v>
      </c>
      <c r="S84" s="142">
        <v>0.8208955</v>
      </c>
      <c r="T84" s="142">
        <v>0.4473684</v>
      </c>
      <c r="U84" s="142">
        <v>0.43298969999999998</v>
      </c>
      <c r="V84" s="142">
        <v>0.50749999999999995</v>
      </c>
    </row>
    <row r="85" spans="1:22" ht="18.5" x14ac:dyDescent="0.35">
      <c r="A85" s="141" t="s">
        <v>729</v>
      </c>
      <c r="B85" s="141" t="s">
        <v>730</v>
      </c>
      <c r="C85" s="141">
        <v>3901</v>
      </c>
      <c r="D85" s="141" t="s">
        <v>663</v>
      </c>
      <c r="E85" s="141">
        <v>1</v>
      </c>
      <c r="F85" s="142">
        <v>0.54</v>
      </c>
      <c r="G85" s="141">
        <v>1</v>
      </c>
      <c r="H85" s="142">
        <v>0.77777779999999996</v>
      </c>
      <c r="I85" s="142">
        <v>0.76086960000000003</v>
      </c>
      <c r="J85" s="142">
        <v>0.65500000000000003</v>
      </c>
      <c r="K85" s="155"/>
      <c r="L85" s="141" t="s">
        <v>729</v>
      </c>
      <c r="M85" s="141" t="s">
        <v>730</v>
      </c>
      <c r="N85" s="141">
        <v>3901</v>
      </c>
      <c r="O85" s="141" t="s">
        <v>663</v>
      </c>
      <c r="P85" s="141">
        <v>4</v>
      </c>
      <c r="Q85" s="142">
        <v>0.33783780000000002</v>
      </c>
      <c r="R85" s="142">
        <v>0.38372089999999998</v>
      </c>
      <c r="S85" s="142">
        <v>0.86538459999999995</v>
      </c>
      <c r="T85" s="142">
        <v>0.39705879999999999</v>
      </c>
      <c r="U85" s="142">
        <v>0.32530120000000001</v>
      </c>
      <c r="V85" s="142">
        <v>0.42375000000000002</v>
      </c>
    </row>
    <row r="86" spans="1:22" ht="18.5" x14ac:dyDescent="0.35">
      <c r="A86" s="141" t="s">
        <v>729</v>
      </c>
      <c r="B86" s="141" t="s">
        <v>730</v>
      </c>
      <c r="C86" s="141">
        <v>3955</v>
      </c>
      <c r="D86" s="141" t="s">
        <v>663</v>
      </c>
      <c r="E86" s="141">
        <v>1</v>
      </c>
      <c r="F86" s="142">
        <v>0.37</v>
      </c>
      <c r="G86" s="141">
        <v>1</v>
      </c>
      <c r="H86" s="142">
        <v>0.77777779999999996</v>
      </c>
      <c r="I86" s="142">
        <v>0.8913044</v>
      </c>
      <c r="J86" s="142">
        <v>0.6</v>
      </c>
      <c r="K86" s="155"/>
      <c r="L86" s="141" t="s">
        <v>729</v>
      </c>
      <c r="M86" s="141" t="s">
        <v>730</v>
      </c>
      <c r="N86" s="141">
        <v>3955</v>
      </c>
      <c r="O86" s="141" t="s">
        <v>663</v>
      </c>
      <c r="P86" s="141">
        <v>4</v>
      </c>
      <c r="Q86" s="142">
        <v>0.3595506</v>
      </c>
      <c r="R86" s="142">
        <v>0.51041669999999995</v>
      </c>
      <c r="S86" s="142">
        <v>0.63333329999999999</v>
      </c>
      <c r="T86" s="142">
        <v>0.37931029999999999</v>
      </c>
      <c r="U86" s="142">
        <v>0.3608247</v>
      </c>
      <c r="V86" s="142">
        <v>0.44</v>
      </c>
    </row>
    <row r="87" spans="1:22" ht="18.5" x14ac:dyDescent="0.35">
      <c r="A87" s="141" t="s">
        <v>729</v>
      </c>
      <c r="B87" s="141" t="s">
        <v>730</v>
      </c>
      <c r="C87" s="141">
        <v>3963</v>
      </c>
      <c r="D87" s="141" t="s">
        <v>663</v>
      </c>
      <c r="E87" s="141">
        <v>1</v>
      </c>
      <c r="F87" s="142">
        <v>0.44</v>
      </c>
      <c r="G87" s="141">
        <v>1</v>
      </c>
      <c r="H87" s="142">
        <v>0.77777779999999996</v>
      </c>
      <c r="I87" s="142">
        <v>0.90217389999999997</v>
      </c>
      <c r="J87" s="142">
        <v>0.63749999999999996</v>
      </c>
      <c r="K87" s="155"/>
      <c r="L87" s="141" t="s">
        <v>729</v>
      </c>
      <c r="M87" s="141" t="s">
        <v>730</v>
      </c>
      <c r="N87" s="141">
        <v>3963</v>
      </c>
      <c r="O87" s="141" t="s">
        <v>663</v>
      </c>
      <c r="P87" s="141">
        <v>4</v>
      </c>
      <c r="Q87" s="142">
        <v>0.40449439999999998</v>
      </c>
      <c r="R87" s="142">
        <v>0.4895833</v>
      </c>
      <c r="S87" s="142">
        <v>0.46666669999999999</v>
      </c>
      <c r="T87" s="142">
        <v>0.46551730000000002</v>
      </c>
      <c r="U87" s="142">
        <v>0.52577320000000005</v>
      </c>
      <c r="V87" s="142">
        <v>0.47249999999999998</v>
      </c>
    </row>
    <row r="88" spans="1:22" ht="18.5" x14ac:dyDescent="0.35">
      <c r="A88" s="141" t="s">
        <v>729</v>
      </c>
      <c r="B88" s="141" t="s">
        <v>730</v>
      </c>
      <c r="C88" s="141">
        <v>4180</v>
      </c>
      <c r="D88" s="141" t="s">
        <v>842</v>
      </c>
      <c r="E88" s="141">
        <v>1</v>
      </c>
      <c r="F88" s="142">
        <v>0.35</v>
      </c>
      <c r="G88" s="141">
        <v>1</v>
      </c>
      <c r="H88" s="142">
        <v>0.88888889999999998</v>
      </c>
      <c r="I88" s="142">
        <v>0.95652170000000003</v>
      </c>
      <c r="J88" s="142">
        <v>0.63500000000000001</v>
      </c>
      <c r="K88" s="155"/>
      <c r="L88" s="141" t="s">
        <v>729</v>
      </c>
      <c r="M88" s="141" t="s">
        <v>730</v>
      </c>
      <c r="N88" s="141">
        <v>4180</v>
      </c>
      <c r="O88" s="141" t="s">
        <v>842</v>
      </c>
      <c r="P88" s="141">
        <v>4</v>
      </c>
      <c r="Q88" s="142">
        <v>0.57777780000000001</v>
      </c>
      <c r="R88" s="142">
        <v>0.37735849999999999</v>
      </c>
      <c r="S88" s="142">
        <v>0.6</v>
      </c>
      <c r="T88" s="142">
        <v>0</v>
      </c>
      <c r="U88" s="142">
        <v>0.3783784</v>
      </c>
      <c r="V88" s="142">
        <v>0.41749999999999998</v>
      </c>
    </row>
    <row r="89" spans="1:22" ht="18.5" x14ac:dyDescent="0.35">
      <c r="A89" s="141" t="s">
        <v>731</v>
      </c>
      <c r="B89" s="141" t="s">
        <v>722</v>
      </c>
      <c r="C89" s="141">
        <v>601</v>
      </c>
      <c r="D89" s="141" t="s">
        <v>841</v>
      </c>
      <c r="E89" s="141">
        <v>1</v>
      </c>
      <c r="F89" s="142">
        <v>0.62</v>
      </c>
      <c r="G89" s="141">
        <v>1</v>
      </c>
      <c r="H89" s="142">
        <v>0.77777779999999996</v>
      </c>
      <c r="I89" s="142">
        <v>0.72826089999999999</v>
      </c>
      <c r="J89" s="142">
        <v>0.6875</v>
      </c>
      <c r="K89" s="155"/>
      <c r="L89" s="141" t="s">
        <v>731</v>
      </c>
      <c r="M89" s="141" t="s">
        <v>722</v>
      </c>
      <c r="N89" s="141">
        <v>601</v>
      </c>
      <c r="O89" s="141" t="s">
        <v>841</v>
      </c>
      <c r="P89" s="141">
        <v>4</v>
      </c>
      <c r="Q89" s="142">
        <v>0.70434779999999997</v>
      </c>
      <c r="R89" s="142">
        <v>0.59550559999999997</v>
      </c>
      <c r="S89" s="142">
        <v>0.57692310000000002</v>
      </c>
      <c r="T89" s="142">
        <v>0.3541667</v>
      </c>
      <c r="U89" s="142">
        <v>0.3020833</v>
      </c>
      <c r="V89" s="142">
        <v>0.52500000000000002</v>
      </c>
    </row>
    <row r="90" spans="1:22" ht="18.5" x14ac:dyDescent="0.35">
      <c r="A90" s="141" t="s">
        <v>731</v>
      </c>
      <c r="B90" s="141" t="s">
        <v>722</v>
      </c>
      <c r="C90" s="141">
        <v>604</v>
      </c>
      <c r="D90" s="141" t="s">
        <v>841</v>
      </c>
      <c r="E90" s="141">
        <v>1</v>
      </c>
      <c r="F90" s="142">
        <v>0.11</v>
      </c>
      <c r="G90" s="141">
        <v>1</v>
      </c>
      <c r="H90" s="142">
        <v>0.77777779999999996</v>
      </c>
      <c r="I90" s="142">
        <v>0.6086956</v>
      </c>
      <c r="J90" s="142">
        <v>0.40500000000000003</v>
      </c>
      <c r="K90" s="155"/>
      <c r="L90" s="141" t="s">
        <v>731</v>
      </c>
      <c r="M90" s="141" t="s">
        <v>722</v>
      </c>
      <c r="N90" s="141">
        <v>604</v>
      </c>
      <c r="O90" s="141" t="s">
        <v>841</v>
      </c>
      <c r="P90" s="141">
        <v>4</v>
      </c>
      <c r="Q90" s="142">
        <v>0.52941179999999999</v>
      </c>
      <c r="R90" s="142">
        <v>0.44705879999999998</v>
      </c>
      <c r="S90" s="142">
        <v>0.625</v>
      </c>
      <c r="T90" s="142">
        <v>0.17499999999999999</v>
      </c>
      <c r="U90" s="142">
        <v>0.23655909999999999</v>
      </c>
      <c r="V90" s="142">
        <v>0.42749999999999999</v>
      </c>
    </row>
    <row r="91" spans="1:22" ht="18.5" x14ac:dyDescent="0.35">
      <c r="A91" s="141" t="s">
        <v>731</v>
      </c>
      <c r="B91" s="141" t="s">
        <v>722</v>
      </c>
      <c r="C91" s="141">
        <v>608</v>
      </c>
      <c r="D91" s="141" t="s">
        <v>843</v>
      </c>
      <c r="E91" s="141">
        <v>1</v>
      </c>
      <c r="F91" s="142">
        <v>0.21</v>
      </c>
      <c r="G91" s="141">
        <v>1</v>
      </c>
      <c r="H91" s="142">
        <v>1</v>
      </c>
      <c r="I91" s="142">
        <v>0.66304350000000001</v>
      </c>
      <c r="J91" s="142">
        <v>0.52749999999999997</v>
      </c>
      <c r="K91" s="155"/>
      <c r="L91" s="141" t="s">
        <v>731</v>
      </c>
      <c r="M91" s="141" t="s">
        <v>722</v>
      </c>
      <c r="N91" s="141">
        <v>608</v>
      </c>
      <c r="O91" s="141" t="s">
        <v>843</v>
      </c>
      <c r="P91" s="141">
        <v>4</v>
      </c>
      <c r="Q91" s="142">
        <v>0.63157890000000005</v>
      </c>
      <c r="R91" s="142">
        <v>0.63095239999999997</v>
      </c>
      <c r="S91" s="142">
        <v>0.76923079999999999</v>
      </c>
      <c r="T91" s="142">
        <v>0.4583333</v>
      </c>
      <c r="U91" s="142">
        <v>0.43373499999999998</v>
      </c>
      <c r="V91" s="142">
        <v>0.58750000000000002</v>
      </c>
    </row>
    <row r="92" spans="1:22" ht="18.5" x14ac:dyDescent="0.35">
      <c r="A92" s="141" t="s">
        <v>731</v>
      </c>
      <c r="B92" s="141" t="s">
        <v>722</v>
      </c>
      <c r="C92" s="141">
        <v>1721</v>
      </c>
      <c r="D92" s="141" t="s">
        <v>842</v>
      </c>
      <c r="E92" s="141">
        <v>1</v>
      </c>
      <c r="F92" s="142">
        <v>0.12</v>
      </c>
      <c r="G92" s="141">
        <v>0</v>
      </c>
      <c r="H92" s="142"/>
      <c r="I92" s="142"/>
      <c r="J92" s="142">
        <v>0.12</v>
      </c>
      <c r="K92" s="155"/>
      <c r="L92" s="141" t="s">
        <v>731</v>
      </c>
      <c r="M92" s="141" t="s">
        <v>722</v>
      </c>
      <c r="N92" s="141">
        <v>1721</v>
      </c>
      <c r="O92" s="141" t="s">
        <v>842</v>
      </c>
      <c r="P92" s="141">
        <v>2</v>
      </c>
      <c r="Q92" s="142">
        <v>0.3170732</v>
      </c>
      <c r="R92" s="142">
        <v>4.3478299999999998E-2</v>
      </c>
      <c r="S92" s="142">
        <v>0.46875</v>
      </c>
      <c r="T92" s="142">
        <v>5.2631600000000001E-2</v>
      </c>
      <c r="U92" s="142">
        <v>0</v>
      </c>
      <c r="V92" s="142">
        <v>0.16</v>
      </c>
    </row>
    <row r="93" spans="1:22" ht="18.5" x14ac:dyDescent="0.35">
      <c r="A93" s="141" t="s">
        <v>731</v>
      </c>
      <c r="B93" s="141" t="s">
        <v>722</v>
      </c>
      <c r="C93" s="141">
        <v>1918</v>
      </c>
      <c r="D93" s="141" t="s">
        <v>841</v>
      </c>
      <c r="E93" s="141">
        <v>1</v>
      </c>
      <c r="F93" s="142">
        <v>0.22</v>
      </c>
      <c r="G93" s="141">
        <v>1</v>
      </c>
      <c r="H93" s="142">
        <v>1</v>
      </c>
      <c r="I93" s="142">
        <v>0.57608689999999996</v>
      </c>
      <c r="J93" s="142">
        <v>0.51249999999999996</v>
      </c>
      <c r="K93" s="155"/>
      <c r="L93" s="141" t="s">
        <v>731</v>
      </c>
      <c r="M93" s="141" t="s">
        <v>722</v>
      </c>
      <c r="N93" s="141">
        <v>1918</v>
      </c>
      <c r="O93" s="141" t="s">
        <v>841</v>
      </c>
      <c r="P93" s="141">
        <v>4</v>
      </c>
      <c r="Q93" s="142">
        <v>0.51260510000000004</v>
      </c>
      <c r="R93" s="142">
        <v>0.4270833</v>
      </c>
      <c r="S93" s="142">
        <v>0.82499999999999996</v>
      </c>
      <c r="T93" s="142">
        <v>0.3333333</v>
      </c>
      <c r="U93" s="142">
        <v>0.31958760000000003</v>
      </c>
      <c r="V93" s="142">
        <v>0.45500000000000002</v>
      </c>
    </row>
    <row r="94" spans="1:22" ht="18.5" x14ac:dyDescent="0.35">
      <c r="A94" s="141" t="s">
        <v>731</v>
      </c>
      <c r="B94" s="141" t="s">
        <v>722</v>
      </c>
      <c r="C94" s="141">
        <v>2059</v>
      </c>
      <c r="D94" s="141" t="s">
        <v>842</v>
      </c>
      <c r="E94" s="141">
        <v>2</v>
      </c>
      <c r="F94" s="142">
        <v>0.42499999999999999</v>
      </c>
      <c r="G94" s="141">
        <v>0</v>
      </c>
      <c r="H94" s="142"/>
      <c r="I94" s="142"/>
      <c r="J94" s="142">
        <v>0.42499999999999999</v>
      </c>
      <c r="K94" s="155"/>
      <c r="L94" s="141" t="s">
        <v>731</v>
      </c>
      <c r="M94" s="141" t="s">
        <v>722</v>
      </c>
      <c r="N94" s="141">
        <v>2059</v>
      </c>
      <c r="O94" s="141" t="s">
        <v>842</v>
      </c>
      <c r="P94" s="141">
        <v>4</v>
      </c>
      <c r="Q94" s="142">
        <v>0.58426959999999994</v>
      </c>
      <c r="R94" s="142">
        <v>0.62616830000000001</v>
      </c>
      <c r="S94" s="142">
        <v>0.84126990000000001</v>
      </c>
      <c r="T94" s="142">
        <v>0</v>
      </c>
      <c r="U94" s="142">
        <v>0.38016529999999998</v>
      </c>
      <c r="V94" s="142">
        <v>0.54500000000000004</v>
      </c>
    </row>
    <row r="95" spans="1:22" ht="18.5" x14ac:dyDescent="0.35">
      <c r="A95" s="141" t="s">
        <v>731</v>
      </c>
      <c r="B95" s="141" t="s">
        <v>722</v>
      </c>
      <c r="C95" s="141">
        <v>2065</v>
      </c>
      <c r="D95" s="141" t="s">
        <v>842</v>
      </c>
      <c r="E95" s="141">
        <v>1</v>
      </c>
      <c r="F95" s="142">
        <v>0.28000000000000003</v>
      </c>
      <c r="G95" s="141">
        <v>1</v>
      </c>
      <c r="H95" s="142">
        <v>0.88888889999999998</v>
      </c>
      <c r="I95" s="142">
        <v>0.55434779999999995</v>
      </c>
      <c r="J95" s="142">
        <v>0.50749999999999995</v>
      </c>
      <c r="K95" s="155"/>
      <c r="L95" s="141" t="s">
        <v>731</v>
      </c>
      <c r="M95" s="141" t="s">
        <v>722</v>
      </c>
      <c r="N95" s="141">
        <v>2065</v>
      </c>
      <c r="O95" s="141" t="s">
        <v>842</v>
      </c>
      <c r="P95" s="141">
        <v>4</v>
      </c>
      <c r="Q95" s="142">
        <v>0.55319149999999995</v>
      </c>
      <c r="R95" s="142">
        <v>0.21100920000000001</v>
      </c>
      <c r="S95" s="142">
        <v>0.36363640000000003</v>
      </c>
      <c r="T95" s="142">
        <v>0.22222220000000001</v>
      </c>
      <c r="U95" s="142">
        <v>0.30645159999999999</v>
      </c>
      <c r="V95" s="142">
        <v>0.34250000000000003</v>
      </c>
    </row>
    <row r="96" spans="1:22" ht="18.5" x14ac:dyDescent="0.35">
      <c r="A96" s="141" t="s">
        <v>731</v>
      </c>
      <c r="B96" s="141" t="s">
        <v>722</v>
      </c>
      <c r="C96" s="141">
        <v>2888</v>
      </c>
      <c r="D96" s="141" t="s">
        <v>663</v>
      </c>
      <c r="E96" s="141">
        <v>1</v>
      </c>
      <c r="F96" s="142">
        <v>0.56000000000000005</v>
      </c>
      <c r="G96" s="141">
        <v>1</v>
      </c>
      <c r="H96" s="142">
        <v>0.83333330000000005</v>
      </c>
      <c r="I96" s="142">
        <v>0.52173910000000001</v>
      </c>
      <c r="J96" s="142">
        <v>0.625</v>
      </c>
      <c r="K96" s="155"/>
      <c r="L96" s="141" t="s">
        <v>731</v>
      </c>
      <c r="M96" s="141" t="s">
        <v>722</v>
      </c>
      <c r="N96" s="141">
        <v>2888</v>
      </c>
      <c r="O96" s="141" t="s">
        <v>663</v>
      </c>
      <c r="P96" s="141">
        <v>4</v>
      </c>
      <c r="Q96" s="142">
        <v>0.56390980000000002</v>
      </c>
      <c r="R96" s="142">
        <v>0.52380959999999999</v>
      </c>
      <c r="S96" s="142">
        <v>0.61538459999999995</v>
      </c>
      <c r="T96" s="142">
        <v>0.3333333</v>
      </c>
      <c r="U96" s="142">
        <v>0.20481930000000001</v>
      </c>
      <c r="V96" s="142">
        <v>0.46</v>
      </c>
    </row>
    <row r="97" spans="1:22" ht="18.5" x14ac:dyDescent="0.35">
      <c r="A97" s="141" t="s">
        <v>731</v>
      </c>
      <c r="B97" s="141" t="s">
        <v>722</v>
      </c>
      <c r="C97" s="141">
        <v>2993</v>
      </c>
      <c r="D97" s="141" t="s">
        <v>842</v>
      </c>
      <c r="E97" s="141">
        <v>1</v>
      </c>
      <c r="F97" s="142">
        <v>0.52</v>
      </c>
      <c r="G97" s="141">
        <v>1</v>
      </c>
      <c r="H97" s="142">
        <v>0.83333330000000005</v>
      </c>
      <c r="I97" s="142">
        <v>0.57608689999999996</v>
      </c>
      <c r="J97" s="142">
        <v>0.61750000000000005</v>
      </c>
      <c r="K97" s="155"/>
      <c r="L97" s="141" t="s">
        <v>731</v>
      </c>
      <c r="M97" s="141" t="s">
        <v>722</v>
      </c>
      <c r="N97" s="141">
        <v>2993</v>
      </c>
      <c r="O97" s="141" t="s">
        <v>842</v>
      </c>
      <c r="P97" s="141">
        <v>4</v>
      </c>
      <c r="Q97" s="142">
        <v>0.27272730000000001</v>
      </c>
      <c r="R97" s="142">
        <v>0.26436779999999999</v>
      </c>
      <c r="S97" s="142">
        <v>0.4166667</v>
      </c>
      <c r="T97" s="142">
        <v>0.2</v>
      </c>
      <c r="U97" s="142">
        <v>0.35483870000000001</v>
      </c>
      <c r="V97" s="142">
        <v>0.30249999999999999</v>
      </c>
    </row>
    <row r="98" spans="1:22" ht="18.5" x14ac:dyDescent="0.35">
      <c r="A98" s="141" t="s">
        <v>731</v>
      </c>
      <c r="B98" s="141" t="s">
        <v>722</v>
      </c>
      <c r="C98" s="141">
        <v>4432</v>
      </c>
      <c r="D98" s="141" t="s">
        <v>663</v>
      </c>
      <c r="E98" s="141">
        <v>1</v>
      </c>
      <c r="F98" s="142">
        <v>0.52</v>
      </c>
      <c r="G98" s="141">
        <v>1</v>
      </c>
      <c r="H98" s="142">
        <v>1</v>
      </c>
      <c r="I98" s="142">
        <v>0.58695649999999999</v>
      </c>
      <c r="J98" s="142">
        <v>0.66500000000000004</v>
      </c>
      <c r="K98" s="155"/>
      <c r="L98" s="141" t="s">
        <v>731</v>
      </c>
      <c r="M98" s="141" t="s">
        <v>722</v>
      </c>
      <c r="N98" s="141">
        <v>4432</v>
      </c>
      <c r="O98" s="141" t="s">
        <v>663</v>
      </c>
      <c r="P98" s="141">
        <v>4</v>
      </c>
      <c r="Q98" s="142">
        <v>0.40860210000000002</v>
      </c>
      <c r="R98" s="142">
        <v>0.26262629999999998</v>
      </c>
      <c r="S98" s="142">
        <v>0.21666669999999999</v>
      </c>
      <c r="T98" s="142">
        <v>0.1052632</v>
      </c>
      <c r="U98" s="142">
        <v>0.28181820000000002</v>
      </c>
      <c r="V98" s="142">
        <v>0.28000000000000003</v>
      </c>
    </row>
    <row r="99" spans="1:22" ht="18.5" x14ac:dyDescent="0.35">
      <c r="A99" s="141" t="s">
        <v>731</v>
      </c>
      <c r="B99" s="141" t="s">
        <v>722</v>
      </c>
      <c r="C99" s="141">
        <v>4436</v>
      </c>
      <c r="D99" s="141" t="s">
        <v>663</v>
      </c>
      <c r="E99" s="141">
        <v>1</v>
      </c>
      <c r="F99" s="142">
        <v>0.38</v>
      </c>
      <c r="G99" s="141">
        <v>1</v>
      </c>
      <c r="H99" s="142">
        <v>1</v>
      </c>
      <c r="I99" s="142">
        <v>0.57608689999999996</v>
      </c>
      <c r="J99" s="142">
        <v>0.59250000000000003</v>
      </c>
      <c r="K99" s="155"/>
      <c r="L99" s="141" t="s">
        <v>731</v>
      </c>
      <c r="M99" s="141" t="s">
        <v>722</v>
      </c>
      <c r="N99" s="141">
        <v>4436</v>
      </c>
      <c r="O99" s="141" t="s">
        <v>663</v>
      </c>
      <c r="P99" s="141">
        <v>4</v>
      </c>
      <c r="Q99" s="142">
        <v>0.29565219999999998</v>
      </c>
      <c r="R99" s="142">
        <v>0.26966289999999998</v>
      </c>
      <c r="S99" s="142">
        <v>0.76923079999999999</v>
      </c>
      <c r="T99" s="142">
        <v>4.1666700000000001E-2</v>
      </c>
      <c r="U99" s="142">
        <v>0.1041667</v>
      </c>
      <c r="V99" s="142">
        <v>0.27500000000000002</v>
      </c>
    </row>
    <row r="100" spans="1:22" ht="18.5" x14ac:dyDescent="0.35">
      <c r="A100" s="141" t="s">
        <v>731</v>
      </c>
      <c r="B100" s="141" t="s">
        <v>722</v>
      </c>
      <c r="C100" s="141">
        <v>4440</v>
      </c>
      <c r="D100" s="141" t="s">
        <v>663</v>
      </c>
      <c r="E100" s="141">
        <v>2</v>
      </c>
      <c r="F100" s="142">
        <v>0.39500000000000002</v>
      </c>
      <c r="G100" s="141">
        <v>0</v>
      </c>
      <c r="H100" s="142"/>
      <c r="I100" s="142"/>
      <c r="J100" s="142">
        <v>0.39500000000000002</v>
      </c>
      <c r="K100" s="155"/>
      <c r="L100" s="141" t="s">
        <v>731</v>
      </c>
      <c r="M100" s="141" t="s">
        <v>722</v>
      </c>
      <c r="N100" s="141">
        <v>4440</v>
      </c>
      <c r="O100" s="141" t="s">
        <v>663</v>
      </c>
      <c r="P100" s="141">
        <v>4</v>
      </c>
      <c r="Q100" s="142">
        <v>0.63749999999999996</v>
      </c>
      <c r="R100" s="142">
        <v>0.44318180000000001</v>
      </c>
      <c r="S100" s="142">
        <v>0.8125</v>
      </c>
      <c r="T100" s="142">
        <v>0.4</v>
      </c>
      <c r="U100" s="142">
        <v>0.34782610000000003</v>
      </c>
      <c r="V100" s="142">
        <v>0.52749999999999997</v>
      </c>
    </row>
    <row r="101" spans="1:22" ht="18.5" x14ac:dyDescent="0.35">
      <c r="A101" s="141" t="s">
        <v>732</v>
      </c>
      <c r="B101" s="141" t="s">
        <v>730</v>
      </c>
      <c r="C101" s="141">
        <v>98</v>
      </c>
      <c r="D101" s="141" t="s">
        <v>842</v>
      </c>
      <c r="E101" s="141">
        <v>1</v>
      </c>
      <c r="F101" s="142">
        <v>0.55000000000000004</v>
      </c>
      <c r="G101" s="141">
        <v>1</v>
      </c>
      <c r="H101" s="142">
        <v>0.5</v>
      </c>
      <c r="I101" s="142">
        <v>0.52173910000000001</v>
      </c>
      <c r="J101" s="142">
        <v>0.53</v>
      </c>
      <c r="K101" s="155"/>
      <c r="L101" s="141" t="s">
        <v>732</v>
      </c>
      <c r="M101" s="141" t="s">
        <v>730</v>
      </c>
      <c r="N101" s="141">
        <v>98</v>
      </c>
      <c r="O101" s="141" t="s">
        <v>842</v>
      </c>
      <c r="P101" s="141">
        <v>4</v>
      </c>
      <c r="Q101" s="142">
        <v>0.344086</v>
      </c>
      <c r="R101" s="142">
        <v>0.32</v>
      </c>
      <c r="S101" s="142">
        <v>0.21666669999999999</v>
      </c>
      <c r="T101" s="142">
        <v>5.2631600000000001E-2</v>
      </c>
      <c r="U101" s="142">
        <v>0.2201835</v>
      </c>
      <c r="V101" s="142">
        <v>0.25750000000000001</v>
      </c>
    </row>
    <row r="102" spans="1:22" ht="18.5" x14ac:dyDescent="0.35">
      <c r="A102" s="141" t="s">
        <v>732</v>
      </c>
      <c r="B102" s="141" t="s">
        <v>730</v>
      </c>
      <c r="C102" s="141">
        <v>250</v>
      </c>
      <c r="D102" s="141" t="s">
        <v>842</v>
      </c>
      <c r="E102" s="141">
        <v>1</v>
      </c>
      <c r="F102" s="142">
        <v>0.47</v>
      </c>
      <c r="G102" s="141">
        <v>1</v>
      </c>
      <c r="H102" s="142">
        <v>0.94444439999999996</v>
      </c>
      <c r="I102" s="142">
        <v>0.52173910000000001</v>
      </c>
      <c r="J102" s="142">
        <v>0.61</v>
      </c>
      <c r="K102" s="155"/>
      <c r="L102" s="141" t="s">
        <v>732</v>
      </c>
      <c r="M102" s="141" t="s">
        <v>730</v>
      </c>
      <c r="N102" s="141">
        <v>250</v>
      </c>
      <c r="O102" s="141" t="s">
        <v>842</v>
      </c>
      <c r="P102" s="141">
        <v>4</v>
      </c>
      <c r="Q102" s="142">
        <v>0.30827070000000001</v>
      </c>
      <c r="R102" s="142">
        <v>0.2631579</v>
      </c>
      <c r="S102" s="142">
        <v>0.36363640000000003</v>
      </c>
      <c r="T102" s="142">
        <v>0</v>
      </c>
      <c r="U102" s="142">
        <v>9.3457899999999997E-2</v>
      </c>
      <c r="V102" s="142">
        <v>0.24</v>
      </c>
    </row>
    <row r="103" spans="1:22" ht="18.5" x14ac:dyDescent="0.35">
      <c r="A103" s="141" t="s">
        <v>732</v>
      </c>
      <c r="B103" s="141" t="s">
        <v>730</v>
      </c>
      <c r="C103" s="141">
        <v>267</v>
      </c>
      <c r="D103" s="141" t="s">
        <v>841</v>
      </c>
      <c r="E103" s="141">
        <v>1</v>
      </c>
      <c r="F103" s="142">
        <v>0.62</v>
      </c>
      <c r="G103" s="141">
        <v>1</v>
      </c>
      <c r="H103" s="142">
        <v>0.83333330000000005</v>
      </c>
      <c r="I103" s="142">
        <v>0.6086956</v>
      </c>
      <c r="J103" s="142">
        <v>0.67500000000000004</v>
      </c>
      <c r="K103" s="155"/>
      <c r="L103" s="141" t="s">
        <v>732</v>
      </c>
      <c r="M103" s="141" t="s">
        <v>730</v>
      </c>
      <c r="N103" s="141">
        <v>267</v>
      </c>
      <c r="O103" s="141" t="s">
        <v>841</v>
      </c>
      <c r="P103" s="141">
        <v>4</v>
      </c>
      <c r="Q103" s="142">
        <v>0.29213479999999997</v>
      </c>
      <c r="R103" s="142">
        <v>0.1354167</v>
      </c>
      <c r="S103" s="142">
        <v>0.46666669999999999</v>
      </c>
      <c r="T103" s="142">
        <v>0</v>
      </c>
      <c r="U103" s="142">
        <v>0.2474227</v>
      </c>
      <c r="V103" s="142">
        <v>0.22750000000000001</v>
      </c>
    </row>
    <row r="104" spans="1:22" ht="18.5" x14ac:dyDescent="0.35">
      <c r="A104" s="141" t="s">
        <v>732</v>
      </c>
      <c r="B104" s="141" t="s">
        <v>730</v>
      </c>
      <c r="C104" s="141">
        <v>270</v>
      </c>
      <c r="D104" s="141" t="s">
        <v>843</v>
      </c>
      <c r="E104" s="141">
        <v>1</v>
      </c>
      <c r="F104" s="142">
        <v>0.56999999999999995</v>
      </c>
      <c r="G104" s="141">
        <v>1</v>
      </c>
      <c r="H104" s="142">
        <v>0.88888889999999998</v>
      </c>
      <c r="I104" s="142">
        <v>0.53260870000000005</v>
      </c>
      <c r="J104" s="142">
        <v>0.64749999999999996</v>
      </c>
      <c r="K104" s="155"/>
      <c r="L104" s="141" t="s">
        <v>732</v>
      </c>
      <c r="M104" s="141" t="s">
        <v>730</v>
      </c>
      <c r="N104" s="141">
        <v>270</v>
      </c>
      <c r="O104" s="141" t="s">
        <v>843</v>
      </c>
      <c r="P104" s="141">
        <v>4</v>
      </c>
      <c r="Q104" s="142">
        <v>0.28181820000000002</v>
      </c>
      <c r="R104" s="142">
        <v>0.1041667</v>
      </c>
      <c r="S104" s="142">
        <v>0.44117650000000003</v>
      </c>
      <c r="T104" s="142">
        <v>0.3</v>
      </c>
      <c r="U104" s="142">
        <v>0.18867919999999999</v>
      </c>
      <c r="V104" s="142">
        <v>0.24249999999999999</v>
      </c>
    </row>
    <row r="105" spans="1:22" ht="18.5" x14ac:dyDescent="0.35">
      <c r="A105" s="141" t="s">
        <v>732</v>
      </c>
      <c r="B105" s="141" t="s">
        <v>730</v>
      </c>
      <c r="C105" s="141">
        <v>1099</v>
      </c>
      <c r="D105" s="141" t="s">
        <v>842</v>
      </c>
      <c r="E105" s="141">
        <v>1</v>
      </c>
      <c r="F105" s="142">
        <v>0.46</v>
      </c>
      <c r="G105" s="141">
        <v>1</v>
      </c>
      <c r="H105" s="142">
        <v>0.94444439999999996</v>
      </c>
      <c r="I105" s="142">
        <v>0.54347829999999997</v>
      </c>
      <c r="J105" s="142">
        <v>0.61</v>
      </c>
      <c r="K105" s="155"/>
      <c r="L105" s="141" t="s">
        <v>732</v>
      </c>
      <c r="M105" s="141" t="s">
        <v>730</v>
      </c>
      <c r="N105" s="141">
        <v>1099</v>
      </c>
      <c r="O105" s="141" t="s">
        <v>842</v>
      </c>
      <c r="P105" s="141">
        <v>4</v>
      </c>
      <c r="Q105" s="142">
        <v>0.32758619999999999</v>
      </c>
      <c r="R105" s="142">
        <v>0.1767677</v>
      </c>
      <c r="S105" s="142">
        <v>0.21276600000000001</v>
      </c>
      <c r="T105" s="142">
        <v>0</v>
      </c>
      <c r="U105" s="142">
        <v>0.1363636</v>
      </c>
      <c r="V105" s="142">
        <v>0.20125000000000001</v>
      </c>
    </row>
    <row r="106" spans="1:22" ht="18.5" x14ac:dyDescent="0.35">
      <c r="A106" s="141" t="s">
        <v>732</v>
      </c>
      <c r="B106" s="141" t="s">
        <v>730</v>
      </c>
      <c r="C106" s="141">
        <v>1229</v>
      </c>
      <c r="D106" s="141" t="s">
        <v>841</v>
      </c>
      <c r="E106" s="141">
        <v>1</v>
      </c>
      <c r="F106" s="142">
        <v>0.55000000000000004</v>
      </c>
      <c r="G106" s="141">
        <v>1</v>
      </c>
      <c r="H106" s="142">
        <v>0.94444439999999996</v>
      </c>
      <c r="I106" s="142">
        <v>0.58695649999999999</v>
      </c>
      <c r="J106" s="142">
        <v>0.66500000000000004</v>
      </c>
      <c r="K106" s="155"/>
      <c r="L106" s="141" t="s">
        <v>732</v>
      </c>
      <c r="M106" s="141" t="s">
        <v>730</v>
      </c>
      <c r="N106" s="141">
        <v>1229</v>
      </c>
      <c r="O106" s="141" t="s">
        <v>841</v>
      </c>
      <c r="P106" s="141">
        <v>4</v>
      </c>
      <c r="Q106" s="142">
        <v>0.36516850000000001</v>
      </c>
      <c r="R106" s="142">
        <v>0.1979167</v>
      </c>
      <c r="S106" s="142">
        <v>0.5</v>
      </c>
      <c r="T106" s="142">
        <v>5.1724100000000002E-2</v>
      </c>
      <c r="U106" s="142">
        <v>5.1546399999999999E-2</v>
      </c>
      <c r="V106" s="142">
        <v>0.22375</v>
      </c>
    </row>
    <row r="107" spans="1:22" ht="18.5" x14ac:dyDescent="0.35">
      <c r="A107" s="141" t="s">
        <v>732</v>
      </c>
      <c r="B107" s="141" t="s">
        <v>730</v>
      </c>
      <c r="C107" s="141">
        <v>1615</v>
      </c>
      <c r="D107" s="141" t="s">
        <v>841</v>
      </c>
      <c r="E107" s="141">
        <v>1</v>
      </c>
      <c r="F107" s="142">
        <v>0.59</v>
      </c>
      <c r="G107" s="141">
        <v>1</v>
      </c>
      <c r="H107" s="142">
        <v>0.77777779999999996</v>
      </c>
      <c r="I107" s="142">
        <v>0.66304350000000001</v>
      </c>
      <c r="J107" s="142">
        <v>0.65749999999999997</v>
      </c>
      <c r="K107" s="155"/>
      <c r="L107" s="141" t="s">
        <v>732</v>
      </c>
      <c r="M107" s="141" t="s">
        <v>730</v>
      </c>
      <c r="N107" s="141">
        <v>1615</v>
      </c>
      <c r="O107" s="141" t="s">
        <v>841</v>
      </c>
      <c r="P107" s="141">
        <v>4</v>
      </c>
      <c r="Q107" s="142">
        <v>0.26785710000000001</v>
      </c>
      <c r="R107" s="142">
        <v>0.2916667</v>
      </c>
      <c r="S107" s="142">
        <v>0.85106380000000004</v>
      </c>
      <c r="T107" s="142">
        <v>0.375</v>
      </c>
      <c r="U107" s="142">
        <v>0.28865980000000002</v>
      </c>
      <c r="V107" s="142">
        <v>0.36</v>
      </c>
    </row>
    <row r="108" spans="1:22" ht="18.5" x14ac:dyDescent="0.35">
      <c r="A108" s="141" t="s">
        <v>732</v>
      </c>
      <c r="B108" s="141" t="s">
        <v>730</v>
      </c>
      <c r="C108" s="141">
        <v>1625</v>
      </c>
      <c r="D108" s="141" t="s">
        <v>841</v>
      </c>
      <c r="E108" s="141">
        <v>1</v>
      </c>
      <c r="F108" s="142">
        <v>0.46</v>
      </c>
      <c r="G108" s="141">
        <v>1</v>
      </c>
      <c r="H108" s="142">
        <v>1</v>
      </c>
      <c r="I108" s="142">
        <v>0.56521739999999998</v>
      </c>
      <c r="J108" s="142">
        <v>0.63</v>
      </c>
      <c r="K108" s="155"/>
      <c r="L108" s="141" t="s">
        <v>732</v>
      </c>
      <c r="M108" s="141" t="s">
        <v>730</v>
      </c>
      <c r="N108" s="141">
        <v>1625</v>
      </c>
      <c r="O108" s="141" t="s">
        <v>841</v>
      </c>
      <c r="P108" s="141">
        <v>4</v>
      </c>
      <c r="Q108" s="142">
        <v>0.2406015</v>
      </c>
      <c r="R108" s="142">
        <v>0.1071429</v>
      </c>
      <c r="S108" s="142">
        <v>0.57692310000000002</v>
      </c>
      <c r="T108" s="142">
        <v>0.125</v>
      </c>
      <c r="U108" s="142">
        <v>0.30120479999999999</v>
      </c>
      <c r="V108" s="142">
        <v>0.255</v>
      </c>
    </row>
    <row r="109" spans="1:22" ht="18.5" x14ac:dyDescent="0.35">
      <c r="A109" s="141" t="s">
        <v>732</v>
      </c>
      <c r="B109" s="141" t="s">
        <v>730</v>
      </c>
      <c r="C109" s="141">
        <v>2051</v>
      </c>
      <c r="D109" s="141" t="s">
        <v>842</v>
      </c>
      <c r="E109" s="141">
        <v>1</v>
      </c>
      <c r="F109" s="142">
        <v>0.56000000000000005</v>
      </c>
      <c r="G109" s="141">
        <v>1</v>
      </c>
      <c r="H109" s="142">
        <v>0.83333330000000005</v>
      </c>
      <c r="I109" s="142">
        <v>0.54347829999999997</v>
      </c>
      <c r="J109" s="142">
        <v>0.63</v>
      </c>
      <c r="K109" s="155"/>
      <c r="L109" s="141" t="s">
        <v>732</v>
      </c>
      <c r="M109" s="141" t="s">
        <v>730</v>
      </c>
      <c r="N109" s="141">
        <v>2051</v>
      </c>
      <c r="O109" s="141" t="s">
        <v>842</v>
      </c>
      <c r="P109" s="141">
        <v>4</v>
      </c>
      <c r="Q109" s="142">
        <v>0.4166667</v>
      </c>
      <c r="R109" s="142">
        <v>0.2117647</v>
      </c>
      <c r="S109" s="142">
        <v>0.5</v>
      </c>
      <c r="T109" s="142">
        <v>0.32500000000000001</v>
      </c>
      <c r="U109" s="142">
        <v>0.2473118</v>
      </c>
      <c r="V109" s="142">
        <v>0.34125</v>
      </c>
    </row>
    <row r="110" spans="1:22" ht="18.5" x14ac:dyDescent="0.35">
      <c r="A110" s="141" t="s">
        <v>732</v>
      </c>
      <c r="B110" s="141" t="s">
        <v>730</v>
      </c>
      <c r="C110" s="141">
        <v>2449</v>
      </c>
      <c r="D110" s="141" t="s">
        <v>842</v>
      </c>
      <c r="E110" s="141">
        <v>1</v>
      </c>
      <c r="F110" s="142">
        <v>0.49</v>
      </c>
      <c r="G110" s="141">
        <v>1</v>
      </c>
      <c r="H110" s="142">
        <v>1</v>
      </c>
      <c r="I110" s="142">
        <v>0.5</v>
      </c>
      <c r="J110" s="142">
        <v>0.63</v>
      </c>
      <c r="K110" s="155"/>
      <c r="L110" s="141" t="s">
        <v>732</v>
      </c>
      <c r="M110" s="141" t="s">
        <v>730</v>
      </c>
      <c r="N110" s="141">
        <v>2449</v>
      </c>
      <c r="O110" s="141" t="s">
        <v>842</v>
      </c>
      <c r="P110" s="141">
        <v>4</v>
      </c>
      <c r="Q110" s="142">
        <v>0.21348310000000001</v>
      </c>
      <c r="R110" s="142">
        <v>0.1458333</v>
      </c>
      <c r="S110" s="142">
        <v>0.4166667</v>
      </c>
      <c r="T110" s="142">
        <v>6.8965499999999999E-2</v>
      </c>
      <c r="U110" s="142">
        <v>0.21649479999999999</v>
      </c>
      <c r="V110" s="142">
        <v>0.20749999999999999</v>
      </c>
    </row>
    <row r="111" spans="1:22" ht="18.5" x14ac:dyDescent="0.35">
      <c r="A111" s="141" t="s">
        <v>732</v>
      </c>
      <c r="B111" s="141" t="s">
        <v>730</v>
      </c>
      <c r="C111" s="141">
        <v>2476</v>
      </c>
      <c r="D111" s="141" t="s">
        <v>663</v>
      </c>
      <c r="E111" s="141">
        <v>1</v>
      </c>
      <c r="F111" s="142">
        <v>0.6</v>
      </c>
      <c r="G111" s="141">
        <v>0</v>
      </c>
      <c r="H111" s="142"/>
      <c r="I111" s="142"/>
      <c r="J111" s="142">
        <v>0.6</v>
      </c>
      <c r="K111" s="155"/>
      <c r="L111" s="141" t="s">
        <v>732</v>
      </c>
      <c r="M111" s="141" t="s">
        <v>730</v>
      </c>
      <c r="N111" s="141">
        <v>2476</v>
      </c>
      <c r="O111" s="141" t="s">
        <v>663</v>
      </c>
      <c r="P111" s="141">
        <v>2</v>
      </c>
      <c r="Q111" s="142">
        <v>0.50793650000000001</v>
      </c>
      <c r="R111" s="142">
        <v>0</v>
      </c>
      <c r="S111" s="142">
        <v>0.625</v>
      </c>
      <c r="T111" s="142">
        <v>0.55555560000000004</v>
      </c>
      <c r="U111" s="142">
        <v>0.34883720000000001</v>
      </c>
      <c r="V111" s="142">
        <v>0.38500000000000001</v>
      </c>
    </row>
    <row r="112" spans="1:22" ht="18.5" x14ac:dyDescent="0.35">
      <c r="A112" s="141" t="s">
        <v>732</v>
      </c>
      <c r="B112" s="141" t="s">
        <v>730</v>
      </c>
      <c r="C112" s="141">
        <v>3633</v>
      </c>
      <c r="D112" s="141" t="s">
        <v>663</v>
      </c>
      <c r="E112" s="141">
        <v>1</v>
      </c>
      <c r="F112" s="142">
        <v>0.51</v>
      </c>
      <c r="G112" s="141">
        <v>1</v>
      </c>
      <c r="H112" s="142">
        <v>0.83333330000000005</v>
      </c>
      <c r="I112" s="142">
        <v>0.46739130000000001</v>
      </c>
      <c r="J112" s="142">
        <v>0.58750000000000002</v>
      </c>
      <c r="K112" s="155"/>
      <c r="L112" s="141" t="s">
        <v>732</v>
      </c>
      <c r="M112" s="141" t="s">
        <v>730</v>
      </c>
      <c r="N112" s="141">
        <v>3633</v>
      </c>
      <c r="O112" s="141" t="s">
        <v>663</v>
      </c>
      <c r="P112" s="141">
        <v>4</v>
      </c>
      <c r="Q112" s="142">
        <v>0.35204079999999999</v>
      </c>
      <c r="R112" s="142">
        <v>0.1585366</v>
      </c>
      <c r="S112" s="142">
        <v>0.625</v>
      </c>
      <c r="T112" s="142">
        <v>0.38333329999999999</v>
      </c>
      <c r="U112" s="142">
        <v>6.25E-2</v>
      </c>
      <c r="V112" s="142">
        <v>0.31374999999999997</v>
      </c>
    </row>
    <row r="113" spans="1:22" ht="18.5" x14ac:dyDescent="0.35">
      <c r="A113" s="141" t="s">
        <v>732</v>
      </c>
      <c r="B113" s="141" t="s">
        <v>730</v>
      </c>
      <c r="C113" s="141">
        <v>4314</v>
      </c>
      <c r="D113" s="141" t="s">
        <v>663</v>
      </c>
      <c r="E113" s="141">
        <v>1</v>
      </c>
      <c r="F113" s="142">
        <v>0.55000000000000004</v>
      </c>
      <c r="G113" s="141">
        <v>1</v>
      </c>
      <c r="H113" s="142">
        <v>1</v>
      </c>
      <c r="I113" s="142">
        <v>0.54347829999999997</v>
      </c>
      <c r="J113" s="142">
        <v>0.67</v>
      </c>
      <c r="K113" s="155"/>
      <c r="L113" s="141" t="s">
        <v>732</v>
      </c>
      <c r="M113" s="141" t="s">
        <v>730</v>
      </c>
      <c r="N113" s="141">
        <v>4314</v>
      </c>
      <c r="O113" s="141" t="s">
        <v>663</v>
      </c>
      <c r="P113" s="141">
        <v>4</v>
      </c>
      <c r="Q113" s="142">
        <v>0.35294120000000001</v>
      </c>
      <c r="R113" s="142">
        <v>0.28125</v>
      </c>
      <c r="S113" s="142">
        <v>0.7</v>
      </c>
      <c r="T113" s="142">
        <v>4.1666700000000001E-2</v>
      </c>
      <c r="U113" s="142">
        <v>0.14432990000000001</v>
      </c>
      <c r="V113" s="142">
        <v>0.28249999999999997</v>
      </c>
    </row>
    <row r="114" spans="1:22" ht="18.5" x14ac:dyDescent="0.35">
      <c r="A114" s="141" t="s">
        <v>732</v>
      </c>
      <c r="B114" s="141" t="s">
        <v>730</v>
      </c>
      <c r="C114" s="141">
        <v>4319</v>
      </c>
      <c r="D114" s="141" t="s">
        <v>663</v>
      </c>
      <c r="E114" s="141">
        <v>1</v>
      </c>
      <c r="F114" s="142">
        <v>0.61</v>
      </c>
      <c r="G114" s="141">
        <v>1</v>
      </c>
      <c r="H114" s="142">
        <v>0.94444439999999996</v>
      </c>
      <c r="I114" s="142">
        <v>0.53260870000000005</v>
      </c>
      <c r="J114" s="142">
        <v>0.6825</v>
      </c>
      <c r="K114" s="155"/>
      <c r="L114" s="141" t="s">
        <v>732</v>
      </c>
      <c r="M114" s="141" t="s">
        <v>730</v>
      </c>
      <c r="N114" s="141">
        <v>4319</v>
      </c>
      <c r="O114" s="141" t="s">
        <v>663</v>
      </c>
      <c r="P114" s="141">
        <v>4</v>
      </c>
      <c r="Q114" s="142">
        <v>0.26126129999999997</v>
      </c>
      <c r="R114" s="142">
        <v>0.1162791</v>
      </c>
      <c r="S114" s="142">
        <v>0.48076920000000001</v>
      </c>
      <c r="T114" s="142">
        <v>0.25</v>
      </c>
      <c r="U114" s="142">
        <v>7.2289199999999998E-2</v>
      </c>
      <c r="V114" s="142">
        <v>0.2175</v>
      </c>
    </row>
    <row r="115" spans="1:22" ht="18.5" x14ac:dyDescent="0.35">
      <c r="A115" s="141" t="s">
        <v>732</v>
      </c>
      <c r="B115" s="141" t="s">
        <v>730</v>
      </c>
      <c r="C115" s="141">
        <v>4320</v>
      </c>
      <c r="D115" s="141" t="s">
        <v>663</v>
      </c>
      <c r="E115" s="141">
        <v>1</v>
      </c>
      <c r="F115" s="142">
        <v>0.62</v>
      </c>
      <c r="G115" s="141">
        <v>1</v>
      </c>
      <c r="H115" s="142">
        <v>0.83333330000000005</v>
      </c>
      <c r="I115" s="142">
        <v>0.54347829999999997</v>
      </c>
      <c r="J115" s="142">
        <v>0.66</v>
      </c>
      <c r="K115" s="155"/>
      <c r="L115" s="141" t="s">
        <v>732</v>
      </c>
      <c r="M115" s="141" t="s">
        <v>730</v>
      </c>
      <c r="N115" s="141">
        <v>4320</v>
      </c>
      <c r="O115" s="141" t="s">
        <v>663</v>
      </c>
      <c r="P115" s="141">
        <v>4</v>
      </c>
      <c r="Q115" s="142">
        <v>0.22500000000000001</v>
      </c>
      <c r="R115" s="142">
        <v>0.1136364</v>
      </c>
      <c r="S115" s="142">
        <v>0.3125</v>
      </c>
      <c r="T115" s="142">
        <v>0.3</v>
      </c>
      <c r="U115" s="142">
        <v>0.17391300000000001</v>
      </c>
      <c r="V115" s="142">
        <v>0.2175</v>
      </c>
    </row>
    <row r="116" spans="1:22" ht="18.5" x14ac:dyDescent="0.35">
      <c r="A116" s="141" t="s">
        <v>732</v>
      </c>
      <c r="B116" s="141" t="s">
        <v>730</v>
      </c>
      <c r="C116" s="141">
        <v>4837</v>
      </c>
      <c r="D116" s="141" t="s">
        <v>663</v>
      </c>
      <c r="E116" s="141">
        <v>1</v>
      </c>
      <c r="F116" s="142">
        <v>0.66</v>
      </c>
      <c r="G116" s="141">
        <v>1</v>
      </c>
      <c r="H116" s="142">
        <v>1</v>
      </c>
      <c r="I116" s="142">
        <v>0.55434779999999995</v>
      </c>
      <c r="J116" s="142">
        <v>0.72750000000000004</v>
      </c>
      <c r="K116" s="155"/>
      <c r="L116" s="141" t="s">
        <v>732</v>
      </c>
      <c r="M116" s="141" t="s">
        <v>730</v>
      </c>
      <c r="N116" s="141">
        <v>4837</v>
      </c>
      <c r="O116" s="141" t="s">
        <v>663</v>
      </c>
      <c r="P116" s="141">
        <v>4</v>
      </c>
      <c r="Q116" s="142">
        <v>0.43010749999999998</v>
      </c>
      <c r="R116" s="142">
        <v>0.26</v>
      </c>
      <c r="S116" s="142">
        <v>0.75</v>
      </c>
      <c r="T116" s="142">
        <v>0.1052632</v>
      </c>
      <c r="U116" s="142">
        <v>0.28440369999999998</v>
      </c>
      <c r="V116" s="142">
        <v>0.36499999999999999</v>
      </c>
    </row>
    <row r="117" spans="1:22" ht="18.5" x14ac:dyDescent="0.35">
      <c r="A117" s="141" t="s">
        <v>733</v>
      </c>
      <c r="B117" s="141" t="s">
        <v>734</v>
      </c>
      <c r="C117" s="141">
        <v>1749</v>
      </c>
      <c r="D117" s="141" t="s">
        <v>842</v>
      </c>
      <c r="E117" s="141">
        <v>1</v>
      </c>
      <c r="F117" s="142">
        <v>0.2</v>
      </c>
      <c r="G117" s="141">
        <v>1</v>
      </c>
      <c r="H117" s="142">
        <v>0.94444439999999996</v>
      </c>
      <c r="I117" s="142">
        <v>0.97826089999999999</v>
      </c>
      <c r="J117" s="142">
        <v>0.57999999999999996</v>
      </c>
      <c r="K117" s="155"/>
      <c r="L117" s="141" t="s">
        <v>733</v>
      </c>
      <c r="M117" s="141" t="s">
        <v>734</v>
      </c>
      <c r="N117" s="141">
        <v>1749</v>
      </c>
      <c r="O117" s="141" t="s">
        <v>842</v>
      </c>
      <c r="P117" s="141">
        <v>4</v>
      </c>
      <c r="Q117" s="142">
        <v>0.4512195</v>
      </c>
      <c r="R117" s="142">
        <v>0.3020833</v>
      </c>
      <c r="S117" s="142">
        <v>0.29850749999999998</v>
      </c>
      <c r="T117" s="142">
        <v>0.17241380000000001</v>
      </c>
      <c r="U117" s="142">
        <v>0.1030928</v>
      </c>
      <c r="V117" s="142">
        <v>0.26500000000000001</v>
      </c>
    </row>
    <row r="118" spans="1:22" ht="18.5" x14ac:dyDescent="0.35">
      <c r="A118" s="141" t="s">
        <v>733</v>
      </c>
      <c r="B118" s="141" t="s">
        <v>734</v>
      </c>
      <c r="C118" s="141">
        <v>2066</v>
      </c>
      <c r="D118" s="141" t="s">
        <v>842</v>
      </c>
      <c r="E118" s="141">
        <v>1</v>
      </c>
      <c r="F118" s="142">
        <v>0.51</v>
      </c>
      <c r="G118" s="141">
        <v>1</v>
      </c>
      <c r="H118" s="142">
        <v>0.94444439999999996</v>
      </c>
      <c r="I118" s="142">
        <v>0.6086956</v>
      </c>
      <c r="J118" s="142">
        <v>0.65</v>
      </c>
      <c r="K118" s="155"/>
      <c r="L118" s="141" t="s">
        <v>733</v>
      </c>
      <c r="M118" s="141" t="s">
        <v>734</v>
      </c>
      <c r="N118" s="141">
        <v>2066</v>
      </c>
      <c r="O118" s="141" t="s">
        <v>842</v>
      </c>
      <c r="P118" s="141">
        <v>4</v>
      </c>
      <c r="Q118" s="142">
        <v>0.52255640000000003</v>
      </c>
      <c r="R118" s="142">
        <v>0.53571429999999998</v>
      </c>
      <c r="S118" s="142">
        <v>0.3846154</v>
      </c>
      <c r="T118" s="142">
        <v>0.2291667</v>
      </c>
      <c r="U118" s="142">
        <v>0.24096390000000001</v>
      </c>
      <c r="V118" s="142">
        <v>0.41375000000000001</v>
      </c>
    </row>
    <row r="119" spans="1:22" ht="18.5" x14ac:dyDescent="0.35">
      <c r="A119" s="141" t="s">
        <v>733</v>
      </c>
      <c r="B119" s="141" t="s">
        <v>734</v>
      </c>
      <c r="C119" s="141">
        <v>2176</v>
      </c>
      <c r="D119" s="141" t="s">
        <v>842</v>
      </c>
      <c r="E119" s="141">
        <v>1</v>
      </c>
      <c r="F119" s="142">
        <v>0.68</v>
      </c>
      <c r="G119" s="141">
        <v>1</v>
      </c>
      <c r="H119" s="142">
        <v>1</v>
      </c>
      <c r="I119" s="142">
        <v>0.94565220000000005</v>
      </c>
      <c r="J119" s="142">
        <v>0.82750000000000001</v>
      </c>
      <c r="K119" s="155"/>
      <c r="L119" s="141" t="s">
        <v>733</v>
      </c>
      <c r="M119" s="141" t="s">
        <v>734</v>
      </c>
      <c r="N119" s="141">
        <v>2176</v>
      </c>
      <c r="O119" s="141" t="s">
        <v>842</v>
      </c>
      <c r="P119" s="141">
        <v>4</v>
      </c>
      <c r="Q119" s="142">
        <v>0.65555549999999996</v>
      </c>
      <c r="R119" s="142">
        <v>0.39622639999999998</v>
      </c>
      <c r="S119" s="142">
        <v>0.78181820000000002</v>
      </c>
      <c r="T119" s="142">
        <v>0.3157895</v>
      </c>
      <c r="U119" s="142">
        <v>0.76576580000000005</v>
      </c>
      <c r="V119" s="142">
        <v>0.60250000000000004</v>
      </c>
    </row>
    <row r="120" spans="1:22" ht="18.5" x14ac:dyDescent="0.35">
      <c r="A120" s="141" t="s">
        <v>733</v>
      </c>
      <c r="B120" s="141" t="s">
        <v>734</v>
      </c>
      <c r="C120" s="141">
        <v>2178</v>
      </c>
      <c r="D120" s="141" t="s">
        <v>843</v>
      </c>
      <c r="E120" s="141">
        <v>1</v>
      </c>
      <c r="F120" s="142">
        <v>0.3</v>
      </c>
      <c r="G120" s="141">
        <v>1</v>
      </c>
      <c r="H120" s="142">
        <v>0.94444439999999996</v>
      </c>
      <c r="I120" s="142">
        <v>0.92391310000000004</v>
      </c>
      <c r="J120" s="142">
        <v>0.61750000000000005</v>
      </c>
      <c r="K120" s="155"/>
      <c r="L120" s="141" t="s">
        <v>733</v>
      </c>
      <c r="M120" s="141" t="s">
        <v>734</v>
      </c>
      <c r="N120" s="141">
        <v>2178</v>
      </c>
      <c r="O120" s="141" t="s">
        <v>843</v>
      </c>
      <c r="P120" s="141">
        <v>4</v>
      </c>
      <c r="Q120" s="142">
        <v>0.74193549999999997</v>
      </c>
      <c r="R120" s="142">
        <v>0.79</v>
      </c>
      <c r="S120" s="142">
        <v>0.8</v>
      </c>
      <c r="T120" s="142">
        <v>0.368421</v>
      </c>
      <c r="U120" s="142">
        <v>0.72477069999999999</v>
      </c>
      <c r="V120" s="142">
        <v>0.72250000000000003</v>
      </c>
    </row>
    <row r="121" spans="1:22" ht="18.5" x14ac:dyDescent="0.35">
      <c r="A121" s="141" t="s">
        <v>733</v>
      </c>
      <c r="B121" s="141" t="s">
        <v>734</v>
      </c>
      <c r="C121" s="141">
        <v>2219</v>
      </c>
      <c r="D121" s="141" t="s">
        <v>663</v>
      </c>
      <c r="E121" s="141">
        <v>1</v>
      </c>
      <c r="F121" s="142">
        <v>0.65</v>
      </c>
      <c r="G121" s="141">
        <v>1</v>
      </c>
      <c r="H121" s="142">
        <v>1</v>
      </c>
      <c r="I121" s="142">
        <v>0.40217389999999997</v>
      </c>
      <c r="J121" s="142">
        <v>0.6875</v>
      </c>
      <c r="K121" s="155"/>
      <c r="L121" s="141" t="s">
        <v>733</v>
      </c>
      <c r="M121" s="141" t="s">
        <v>734</v>
      </c>
      <c r="N121" s="141">
        <v>2219</v>
      </c>
      <c r="O121" s="141" t="s">
        <v>663</v>
      </c>
      <c r="P121" s="141">
        <v>4</v>
      </c>
      <c r="Q121" s="142">
        <v>0.25490200000000002</v>
      </c>
      <c r="R121" s="142">
        <v>0.26744190000000001</v>
      </c>
      <c r="S121" s="142">
        <v>0.5</v>
      </c>
      <c r="T121" s="142">
        <v>0.22500000000000001</v>
      </c>
      <c r="U121" s="142">
        <v>8.6956500000000006E-2</v>
      </c>
      <c r="V121" s="142">
        <v>0.26500000000000001</v>
      </c>
    </row>
    <row r="122" spans="1:22" ht="18.5" x14ac:dyDescent="0.35">
      <c r="A122" s="141" t="s">
        <v>733</v>
      </c>
      <c r="B122" s="141" t="s">
        <v>734</v>
      </c>
      <c r="C122" s="141">
        <v>2487</v>
      </c>
      <c r="D122" s="141" t="s">
        <v>663</v>
      </c>
      <c r="E122" s="141">
        <v>1</v>
      </c>
      <c r="F122" s="142">
        <v>0.63</v>
      </c>
      <c r="G122" s="141">
        <v>1</v>
      </c>
      <c r="H122" s="142">
        <v>0.66666669999999995</v>
      </c>
      <c r="I122" s="142">
        <v>0.61956520000000004</v>
      </c>
      <c r="J122" s="142">
        <v>0.63749999999999996</v>
      </c>
      <c r="K122" s="155"/>
      <c r="L122" s="141" t="s">
        <v>733</v>
      </c>
      <c r="M122" s="141" t="s">
        <v>734</v>
      </c>
      <c r="N122" s="141">
        <v>2487</v>
      </c>
      <c r="O122" s="141" t="s">
        <v>663</v>
      </c>
      <c r="P122" s="141">
        <v>4</v>
      </c>
      <c r="Q122" s="142">
        <v>0.67567569999999999</v>
      </c>
      <c r="R122" s="142">
        <v>0.49523810000000001</v>
      </c>
      <c r="S122" s="142">
        <v>0.44444440000000002</v>
      </c>
      <c r="T122" s="142"/>
      <c r="U122" s="142">
        <v>0.28099170000000001</v>
      </c>
      <c r="V122" s="142">
        <v>0.47249999999999998</v>
      </c>
    </row>
    <row r="123" spans="1:22" ht="18.5" x14ac:dyDescent="0.35">
      <c r="A123" s="141" t="s">
        <v>733</v>
      </c>
      <c r="B123" s="141" t="s">
        <v>734</v>
      </c>
      <c r="C123" s="141">
        <v>2762</v>
      </c>
      <c r="D123" s="141" t="s">
        <v>663</v>
      </c>
      <c r="E123" s="141">
        <v>1</v>
      </c>
      <c r="F123" s="142">
        <v>0.62</v>
      </c>
      <c r="G123" s="141">
        <v>1</v>
      </c>
      <c r="H123" s="142">
        <v>1</v>
      </c>
      <c r="I123" s="142">
        <v>0.88043479999999996</v>
      </c>
      <c r="J123" s="142">
        <v>0.78249999999999997</v>
      </c>
      <c r="K123" s="155"/>
      <c r="L123" s="141" t="s">
        <v>733</v>
      </c>
      <c r="M123" s="141" t="s">
        <v>734</v>
      </c>
      <c r="N123" s="141">
        <v>2762</v>
      </c>
      <c r="O123" s="141" t="s">
        <v>663</v>
      </c>
      <c r="P123" s="141">
        <v>4</v>
      </c>
      <c r="Q123" s="142">
        <v>0.53398060000000003</v>
      </c>
      <c r="R123" s="142">
        <v>0.43529410000000002</v>
      </c>
      <c r="S123" s="142">
        <v>0.44444440000000002</v>
      </c>
      <c r="T123" s="142">
        <v>0.20689660000000001</v>
      </c>
      <c r="U123" s="142">
        <v>7.3170700000000005E-2</v>
      </c>
      <c r="V123" s="142">
        <v>0.35499999999999998</v>
      </c>
    </row>
    <row r="124" spans="1:22" ht="18.5" x14ac:dyDescent="0.35">
      <c r="A124" s="141" t="s">
        <v>733</v>
      </c>
      <c r="B124" s="141" t="s">
        <v>734</v>
      </c>
      <c r="C124" s="141">
        <v>3299</v>
      </c>
      <c r="D124" s="141" t="s">
        <v>663</v>
      </c>
      <c r="E124" s="141">
        <v>2</v>
      </c>
      <c r="F124" s="142">
        <v>0.64</v>
      </c>
      <c r="G124" s="141">
        <v>1</v>
      </c>
      <c r="H124" s="142">
        <v>1</v>
      </c>
      <c r="I124" s="142">
        <v>0.71739129999999995</v>
      </c>
      <c r="J124" s="142">
        <v>0.71666660000000004</v>
      </c>
      <c r="K124" s="155"/>
      <c r="L124" s="141" t="s">
        <v>733</v>
      </c>
      <c r="M124" s="141" t="s">
        <v>734</v>
      </c>
      <c r="N124" s="141">
        <v>3299</v>
      </c>
      <c r="O124" s="141" t="s">
        <v>663</v>
      </c>
      <c r="P124" s="141">
        <v>4</v>
      </c>
      <c r="Q124" s="142">
        <v>0.79629629999999996</v>
      </c>
      <c r="R124" s="142">
        <v>0.6860465</v>
      </c>
      <c r="S124" s="142">
        <v>0.86111110000000002</v>
      </c>
      <c r="T124" s="142">
        <v>0.60256410000000005</v>
      </c>
      <c r="U124" s="142">
        <v>0.34939759999999997</v>
      </c>
      <c r="V124" s="142">
        <v>0.65375000000000005</v>
      </c>
    </row>
    <row r="125" spans="1:22" ht="18.5" x14ac:dyDescent="0.35">
      <c r="A125" s="141" t="s">
        <v>733</v>
      </c>
      <c r="B125" s="141" t="s">
        <v>734</v>
      </c>
      <c r="C125" s="141">
        <v>3982</v>
      </c>
      <c r="D125" s="141" t="s">
        <v>663</v>
      </c>
      <c r="E125" s="141">
        <v>1</v>
      </c>
      <c r="F125" s="142">
        <v>0.16</v>
      </c>
      <c r="G125" s="141">
        <v>1</v>
      </c>
      <c r="H125" s="142">
        <v>0.66666669999999995</v>
      </c>
      <c r="I125" s="142">
        <v>0.77173910000000001</v>
      </c>
      <c r="J125" s="142">
        <v>0.4375</v>
      </c>
      <c r="K125" s="155"/>
      <c r="L125" s="141" t="s">
        <v>733</v>
      </c>
      <c r="M125" s="141" t="s">
        <v>734</v>
      </c>
      <c r="N125" s="141">
        <v>3982</v>
      </c>
      <c r="O125" s="141" t="s">
        <v>663</v>
      </c>
      <c r="P125" s="141">
        <v>4</v>
      </c>
      <c r="Q125" s="142">
        <v>0.7038835</v>
      </c>
      <c r="R125" s="142">
        <v>0.69473680000000004</v>
      </c>
      <c r="S125" s="142">
        <v>0.73333329999999997</v>
      </c>
      <c r="T125" s="142">
        <v>0.5</v>
      </c>
      <c r="U125" s="142">
        <v>0.31775700000000001</v>
      </c>
      <c r="V125" s="142">
        <v>0.59375</v>
      </c>
    </row>
    <row r="126" spans="1:22" ht="18.5" x14ac:dyDescent="0.35">
      <c r="A126" s="141" t="s">
        <v>733</v>
      </c>
      <c r="B126" s="141" t="s">
        <v>734</v>
      </c>
      <c r="C126" s="141">
        <v>4246</v>
      </c>
      <c r="D126" s="141" t="s">
        <v>663</v>
      </c>
      <c r="E126" s="141">
        <v>1</v>
      </c>
      <c r="F126" s="142">
        <v>0.62</v>
      </c>
      <c r="G126" s="141">
        <v>1</v>
      </c>
      <c r="H126" s="142">
        <v>0.94444439999999996</v>
      </c>
      <c r="I126" s="142">
        <v>0.68478260000000002</v>
      </c>
      <c r="J126" s="142">
        <v>0.72250000000000003</v>
      </c>
      <c r="K126" s="155"/>
      <c r="L126" s="141" t="s">
        <v>733</v>
      </c>
      <c r="M126" s="141" t="s">
        <v>734</v>
      </c>
      <c r="N126" s="141">
        <v>4246</v>
      </c>
      <c r="O126" s="141" t="s">
        <v>663</v>
      </c>
      <c r="P126" s="141">
        <v>4</v>
      </c>
      <c r="Q126" s="142">
        <v>0.51886790000000005</v>
      </c>
      <c r="R126" s="142">
        <v>0.32608700000000002</v>
      </c>
      <c r="S126" s="142">
        <v>0.33823530000000002</v>
      </c>
      <c r="T126" s="142">
        <v>0</v>
      </c>
      <c r="U126" s="142">
        <v>0.18085109999999999</v>
      </c>
      <c r="V126" s="142">
        <v>0.3125</v>
      </c>
    </row>
    <row r="127" spans="1:22" ht="18.5" x14ac:dyDescent="0.35">
      <c r="A127" s="141" t="s">
        <v>735</v>
      </c>
      <c r="B127" s="141" t="s">
        <v>736</v>
      </c>
      <c r="C127" s="141">
        <v>692</v>
      </c>
      <c r="D127" s="141" t="s">
        <v>843</v>
      </c>
      <c r="E127" s="141">
        <v>1</v>
      </c>
      <c r="F127" s="142">
        <v>0.28000000000000003</v>
      </c>
      <c r="G127" s="141">
        <v>1</v>
      </c>
      <c r="H127" s="142">
        <v>0.77777779999999996</v>
      </c>
      <c r="I127" s="142">
        <v>0.69565220000000005</v>
      </c>
      <c r="J127" s="142">
        <v>0.51</v>
      </c>
      <c r="K127" s="155"/>
      <c r="L127" s="141" t="s">
        <v>735</v>
      </c>
      <c r="M127" s="141" t="s">
        <v>736</v>
      </c>
      <c r="N127" s="141">
        <v>692</v>
      </c>
      <c r="O127" s="141" t="s">
        <v>843</v>
      </c>
      <c r="P127" s="141">
        <v>4</v>
      </c>
      <c r="Q127" s="142">
        <v>0.23577239999999999</v>
      </c>
      <c r="R127" s="142">
        <v>0.24242420000000001</v>
      </c>
      <c r="S127" s="142">
        <v>0.125</v>
      </c>
      <c r="T127" s="142">
        <v>0.14285709999999999</v>
      </c>
      <c r="U127" s="142">
        <v>0.37272729999999998</v>
      </c>
      <c r="V127" s="142">
        <v>0.25750000000000001</v>
      </c>
    </row>
    <row r="128" spans="1:22" ht="18.5" x14ac:dyDescent="0.35">
      <c r="A128" s="141" t="s">
        <v>735</v>
      </c>
      <c r="B128" s="141" t="s">
        <v>736</v>
      </c>
      <c r="C128" s="141">
        <v>1091</v>
      </c>
      <c r="D128" s="141" t="s">
        <v>842</v>
      </c>
      <c r="E128" s="141">
        <v>1</v>
      </c>
      <c r="F128" s="142">
        <v>0.36</v>
      </c>
      <c r="G128" s="141">
        <v>1</v>
      </c>
      <c r="H128" s="142">
        <v>0.61111110000000002</v>
      </c>
      <c r="I128" s="142">
        <v>0.45652169999999997</v>
      </c>
      <c r="J128" s="142">
        <v>0.45</v>
      </c>
      <c r="K128" s="155"/>
      <c r="L128" s="141" t="s">
        <v>735</v>
      </c>
      <c r="M128" s="141" t="s">
        <v>736</v>
      </c>
      <c r="N128" s="141">
        <v>1091</v>
      </c>
      <c r="O128" s="141" t="s">
        <v>842</v>
      </c>
      <c r="P128" s="141">
        <v>4</v>
      </c>
      <c r="Q128" s="142">
        <v>0.43827159999999998</v>
      </c>
      <c r="R128" s="142">
        <v>0.45348840000000001</v>
      </c>
      <c r="S128" s="142">
        <v>0.48611110000000002</v>
      </c>
      <c r="T128" s="142">
        <v>0.37179489999999998</v>
      </c>
      <c r="U128" s="142">
        <v>0.27710839999999998</v>
      </c>
      <c r="V128" s="142">
        <v>0.40375</v>
      </c>
    </row>
    <row r="129" spans="1:22" ht="18.5" x14ac:dyDescent="0.35">
      <c r="A129" s="141" t="s">
        <v>735</v>
      </c>
      <c r="B129" s="141" t="s">
        <v>736</v>
      </c>
      <c r="C129" s="141">
        <v>1626</v>
      </c>
      <c r="D129" s="141" t="s">
        <v>841</v>
      </c>
      <c r="E129" s="141">
        <v>1</v>
      </c>
      <c r="F129" s="142">
        <v>0.39</v>
      </c>
      <c r="G129" s="141">
        <v>1</v>
      </c>
      <c r="H129" s="142">
        <v>0.88888889999999998</v>
      </c>
      <c r="I129" s="142">
        <v>0.73913039999999997</v>
      </c>
      <c r="J129" s="142">
        <v>0.60499999999999998</v>
      </c>
      <c r="K129" s="155"/>
      <c r="L129" s="141" t="s">
        <v>735</v>
      </c>
      <c r="M129" s="141" t="s">
        <v>736</v>
      </c>
      <c r="N129" s="141">
        <v>1626</v>
      </c>
      <c r="O129" s="141" t="s">
        <v>841</v>
      </c>
      <c r="P129" s="141">
        <v>4</v>
      </c>
      <c r="Q129" s="142">
        <v>0.63963959999999997</v>
      </c>
      <c r="R129" s="142">
        <v>0.29473680000000002</v>
      </c>
      <c r="S129" s="142">
        <v>0.71666660000000004</v>
      </c>
      <c r="T129" s="142">
        <v>0.5789474</v>
      </c>
      <c r="U129" s="142">
        <v>0.3229167</v>
      </c>
      <c r="V129" s="142">
        <v>0.48749999999999999</v>
      </c>
    </row>
    <row r="130" spans="1:22" ht="18.5" x14ac:dyDescent="0.35">
      <c r="A130" s="141" t="s">
        <v>735</v>
      </c>
      <c r="B130" s="141" t="s">
        <v>736</v>
      </c>
      <c r="C130" s="141">
        <v>1797</v>
      </c>
      <c r="D130" s="141" t="s">
        <v>842</v>
      </c>
      <c r="E130" s="141">
        <v>1</v>
      </c>
      <c r="F130" s="142">
        <v>0.09</v>
      </c>
      <c r="G130" s="141">
        <v>1</v>
      </c>
      <c r="H130" s="142">
        <v>0.77777779999999996</v>
      </c>
      <c r="I130" s="142">
        <v>0.58695649999999999</v>
      </c>
      <c r="J130" s="142">
        <v>0.39</v>
      </c>
      <c r="K130" s="155"/>
      <c r="L130" s="141" t="s">
        <v>735</v>
      </c>
      <c r="M130" s="141" t="s">
        <v>736</v>
      </c>
      <c r="N130" s="141">
        <v>1797</v>
      </c>
      <c r="O130" s="141" t="s">
        <v>842</v>
      </c>
      <c r="P130" s="141">
        <v>4</v>
      </c>
      <c r="Q130" s="142">
        <v>9.0909100000000007E-2</v>
      </c>
      <c r="R130" s="142">
        <v>0.12643679999999999</v>
      </c>
      <c r="S130" s="142">
        <v>0</v>
      </c>
      <c r="T130" s="142">
        <v>0</v>
      </c>
      <c r="U130" s="142">
        <v>6.4516100000000007E-2</v>
      </c>
      <c r="V130" s="142">
        <v>6.7500000000000004E-2</v>
      </c>
    </row>
    <row r="131" spans="1:22" ht="18.5" x14ac:dyDescent="0.35">
      <c r="A131" s="141" t="s">
        <v>735</v>
      </c>
      <c r="B131" s="141" t="s">
        <v>736</v>
      </c>
      <c r="C131" s="141">
        <v>1850</v>
      </c>
      <c r="D131" s="141" t="s">
        <v>841</v>
      </c>
      <c r="E131" s="141">
        <v>1</v>
      </c>
      <c r="F131" s="142">
        <v>0.56999999999999995</v>
      </c>
      <c r="G131" s="141">
        <v>1</v>
      </c>
      <c r="H131" s="142">
        <v>1</v>
      </c>
      <c r="I131" s="142">
        <v>0.72826089999999999</v>
      </c>
      <c r="J131" s="142">
        <v>0.72250000000000003</v>
      </c>
      <c r="K131" s="155"/>
      <c r="L131" s="141" t="s">
        <v>735</v>
      </c>
      <c r="M131" s="141" t="s">
        <v>736</v>
      </c>
      <c r="N131" s="141">
        <v>1850</v>
      </c>
      <c r="O131" s="141" t="s">
        <v>841</v>
      </c>
      <c r="P131" s="141">
        <v>4</v>
      </c>
      <c r="Q131" s="142">
        <v>0.34051730000000002</v>
      </c>
      <c r="R131" s="142">
        <v>0.59090909999999996</v>
      </c>
      <c r="S131" s="142">
        <v>0.31914890000000001</v>
      </c>
      <c r="T131" s="142">
        <v>0.5</v>
      </c>
      <c r="U131" s="142">
        <v>0.16363639999999999</v>
      </c>
      <c r="V131" s="142">
        <v>0.36249999999999999</v>
      </c>
    </row>
    <row r="132" spans="1:22" ht="18.5" x14ac:dyDescent="0.35">
      <c r="A132" s="141" t="s">
        <v>735</v>
      </c>
      <c r="B132" s="141" t="s">
        <v>736</v>
      </c>
      <c r="C132" s="141">
        <v>1855</v>
      </c>
      <c r="D132" s="141" t="s">
        <v>842</v>
      </c>
      <c r="E132" s="141">
        <v>1</v>
      </c>
      <c r="F132" s="142">
        <v>0.33</v>
      </c>
      <c r="G132" s="141">
        <v>1</v>
      </c>
      <c r="H132" s="142">
        <v>0.94444439999999996</v>
      </c>
      <c r="I132" s="142">
        <v>0.51086960000000003</v>
      </c>
      <c r="J132" s="142">
        <v>0.53749999999999998</v>
      </c>
      <c r="K132" s="155"/>
      <c r="L132" s="141" t="s">
        <v>735</v>
      </c>
      <c r="M132" s="141" t="s">
        <v>736</v>
      </c>
      <c r="N132" s="141">
        <v>1855</v>
      </c>
      <c r="O132" s="141" t="s">
        <v>842</v>
      </c>
      <c r="P132" s="141">
        <v>4</v>
      </c>
      <c r="Q132" s="142">
        <v>0.44360899999999998</v>
      </c>
      <c r="R132" s="142">
        <v>0.2631579</v>
      </c>
      <c r="S132" s="142">
        <v>0.45454549999999999</v>
      </c>
      <c r="T132" s="142">
        <v>0</v>
      </c>
      <c r="U132" s="142">
        <v>0.2242991</v>
      </c>
      <c r="V132" s="142">
        <v>0.33250000000000002</v>
      </c>
    </row>
    <row r="133" spans="1:22" ht="18.5" x14ac:dyDescent="0.35">
      <c r="A133" s="141" t="s">
        <v>735</v>
      </c>
      <c r="B133" s="141" t="s">
        <v>736</v>
      </c>
      <c r="C133" s="141">
        <v>1856</v>
      </c>
      <c r="D133" s="141" t="s">
        <v>842</v>
      </c>
      <c r="E133" s="141">
        <v>2</v>
      </c>
      <c r="F133" s="142">
        <v>0.26</v>
      </c>
      <c r="G133" s="141">
        <v>0</v>
      </c>
      <c r="H133" s="142"/>
      <c r="I133" s="142"/>
      <c r="J133" s="142">
        <v>0.26</v>
      </c>
      <c r="K133" s="155"/>
      <c r="L133" s="141" t="s">
        <v>735</v>
      </c>
      <c r="M133" s="141" t="s">
        <v>736</v>
      </c>
      <c r="N133" s="141">
        <v>1856</v>
      </c>
      <c r="O133" s="141" t="s">
        <v>842</v>
      </c>
      <c r="P133" s="141">
        <v>4</v>
      </c>
      <c r="Q133" s="142">
        <v>0.30882349999999997</v>
      </c>
      <c r="R133" s="142">
        <v>0.2906977</v>
      </c>
      <c r="S133" s="142">
        <v>0.25</v>
      </c>
      <c r="T133" s="142">
        <v>0.4</v>
      </c>
      <c r="U133" s="142">
        <v>2.1739100000000001E-2</v>
      </c>
      <c r="V133" s="142">
        <v>0.23624999999999999</v>
      </c>
    </row>
    <row r="134" spans="1:22" ht="18.5" x14ac:dyDescent="0.35">
      <c r="A134" s="141" t="s">
        <v>735</v>
      </c>
      <c r="B134" s="141" t="s">
        <v>736</v>
      </c>
      <c r="C134" s="141">
        <v>2444</v>
      </c>
      <c r="D134" s="141" t="s">
        <v>842</v>
      </c>
      <c r="E134" s="141">
        <v>1</v>
      </c>
      <c r="F134" s="142">
        <v>0.53</v>
      </c>
      <c r="G134" s="141">
        <v>1</v>
      </c>
      <c r="H134" s="142">
        <v>0.5</v>
      </c>
      <c r="I134" s="142">
        <v>0.52173910000000001</v>
      </c>
      <c r="J134" s="142">
        <v>0.52</v>
      </c>
      <c r="K134" s="155"/>
      <c r="L134" s="141" t="s">
        <v>735</v>
      </c>
      <c r="M134" s="141" t="s">
        <v>736</v>
      </c>
      <c r="N134" s="141">
        <v>2444</v>
      </c>
      <c r="O134" s="141" t="s">
        <v>842</v>
      </c>
      <c r="P134" s="141">
        <v>4</v>
      </c>
      <c r="Q134" s="142">
        <v>0.52688170000000001</v>
      </c>
      <c r="R134" s="142">
        <v>0.54545460000000001</v>
      </c>
      <c r="S134" s="142">
        <v>0.3333333</v>
      </c>
      <c r="T134" s="142">
        <v>0.4473684</v>
      </c>
      <c r="U134" s="142">
        <v>0.1909091</v>
      </c>
      <c r="V134" s="142">
        <v>0.40250000000000002</v>
      </c>
    </row>
    <row r="135" spans="1:22" ht="18.5" x14ac:dyDescent="0.35">
      <c r="A135" s="141" t="s">
        <v>735</v>
      </c>
      <c r="B135" s="141" t="s">
        <v>736</v>
      </c>
      <c r="C135" s="141">
        <v>3722</v>
      </c>
      <c r="D135" s="141" t="s">
        <v>842</v>
      </c>
      <c r="E135" s="141">
        <v>1</v>
      </c>
      <c r="F135" s="142">
        <v>0.08</v>
      </c>
      <c r="G135" s="141">
        <v>1</v>
      </c>
      <c r="H135" s="142">
        <v>5.5555599999999997E-2</v>
      </c>
      <c r="I135" s="142">
        <v>0.1086956</v>
      </c>
      <c r="J135" s="142">
        <v>0.08</v>
      </c>
      <c r="K135" s="155"/>
      <c r="L135" s="141" t="s">
        <v>735</v>
      </c>
      <c r="M135" s="141" t="s">
        <v>736</v>
      </c>
      <c r="N135" s="141">
        <v>3722</v>
      </c>
      <c r="O135" s="141" t="s">
        <v>842</v>
      </c>
      <c r="P135" s="141">
        <v>4</v>
      </c>
      <c r="Q135" s="142">
        <v>0.24747469999999999</v>
      </c>
      <c r="R135" s="142">
        <v>0.1086956</v>
      </c>
      <c r="S135" s="142">
        <v>0.3333333</v>
      </c>
      <c r="T135" s="142">
        <v>0.15</v>
      </c>
      <c r="U135" s="142">
        <v>0.1382979</v>
      </c>
      <c r="V135" s="142">
        <v>0.19625000000000001</v>
      </c>
    </row>
    <row r="136" spans="1:22" ht="18.5" x14ac:dyDescent="0.35">
      <c r="A136" s="141" t="s">
        <v>735</v>
      </c>
      <c r="B136" s="141" t="s">
        <v>736</v>
      </c>
      <c r="C136" s="141">
        <v>3995</v>
      </c>
      <c r="D136" s="141" t="s">
        <v>663</v>
      </c>
      <c r="E136" s="141">
        <v>1</v>
      </c>
      <c r="F136" s="142">
        <v>0.44</v>
      </c>
      <c r="G136" s="141">
        <v>1</v>
      </c>
      <c r="H136" s="142">
        <v>0.1666667</v>
      </c>
      <c r="I136" s="142">
        <v>0.39130429999999999</v>
      </c>
      <c r="J136" s="142">
        <v>0.35499999999999998</v>
      </c>
      <c r="K136" s="155"/>
      <c r="L136" s="141" t="s">
        <v>735</v>
      </c>
      <c r="M136" s="141" t="s">
        <v>736</v>
      </c>
      <c r="N136" s="141">
        <v>3995</v>
      </c>
      <c r="O136" s="141" t="s">
        <v>663</v>
      </c>
      <c r="P136" s="141">
        <v>2</v>
      </c>
      <c r="Q136" s="142">
        <v>0.63793100000000003</v>
      </c>
      <c r="R136" s="142">
        <v>0.61904760000000003</v>
      </c>
      <c r="S136" s="142">
        <v>0.875</v>
      </c>
      <c r="T136" s="142">
        <v>0.9</v>
      </c>
      <c r="U136" s="142">
        <v>0.35</v>
      </c>
      <c r="V136" s="142">
        <v>0.65</v>
      </c>
    </row>
    <row r="137" spans="1:22" ht="18.5" x14ac:dyDescent="0.35">
      <c r="A137" s="141" t="s">
        <v>735</v>
      </c>
      <c r="B137" s="141" t="s">
        <v>736</v>
      </c>
      <c r="C137" s="141">
        <v>4680</v>
      </c>
      <c r="D137" s="141" t="s">
        <v>663</v>
      </c>
      <c r="E137" s="141">
        <v>1</v>
      </c>
      <c r="F137" s="142">
        <v>0.5</v>
      </c>
      <c r="G137" s="141">
        <v>1</v>
      </c>
      <c r="H137" s="142">
        <v>0.27777780000000002</v>
      </c>
      <c r="I137" s="142">
        <v>0.53260870000000005</v>
      </c>
      <c r="J137" s="142">
        <v>0.44750000000000001</v>
      </c>
      <c r="K137" s="155"/>
      <c r="L137" s="141" t="s">
        <v>735</v>
      </c>
      <c r="M137" s="141" t="s">
        <v>736</v>
      </c>
      <c r="N137" s="141">
        <v>4680</v>
      </c>
      <c r="O137" s="141" t="s">
        <v>663</v>
      </c>
      <c r="P137" s="141">
        <v>4</v>
      </c>
      <c r="Q137" s="142">
        <v>0.20588239999999999</v>
      </c>
      <c r="R137" s="142">
        <v>0.2604167</v>
      </c>
      <c r="S137" s="142">
        <v>0.375</v>
      </c>
      <c r="T137" s="142">
        <v>0.70833330000000005</v>
      </c>
      <c r="U137" s="142">
        <v>0.21649479999999999</v>
      </c>
      <c r="V137" s="142">
        <v>0.29875000000000002</v>
      </c>
    </row>
    <row r="138" spans="1:22" ht="18.5" x14ac:dyDescent="0.35">
      <c r="A138" s="141" t="s">
        <v>735</v>
      </c>
      <c r="B138" s="141" t="s">
        <v>736</v>
      </c>
      <c r="C138" s="141">
        <v>4690</v>
      </c>
      <c r="D138" s="141" t="s">
        <v>663</v>
      </c>
      <c r="E138" s="141">
        <v>1</v>
      </c>
      <c r="F138" s="142">
        <v>0.37</v>
      </c>
      <c r="G138" s="141">
        <v>1</v>
      </c>
      <c r="H138" s="142">
        <v>0.72222220000000004</v>
      </c>
      <c r="I138" s="142">
        <v>0.6086956</v>
      </c>
      <c r="J138" s="142">
        <v>0.52</v>
      </c>
      <c r="K138" s="155"/>
      <c r="L138" s="141" t="s">
        <v>735</v>
      </c>
      <c r="M138" s="141" t="s">
        <v>736</v>
      </c>
      <c r="N138" s="141">
        <v>4690</v>
      </c>
      <c r="O138" s="141" t="s">
        <v>663</v>
      </c>
      <c r="P138" s="141">
        <v>4</v>
      </c>
      <c r="Q138" s="142">
        <v>0.31818180000000001</v>
      </c>
      <c r="R138" s="142">
        <v>0.26436779999999999</v>
      </c>
      <c r="S138" s="142">
        <v>0.1666667</v>
      </c>
      <c r="T138" s="142">
        <v>0.08</v>
      </c>
      <c r="U138" s="142">
        <v>0.26881719999999998</v>
      </c>
      <c r="V138" s="142">
        <v>0.24249999999999999</v>
      </c>
    </row>
    <row r="139" spans="1:22" ht="18.5" x14ac:dyDescent="0.35">
      <c r="A139" s="141" t="s">
        <v>735</v>
      </c>
      <c r="B139" s="141" t="s">
        <v>736</v>
      </c>
      <c r="C139" s="141">
        <v>4694</v>
      </c>
      <c r="D139" s="141" t="s">
        <v>663</v>
      </c>
      <c r="E139" s="141">
        <v>1</v>
      </c>
      <c r="F139" s="142">
        <v>0.2</v>
      </c>
      <c r="G139" s="141">
        <v>1</v>
      </c>
      <c r="H139" s="142">
        <v>0.55555560000000004</v>
      </c>
      <c r="I139" s="142">
        <v>0.54347829999999997</v>
      </c>
      <c r="J139" s="142">
        <v>0.375</v>
      </c>
      <c r="K139" s="155"/>
      <c r="L139" s="141" t="s">
        <v>735</v>
      </c>
      <c r="M139" s="141" t="s">
        <v>736</v>
      </c>
      <c r="N139" s="141">
        <v>4694</v>
      </c>
      <c r="O139" s="141" t="s">
        <v>663</v>
      </c>
      <c r="P139" s="141">
        <v>4</v>
      </c>
      <c r="Q139" s="142">
        <v>0.43925229999999998</v>
      </c>
      <c r="R139" s="142">
        <v>0.1666667</v>
      </c>
      <c r="S139" s="142">
        <v>0.44444440000000002</v>
      </c>
      <c r="T139" s="142">
        <v>0</v>
      </c>
      <c r="U139" s="142">
        <v>0.19444439999999999</v>
      </c>
      <c r="V139" s="142">
        <v>0.28249999999999997</v>
      </c>
    </row>
    <row r="140" spans="1:22" ht="18.5" x14ac:dyDescent="0.35">
      <c r="A140" s="141" t="s">
        <v>735</v>
      </c>
      <c r="B140" s="141" t="s">
        <v>736</v>
      </c>
      <c r="C140" s="141">
        <v>4698</v>
      </c>
      <c r="D140" s="141" t="s">
        <v>663</v>
      </c>
      <c r="E140" s="141">
        <v>1</v>
      </c>
      <c r="F140" s="142">
        <v>0.33</v>
      </c>
      <c r="G140" s="141">
        <v>1</v>
      </c>
      <c r="H140" s="142">
        <v>0.38888889999999998</v>
      </c>
      <c r="I140" s="142">
        <v>0.54347829999999997</v>
      </c>
      <c r="J140" s="142">
        <v>0.39500000000000002</v>
      </c>
      <c r="K140" s="155"/>
      <c r="L140" s="141" t="s">
        <v>735</v>
      </c>
      <c r="M140" s="141" t="s">
        <v>736</v>
      </c>
      <c r="N140" s="141">
        <v>4698</v>
      </c>
      <c r="O140" s="141" t="s">
        <v>663</v>
      </c>
      <c r="P140" s="141">
        <v>4</v>
      </c>
      <c r="Q140" s="142">
        <v>0.48181819999999997</v>
      </c>
      <c r="R140" s="142">
        <v>0.1979167</v>
      </c>
      <c r="S140" s="142">
        <v>4.41176E-2</v>
      </c>
      <c r="T140" s="142">
        <v>0</v>
      </c>
      <c r="U140" s="142">
        <v>0.18867919999999999</v>
      </c>
      <c r="V140" s="142">
        <v>0.23749999999999999</v>
      </c>
    </row>
    <row r="141" spans="1:22" ht="18.5" x14ac:dyDescent="0.35">
      <c r="A141" s="141" t="s">
        <v>735</v>
      </c>
      <c r="B141" s="141" t="s">
        <v>736</v>
      </c>
      <c r="C141" s="141">
        <v>4701</v>
      </c>
      <c r="D141" s="141" t="s">
        <v>663</v>
      </c>
      <c r="E141" s="141">
        <v>1</v>
      </c>
      <c r="F141" s="142">
        <v>0.28999999999999998</v>
      </c>
      <c r="G141" s="141">
        <v>1</v>
      </c>
      <c r="H141" s="142">
        <v>0.77777779999999996</v>
      </c>
      <c r="I141" s="142">
        <v>0.54347829999999997</v>
      </c>
      <c r="J141" s="142">
        <v>0.48</v>
      </c>
      <c r="K141" s="155"/>
      <c r="L141" s="141" t="s">
        <v>735</v>
      </c>
      <c r="M141" s="141" t="s">
        <v>736</v>
      </c>
      <c r="N141" s="141">
        <v>4701</v>
      </c>
      <c r="O141" s="141" t="s">
        <v>663</v>
      </c>
      <c r="P141" s="141">
        <v>4</v>
      </c>
      <c r="Q141" s="142">
        <v>0.59223300000000001</v>
      </c>
      <c r="R141" s="142">
        <v>0.2105263</v>
      </c>
      <c r="S141" s="142">
        <v>0.6</v>
      </c>
      <c r="T141" s="142">
        <v>0.1</v>
      </c>
      <c r="U141" s="142">
        <v>5.6074800000000001E-2</v>
      </c>
      <c r="V141" s="142">
        <v>0.33500000000000002</v>
      </c>
    </row>
    <row r="142" spans="1:22" ht="18.5" x14ac:dyDescent="0.35">
      <c r="A142" s="141" t="s">
        <v>737</v>
      </c>
      <c r="B142" s="141" t="s">
        <v>736</v>
      </c>
      <c r="C142" s="141">
        <v>626</v>
      </c>
      <c r="D142" s="141" t="s">
        <v>841</v>
      </c>
      <c r="E142" s="141">
        <v>1</v>
      </c>
      <c r="F142" s="142">
        <v>0.43</v>
      </c>
      <c r="G142" s="141">
        <v>1</v>
      </c>
      <c r="H142" s="142">
        <v>0.3333333</v>
      </c>
      <c r="I142" s="142">
        <v>0.1195652</v>
      </c>
      <c r="J142" s="142">
        <v>0.33250000000000002</v>
      </c>
      <c r="K142" s="155"/>
      <c r="L142" s="141" t="s">
        <v>737</v>
      </c>
      <c r="M142" s="141" t="s">
        <v>736</v>
      </c>
      <c r="N142" s="141">
        <v>626</v>
      </c>
      <c r="O142" s="141" t="s">
        <v>841</v>
      </c>
      <c r="P142" s="141">
        <v>4</v>
      </c>
      <c r="Q142" s="142">
        <v>0.48314610000000002</v>
      </c>
      <c r="R142" s="142">
        <v>0.56074769999999996</v>
      </c>
      <c r="S142" s="142">
        <v>0.76190480000000005</v>
      </c>
      <c r="T142" s="142">
        <v>0.1</v>
      </c>
      <c r="U142" s="142">
        <v>0.2644628</v>
      </c>
      <c r="V142" s="142">
        <v>0.46250000000000002</v>
      </c>
    </row>
    <row r="143" spans="1:22" ht="18.5" x14ac:dyDescent="0.35">
      <c r="A143" s="141" t="s">
        <v>737</v>
      </c>
      <c r="B143" s="141" t="s">
        <v>736</v>
      </c>
      <c r="C143" s="141">
        <v>634</v>
      </c>
      <c r="D143" s="141" t="s">
        <v>842</v>
      </c>
      <c r="E143" s="141">
        <v>1</v>
      </c>
      <c r="F143" s="142">
        <v>0.23</v>
      </c>
      <c r="G143" s="141">
        <v>1</v>
      </c>
      <c r="H143" s="142">
        <v>0.83333330000000005</v>
      </c>
      <c r="I143" s="142">
        <v>0.58695649999999999</v>
      </c>
      <c r="J143" s="142">
        <v>0.47499999999999998</v>
      </c>
      <c r="K143" s="155"/>
      <c r="L143" s="141" t="s">
        <v>737</v>
      </c>
      <c r="M143" s="141" t="s">
        <v>736</v>
      </c>
      <c r="N143" s="141">
        <v>634</v>
      </c>
      <c r="O143" s="141" t="s">
        <v>842</v>
      </c>
      <c r="P143" s="141">
        <v>4</v>
      </c>
      <c r="Q143" s="142">
        <v>0.30813950000000001</v>
      </c>
      <c r="R143" s="142">
        <v>0.17171719999999999</v>
      </c>
      <c r="S143" s="142">
        <v>0.29850749999999998</v>
      </c>
      <c r="T143" s="142">
        <v>0.131579</v>
      </c>
      <c r="U143" s="142">
        <v>5.4545499999999997E-2</v>
      </c>
      <c r="V143" s="142">
        <v>0.18625</v>
      </c>
    </row>
    <row r="144" spans="1:22" ht="18.5" x14ac:dyDescent="0.35">
      <c r="A144" s="141" t="s">
        <v>737</v>
      </c>
      <c r="B144" s="141" t="s">
        <v>736</v>
      </c>
      <c r="C144" s="141">
        <v>639</v>
      </c>
      <c r="D144" s="141" t="s">
        <v>841</v>
      </c>
      <c r="E144" s="141">
        <v>1</v>
      </c>
      <c r="F144" s="142">
        <v>0.05</v>
      </c>
      <c r="G144" s="141">
        <v>1</v>
      </c>
      <c r="H144" s="142">
        <v>0.55555560000000004</v>
      </c>
      <c r="I144" s="142">
        <v>0.97826089999999999</v>
      </c>
      <c r="J144" s="142">
        <v>0.4</v>
      </c>
      <c r="K144" s="155"/>
      <c r="L144" s="141" t="s">
        <v>737</v>
      </c>
      <c r="M144" s="141" t="s">
        <v>736</v>
      </c>
      <c r="N144" s="141">
        <v>639</v>
      </c>
      <c r="O144" s="141" t="s">
        <v>841</v>
      </c>
      <c r="P144" s="141">
        <v>4</v>
      </c>
      <c r="Q144" s="142">
        <v>0.3033708</v>
      </c>
      <c r="R144" s="142">
        <v>0.3854167</v>
      </c>
      <c r="S144" s="142">
        <v>0.88333329999999999</v>
      </c>
      <c r="T144" s="142">
        <v>0.25862069999999998</v>
      </c>
      <c r="U144" s="142">
        <v>0.21649479999999999</v>
      </c>
      <c r="V144" s="142">
        <v>0.38250000000000001</v>
      </c>
    </row>
    <row r="145" spans="1:22" ht="18.5" x14ac:dyDescent="0.35">
      <c r="A145" s="141" t="s">
        <v>737</v>
      </c>
      <c r="B145" s="141" t="s">
        <v>736</v>
      </c>
      <c r="C145" s="141">
        <v>648</v>
      </c>
      <c r="D145" s="141" t="s">
        <v>843</v>
      </c>
      <c r="E145" s="141">
        <v>1</v>
      </c>
      <c r="F145" s="142">
        <v>0.26</v>
      </c>
      <c r="G145" s="141">
        <v>1</v>
      </c>
      <c r="H145" s="142">
        <v>0.94444439999999996</v>
      </c>
      <c r="I145" s="142">
        <v>0.88043479999999996</v>
      </c>
      <c r="J145" s="142">
        <v>0.58750000000000002</v>
      </c>
      <c r="K145" s="155"/>
      <c r="L145" s="141" t="s">
        <v>737</v>
      </c>
      <c r="M145" s="141" t="s">
        <v>736</v>
      </c>
      <c r="N145" s="141">
        <v>648</v>
      </c>
      <c r="O145" s="141" t="s">
        <v>843</v>
      </c>
      <c r="P145" s="141">
        <v>4</v>
      </c>
      <c r="Q145" s="142">
        <v>0.5053763</v>
      </c>
      <c r="R145" s="142">
        <v>0.65656570000000003</v>
      </c>
      <c r="S145" s="142">
        <v>0.8</v>
      </c>
      <c r="T145" s="142">
        <v>0.4473684</v>
      </c>
      <c r="U145" s="142">
        <v>0.31818180000000001</v>
      </c>
      <c r="V145" s="142">
        <v>0.53</v>
      </c>
    </row>
    <row r="146" spans="1:22" ht="18.5" x14ac:dyDescent="0.35">
      <c r="A146" s="141" t="s">
        <v>737</v>
      </c>
      <c r="B146" s="141" t="s">
        <v>736</v>
      </c>
      <c r="C146" s="141">
        <v>650</v>
      </c>
      <c r="D146" s="141" t="s">
        <v>842</v>
      </c>
      <c r="E146" s="141">
        <v>1</v>
      </c>
      <c r="F146" s="142">
        <v>0.67</v>
      </c>
      <c r="G146" s="141">
        <v>1</v>
      </c>
      <c r="H146" s="142">
        <v>0.94444439999999996</v>
      </c>
      <c r="I146" s="142">
        <v>0.97826089999999999</v>
      </c>
      <c r="J146" s="142">
        <v>0.81499999999999995</v>
      </c>
      <c r="K146" s="155"/>
      <c r="L146" s="141" t="s">
        <v>737</v>
      </c>
      <c r="M146" s="141" t="s">
        <v>736</v>
      </c>
      <c r="N146" s="141">
        <v>650</v>
      </c>
      <c r="O146" s="141" t="s">
        <v>842</v>
      </c>
      <c r="P146" s="141">
        <v>4</v>
      </c>
      <c r="Q146" s="142">
        <v>0.45624999999999999</v>
      </c>
      <c r="R146" s="142">
        <v>0.56321840000000001</v>
      </c>
      <c r="S146" s="142">
        <v>0.9375</v>
      </c>
      <c r="T146" s="142">
        <v>0.55000000000000004</v>
      </c>
      <c r="U146" s="142">
        <v>7.5268799999999997E-2</v>
      </c>
      <c r="V146" s="142">
        <v>0.50124999999999997</v>
      </c>
    </row>
    <row r="147" spans="1:22" ht="18.5" x14ac:dyDescent="0.35">
      <c r="A147" s="141" t="s">
        <v>737</v>
      </c>
      <c r="B147" s="141" t="s">
        <v>736</v>
      </c>
      <c r="C147" s="141">
        <v>659</v>
      </c>
      <c r="D147" s="141" t="s">
        <v>842</v>
      </c>
      <c r="E147" s="141">
        <v>1</v>
      </c>
      <c r="F147" s="142">
        <v>0.56999999999999995</v>
      </c>
      <c r="G147" s="141">
        <v>1</v>
      </c>
      <c r="H147" s="142">
        <v>1</v>
      </c>
      <c r="I147" s="142">
        <v>1</v>
      </c>
      <c r="J147" s="142">
        <v>0.78500000000000003</v>
      </c>
      <c r="K147" s="155"/>
      <c r="L147" s="141" t="s">
        <v>737</v>
      </c>
      <c r="M147" s="141" t="s">
        <v>736</v>
      </c>
      <c r="N147" s="141">
        <v>659</v>
      </c>
      <c r="O147" s="141" t="s">
        <v>842</v>
      </c>
      <c r="P147" s="141">
        <v>4</v>
      </c>
      <c r="Q147" s="142">
        <v>0.56179769999999996</v>
      </c>
      <c r="R147" s="142">
        <v>0.32710280000000003</v>
      </c>
      <c r="S147" s="142">
        <v>0.68253969999999997</v>
      </c>
      <c r="T147" s="142">
        <v>0.9</v>
      </c>
      <c r="U147" s="142">
        <v>0.29752070000000003</v>
      </c>
      <c r="V147" s="142">
        <v>0.45500000000000002</v>
      </c>
    </row>
    <row r="148" spans="1:22" ht="18.5" x14ac:dyDescent="0.35">
      <c r="A148" s="141" t="s">
        <v>737</v>
      </c>
      <c r="B148" s="141" t="s">
        <v>736</v>
      </c>
      <c r="C148" s="141">
        <v>666</v>
      </c>
      <c r="D148" s="141" t="s">
        <v>841</v>
      </c>
      <c r="E148" s="141">
        <v>1</v>
      </c>
      <c r="F148" s="142">
        <v>0.41</v>
      </c>
      <c r="G148" s="141">
        <v>1</v>
      </c>
      <c r="H148" s="142">
        <v>0.5</v>
      </c>
      <c r="I148" s="142">
        <v>0.8913044</v>
      </c>
      <c r="J148" s="142">
        <v>0.54500000000000004</v>
      </c>
      <c r="K148" s="155"/>
      <c r="L148" s="141" t="s">
        <v>737</v>
      </c>
      <c r="M148" s="141" t="s">
        <v>736</v>
      </c>
      <c r="N148" s="141">
        <v>666</v>
      </c>
      <c r="O148" s="141" t="s">
        <v>841</v>
      </c>
      <c r="P148" s="141">
        <v>4</v>
      </c>
      <c r="Q148" s="142">
        <v>0.43103449999999999</v>
      </c>
      <c r="R148" s="142">
        <v>0.5</v>
      </c>
      <c r="S148" s="142">
        <v>0.31914890000000001</v>
      </c>
      <c r="T148" s="142">
        <v>7.1428599999999995E-2</v>
      </c>
      <c r="U148" s="142">
        <v>0.16363639999999999</v>
      </c>
      <c r="V148" s="142">
        <v>0.33624999999999999</v>
      </c>
    </row>
    <row r="149" spans="1:22" ht="18.5" x14ac:dyDescent="0.35">
      <c r="A149" s="141" t="s">
        <v>737</v>
      </c>
      <c r="B149" s="141" t="s">
        <v>736</v>
      </c>
      <c r="C149" s="141">
        <v>1737</v>
      </c>
      <c r="D149" s="141" t="s">
        <v>841</v>
      </c>
      <c r="E149" s="141">
        <v>1</v>
      </c>
      <c r="F149" s="142">
        <v>0.09</v>
      </c>
      <c r="G149" s="141">
        <v>1</v>
      </c>
      <c r="H149" s="142">
        <v>0.88888889999999998</v>
      </c>
      <c r="I149" s="142">
        <v>0.97826089999999999</v>
      </c>
      <c r="J149" s="142">
        <v>0.51</v>
      </c>
      <c r="K149" s="155"/>
      <c r="L149" s="141" t="s">
        <v>737</v>
      </c>
      <c r="M149" s="141" t="s">
        <v>736</v>
      </c>
      <c r="N149" s="141">
        <v>1737</v>
      </c>
      <c r="O149" s="141" t="s">
        <v>841</v>
      </c>
      <c r="P149" s="141">
        <v>4</v>
      </c>
      <c r="Q149" s="142">
        <v>0.59090909999999996</v>
      </c>
      <c r="R149" s="142">
        <v>0.4210526</v>
      </c>
      <c r="S149" s="142">
        <v>0.70588240000000002</v>
      </c>
      <c r="T149" s="142">
        <v>0.55000000000000004</v>
      </c>
      <c r="U149" s="142">
        <v>0.50467289999999998</v>
      </c>
      <c r="V149" s="142">
        <v>0.54500000000000004</v>
      </c>
    </row>
    <row r="150" spans="1:22" ht="18.5" x14ac:dyDescent="0.35">
      <c r="A150" s="141" t="s">
        <v>737</v>
      </c>
      <c r="B150" s="141" t="s">
        <v>736</v>
      </c>
      <c r="C150" s="141">
        <v>1746</v>
      </c>
      <c r="D150" s="141" t="s">
        <v>842</v>
      </c>
      <c r="E150" s="141">
        <v>1</v>
      </c>
      <c r="F150" s="142">
        <v>0.35</v>
      </c>
      <c r="G150" s="141">
        <v>1</v>
      </c>
      <c r="H150" s="142">
        <v>0.61111110000000002</v>
      </c>
      <c r="I150" s="142">
        <v>0.77173910000000001</v>
      </c>
      <c r="J150" s="142">
        <v>0.51749999999999996</v>
      </c>
      <c r="K150" s="155"/>
      <c r="L150" s="141" t="s">
        <v>737</v>
      </c>
      <c r="M150" s="141" t="s">
        <v>736</v>
      </c>
      <c r="N150" s="141">
        <v>1746</v>
      </c>
      <c r="O150" s="141" t="s">
        <v>842</v>
      </c>
      <c r="P150" s="141">
        <v>4</v>
      </c>
      <c r="Q150" s="142">
        <v>0.43181819999999999</v>
      </c>
      <c r="R150" s="142">
        <v>0.55882350000000003</v>
      </c>
      <c r="S150" s="142">
        <v>0.3333333</v>
      </c>
      <c r="T150" s="142">
        <v>0.1666667</v>
      </c>
      <c r="U150" s="142">
        <v>0.12903229999999999</v>
      </c>
      <c r="V150" s="142">
        <v>0.35375000000000001</v>
      </c>
    </row>
    <row r="151" spans="1:22" ht="18.5" x14ac:dyDescent="0.35">
      <c r="A151" s="141" t="s">
        <v>737</v>
      </c>
      <c r="B151" s="141" t="s">
        <v>736</v>
      </c>
      <c r="C151" s="141">
        <v>2026</v>
      </c>
      <c r="D151" s="141" t="s">
        <v>663</v>
      </c>
      <c r="E151" s="141">
        <v>1</v>
      </c>
      <c r="F151" s="142">
        <v>0.42</v>
      </c>
      <c r="G151" s="141">
        <v>1</v>
      </c>
      <c r="H151" s="142">
        <v>0.94444439999999996</v>
      </c>
      <c r="I151" s="142">
        <v>1</v>
      </c>
      <c r="J151" s="142">
        <v>0.69499999999999995</v>
      </c>
      <c r="K151" s="155"/>
      <c r="L151" s="141" t="s">
        <v>737</v>
      </c>
      <c r="M151" s="141" t="s">
        <v>736</v>
      </c>
      <c r="N151" s="141">
        <v>2026</v>
      </c>
      <c r="O151" s="141" t="s">
        <v>663</v>
      </c>
      <c r="P151" s="141">
        <v>4</v>
      </c>
      <c r="Q151" s="142">
        <v>0.58510640000000003</v>
      </c>
      <c r="R151" s="142">
        <v>0.41284399999999999</v>
      </c>
      <c r="S151" s="142">
        <v>0.63636360000000003</v>
      </c>
      <c r="T151" s="142">
        <v>0.66666669999999995</v>
      </c>
      <c r="U151" s="142">
        <v>0.49193550000000003</v>
      </c>
      <c r="V151" s="142">
        <v>0.52</v>
      </c>
    </row>
    <row r="152" spans="1:22" ht="18.5" x14ac:dyDescent="0.35">
      <c r="A152" s="141" t="s">
        <v>737</v>
      </c>
      <c r="B152" s="141" t="s">
        <v>736</v>
      </c>
      <c r="C152" s="141">
        <v>2181</v>
      </c>
      <c r="D152" s="141" t="s">
        <v>842</v>
      </c>
      <c r="E152" s="141">
        <v>1</v>
      </c>
      <c r="F152" s="142">
        <v>0.48</v>
      </c>
      <c r="G152" s="141">
        <v>1</v>
      </c>
      <c r="H152" s="142">
        <v>0.88888889999999998</v>
      </c>
      <c r="I152" s="142">
        <v>0.8586956</v>
      </c>
      <c r="J152" s="142">
        <v>0.67749999999999999</v>
      </c>
      <c r="K152" s="155"/>
      <c r="L152" s="141" t="s">
        <v>737</v>
      </c>
      <c r="M152" s="141" t="s">
        <v>736</v>
      </c>
      <c r="N152" s="141">
        <v>2181</v>
      </c>
      <c r="O152" s="141" t="s">
        <v>842</v>
      </c>
      <c r="P152" s="141">
        <v>4</v>
      </c>
      <c r="Q152" s="142">
        <v>0.42990650000000002</v>
      </c>
      <c r="R152" s="142">
        <v>0.39215689999999997</v>
      </c>
      <c r="S152" s="142">
        <v>0.92063490000000003</v>
      </c>
      <c r="T152" s="142">
        <v>0</v>
      </c>
      <c r="U152" s="142">
        <v>0.53703699999999999</v>
      </c>
      <c r="V152" s="142">
        <v>0.505</v>
      </c>
    </row>
    <row r="153" spans="1:22" ht="18.5" x14ac:dyDescent="0.35">
      <c r="A153" s="141" t="s">
        <v>737</v>
      </c>
      <c r="B153" s="141" t="s">
        <v>736</v>
      </c>
      <c r="C153" s="141">
        <v>2472</v>
      </c>
      <c r="D153" s="141" t="s">
        <v>663</v>
      </c>
      <c r="E153" s="141">
        <v>1</v>
      </c>
      <c r="F153" s="142">
        <v>0.39</v>
      </c>
      <c r="G153" s="141">
        <v>1</v>
      </c>
      <c r="H153" s="142">
        <v>0.3333333</v>
      </c>
      <c r="I153" s="142">
        <v>0.54347829999999997</v>
      </c>
      <c r="J153" s="142">
        <v>0.41</v>
      </c>
      <c r="K153" s="155"/>
      <c r="L153" s="141" t="s">
        <v>737</v>
      </c>
      <c r="M153" s="141" t="s">
        <v>736</v>
      </c>
      <c r="N153" s="141">
        <v>2472</v>
      </c>
      <c r="O153" s="141" t="s">
        <v>663</v>
      </c>
      <c r="P153" s="141">
        <v>4</v>
      </c>
      <c r="Q153" s="142">
        <v>0.4438202</v>
      </c>
      <c r="R153" s="142">
        <v>0.2083333</v>
      </c>
      <c r="S153" s="142">
        <v>0.1666667</v>
      </c>
      <c r="T153" s="142">
        <v>0.53448280000000004</v>
      </c>
      <c r="U153" s="142">
        <v>0.39175260000000001</v>
      </c>
      <c r="V153" s="142">
        <v>0.34625</v>
      </c>
    </row>
    <row r="154" spans="1:22" ht="18.5" x14ac:dyDescent="0.35">
      <c r="A154" s="141" t="s">
        <v>737</v>
      </c>
      <c r="B154" s="141" t="s">
        <v>736</v>
      </c>
      <c r="C154" s="141">
        <v>4138</v>
      </c>
      <c r="D154" s="141" t="s">
        <v>663</v>
      </c>
      <c r="E154" s="141">
        <v>1</v>
      </c>
      <c r="F154" s="142">
        <v>0.43</v>
      </c>
      <c r="G154" s="141">
        <v>1</v>
      </c>
      <c r="H154" s="142">
        <v>0.66666669999999995</v>
      </c>
      <c r="I154" s="142">
        <v>0.58695649999999999</v>
      </c>
      <c r="J154" s="142">
        <v>0.53</v>
      </c>
      <c r="K154" s="155"/>
      <c r="L154" s="141" t="s">
        <v>737</v>
      </c>
      <c r="M154" s="141" t="s">
        <v>736</v>
      </c>
      <c r="N154" s="141">
        <v>4138</v>
      </c>
      <c r="O154" s="141" t="s">
        <v>663</v>
      </c>
      <c r="P154" s="141">
        <v>4</v>
      </c>
      <c r="Q154" s="142">
        <v>0.5</v>
      </c>
      <c r="R154" s="142">
        <v>0.31521739999999998</v>
      </c>
      <c r="S154" s="142">
        <v>0.80882350000000003</v>
      </c>
      <c r="T154" s="142">
        <v>0.375</v>
      </c>
      <c r="U154" s="142">
        <v>0.2765957</v>
      </c>
      <c r="V154" s="142">
        <v>0.44500000000000001</v>
      </c>
    </row>
    <row r="155" spans="1:22" ht="18.5" x14ac:dyDescent="0.35">
      <c r="A155" s="141" t="s">
        <v>737</v>
      </c>
      <c r="B155" s="141" t="s">
        <v>736</v>
      </c>
      <c r="C155" s="141">
        <v>4143</v>
      </c>
      <c r="D155" s="141" t="s">
        <v>663</v>
      </c>
      <c r="E155" s="141">
        <v>1</v>
      </c>
      <c r="F155" s="142">
        <v>0.53</v>
      </c>
      <c r="G155" s="141">
        <v>1</v>
      </c>
      <c r="H155" s="142">
        <v>0.83333330000000005</v>
      </c>
      <c r="I155" s="142">
        <v>0.97826089999999999</v>
      </c>
      <c r="J155" s="142">
        <v>0.71499999999999997</v>
      </c>
      <c r="K155" s="155"/>
      <c r="L155" s="141" t="s">
        <v>737</v>
      </c>
      <c r="M155" s="141" t="s">
        <v>736</v>
      </c>
      <c r="N155" s="141">
        <v>4143</v>
      </c>
      <c r="O155" s="141" t="s">
        <v>663</v>
      </c>
      <c r="P155" s="141">
        <v>4</v>
      </c>
      <c r="Q155" s="142">
        <v>0.47348479999999998</v>
      </c>
      <c r="R155" s="142">
        <v>0.4235294</v>
      </c>
      <c r="S155" s="142">
        <v>0.3333333</v>
      </c>
      <c r="T155" s="142">
        <v>0.26666669999999998</v>
      </c>
      <c r="U155" s="142">
        <v>0.172043</v>
      </c>
      <c r="V155" s="142">
        <v>0.35625000000000001</v>
      </c>
    </row>
    <row r="156" spans="1:22" ht="18.5" x14ac:dyDescent="0.35">
      <c r="A156" s="141" t="s">
        <v>737</v>
      </c>
      <c r="B156" s="141" t="s">
        <v>736</v>
      </c>
      <c r="C156" s="141">
        <v>4148</v>
      </c>
      <c r="D156" s="141" t="s">
        <v>663</v>
      </c>
      <c r="E156" s="141">
        <v>1</v>
      </c>
      <c r="F156" s="142">
        <v>0.41</v>
      </c>
      <c r="G156" s="141">
        <v>1</v>
      </c>
      <c r="H156" s="142">
        <v>0.5</v>
      </c>
      <c r="I156" s="142">
        <v>0.54347829999999997</v>
      </c>
      <c r="J156" s="142">
        <v>0.46500000000000002</v>
      </c>
      <c r="K156" s="155"/>
      <c r="L156" s="141" t="s">
        <v>737</v>
      </c>
      <c r="M156" s="141" t="s">
        <v>736</v>
      </c>
      <c r="N156" s="141">
        <v>4148</v>
      </c>
      <c r="O156" s="141" t="s">
        <v>663</v>
      </c>
      <c r="P156" s="141">
        <v>4</v>
      </c>
      <c r="Q156" s="142">
        <v>0.55555560000000004</v>
      </c>
      <c r="R156" s="142">
        <v>0.51546389999999997</v>
      </c>
      <c r="S156" s="142">
        <v>0.6</v>
      </c>
      <c r="T156" s="142">
        <v>0.27500000000000002</v>
      </c>
      <c r="U156" s="142">
        <v>0.2429907</v>
      </c>
      <c r="V156" s="142">
        <v>0.4425</v>
      </c>
    </row>
    <row r="157" spans="1:22" ht="18.5" x14ac:dyDescent="0.35">
      <c r="A157" s="141" t="s">
        <v>737</v>
      </c>
      <c r="B157" s="141" t="s">
        <v>736</v>
      </c>
      <c r="C157" s="141">
        <v>4149</v>
      </c>
      <c r="D157" s="141" t="s">
        <v>663</v>
      </c>
      <c r="E157" s="141">
        <v>1</v>
      </c>
      <c r="F157" s="142">
        <v>0.38</v>
      </c>
      <c r="G157" s="141">
        <v>1</v>
      </c>
      <c r="H157" s="142">
        <v>0.61111110000000002</v>
      </c>
      <c r="I157" s="142">
        <v>0.48913040000000002</v>
      </c>
      <c r="J157" s="142">
        <v>0.46750000000000003</v>
      </c>
      <c r="K157" s="155"/>
      <c r="L157" s="141" t="s">
        <v>737</v>
      </c>
      <c r="M157" s="141" t="s">
        <v>736</v>
      </c>
      <c r="N157" s="141">
        <v>4149</v>
      </c>
      <c r="O157" s="141" t="s">
        <v>663</v>
      </c>
      <c r="P157" s="141">
        <v>4</v>
      </c>
      <c r="Q157" s="142">
        <v>0.43181819999999999</v>
      </c>
      <c r="R157" s="142">
        <v>0.17525769999999999</v>
      </c>
      <c r="S157" s="142">
        <v>0.6323529</v>
      </c>
      <c r="T157" s="142">
        <v>0.375</v>
      </c>
      <c r="U157" s="142">
        <v>0.1214953</v>
      </c>
      <c r="V157" s="142">
        <v>0.315</v>
      </c>
    </row>
    <row r="158" spans="1:22" ht="18.5" x14ac:dyDescent="0.35">
      <c r="A158" s="141" t="s">
        <v>738</v>
      </c>
      <c r="B158" s="141" t="s">
        <v>722</v>
      </c>
      <c r="C158" s="141">
        <v>587</v>
      </c>
      <c r="D158" s="141" t="s">
        <v>841</v>
      </c>
      <c r="E158" s="141">
        <v>5</v>
      </c>
      <c r="F158" s="142">
        <v>0.51200000000000001</v>
      </c>
      <c r="G158" s="141">
        <v>0</v>
      </c>
      <c r="H158" s="142"/>
      <c r="I158" s="142"/>
      <c r="J158" s="142">
        <v>0.51200000000000001</v>
      </c>
      <c r="K158" s="155"/>
      <c r="L158" s="141" t="s">
        <v>738</v>
      </c>
      <c r="M158" s="141" t="s">
        <v>722</v>
      </c>
      <c r="N158" s="141">
        <v>587</v>
      </c>
      <c r="O158" s="141" t="s">
        <v>841</v>
      </c>
      <c r="P158" s="141">
        <v>4</v>
      </c>
      <c r="Q158" s="142">
        <v>0.86585369999999995</v>
      </c>
      <c r="R158" s="142">
        <v>0.78125</v>
      </c>
      <c r="S158" s="142">
        <v>0.70149249999999996</v>
      </c>
      <c r="T158" s="142">
        <v>0.87931040000000005</v>
      </c>
      <c r="U158" s="142">
        <v>0.94845360000000001</v>
      </c>
      <c r="V158" s="142">
        <v>0.84</v>
      </c>
    </row>
    <row r="159" spans="1:22" ht="18.5" x14ac:dyDescent="0.35">
      <c r="A159" s="141" t="s">
        <v>738</v>
      </c>
      <c r="B159" s="141" t="s">
        <v>722</v>
      </c>
      <c r="C159" s="141">
        <v>590</v>
      </c>
      <c r="D159" s="141" t="s">
        <v>843</v>
      </c>
      <c r="E159" s="141">
        <v>1</v>
      </c>
      <c r="F159" s="142">
        <v>0.62</v>
      </c>
      <c r="G159" s="141">
        <v>1</v>
      </c>
      <c r="H159" s="142">
        <v>0.72222220000000004</v>
      </c>
      <c r="I159" s="142">
        <v>0.53260870000000005</v>
      </c>
      <c r="J159" s="142">
        <v>0.62749999999999995</v>
      </c>
      <c r="K159" s="155"/>
      <c r="L159" s="141" t="s">
        <v>738</v>
      </c>
      <c r="M159" s="141" t="s">
        <v>722</v>
      </c>
      <c r="N159" s="141">
        <v>590</v>
      </c>
      <c r="O159" s="141" t="s">
        <v>843</v>
      </c>
      <c r="P159" s="141">
        <v>4</v>
      </c>
      <c r="Q159" s="142">
        <v>0.73456790000000005</v>
      </c>
      <c r="R159" s="142">
        <v>0.79069769999999995</v>
      </c>
      <c r="S159" s="142">
        <v>0.30555559999999998</v>
      </c>
      <c r="T159" s="142">
        <v>0.70512819999999998</v>
      </c>
      <c r="U159" s="142">
        <v>0.48192770000000001</v>
      </c>
      <c r="V159" s="142">
        <v>0.61124999999999996</v>
      </c>
    </row>
    <row r="160" spans="1:22" ht="18.5" x14ac:dyDescent="0.35">
      <c r="A160" s="141" t="s">
        <v>738</v>
      </c>
      <c r="B160" s="141" t="s">
        <v>722</v>
      </c>
      <c r="C160" s="141">
        <v>594</v>
      </c>
      <c r="D160" s="141" t="s">
        <v>842</v>
      </c>
      <c r="E160" s="141">
        <v>1</v>
      </c>
      <c r="F160" s="142">
        <v>0.27</v>
      </c>
      <c r="G160" s="141">
        <v>1</v>
      </c>
      <c r="H160" s="142">
        <v>0.61111110000000002</v>
      </c>
      <c r="I160" s="142">
        <v>0.5</v>
      </c>
      <c r="J160" s="142">
        <v>0.41499999999999998</v>
      </c>
      <c r="K160" s="155"/>
      <c r="L160" s="141" t="s">
        <v>738</v>
      </c>
      <c r="M160" s="141" t="s">
        <v>722</v>
      </c>
      <c r="N160" s="141">
        <v>594</v>
      </c>
      <c r="O160" s="141" t="s">
        <v>842</v>
      </c>
      <c r="P160" s="141">
        <v>2</v>
      </c>
      <c r="Q160" s="142">
        <v>0.73015870000000005</v>
      </c>
      <c r="R160" s="142">
        <v>0.81818179999999996</v>
      </c>
      <c r="S160" s="142">
        <v>1</v>
      </c>
      <c r="T160" s="142">
        <v>0.88888889999999998</v>
      </c>
      <c r="U160" s="142">
        <v>0.53488369999999996</v>
      </c>
      <c r="V160" s="142">
        <v>0.76500000000000001</v>
      </c>
    </row>
    <row r="161" spans="1:22" ht="18.5" x14ac:dyDescent="0.35">
      <c r="A161" s="141" t="s">
        <v>738</v>
      </c>
      <c r="B161" s="141" t="s">
        <v>722</v>
      </c>
      <c r="C161" s="141">
        <v>1558</v>
      </c>
      <c r="D161" s="141" t="s">
        <v>842</v>
      </c>
      <c r="E161" s="141">
        <v>1</v>
      </c>
      <c r="F161" s="142">
        <v>0.54</v>
      </c>
      <c r="G161" s="141">
        <v>1</v>
      </c>
      <c r="H161" s="142">
        <v>1</v>
      </c>
      <c r="I161" s="142">
        <v>0.54347829999999997</v>
      </c>
      <c r="J161" s="142">
        <v>0.66500000000000004</v>
      </c>
      <c r="K161" s="155"/>
      <c r="L161" s="141" t="s">
        <v>738</v>
      </c>
      <c r="M161" s="141" t="s">
        <v>722</v>
      </c>
      <c r="N161" s="141">
        <v>1558</v>
      </c>
      <c r="O161" s="141" t="s">
        <v>842</v>
      </c>
      <c r="P161" s="141">
        <v>4</v>
      </c>
      <c r="Q161" s="142">
        <v>0.89024389999999998</v>
      </c>
      <c r="R161" s="142">
        <v>0.9375</v>
      </c>
      <c r="S161" s="142">
        <v>0.97014929999999999</v>
      </c>
      <c r="T161" s="142">
        <v>0.7758621</v>
      </c>
      <c r="U161" s="142">
        <v>0.72164950000000005</v>
      </c>
      <c r="V161" s="142">
        <v>0.85750000000000004</v>
      </c>
    </row>
    <row r="162" spans="1:22" ht="18.5" x14ac:dyDescent="0.35">
      <c r="A162" s="141" t="s">
        <v>738</v>
      </c>
      <c r="B162" s="141" t="s">
        <v>722</v>
      </c>
      <c r="C162" s="141">
        <v>2034</v>
      </c>
      <c r="D162" s="141" t="s">
        <v>842</v>
      </c>
      <c r="E162" s="141">
        <v>1</v>
      </c>
      <c r="F162" s="142">
        <v>0.47</v>
      </c>
      <c r="G162" s="141">
        <v>1</v>
      </c>
      <c r="H162" s="142">
        <v>1</v>
      </c>
      <c r="I162" s="142">
        <v>0.54347829999999997</v>
      </c>
      <c r="J162" s="142">
        <v>0.63</v>
      </c>
      <c r="K162" s="155"/>
      <c r="L162" s="141" t="s">
        <v>738</v>
      </c>
      <c r="M162" s="141" t="s">
        <v>722</v>
      </c>
      <c r="N162" s="141">
        <v>2034</v>
      </c>
      <c r="O162" s="141" t="s">
        <v>842</v>
      </c>
      <c r="P162" s="141">
        <v>4</v>
      </c>
      <c r="Q162" s="142">
        <v>0.55555560000000004</v>
      </c>
      <c r="R162" s="142">
        <v>0.38144329999999999</v>
      </c>
      <c r="S162" s="142">
        <v>0.4</v>
      </c>
      <c r="T162" s="142">
        <v>7.4999999999999997E-2</v>
      </c>
      <c r="U162" s="142">
        <v>0.25233640000000002</v>
      </c>
      <c r="V162" s="142">
        <v>0.35499999999999998</v>
      </c>
    </row>
    <row r="163" spans="1:22" ht="18.5" x14ac:dyDescent="0.35">
      <c r="A163" s="141" t="s">
        <v>738</v>
      </c>
      <c r="B163" s="141" t="s">
        <v>722</v>
      </c>
      <c r="C163" s="141">
        <v>2591</v>
      </c>
      <c r="D163" s="141" t="s">
        <v>663</v>
      </c>
      <c r="E163" s="141">
        <v>1</v>
      </c>
      <c r="F163" s="142">
        <v>0.59</v>
      </c>
      <c r="G163" s="141">
        <v>1</v>
      </c>
      <c r="H163" s="142">
        <v>0.77777779999999996</v>
      </c>
      <c r="I163" s="142">
        <v>0.54347829999999997</v>
      </c>
      <c r="J163" s="142">
        <v>0.63</v>
      </c>
      <c r="K163" s="155"/>
      <c r="L163" s="141" t="s">
        <v>738</v>
      </c>
      <c r="M163" s="141" t="s">
        <v>722</v>
      </c>
      <c r="N163" s="141">
        <v>2591</v>
      </c>
      <c r="O163" s="141" t="s">
        <v>663</v>
      </c>
      <c r="P163" s="141">
        <v>4</v>
      </c>
      <c r="Q163" s="142">
        <v>0.5169492</v>
      </c>
      <c r="R163" s="142">
        <v>0.65979379999999999</v>
      </c>
      <c r="S163" s="142">
        <v>0.89583330000000005</v>
      </c>
      <c r="T163" s="142">
        <v>0.66666669999999995</v>
      </c>
      <c r="U163" s="142">
        <v>0.46728969999999997</v>
      </c>
      <c r="V163" s="142">
        <v>0.59499999999999997</v>
      </c>
    </row>
    <row r="164" spans="1:22" ht="18.5" x14ac:dyDescent="0.35">
      <c r="A164" s="141" t="s">
        <v>738</v>
      </c>
      <c r="B164" s="141" t="s">
        <v>722</v>
      </c>
      <c r="C164" s="141">
        <v>2990</v>
      </c>
      <c r="D164" s="141" t="s">
        <v>842</v>
      </c>
      <c r="E164" s="141">
        <v>1</v>
      </c>
      <c r="F164" s="142">
        <v>0.4</v>
      </c>
      <c r="G164" s="141">
        <v>1</v>
      </c>
      <c r="H164" s="142">
        <v>1</v>
      </c>
      <c r="I164" s="142">
        <v>0.58695649999999999</v>
      </c>
      <c r="J164" s="142">
        <v>0.60499999999999998</v>
      </c>
      <c r="K164" s="155"/>
      <c r="L164" s="141" t="s">
        <v>738</v>
      </c>
      <c r="M164" s="141" t="s">
        <v>722</v>
      </c>
      <c r="N164" s="141">
        <v>2990</v>
      </c>
      <c r="O164" s="141" t="s">
        <v>842</v>
      </c>
      <c r="P164" s="141">
        <v>4</v>
      </c>
      <c r="Q164" s="142">
        <v>0.48823529999999998</v>
      </c>
      <c r="R164" s="142">
        <v>0.33707870000000001</v>
      </c>
      <c r="S164" s="142">
        <v>0.55555560000000004</v>
      </c>
      <c r="T164" s="142">
        <v>0.2758621</v>
      </c>
      <c r="U164" s="142">
        <v>0.3333333</v>
      </c>
      <c r="V164" s="142">
        <v>0.39874999999999999</v>
      </c>
    </row>
    <row r="165" spans="1:22" ht="18.5" x14ac:dyDescent="0.35">
      <c r="A165" s="141" t="s">
        <v>738</v>
      </c>
      <c r="B165" s="141" t="s">
        <v>722</v>
      </c>
      <c r="C165" s="141">
        <v>4366</v>
      </c>
      <c r="D165" s="141" t="s">
        <v>663</v>
      </c>
      <c r="E165" s="141">
        <v>5</v>
      </c>
      <c r="F165" s="142">
        <v>0.50600000000000001</v>
      </c>
      <c r="G165" s="141">
        <v>0</v>
      </c>
      <c r="H165" s="142"/>
      <c r="I165" s="142"/>
      <c r="J165" s="142">
        <v>0.50600000000000001</v>
      </c>
      <c r="K165" s="155"/>
      <c r="L165" s="141" t="s">
        <v>738</v>
      </c>
      <c r="M165" s="141" t="s">
        <v>722</v>
      </c>
      <c r="N165" s="141">
        <v>4366</v>
      </c>
      <c r="O165" s="141" t="s">
        <v>663</v>
      </c>
      <c r="P165" s="141">
        <v>4</v>
      </c>
      <c r="Q165" s="142">
        <v>0.41818179999999999</v>
      </c>
      <c r="R165" s="142">
        <v>0.4736842</v>
      </c>
      <c r="S165" s="142">
        <v>0.26470589999999999</v>
      </c>
      <c r="T165" s="142">
        <v>0.6</v>
      </c>
      <c r="U165" s="142">
        <v>0.50467289999999998</v>
      </c>
      <c r="V165" s="142">
        <v>0.4375</v>
      </c>
    </row>
    <row r="166" spans="1:22" ht="18.5" x14ac:dyDescent="0.35">
      <c r="A166" s="141" t="s">
        <v>738</v>
      </c>
      <c r="B166" s="141" t="s">
        <v>722</v>
      </c>
      <c r="C166" s="141">
        <v>4367</v>
      </c>
      <c r="D166" s="141" t="s">
        <v>663</v>
      </c>
      <c r="E166" s="141">
        <v>1</v>
      </c>
      <c r="F166" s="142">
        <v>0.7</v>
      </c>
      <c r="G166" s="141">
        <v>1</v>
      </c>
      <c r="H166" s="142">
        <v>1</v>
      </c>
      <c r="I166" s="142">
        <v>0.54347829999999997</v>
      </c>
      <c r="J166" s="142">
        <v>0.745</v>
      </c>
      <c r="K166" s="155"/>
      <c r="L166" s="141" t="s">
        <v>738</v>
      </c>
      <c r="M166" s="141" t="s">
        <v>722</v>
      </c>
      <c r="N166" s="141">
        <v>4367</v>
      </c>
      <c r="O166" s="141" t="s">
        <v>663</v>
      </c>
      <c r="P166" s="141">
        <v>4</v>
      </c>
      <c r="Q166" s="142">
        <v>0.78378380000000003</v>
      </c>
      <c r="R166" s="142">
        <v>0.8139535</v>
      </c>
      <c r="S166" s="142">
        <v>1</v>
      </c>
      <c r="T166" s="142">
        <v>0.69117649999999997</v>
      </c>
      <c r="U166" s="142">
        <v>0.62650600000000001</v>
      </c>
      <c r="V166" s="142">
        <v>0.77</v>
      </c>
    </row>
    <row r="167" spans="1:22" ht="18.5" x14ac:dyDescent="0.35">
      <c r="A167" s="141" t="s">
        <v>738</v>
      </c>
      <c r="B167" s="141" t="s">
        <v>722</v>
      </c>
      <c r="C167" s="141">
        <v>4369</v>
      </c>
      <c r="D167" s="141" t="s">
        <v>663</v>
      </c>
      <c r="E167" s="141">
        <v>2</v>
      </c>
      <c r="F167" s="142">
        <v>0.49</v>
      </c>
      <c r="G167" s="141">
        <v>0</v>
      </c>
      <c r="H167" s="142"/>
      <c r="I167" s="142"/>
      <c r="J167" s="142">
        <v>0.49</v>
      </c>
      <c r="K167" s="155"/>
      <c r="L167" s="141" t="s">
        <v>738</v>
      </c>
      <c r="M167" s="141" t="s">
        <v>722</v>
      </c>
      <c r="N167" s="141">
        <v>4369</v>
      </c>
      <c r="O167" s="141" t="s">
        <v>663</v>
      </c>
      <c r="P167" s="141">
        <v>4</v>
      </c>
      <c r="Q167" s="142">
        <v>0.46236559999999999</v>
      </c>
      <c r="R167" s="142">
        <v>0.30303029999999997</v>
      </c>
      <c r="S167" s="142">
        <v>0.28333330000000001</v>
      </c>
      <c r="T167" s="142">
        <v>0.5789474</v>
      </c>
      <c r="U167" s="142">
        <v>0.1181818</v>
      </c>
      <c r="V167" s="142">
        <v>0.3125</v>
      </c>
    </row>
    <row r="168" spans="1:22" ht="18.5" x14ac:dyDescent="0.35">
      <c r="A168" s="141" t="s">
        <v>738</v>
      </c>
      <c r="B168" s="141" t="s">
        <v>722</v>
      </c>
      <c r="C168" s="141">
        <v>4449</v>
      </c>
      <c r="D168" s="141" t="s">
        <v>663</v>
      </c>
      <c r="E168" s="141">
        <v>1</v>
      </c>
      <c r="F168" s="142">
        <v>0.57999999999999996</v>
      </c>
      <c r="G168" s="141">
        <v>1</v>
      </c>
      <c r="H168" s="142">
        <v>1</v>
      </c>
      <c r="I168" s="142">
        <v>0.54347829999999997</v>
      </c>
      <c r="J168" s="142">
        <v>0.68500000000000005</v>
      </c>
      <c r="K168" s="155"/>
      <c r="L168" s="141" t="s">
        <v>738</v>
      </c>
      <c r="M168" s="141" t="s">
        <v>722</v>
      </c>
      <c r="N168" s="141">
        <v>4449</v>
      </c>
      <c r="O168" s="141" t="s">
        <v>663</v>
      </c>
      <c r="P168" s="141">
        <v>4</v>
      </c>
      <c r="Q168" s="142">
        <v>0.60465120000000006</v>
      </c>
      <c r="R168" s="142">
        <v>0.36363640000000003</v>
      </c>
      <c r="S168" s="142">
        <v>0.55223880000000003</v>
      </c>
      <c r="T168" s="142">
        <v>0.2368421</v>
      </c>
      <c r="U168" s="142">
        <v>0.3090909</v>
      </c>
      <c r="V168" s="142">
        <v>0.42</v>
      </c>
    </row>
    <row r="169" spans="1:22" ht="18.5" x14ac:dyDescent="0.35">
      <c r="A169" s="141" t="s">
        <v>739</v>
      </c>
      <c r="B169" s="141" t="s">
        <v>720</v>
      </c>
      <c r="C169" s="141">
        <v>2</v>
      </c>
      <c r="D169" s="141" t="s">
        <v>842</v>
      </c>
      <c r="E169" s="141">
        <v>1</v>
      </c>
      <c r="F169" s="142">
        <v>0.44</v>
      </c>
      <c r="G169" s="141">
        <v>1</v>
      </c>
      <c r="H169" s="142">
        <v>0.94444439999999996</v>
      </c>
      <c r="I169" s="142">
        <v>0.5</v>
      </c>
      <c r="J169" s="142">
        <v>0.59</v>
      </c>
      <c r="K169" s="155"/>
      <c r="L169" s="141" t="s">
        <v>739</v>
      </c>
      <c r="M169" s="141" t="s">
        <v>720</v>
      </c>
      <c r="N169" s="141">
        <v>2</v>
      </c>
      <c r="O169" s="141" t="s">
        <v>842</v>
      </c>
      <c r="P169" s="141">
        <v>4</v>
      </c>
      <c r="Q169" s="142">
        <v>0.51744190000000001</v>
      </c>
      <c r="R169" s="142">
        <v>0.54545460000000001</v>
      </c>
      <c r="S169" s="142">
        <v>0.8208955</v>
      </c>
      <c r="T169" s="142">
        <v>0.2631579</v>
      </c>
      <c r="U169" s="142">
        <v>0.31818180000000001</v>
      </c>
      <c r="V169" s="142">
        <v>0.49625000000000002</v>
      </c>
    </row>
    <row r="170" spans="1:22" ht="18.5" x14ac:dyDescent="0.35">
      <c r="A170" s="141" t="s">
        <v>739</v>
      </c>
      <c r="B170" s="141" t="s">
        <v>720</v>
      </c>
      <c r="C170" s="141">
        <v>9</v>
      </c>
      <c r="D170" s="141" t="s">
        <v>842</v>
      </c>
      <c r="E170" s="141">
        <v>1</v>
      </c>
      <c r="F170" s="142">
        <v>0.42</v>
      </c>
      <c r="G170" s="141">
        <v>1</v>
      </c>
      <c r="H170" s="142">
        <v>0.94444439999999996</v>
      </c>
      <c r="I170" s="142">
        <v>0.40217389999999997</v>
      </c>
      <c r="J170" s="142">
        <v>0.5575</v>
      </c>
      <c r="K170" s="155"/>
      <c r="L170" s="141" t="s">
        <v>739</v>
      </c>
      <c r="M170" s="141" t="s">
        <v>720</v>
      </c>
      <c r="N170" s="141">
        <v>9</v>
      </c>
      <c r="O170" s="141" t="s">
        <v>842</v>
      </c>
      <c r="P170" s="141">
        <v>4</v>
      </c>
      <c r="Q170" s="142">
        <v>0.67647060000000003</v>
      </c>
      <c r="R170" s="142">
        <v>0.84269660000000002</v>
      </c>
      <c r="S170" s="142">
        <v>0.97222220000000004</v>
      </c>
      <c r="T170" s="142">
        <v>0.74137929999999996</v>
      </c>
      <c r="U170" s="142">
        <v>0.5625</v>
      </c>
      <c r="V170" s="142">
        <v>0.74875000000000003</v>
      </c>
    </row>
    <row r="171" spans="1:22" ht="18.5" x14ac:dyDescent="0.35">
      <c r="A171" s="141" t="s">
        <v>739</v>
      </c>
      <c r="B171" s="141" t="s">
        <v>720</v>
      </c>
      <c r="C171" s="141">
        <v>40</v>
      </c>
      <c r="D171" s="141" t="s">
        <v>843</v>
      </c>
      <c r="E171" s="141">
        <v>1</v>
      </c>
      <c r="F171" s="142">
        <v>0.55000000000000004</v>
      </c>
      <c r="G171" s="141">
        <v>1</v>
      </c>
      <c r="H171" s="142">
        <v>0.1111111</v>
      </c>
      <c r="I171" s="142">
        <v>0.6086956</v>
      </c>
      <c r="J171" s="142">
        <v>0.44500000000000001</v>
      </c>
      <c r="K171" s="155"/>
      <c r="L171" s="141" t="s">
        <v>739</v>
      </c>
      <c r="M171" s="141" t="s">
        <v>720</v>
      </c>
      <c r="N171" s="141">
        <v>40</v>
      </c>
      <c r="O171" s="141" t="s">
        <v>843</v>
      </c>
      <c r="P171" s="141">
        <v>4</v>
      </c>
      <c r="Q171" s="142">
        <v>0.5053763</v>
      </c>
      <c r="R171" s="142">
        <v>0.43434339999999999</v>
      </c>
      <c r="S171" s="142">
        <v>0.88333329999999999</v>
      </c>
      <c r="T171" s="142">
        <v>0.5263158</v>
      </c>
      <c r="U171" s="142">
        <v>0.4</v>
      </c>
      <c r="V171" s="142">
        <v>0.51749999999999996</v>
      </c>
    </row>
    <row r="172" spans="1:22" ht="18.5" x14ac:dyDescent="0.35">
      <c r="A172" s="141" t="s">
        <v>739</v>
      </c>
      <c r="B172" s="141" t="s">
        <v>720</v>
      </c>
      <c r="C172" s="141">
        <v>1104</v>
      </c>
      <c r="D172" s="141" t="s">
        <v>842</v>
      </c>
      <c r="E172" s="141">
        <v>1</v>
      </c>
      <c r="F172" s="142">
        <v>0.55000000000000004</v>
      </c>
      <c r="G172" s="141">
        <v>1</v>
      </c>
      <c r="H172" s="142">
        <v>0.66666669999999995</v>
      </c>
      <c r="I172" s="142">
        <v>0.52173910000000001</v>
      </c>
      <c r="J172" s="142">
        <v>0.57499999999999996</v>
      </c>
      <c r="K172" s="155"/>
      <c r="L172" s="141" t="s">
        <v>739</v>
      </c>
      <c r="M172" s="141" t="s">
        <v>720</v>
      </c>
      <c r="N172" s="141">
        <v>1104</v>
      </c>
      <c r="O172" s="141" t="s">
        <v>842</v>
      </c>
      <c r="P172" s="141">
        <v>4</v>
      </c>
      <c r="Q172" s="142">
        <v>0.58260869999999998</v>
      </c>
      <c r="R172" s="142">
        <v>0.76404490000000003</v>
      </c>
      <c r="S172" s="142">
        <v>0.96153840000000002</v>
      </c>
      <c r="T172" s="142">
        <v>0.3333333</v>
      </c>
      <c r="U172" s="142">
        <v>0.4479167</v>
      </c>
      <c r="V172" s="142">
        <v>0.61</v>
      </c>
    </row>
    <row r="173" spans="1:22" ht="18.5" x14ac:dyDescent="0.35">
      <c r="A173" s="141" t="s">
        <v>739</v>
      </c>
      <c r="B173" s="141" t="s">
        <v>720</v>
      </c>
      <c r="C173" s="141">
        <v>1671</v>
      </c>
      <c r="D173" s="141" t="s">
        <v>841</v>
      </c>
      <c r="E173" s="141">
        <v>1</v>
      </c>
      <c r="F173" s="142">
        <v>0.45</v>
      </c>
      <c r="G173" s="141">
        <v>1</v>
      </c>
      <c r="H173" s="142">
        <v>0.66666669999999995</v>
      </c>
      <c r="I173" s="142">
        <v>0.46739130000000001</v>
      </c>
      <c r="J173" s="142">
        <v>0.51249999999999996</v>
      </c>
      <c r="K173" s="155"/>
      <c r="L173" s="141" t="s">
        <v>739</v>
      </c>
      <c r="M173" s="141" t="s">
        <v>720</v>
      </c>
      <c r="N173" s="141">
        <v>1671</v>
      </c>
      <c r="O173" s="141" t="s">
        <v>841</v>
      </c>
      <c r="P173" s="141">
        <v>4</v>
      </c>
      <c r="Q173" s="142">
        <v>0.53383460000000005</v>
      </c>
      <c r="R173" s="142">
        <v>0.2315789</v>
      </c>
      <c r="S173" s="142">
        <v>1</v>
      </c>
      <c r="T173" s="142">
        <v>0.3</v>
      </c>
      <c r="U173" s="142">
        <v>0.40186909999999998</v>
      </c>
      <c r="V173" s="142">
        <v>0.48499999999999999</v>
      </c>
    </row>
    <row r="174" spans="1:22" ht="18.5" x14ac:dyDescent="0.35">
      <c r="A174" s="141" t="s">
        <v>739</v>
      </c>
      <c r="B174" s="141" t="s">
        <v>720</v>
      </c>
      <c r="C174" s="141">
        <v>1714</v>
      </c>
      <c r="D174" s="141" t="s">
        <v>842</v>
      </c>
      <c r="E174" s="141">
        <v>1</v>
      </c>
      <c r="F174" s="142">
        <v>0.53</v>
      </c>
      <c r="G174" s="141">
        <v>1</v>
      </c>
      <c r="H174" s="142">
        <v>0.94444439999999996</v>
      </c>
      <c r="I174" s="142">
        <v>0.71739129999999995</v>
      </c>
      <c r="J174" s="142">
        <v>0.68500000000000005</v>
      </c>
      <c r="K174" s="155"/>
      <c r="L174" s="141" t="s">
        <v>739</v>
      </c>
      <c r="M174" s="141" t="s">
        <v>720</v>
      </c>
      <c r="N174" s="141">
        <v>1714</v>
      </c>
      <c r="O174" s="141" t="s">
        <v>842</v>
      </c>
      <c r="P174" s="141">
        <v>4</v>
      </c>
      <c r="Q174" s="142">
        <v>0.1508621</v>
      </c>
      <c r="R174" s="142">
        <v>0.14141409999999999</v>
      </c>
      <c r="S174" s="142">
        <v>1</v>
      </c>
      <c r="T174" s="142">
        <v>0.14285709999999999</v>
      </c>
      <c r="U174" s="142">
        <v>0.1181818</v>
      </c>
      <c r="V174" s="142">
        <v>0.23874999999999999</v>
      </c>
    </row>
    <row r="175" spans="1:22" ht="18.5" x14ac:dyDescent="0.35">
      <c r="A175" s="141" t="s">
        <v>739</v>
      </c>
      <c r="B175" s="141" t="s">
        <v>720</v>
      </c>
      <c r="C175" s="141">
        <v>1743</v>
      </c>
      <c r="D175" s="141" t="s">
        <v>842</v>
      </c>
      <c r="E175" s="141">
        <v>1</v>
      </c>
      <c r="F175" s="142">
        <v>0.43</v>
      </c>
      <c r="G175" s="141">
        <v>1</v>
      </c>
      <c r="H175" s="142">
        <v>0.38888889999999998</v>
      </c>
      <c r="I175" s="142">
        <v>0.8586956</v>
      </c>
      <c r="J175" s="142">
        <v>0.51749999999999996</v>
      </c>
      <c r="K175" s="155"/>
      <c r="L175" s="141" t="s">
        <v>739</v>
      </c>
      <c r="M175" s="141" t="s">
        <v>720</v>
      </c>
      <c r="N175" s="141">
        <v>1743</v>
      </c>
      <c r="O175" s="141" t="s">
        <v>842</v>
      </c>
      <c r="P175" s="141">
        <v>4</v>
      </c>
      <c r="Q175" s="142">
        <v>0.34444449999999999</v>
      </c>
      <c r="R175" s="142">
        <v>0.3396226</v>
      </c>
      <c r="S175" s="142">
        <v>0.50909090000000001</v>
      </c>
      <c r="T175" s="142">
        <v>0.68421050000000005</v>
      </c>
      <c r="U175" s="142">
        <v>0.50450450000000002</v>
      </c>
      <c r="V175" s="142">
        <v>0.4425</v>
      </c>
    </row>
    <row r="176" spans="1:22" ht="18.5" x14ac:dyDescent="0.35">
      <c r="A176" s="141" t="s">
        <v>739</v>
      </c>
      <c r="B176" s="141" t="s">
        <v>720</v>
      </c>
      <c r="C176" s="141">
        <v>2150</v>
      </c>
      <c r="D176" s="141" t="s">
        <v>841</v>
      </c>
      <c r="E176" s="141">
        <v>1</v>
      </c>
      <c r="F176" s="142">
        <v>0.37</v>
      </c>
      <c r="G176" s="141">
        <v>1</v>
      </c>
      <c r="H176" s="142">
        <v>0.77777779999999996</v>
      </c>
      <c r="I176" s="142">
        <v>0.6413044</v>
      </c>
      <c r="J176" s="142">
        <v>0.54249999999999998</v>
      </c>
      <c r="K176" s="155"/>
      <c r="L176" s="141" t="s">
        <v>739</v>
      </c>
      <c r="M176" s="141" t="s">
        <v>720</v>
      </c>
      <c r="N176" s="141">
        <v>2150</v>
      </c>
      <c r="O176" s="141" t="s">
        <v>841</v>
      </c>
      <c r="P176" s="141">
        <v>4</v>
      </c>
      <c r="Q176" s="142">
        <v>0.45679009999999998</v>
      </c>
      <c r="R176" s="142">
        <v>0.42528739999999998</v>
      </c>
      <c r="S176" s="142">
        <v>0.625</v>
      </c>
      <c r="T176" s="142">
        <v>0.43589739999999999</v>
      </c>
      <c r="U176" s="142">
        <v>0.29268290000000002</v>
      </c>
      <c r="V176" s="142">
        <v>0.4425</v>
      </c>
    </row>
    <row r="177" spans="1:22" ht="18.5" x14ac:dyDescent="0.35">
      <c r="A177" s="141" t="s">
        <v>739</v>
      </c>
      <c r="B177" s="141" t="s">
        <v>720</v>
      </c>
      <c r="C177" s="141">
        <v>2153</v>
      </c>
      <c r="D177" s="141" t="s">
        <v>842</v>
      </c>
      <c r="E177" s="141">
        <v>1</v>
      </c>
      <c r="F177" s="142">
        <v>0.66</v>
      </c>
      <c r="G177" s="141">
        <v>1</v>
      </c>
      <c r="H177" s="142">
        <v>0.44444440000000002</v>
      </c>
      <c r="I177" s="142">
        <v>0.57608689999999996</v>
      </c>
      <c r="J177" s="142">
        <v>0.58250000000000002</v>
      </c>
      <c r="K177" s="155"/>
      <c r="L177" s="141" t="s">
        <v>739</v>
      </c>
      <c r="M177" s="141" t="s">
        <v>720</v>
      </c>
      <c r="N177" s="141">
        <v>2153</v>
      </c>
      <c r="O177" s="141" t="s">
        <v>842</v>
      </c>
      <c r="P177" s="141">
        <v>4</v>
      </c>
      <c r="Q177" s="142">
        <v>0.33636359999999998</v>
      </c>
      <c r="R177" s="142">
        <v>0.47126440000000003</v>
      </c>
      <c r="S177" s="142">
        <v>0.91666669999999995</v>
      </c>
      <c r="T177" s="142">
        <v>0.44</v>
      </c>
      <c r="U177" s="142">
        <v>0.38709680000000002</v>
      </c>
      <c r="V177" s="142">
        <v>0.47749999999999998</v>
      </c>
    </row>
    <row r="178" spans="1:22" ht="18.5" x14ac:dyDescent="0.35">
      <c r="A178" s="141" t="s">
        <v>739</v>
      </c>
      <c r="B178" s="141" t="s">
        <v>720</v>
      </c>
      <c r="C178" s="141">
        <v>2746</v>
      </c>
      <c r="D178" s="141" t="s">
        <v>663</v>
      </c>
      <c r="E178" s="141">
        <v>1</v>
      </c>
      <c r="F178" s="142">
        <v>0.62</v>
      </c>
      <c r="G178" s="141">
        <v>1</v>
      </c>
      <c r="H178" s="142">
        <v>0.88888889999999998</v>
      </c>
      <c r="I178" s="142">
        <v>0.59782610000000003</v>
      </c>
      <c r="J178" s="142">
        <v>0.6875</v>
      </c>
      <c r="K178" s="155"/>
      <c r="L178" s="141" t="s">
        <v>739</v>
      </c>
      <c r="M178" s="141" t="s">
        <v>720</v>
      </c>
      <c r="N178" s="141">
        <v>2746</v>
      </c>
      <c r="O178" s="141" t="s">
        <v>663</v>
      </c>
      <c r="P178" s="141">
        <v>4</v>
      </c>
      <c r="Q178" s="142">
        <v>0.79012349999999998</v>
      </c>
      <c r="R178" s="142">
        <v>0.65979379999999999</v>
      </c>
      <c r="S178" s="142">
        <v>0.93333330000000003</v>
      </c>
      <c r="T178" s="142">
        <v>0.5</v>
      </c>
      <c r="U178" s="142">
        <v>0.28037380000000001</v>
      </c>
      <c r="V178" s="142">
        <v>0.62</v>
      </c>
    </row>
    <row r="179" spans="1:22" ht="18.5" x14ac:dyDescent="0.35">
      <c r="A179" s="141" t="s">
        <v>739</v>
      </c>
      <c r="B179" s="141" t="s">
        <v>720</v>
      </c>
      <c r="C179" s="141">
        <v>4161</v>
      </c>
      <c r="D179" s="141" t="s">
        <v>663</v>
      </c>
      <c r="E179" s="141">
        <v>1</v>
      </c>
      <c r="F179" s="142">
        <v>0.19</v>
      </c>
      <c r="G179" s="141">
        <v>1</v>
      </c>
      <c r="H179" s="142">
        <v>0.61111110000000002</v>
      </c>
      <c r="I179" s="142">
        <v>0.57608689999999996</v>
      </c>
      <c r="J179" s="142">
        <v>0.39250000000000002</v>
      </c>
      <c r="K179" s="155"/>
      <c r="L179" s="141" t="s">
        <v>739</v>
      </c>
      <c r="M179" s="141" t="s">
        <v>720</v>
      </c>
      <c r="N179" s="141">
        <v>4161</v>
      </c>
      <c r="O179" s="141" t="s">
        <v>663</v>
      </c>
      <c r="P179" s="141">
        <v>4</v>
      </c>
      <c r="Q179" s="142">
        <v>0.40449439999999998</v>
      </c>
      <c r="R179" s="142">
        <v>0.65420560000000005</v>
      </c>
      <c r="S179" s="142">
        <v>1</v>
      </c>
      <c r="T179" s="142">
        <v>0.8</v>
      </c>
      <c r="U179" s="142">
        <v>0.45454549999999999</v>
      </c>
      <c r="V179" s="142">
        <v>0.6</v>
      </c>
    </row>
    <row r="180" spans="1:22" ht="18.5" x14ac:dyDescent="0.35">
      <c r="A180" s="141" t="s">
        <v>740</v>
      </c>
      <c r="B180" s="141" t="s">
        <v>730</v>
      </c>
      <c r="C180" s="141">
        <v>747</v>
      </c>
      <c r="D180" s="141" t="s">
        <v>841</v>
      </c>
      <c r="E180" s="141">
        <v>1</v>
      </c>
      <c r="F180" s="142">
        <v>0.3</v>
      </c>
      <c r="G180" s="141">
        <v>1</v>
      </c>
      <c r="H180" s="142">
        <v>0.3333333</v>
      </c>
      <c r="I180" s="142">
        <v>0.52173910000000001</v>
      </c>
      <c r="J180" s="142">
        <v>0.36</v>
      </c>
      <c r="K180" s="155"/>
      <c r="L180" s="141" t="s">
        <v>740</v>
      </c>
      <c r="M180" s="141" t="s">
        <v>730</v>
      </c>
      <c r="N180" s="141">
        <v>747</v>
      </c>
      <c r="O180" s="141" t="s">
        <v>841</v>
      </c>
      <c r="P180" s="141">
        <v>4</v>
      </c>
      <c r="Q180" s="142">
        <v>0.28787879999999999</v>
      </c>
      <c r="R180" s="142">
        <v>0.15116280000000001</v>
      </c>
      <c r="S180" s="142">
        <v>0.5</v>
      </c>
      <c r="T180" s="142">
        <v>0.1</v>
      </c>
      <c r="U180" s="142">
        <v>6.5217399999999995E-2</v>
      </c>
      <c r="V180" s="142">
        <v>0.22500000000000001</v>
      </c>
    </row>
    <row r="181" spans="1:22" ht="18.5" x14ac:dyDescent="0.35">
      <c r="A181" s="141" t="s">
        <v>740</v>
      </c>
      <c r="B181" s="141" t="s">
        <v>730</v>
      </c>
      <c r="C181" s="141">
        <v>751</v>
      </c>
      <c r="D181" s="141" t="s">
        <v>843</v>
      </c>
      <c r="E181" s="141">
        <v>1</v>
      </c>
      <c r="F181" s="142">
        <v>0.04</v>
      </c>
      <c r="G181" s="141">
        <v>1</v>
      </c>
      <c r="H181" s="142">
        <v>0.5</v>
      </c>
      <c r="I181" s="142">
        <v>0.4456522</v>
      </c>
      <c r="J181" s="142">
        <v>0.25750000000000001</v>
      </c>
      <c r="K181" s="155"/>
      <c r="L181" s="141" t="s">
        <v>740</v>
      </c>
      <c r="M181" s="141" t="s">
        <v>730</v>
      </c>
      <c r="N181" s="141">
        <v>751</v>
      </c>
      <c r="O181" s="141" t="s">
        <v>843</v>
      </c>
      <c r="P181" s="141">
        <v>4</v>
      </c>
      <c r="Q181" s="142">
        <v>0.37078650000000002</v>
      </c>
      <c r="R181" s="142">
        <v>0.2708333</v>
      </c>
      <c r="S181" s="142">
        <v>8.3333299999999999E-2</v>
      </c>
      <c r="T181" s="142">
        <v>8.6206900000000003E-2</v>
      </c>
      <c r="U181" s="142">
        <v>0.17525769999999999</v>
      </c>
      <c r="V181" s="142">
        <v>0.215</v>
      </c>
    </row>
    <row r="182" spans="1:22" ht="18.5" x14ac:dyDescent="0.35">
      <c r="A182" s="141" t="s">
        <v>740</v>
      </c>
      <c r="B182" s="141" t="s">
        <v>730</v>
      </c>
      <c r="C182" s="141">
        <v>2092</v>
      </c>
      <c r="D182" s="141" t="s">
        <v>842</v>
      </c>
      <c r="E182" s="141">
        <v>1</v>
      </c>
      <c r="F182" s="142">
        <v>0.63</v>
      </c>
      <c r="G182" s="141">
        <v>1</v>
      </c>
      <c r="H182" s="142">
        <v>0.38888889999999998</v>
      </c>
      <c r="I182" s="142">
        <v>0.5</v>
      </c>
      <c r="J182" s="142">
        <v>0.53500000000000003</v>
      </c>
      <c r="K182" s="155"/>
      <c r="L182" s="141" t="s">
        <v>740</v>
      </c>
      <c r="M182" s="141" t="s">
        <v>730</v>
      </c>
      <c r="N182" s="141">
        <v>2092</v>
      </c>
      <c r="O182" s="141" t="s">
        <v>842</v>
      </c>
      <c r="P182" s="141">
        <v>4</v>
      </c>
      <c r="Q182" s="142">
        <v>0.28488370000000002</v>
      </c>
      <c r="R182" s="142">
        <v>0.27272730000000001</v>
      </c>
      <c r="S182" s="142">
        <v>0.44776120000000003</v>
      </c>
      <c r="T182" s="142">
        <v>0.5263158</v>
      </c>
      <c r="U182" s="142">
        <v>7.2727299999999995E-2</v>
      </c>
      <c r="V182" s="142">
        <v>0.27374999999999999</v>
      </c>
    </row>
    <row r="183" spans="1:22" ht="18.5" x14ac:dyDescent="0.35">
      <c r="A183" s="141" t="s">
        <v>740</v>
      </c>
      <c r="B183" s="141" t="s">
        <v>730</v>
      </c>
      <c r="C183" s="141">
        <v>2093</v>
      </c>
      <c r="D183" s="141" t="s">
        <v>842</v>
      </c>
      <c r="E183" s="141">
        <v>1</v>
      </c>
      <c r="F183" s="142">
        <v>0.32</v>
      </c>
      <c r="G183" s="141">
        <v>1</v>
      </c>
      <c r="H183" s="142">
        <v>0.77777779999999996</v>
      </c>
      <c r="I183" s="142">
        <v>0.56521739999999998</v>
      </c>
      <c r="J183" s="142">
        <v>0.5</v>
      </c>
      <c r="K183" s="155"/>
      <c r="L183" s="141" t="s">
        <v>740</v>
      </c>
      <c r="M183" s="141" t="s">
        <v>730</v>
      </c>
      <c r="N183" s="141">
        <v>2093</v>
      </c>
      <c r="O183" s="141" t="s">
        <v>842</v>
      </c>
      <c r="P183" s="141">
        <v>4</v>
      </c>
      <c r="Q183" s="142">
        <v>0.33636359999999998</v>
      </c>
      <c r="R183" s="142">
        <v>0.1770833</v>
      </c>
      <c r="S183" s="142">
        <v>0.77941179999999999</v>
      </c>
      <c r="T183" s="142">
        <v>0.2</v>
      </c>
      <c r="U183" s="142">
        <v>0.3207547</v>
      </c>
      <c r="V183" s="142">
        <v>0.36249999999999999</v>
      </c>
    </row>
    <row r="184" spans="1:22" ht="18.5" x14ac:dyDescent="0.35">
      <c r="A184" s="141" t="s">
        <v>740</v>
      </c>
      <c r="B184" s="141" t="s">
        <v>730</v>
      </c>
      <c r="C184" s="141">
        <v>2185</v>
      </c>
      <c r="D184" s="141" t="s">
        <v>841</v>
      </c>
      <c r="E184" s="141">
        <v>1</v>
      </c>
      <c r="F184" s="142">
        <v>0.49</v>
      </c>
      <c r="G184" s="141">
        <v>1</v>
      </c>
      <c r="H184" s="142">
        <v>0.83333330000000005</v>
      </c>
      <c r="I184" s="142">
        <v>0.56521739999999998</v>
      </c>
      <c r="J184" s="142">
        <v>0.6</v>
      </c>
      <c r="K184" s="155"/>
      <c r="L184" s="141" t="s">
        <v>740</v>
      </c>
      <c r="M184" s="141" t="s">
        <v>730</v>
      </c>
      <c r="N184" s="141">
        <v>2185</v>
      </c>
      <c r="O184" s="141" t="s">
        <v>841</v>
      </c>
      <c r="P184" s="141">
        <v>4</v>
      </c>
      <c r="Q184" s="142">
        <v>0.41441440000000002</v>
      </c>
      <c r="R184" s="142">
        <v>0.40804600000000002</v>
      </c>
      <c r="S184" s="142">
        <v>0.86538459999999995</v>
      </c>
      <c r="T184" s="142">
        <v>0.20588239999999999</v>
      </c>
      <c r="U184" s="142">
        <v>0.17073169999999999</v>
      </c>
      <c r="V184" s="142">
        <v>0.38624999999999998</v>
      </c>
    </row>
    <row r="185" spans="1:22" ht="18.5" x14ac:dyDescent="0.35">
      <c r="A185" s="141" t="s">
        <v>740</v>
      </c>
      <c r="B185" s="141" t="s">
        <v>730</v>
      </c>
      <c r="C185" s="141">
        <v>2544</v>
      </c>
      <c r="D185" s="141" t="s">
        <v>841</v>
      </c>
      <c r="E185" s="141">
        <v>1</v>
      </c>
      <c r="F185" s="142">
        <v>0.23</v>
      </c>
      <c r="G185" s="141">
        <v>1</v>
      </c>
      <c r="H185" s="142">
        <v>0.38888889999999998</v>
      </c>
      <c r="I185" s="142">
        <v>0.51086960000000003</v>
      </c>
      <c r="J185" s="142">
        <v>0.33750000000000002</v>
      </c>
      <c r="K185" s="155"/>
      <c r="L185" s="141" t="s">
        <v>740</v>
      </c>
      <c r="M185" s="141" t="s">
        <v>730</v>
      </c>
      <c r="N185" s="141">
        <v>2544</v>
      </c>
      <c r="O185" s="141" t="s">
        <v>841</v>
      </c>
      <c r="P185" s="141">
        <v>4</v>
      </c>
      <c r="Q185" s="142">
        <v>0.39849620000000002</v>
      </c>
      <c r="R185" s="142">
        <v>0.41052630000000001</v>
      </c>
      <c r="S185" s="142">
        <v>0.81818179999999996</v>
      </c>
      <c r="T185" s="142">
        <v>0</v>
      </c>
      <c r="U185" s="142">
        <v>0.16822429999999999</v>
      </c>
      <c r="V185" s="142">
        <v>0.38750000000000001</v>
      </c>
    </row>
    <row r="186" spans="1:22" ht="18.5" x14ac:dyDescent="0.35">
      <c r="A186" s="141" t="s">
        <v>740</v>
      </c>
      <c r="B186" s="141" t="s">
        <v>730</v>
      </c>
      <c r="C186" s="141">
        <v>3639</v>
      </c>
      <c r="D186" s="141" t="s">
        <v>663</v>
      </c>
      <c r="E186" s="141">
        <v>1</v>
      </c>
      <c r="F186" s="142">
        <v>0.44</v>
      </c>
      <c r="G186" s="141">
        <v>1</v>
      </c>
      <c r="H186" s="142">
        <v>0.5</v>
      </c>
      <c r="I186" s="142">
        <v>0.52173910000000001</v>
      </c>
      <c r="J186" s="142">
        <v>0.47499999999999998</v>
      </c>
      <c r="K186" s="155"/>
      <c r="L186" s="141" t="s">
        <v>740</v>
      </c>
      <c r="M186" s="141" t="s">
        <v>730</v>
      </c>
      <c r="N186" s="141">
        <v>3639</v>
      </c>
      <c r="O186" s="141" t="s">
        <v>663</v>
      </c>
      <c r="P186" s="141">
        <v>4</v>
      </c>
      <c r="Q186" s="142">
        <v>0.18518519999999999</v>
      </c>
      <c r="R186" s="142">
        <v>0.2758621</v>
      </c>
      <c r="S186" s="142">
        <v>0.27777780000000002</v>
      </c>
      <c r="T186" s="142">
        <v>6.4102599999999996E-2</v>
      </c>
      <c r="U186" s="142">
        <v>0</v>
      </c>
      <c r="V186" s="142">
        <v>0.16</v>
      </c>
    </row>
    <row r="187" spans="1:22" ht="18.5" x14ac:dyDescent="0.35">
      <c r="A187" s="141" t="s">
        <v>740</v>
      </c>
      <c r="B187" s="141" t="s">
        <v>730</v>
      </c>
      <c r="C187" s="141">
        <v>4249</v>
      </c>
      <c r="D187" s="141" t="s">
        <v>663</v>
      </c>
      <c r="E187" s="141">
        <v>1</v>
      </c>
      <c r="F187" s="142">
        <v>0.56000000000000005</v>
      </c>
      <c r="G187" s="141">
        <v>1</v>
      </c>
      <c r="H187" s="142">
        <v>0.5</v>
      </c>
      <c r="I187" s="142">
        <v>0.45652169999999997</v>
      </c>
      <c r="J187" s="142">
        <v>0.52</v>
      </c>
      <c r="K187" s="155"/>
      <c r="L187" s="141" t="s">
        <v>740</v>
      </c>
      <c r="M187" s="141" t="s">
        <v>730</v>
      </c>
      <c r="N187" s="141">
        <v>4249</v>
      </c>
      <c r="O187" s="141" t="s">
        <v>663</v>
      </c>
      <c r="P187" s="141">
        <v>4</v>
      </c>
      <c r="Q187" s="142">
        <v>0.1860465</v>
      </c>
      <c r="R187" s="142">
        <v>0.22222220000000001</v>
      </c>
      <c r="S187" s="142">
        <v>0.67164179999999996</v>
      </c>
      <c r="T187" s="142">
        <v>0.5526316</v>
      </c>
      <c r="U187" s="142">
        <v>8.1818199999999994E-2</v>
      </c>
      <c r="V187" s="142">
        <v>0.28249999999999997</v>
      </c>
    </row>
    <row r="188" spans="1:22" ht="18.5" x14ac:dyDescent="0.35">
      <c r="A188" s="141" t="s">
        <v>740</v>
      </c>
      <c r="B188" s="141" t="s">
        <v>730</v>
      </c>
      <c r="C188" s="141">
        <v>4641</v>
      </c>
      <c r="D188" s="141" t="s">
        <v>663</v>
      </c>
      <c r="E188" s="141">
        <v>1</v>
      </c>
      <c r="F188" s="142">
        <v>0.73</v>
      </c>
      <c r="G188" s="141">
        <v>1</v>
      </c>
      <c r="H188" s="142">
        <v>0.77777779999999996</v>
      </c>
      <c r="I188" s="142">
        <v>0.54347829999999997</v>
      </c>
      <c r="J188" s="142">
        <v>0.7</v>
      </c>
      <c r="K188" s="155"/>
      <c r="L188" s="141" t="s">
        <v>740</v>
      </c>
      <c r="M188" s="141" t="s">
        <v>730</v>
      </c>
      <c r="N188" s="141">
        <v>4641</v>
      </c>
      <c r="O188" s="141" t="s">
        <v>663</v>
      </c>
      <c r="P188" s="141">
        <v>4</v>
      </c>
      <c r="Q188" s="142">
        <v>0.45045049999999998</v>
      </c>
      <c r="R188" s="142">
        <v>0.23809520000000001</v>
      </c>
      <c r="S188" s="142">
        <v>0.6349207</v>
      </c>
      <c r="T188" s="142"/>
      <c r="U188" s="142">
        <v>0.22314049999999999</v>
      </c>
      <c r="V188" s="142">
        <v>0.35499999999999998</v>
      </c>
    </row>
    <row r="189" spans="1:22" ht="18.5" x14ac:dyDescent="0.35">
      <c r="A189" s="141" t="s">
        <v>740</v>
      </c>
      <c r="B189" s="141" t="s">
        <v>730</v>
      </c>
      <c r="C189" s="141">
        <v>4642</v>
      </c>
      <c r="D189" s="141" t="s">
        <v>663</v>
      </c>
      <c r="E189" s="141">
        <v>1</v>
      </c>
      <c r="F189" s="142">
        <v>0.52</v>
      </c>
      <c r="G189" s="141">
        <v>1</v>
      </c>
      <c r="H189" s="142">
        <v>0.77777779999999996</v>
      </c>
      <c r="I189" s="142">
        <v>0.51086960000000003</v>
      </c>
      <c r="J189" s="142">
        <v>0.58750000000000002</v>
      </c>
      <c r="K189" s="155"/>
      <c r="L189" s="141" t="s">
        <v>740</v>
      </c>
      <c r="M189" s="141" t="s">
        <v>730</v>
      </c>
      <c r="N189" s="141">
        <v>4642</v>
      </c>
      <c r="O189" s="141" t="s">
        <v>663</v>
      </c>
      <c r="P189" s="141">
        <v>4</v>
      </c>
      <c r="Q189" s="142">
        <v>0.17283950000000001</v>
      </c>
      <c r="R189" s="142">
        <v>0.14285709999999999</v>
      </c>
      <c r="S189" s="142">
        <v>0.3333333</v>
      </c>
      <c r="T189" s="142">
        <v>0.05</v>
      </c>
      <c r="U189" s="142">
        <v>1.88679E-2</v>
      </c>
      <c r="V189" s="142">
        <v>0.14249999999999999</v>
      </c>
    </row>
    <row r="190" spans="1:22" ht="18.5" x14ac:dyDescent="0.35">
      <c r="A190" s="141" t="s">
        <v>740</v>
      </c>
      <c r="B190" s="141" t="s">
        <v>730</v>
      </c>
      <c r="C190" s="141">
        <v>4645</v>
      </c>
      <c r="D190" s="141" t="s">
        <v>663</v>
      </c>
      <c r="E190" s="141">
        <v>1</v>
      </c>
      <c r="F190" s="142">
        <v>0.5</v>
      </c>
      <c r="G190" s="141">
        <v>1</v>
      </c>
      <c r="H190" s="142">
        <v>0.44444440000000002</v>
      </c>
      <c r="I190" s="142">
        <v>0.67391310000000004</v>
      </c>
      <c r="J190" s="142">
        <v>0.52500000000000002</v>
      </c>
      <c r="K190" s="155"/>
      <c r="L190" s="141" t="s">
        <v>740</v>
      </c>
      <c r="M190" s="141" t="s">
        <v>730</v>
      </c>
      <c r="N190" s="141">
        <v>4645</v>
      </c>
      <c r="O190" s="141" t="s">
        <v>663</v>
      </c>
      <c r="P190" s="141">
        <v>4</v>
      </c>
      <c r="Q190" s="142">
        <v>0.27819549999999998</v>
      </c>
      <c r="R190" s="142">
        <v>0.1309524</v>
      </c>
      <c r="S190" s="142">
        <v>0.57692310000000002</v>
      </c>
      <c r="T190" s="142">
        <v>0.1458333</v>
      </c>
      <c r="U190" s="142">
        <v>0.1204819</v>
      </c>
      <c r="V190" s="142">
        <v>0.23749999999999999</v>
      </c>
    </row>
    <row r="191" spans="1:22" ht="18.5" x14ac:dyDescent="0.35">
      <c r="A191" s="141" t="s">
        <v>740</v>
      </c>
      <c r="B191" s="141" t="s">
        <v>730</v>
      </c>
      <c r="C191" s="141">
        <v>4729</v>
      </c>
      <c r="D191" s="141" t="s">
        <v>663</v>
      </c>
      <c r="E191" s="141">
        <v>1</v>
      </c>
      <c r="F191" s="142">
        <v>0.61</v>
      </c>
      <c r="G191" s="141">
        <v>1</v>
      </c>
      <c r="H191" s="142">
        <v>0.66666669999999995</v>
      </c>
      <c r="I191" s="142">
        <v>0.48913040000000002</v>
      </c>
      <c r="J191" s="142">
        <v>0.59750000000000003</v>
      </c>
      <c r="K191" s="155"/>
      <c r="L191" s="141" t="s">
        <v>740</v>
      </c>
      <c r="M191" s="141" t="s">
        <v>730</v>
      </c>
      <c r="N191" s="141">
        <v>4729</v>
      </c>
      <c r="O191" s="141" t="s">
        <v>663</v>
      </c>
      <c r="P191" s="141">
        <v>4</v>
      </c>
      <c r="Q191" s="142">
        <v>0.2234043</v>
      </c>
      <c r="R191" s="142">
        <v>8.2568799999999998E-2</v>
      </c>
      <c r="S191" s="142">
        <v>0.54545460000000001</v>
      </c>
      <c r="T191" s="142">
        <v>0.55555560000000004</v>
      </c>
      <c r="U191" s="142">
        <v>4.03226E-2</v>
      </c>
      <c r="V191" s="142">
        <v>0.1875</v>
      </c>
    </row>
    <row r="192" spans="1:22" ht="18.5" x14ac:dyDescent="0.35">
      <c r="A192" s="141" t="s">
        <v>740</v>
      </c>
      <c r="B192" s="141" t="s">
        <v>730</v>
      </c>
      <c r="C192" s="141">
        <v>6868</v>
      </c>
      <c r="D192" s="141" t="s">
        <v>663</v>
      </c>
      <c r="E192" s="141">
        <v>2</v>
      </c>
      <c r="F192" s="142">
        <v>0.52500000000000002</v>
      </c>
      <c r="G192" s="141">
        <v>0</v>
      </c>
      <c r="H192" s="142"/>
      <c r="I192" s="142"/>
      <c r="J192" s="142">
        <v>0.52500000000000002</v>
      </c>
      <c r="K192" s="155"/>
      <c r="L192" s="141" t="s">
        <v>740</v>
      </c>
      <c r="M192" s="141" t="s">
        <v>730</v>
      </c>
      <c r="N192" s="141">
        <v>6868</v>
      </c>
      <c r="O192" s="141" t="s">
        <v>663</v>
      </c>
      <c r="P192" s="141">
        <v>2</v>
      </c>
      <c r="Q192" s="142">
        <v>0.53658539999999999</v>
      </c>
      <c r="R192" s="142">
        <v>0.43478260000000002</v>
      </c>
      <c r="S192" s="142">
        <v>0.375</v>
      </c>
      <c r="T192" s="142">
        <v>0.5263158</v>
      </c>
      <c r="U192" s="142">
        <v>9.3023300000000003E-2</v>
      </c>
      <c r="V192" s="142">
        <v>0.39</v>
      </c>
    </row>
    <row r="193" spans="1:22" ht="18.5" x14ac:dyDescent="0.35">
      <c r="A193" s="141" t="s">
        <v>740</v>
      </c>
      <c r="B193" s="141" t="s">
        <v>730</v>
      </c>
      <c r="C193" s="141">
        <v>10315</v>
      </c>
      <c r="D193" s="141" t="s">
        <v>842</v>
      </c>
      <c r="E193" s="141">
        <v>1</v>
      </c>
      <c r="F193" s="142">
        <v>0.39</v>
      </c>
      <c r="G193" s="141">
        <v>1</v>
      </c>
      <c r="H193" s="142">
        <v>0.61111110000000002</v>
      </c>
      <c r="I193" s="142">
        <v>0.5</v>
      </c>
      <c r="J193" s="142">
        <v>0.47499999999999998</v>
      </c>
      <c r="K193" s="155"/>
      <c r="L193" s="141" t="s">
        <v>740</v>
      </c>
      <c r="M193" s="141" t="s">
        <v>730</v>
      </c>
      <c r="N193" s="141">
        <v>10315</v>
      </c>
      <c r="O193" s="141" t="s">
        <v>842</v>
      </c>
      <c r="P193" s="141">
        <v>4</v>
      </c>
      <c r="Q193" s="142">
        <v>0.31764710000000002</v>
      </c>
      <c r="R193" s="142">
        <v>0.17777780000000001</v>
      </c>
      <c r="S193" s="142">
        <v>0.4166667</v>
      </c>
      <c r="T193" s="142">
        <v>0.48275859999999998</v>
      </c>
      <c r="U193" s="142">
        <v>0.1157895</v>
      </c>
      <c r="V193" s="142">
        <v>0.28000000000000003</v>
      </c>
    </row>
    <row r="194" spans="1:22" ht="18.5" x14ac:dyDescent="0.35">
      <c r="A194" s="141" t="s">
        <v>740</v>
      </c>
      <c r="B194" s="141" t="s">
        <v>730</v>
      </c>
      <c r="C194" s="141">
        <v>10317</v>
      </c>
      <c r="D194" s="141" t="s">
        <v>842</v>
      </c>
      <c r="E194" s="141">
        <v>1</v>
      </c>
      <c r="F194" s="142">
        <v>0.62</v>
      </c>
      <c r="G194" s="141">
        <v>1</v>
      </c>
      <c r="H194" s="142">
        <v>0.83333330000000005</v>
      </c>
      <c r="I194" s="142">
        <v>0.61956520000000004</v>
      </c>
      <c r="J194" s="142">
        <v>0.67749999999999999</v>
      </c>
      <c r="K194" s="155"/>
      <c r="L194" s="141" t="s">
        <v>740</v>
      </c>
      <c r="M194" s="141" t="s">
        <v>730</v>
      </c>
      <c r="N194" s="141">
        <v>10317</v>
      </c>
      <c r="O194" s="141" t="s">
        <v>842</v>
      </c>
      <c r="P194" s="141">
        <v>4</v>
      </c>
      <c r="Q194" s="142">
        <v>0.43333329999999998</v>
      </c>
      <c r="R194" s="142">
        <v>0.42452830000000003</v>
      </c>
      <c r="S194" s="142">
        <v>0.45454549999999999</v>
      </c>
      <c r="T194" s="142">
        <v>0.68421050000000005</v>
      </c>
      <c r="U194" s="142">
        <v>0.1081081</v>
      </c>
      <c r="V194" s="142">
        <v>0.36749999999999999</v>
      </c>
    </row>
    <row r="195" spans="1:22" ht="18.5" x14ac:dyDescent="0.35">
      <c r="A195" s="141" t="s">
        <v>740</v>
      </c>
      <c r="B195" s="141" t="s">
        <v>730</v>
      </c>
      <c r="C195" s="141">
        <v>10324</v>
      </c>
      <c r="D195" s="141" t="s">
        <v>663</v>
      </c>
      <c r="E195" s="141">
        <v>1</v>
      </c>
      <c r="F195" s="142">
        <v>0.28999999999999998</v>
      </c>
      <c r="G195" s="141">
        <v>1</v>
      </c>
      <c r="H195" s="142">
        <v>0.55555560000000004</v>
      </c>
      <c r="I195" s="142">
        <v>0.52173910000000001</v>
      </c>
      <c r="J195" s="142">
        <v>0.41499999999999998</v>
      </c>
      <c r="K195" s="155"/>
      <c r="L195" s="141" t="s">
        <v>740</v>
      </c>
      <c r="M195" s="141" t="s">
        <v>730</v>
      </c>
      <c r="N195" s="141">
        <v>10324</v>
      </c>
      <c r="O195" s="141" t="s">
        <v>663</v>
      </c>
      <c r="P195" s="141">
        <v>4</v>
      </c>
      <c r="Q195" s="142">
        <v>0.2752809</v>
      </c>
      <c r="R195" s="142">
        <v>0.1979167</v>
      </c>
      <c r="S195" s="142">
        <v>0.1666667</v>
      </c>
      <c r="T195" s="142">
        <v>5.1724100000000002E-2</v>
      </c>
      <c r="U195" s="142">
        <v>0.2783505</v>
      </c>
      <c r="V195" s="142">
        <v>0.20874999999999999</v>
      </c>
    </row>
    <row r="196" spans="1:22" ht="18.5" x14ac:dyDescent="0.35">
      <c r="A196" s="141" t="s">
        <v>741</v>
      </c>
      <c r="B196" s="141" t="s">
        <v>736</v>
      </c>
      <c r="C196" s="141">
        <v>50</v>
      </c>
      <c r="D196" s="141" t="s">
        <v>2452</v>
      </c>
      <c r="E196" s="141">
        <v>1</v>
      </c>
      <c r="F196" s="142">
        <v>0.28999999999999998</v>
      </c>
      <c r="G196" s="141">
        <v>1</v>
      </c>
      <c r="H196" s="142">
        <v>0.72222220000000004</v>
      </c>
      <c r="I196" s="142">
        <v>0.83695649999999999</v>
      </c>
      <c r="J196" s="142">
        <v>0.53249999999999997</v>
      </c>
      <c r="K196" s="155"/>
      <c r="L196" s="141" t="s">
        <v>741</v>
      </c>
      <c r="M196" s="141" t="s">
        <v>736</v>
      </c>
      <c r="N196" s="141">
        <v>50</v>
      </c>
      <c r="O196" s="141" t="s">
        <v>2452</v>
      </c>
      <c r="P196" s="141">
        <v>4</v>
      </c>
      <c r="Q196" s="142">
        <v>0.58536580000000005</v>
      </c>
      <c r="R196" s="142">
        <v>0.64948450000000002</v>
      </c>
      <c r="S196" s="142">
        <v>0.62686569999999997</v>
      </c>
      <c r="T196" s="142">
        <v>0.58620689999999998</v>
      </c>
      <c r="U196" s="142">
        <v>0.2916667</v>
      </c>
      <c r="V196" s="142">
        <v>0.53749999999999998</v>
      </c>
    </row>
    <row r="197" spans="1:22" ht="18.5" x14ac:dyDescent="0.35">
      <c r="A197" s="141" t="s">
        <v>741</v>
      </c>
      <c r="B197" s="141" t="s">
        <v>736</v>
      </c>
      <c r="C197" s="141">
        <v>58</v>
      </c>
      <c r="D197" s="141" t="s">
        <v>841</v>
      </c>
      <c r="E197" s="141">
        <v>1</v>
      </c>
      <c r="F197" s="142">
        <v>0.26</v>
      </c>
      <c r="G197" s="141">
        <v>1</v>
      </c>
      <c r="H197" s="142">
        <v>0.61111110000000002</v>
      </c>
      <c r="I197" s="142">
        <v>0.48913040000000002</v>
      </c>
      <c r="J197" s="142">
        <v>0.40749999999999997</v>
      </c>
      <c r="K197" s="155"/>
      <c r="L197" s="141" t="s">
        <v>741</v>
      </c>
      <c r="M197" s="141" t="s">
        <v>736</v>
      </c>
      <c r="N197" s="141">
        <v>58</v>
      </c>
      <c r="O197" s="141" t="s">
        <v>841</v>
      </c>
      <c r="P197" s="141">
        <v>4</v>
      </c>
      <c r="Q197" s="142">
        <v>0.1941177</v>
      </c>
      <c r="R197" s="142">
        <v>0.43820229999999999</v>
      </c>
      <c r="S197" s="142">
        <v>0.4166667</v>
      </c>
      <c r="T197" s="142">
        <v>0.10344830000000001</v>
      </c>
      <c r="U197" s="142">
        <v>1.0416699999999999E-2</v>
      </c>
      <c r="V197" s="142">
        <v>0.23125000000000001</v>
      </c>
    </row>
    <row r="198" spans="1:22" ht="18.5" x14ac:dyDescent="0.35">
      <c r="A198" s="141" t="s">
        <v>741</v>
      </c>
      <c r="B198" s="141" t="s">
        <v>736</v>
      </c>
      <c r="C198" s="141">
        <v>1025</v>
      </c>
      <c r="D198" s="141" t="s">
        <v>842</v>
      </c>
      <c r="E198" s="141">
        <v>1</v>
      </c>
      <c r="F198" s="142">
        <v>0.42</v>
      </c>
      <c r="G198" s="141">
        <v>1</v>
      </c>
      <c r="H198" s="142">
        <v>0.72222220000000004</v>
      </c>
      <c r="I198" s="142">
        <v>0.34782610000000003</v>
      </c>
      <c r="J198" s="142">
        <v>0.48499999999999999</v>
      </c>
      <c r="K198" s="155"/>
      <c r="L198" s="141" t="s">
        <v>741</v>
      </c>
      <c r="M198" s="141" t="s">
        <v>736</v>
      </c>
      <c r="N198" s="141">
        <v>1025</v>
      </c>
      <c r="O198" s="141" t="s">
        <v>842</v>
      </c>
      <c r="P198" s="141">
        <v>4</v>
      </c>
      <c r="Q198" s="142">
        <v>0.81818179999999996</v>
      </c>
      <c r="R198" s="142">
        <v>0.79381440000000003</v>
      </c>
      <c r="S198" s="142">
        <v>0.92647060000000003</v>
      </c>
      <c r="T198" s="142">
        <v>0.375</v>
      </c>
      <c r="U198" s="142">
        <v>0.7570093</v>
      </c>
      <c r="V198" s="142">
        <v>0.77</v>
      </c>
    </row>
    <row r="199" spans="1:22" ht="18.5" x14ac:dyDescent="0.35">
      <c r="A199" s="141" t="s">
        <v>741</v>
      </c>
      <c r="B199" s="141" t="s">
        <v>736</v>
      </c>
      <c r="C199" s="141">
        <v>1545</v>
      </c>
      <c r="D199" s="141" t="s">
        <v>841</v>
      </c>
      <c r="E199" s="141">
        <v>1</v>
      </c>
      <c r="F199" s="142">
        <v>0.33</v>
      </c>
      <c r="G199" s="141">
        <v>1</v>
      </c>
      <c r="H199" s="142">
        <v>0.55555560000000004</v>
      </c>
      <c r="I199" s="142">
        <v>0.46739130000000001</v>
      </c>
      <c r="J199" s="142">
        <v>0.42249999999999999</v>
      </c>
      <c r="K199" s="155"/>
      <c r="L199" s="141" t="s">
        <v>741</v>
      </c>
      <c r="M199" s="141" t="s">
        <v>736</v>
      </c>
      <c r="N199" s="141">
        <v>1545</v>
      </c>
      <c r="O199" s="141" t="s">
        <v>841</v>
      </c>
      <c r="P199" s="141">
        <v>4</v>
      </c>
      <c r="Q199" s="142">
        <v>0.79166669999999995</v>
      </c>
      <c r="R199" s="142">
        <v>0.88823529999999995</v>
      </c>
      <c r="S199" s="142">
        <v>0.83333330000000005</v>
      </c>
      <c r="T199" s="142">
        <v>0.43333329999999998</v>
      </c>
      <c r="U199" s="142">
        <v>0.72043009999999996</v>
      </c>
      <c r="V199" s="142">
        <v>0.77500000000000002</v>
      </c>
    </row>
    <row r="200" spans="1:22" ht="18.5" x14ac:dyDescent="0.35">
      <c r="A200" s="141" t="s">
        <v>741</v>
      </c>
      <c r="B200" s="141" t="s">
        <v>736</v>
      </c>
      <c r="C200" s="141">
        <v>1548</v>
      </c>
      <c r="D200" s="141" t="s">
        <v>842</v>
      </c>
      <c r="E200" s="141">
        <v>1</v>
      </c>
      <c r="F200" s="142">
        <v>0.2</v>
      </c>
      <c r="G200" s="141">
        <v>1</v>
      </c>
      <c r="H200" s="142">
        <v>0.3333333</v>
      </c>
      <c r="I200" s="142">
        <v>0.53260870000000005</v>
      </c>
      <c r="J200" s="142">
        <v>0.3125</v>
      </c>
      <c r="K200" s="155"/>
      <c r="L200" s="141" t="s">
        <v>741</v>
      </c>
      <c r="M200" s="141" t="s">
        <v>736</v>
      </c>
      <c r="N200" s="141">
        <v>1548</v>
      </c>
      <c r="O200" s="141" t="s">
        <v>842</v>
      </c>
      <c r="P200" s="141">
        <v>4</v>
      </c>
      <c r="Q200" s="142">
        <v>0.54511279999999995</v>
      </c>
      <c r="R200" s="142">
        <v>0.33684209999999998</v>
      </c>
      <c r="S200" s="142">
        <v>0.45454549999999999</v>
      </c>
      <c r="T200" s="142">
        <v>0</v>
      </c>
      <c r="U200" s="142">
        <v>0.41121489999999999</v>
      </c>
      <c r="V200" s="142">
        <v>0.43375000000000002</v>
      </c>
    </row>
    <row r="201" spans="1:22" ht="18.5" x14ac:dyDescent="0.35">
      <c r="A201" s="141" t="s">
        <v>741</v>
      </c>
      <c r="B201" s="141" t="s">
        <v>736</v>
      </c>
      <c r="C201" s="141">
        <v>1961</v>
      </c>
      <c r="D201" s="141" t="s">
        <v>842</v>
      </c>
      <c r="E201" s="141">
        <v>1</v>
      </c>
      <c r="F201" s="142">
        <v>0.63</v>
      </c>
      <c r="G201" s="141">
        <v>1</v>
      </c>
      <c r="H201" s="142">
        <v>0.3333333</v>
      </c>
      <c r="I201" s="142">
        <v>0.68478260000000002</v>
      </c>
      <c r="J201" s="142">
        <v>0.5625</v>
      </c>
      <c r="K201" s="155"/>
      <c r="L201" s="141" t="s">
        <v>741</v>
      </c>
      <c r="M201" s="141" t="s">
        <v>736</v>
      </c>
      <c r="N201" s="141">
        <v>1961</v>
      </c>
      <c r="O201" s="141" t="s">
        <v>842</v>
      </c>
      <c r="P201" s="141">
        <v>4</v>
      </c>
      <c r="Q201" s="142">
        <v>0.48235289999999997</v>
      </c>
      <c r="R201" s="142">
        <v>0.3</v>
      </c>
      <c r="S201" s="142">
        <v>0.72222220000000004</v>
      </c>
      <c r="T201" s="142">
        <v>0.1896552</v>
      </c>
      <c r="U201" s="142">
        <v>0.29473680000000002</v>
      </c>
      <c r="V201" s="142">
        <v>0.39750000000000002</v>
      </c>
    </row>
    <row r="202" spans="1:22" ht="18.5" x14ac:dyDescent="0.35">
      <c r="A202" s="141" t="s">
        <v>741</v>
      </c>
      <c r="B202" s="141" t="s">
        <v>736</v>
      </c>
      <c r="C202" s="141">
        <v>1962</v>
      </c>
      <c r="D202" s="141" t="s">
        <v>842</v>
      </c>
      <c r="E202" s="141">
        <v>1</v>
      </c>
      <c r="F202" s="142">
        <v>0.28999999999999998</v>
      </c>
      <c r="G202" s="141">
        <v>1</v>
      </c>
      <c r="H202" s="142">
        <v>0.5</v>
      </c>
      <c r="I202" s="142">
        <v>0.32608700000000002</v>
      </c>
      <c r="J202" s="142">
        <v>0.35499999999999998</v>
      </c>
      <c r="K202" s="155"/>
      <c r="L202" s="141" t="s">
        <v>741</v>
      </c>
      <c r="M202" s="141" t="s">
        <v>736</v>
      </c>
      <c r="N202" s="141">
        <v>1962</v>
      </c>
      <c r="O202" s="141" t="s">
        <v>842</v>
      </c>
      <c r="P202" s="141">
        <v>4</v>
      </c>
      <c r="Q202" s="142">
        <v>0.75280899999999995</v>
      </c>
      <c r="R202" s="142">
        <v>0.70833330000000005</v>
      </c>
      <c r="S202" s="142">
        <v>0.83333330000000005</v>
      </c>
      <c r="T202" s="142">
        <v>0.81034479999999998</v>
      </c>
      <c r="U202" s="142">
        <v>0.67010309999999995</v>
      </c>
      <c r="V202" s="142">
        <v>0.74250000000000005</v>
      </c>
    </row>
    <row r="203" spans="1:22" ht="18.5" x14ac:dyDescent="0.35">
      <c r="A203" s="141" t="s">
        <v>741</v>
      </c>
      <c r="B203" s="141" t="s">
        <v>736</v>
      </c>
      <c r="C203" s="141">
        <v>2292</v>
      </c>
      <c r="D203" s="141" t="s">
        <v>663</v>
      </c>
      <c r="E203" s="141">
        <v>1</v>
      </c>
      <c r="F203" s="142">
        <v>0.45</v>
      </c>
      <c r="G203" s="141">
        <v>1</v>
      </c>
      <c r="H203" s="142">
        <v>0.72222220000000004</v>
      </c>
      <c r="I203" s="142">
        <v>0.52173910000000001</v>
      </c>
      <c r="J203" s="142">
        <v>0.54</v>
      </c>
      <c r="K203" s="155"/>
      <c r="L203" s="141" t="s">
        <v>741</v>
      </c>
      <c r="M203" s="141" t="s">
        <v>736</v>
      </c>
      <c r="N203" s="141">
        <v>2292</v>
      </c>
      <c r="O203" s="141" t="s">
        <v>663</v>
      </c>
      <c r="P203" s="141">
        <v>4</v>
      </c>
      <c r="Q203" s="142">
        <v>0.71910110000000005</v>
      </c>
      <c r="R203" s="142">
        <v>0.8125</v>
      </c>
      <c r="S203" s="142">
        <v>0.96666660000000004</v>
      </c>
      <c r="T203" s="142">
        <v>0.79310349999999996</v>
      </c>
      <c r="U203" s="142">
        <v>0.64948450000000002</v>
      </c>
      <c r="V203" s="142">
        <v>0.77249999999999996</v>
      </c>
    </row>
    <row r="204" spans="1:22" ht="18.5" x14ac:dyDescent="0.35">
      <c r="A204" s="141" t="s">
        <v>741</v>
      </c>
      <c r="B204" s="141" t="s">
        <v>736</v>
      </c>
      <c r="C204" s="141">
        <v>2298</v>
      </c>
      <c r="D204" s="141" t="s">
        <v>663</v>
      </c>
      <c r="E204" s="141">
        <v>1</v>
      </c>
      <c r="F204" s="142">
        <v>0.46</v>
      </c>
      <c r="G204" s="141">
        <v>1</v>
      </c>
      <c r="H204" s="142">
        <v>0.94444439999999996</v>
      </c>
      <c r="I204" s="142">
        <v>0.54347829999999997</v>
      </c>
      <c r="J204" s="142">
        <v>0.61</v>
      </c>
      <c r="K204" s="155"/>
      <c r="L204" s="141" t="s">
        <v>741</v>
      </c>
      <c r="M204" s="141" t="s">
        <v>736</v>
      </c>
      <c r="N204" s="141">
        <v>2298</v>
      </c>
      <c r="O204" s="141" t="s">
        <v>663</v>
      </c>
      <c r="P204" s="141">
        <v>4</v>
      </c>
      <c r="Q204" s="142">
        <v>0.15909090000000001</v>
      </c>
      <c r="R204" s="142">
        <v>0.22680410000000001</v>
      </c>
      <c r="S204" s="142">
        <v>0.73529409999999995</v>
      </c>
      <c r="T204" s="142">
        <v>0.125</v>
      </c>
      <c r="U204" s="142">
        <v>2.8037400000000001E-2</v>
      </c>
      <c r="V204" s="142">
        <v>0.23499999999999999</v>
      </c>
    </row>
    <row r="205" spans="1:22" ht="18.5" x14ac:dyDescent="0.35">
      <c r="A205" s="141" t="s">
        <v>741</v>
      </c>
      <c r="B205" s="141" t="s">
        <v>736</v>
      </c>
      <c r="C205" s="141">
        <v>3033</v>
      </c>
      <c r="D205" s="141" t="s">
        <v>663</v>
      </c>
      <c r="E205" s="141">
        <v>1</v>
      </c>
      <c r="F205" s="142">
        <v>0.61</v>
      </c>
      <c r="G205" s="141">
        <v>1</v>
      </c>
      <c r="H205" s="142">
        <v>0.66666669999999995</v>
      </c>
      <c r="I205" s="142">
        <v>0.54347829999999997</v>
      </c>
      <c r="J205" s="142">
        <v>0.61</v>
      </c>
      <c r="K205" s="155"/>
      <c r="L205" s="141" t="s">
        <v>741</v>
      </c>
      <c r="M205" s="141" t="s">
        <v>736</v>
      </c>
      <c r="N205" s="141">
        <v>3033</v>
      </c>
      <c r="O205" s="141" t="s">
        <v>663</v>
      </c>
      <c r="P205" s="141">
        <v>4</v>
      </c>
      <c r="Q205" s="142">
        <v>0.82882880000000003</v>
      </c>
      <c r="R205" s="142">
        <v>0.81976740000000003</v>
      </c>
      <c r="S205" s="142">
        <v>0.80769230000000003</v>
      </c>
      <c r="T205" s="142">
        <v>0.55882350000000003</v>
      </c>
      <c r="U205" s="142">
        <v>0.55421690000000001</v>
      </c>
      <c r="V205" s="142">
        <v>0.72124999999999995</v>
      </c>
    </row>
    <row r="206" spans="1:22" ht="18.5" x14ac:dyDescent="0.35">
      <c r="A206" s="141" t="s">
        <v>741</v>
      </c>
      <c r="B206" s="141" t="s">
        <v>736</v>
      </c>
      <c r="C206" s="141">
        <v>3135</v>
      </c>
      <c r="D206" s="141" t="s">
        <v>663</v>
      </c>
      <c r="E206" s="141">
        <v>1</v>
      </c>
      <c r="F206" s="142">
        <v>0.53</v>
      </c>
      <c r="G206" s="141">
        <v>1</v>
      </c>
      <c r="H206" s="142">
        <v>0.38888889999999998</v>
      </c>
      <c r="I206" s="142">
        <v>0.53260870000000005</v>
      </c>
      <c r="J206" s="142">
        <v>0.49249999999999999</v>
      </c>
      <c r="K206" s="155"/>
      <c r="L206" s="141" t="s">
        <v>741</v>
      </c>
      <c r="M206" s="141" t="s">
        <v>736</v>
      </c>
      <c r="N206" s="141">
        <v>3135</v>
      </c>
      <c r="O206" s="141" t="s">
        <v>663</v>
      </c>
      <c r="P206" s="141">
        <v>4</v>
      </c>
      <c r="Q206" s="142">
        <v>0.16949149999999999</v>
      </c>
      <c r="R206" s="142">
        <v>0.39175260000000001</v>
      </c>
      <c r="S206" s="142">
        <v>0.72916669999999995</v>
      </c>
      <c r="T206" s="142">
        <v>0.46666669999999999</v>
      </c>
      <c r="U206" s="142">
        <v>0.26168219999999998</v>
      </c>
      <c r="V206" s="142">
        <v>0.33750000000000002</v>
      </c>
    </row>
    <row r="207" spans="1:22" ht="18.5" x14ac:dyDescent="0.35">
      <c r="A207" s="141" t="s">
        <v>742</v>
      </c>
      <c r="B207" s="141" t="s">
        <v>743</v>
      </c>
      <c r="C207" s="141">
        <v>682</v>
      </c>
      <c r="D207" s="141" t="s">
        <v>2452</v>
      </c>
      <c r="E207" s="141">
        <v>1</v>
      </c>
      <c r="F207" s="142">
        <v>0.48</v>
      </c>
      <c r="G207" s="141">
        <v>1</v>
      </c>
      <c r="H207" s="142">
        <v>5.5555599999999997E-2</v>
      </c>
      <c r="I207" s="142">
        <v>0.70652170000000003</v>
      </c>
      <c r="J207" s="142">
        <v>0.41749999999999998</v>
      </c>
      <c r="K207" s="155"/>
      <c r="L207" s="141" t="s">
        <v>742</v>
      </c>
      <c r="M207" s="141" t="s">
        <v>743</v>
      </c>
      <c r="N207" s="141">
        <v>682</v>
      </c>
      <c r="O207" s="141" t="s">
        <v>2452</v>
      </c>
      <c r="P207" s="141">
        <v>4</v>
      </c>
      <c r="Q207" s="142">
        <v>0.21982760000000001</v>
      </c>
      <c r="R207" s="142">
        <v>0.22222220000000001</v>
      </c>
      <c r="S207" s="142">
        <v>0.21276600000000001</v>
      </c>
      <c r="T207" s="142">
        <v>0.42857139999999999</v>
      </c>
      <c r="U207" s="142">
        <v>0.1727273</v>
      </c>
      <c r="V207" s="142">
        <v>0.22125</v>
      </c>
    </row>
    <row r="208" spans="1:22" ht="18.5" x14ac:dyDescent="0.35">
      <c r="A208" s="141" t="s">
        <v>742</v>
      </c>
      <c r="B208" s="141" t="s">
        <v>743</v>
      </c>
      <c r="C208" s="141">
        <v>864</v>
      </c>
      <c r="D208" s="141" t="s">
        <v>841</v>
      </c>
      <c r="E208" s="141">
        <v>1</v>
      </c>
      <c r="F208" s="142">
        <v>0.51</v>
      </c>
      <c r="G208" s="141">
        <v>1</v>
      </c>
      <c r="H208" s="142">
        <v>1</v>
      </c>
      <c r="I208" s="142">
        <v>0.57608689999999996</v>
      </c>
      <c r="J208" s="142">
        <v>0.65749999999999997</v>
      </c>
      <c r="K208" s="155"/>
      <c r="L208" s="141" t="s">
        <v>742</v>
      </c>
      <c r="M208" s="141" t="s">
        <v>743</v>
      </c>
      <c r="N208" s="141">
        <v>864</v>
      </c>
      <c r="O208" s="141" t="s">
        <v>841</v>
      </c>
      <c r="P208" s="141">
        <v>4</v>
      </c>
      <c r="Q208" s="142">
        <v>0.78682169999999996</v>
      </c>
      <c r="R208" s="142">
        <v>0.86956520000000004</v>
      </c>
      <c r="S208" s="142">
        <v>1</v>
      </c>
      <c r="T208" s="142">
        <v>0.2</v>
      </c>
      <c r="U208" s="142">
        <v>0.69148929999999997</v>
      </c>
      <c r="V208" s="142">
        <v>0.76875000000000004</v>
      </c>
    </row>
    <row r="209" spans="1:22" ht="18.5" x14ac:dyDescent="0.35">
      <c r="A209" s="141" t="s">
        <v>742</v>
      </c>
      <c r="B209" s="141" t="s">
        <v>743</v>
      </c>
      <c r="C209" s="141">
        <v>867</v>
      </c>
      <c r="D209" s="141" t="s">
        <v>841</v>
      </c>
      <c r="E209" s="141">
        <v>1</v>
      </c>
      <c r="F209" s="142">
        <v>0.56000000000000005</v>
      </c>
      <c r="G209" s="141">
        <v>1</v>
      </c>
      <c r="H209" s="142">
        <v>0.72222220000000004</v>
      </c>
      <c r="I209" s="142">
        <v>0.51086960000000003</v>
      </c>
      <c r="J209" s="142">
        <v>0.59250000000000003</v>
      </c>
      <c r="K209" s="155"/>
      <c r="L209" s="141" t="s">
        <v>742</v>
      </c>
      <c r="M209" s="141" t="s">
        <v>743</v>
      </c>
      <c r="N209" s="141">
        <v>867</v>
      </c>
      <c r="O209" s="141" t="s">
        <v>841</v>
      </c>
      <c r="P209" s="141">
        <v>4</v>
      </c>
      <c r="Q209" s="142">
        <v>0.69852939999999997</v>
      </c>
      <c r="R209" s="142">
        <v>0.71739129999999995</v>
      </c>
      <c r="S209" s="142">
        <v>0.89583330000000005</v>
      </c>
      <c r="T209" s="142">
        <v>0.63333329999999999</v>
      </c>
      <c r="U209" s="142">
        <v>0.62765959999999998</v>
      </c>
      <c r="V209" s="142">
        <v>0.70499999999999996</v>
      </c>
    </row>
    <row r="210" spans="1:22" ht="18.5" x14ac:dyDescent="0.35">
      <c r="A210" s="141" t="s">
        <v>742</v>
      </c>
      <c r="B210" s="141" t="s">
        <v>743</v>
      </c>
      <c r="C210" s="141">
        <v>870</v>
      </c>
      <c r="D210" s="141" t="s">
        <v>841</v>
      </c>
      <c r="E210" s="141">
        <v>1</v>
      </c>
      <c r="F210" s="142">
        <v>0.1</v>
      </c>
      <c r="G210" s="141">
        <v>1</v>
      </c>
      <c r="H210" s="142">
        <v>0.94444439999999996</v>
      </c>
      <c r="I210" s="142">
        <v>1</v>
      </c>
      <c r="J210" s="142">
        <v>0.53500000000000003</v>
      </c>
      <c r="K210" s="155"/>
      <c r="L210" s="141" t="s">
        <v>742</v>
      </c>
      <c r="M210" s="141" t="s">
        <v>743</v>
      </c>
      <c r="N210" s="141">
        <v>870</v>
      </c>
      <c r="O210" s="141" t="s">
        <v>841</v>
      </c>
      <c r="P210" s="141">
        <v>4</v>
      </c>
      <c r="Q210" s="142">
        <v>0.74774770000000002</v>
      </c>
      <c r="R210" s="142">
        <v>0.49473689999999998</v>
      </c>
      <c r="S210" s="142">
        <v>0.96666660000000004</v>
      </c>
      <c r="T210" s="142">
        <v>0.5526316</v>
      </c>
      <c r="U210" s="142">
        <v>0.4583333</v>
      </c>
      <c r="V210" s="142">
        <v>0.63249999999999995</v>
      </c>
    </row>
    <row r="211" spans="1:22" ht="18.5" x14ac:dyDescent="0.35">
      <c r="A211" s="141" t="s">
        <v>742</v>
      </c>
      <c r="B211" s="141" t="s">
        <v>743</v>
      </c>
      <c r="C211" s="141">
        <v>2131</v>
      </c>
      <c r="D211" s="141" t="s">
        <v>842</v>
      </c>
      <c r="E211" s="141">
        <v>1</v>
      </c>
      <c r="F211" s="142">
        <v>0.44</v>
      </c>
      <c r="G211" s="141">
        <v>1</v>
      </c>
      <c r="H211" s="142">
        <v>0.27777780000000002</v>
      </c>
      <c r="I211" s="142">
        <v>0.5</v>
      </c>
      <c r="J211" s="142">
        <v>0.41</v>
      </c>
      <c r="K211" s="155"/>
      <c r="L211" s="141" t="s">
        <v>742</v>
      </c>
      <c r="M211" s="141" t="s">
        <v>743</v>
      </c>
      <c r="N211" s="141">
        <v>2131</v>
      </c>
      <c r="O211" s="141" t="s">
        <v>842</v>
      </c>
      <c r="P211" s="141">
        <v>4</v>
      </c>
      <c r="Q211" s="142">
        <v>0.71171169999999995</v>
      </c>
      <c r="R211" s="142">
        <v>0.62765959999999998</v>
      </c>
      <c r="S211" s="142">
        <v>0.91666669999999995</v>
      </c>
      <c r="T211" s="142">
        <v>0.73684210000000006</v>
      </c>
      <c r="U211" s="142">
        <v>0.51546389999999997</v>
      </c>
      <c r="V211" s="142">
        <v>0.67749999999999999</v>
      </c>
    </row>
    <row r="212" spans="1:22" ht="18.5" x14ac:dyDescent="0.35">
      <c r="A212" s="141" t="s">
        <v>742</v>
      </c>
      <c r="B212" s="141" t="s">
        <v>743</v>
      </c>
      <c r="C212" s="141">
        <v>2136</v>
      </c>
      <c r="D212" s="141" t="s">
        <v>842</v>
      </c>
      <c r="E212" s="141">
        <v>1</v>
      </c>
      <c r="F212" s="142">
        <v>0.62</v>
      </c>
      <c r="G212" s="141">
        <v>1</v>
      </c>
      <c r="H212" s="142">
        <v>1</v>
      </c>
      <c r="I212" s="142">
        <v>0.95652170000000003</v>
      </c>
      <c r="J212" s="142">
        <v>0.8</v>
      </c>
      <c r="K212" s="155"/>
      <c r="L212" s="141" t="s">
        <v>742</v>
      </c>
      <c r="M212" s="141" t="s">
        <v>743</v>
      </c>
      <c r="N212" s="141">
        <v>2136</v>
      </c>
      <c r="O212" s="141" t="s">
        <v>842</v>
      </c>
      <c r="P212" s="141">
        <v>4</v>
      </c>
      <c r="Q212" s="142">
        <v>0.70676689999999998</v>
      </c>
      <c r="R212" s="142">
        <v>0.87368420000000002</v>
      </c>
      <c r="S212" s="142">
        <v>0.72727269999999999</v>
      </c>
      <c r="T212" s="142">
        <v>0</v>
      </c>
      <c r="U212" s="142">
        <v>0.47663549999999999</v>
      </c>
      <c r="V212" s="142">
        <v>0.67</v>
      </c>
    </row>
    <row r="213" spans="1:22" ht="18.5" x14ac:dyDescent="0.35">
      <c r="A213" s="141" t="s">
        <v>742</v>
      </c>
      <c r="B213" s="141" t="s">
        <v>743</v>
      </c>
      <c r="C213" s="141">
        <v>2978</v>
      </c>
      <c r="D213" s="141" t="s">
        <v>663</v>
      </c>
      <c r="E213" s="141">
        <v>1</v>
      </c>
      <c r="F213" s="142">
        <v>0.61</v>
      </c>
      <c r="G213" s="141">
        <v>1</v>
      </c>
      <c r="H213" s="142">
        <v>0.61111110000000002</v>
      </c>
      <c r="I213" s="142">
        <v>0.52173910000000001</v>
      </c>
      <c r="J213" s="142">
        <v>0.59</v>
      </c>
      <c r="K213" s="155"/>
      <c r="L213" s="141" t="s">
        <v>742</v>
      </c>
      <c r="M213" s="141" t="s">
        <v>743</v>
      </c>
      <c r="N213" s="141">
        <v>2978</v>
      </c>
      <c r="O213" s="141" t="s">
        <v>663</v>
      </c>
      <c r="P213" s="141">
        <v>4</v>
      </c>
      <c r="Q213" s="142">
        <v>0.82317070000000003</v>
      </c>
      <c r="R213" s="142">
        <v>0.4166667</v>
      </c>
      <c r="S213" s="142">
        <v>0.59701490000000002</v>
      </c>
      <c r="T213" s="142">
        <v>0.25862069999999998</v>
      </c>
      <c r="U213" s="142">
        <v>0.49484539999999999</v>
      </c>
      <c r="V213" s="142">
        <v>0.52625</v>
      </c>
    </row>
    <row r="214" spans="1:22" ht="18.5" x14ac:dyDescent="0.35">
      <c r="A214" s="141" t="s">
        <v>742</v>
      </c>
      <c r="B214" s="141" t="s">
        <v>743</v>
      </c>
      <c r="C214" s="141">
        <v>4395</v>
      </c>
      <c r="D214" s="141" t="s">
        <v>663</v>
      </c>
      <c r="E214" s="141">
        <v>1</v>
      </c>
      <c r="F214" s="142">
        <v>0.35</v>
      </c>
      <c r="G214" s="141">
        <v>1</v>
      </c>
      <c r="H214" s="142">
        <v>1</v>
      </c>
      <c r="I214" s="142">
        <v>0.82608689999999996</v>
      </c>
      <c r="J214" s="142">
        <v>0.63500000000000001</v>
      </c>
      <c r="K214" s="155"/>
      <c r="L214" s="141" t="s">
        <v>742</v>
      </c>
      <c r="M214" s="141" t="s">
        <v>743</v>
      </c>
      <c r="N214" s="141">
        <v>4395</v>
      </c>
      <c r="O214" s="141" t="s">
        <v>663</v>
      </c>
      <c r="P214" s="141">
        <v>4</v>
      </c>
      <c r="Q214" s="142">
        <v>0.87727270000000002</v>
      </c>
      <c r="R214" s="142">
        <v>0.88505739999999999</v>
      </c>
      <c r="S214" s="142">
        <v>0.83333330000000005</v>
      </c>
      <c r="T214" s="142">
        <v>0.72</v>
      </c>
      <c r="U214" s="142">
        <v>0.61290319999999998</v>
      </c>
      <c r="V214" s="142">
        <v>0.79125000000000001</v>
      </c>
    </row>
    <row r="215" spans="1:22" ht="18.5" x14ac:dyDescent="0.35">
      <c r="A215" s="141" t="s">
        <v>742</v>
      </c>
      <c r="B215" s="141" t="s">
        <v>743</v>
      </c>
      <c r="C215" s="141">
        <v>4396</v>
      </c>
      <c r="D215" s="141" t="s">
        <v>663</v>
      </c>
      <c r="E215" s="141">
        <v>1</v>
      </c>
      <c r="F215" s="142">
        <v>0.55000000000000004</v>
      </c>
      <c r="G215" s="141">
        <v>1</v>
      </c>
      <c r="H215" s="142">
        <v>0.55555560000000004</v>
      </c>
      <c r="I215" s="142">
        <v>0.8586956</v>
      </c>
      <c r="J215" s="142">
        <v>0.62250000000000005</v>
      </c>
      <c r="K215" s="155"/>
      <c r="L215" s="141" t="s">
        <v>742</v>
      </c>
      <c r="M215" s="141" t="s">
        <v>743</v>
      </c>
      <c r="N215" s="141">
        <v>4396</v>
      </c>
      <c r="O215" s="141" t="s">
        <v>663</v>
      </c>
      <c r="P215" s="141">
        <v>4</v>
      </c>
      <c r="Q215" s="142">
        <v>0.84642859999999998</v>
      </c>
      <c r="R215" s="142">
        <v>0.75789479999999998</v>
      </c>
      <c r="S215" s="142">
        <v>0.58333330000000005</v>
      </c>
      <c r="T215" s="142">
        <v>0</v>
      </c>
      <c r="U215" s="142">
        <v>0.51401870000000005</v>
      </c>
      <c r="V215" s="142">
        <v>0.68374999999999997</v>
      </c>
    </row>
    <row r="216" spans="1:22" ht="18.5" x14ac:dyDescent="0.35">
      <c r="A216" s="141" t="s">
        <v>742</v>
      </c>
      <c r="B216" s="141" t="s">
        <v>743</v>
      </c>
      <c r="C216" s="141">
        <v>4399</v>
      </c>
      <c r="D216" s="141" t="s">
        <v>663</v>
      </c>
      <c r="E216" s="141">
        <v>1</v>
      </c>
      <c r="F216" s="142">
        <v>0.59</v>
      </c>
      <c r="G216" s="141">
        <v>1</v>
      </c>
      <c r="H216" s="142">
        <v>0.94444439999999996</v>
      </c>
      <c r="I216" s="142">
        <v>0.6413044</v>
      </c>
      <c r="J216" s="142">
        <v>0.69750000000000001</v>
      </c>
      <c r="K216" s="155"/>
      <c r="L216" s="141" t="s">
        <v>742</v>
      </c>
      <c r="M216" s="141" t="s">
        <v>743</v>
      </c>
      <c r="N216" s="141">
        <v>4399</v>
      </c>
      <c r="O216" s="141" t="s">
        <v>663</v>
      </c>
      <c r="P216" s="141">
        <v>4</v>
      </c>
      <c r="Q216" s="142">
        <v>0.45161289999999998</v>
      </c>
      <c r="R216" s="142">
        <v>0.5</v>
      </c>
      <c r="S216" s="142">
        <v>0.38333329999999999</v>
      </c>
      <c r="T216" s="142">
        <v>0.2368421</v>
      </c>
      <c r="U216" s="142">
        <v>0.27522940000000001</v>
      </c>
      <c r="V216" s="142">
        <v>0.38500000000000001</v>
      </c>
    </row>
    <row r="217" spans="1:22" ht="18.5" x14ac:dyDescent="0.35">
      <c r="A217" s="141" t="s">
        <v>742</v>
      </c>
      <c r="B217" s="141" t="s">
        <v>743</v>
      </c>
      <c r="C217" s="141">
        <v>4402</v>
      </c>
      <c r="D217" s="141" t="s">
        <v>663</v>
      </c>
      <c r="E217" s="141">
        <v>2</v>
      </c>
      <c r="F217" s="142">
        <v>0.35</v>
      </c>
      <c r="G217" s="141">
        <v>0</v>
      </c>
      <c r="H217" s="142"/>
      <c r="I217" s="142"/>
      <c r="J217" s="142">
        <v>0.35</v>
      </c>
      <c r="K217" s="155"/>
      <c r="L217" s="141" t="s">
        <v>742</v>
      </c>
      <c r="M217" s="141" t="s">
        <v>743</v>
      </c>
      <c r="N217" s="141">
        <v>4402</v>
      </c>
      <c r="O217" s="141" t="s">
        <v>663</v>
      </c>
      <c r="P217" s="141">
        <v>4</v>
      </c>
      <c r="Q217" s="142">
        <v>0.65730339999999998</v>
      </c>
      <c r="R217" s="142">
        <v>0.55208330000000005</v>
      </c>
      <c r="S217" s="142">
        <v>0.53333339999999996</v>
      </c>
      <c r="T217" s="142">
        <v>0.7241379</v>
      </c>
      <c r="U217" s="142">
        <v>0.68041240000000003</v>
      </c>
      <c r="V217" s="142">
        <v>0.62875000000000003</v>
      </c>
    </row>
    <row r="218" spans="1:22" ht="18.5" x14ac:dyDescent="0.35">
      <c r="A218" s="141" t="s">
        <v>744</v>
      </c>
      <c r="B218" s="141" t="s">
        <v>743</v>
      </c>
      <c r="C218" s="141">
        <v>396</v>
      </c>
      <c r="D218" s="141" t="s">
        <v>841</v>
      </c>
      <c r="E218" s="141">
        <v>1</v>
      </c>
      <c r="F218" s="142">
        <v>0.68</v>
      </c>
      <c r="G218" s="141">
        <v>1</v>
      </c>
      <c r="H218" s="142">
        <v>0.88888889999999998</v>
      </c>
      <c r="I218" s="142">
        <v>0.76086960000000003</v>
      </c>
      <c r="J218" s="142">
        <v>0.755</v>
      </c>
      <c r="K218" s="155"/>
      <c r="L218" s="141" t="s">
        <v>744</v>
      </c>
      <c r="M218" s="141" t="s">
        <v>743</v>
      </c>
      <c r="N218" s="141">
        <v>396</v>
      </c>
      <c r="O218" s="141" t="s">
        <v>841</v>
      </c>
      <c r="P218" s="141">
        <v>4</v>
      </c>
      <c r="Q218" s="142">
        <v>0.8387097</v>
      </c>
      <c r="R218" s="142">
        <v>0.78787879999999999</v>
      </c>
      <c r="S218" s="142">
        <v>1</v>
      </c>
      <c r="T218" s="142">
        <v>0.8947368</v>
      </c>
      <c r="U218" s="142">
        <v>0.84545459999999995</v>
      </c>
      <c r="V218" s="142">
        <v>0.85750000000000004</v>
      </c>
    </row>
    <row r="219" spans="1:22" ht="18.5" x14ac:dyDescent="0.35">
      <c r="A219" s="141" t="s">
        <v>744</v>
      </c>
      <c r="B219" s="141" t="s">
        <v>743</v>
      </c>
      <c r="C219" s="141">
        <v>1590</v>
      </c>
      <c r="D219" s="141" t="s">
        <v>843</v>
      </c>
      <c r="E219" s="141">
        <v>1</v>
      </c>
      <c r="F219" s="142">
        <v>0.57999999999999996</v>
      </c>
      <c r="G219" s="141">
        <v>1</v>
      </c>
      <c r="H219" s="142">
        <v>0.61111110000000002</v>
      </c>
      <c r="I219" s="142">
        <v>0.41304350000000001</v>
      </c>
      <c r="J219" s="142">
        <v>0.55000000000000004</v>
      </c>
      <c r="K219" s="155"/>
      <c r="L219" s="141" t="s">
        <v>744</v>
      </c>
      <c r="M219" s="141" t="s">
        <v>743</v>
      </c>
      <c r="N219" s="141">
        <v>1590</v>
      </c>
      <c r="O219" s="141" t="s">
        <v>843</v>
      </c>
      <c r="P219" s="141">
        <v>4</v>
      </c>
      <c r="Q219" s="142">
        <v>0.74757280000000004</v>
      </c>
      <c r="R219" s="142">
        <v>0.58823530000000002</v>
      </c>
      <c r="S219" s="142">
        <v>0.58333330000000005</v>
      </c>
      <c r="T219" s="142">
        <v>0.5</v>
      </c>
      <c r="U219" s="142">
        <v>0.41463410000000001</v>
      </c>
      <c r="V219" s="142">
        <v>0.57999999999999996</v>
      </c>
    </row>
    <row r="220" spans="1:22" ht="18.5" x14ac:dyDescent="0.35">
      <c r="A220" s="141" t="s">
        <v>744</v>
      </c>
      <c r="B220" s="141" t="s">
        <v>743</v>
      </c>
      <c r="C220" s="141">
        <v>1891</v>
      </c>
      <c r="D220" s="141" t="s">
        <v>842</v>
      </c>
      <c r="E220" s="141">
        <v>1</v>
      </c>
      <c r="F220" s="142">
        <v>0.71</v>
      </c>
      <c r="G220" s="141">
        <v>1</v>
      </c>
      <c r="H220" s="142">
        <v>0.83333330000000005</v>
      </c>
      <c r="I220" s="142">
        <v>0.81521739999999998</v>
      </c>
      <c r="J220" s="142">
        <v>0.76749999999999996</v>
      </c>
      <c r="K220" s="155"/>
      <c r="L220" s="141" t="s">
        <v>744</v>
      </c>
      <c r="M220" s="141" t="s">
        <v>743</v>
      </c>
      <c r="N220" s="141">
        <v>1891</v>
      </c>
      <c r="O220" s="141" t="s">
        <v>842</v>
      </c>
      <c r="P220" s="141">
        <v>4</v>
      </c>
      <c r="Q220" s="142">
        <v>0.92156859999999996</v>
      </c>
      <c r="R220" s="142">
        <v>0.97647059999999997</v>
      </c>
      <c r="S220" s="142">
        <v>1</v>
      </c>
      <c r="T220" s="142">
        <v>1</v>
      </c>
      <c r="U220" s="142">
        <v>0.91397850000000003</v>
      </c>
      <c r="V220" s="142">
        <v>0.95499999999999996</v>
      </c>
    </row>
    <row r="221" spans="1:22" ht="18.5" x14ac:dyDescent="0.35">
      <c r="A221" s="141" t="s">
        <v>744</v>
      </c>
      <c r="B221" s="141" t="s">
        <v>743</v>
      </c>
      <c r="C221" s="141">
        <v>1945</v>
      </c>
      <c r="D221" s="141" t="s">
        <v>842</v>
      </c>
      <c r="E221" s="141">
        <v>1</v>
      </c>
      <c r="F221" s="142">
        <v>0.59</v>
      </c>
      <c r="G221" s="141">
        <v>1</v>
      </c>
      <c r="H221" s="142">
        <v>0.72222220000000004</v>
      </c>
      <c r="I221" s="142">
        <v>0.71739129999999995</v>
      </c>
      <c r="J221" s="142">
        <v>0.65500000000000003</v>
      </c>
      <c r="K221" s="155"/>
      <c r="L221" s="141" t="s">
        <v>744</v>
      </c>
      <c r="M221" s="141" t="s">
        <v>743</v>
      </c>
      <c r="N221" s="141">
        <v>1945</v>
      </c>
      <c r="O221" s="141" t="s">
        <v>842</v>
      </c>
      <c r="P221" s="141">
        <v>4</v>
      </c>
      <c r="Q221" s="142">
        <v>0.82196970000000003</v>
      </c>
      <c r="R221" s="142">
        <v>0.62352940000000001</v>
      </c>
      <c r="S221" s="142">
        <v>0.83333330000000005</v>
      </c>
      <c r="T221" s="142">
        <v>0.46666669999999999</v>
      </c>
      <c r="U221" s="142">
        <v>0.5053763</v>
      </c>
      <c r="V221" s="142">
        <v>0.68125000000000002</v>
      </c>
    </row>
    <row r="222" spans="1:22" ht="18.5" x14ac:dyDescent="0.35">
      <c r="A222" s="141" t="s">
        <v>744</v>
      </c>
      <c r="B222" s="141" t="s">
        <v>743</v>
      </c>
      <c r="C222" s="141">
        <v>2022</v>
      </c>
      <c r="D222" s="141" t="s">
        <v>842</v>
      </c>
      <c r="E222" s="141">
        <v>1</v>
      </c>
      <c r="F222" s="142">
        <v>0.69</v>
      </c>
      <c r="G222" s="141">
        <v>1</v>
      </c>
      <c r="H222" s="142">
        <v>1</v>
      </c>
      <c r="I222" s="142">
        <v>0.77173910000000001</v>
      </c>
      <c r="J222" s="142">
        <v>0.79249999999999998</v>
      </c>
      <c r="K222" s="155"/>
      <c r="L222" s="141" t="s">
        <v>744</v>
      </c>
      <c r="M222" s="141" t="s">
        <v>743</v>
      </c>
      <c r="N222" s="141">
        <v>2022</v>
      </c>
      <c r="O222" s="141" t="s">
        <v>842</v>
      </c>
      <c r="P222" s="141">
        <v>4</v>
      </c>
      <c r="Q222" s="142">
        <v>1</v>
      </c>
      <c r="R222" s="142">
        <v>0.96511630000000004</v>
      </c>
      <c r="S222" s="142">
        <v>1</v>
      </c>
      <c r="T222" s="142">
        <v>0.80769230000000003</v>
      </c>
      <c r="U222" s="142">
        <v>0.83132530000000004</v>
      </c>
      <c r="V222" s="142">
        <v>0.92</v>
      </c>
    </row>
    <row r="223" spans="1:22" ht="18.5" x14ac:dyDescent="0.35">
      <c r="A223" s="141" t="s">
        <v>744</v>
      </c>
      <c r="B223" s="141" t="s">
        <v>743</v>
      </c>
      <c r="C223" s="141">
        <v>2023</v>
      </c>
      <c r="D223" s="141" t="s">
        <v>663</v>
      </c>
      <c r="E223" s="141">
        <v>1</v>
      </c>
      <c r="F223" s="142">
        <v>0.69</v>
      </c>
      <c r="G223" s="141">
        <v>1</v>
      </c>
      <c r="H223" s="142">
        <v>1</v>
      </c>
      <c r="I223" s="142">
        <v>0.70652170000000003</v>
      </c>
      <c r="J223" s="142">
        <v>0.77749999999999997</v>
      </c>
      <c r="K223" s="155"/>
      <c r="L223" s="141" t="s">
        <v>744</v>
      </c>
      <c r="M223" s="141" t="s">
        <v>743</v>
      </c>
      <c r="N223" s="141">
        <v>2023</v>
      </c>
      <c r="O223" s="141" t="s">
        <v>663</v>
      </c>
      <c r="P223" s="141">
        <v>4</v>
      </c>
      <c r="Q223" s="142">
        <v>0.59009009999999995</v>
      </c>
      <c r="R223" s="142">
        <v>0.5</v>
      </c>
      <c r="S223" s="142">
        <v>0.48076920000000001</v>
      </c>
      <c r="T223" s="142">
        <v>0.55882350000000003</v>
      </c>
      <c r="U223" s="142">
        <v>0.72289159999999997</v>
      </c>
      <c r="V223" s="142">
        <v>0.57874999999999999</v>
      </c>
    </row>
    <row r="224" spans="1:22" ht="18.5" x14ac:dyDescent="0.35">
      <c r="A224" s="141" t="s">
        <v>744</v>
      </c>
      <c r="B224" s="141" t="s">
        <v>743</v>
      </c>
      <c r="C224" s="141">
        <v>2708</v>
      </c>
      <c r="D224" s="141" t="s">
        <v>663</v>
      </c>
      <c r="E224" s="141">
        <v>1</v>
      </c>
      <c r="F224" s="142">
        <v>0.44</v>
      </c>
      <c r="G224" s="141">
        <v>1</v>
      </c>
      <c r="H224" s="142">
        <v>0.66666669999999995</v>
      </c>
      <c r="I224" s="142">
        <v>0.55434779999999995</v>
      </c>
      <c r="J224" s="142">
        <v>0.52749999999999997</v>
      </c>
      <c r="K224" s="155"/>
      <c r="L224" s="141" t="s">
        <v>744</v>
      </c>
      <c r="M224" s="141" t="s">
        <v>743</v>
      </c>
      <c r="N224" s="141">
        <v>2708</v>
      </c>
      <c r="O224" s="141" t="s">
        <v>663</v>
      </c>
      <c r="P224" s="141">
        <v>4</v>
      </c>
      <c r="Q224" s="142">
        <v>0.44144139999999998</v>
      </c>
      <c r="R224" s="142">
        <v>0.44186049999999999</v>
      </c>
      <c r="S224" s="142">
        <v>0.48076920000000001</v>
      </c>
      <c r="T224" s="142">
        <v>0.6323529</v>
      </c>
      <c r="U224" s="142">
        <v>0.14457829999999999</v>
      </c>
      <c r="V224" s="142">
        <v>0.41749999999999998</v>
      </c>
    </row>
    <row r="225" spans="1:22" ht="18.5" x14ac:dyDescent="0.35">
      <c r="A225" s="141" t="s">
        <v>744</v>
      </c>
      <c r="B225" s="141" t="s">
        <v>743</v>
      </c>
      <c r="C225" s="141">
        <v>3171</v>
      </c>
      <c r="D225" s="141" t="s">
        <v>663</v>
      </c>
      <c r="E225" s="141">
        <v>1</v>
      </c>
      <c r="F225" s="142">
        <v>0.64</v>
      </c>
      <c r="G225" s="141">
        <v>1</v>
      </c>
      <c r="H225" s="142">
        <v>1</v>
      </c>
      <c r="I225" s="142">
        <v>0.80434779999999995</v>
      </c>
      <c r="J225" s="142">
        <v>0.77500000000000002</v>
      </c>
      <c r="K225" s="155"/>
      <c r="L225" s="141" t="s">
        <v>744</v>
      </c>
      <c r="M225" s="141" t="s">
        <v>743</v>
      </c>
      <c r="N225" s="141">
        <v>3171</v>
      </c>
      <c r="O225" s="141" t="s">
        <v>663</v>
      </c>
      <c r="P225" s="141">
        <v>4</v>
      </c>
      <c r="Q225" s="142">
        <v>0.21249999999999999</v>
      </c>
      <c r="R225" s="142">
        <v>0.1136364</v>
      </c>
      <c r="S225" s="142">
        <v>0.4375</v>
      </c>
      <c r="T225" s="142">
        <v>0.31666670000000002</v>
      </c>
      <c r="U225" s="142">
        <v>8.6956500000000006E-2</v>
      </c>
      <c r="V225" s="142">
        <v>0.2225</v>
      </c>
    </row>
    <row r="226" spans="1:22" ht="18.5" x14ac:dyDescent="0.35">
      <c r="A226" s="141" t="s">
        <v>744</v>
      </c>
      <c r="B226" s="141" t="s">
        <v>743</v>
      </c>
      <c r="C226" s="141">
        <v>3172</v>
      </c>
      <c r="D226" s="141" t="s">
        <v>663</v>
      </c>
      <c r="E226" s="141">
        <v>1</v>
      </c>
      <c r="F226" s="142">
        <v>0.65</v>
      </c>
      <c r="G226" s="141">
        <v>1</v>
      </c>
      <c r="H226" s="142">
        <v>1</v>
      </c>
      <c r="I226" s="142">
        <v>0.77173910000000001</v>
      </c>
      <c r="J226" s="142">
        <v>0.77249999999999996</v>
      </c>
      <c r="K226" s="155"/>
      <c r="L226" s="141" t="s">
        <v>744</v>
      </c>
      <c r="M226" s="141" t="s">
        <v>743</v>
      </c>
      <c r="N226" s="141">
        <v>3172</v>
      </c>
      <c r="O226" s="141" t="s">
        <v>663</v>
      </c>
      <c r="P226" s="141">
        <v>4</v>
      </c>
      <c r="Q226" s="142">
        <v>1</v>
      </c>
      <c r="R226" s="142">
        <v>1</v>
      </c>
      <c r="S226" s="142">
        <v>1</v>
      </c>
      <c r="T226" s="142">
        <v>0.92857140000000005</v>
      </c>
      <c r="U226" s="142">
        <v>0.90909090000000004</v>
      </c>
      <c r="V226" s="142">
        <v>0.97</v>
      </c>
    </row>
    <row r="227" spans="1:22" ht="18.5" x14ac:dyDescent="0.35">
      <c r="A227" s="141" t="s">
        <v>744</v>
      </c>
      <c r="B227" s="141" t="s">
        <v>743</v>
      </c>
      <c r="C227" s="141">
        <v>3298</v>
      </c>
      <c r="D227" s="141" t="s">
        <v>663</v>
      </c>
      <c r="E227" s="141">
        <v>1</v>
      </c>
      <c r="F227" s="142">
        <v>0.3</v>
      </c>
      <c r="G227" s="141">
        <v>1</v>
      </c>
      <c r="H227" s="142">
        <v>1</v>
      </c>
      <c r="I227" s="142">
        <v>0.43478260000000002</v>
      </c>
      <c r="J227" s="142">
        <v>0.52</v>
      </c>
      <c r="K227" s="155"/>
      <c r="L227" s="141" t="s">
        <v>744</v>
      </c>
      <c r="M227" s="141" t="s">
        <v>743</v>
      </c>
      <c r="N227" s="141">
        <v>3298</v>
      </c>
      <c r="O227" s="141" t="s">
        <v>663</v>
      </c>
      <c r="P227" s="141">
        <v>4</v>
      </c>
      <c r="Q227" s="142">
        <v>0.50375939999999997</v>
      </c>
      <c r="R227" s="142">
        <v>0.48421049999999999</v>
      </c>
      <c r="S227" s="142">
        <v>0.72727269999999999</v>
      </c>
      <c r="T227" s="142">
        <v>0</v>
      </c>
      <c r="U227" s="142">
        <v>0.25233640000000002</v>
      </c>
      <c r="V227" s="142">
        <v>0.45</v>
      </c>
    </row>
    <row r="228" spans="1:22" ht="18.5" x14ac:dyDescent="0.35">
      <c r="A228" s="141" t="s">
        <v>744</v>
      </c>
      <c r="B228" s="141" t="s">
        <v>743</v>
      </c>
      <c r="C228" s="141">
        <v>3300</v>
      </c>
      <c r="D228" s="141" t="s">
        <v>663</v>
      </c>
      <c r="E228" s="141">
        <v>1</v>
      </c>
      <c r="F228" s="142">
        <v>0.27</v>
      </c>
      <c r="G228" s="141">
        <v>1</v>
      </c>
      <c r="H228" s="142">
        <v>0.44444440000000002</v>
      </c>
      <c r="I228" s="142">
        <v>0.5</v>
      </c>
      <c r="J228" s="142">
        <v>0.37</v>
      </c>
      <c r="K228" s="155"/>
      <c r="L228" s="141" t="s">
        <v>744</v>
      </c>
      <c r="M228" s="141" t="s">
        <v>743</v>
      </c>
      <c r="N228" s="141">
        <v>3300</v>
      </c>
      <c r="O228" s="141" t="s">
        <v>663</v>
      </c>
      <c r="P228" s="141">
        <v>4</v>
      </c>
      <c r="Q228" s="142">
        <v>0.74390239999999996</v>
      </c>
      <c r="R228" s="142">
        <v>0.65625</v>
      </c>
      <c r="S228" s="142">
        <v>0.40298509999999998</v>
      </c>
      <c r="T228" s="142">
        <v>0.68965520000000002</v>
      </c>
      <c r="U228" s="142">
        <v>0.4742268</v>
      </c>
      <c r="V228" s="142">
        <v>0.59250000000000003</v>
      </c>
    </row>
    <row r="229" spans="1:22" ht="18.5" x14ac:dyDescent="0.35">
      <c r="A229" s="141" t="s">
        <v>745</v>
      </c>
      <c r="B229" s="141" t="s">
        <v>730</v>
      </c>
      <c r="C229" s="141">
        <v>510</v>
      </c>
      <c r="D229" s="141" t="s">
        <v>841</v>
      </c>
      <c r="E229" s="141">
        <v>1</v>
      </c>
      <c r="F229" s="142">
        <v>0.24</v>
      </c>
      <c r="G229" s="141">
        <v>1</v>
      </c>
      <c r="H229" s="142">
        <v>0.61111110000000002</v>
      </c>
      <c r="I229" s="142">
        <v>0.75</v>
      </c>
      <c r="J229" s="142">
        <v>0.45750000000000002</v>
      </c>
      <c r="K229" s="155"/>
      <c r="L229" s="141" t="s">
        <v>745</v>
      </c>
      <c r="M229" s="141" t="s">
        <v>730</v>
      </c>
      <c r="N229" s="141">
        <v>510</v>
      </c>
      <c r="O229" s="141" t="s">
        <v>841</v>
      </c>
      <c r="P229" s="141">
        <v>4</v>
      </c>
      <c r="Q229" s="142">
        <v>0.30097089999999999</v>
      </c>
      <c r="R229" s="142">
        <v>0.45238099999999998</v>
      </c>
      <c r="S229" s="142">
        <v>0.55555560000000004</v>
      </c>
      <c r="T229" s="142">
        <v>0.10344830000000001</v>
      </c>
      <c r="U229" s="142">
        <v>0.14457829999999999</v>
      </c>
      <c r="V229" s="142">
        <v>0.3175</v>
      </c>
    </row>
    <row r="230" spans="1:22" ht="18.5" x14ac:dyDescent="0.35">
      <c r="A230" s="141" t="s">
        <v>745</v>
      </c>
      <c r="B230" s="141" t="s">
        <v>730</v>
      </c>
      <c r="C230" s="141">
        <v>518</v>
      </c>
      <c r="D230" s="141" t="s">
        <v>843</v>
      </c>
      <c r="E230" s="141">
        <v>1</v>
      </c>
      <c r="F230" s="142">
        <v>0.16</v>
      </c>
      <c r="G230" s="141">
        <v>1</v>
      </c>
      <c r="H230" s="142">
        <v>0.66666669999999995</v>
      </c>
      <c r="I230" s="142">
        <v>0.47826089999999999</v>
      </c>
      <c r="J230" s="142">
        <v>0.37</v>
      </c>
      <c r="K230" s="155"/>
      <c r="L230" s="141" t="s">
        <v>745</v>
      </c>
      <c r="M230" s="141" t="s">
        <v>730</v>
      </c>
      <c r="N230" s="141">
        <v>518</v>
      </c>
      <c r="O230" s="141" t="s">
        <v>843</v>
      </c>
      <c r="P230" s="141">
        <v>4</v>
      </c>
      <c r="Q230" s="142">
        <v>0.4719101</v>
      </c>
      <c r="R230" s="142">
        <v>0.21649479999999999</v>
      </c>
      <c r="S230" s="142">
        <v>0.88333329999999999</v>
      </c>
      <c r="T230" s="142">
        <v>0.5</v>
      </c>
      <c r="U230" s="142">
        <v>0.1979167</v>
      </c>
      <c r="V230" s="142">
        <v>0.41</v>
      </c>
    </row>
    <row r="231" spans="1:22" ht="18.5" x14ac:dyDescent="0.35">
      <c r="A231" s="141" t="s">
        <v>745</v>
      </c>
      <c r="B231" s="141" t="s">
        <v>730</v>
      </c>
      <c r="C231" s="141">
        <v>526</v>
      </c>
      <c r="D231" s="141" t="s">
        <v>842</v>
      </c>
      <c r="E231" s="141">
        <v>1</v>
      </c>
      <c r="F231" s="142">
        <v>0.46</v>
      </c>
      <c r="G231" s="141">
        <v>1</v>
      </c>
      <c r="H231" s="142">
        <v>0.88888889999999998</v>
      </c>
      <c r="I231" s="142">
        <v>0.81521739999999998</v>
      </c>
      <c r="J231" s="142">
        <v>0.65749999999999997</v>
      </c>
      <c r="K231" s="155"/>
      <c r="L231" s="141" t="s">
        <v>745</v>
      </c>
      <c r="M231" s="141" t="s">
        <v>730</v>
      </c>
      <c r="N231" s="141">
        <v>526</v>
      </c>
      <c r="O231" s="141" t="s">
        <v>842</v>
      </c>
      <c r="P231" s="141">
        <v>4</v>
      </c>
      <c r="Q231" s="142">
        <v>0.27118639999999999</v>
      </c>
      <c r="R231" s="142">
        <v>0.22680410000000001</v>
      </c>
      <c r="S231" s="142">
        <v>6.25E-2</v>
      </c>
      <c r="T231" s="142">
        <v>0</v>
      </c>
      <c r="U231" s="142">
        <v>0.17757010000000001</v>
      </c>
      <c r="V231" s="142">
        <v>0.19</v>
      </c>
    </row>
    <row r="232" spans="1:22" ht="18.5" x14ac:dyDescent="0.35">
      <c r="A232" s="141" t="s">
        <v>745</v>
      </c>
      <c r="B232" s="141" t="s">
        <v>730</v>
      </c>
      <c r="C232" s="141">
        <v>1155</v>
      </c>
      <c r="D232" s="141" t="s">
        <v>841</v>
      </c>
      <c r="E232" s="141">
        <v>1</v>
      </c>
      <c r="F232" s="142">
        <v>0.21</v>
      </c>
      <c r="G232" s="141">
        <v>1</v>
      </c>
      <c r="H232" s="142">
        <v>0.55555560000000004</v>
      </c>
      <c r="I232" s="142">
        <v>0.52173910000000001</v>
      </c>
      <c r="J232" s="142">
        <v>0.375</v>
      </c>
      <c r="K232" s="155"/>
      <c r="L232" s="141" t="s">
        <v>745</v>
      </c>
      <c r="M232" s="141" t="s">
        <v>730</v>
      </c>
      <c r="N232" s="141">
        <v>1155</v>
      </c>
      <c r="O232" s="141" t="s">
        <v>841</v>
      </c>
      <c r="P232" s="141">
        <v>4</v>
      </c>
      <c r="Q232" s="142">
        <v>0.34684680000000001</v>
      </c>
      <c r="R232" s="142">
        <v>0.34302329999999998</v>
      </c>
      <c r="S232" s="142">
        <v>0.96153840000000002</v>
      </c>
      <c r="T232" s="142">
        <v>0.3676471</v>
      </c>
      <c r="U232" s="142">
        <v>0.10843369999999999</v>
      </c>
      <c r="V232" s="142">
        <v>0.38</v>
      </c>
    </row>
    <row r="233" spans="1:22" ht="18.5" x14ac:dyDescent="0.35">
      <c r="A233" s="141" t="s">
        <v>745</v>
      </c>
      <c r="B233" s="141" t="s">
        <v>730</v>
      </c>
      <c r="C233" s="141">
        <v>1938</v>
      </c>
      <c r="D233" s="141" t="s">
        <v>842</v>
      </c>
      <c r="E233" s="141">
        <v>1</v>
      </c>
      <c r="F233" s="142">
        <v>0.27</v>
      </c>
      <c r="G233" s="141">
        <v>1</v>
      </c>
      <c r="H233" s="142">
        <v>0.38888889999999998</v>
      </c>
      <c r="I233" s="142">
        <v>0.53260870000000005</v>
      </c>
      <c r="J233" s="142">
        <v>0.36249999999999999</v>
      </c>
      <c r="K233" s="155"/>
      <c r="L233" s="141" t="s">
        <v>745</v>
      </c>
      <c r="M233" s="141" t="s">
        <v>730</v>
      </c>
      <c r="N233" s="141">
        <v>1938</v>
      </c>
      <c r="O233" s="141" t="s">
        <v>842</v>
      </c>
      <c r="P233" s="141">
        <v>4</v>
      </c>
      <c r="Q233" s="142">
        <v>0.3565217</v>
      </c>
      <c r="R233" s="142">
        <v>0.39325840000000001</v>
      </c>
      <c r="S233" s="142">
        <v>0.3846154</v>
      </c>
      <c r="T233" s="142">
        <v>0.1666667</v>
      </c>
      <c r="U233" s="142">
        <v>0.2291667</v>
      </c>
      <c r="V233" s="142">
        <v>0.315</v>
      </c>
    </row>
    <row r="234" spans="1:22" ht="18.5" x14ac:dyDescent="0.35">
      <c r="A234" s="141" t="s">
        <v>745</v>
      </c>
      <c r="B234" s="141" t="s">
        <v>730</v>
      </c>
      <c r="C234" s="141">
        <v>1941</v>
      </c>
      <c r="D234" s="141" t="s">
        <v>842</v>
      </c>
      <c r="E234" s="141">
        <v>1</v>
      </c>
      <c r="F234" s="142">
        <v>0.44</v>
      </c>
      <c r="G234" s="141">
        <v>1</v>
      </c>
      <c r="H234" s="142">
        <v>0.66666669999999995</v>
      </c>
      <c r="I234" s="142">
        <v>0.52173910000000001</v>
      </c>
      <c r="J234" s="142">
        <v>0.52</v>
      </c>
      <c r="K234" s="155"/>
      <c r="L234" s="141" t="s">
        <v>745</v>
      </c>
      <c r="M234" s="141" t="s">
        <v>730</v>
      </c>
      <c r="N234" s="141">
        <v>1941</v>
      </c>
      <c r="O234" s="141" t="s">
        <v>842</v>
      </c>
      <c r="P234" s="141">
        <v>4</v>
      </c>
      <c r="Q234" s="142">
        <v>0.30232560000000003</v>
      </c>
      <c r="R234" s="142">
        <v>0.23232320000000001</v>
      </c>
      <c r="S234" s="142">
        <v>0.67164179999999996</v>
      </c>
      <c r="T234" s="142">
        <v>0.131579</v>
      </c>
      <c r="U234" s="142">
        <v>3.6363600000000003E-2</v>
      </c>
      <c r="V234" s="142">
        <v>0.25750000000000001</v>
      </c>
    </row>
    <row r="235" spans="1:22" ht="18.5" x14ac:dyDescent="0.35">
      <c r="A235" s="141" t="s">
        <v>745</v>
      </c>
      <c r="B235" s="141" t="s">
        <v>730</v>
      </c>
      <c r="C235" s="141">
        <v>1999</v>
      </c>
      <c r="D235" s="141" t="s">
        <v>842</v>
      </c>
      <c r="E235" s="141">
        <v>1</v>
      </c>
      <c r="F235" s="142">
        <v>0.5</v>
      </c>
      <c r="G235" s="141">
        <v>1</v>
      </c>
      <c r="H235" s="142">
        <v>0.61111110000000002</v>
      </c>
      <c r="I235" s="142">
        <v>0.45652169999999997</v>
      </c>
      <c r="J235" s="142">
        <v>0.52</v>
      </c>
      <c r="K235" s="155"/>
      <c r="L235" s="141" t="s">
        <v>745</v>
      </c>
      <c r="M235" s="141" t="s">
        <v>730</v>
      </c>
      <c r="N235" s="141">
        <v>1999</v>
      </c>
      <c r="O235" s="141" t="s">
        <v>842</v>
      </c>
      <c r="P235" s="141">
        <v>4</v>
      </c>
      <c r="Q235" s="142">
        <v>0.6404495</v>
      </c>
      <c r="R235" s="142">
        <v>0.34375</v>
      </c>
      <c r="S235" s="142">
        <v>1</v>
      </c>
      <c r="T235" s="142">
        <v>0.7758621</v>
      </c>
      <c r="U235" s="142">
        <v>0.29896909999999999</v>
      </c>
      <c r="V235" s="142">
        <v>0.56000000000000005</v>
      </c>
    </row>
    <row r="236" spans="1:22" ht="18.5" x14ac:dyDescent="0.35">
      <c r="A236" s="141" t="s">
        <v>745</v>
      </c>
      <c r="B236" s="141" t="s">
        <v>730</v>
      </c>
      <c r="C236" s="141">
        <v>2515</v>
      </c>
      <c r="D236" s="141" t="s">
        <v>663</v>
      </c>
      <c r="E236" s="141">
        <v>1</v>
      </c>
      <c r="F236" s="142">
        <v>0.49</v>
      </c>
      <c r="G236" s="141">
        <v>1</v>
      </c>
      <c r="H236" s="142">
        <v>0.5</v>
      </c>
      <c r="I236" s="142">
        <v>0.36956519999999998</v>
      </c>
      <c r="J236" s="142">
        <v>0.46500000000000002</v>
      </c>
      <c r="K236" s="155"/>
      <c r="L236" s="141" t="s">
        <v>745</v>
      </c>
      <c r="M236" s="141" t="s">
        <v>730</v>
      </c>
      <c r="N236" s="141">
        <v>2515</v>
      </c>
      <c r="O236" s="141" t="s">
        <v>663</v>
      </c>
      <c r="P236" s="141">
        <v>4</v>
      </c>
      <c r="Q236" s="142">
        <v>0.25882349999999998</v>
      </c>
      <c r="R236" s="142">
        <v>0.20224719999999999</v>
      </c>
      <c r="S236" s="142">
        <v>0.58333330000000005</v>
      </c>
      <c r="T236" s="142">
        <v>0.36206899999999997</v>
      </c>
      <c r="U236" s="142">
        <v>9.375E-2</v>
      </c>
      <c r="V236" s="142">
        <v>0.28000000000000003</v>
      </c>
    </row>
    <row r="237" spans="1:22" ht="18.5" x14ac:dyDescent="0.35">
      <c r="A237" s="141" t="s">
        <v>745</v>
      </c>
      <c r="B237" s="141" t="s">
        <v>730</v>
      </c>
      <c r="C237" s="141">
        <v>2650</v>
      </c>
      <c r="D237" s="141" t="s">
        <v>663</v>
      </c>
      <c r="E237" s="141">
        <v>1</v>
      </c>
      <c r="F237" s="142">
        <v>0.36</v>
      </c>
      <c r="G237" s="141">
        <v>1</v>
      </c>
      <c r="H237" s="142">
        <v>0.61111110000000002</v>
      </c>
      <c r="I237" s="142">
        <v>0.55434779999999995</v>
      </c>
      <c r="J237" s="142">
        <v>0.47249999999999998</v>
      </c>
      <c r="K237" s="155"/>
      <c r="L237" s="141" t="s">
        <v>745</v>
      </c>
      <c r="M237" s="141" t="s">
        <v>730</v>
      </c>
      <c r="N237" s="141">
        <v>2650</v>
      </c>
      <c r="O237" s="141" t="s">
        <v>663</v>
      </c>
      <c r="P237" s="141">
        <v>4</v>
      </c>
      <c r="Q237" s="142">
        <v>0.34375</v>
      </c>
      <c r="R237" s="142">
        <v>0.1666667</v>
      </c>
      <c r="S237" s="142">
        <v>1</v>
      </c>
      <c r="T237" s="142">
        <v>0</v>
      </c>
      <c r="U237" s="142">
        <v>0.29896909999999999</v>
      </c>
      <c r="V237" s="142">
        <v>0.32624999999999998</v>
      </c>
    </row>
    <row r="238" spans="1:22" ht="18.5" x14ac:dyDescent="0.35">
      <c r="A238" s="141" t="s">
        <v>745</v>
      </c>
      <c r="B238" s="141" t="s">
        <v>730</v>
      </c>
      <c r="C238" s="141">
        <v>2835</v>
      </c>
      <c r="D238" s="141" t="s">
        <v>663</v>
      </c>
      <c r="E238" s="141">
        <v>1</v>
      </c>
      <c r="F238" s="142">
        <v>0.59</v>
      </c>
      <c r="G238" s="141">
        <v>1</v>
      </c>
      <c r="H238" s="142">
        <v>0.77777779999999996</v>
      </c>
      <c r="I238" s="142">
        <v>0.90217389999999997</v>
      </c>
      <c r="J238" s="142">
        <v>0.71250000000000002</v>
      </c>
      <c r="K238" s="155"/>
      <c r="L238" s="141" t="s">
        <v>745</v>
      </c>
      <c r="M238" s="141" t="s">
        <v>730</v>
      </c>
      <c r="N238" s="141">
        <v>2835</v>
      </c>
      <c r="O238" s="141" t="s">
        <v>663</v>
      </c>
      <c r="P238" s="141">
        <v>4</v>
      </c>
      <c r="Q238" s="142">
        <v>0.60975610000000002</v>
      </c>
      <c r="R238" s="142">
        <v>0.3125</v>
      </c>
      <c r="S238" s="142">
        <v>0.59701490000000002</v>
      </c>
      <c r="T238" s="142">
        <v>0.1896552</v>
      </c>
      <c r="U238" s="142">
        <v>0.18556700000000001</v>
      </c>
      <c r="V238" s="142">
        <v>0.3725</v>
      </c>
    </row>
    <row r="239" spans="1:22" ht="18.5" x14ac:dyDescent="0.35">
      <c r="A239" s="141" t="s">
        <v>745</v>
      </c>
      <c r="B239" s="141" t="s">
        <v>730</v>
      </c>
      <c r="C239" s="141">
        <v>3062</v>
      </c>
      <c r="D239" s="141" t="s">
        <v>663</v>
      </c>
      <c r="E239" s="141">
        <v>1</v>
      </c>
      <c r="F239" s="142">
        <v>0.31</v>
      </c>
      <c r="G239" s="141">
        <v>1</v>
      </c>
      <c r="H239" s="142">
        <v>0.83333330000000005</v>
      </c>
      <c r="I239" s="142">
        <v>0.73913039999999997</v>
      </c>
      <c r="J239" s="142">
        <v>0.55000000000000004</v>
      </c>
      <c r="K239" s="155"/>
      <c r="L239" s="141" t="s">
        <v>745</v>
      </c>
      <c r="M239" s="141" t="s">
        <v>730</v>
      </c>
      <c r="N239" s="141">
        <v>3062</v>
      </c>
      <c r="O239" s="141" t="s">
        <v>663</v>
      </c>
      <c r="P239" s="141">
        <v>4</v>
      </c>
      <c r="Q239" s="142">
        <v>0.17499999999999999</v>
      </c>
      <c r="R239" s="142">
        <v>0.18390799999999999</v>
      </c>
      <c r="S239" s="142">
        <v>0.5625</v>
      </c>
      <c r="T239" s="142">
        <v>0.05</v>
      </c>
      <c r="U239" s="142">
        <v>0.10752689999999999</v>
      </c>
      <c r="V239" s="142">
        <v>0.22</v>
      </c>
    </row>
    <row r="240" spans="1:22" ht="18.5" x14ac:dyDescent="0.35">
      <c r="A240" s="141" t="s">
        <v>746</v>
      </c>
      <c r="B240" s="141" t="s">
        <v>743</v>
      </c>
      <c r="C240" s="141">
        <v>356</v>
      </c>
      <c r="D240" s="141" t="s">
        <v>2452</v>
      </c>
      <c r="E240" s="141">
        <v>1</v>
      </c>
      <c r="F240" s="142">
        <v>0.18</v>
      </c>
      <c r="G240" s="141">
        <v>1</v>
      </c>
      <c r="H240" s="142">
        <v>0.5</v>
      </c>
      <c r="I240" s="142">
        <v>0.39130429999999999</v>
      </c>
      <c r="J240" s="142">
        <v>0.315</v>
      </c>
      <c r="K240" s="155"/>
      <c r="L240" s="141" t="s">
        <v>746</v>
      </c>
      <c r="M240" s="141" t="s">
        <v>743</v>
      </c>
      <c r="N240" s="141">
        <v>356</v>
      </c>
      <c r="O240" s="141" t="s">
        <v>2452</v>
      </c>
      <c r="P240" s="141">
        <v>4</v>
      </c>
      <c r="Q240" s="142">
        <v>0.66874999999999996</v>
      </c>
      <c r="R240" s="142">
        <v>0.4942529</v>
      </c>
      <c r="S240" s="142">
        <v>0.8125</v>
      </c>
      <c r="T240" s="142">
        <v>0.51666670000000003</v>
      </c>
      <c r="U240" s="142">
        <v>0.21505379999999999</v>
      </c>
      <c r="V240" s="142">
        <v>0.53125</v>
      </c>
    </row>
    <row r="241" spans="1:22" ht="18.5" x14ac:dyDescent="0.35">
      <c r="A241" s="141" t="s">
        <v>746</v>
      </c>
      <c r="B241" s="141" t="s">
        <v>743</v>
      </c>
      <c r="C241" s="141">
        <v>364</v>
      </c>
      <c r="D241" s="141" t="s">
        <v>841</v>
      </c>
      <c r="E241" s="141">
        <v>1</v>
      </c>
      <c r="F241" s="142">
        <v>0.56999999999999995</v>
      </c>
      <c r="G241" s="141">
        <v>1</v>
      </c>
      <c r="H241" s="142">
        <v>1</v>
      </c>
      <c r="I241" s="142">
        <v>0.97826089999999999</v>
      </c>
      <c r="J241" s="142">
        <v>0.78</v>
      </c>
      <c r="K241" s="155"/>
      <c r="L241" s="141" t="s">
        <v>746</v>
      </c>
      <c r="M241" s="141" t="s">
        <v>743</v>
      </c>
      <c r="N241" s="141">
        <v>364</v>
      </c>
      <c r="O241" s="141" t="s">
        <v>841</v>
      </c>
      <c r="P241" s="141">
        <v>4</v>
      </c>
      <c r="Q241" s="142">
        <v>0.90243899999999999</v>
      </c>
      <c r="R241" s="142">
        <v>0.82291669999999995</v>
      </c>
      <c r="S241" s="142">
        <v>0.77611940000000001</v>
      </c>
      <c r="T241" s="142">
        <v>0.79310349999999996</v>
      </c>
      <c r="U241" s="142">
        <v>0.58762879999999995</v>
      </c>
      <c r="V241" s="142">
        <v>0.77</v>
      </c>
    </row>
    <row r="242" spans="1:22" ht="18.5" x14ac:dyDescent="0.35">
      <c r="A242" s="141" t="s">
        <v>746</v>
      </c>
      <c r="B242" s="141" t="s">
        <v>743</v>
      </c>
      <c r="C242" s="141">
        <v>367</v>
      </c>
      <c r="D242" s="141" t="s">
        <v>841</v>
      </c>
      <c r="E242" s="141">
        <v>1</v>
      </c>
      <c r="F242" s="142">
        <v>0.65</v>
      </c>
      <c r="G242" s="141">
        <v>1</v>
      </c>
      <c r="H242" s="142">
        <v>0.72222220000000004</v>
      </c>
      <c r="I242" s="142">
        <v>1</v>
      </c>
      <c r="J242" s="142">
        <v>0.75</v>
      </c>
      <c r="K242" s="155"/>
      <c r="L242" s="141" t="s">
        <v>746</v>
      </c>
      <c r="M242" s="141" t="s">
        <v>743</v>
      </c>
      <c r="N242" s="141">
        <v>367</v>
      </c>
      <c r="O242" s="141" t="s">
        <v>841</v>
      </c>
      <c r="P242" s="141">
        <v>4</v>
      </c>
      <c r="Q242" s="142">
        <v>0.93636359999999996</v>
      </c>
      <c r="R242" s="142">
        <v>0.875</v>
      </c>
      <c r="S242" s="142">
        <v>1</v>
      </c>
      <c r="T242" s="142">
        <v>1</v>
      </c>
      <c r="U242" s="142">
        <v>0.99056599999999995</v>
      </c>
      <c r="V242" s="142">
        <v>0.95</v>
      </c>
    </row>
    <row r="243" spans="1:22" ht="18.5" x14ac:dyDescent="0.35">
      <c r="A243" s="141" t="s">
        <v>746</v>
      </c>
      <c r="B243" s="141" t="s">
        <v>743</v>
      </c>
      <c r="C243" s="141">
        <v>379</v>
      </c>
      <c r="D243" s="141" t="s">
        <v>842</v>
      </c>
      <c r="E243" s="141">
        <v>1</v>
      </c>
      <c r="F243" s="142">
        <v>0.09</v>
      </c>
      <c r="G243" s="141">
        <v>1</v>
      </c>
      <c r="H243" s="142">
        <v>0.55555560000000004</v>
      </c>
      <c r="I243" s="142">
        <v>0.45652169999999997</v>
      </c>
      <c r="J243" s="142">
        <v>0.3</v>
      </c>
      <c r="K243" s="155"/>
      <c r="L243" s="141" t="s">
        <v>746</v>
      </c>
      <c r="M243" s="141" t="s">
        <v>743</v>
      </c>
      <c r="N243" s="141">
        <v>379</v>
      </c>
      <c r="O243" s="141" t="s">
        <v>842</v>
      </c>
      <c r="P243" s="141">
        <v>4</v>
      </c>
      <c r="Q243" s="142">
        <v>0.69090910000000005</v>
      </c>
      <c r="R243" s="142">
        <v>0.5</v>
      </c>
      <c r="S243" s="142">
        <v>0.48529410000000001</v>
      </c>
      <c r="T243" s="142">
        <v>0.25</v>
      </c>
      <c r="U243" s="142">
        <v>0.1698113</v>
      </c>
      <c r="V243" s="142">
        <v>0.45</v>
      </c>
    </row>
    <row r="244" spans="1:22" ht="18.5" x14ac:dyDescent="0.35">
      <c r="A244" s="141" t="s">
        <v>746</v>
      </c>
      <c r="B244" s="141" t="s">
        <v>743</v>
      </c>
      <c r="C244" s="141">
        <v>1152</v>
      </c>
      <c r="D244" s="141" t="s">
        <v>842</v>
      </c>
      <c r="E244" s="141">
        <v>1</v>
      </c>
      <c r="F244" s="142">
        <v>0.52</v>
      </c>
      <c r="G244" s="141">
        <v>1</v>
      </c>
      <c r="H244" s="142">
        <v>1</v>
      </c>
      <c r="I244" s="142">
        <v>1</v>
      </c>
      <c r="J244" s="142">
        <v>0.76</v>
      </c>
      <c r="K244" s="155"/>
      <c r="L244" s="141" t="s">
        <v>746</v>
      </c>
      <c r="M244" s="141" t="s">
        <v>743</v>
      </c>
      <c r="N244" s="141">
        <v>1152</v>
      </c>
      <c r="O244" s="141" t="s">
        <v>842</v>
      </c>
      <c r="P244" s="141">
        <v>4</v>
      </c>
      <c r="Q244" s="142">
        <v>0.61111110000000002</v>
      </c>
      <c r="R244" s="142">
        <v>0.58490569999999997</v>
      </c>
      <c r="S244" s="142">
        <v>0.9636363</v>
      </c>
      <c r="T244" s="142">
        <v>0.78947369999999994</v>
      </c>
      <c r="U244" s="142">
        <v>0.72072069999999999</v>
      </c>
      <c r="V244" s="142">
        <v>0.7</v>
      </c>
    </row>
    <row r="245" spans="1:22" ht="18.5" x14ac:dyDescent="0.35">
      <c r="A245" s="141" t="s">
        <v>746</v>
      </c>
      <c r="B245" s="141" t="s">
        <v>743</v>
      </c>
      <c r="C245" s="141">
        <v>2776</v>
      </c>
      <c r="D245" s="141" t="s">
        <v>842</v>
      </c>
      <c r="E245" s="141">
        <v>1</v>
      </c>
      <c r="F245" s="142">
        <v>0.37</v>
      </c>
      <c r="G245" s="141">
        <v>1</v>
      </c>
      <c r="H245" s="142">
        <v>0.61111110000000002</v>
      </c>
      <c r="I245" s="142">
        <v>0.36956519999999998</v>
      </c>
      <c r="J245" s="142">
        <v>0.435</v>
      </c>
      <c r="K245" s="155"/>
      <c r="L245" s="141" t="s">
        <v>746</v>
      </c>
      <c r="M245" s="141" t="s">
        <v>743</v>
      </c>
      <c r="N245" s="141">
        <v>2776</v>
      </c>
      <c r="O245" s="141" t="s">
        <v>842</v>
      </c>
      <c r="P245" s="141">
        <v>4</v>
      </c>
      <c r="Q245" s="142">
        <v>0.84765630000000003</v>
      </c>
      <c r="R245" s="142">
        <v>0.60365860000000005</v>
      </c>
      <c r="S245" s="142">
        <v>0.83333330000000005</v>
      </c>
      <c r="T245" s="142">
        <v>0.34</v>
      </c>
      <c r="U245" s="142">
        <v>0.47499999999999998</v>
      </c>
      <c r="V245" s="142">
        <v>0.65749999999999997</v>
      </c>
    </row>
    <row r="246" spans="1:22" ht="18.5" x14ac:dyDescent="0.35">
      <c r="A246" s="141" t="s">
        <v>746</v>
      </c>
      <c r="B246" s="141" t="s">
        <v>743</v>
      </c>
      <c r="C246" s="141">
        <v>2959</v>
      </c>
      <c r="D246" s="141" t="s">
        <v>663</v>
      </c>
      <c r="E246" s="141">
        <v>1</v>
      </c>
      <c r="F246" s="142">
        <v>0.38</v>
      </c>
      <c r="G246" s="141">
        <v>1</v>
      </c>
      <c r="H246" s="142">
        <v>0.72222220000000004</v>
      </c>
      <c r="I246" s="142">
        <v>0.43478260000000002</v>
      </c>
      <c r="J246" s="142">
        <v>0.48499999999999999</v>
      </c>
      <c r="K246" s="155"/>
      <c r="L246" s="141" t="s">
        <v>746</v>
      </c>
      <c r="M246" s="141" t="s">
        <v>743</v>
      </c>
      <c r="N246" s="141">
        <v>2959</v>
      </c>
      <c r="O246" s="141" t="s">
        <v>663</v>
      </c>
      <c r="P246" s="141">
        <v>4</v>
      </c>
      <c r="Q246" s="142">
        <v>0.56666669999999997</v>
      </c>
      <c r="R246" s="142">
        <v>0.34905659999999999</v>
      </c>
      <c r="S246" s="142">
        <v>0.72727269999999999</v>
      </c>
      <c r="T246" s="142">
        <v>0.5789474</v>
      </c>
      <c r="U246" s="142">
        <v>0.36936940000000001</v>
      </c>
      <c r="V246" s="142">
        <v>0.47749999999999998</v>
      </c>
    </row>
    <row r="247" spans="1:22" ht="18.5" x14ac:dyDescent="0.35">
      <c r="A247" s="141" t="s">
        <v>746</v>
      </c>
      <c r="B247" s="141" t="s">
        <v>743</v>
      </c>
      <c r="C247" s="141">
        <v>3078</v>
      </c>
      <c r="D247" s="141" t="s">
        <v>663</v>
      </c>
      <c r="E247" s="141">
        <v>1</v>
      </c>
      <c r="F247" s="142">
        <v>0.13</v>
      </c>
      <c r="G247" s="141">
        <v>1</v>
      </c>
      <c r="H247" s="142">
        <v>0.38888889999999998</v>
      </c>
      <c r="I247" s="142">
        <v>0.39130429999999999</v>
      </c>
      <c r="J247" s="142">
        <v>0.26</v>
      </c>
      <c r="K247" s="155"/>
      <c r="L247" s="141" t="s">
        <v>746</v>
      </c>
      <c r="M247" s="141" t="s">
        <v>743</v>
      </c>
      <c r="N247" s="141">
        <v>3078</v>
      </c>
      <c r="O247" s="141" t="s">
        <v>663</v>
      </c>
      <c r="P247" s="141">
        <v>4</v>
      </c>
      <c r="Q247" s="142">
        <v>0.87878789999999996</v>
      </c>
      <c r="R247" s="142">
        <v>0.78494629999999999</v>
      </c>
      <c r="S247" s="142">
        <v>0.86666670000000001</v>
      </c>
      <c r="T247" s="142">
        <v>0.32500000000000001</v>
      </c>
      <c r="U247" s="142">
        <v>0.3333333</v>
      </c>
      <c r="V247" s="142">
        <v>0.67249999999999999</v>
      </c>
    </row>
    <row r="248" spans="1:22" ht="18.5" x14ac:dyDescent="0.35">
      <c r="A248" s="141" t="s">
        <v>746</v>
      </c>
      <c r="B248" s="141" t="s">
        <v>743</v>
      </c>
      <c r="C248" s="141">
        <v>3817</v>
      </c>
      <c r="D248" s="141" t="s">
        <v>663</v>
      </c>
      <c r="E248" s="141">
        <v>1</v>
      </c>
      <c r="F248" s="142">
        <v>0.72</v>
      </c>
      <c r="G248" s="141">
        <v>1</v>
      </c>
      <c r="H248" s="142">
        <v>1</v>
      </c>
      <c r="I248" s="142">
        <v>1</v>
      </c>
      <c r="J248" s="142">
        <v>0.86</v>
      </c>
      <c r="K248" s="155"/>
      <c r="L248" s="141" t="s">
        <v>746</v>
      </c>
      <c r="M248" s="141" t="s">
        <v>743</v>
      </c>
      <c r="N248" s="141">
        <v>3817</v>
      </c>
      <c r="O248" s="141" t="s">
        <v>663</v>
      </c>
      <c r="P248" s="141">
        <v>4</v>
      </c>
      <c r="Q248" s="142">
        <v>0.8</v>
      </c>
      <c r="R248" s="142">
        <v>0.91111109999999995</v>
      </c>
      <c r="S248" s="142">
        <v>1</v>
      </c>
      <c r="T248" s="142">
        <v>0.82758620000000005</v>
      </c>
      <c r="U248" s="142">
        <v>0.61052629999999997</v>
      </c>
      <c r="V248" s="142">
        <v>0.82</v>
      </c>
    </row>
    <row r="249" spans="1:22" ht="18.5" x14ac:dyDescent="0.35">
      <c r="A249" s="141" t="s">
        <v>746</v>
      </c>
      <c r="B249" s="141" t="s">
        <v>743</v>
      </c>
      <c r="C249" s="141">
        <v>4002</v>
      </c>
      <c r="D249" s="141" t="s">
        <v>663</v>
      </c>
      <c r="E249" s="141">
        <v>1</v>
      </c>
      <c r="F249" s="142">
        <v>0.71</v>
      </c>
      <c r="G249" s="141">
        <v>1</v>
      </c>
      <c r="H249" s="142">
        <v>0.77777779999999996</v>
      </c>
      <c r="I249" s="142">
        <v>1</v>
      </c>
      <c r="J249" s="142">
        <v>0.79500000000000004</v>
      </c>
      <c r="K249" s="155"/>
      <c r="L249" s="141" t="s">
        <v>746</v>
      </c>
      <c r="M249" s="141" t="s">
        <v>743</v>
      </c>
      <c r="N249" s="141">
        <v>4002</v>
      </c>
      <c r="O249" s="141" t="s">
        <v>663</v>
      </c>
      <c r="P249" s="141">
        <v>4</v>
      </c>
      <c r="Q249" s="142">
        <v>0.87634409999999996</v>
      </c>
      <c r="R249" s="142">
        <v>0.74747470000000005</v>
      </c>
      <c r="S249" s="142">
        <v>1</v>
      </c>
      <c r="T249" s="142">
        <v>0.9210526</v>
      </c>
      <c r="U249" s="142">
        <v>0.51818180000000003</v>
      </c>
      <c r="V249" s="142">
        <v>0.76875000000000004</v>
      </c>
    </row>
    <row r="250" spans="1:22" ht="18.5" x14ac:dyDescent="0.35">
      <c r="A250" s="141" t="s">
        <v>746</v>
      </c>
      <c r="B250" s="141" t="s">
        <v>743</v>
      </c>
      <c r="C250" s="141">
        <v>4012</v>
      </c>
      <c r="D250" s="141" t="s">
        <v>663</v>
      </c>
      <c r="E250" s="141">
        <v>1</v>
      </c>
      <c r="F250" s="142">
        <v>0.66</v>
      </c>
      <c r="G250" s="141">
        <v>1</v>
      </c>
      <c r="H250" s="142">
        <v>1</v>
      </c>
      <c r="I250" s="142">
        <v>1</v>
      </c>
      <c r="J250" s="142">
        <v>0.83</v>
      </c>
      <c r="K250" s="155"/>
      <c r="L250" s="141" t="s">
        <v>746</v>
      </c>
      <c r="M250" s="141" t="s">
        <v>743</v>
      </c>
      <c r="N250" s="141">
        <v>4012</v>
      </c>
      <c r="O250" s="141" t="s">
        <v>663</v>
      </c>
      <c r="P250" s="141">
        <v>4</v>
      </c>
      <c r="Q250" s="142">
        <v>0.73118280000000002</v>
      </c>
      <c r="R250" s="142">
        <v>0.58585860000000001</v>
      </c>
      <c r="S250" s="142">
        <v>1</v>
      </c>
      <c r="T250" s="142">
        <v>0.368421</v>
      </c>
      <c r="U250" s="142">
        <v>0.29090909999999998</v>
      </c>
      <c r="V250" s="142">
        <v>0.57999999999999996</v>
      </c>
    </row>
    <row r="251" spans="1:22" ht="18.5" x14ac:dyDescent="0.35">
      <c r="A251" s="141" t="s">
        <v>747</v>
      </c>
      <c r="B251" s="141" t="s">
        <v>748</v>
      </c>
      <c r="C251" s="141">
        <v>233</v>
      </c>
      <c r="D251" s="141" t="s">
        <v>841</v>
      </c>
      <c r="E251" s="141">
        <v>1</v>
      </c>
      <c r="F251" s="142">
        <v>0.61</v>
      </c>
      <c r="G251" s="141">
        <v>1</v>
      </c>
      <c r="H251" s="142">
        <v>0.94444439999999996</v>
      </c>
      <c r="I251" s="142">
        <v>0.69565220000000005</v>
      </c>
      <c r="J251" s="142">
        <v>0.72</v>
      </c>
      <c r="K251" s="155"/>
      <c r="L251" s="141" t="s">
        <v>747</v>
      </c>
      <c r="M251" s="141" t="s">
        <v>748</v>
      </c>
      <c r="N251" s="141">
        <v>233</v>
      </c>
      <c r="O251" s="141" t="s">
        <v>841</v>
      </c>
      <c r="P251" s="141">
        <v>4</v>
      </c>
      <c r="Q251" s="142">
        <v>0.7372881</v>
      </c>
      <c r="R251" s="142">
        <v>0.69072160000000005</v>
      </c>
      <c r="S251" s="142">
        <v>0.89583330000000005</v>
      </c>
      <c r="T251" s="142">
        <v>0.83333330000000005</v>
      </c>
      <c r="U251" s="142">
        <v>0.82242990000000005</v>
      </c>
      <c r="V251" s="142">
        <v>0.77500000000000002</v>
      </c>
    </row>
    <row r="252" spans="1:22" ht="18.5" x14ac:dyDescent="0.35">
      <c r="A252" s="141" t="s">
        <v>747</v>
      </c>
      <c r="B252" s="141" t="s">
        <v>748</v>
      </c>
      <c r="C252" s="141">
        <v>234</v>
      </c>
      <c r="D252" s="141" t="s">
        <v>842</v>
      </c>
      <c r="E252" s="141">
        <v>1</v>
      </c>
      <c r="F252" s="142">
        <v>0.44</v>
      </c>
      <c r="G252" s="141">
        <v>1</v>
      </c>
      <c r="H252" s="142">
        <v>1</v>
      </c>
      <c r="I252" s="142">
        <v>0.6413044</v>
      </c>
      <c r="J252" s="142">
        <v>0.63749999999999996</v>
      </c>
      <c r="K252" s="155"/>
      <c r="L252" s="141" t="s">
        <v>747</v>
      </c>
      <c r="M252" s="141" t="s">
        <v>748</v>
      </c>
      <c r="N252" s="141">
        <v>234</v>
      </c>
      <c r="O252" s="141" t="s">
        <v>842</v>
      </c>
      <c r="P252" s="141">
        <v>4</v>
      </c>
      <c r="Q252" s="142">
        <v>0.7961165</v>
      </c>
      <c r="R252" s="142">
        <v>0.57142859999999995</v>
      </c>
      <c r="S252" s="142">
        <v>0.83333330000000005</v>
      </c>
      <c r="T252" s="142">
        <v>0.7758621</v>
      </c>
      <c r="U252" s="142">
        <v>0.61445780000000005</v>
      </c>
      <c r="V252" s="142">
        <v>0.71499999999999997</v>
      </c>
    </row>
    <row r="253" spans="1:22" ht="18.5" x14ac:dyDescent="0.35">
      <c r="A253" s="141" t="s">
        <v>747</v>
      </c>
      <c r="B253" s="141" t="s">
        <v>748</v>
      </c>
      <c r="C253" s="141">
        <v>236</v>
      </c>
      <c r="D253" s="141" t="s">
        <v>841</v>
      </c>
      <c r="E253" s="141">
        <v>1</v>
      </c>
      <c r="F253" s="142">
        <v>0.28999999999999998</v>
      </c>
      <c r="G253" s="141">
        <v>1</v>
      </c>
      <c r="H253" s="142">
        <v>0.88888889999999998</v>
      </c>
      <c r="I253" s="142">
        <v>0.63043479999999996</v>
      </c>
      <c r="J253" s="142">
        <v>0.53</v>
      </c>
      <c r="K253" s="155"/>
      <c r="L253" s="141" t="s">
        <v>747</v>
      </c>
      <c r="M253" s="141" t="s">
        <v>748</v>
      </c>
      <c r="N253" s="141">
        <v>236</v>
      </c>
      <c r="O253" s="141" t="s">
        <v>841</v>
      </c>
      <c r="P253" s="141">
        <v>4</v>
      </c>
      <c r="Q253" s="142">
        <v>0.60360360000000002</v>
      </c>
      <c r="R253" s="142">
        <v>0.68041240000000003</v>
      </c>
      <c r="S253" s="142">
        <v>0.72727269999999999</v>
      </c>
      <c r="T253" s="142">
        <v>0.3</v>
      </c>
      <c r="U253" s="142">
        <v>0.50467289999999998</v>
      </c>
      <c r="V253" s="142">
        <v>0.59</v>
      </c>
    </row>
    <row r="254" spans="1:22" ht="18.5" x14ac:dyDescent="0.35">
      <c r="A254" s="141" t="s">
        <v>747</v>
      </c>
      <c r="B254" s="141" t="s">
        <v>748</v>
      </c>
      <c r="C254" s="141">
        <v>238</v>
      </c>
      <c r="D254" s="141" t="s">
        <v>843</v>
      </c>
      <c r="E254" s="141">
        <v>1</v>
      </c>
      <c r="F254" s="142">
        <v>0.38</v>
      </c>
      <c r="G254" s="141">
        <v>1</v>
      </c>
      <c r="H254" s="142">
        <v>0.94444439999999996</v>
      </c>
      <c r="I254" s="142">
        <v>0.71739129999999995</v>
      </c>
      <c r="J254" s="142">
        <v>0.61</v>
      </c>
      <c r="K254" s="155"/>
      <c r="L254" s="141" t="s">
        <v>747</v>
      </c>
      <c r="M254" s="141" t="s">
        <v>748</v>
      </c>
      <c r="N254" s="141">
        <v>238</v>
      </c>
      <c r="O254" s="141" t="s">
        <v>843</v>
      </c>
      <c r="P254" s="141">
        <v>4</v>
      </c>
      <c r="Q254" s="142">
        <v>0.83720930000000005</v>
      </c>
      <c r="R254" s="142">
        <v>0.47474749999999999</v>
      </c>
      <c r="S254" s="142">
        <v>0.52238799999999996</v>
      </c>
      <c r="T254" s="142">
        <v>0.3947369</v>
      </c>
      <c r="U254" s="142">
        <v>0.37272729999999998</v>
      </c>
      <c r="V254" s="142">
        <v>0.52500000000000002</v>
      </c>
    </row>
    <row r="255" spans="1:22" ht="18.5" x14ac:dyDescent="0.35">
      <c r="A255" s="141" t="s">
        <v>747</v>
      </c>
      <c r="B255" s="141" t="s">
        <v>748</v>
      </c>
      <c r="C255" s="141">
        <v>240</v>
      </c>
      <c r="D255" s="141" t="s">
        <v>842</v>
      </c>
      <c r="E255" s="141">
        <v>1</v>
      </c>
      <c r="F255" s="142">
        <v>0.34</v>
      </c>
      <c r="G255" s="141">
        <v>1</v>
      </c>
      <c r="H255" s="142">
        <v>0.94444439999999996</v>
      </c>
      <c r="I255" s="142">
        <v>0.53260870000000005</v>
      </c>
      <c r="J255" s="142">
        <v>0.54749999999999999</v>
      </c>
      <c r="K255" s="155"/>
      <c r="L255" s="141" t="s">
        <v>747</v>
      </c>
      <c r="M255" s="141" t="s">
        <v>748</v>
      </c>
      <c r="N255" s="141">
        <v>240</v>
      </c>
      <c r="O255" s="141" t="s">
        <v>842</v>
      </c>
      <c r="P255" s="141">
        <v>4</v>
      </c>
      <c r="Q255" s="142">
        <v>0.90990990000000005</v>
      </c>
      <c r="R255" s="142">
        <v>0.84210529999999995</v>
      </c>
      <c r="S255" s="142">
        <v>0.66666669999999995</v>
      </c>
      <c r="T255" s="142">
        <v>0.131579</v>
      </c>
      <c r="U255" s="142">
        <v>0.6875</v>
      </c>
      <c r="V255" s="142">
        <v>0.73</v>
      </c>
    </row>
    <row r="256" spans="1:22" ht="18.5" x14ac:dyDescent="0.35">
      <c r="A256" s="141" t="s">
        <v>747</v>
      </c>
      <c r="B256" s="141" t="s">
        <v>748</v>
      </c>
      <c r="C256" s="141">
        <v>2071</v>
      </c>
      <c r="D256" s="141" t="s">
        <v>842</v>
      </c>
      <c r="E256" s="141">
        <v>1</v>
      </c>
      <c r="F256" s="142">
        <v>0.33</v>
      </c>
      <c r="G256" s="141">
        <v>1</v>
      </c>
      <c r="H256" s="142">
        <v>0.94444439999999996</v>
      </c>
      <c r="I256" s="142">
        <v>0.63043479999999996</v>
      </c>
      <c r="J256" s="142">
        <v>0.56499999999999995</v>
      </c>
      <c r="K256" s="155"/>
      <c r="L256" s="141" t="s">
        <v>747</v>
      </c>
      <c r="M256" s="141" t="s">
        <v>748</v>
      </c>
      <c r="N256" s="141">
        <v>2071</v>
      </c>
      <c r="O256" s="141" t="s">
        <v>842</v>
      </c>
      <c r="P256" s="141">
        <v>4</v>
      </c>
      <c r="Q256" s="142">
        <v>0.70430110000000001</v>
      </c>
      <c r="R256" s="142">
        <v>0.56565650000000001</v>
      </c>
      <c r="S256" s="142">
        <v>0.66666669999999995</v>
      </c>
      <c r="T256" s="142">
        <v>0.2894737</v>
      </c>
      <c r="U256" s="142">
        <v>0.28181820000000002</v>
      </c>
      <c r="V256" s="142">
        <v>0.50875000000000004</v>
      </c>
    </row>
    <row r="257" spans="1:22" ht="18.5" x14ac:dyDescent="0.35">
      <c r="A257" s="141" t="s">
        <v>747</v>
      </c>
      <c r="B257" s="141" t="s">
        <v>748</v>
      </c>
      <c r="C257" s="141">
        <v>2111</v>
      </c>
      <c r="D257" s="141" t="s">
        <v>842</v>
      </c>
      <c r="E257" s="141">
        <v>1</v>
      </c>
      <c r="F257" s="142">
        <v>0.62</v>
      </c>
      <c r="G257" s="141">
        <v>1</v>
      </c>
      <c r="H257" s="142">
        <v>0.72222220000000004</v>
      </c>
      <c r="I257" s="142">
        <v>0.70652170000000003</v>
      </c>
      <c r="J257" s="142">
        <v>0.66749999999999998</v>
      </c>
      <c r="K257" s="155"/>
      <c r="L257" s="141" t="s">
        <v>747</v>
      </c>
      <c r="M257" s="141" t="s">
        <v>748</v>
      </c>
      <c r="N257" s="141">
        <v>2111</v>
      </c>
      <c r="O257" s="141" t="s">
        <v>842</v>
      </c>
      <c r="P257" s="141">
        <v>4</v>
      </c>
      <c r="Q257" s="142">
        <v>0.61650479999999996</v>
      </c>
      <c r="R257" s="142">
        <v>0.56842110000000001</v>
      </c>
      <c r="S257" s="142">
        <v>0.46666669999999999</v>
      </c>
      <c r="T257" s="142">
        <v>0.7</v>
      </c>
      <c r="U257" s="142">
        <v>0.25233640000000002</v>
      </c>
      <c r="V257" s="142">
        <v>0.48375000000000001</v>
      </c>
    </row>
    <row r="258" spans="1:22" ht="18.5" x14ac:dyDescent="0.35">
      <c r="A258" s="141" t="s">
        <v>747</v>
      </c>
      <c r="B258" s="141" t="s">
        <v>748</v>
      </c>
      <c r="C258" s="141">
        <v>2576</v>
      </c>
      <c r="D258" s="141" t="s">
        <v>663</v>
      </c>
      <c r="E258" s="141">
        <v>1</v>
      </c>
      <c r="F258" s="142">
        <v>0.28999999999999998</v>
      </c>
      <c r="G258" s="141">
        <v>1</v>
      </c>
      <c r="H258" s="142">
        <v>1</v>
      </c>
      <c r="I258" s="142">
        <v>0.66304350000000001</v>
      </c>
      <c r="J258" s="142">
        <v>0.5675</v>
      </c>
      <c r="K258" s="155"/>
      <c r="L258" s="141" t="s">
        <v>747</v>
      </c>
      <c r="M258" s="141" t="s">
        <v>748</v>
      </c>
      <c r="N258" s="141">
        <v>2576</v>
      </c>
      <c r="O258" s="141" t="s">
        <v>663</v>
      </c>
      <c r="P258" s="141">
        <v>4</v>
      </c>
      <c r="Q258" s="142">
        <v>0.9210526</v>
      </c>
      <c r="R258" s="142">
        <v>0.73809519999999995</v>
      </c>
      <c r="S258" s="142">
        <v>0.80769230000000003</v>
      </c>
      <c r="T258" s="142">
        <v>0.4791667</v>
      </c>
      <c r="U258" s="142">
        <v>0.65060240000000003</v>
      </c>
      <c r="V258" s="142">
        <v>0.75875000000000004</v>
      </c>
    </row>
    <row r="259" spans="1:22" ht="18.5" x14ac:dyDescent="0.35">
      <c r="A259" s="141" t="s">
        <v>747</v>
      </c>
      <c r="B259" s="141" t="s">
        <v>748</v>
      </c>
      <c r="C259" s="141">
        <v>2802</v>
      </c>
      <c r="D259" s="141" t="s">
        <v>663</v>
      </c>
      <c r="E259" s="141">
        <v>1</v>
      </c>
      <c r="F259" s="142">
        <v>0.5</v>
      </c>
      <c r="G259" s="141">
        <v>1</v>
      </c>
      <c r="H259" s="142">
        <v>0.94444439999999996</v>
      </c>
      <c r="I259" s="142">
        <v>0.56521739999999998</v>
      </c>
      <c r="J259" s="142">
        <v>0.63500000000000001</v>
      </c>
      <c r="K259" s="155"/>
      <c r="L259" s="141" t="s">
        <v>747</v>
      </c>
      <c r="M259" s="141" t="s">
        <v>748</v>
      </c>
      <c r="N259" s="141">
        <v>2802</v>
      </c>
      <c r="O259" s="141" t="s">
        <v>663</v>
      </c>
      <c r="P259" s="141">
        <v>4</v>
      </c>
      <c r="Q259" s="142">
        <v>0.42727270000000001</v>
      </c>
      <c r="R259" s="142">
        <v>0.66666669999999995</v>
      </c>
      <c r="S259" s="142">
        <v>1</v>
      </c>
      <c r="T259" s="142">
        <v>0.36</v>
      </c>
      <c r="U259" s="142">
        <v>0.38709680000000002</v>
      </c>
      <c r="V259" s="142">
        <v>0.54749999999999999</v>
      </c>
    </row>
    <row r="260" spans="1:22" ht="18.5" x14ac:dyDescent="0.35">
      <c r="A260" s="141" t="s">
        <v>747</v>
      </c>
      <c r="B260" s="141" t="s">
        <v>748</v>
      </c>
      <c r="C260" s="141">
        <v>3807</v>
      </c>
      <c r="D260" s="141" t="s">
        <v>842</v>
      </c>
      <c r="E260" s="141">
        <v>1</v>
      </c>
      <c r="F260" s="142">
        <v>0.4</v>
      </c>
      <c r="G260" s="141">
        <v>1</v>
      </c>
      <c r="H260" s="142">
        <v>1</v>
      </c>
      <c r="I260" s="142">
        <v>0.69565220000000005</v>
      </c>
      <c r="J260" s="142">
        <v>0.63</v>
      </c>
      <c r="K260" s="155"/>
      <c r="L260" s="141" t="s">
        <v>747</v>
      </c>
      <c r="M260" s="141" t="s">
        <v>748</v>
      </c>
      <c r="N260" s="141">
        <v>3807</v>
      </c>
      <c r="O260" s="141" t="s">
        <v>842</v>
      </c>
      <c r="P260" s="141">
        <v>4</v>
      </c>
      <c r="Q260" s="142">
        <v>0.84905660000000005</v>
      </c>
      <c r="R260" s="142">
        <v>0.4456522</v>
      </c>
      <c r="S260" s="142">
        <v>0.85294119999999995</v>
      </c>
      <c r="T260" s="142">
        <v>0.52500000000000002</v>
      </c>
      <c r="U260" s="142">
        <v>0.47872340000000002</v>
      </c>
      <c r="V260" s="142">
        <v>0.63749999999999996</v>
      </c>
    </row>
    <row r="261" spans="1:22" ht="18.5" x14ac:dyDescent="0.35">
      <c r="A261" s="141" t="s">
        <v>747</v>
      </c>
      <c r="B261" s="141" t="s">
        <v>748</v>
      </c>
      <c r="C261" s="141">
        <v>3810</v>
      </c>
      <c r="D261" s="141" t="s">
        <v>663</v>
      </c>
      <c r="E261" s="141">
        <v>1</v>
      </c>
      <c r="F261" s="142">
        <v>0.48</v>
      </c>
      <c r="G261" s="141">
        <v>1</v>
      </c>
      <c r="H261" s="142">
        <v>1</v>
      </c>
      <c r="I261" s="142">
        <v>0.63043479999999996</v>
      </c>
      <c r="J261" s="142">
        <v>0.65500000000000003</v>
      </c>
      <c r="K261" s="155"/>
      <c r="L261" s="141" t="s">
        <v>747</v>
      </c>
      <c r="M261" s="141" t="s">
        <v>748</v>
      </c>
      <c r="N261" s="141">
        <v>3810</v>
      </c>
      <c r="O261" s="141" t="s">
        <v>663</v>
      </c>
      <c r="P261" s="141">
        <v>4</v>
      </c>
      <c r="Q261" s="142">
        <v>0.76595749999999996</v>
      </c>
      <c r="R261" s="142">
        <v>0.77064220000000005</v>
      </c>
      <c r="S261" s="142">
        <v>0.69090910000000005</v>
      </c>
      <c r="T261" s="142">
        <v>0.66666669999999995</v>
      </c>
      <c r="U261" s="142">
        <v>0.56451609999999997</v>
      </c>
      <c r="V261" s="142">
        <v>0.69</v>
      </c>
    </row>
    <row r="262" spans="1:22" ht="18.5" x14ac:dyDescent="0.35">
      <c r="A262" s="141" t="s">
        <v>749</v>
      </c>
      <c r="B262" s="141" t="s">
        <v>730</v>
      </c>
      <c r="C262" s="141">
        <v>313</v>
      </c>
      <c r="D262" s="141" t="s">
        <v>842</v>
      </c>
      <c r="E262" s="141">
        <v>1</v>
      </c>
      <c r="F262" s="142">
        <v>0.56999999999999995</v>
      </c>
      <c r="G262" s="141">
        <v>1</v>
      </c>
      <c r="H262" s="142">
        <v>0.55555560000000004</v>
      </c>
      <c r="I262" s="142">
        <v>0.52173910000000001</v>
      </c>
      <c r="J262" s="142">
        <v>0.55500000000000005</v>
      </c>
      <c r="K262" s="155"/>
      <c r="L262" s="141" t="s">
        <v>749</v>
      </c>
      <c r="M262" s="141" t="s">
        <v>730</v>
      </c>
      <c r="N262" s="141">
        <v>313</v>
      </c>
      <c r="O262" s="141" t="s">
        <v>842</v>
      </c>
      <c r="P262" s="141">
        <v>4</v>
      </c>
      <c r="Q262" s="142">
        <v>0.14204549999999999</v>
      </c>
      <c r="R262" s="142">
        <v>0.2371134</v>
      </c>
      <c r="S262" s="142">
        <v>0.26470589999999999</v>
      </c>
      <c r="T262" s="142">
        <v>0.1</v>
      </c>
      <c r="U262" s="142">
        <v>0.1214953</v>
      </c>
      <c r="V262" s="142">
        <v>0.17624999999999999</v>
      </c>
    </row>
    <row r="263" spans="1:22" ht="18.5" x14ac:dyDescent="0.35">
      <c r="A263" s="141" t="s">
        <v>749</v>
      </c>
      <c r="B263" s="141" t="s">
        <v>730</v>
      </c>
      <c r="C263" s="141">
        <v>326</v>
      </c>
      <c r="D263" s="141" t="s">
        <v>842</v>
      </c>
      <c r="E263" s="141">
        <v>1</v>
      </c>
      <c r="F263" s="142">
        <v>0.69</v>
      </c>
      <c r="G263" s="141">
        <v>1</v>
      </c>
      <c r="H263" s="142">
        <v>1</v>
      </c>
      <c r="I263" s="142">
        <v>0.63043479999999996</v>
      </c>
      <c r="J263" s="142">
        <v>0.76</v>
      </c>
      <c r="K263" s="155"/>
      <c r="L263" s="141" t="s">
        <v>749</v>
      </c>
      <c r="M263" s="141" t="s">
        <v>730</v>
      </c>
      <c r="N263" s="141">
        <v>326</v>
      </c>
      <c r="O263" s="141" t="s">
        <v>842</v>
      </c>
      <c r="P263" s="141">
        <v>4</v>
      </c>
      <c r="Q263" s="142">
        <v>0.26339289999999999</v>
      </c>
      <c r="R263" s="142">
        <v>0.3020833</v>
      </c>
      <c r="S263" s="142">
        <v>0.68085099999999998</v>
      </c>
      <c r="T263" s="142">
        <v>4.1666700000000001E-2</v>
      </c>
      <c r="U263" s="142">
        <v>8.2474199999999998E-2</v>
      </c>
      <c r="V263" s="142">
        <v>0.25124999999999997</v>
      </c>
    </row>
    <row r="264" spans="1:22" ht="18.5" x14ac:dyDescent="0.35">
      <c r="A264" s="141" t="s">
        <v>749</v>
      </c>
      <c r="B264" s="141" t="s">
        <v>730</v>
      </c>
      <c r="C264" s="141">
        <v>350</v>
      </c>
      <c r="D264" s="141" t="s">
        <v>841</v>
      </c>
      <c r="E264" s="141">
        <v>1</v>
      </c>
      <c r="F264" s="142">
        <v>0.53</v>
      </c>
      <c r="G264" s="141">
        <v>1</v>
      </c>
      <c r="H264" s="142">
        <v>0.66666669999999995</v>
      </c>
      <c r="I264" s="142">
        <v>0.53260870000000005</v>
      </c>
      <c r="J264" s="142">
        <v>0.5675</v>
      </c>
      <c r="K264" s="155"/>
      <c r="L264" s="141" t="s">
        <v>749</v>
      </c>
      <c r="M264" s="141" t="s">
        <v>730</v>
      </c>
      <c r="N264" s="141">
        <v>350</v>
      </c>
      <c r="O264" s="141" t="s">
        <v>841</v>
      </c>
      <c r="P264" s="141">
        <v>4</v>
      </c>
      <c r="Q264" s="142">
        <v>0.24568970000000001</v>
      </c>
      <c r="R264" s="142">
        <v>0.49494949999999999</v>
      </c>
      <c r="S264" s="142">
        <v>0.68085099999999998</v>
      </c>
      <c r="T264" s="142">
        <v>0.67857140000000005</v>
      </c>
      <c r="U264" s="142">
        <v>0.1909091</v>
      </c>
      <c r="V264" s="142">
        <v>0.37375000000000003</v>
      </c>
    </row>
    <row r="265" spans="1:22" ht="18.5" x14ac:dyDescent="0.35">
      <c r="A265" s="141" t="s">
        <v>749</v>
      </c>
      <c r="B265" s="141" t="s">
        <v>730</v>
      </c>
      <c r="C265" s="141">
        <v>2088</v>
      </c>
      <c r="D265" s="141" t="s">
        <v>841</v>
      </c>
      <c r="E265" s="141">
        <v>1</v>
      </c>
      <c r="F265" s="142">
        <v>0.68</v>
      </c>
      <c r="G265" s="141">
        <v>1</v>
      </c>
      <c r="H265" s="142">
        <v>1</v>
      </c>
      <c r="I265" s="142">
        <v>0.82608689999999996</v>
      </c>
      <c r="J265" s="142">
        <v>0.8</v>
      </c>
      <c r="K265" s="155"/>
      <c r="L265" s="141" t="s">
        <v>749</v>
      </c>
      <c r="M265" s="141" t="s">
        <v>730</v>
      </c>
      <c r="N265" s="141">
        <v>2088</v>
      </c>
      <c r="O265" s="141" t="s">
        <v>841</v>
      </c>
      <c r="P265" s="141">
        <v>4</v>
      </c>
      <c r="Q265" s="142">
        <v>0.76344080000000003</v>
      </c>
      <c r="R265" s="142">
        <v>0.74</v>
      </c>
      <c r="S265" s="142">
        <v>0.46666669999999999</v>
      </c>
      <c r="T265" s="142">
        <v>0.78947369999999994</v>
      </c>
      <c r="U265" s="142">
        <v>0.34862379999999998</v>
      </c>
      <c r="V265" s="142">
        <v>0.60250000000000004</v>
      </c>
    </row>
    <row r="266" spans="1:22" ht="18.5" x14ac:dyDescent="0.35">
      <c r="A266" s="141" t="s">
        <v>749</v>
      </c>
      <c r="B266" s="141" t="s">
        <v>730</v>
      </c>
      <c r="C266" s="141">
        <v>2165</v>
      </c>
      <c r="D266" s="141" t="s">
        <v>842</v>
      </c>
      <c r="E266" s="141">
        <v>1</v>
      </c>
      <c r="F266" s="142">
        <v>0.37</v>
      </c>
      <c r="G266" s="141">
        <v>1</v>
      </c>
      <c r="H266" s="142">
        <v>0.5</v>
      </c>
      <c r="I266" s="142">
        <v>0.52173910000000001</v>
      </c>
      <c r="J266" s="142">
        <v>0.44</v>
      </c>
      <c r="K266" s="155"/>
      <c r="L266" s="141" t="s">
        <v>749</v>
      </c>
      <c r="M266" s="141" t="s">
        <v>730</v>
      </c>
      <c r="N266" s="141">
        <v>2165</v>
      </c>
      <c r="O266" s="141" t="s">
        <v>842</v>
      </c>
      <c r="P266" s="141">
        <v>4</v>
      </c>
      <c r="Q266" s="142">
        <v>0.25609759999999998</v>
      </c>
      <c r="R266" s="142">
        <v>0.3333333</v>
      </c>
      <c r="S266" s="142">
        <v>0.70149249999999996</v>
      </c>
      <c r="T266" s="142">
        <v>0.29310350000000002</v>
      </c>
      <c r="U266" s="142">
        <v>9.2783500000000005E-2</v>
      </c>
      <c r="V266" s="142">
        <v>0.315</v>
      </c>
    </row>
    <row r="267" spans="1:22" ht="18.5" x14ac:dyDescent="0.35">
      <c r="A267" s="141" t="s">
        <v>749</v>
      </c>
      <c r="B267" s="141" t="s">
        <v>730</v>
      </c>
      <c r="C267" s="141">
        <v>2166</v>
      </c>
      <c r="D267" s="141" t="s">
        <v>842</v>
      </c>
      <c r="E267" s="141">
        <v>1</v>
      </c>
      <c r="F267" s="142">
        <v>0.41</v>
      </c>
      <c r="G267" s="141">
        <v>1</v>
      </c>
      <c r="H267" s="142">
        <v>0.44444440000000002</v>
      </c>
      <c r="I267" s="142">
        <v>0.42391299999999998</v>
      </c>
      <c r="J267" s="142">
        <v>0.42249999999999999</v>
      </c>
      <c r="K267" s="155"/>
      <c r="L267" s="141" t="s">
        <v>749</v>
      </c>
      <c r="M267" s="141" t="s">
        <v>730</v>
      </c>
      <c r="N267" s="141">
        <v>2166</v>
      </c>
      <c r="O267" s="141" t="s">
        <v>842</v>
      </c>
      <c r="P267" s="141">
        <v>4</v>
      </c>
      <c r="Q267" s="142">
        <v>0.58426959999999994</v>
      </c>
      <c r="R267" s="142">
        <v>0.3457944</v>
      </c>
      <c r="S267" s="142">
        <v>0.20634920000000001</v>
      </c>
      <c r="T267" s="142">
        <v>0</v>
      </c>
      <c r="U267" s="142">
        <v>0.18181820000000001</v>
      </c>
      <c r="V267" s="142">
        <v>0.31</v>
      </c>
    </row>
    <row r="268" spans="1:22" ht="18.5" x14ac:dyDescent="0.35">
      <c r="A268" s="141" t="s">
        <v>749</v>
      </c>
      <c r="B268" s="141" t="s">
        <v>730</v>
      </c>
      <c r="C268" s="141">
        <v>2168</v>
      </c>
      <c r="D268" s="141" t="s">
        <v>842</v>
      </c>
      <c r="E268" s="141">
        <v>1</v>
      </c>
      <c r="F268" s="142">
        <v>0.21</v>
      </c>
      <c r="G268" s="141">
        <v>1</v>
      </c>
      <c r="H268" s="142">
        <v>1</v>
      </c>
      <c r="I268" s="142">
        <v>0.94565220000000005</v>
      </c>
      <c r="J268" s="142">
        <v>0.59250000000000003</v>
      </c>
      <c r="K268" s="155"/>
      <c r="L268" s="141" t="s">
        <v>749</v>
      </c>
      <c r="M268" s="141" t="s">
        <v>730</v>
      </c>
      <c r="N268" s="141">
        <v>2168</v>
      </c>
      <c r="O268" s="141" t="s">
        <v>842</v>
      </c>
      <c r="P268" s="141">
        <v>4</v>
      </c>
      <c r="Q268" s="142">
        <v>0.24137929999999999</v>
      </c>
      <c r="R268" s="142">
        <v>0.38383840000000002</v>
      </c>
      <c r="S268" s="142">
        <v>0.25531910000000002</v>
      </c>
      <c r="T268" s="142">
        <v>0</v>
      </c>
      <c r="U268" s="142">
        <v>0.1181818</v>
      </c>
      <c r="V268" s="142">
        <v>0.22750000000000001</v>
      </c>
    </row>
    <row r="269" spans="1:22" ht="18.5" x14ac:dyDescent="0.35">
      <c r="A269" s="141" t="s">
        <v>749</v>
      </c>
      <c r="B269" s="141" t="s">
        <v>730</v>
      </c>
      <c r="C269" s="141">
        <v>2172</v>
      </c>
      <c r="D269" s="141" t="s">
        <v>842</v>
      </c>
      <c r="E269" s="141">
        <v>1</v>
      </c>
      <c r="F269" s="142">
        <v>0.44</v>
      </c>
      <c r="G269" s="141">
        <v>1</v>
      </c>
      <c r="H269" s="142">
        <v>0.61111110000000002</v>
      </c>
      <c r="I269" s="142">
        <v>0.53260870000000005</v>
      </c>
      <c r="J269" s="142">
        <v>0.50749999999999995</v>
      </c>
      <c r="K269" s="155"/>
      <c r="L269" s="141" t="s">
        <v>749</v>
      </c>
      <c r="M269" s="141" t="s">
        <v>730</v>
      </c>
      <c r="N269" s="141">
        <v>2172</v>
      </c>
      <c r="O269" s="141" t="s">
        <v>842</v>
      </c>
      <c r="P269" s="141">
        <v>2</v>
      </c>
      <c r="Q269" s="142">
        <v>0.6</v>
      </c>
      <c r="R269" s="142">
        <v>0.48979590000000001</v>
      </c>
      <c r="S269" s="142">
        <v>6.25E-2</v>
      </c>
      <c r="T269" s="142">
        <v>0</v>
      </c>
      <c r="U269" s="142">
        <v>0</v>
      </c>
      <c r="V269" s="142">
        <v>0.26500000000000001</v>
      </c>
    </row>
    <row r="270" spans="1:22" ht="18.5" x14ac:dyDescent="0.35">
      <c r="A270" s="141" t="s">
        <v>749</v>
      </c>
      <c r="B270" s="141" t="s">
        <v>730</v>
      </c>
      <c r="C270" s="141">
        <v>2427</v>
      </c>
      <c r="D270" s="141" t="s">
        <v>842</v>
      </c>
      <c r="E270" s="141">
        <v>1</v>
      </c>
      <c r="F270" s="142">
        <v>0.38</v>
      </c>
      <c r="G270" s="141">
        <v>1</v>
      </c>
      <c r="H270" s="142">
        <v>0.27777780000000002</v>
      </c>
      <c r="I270" s="142">
        <v>0.61956520000000004</v>
      </c>
      <c r="J270" s="142">
        <v>0.40749999999999997</v>
      </c>
      <c r="K270" s="155"/>
      <c r="L270" s="141" t="s">
        <v>749</v>
      </c>
      <c r="M270" s="141" t="s">
        <v>730</v>
      </c>
      <c r="N270" s="141">
        <v>2427</v>
      </c>
      <c r="O270" s="141" t="s">
        <v>842</v>
      </c>
      <c r="P270" s="141">
        <v>4</v>
      </c>
      <c r="Q270" s="142">
        <v>0.4296875</v>
      </c>
      <c r="R270" s="142">
        <v>0.37804880000000002</v>
      </c>
      <c r="S270" s="142">
        <v>0.66666669999999995</v>
      </c>
      <c r="T270" s="142">
        <v>0.16</v>
      </c>
      <c r="U270" s="142">
        <v>0.1</v>
      </c>
      <c r="V270" s="142">
        <v>0.35499999999999998</v>
      </c>
    </row>
    <row r="271" spans="1:22" ht="18.5" x14ac:dyDescent="0.35">
      <c r="A271" s="141" t="s">
        <v>749</v>
      </c>
      <c r="B271" s="141" t="s">
        <v>730</v>
      </c>
      <c r="C271" s="141">
        <v>2428</v>
      </c>
      <c r="D271" s="141" t="s">
        <v>663</v>
      </c>
      <c r="E271" s="141">
        <v>1</v>
      </c>
      <c r="F271" s="142">
        <v>0.68</v>
      </c>
      <c r="G271" s="141">
        <v>1</v>
      </c>
      <c r="H271" s="142">
        <v>1</v>
      </c>
      <c r="I271" s="142">
        <v>0.54347829999999997</v>
      </c>
      <c r="J271" s="142">
        <v>0.73499999999999999</v>
      </c>
      <c r="K271" s="155"/>
      <c r="L271" s="141" t="s">
        <v>749</v>
      </c>
      <c r="M271" s="141" t="s">
        <v>730</v>
      </c>
      <c r="N271" s="141">
        <v>2428</v>
      </c>
      <c r="O271" s="141" t="s">
        <v>663</v>
      </c>
      <c r="P271" s="141">
        <v>4</v>
      </c>
      <c r="Q271" s="142">
        <v>0.31460680000000002</v>
      </c>
      <c r="R271" s="142">
        <v>0.32989689999999999</v>
      </c>
      <c r="S271" s="142">
        <v>0.4166667</v>
      </c>
      <c r="T271" s="142">
        <v>3.4482800000000001E-2</v>
      </c>
      <c r="U271" s="142">
        <v>0.15625</v>
      </c>
      <c r="V271" s="142">
        <v>0.255</v>
      </c>
    </row>
    <row r="272" spans="1:22" ht="18.5" x14ac:dyDescent="0.35">
      <c r="A272" s="141" t="s">
        <v>749</v>
      </c>
      <c r="B272" s="141" t="s">
        <v>730</v>
      </c>
      <c r="C272" s="141">
        <v>2666</v>
      </c>
      <c r="D272" s="141" t="s">
        <v>842</v>
      </c>
      <c r="E272" s="141">
        <v>1</v>
      </c>
      <c r="F272" s="142">
        <v>0.32</v>
      </c>
      <c r="G272" s="141">
        <v>1</v>
      </c>
      <c r="H272" s="142">
        <v>0.94444439999999996</v>
      </c>
      <c r="I272" s="142">
        <v>0.54347829999999997</v>
      </c>
      <c r="J272" s="142">
        <v>0.54</v>
      </c>
      <c r="K272" s="155"/>
      <c r="L272" s="141" t="s">
        <v>749</v>
      </c>
      <c r="M272" s="141" t="s">
        <v>730</v>
      </c>
      <c r="N272" s="141">
        <v>2666</v>
      </c>
      <c r="O272" s="141" t="s">
        <v>842</v>
      </c>
      <c r="P272" s="141">
        <v>4</v>
      </c>
      <c r="Q272" s="142">
        <v>0.28048780000000001</v>
      </c>
      <c r="R272" s="142">
        <v>0.2395833</v>
      </c>
      <c r="S272" s="142">
        <v>0.44776120000000003</v>
      </c>
      <c r="T272" s="142">
        <v>0.29310350000000002</v>
      </c>
      <c r="U272" s="142">
        <v>2.0618600000000001E-2</v>
      </c>
      <c r="V272" s="142">
        <v>0.23749999999999999</v>
      </c>
    </row>
    <row r="273" spans="1:22" ht="18.5" x14ac:dyDescent="0.35">
      <c r="A273" s="141" t="s">
        <v>749</v>
      </c>
      <c r="B273" s="141" t="s">
        <v>730</v>
      </c>
      <c r="C273" s="141">
        <v>2911</v>
      </c>
      <c r="D273" s="141" t="s">
        <v>842</v>
      </c>
      <c r="E273" s="141">
        <v>1</v>
      </c>
      <c r="F273" s="142">
        <v>0.45</v>
      </c>
      <c r="G273" s="141">
        <v>1</v>
      </c>
      <c r="H273" s="142">
        <v>0.55555560000000004</v>
      </c>
      <c r="I273" s="142">
        <v>0.53260870000000005</v>
      </c>
      <c r="J273" s="142">
        <v>0.4975</v>
      </c>
      <c r="K273" s="155"/>
      <c r="L273" s="141" t="s">
        <v>749</v>
      </c>
      <c r="M273" s="141" t="s">
        <v>730</v>
      </c>
      <c r="N273" s="141">
        <v>2911</v>
      </c>
      <c r="O273" s="141" t="s">
        <v>842</v>
      </c>
      <c r="P273" s="141">
        <v>4</v>
      </c>
      <c r="Q273" s="142">
        <v>0.48295450000000001</v>
      </c>
      <c r="R273" s="142">
        <v>0.42268040000000001</v>
      </c>
      <c r="S273" s="142">
        <v>0.66176469999999998</v>
      </c>
      <c r="T273" s="142">
        <v>0.57499999999999996</v>
      </c>
      <c r="U273" s="142">
        <v>0.28037380000000001</v>
      </c>
      <c r="V273" s="142">
        <v>0.45374999999999999</v>
      </c>
    </row>
    <row r="274" spans="1:22" ht="18.5" x14ac:dyDescent="0.35">
      <c r="A274" s="141" t="s">
        <v>749</v>
      </c>
      <c r="B274" s="141" t="s">
        <v>730</v>
      </c>
      <c r="C274" s="141">
        <v>3075</v>
      </c>
      <c r="D274" s="141" t="s">
        <v>663</v>
      </c>
      <c r="E274" s="141">
        <v>1</v>
      </c>
      <c r="F274" s="142">
        <v>0.35</v>
      </c>
      <c r="G274" s="141">
        <v>1</v>
      </c>
      <c r="H274" s="142">
        <v>0.38888889999999998</v>
      </c>
      <c r="I274" s="142">
        <v>0.53260870000000005</v>
      </c>
      <c r="J274" s="142">
        <v>0.40250000000000002</v>
      </c>
      <c r="K274" s="155"/>
      <c r="L274" s="141" t="s">
        <v>749</v>
      </c>
      <c r="M274" s="141" t="s">
        <v>730</v>
      </c>
      <c r="N274" s="141">
        <v>3075</v>
      </c>
      <c r="O274" s="141" t="s">
        <v>663</v>
      </c>
      <c r="P274" s="141">
        <v>4</v>
      </c>
      <c r="Q274" s="142">
        <v>0.31182799999999999</v>
      </c>
      <c r="R274" s="142">
        <v>0.34343430000000003</v>
      </c>
      <c r="S274" s="142">
        <v>0.05</v>
      </c>
      <c r="T274" s="142">
        <v>0.131579</v>
      </c>
      <c r="U274" s="142">
        <v>0.1</v>
      </c>
      <c r="V274" s="142">
        <v>0.20499999999999999</v>
      </c>
    </row>
    <row r="275" spans="1:22" ht="18.5" x14ac:dyDescent="0.35">
      <c r="A275" s="141" t="s">
        <v>749</v>
      </c>
      <c r="B275" s="141" t="s">
        <v>730</v>
      </c>
      <c r="C275" s="141">
        <v>3933</v>
      </c>
      <c r="D275" s="141" t="s">
        <v>663</v>
      </c>
      <c r="E275" s="141">
        <v>1</v>
      </c>
      <c r="F275" s="142">
        <v>0.32</v>
      </c>
      <c r="G275" s="141">
        <v>1</v>
      </c>
      <c r="H275" s="142">
        <v>0.5</v>
      </c>
      <c r="I275" s="142">
        <v>0.54347829999999997</v>
      </c>
      <c r="J275" s="142">
        <v>0.42</v>
      </c>
      <c r="K275" s="155"/>
      <c r="L275" s="141" t="s">
        <v>749</v>
      </c>
      <c r="M275" s="141" t="s">
        <v>730</v>
      </c>
      <c r="N275" s="141">
        <v>3933</v>
      </c>
      <c r="O275" s="141" t="s">
        <v>663</v>
      </c>
      <c r="P275" s="141">
        <v>2</v>
      </c>
      <c r="Q275" s="142">
        <v>0.15</v>
      </c>
      <c r="R275" s="142">
        <v>0.1702128</v>
      </c>
      <c r="S275" s="142">
        <v>0.125</v>
      </c>
      <c r="T275" s="142">
        <v>0</v>
      </c>
      <c r="U275" s="142">
        <v>0</v>
      </c>
      <c r="V275" s="142">
        <v>9.5000000000000001E-2</v>
      </c>
    </row>
    <row r="276" spans="1:22" ht="18.5" x14ac:dyDescent="0.35">
      <c r="A276" s="141" t="s">
        <v>749</v>
      </c>
      <c r="B276" s="141" t="s">
        <v>730</v>
      </c>
      <c r="C276" s="141">
        <v>4118</v>
      </c>
      <c r="D276" s="141" t="s">
        <v>663</v>
      </c>
      <c r="E276" s="141">
        <v>1</v>
      </c>
      <c r="F276" s="142">
        <v>0.55000000000000004</v>
      </c>
      <c r="G276" s="141">
        <v>1</v>
      </c>
      <c r="H276" s="142">
        <v>0.94444439999999996</v>
      </c>
      <c r="I276" s="142">
        <v>0.76086960000000003</v>
      </c>
      <c r="J276" s="142">
        <v>0.70499999999999996</v>
      </c>
      <c r="K276" s="155"/>
      <c r="L276" s="141" t="s">
        <v>749</v>
      </c>
      <c r="M276" s="141" t="s">
        <v>730</v>
      </c>
      <c r="N276" s="141">
        <v>4118</v>
      </c>
      <c r="O276" s="141" t="s">
        <v>663</v>
      </c>
      <c r="P276" s="141">
        <v>4</v>
      </c>
      <c r="Q276" s="142">
        <v>0.20869570000000001</v>
      </c>
      <c r="R276" s="142">
        <v>0.31460680000000002</v>
      </c>
      <c r="S276" s="142">
        <v>0.3846154</v>
      </c>
      <c r="T276" s="142">
        <v>0</v>
      </c>
      <c r="U276" s="142">
        <v>0.1666667</v>
      </c>
      <c r="V276" s="142">
        <v>0.22</v>
      </c>
    </row>
    <row r="277" spans="1:22" ht="18.5" x14ac:dyDescent="0.35">
      <c r="A277" s="141" t="s">
        <v>749</v>
      </c>
      <c r="B277" s="141" t="s">
        <v>730</v>
      </c>
      <c r="C277" s="141">
        <v>10420</v>
      </c>
      <c r="D277" s="141" t="s">
        <v>843</v>
      </c>
      <c r="E277" s="141">
        <v>1</v>
      </c>
      <c r="F277" s="142">
        <v>0.14000000000000001</v>
      </c>
      <c r="G277" s="141">
        <v>1</v>
      </c>
      <c r="H277" s="142">
        <v>0.88888889999999998</v>
      </c>
      <c r="I277" s="142">
        <v>0.90217389999999997</v>
      </c>
      <c r="J277" s="142">
        <v>0.51749999999999996</v>
      </c>
      <c r="K277" s="155"/>
      <c r="L277" s="141" t="s">
        <v>749</v>
      </c>
      <c r="M277" s="141" t="s">
        <v>730</v>
      </c>
      <c r="N277" s="141">
        <v>10420</v>
      </c>
      <c r="O277" s="141" t="s">
        <v>843</v>
      </c>
      <c r="P277" s="141">
        <v>4</v>
      </c>
      <c r="Q277" s="142">
        <v>0.28658539999999999</v>
      </c>
      <c r="R277" s="142">
        <v>0.4895833</v>
      </c>
      <c r="S277" s="142">
        <v>0.40298509999999998</v>
      </c>
      <c r="T277" s="142">
        <v>0.1896552</v>
      </c>
      <c r="U277" s="142">
        <v>0.26804119999999998</v>
      </c>
      <c r="V277" s="142">
        <v>0.33624999999999999</v>
      </c>
    </row>
    <row r="278" spans="1:22" ht="18.5" x14ac:dyDescent="0.35">
      <c r="A278" s="141" t="s">
        <v>750</v>
      </c>
      <c r="B278" s="141" t="s">
        <v>751</v>
      </c>
      <c r="C278" s="141">
        <v>686</v>
      </c>
      <c r="D278" s="141" t="s">
        <v>2452</v>
      </c>
      <c r="E278" s="141">
        <v>1</v>
      </c>
      <c r="F278" s="142">
        <v>0.18</v>
      </c>
      <c r="G278" s="141">
        <v>1</v>
      </c>
      <c r="H278" s="142">
        <v>0.44444440000000002</v>
      </c>
      <c r="I278" s="142">
        <v>0.63043479999999996</v>
      </c>
      <c r="J278" s="142">
        <v>0.35499999999999998</v>
      </c>
      <c r="K278" s="155"/>
      <c r="L278" s="141" t="s">
        <v>750</v>
      </c>
      <c r="M278" s="141" t="s">
        <v>751</v>
      </c>
      <c r="N278" s="141">
        <v>686</v>
      </c>
      <c r="O278" s="141" t="s">
        <v>2452</v>
      </c>
      <c r="P278" s="141">
        <v>4</v>
      </c>
      <c r="Q278" s="142">
        <v>0.29268290000000002</v>
      </c>
      <c r="R278" s="142">
        <v>0.2916667</v>
      </c>
      <c r="S278" s="142">
        <v>0.40298509999999998</v>
      </c>
      <c r="T278" s="142">
        <v>3.4482800000000001E-2</v>
      </c>
      <c r="U278" s="142">
        <v>0.11340210000000001</v>
      </c>
      <c r="V278" s="142">
        <v>0.23</v>
      </c>
    </row>
    <row r="279" spans="1:22" ht="18.5" x14ac:dyDescent="0.35">
      <c r="A279" s="141" t="s">
        <v>750</v>
      </c>
      <c r="B279" s="141" t="s">
        <v>751</v>
      </c>
      <c r="C279" s="141">
        <v>687</v>
      </c>
      <c r="D279" s="141" t="s">
        <v>842</v>
      </c>
      <c r="E279" s="141">
        <v>1</v>
      </c>
      <c r="F279" s="142">
        <v>0.45</v>
      </c>
      <c r="G279" s="141">
        <v>1</v>
      </c>
      <c r="H279" s="142">
        <v>0.77777779999999996</v>
      </c>
      <c r="I279" s="142">
        <v>0.54347829999999997</v>
      </c>
      <c r="J279" s="142">
        <v>0.56000000000000005</v>
      </c>
      <c r="K279" s="155"/>
      <c r="L279" s="141" t="s">
        <v>750</v>
      </c>
      <c r="M279" s="141" t="s">
        <v>751</v>
      </c>
      <c r="N279" s="141">
        <v>687</v>
      </c>
      <c r="O279" s="141" t="s">
        <v>842</v>
      </c>
      <c r="P279" s="141">
        <v>4</v>
      </c>
      <c r="Q279" s="142">
        <v>0.32352940000000002</v>
      </c>
      <c r="R279" s="142">
        <v>0.48314610000000002</v>
      </c>
      <c r="S279" s="142">
        <v>0.55555560000000004</v>
      </c>
      <c r="T279" s="142">
        <v>0.43103449999999999</v>
      </c>
      <c r="U279" s="142">
        <v>9.375E-2</v>
      </c>
      <c r="V279" s="142">
        <v>0.36125000000000002</v>
      </c>
    </row>
    <row r="280" spans="1:22" ht="18.5" x14ac:dyDescent="0.35">
      <c r="A280" s="141" t="s">
        <v>750</v>
      </c>
      <c r="B280" s="141" t="s">
        <v>751</v>
      </c>
      <c r="C280" s="141">
        <v>1031</v>
      </c>
      <c r="D280" s="141" t="s">
        <v>841</v>
      </c>
      <c r="E280" s="141">
        <v>1</v>
      </c>
      <c r="F280" s="142">
        <v>0.72</v>
      </c>
      <c r="G280" s="141">
        <v>1</v>
      </c>
      <c r="H280" s="142">
        <v>0.66666669999999995</v>
      </c>
      <c r="I280" s="142">
        <v>0.67391310000000004</v>
      </c>
      <c r="J280" s="142">
        <v>0.69499999999999995</v>
      </c>
      <c r="K280" s="155"/>
      <c r="L280" s="141" t="s">
        <v>750</v>
      </c>
      <c r="M280" s="141" t="s">
        <v>751</v>
      </c>
      <c r="N280" s="141">
        <v>1031</v>
      </c>
      <c r="O280" s="141" t="s">
        <v>841</v>
      </c>
      <c r="P280" s="141">
        <v>4</v>
      </c>
      <c r="Q280" s="142">
        <v>0.81081080000000005</v>
      </c>
      <c r="R280" s="142">
        <v>0.65957440000000001</v>
      </c>
      <c r="S280" s="142">
        <v>0.96666660000000004</v>
      </c>
      <c r="T280" s="142">
        <v>0.8947368</v>
      </c>
      <c r="U280" s="142">
        <v>0.65979379999999999</v>
      </c>
      <c r="V280" s="142">
        <v>0.77</v>
      </c>
    </row>
    <row r="281" spans="1:22" ht="18.5" x14ac:dyDescent="0.35">
      <c r="A281" s="141" t="s">
        <v>750</v>
      </c>
      <c r="B281" s="141" t="s">
        <v>751</v>
      </c>
      <c r="C281" s="141">
        <v>1967</v>
      </c>
      <c r="D281" s="141" t="s">
        <v>842</v>
      </c>
      <c r="E281" s="141">
        <v>1</v>
      </c>
      <c r="F281" s="142">
        <v>0.36</v>
      </c>
      <c r="G281" s="141">
        <v>1</v>
      </c>
      <c r="H281" s="142">
        <v>0.83333330000000005</v>
      </c>
      <c r="I281" s="142">
        <v>0.58695649999999999</v>
      </c>
      <c r="J281" s="142">
        <v>0.54</v>
      </c>
      <c r="K281" s="155"/>
      <c r="L281" s="141" t="s">
        <v>750</v>
      </c>
      <c r="M281" s="141" t="s">
        <v>751</v>
      </c>
      <c r="N281" s="141">
        <v>1967</v>
      </c>
      <c r="O281" s="141" t="s">
        <v>842</v>
      </c>
      <c r="P281" s="141">
        <v>4</v>
      </c>
      <c r="Q281" s="142">
        <v>0.35454540000000001</v>
      </c>
      <c r="R281" s="142">
        <v>0.36781609999999998</v>
      </c>
      <c r="S281" s="142">
        <v>0.1666667</v>
      </c>
      <c r="T281" s="142">
        <v>0.22</v>
      </c>
      <c r="U281" s="142">
        <v>9.6774200000000005E-2</v>
      </c>
      <c r="V281" s="142">
        <v>0.2525</v>
      </c>
    </row>
    <row r="282" spans="1:22" ht="18.5" x14ac:dyDescent="0.35">
      <c r="A282" s="141" t="s">
        <v>750</v>
      </c>
      <c r="B282" s="141" t="s">
        <v>751</v>
      </c>
      <c r="C282" s="141">
        <v>1968</v>
      </c>
      <c r="D282" s="141" t="s">
        <v>841</v>
      </c>
      <c r="E282" s="141">
        <v>1</v>
      </c>
      <c r="F282" s="142">
        <v>0.69</v>
      </c>
      <c r="G282" s="141">
        <v>1</v>
      </c>
      <c r="H282" s="142">
        <v>0.83333330000000005</v>
      </c>
      <c r="I282" s="142">
        <v>0.75</v>
      </c>
      <c r="J282" s="142">
        <v>0.74250000000000005</v>
      </c>
      <c r="K282" s="155"/>
      <c r="L282" s="141" t="s">
        <v>750</v>
      </c>
      <c r="M282" s="141" t="s">
        <v>751</v>
      </c>
      <c r="N282" s="141">
        <v>1968</v>
      </c>
      <c r="O282" s="141" t="s">
        <v>841</v>
      </c>
      <c r="P282" s="141">
        <v>4</v>
      </c>
      <c r="Q282" s="142">
        <v>0.84090909999999996</v>
      </c>
      <c r="R282" s="142">
        <v>0.77894739999999996</v>
      </c>
      <c r="S282" s="142">
        <v>1</v>
      </c>
      <c r="T282" s="142">
        <v>0.85</v>
      </c>
      <c r="U282" s="142">
        <v>0.82242990000000005</v>
      </c>
      <c r="V282" s="142">
        <v>0.84875</v>
      </c>
    </row>
    <row r="283" spans="1:22" ht="18.5" x14ac:dyDescent="0.35">
      <c r="A283" s="141" t="s">
        <v>750</v>
      </c>
      <c r="B283" s="141" t="s">
        <v>751</v>
      </c>
      <c r="C283" s="141">
        <v>2210</v>
      </c>
      <c r="D283" s="141" t="s">
        <v>663</v>
      </c>
      <c r="E283" s="141">
        <v>1</v>
      </c>
      <c r="F283" s="142">
        <v>0.45</v>
      </c>
      <c r="G283" s="141">
        <v>1</v>
      </c>
      <c r="H283" s="142">
        <v>0.88888889999999998</v>
      </c>
      <c r="I283" s="142">
        <v>0.54347829999999997</v>
      </c>
      <c r="J283" s="142">
        <v>0.59</v>
      </c>
      <c r="K283" s="155"/>
      <c r="L283" s="141" t="s">
        <v>750</v>
      </c>
      <c r="M283" s="141" t="s">
        <v>751</v>
      </c>
      <c r="N283" s="141">
        <v>2210</v>
      </c>
      <c r="O283" s="141" t="s">
        <v>663</v>
      </c>
      <c r="P283" s="141">
        <v>4</v>
      </c>
      <c r="Q283" s="142">
        <v>0.5</v>
      </c>
      <c r="R283" s="142">
        <v>0.43617020000000001</v>
      </c>
      <c r="S283" s="142">
        <v>0.8208955</v>
      </c>
      <c r="T283" s="142">
        <v>0.3947369</v>
      </c>
      <c r="U283" s="142">
        <v>0.1649484</v>
      </c>
      <c r="V283" s="142">
        <v>0.44750000000000001</v>
      </c>
    </row>
    <row r="284" spans="1:22" ht="18.5" x14ac:dyDescent="0.35">
      <c r="A284" s="141" t="s">
        <v>750</v>
      </c>
      <c r="B284" s="141" t="s">
        <v>751</v>
      </c>
      <c r="C284" s="141">
        <v>2704</v>
      </c>
      <c r="D284" s="141" t="s">
        <v>663</v>
      </c>
      <c r="E284" s="141">
        <v>1</v>
      </c>
      <c r="F284" s="142">
        <v>0.65</v>
      </c>
      <c r="G284" s="141">
        <v>1</v>
      </c>
      <c r="H284" s="142">
        <v>0.88888889999999998</v>
      </c>
      <c r="I284" s="142">
        <v>0.78260870000000005</v>
      </c>
      <c r="J284" s="142">
        <v>0.745</v>
      </c>
      <c r="K284" s="155"/>
      <c r="L284" s="141" t="s">
        <v>750</v>
      </c>
      <c r="M284" s="141" t="s">
        <v>751</v>
      </c>
      <c r="N284" s="141">
        <v>2704</v>
      </c>
      <c r="O284" s="141" t="s">
        <v>663</v>
      </c>
      <c r="P284" s="141">
        <v>4</v>
      </c>
      <c r="Q284" s="142">
        <v>0.80180180000000001</v>
      </c>
      <c r="R284" s="142">
        <v>0.7428572</v>
      </c>
      <c r="S284" s="142">
        <v>1</v>
      </c>
      <c r="T284" s="142"/>
      <c r="U284" s="142">
        <v>0.76033059999999997</v>
      </c>
      <c r="V284" s="142">
        <v>0.80500000000000005</v>
      </c>
    </row>
    <row r="285" spans="1:22" ht="18.5" x14ac:dyDescent="0.35">
      <c r="A285" s="141" t="s">
        <v>750</v>
      </c>
      <c r="B285" s="141" t="s">
        <v>751</v>
      </c>
      <c r="C285" s="141">
        <v>2795</v>
      </c>
      <c r="D285" s="141" t="s">
        <v>663</v>
      </c>
      <c r="E285" s="141">
        <v>1</v>
      </c>
      <c r="F285" s="142">
        <v>0.71</v>
      </c>
      <c r="G285" s="141">
        <v>1</v>
      </c>
      <c r="H285" s="142">
        <v>0.83333330000000005</v>
      </c>
      <c r="I285" s="142">
        <v>0.59782610000000003</v>
      </c>
      <c r="J285" s="142">
        <v>0.71750000000000003</v>
      </c>
      <c r="K285" s="155"/>
      <c r="L285" s="141" t="s">
        <v>750</v>
      </c>
      <c r="M285" s="141" t="s">
        <v>751</v>
      </c>
      <c r="N285" s="141">
        <v>2795</v>
      </c>
      <c r="O285" s="141" t="s">
        <v>663</v>
      </c>
      <c r="P285" s="141">
        <v>4</v>
      </c>
      <c r="Q285" s="142">
        <v>0.76744190000000001</v>
      </c>
      <c r="R285" s="142">
        <v>0.92929289999999998</v>
      </c>
      <c r="S285" s="142">
        <v>1</v>
      </c>
      <c r="T285" s="142">
        <v>0.8947368</v>
      </c>
      <c r="U285" s="142">
        <v>0.81818179999999996</v>
      </c>
      <c r="V285" s="142">
        <v>0.87250000000000005</v>
      </c>
    </row>
    <row r="286" spans="1:22" ht="18.5" x14ac:dyDescent="0.35">
      <c r="A286" s="141" t="s">
        <v>750</v>
      </c>
      <c r="B286" s="141" t="s">
        <v>751</v>
      </c>
      <c r="C286" s="141">
        <v>3366</v>
      </c>
      <c r="D286" s="141" t="s">
        <v>842</v>
      </c>
      <c r="E286" s="141">
        <v>1</v>
      </c>
      <c r="F286" s="142">
        <v>0.55000000000000004</v>
      </c>
      <c r="G286" s="141">
        <v>1</v>
      </c>
      <c r="H286" s="142">
        <v>0.83333330000000005</v>
      </c>
      <c r="I286" s="142">
        <v>0.58695649999999999</v>
      </c>
      <c r="J286" s="142">
        <v>0.63500000000000001</v>
      </c>
      <c r="K286" s="155"/>
      <c r="L286" s="141" t="s">
        <v>750</v>
      </c>
      <c r="M286" s="141" t="s">
        <v>751</v>
      </c>
      <c r="N286" s="141">
        <v>3366</v>
      </c>
      <c r="O286" s="141" t="s">
        <v>842</v>
      </c>
      <c r="P286" s="141">
        <v>4</v>
      </c>
      <c r="Q286" s="142">
        <v>0.56382980000000005</v>
      </c>
      <c r="R286" s="142">
        <v>0.50458720000000001</v>
      </c>
      <c r="S286" s="142">
        <v>0.41818179999999999</v>
      </c>
      <c r="T286" s="142">
        <v>0.66666669999999995</v>
      </c>
      <c r="U286" s="142">
        <v>0.51612899999999995</v>
      </c>
      <c r="V286" s="142">
        <v>0.51749999999999996</v>
      </c>
    </row>
    <row r="287" spans="1:22" ht="18.5" x14ac:dyDescent="0.35">
      <c r="A287" s="141" t="s">
        <v>750</v>
      </c>
      <c r="B287" s="141" t="s">
        <v>751</v>
      </c>
      <c r="C287" s="141">
        <v>3868</v>
      </c>
      <c r="D287" s="141" t="s">
        <v>663</v>
      </c>
      <c r="E287" s="141">
        <v>1</v>
      </c>
      <c r="F287" s="142">
        <v>0.53</v>
      </c>
      <c r="G287" s="141">
        <v>1</v>
      </c>
      <c r="H287" s="142">
        <v>0.66666669999999995</v>
      </c>
      <c r="I287" s="142">
        <v>0.66304350000000001</v>
      </c>
      <c r="J287" s="142">
        <v>0.59750000000000003</v>
      </c>
      <c r="K287" s="155"/>
      <c r="L287" s="141" t="s">
        <v>750</v>
      </c>
      <c r="M287" s="141" t="s">
        <v>751</v>
      </c>
      <c r="N287" s="141">
        <v>3868</v>
      </c>
      <c r="O287" s="141" t="s">
        <v>663</v>
      </c>
      <c r="P287" s="141">
        <v>4</v>
      </c>
      <c r="Q287" s="142">
        <v>0.77058819999999995</v>
      </c>
      <c r="R287" s="142">
        <v>0.79775280000000004</v>
      </c>
      <c r="S287" s="142">
        <v>1</v>
      </c>
      <c r="T287" s="142">
        <v>0.86206899999999997</v>
      </c>
      <c r="U287" s="142">
        <v>0.79166669999999995</v>
      </c>
      <c r="V287" s="142">
        <v>0.83625000000000005</v>
      </c>
    </row>
    <row r="288" spans="1:22" ht="18.5" x14ac:dyDescent="0.35">
      <c r="A288" s="141" t="s">
        <v>750</v>
      </c>
      <c r="B288" s="141" t="s">
        <v>751</v>
      </c>
      <c r="C288" s="141">
        <v>3869</v>
      </c>
      <c r="D288" s="141" t="s">
        <v>842</v>
      </c>
      <c r="E288" s="141">
        <v>1</v>
      </c>
      <c r="F288" s="142">
        <v>0.43</v>
      </c>
      <c r="G288" s="141">
        <v>1</v>
      </c>
      <c r="H288" s="142">
        <v>0.61111110000000002</v>
      </c>
      <c r="I288" s="142">
        <v>0.54347829999999997</v>
      </c>
      <c r="J288" s="142">
        <v>0.505</v>
      </c>
      <c r="K288" s="155"/>
      <c r="L288" s="141" t="s">
        <v>750</v>
      </c>
      <c r="M288" s="141" t="s">
        <v>751</v>
      </c>
      <c r="N288" s="141">
        <v>3869</v>
      </c>
      <c r="O288" s="141" t="s">
        <v>842</v>
      </c>
      <c r="P288" s="141">
        <v>4</v>
      </c>
      <c r="Q288" s="142">
        <v>0.31460680000000002</v>
      </c>
      <c r="R288" s="142">
        <v>0.30927830000000001</v>
      </c>
      <c r="S288" s="142">
        <v>0.75</v>
      </c>
      <c r="T288" s="142">
        <v>5.1724100000000002E-2</v>
      </c>
      <c r="U288" s="142">
        <v>8.3333299999999999E-2</v>
      </c>
      <c r="V288" s="142">
        <v>0.28499999999999998</v>
      </c>
    </row>
    <row r="289" spans="1:22" ht="18.5" x14ac:dyDescent="0.35">
      <c r="A289" s="141" t="s">
        <v>752</v>
      </c>
      <c r="B289" s="141" t="s">
        <v>753</v>
      </c>
      <c r="C289" s="141">
        <v>845</v>
      </c>
      <c r="D289" s="141" t="s">
        <v>843</v>
      </c>
      <c r="E289" s="141">
        <v>1</v>
      </c>
      <c r="F289" s="142">
        <v>0.05</v>
      </c>
      <c r="G289" s="141">
        <v>1</v>
      </c>
      <c r="H289" s="142">
        <v>0.83333330000000005</v>
      </c>
      <c r="I289" s="142">
        <v>0.63043479999999996</v>
      </c>
      <c r="J289" s="142">
        <v>0.39500000000000002</v>
      </c>
      <c r="K289" s="155"/>
      <c r="L289" s="141" t="s">
        <v>752</v>
      </c>
      <c r="M289" s="141" t="s">
        <v>753</v>
      </c>
      <c r="N289" s="141">
        <v>845</v>
      </c>
      <c r="O289" s="141" t="s">
        <v>843</v>
      </c>
      <c r="P289" s="141">
        <v>4</v>
      </c>
      <c r="Q289" s="142">
        <v>0.3106796</v>
      </c>
      <c r="R289" s="142">
        <v>0.2</v>
      </c>
      <c r="S289" s="142">
        <v>0.26666669999999998</v>
      </c>
      <c r="T289" s="142">
        <v>0.25</v>
      </c>
      <c r="U289" s="142">
        <v>0.38317760000000001</v>
      </c>
      <c r="V289" s="142">
        <v>0.29249999999999998</v>
      </c>
    </row>
    <row r="290" spans="1:22" ht="18.5" x14ac:dyDescent="0.35">
      <c r="A290" s="141" t="s">
        <v>752</v>
      </c>
      <c r="B290" s="141" t="s">
        <v>753</v>
      </c>
      <c r="C290" s="141">
        <v>848</v>
      </c>
      <c r="D290" s="141" t="s">
        <v>842</v>
      </c>
      <c r="E290" s="141">
        <v>1</v>
      </c>
      <c r="F290" s="142">
        <v>0.28999999999999998</v>
      </c>
      <c r="G290" s="141">
        <v>1</v>
      </c>
      <c r="H290" s="142">
        <v>0.66666669999999995</v>
      </c>
      <c r="I290" s="142">
        <v>0.46739130000000001</v>
      </c>
      <c r="J290" s="142">
        <v>0.4325</v>
      </c>
      <c r="K290" s="155"/>
      <c r="L290" s="141" t="s">
        <v>752</v>
      </c>
      <c r="M290" s="141" t="s">
        <v>753</v>
      </c>
      <c r="N290" s="141">
        <v>848</v>
      </c>
      <c r="O290" s="141" t="s">
        <v>842</v>
      </c>
      <c r="P290" s="141">
        <v>4</v>
      </c>
      <c r="Q290" s="142">
        <v>0.19354840000000001</v>
      </c>
      <c r="R290" s="142">
        <v>0.3535354</v>
      </c>
      <c r="S290" s="142">
        <v>0.1666667</v>
      </c>
      <c r="T290" s="142">
        <v>0</v>
      </c>
      <c r="U290" s="142">
        <v>0.1090909</v>
      </c>
      <c r="V290" s="142">
        <v>0.1875</v>
      </c>
    </row>
    <row r="291" spans="1:22" ht="18.5" x14ac:dyDescent="0.35">
      <c r="A291" s="141" t="s">
        <v>752</v>
      </c>
      <c r="B291" s="141" t="s">
        <v>753</v>
      </c>
      <c r="C291" s="141">
        <v>1578</v>
      </c>
      <c r="D291" s="141" t="s">
        <v>841</v>
      </c>
      <c r="E291" s="141">
        <v>1</v>
      </c>
      <c r="F291" s="142">
        <v>0.23</v>
      </c>
      <c r="G291" s="141">
        <v>1</v>
      </c>
      <c r="H291" s="142">
        <v>0.77777779999999996</v>
      </c>
      <c r="I291" s="142">
        <v>0.58695649999999999</v>
      </c>
      <c r="J291" s="142">
        <v>0.46</v>
      </c>
      <c r="K291" s="155"/>
      <c r="L291" s="141" t="s">
        <v>752</v>
      </c>
      <c r="M291" s="141" t="s">
        <v>753</v>
      </c>
      <c r="N291" s="141">
        <v>1578</v>
      </c>
      <c r="O291" s="141" t="s">
        <v>841</v>
      </c>
      <c r="P291" s="141">
        <v>4</v>
      </c>
      <c r="Q291" s="142">
        <v>0.47311829999999999</v>
      </c>
      <c r="R291" s="142">
        <v>0.53</v>
      </c>
      <c r="S291" s="142">
        <v>0.5</v>
      </c>
      <c r="T291" s="142">
        <v>0.1842105</v>
      </c>
      <c r="U291" s="142">
        <v>0.36697249999999998</v>
      </c>
      <c r="V291" s="142">
        <v>0.435</v>
      </c>
    </row>
    <row r="292" spans="1:22" ht="18.5" x14ac:dyDescent="0.35">
      <c r="A292" s="141" t="s">
        <v>752</v>
      </c>
      <c r="B292" s="141" t="s">
        <v>753</v>
      </c>
      <c r="C292" s="141">
        <v>2141</v>
      </c>
      <c r="D292" s="141" t="s">
        <v>663</v>
      </c>
      <c r="E292" s="141">
        <v>1</v>
      </c>
      <c r="F292" s="142">
        <v>0.19</v>
      </c>
      <c r="G292" s="141">
        <v>1</v>
      </c>
      <c r="H292" s="142">
        <v>0.66666669999999995</v>
      </c>
      <c r="I292" s="142">
        <v>0.63043479999999996</v>
      </c>
      <c r="J292" s="142">
        <v>0.42</v>
      </c>
      <c r="K292" s="155"/>
      <c r="L292" s="141" t="s">
        <v>752</v>
      </c>
      <c r="M292" s="141" t="s">
        <v>753</v>
      </c>
      <c r="N292" s="141">
        <v>2141</v>
      </c>
      <c r="O292" s="141" t="s">
        <v>663</v>
      </c>
      <c r="P292" s="141">
        <v>4</v>
      </c>
      <c r="Q292" s="142">
        <v>0.25217390000000001</v>
      </c>
      <c r="R292" s="142">
        <v>0.1888889</v>
      </c>
      <c r="S292" s="142">
        <v>0.3846154</v>
      </c>
      <c r="T292" s="142">
        <v>0</v>
      </c>
      <c r="U292" s="142">
        <v>0.1157895</v>
      </c>
      <c r="V292" s="142">
        <v>0.1925</v>
      </c>
    </row>
    <row r="293" spans="1:22" ht="18.5" x14ac:dyDescent="0.35">
      <c r="A293" s="141" t="s">
        <v>752</v>
      </c>
      <c r="B293" s="141" t="s">
        <v>753</v>
      </c>
      <c r="C293" s="141">
        <v>2143</v>
      </c>
      <c r="D293" s="141" t="s">
        <v>842</v>
      </c>
      <c r="E293" s="141">
        <v>2</v>
      </c>
      <c r="F293" s="142">
        <v>0.24</v>
      </c>
      <c r="G293" s="141">
        <v>0</v>
      </c>
      <c r="H293" s="142"/>
      <c r="I293" s="142"/>
      <c r="J293" s="142">
        <v>0.24</v>
      </c>
      <c r="K293" s="155"/>
      <c r="L293" s="141" t="s">
        <v>752</v>
      </c>
      <c r="M293" s="141" t="s">
        <v>753</v>
      </c>
      <c r="N293" s="141">
        <v>2143</v>
      </c>
      <c r="O293" s="141" t="s">
        <v>842</v>
      </c>
      <c r="P293" s="141">
        <v>4</v>
      </c>
      <c r="Q293" s="142">
        <v>0.26250000000000001</v>
      </c>
      <c r="R293" s="142">
        <v>0.1363636</v>
      </c>
      <c r="S293" s="142">
        <v>0.3125</v>
      </c>
      <c r="T293" s="142">
        <v>0.1166667</v>
      </c>
      <c r="U293" s="142">
        <v>0.13043479999999999</v>
      </c>
      <c r="V293" s="142">
        <v>0.1925</v>
      </c>
    </row>
    <row r="294" spans="1:22" ht="18.5" x14ac:dyDescent="0.35">
      <c r="A294" s="141" t="s">
        <v>752</v>
      </c>
      <c r="B294" s="141" t="s">
        <v>753</v>
      </c>
      <c r="C294" s="141">
        <v>2695</v>
      </c>
      <c r="D294" s="141" t="s">
        <v>663</v>
      </c>
      <c r="E294" s="141">
        <v>3</v>
      </c>
      <c r="F294" s="142">
        <v>0.25</v>
      </c>
      <c r="G294" s="141">
        <v>0</v>
      </c>
      <c r="H294" s="142"/>
      <c r="I294" s="142"/>
      <c r="J294" s="142">
        <v>0.25</v>
      </c>
      <c r="K294" s="155"/>
      <c r="L294" s="141" t="s">
        <v>752</v>
      </c>
      <c r="M294" s="141" t="s">
        <v>753</v>
      </c>
      <c r="N294" s="141">
        <v>2695</v>
      </c>
      <c r="O294" s="141" t="s">
        <v>663</v>
      </c>
      <c r="P294" s="141">
        <v>4</v>
      </c>
      <c r="Q294" s="142">
        <v>0.3108108</v>
      </c>
      <c r="R294" s="142">
        <v>0.26744190000000001</v>
      </c>
      <c r="S294" s="142">
        <v>0</v>
      </c>
      <c r="T294" s="142">
        <v>0.1176471</v>
      </c>
      <c r="U294" s="142">
        <v>0.16867470000000001</v>
      </c>
      <c r="V294" s="142">
        <v>0.19875000000000001</v>
      </c>
    </row>
    <row r="295" spans="1:22" ht="18.5" x14ac:dyDescent="0.35">
      <c r="A295" s="141" t="s">
        <v>752</v>
      </c>
      <c r="B295" s="141" t="s">
        <v>753</v>
      </c>
      <c r="C295" s="141">
        <v>2696</v>
      </c>
      <c r="D295" s="141" t="s">
        <v>663</v>
      </c>
      <c r="E295" s="141">
        <v>1</v>
      </c>
      <c r="F295" s="142">
        <v>0.18</v>
      </c>
      <c r="G295" s="141">
        <v>1</v>
      </c>
      <c r="H295" s="142">
        <v>0.3333333</v>
      </c>
      <c r="I295" s="142">
        <v>0.4456522</v>
      </c>
      <c r="J295" s="142">
        <v>0.28249999999999997</v>
      </c>
      <c r="K295" s="155"/>
      <c r="L295" s="141" t="s">
        <v>752</v>
      </c>
      <c r="M295" s="141" t="s">
        <v>753</v>
      </c>
      <c r="N295" s="141">
        <v>2696</v>
      </c>
      <c r="O295" s="141" t="s">
        <v>663</v>
      </c>
      <c r="P295" s="141">
        <v>2</v>
      </c>
      <c r="Q295" s="142">
        <v>0.15</v>
      </c>
      <c r="R295" s="142">
        <v>0.05</v>
      </c>
      <c r="S295" s="142">
        <v>0</v>
      </c>
      <c r="T295" s="142">
        <v>0.17499999999999999</v>
      </c>
      <c r="U295" s="142">
        <v>0.125</v>
      </c>
      <c r="V295" s="142">
        <v>0.1</v>
      </c>
    </row>
    <row r="296" spans="1:22" ht="18.5" x14ac:dyDescent="0.35">
      <c r="A296" s="141" t="s">
        <v>752</v>
      </c>
      <c r="B296" s="141" t="s">
        <v>753</v>
      </c>
      <c r="C296" s="141">
        <v>2697</v>
      </c>
      <c r="D296" s="141" t="s">
        <v>663</v>
      </c>
      <c r="E296" s="141">
        <v>2</v>
      </c>
      <c r="F296" s="142">
        <v>0.28499999999999998</v>
      </c>
      <c r="G296" s="141">
        <v>0</v>
      </c>
      <c r="H296" s="142"/>
      <c r="I296" s="142"/>
      <c r="J296" s="142">
        <v>0.28499999999999998</v>
      </c>
      <c r="K296" s="155"/>
      <c r="L296" s="141" t="s">
        <v>752</v>
      </c>
      <c r="M296" s="141" t="s">
        <v>753</v>
      </c>
      <c r="N296" s="141">
        <v>2697</v>
      </c>
      <c r="O296" s="141" t="s">
        <v>663</v>
      </c>
      <c r="P296" s="141">
        <v>4</v>
      </c>
      <c r="Q296" s="142">
        <v>0.36224489999999998</v>
      </c>
      <c r="R296" s="142">
        <v>0.313253</v>
      </c>
      <c r="S296" s="142">
        <v>0.625</v>
      </c>
      <c r="T296" s="142">
        <v>0.31666670000000002</v>
      </c>
      <c r="U296" s="142">
        <v>0.12658230000000001</v>
      </c>
      <c r="V296" s="142">
        <v>0.35125000000000001</v>
      </c>
    </row>
    <row r="297" spans="1:22" ht="18.5" x14ac:dyDescent="0.35">
      <c r="A297" s="141" t="s">
        <v>752</v>
      </c>
      <c r="B297" s="141" t="s">
        <v>753</v>
      </c>
      <c r="C297" s="141">
        <v>3222</v>
      </c>
      <c r="D297" s="141" t="s">
        <v>663</v>
      </c>
      <c r="E297" s="141">
        <v>2</v>
      </c>
      <c r="F297" s="142">
        <v>0.3</v>
      </c>
      <c r="G297" s="141">
        <v>0</v>
      </c>
      <c r="H297" s="142"/>
      <c r="I297" s="142"/>
      <c r="J297" s="142">
        <v>0.3</v>
      </c>
      <c r="K297" s="155"/>
      <c r="L297" s="141" t="s">
        <v>752</v>
      </c>
      <c r="M297" s="141" t="s">
        <v>753</v>
      </c>
      <c r="N297" s="141">
        <v>3222</v>
      </c>
      <c r="O297" s="141" t="s">
        <v>663</v>
      </c>
      <c r="P297" s="141">
        <v>4</v>
      </c>
      <c r="Q297" s="142">
        <v>0.32098759999999998</v>
      </c>
      <c r="R297" s="142">
        <v>0.2093023</v>
      </c>
      <c r="S297" s="142">
        <v>0.48611110000000002</v>
      </c>
      <c r="T297" s="142">
        <v>3.8461500000000003E-2</v>
      </c>
      <c r="U297" s="142">
        <v>8.4337300000000004E-2</v>
      </c>
      <c r="V297" s="142">
        <v>0.2225</v>
      </c>
    </row>
    <row r="298" spans="1:22" ht="18.5" x14ac:dyDescent="0.35">
      <c r="A298" s="141" t="s">
        <v>752</v>
      </c>
      <c r="B298" s="141" t="s">
        <v>753</v>
      </c>
      <c r="C298" s="141">
        <v>3488</v>
      </c>
      <c r="D298" s="141" t="s">
        <v>663</v>
      </c>
      <c r="E298" s="141">
        <v>1</v>
      </c>
      <c r="F298" s="142">
        <v>0.24</v>
      </c>
      <c r="G298" s="141">
        <v>1</v>
      </c>
      <c r="H298" s="142">
        <v>0.38888889999999998</v>
      </c>
      <c r="I298" s="142">
        <v>0.43478260000000002</v>
      </c>
      <c r="J298" s="142">
        <v>0.32500000000000001</v>
      </c>
      <c r="K298" s="155"/>
      <c r="L298" s="141" t="s">
        <v>752</v>
      </c>
      <c r="M298" s="141" t="s">
        <v>753</v>
      </c>
      <c r="N298" s="141">
        <v>3488</v>
      </c>
      <c r="O298" s="141" t="s">
        <v>663</v>
      </c>
      <c r="P298" s="141">
        <v>4</v>
      </c>
      <c r="Q298" s="142">
        <v>0.31818180000000001</v>
      </c>
      <c r="R298" s="142">
        <v>0.27272730000000001</v>
      </c>
      <c r="S298" s="142">
        <v>0.25</v>
      </c>
      <c r="T298" s="142">
        <v>0.02</v>
      </c>
      <c r="U298" s="142">
        <v>2.1739100000000001E-2</v>
      </c>
      <c r="V298" s="142">
        <v>0.1925</v>
      </c>
    </row>
    <row r="299" spans="1:22" ht="18.5" x14ac:dyDescent="0.35">
      <c r="A299" s="141" t="s">
        <v>752</v>
      </c>
      <c r="B299" s="141" t="s">
        <v>753</v>
      </c>
      <c r="C299" s="141">
        <v>3763</v>
      </c>
      <c r="D299" s="141" t="s">
        <v>663</v>
      </c>
      <c r="E299" s="141">
        <v>2</v>
      </c>
      <c r="F299" s="142">
        <v>0.255</v>
      </c>
      <c r="G299" s="141">
        <v>0</v>
      </c>
      <c r="H299" s="142"/>
      <c r="I299" s="142"/>
      <c r="J299" s="142">
        <v>0.255</v>
      </c>
      <c r="K299" s="155"/>
      <c r="L299" s="141" t="s">
        <v>752</v>
      </c>
      <c r="M299" s="141" t="s">
        <v>753</v>
      </c>
      <c r="N299" s="141">
        <v>3763</v>
      </c>
      <c r="O299" s="141" t="s">
        <v>663</v>
      </c>
      <c r="P299" s="141">
        <v>4</v>
      </c>
      <c r="Q299" s="142">
        <v>0.29213479999999997</v>
      </c>
      <c r="R299" s="142">
        <v>0.21495330000000001</v>
      </c>
      <c r="S299" s="142">
        <v>0.39682539999999999</v>
      </c>
      <c r="T299" s="142">
        <v>0</v>
      </c>
      <c r="U299" s="142">
        <v>1.6528899999999999E-2</v>
      </c>
      <c r="V299" s="142">
        <v>0.19</v>
      </c>
    </row>
    <row r="300" spans="1:22" ht="18.5" x14ac:dyDescent="0.35">
      <c r="A300" s="141" t="s">
        <v>754</v>
      </c>
      <c r="B300" s="141" t="s">
        <v>736</v>
      </c>
      <c r="C300" s="141">
        <v>815</v>
      </c>
      <c r="D300" s="141" t="s">
        <v>843</v>
      </c>
      <c r="E300" s="141">
        <v>1</v>
      </c>
      <c r="F300" s="142">
        <v>0.46</v>
      </c>
      <c r="G300" s="141">
        <v>1</v>
      </c>
      <c r="H300" s="142">
        <v>0.83333330000000005</v>
      </c>
      <c r="I300" s="142">
        <v>0.42391299999999998</v>
      </c>
      <c r="J300" s="142">
        <v>0.55249999999999999</v>
      </c>
      <c r="K300" s="155"/>
      <c r="L300" s="141" t="s">
        <v>754</v>
      </c>
      <c r="M300" s="141" t="s">
        <v>736</v>
      </c>
      <c r="N300" s="141">
        <v>815</v>
      </c>
      <c r="O300" s="141" t="s">
        <v>843</v>
      </c>
      <c r="P300" s="141">
        <v>4</v>
      </c>
      <c r="Q300" s="142">
        <v>0.60465120000000006</v>
      </c>
      <c r="R300" s="142">
        <v>0.20202020000000001</v>
      </c>
      <c r="S300" s="142">
        <v>0.22388060000000001</v>
      </c>
      <c r="T300" s="142">
        <v>0.4210526</v>
      </c>
      <c r="U300" s="142">
        <v>0.1727273</v>
      </c>
      <c r="V300" s="142">
        <v>0.30499999999999999</v>
      </c>
    </row>
    <row r="301" spans="1:22" ht="18.5" x14ac:dyDescent="0.35">
      <c r="A301" s="141" t="s">
        <v>754</v>
      </c>
      <c r="B301" s="141" t="s">
        <v>736</v>
      </c>
      <c r="C301" s="141">
        <v>826</v>
      </c>
      <c r="D301" s="141" t="s">
        <v>842</v>
      </c>
      <c r="E301" s="141">
        <v>1</v>
      </c>
      <c r="F301" s="142">
        <v>0.5</v>
      </c>
      <c r="G301" s="141">
        <v>1</v>
      </c>
      <c r="H301" s="142">
        <v>0.72222220000000004</v>
      </c>
      <c r="I301" s="142">
        <v>0.67391310000000004</v>
      </c>
      <c r="J301" s="142">
        <v>0.6</v>
      </c>
      <c r="K301" s="155"/>
      <c r="L301" s="141" t="s">
        <v>754</v>
      </c>
      <c r="M301" s="141" t="s">
        <v>736</v>
      </c>
      <c r="N301" s="141">
        <v>826</v>
      </c>
      <c r="O301" s="141" t="s">
        <v>842</v>
      </c>
      <c r="P301" s="141">
        <v>4</v>
      </c>
      <c r="Q301" s="142">
        <v>0.43243239999999999</v>
      </c>
      <c r="R301" s="142">
        <v>0.52325580000000005</v>
      </c>
      <c r="S301" s="142">
        <v>0.86538459999999995</v>
      </c>
      <c r="T301" s="142">
        <v>0.45588230000000002</v>
      </c>
      <c r="U301" s="142">
        <v>0.1927711</v>
      </c>
      <c r="V301" s="142">
        <v>0.46250000000000002</v>
      </c>
    </row>
    <row r="302" spans="1:22" ht="18.5" x14ac:dyDescent="0.35">
      <c r="A302" s="141" t="s">
        <v>754</v>
      </c>
      <c r="B302" s="141" t="s">
        <v>736</v>
      </c>
      <c r="C302" s="141">
        <v>840</v>
      </c>
      <c r="D302" s="141" t="s">
        <v>841</v>
      </c>
      <c r="E302" s="141">
        <v>1</v>
      </c>
      <c r="F302" s="142">
        <v>0.68</v>
      </c>
      <c r="G302" s="141">
        <v>1</v>
      </c>
      <c r="H302" s="142">
        <v>0.83333330000000005</v>
      </c>
      <c r="I302" s="142">
        <v>0.86956520000000004</v>
      </c>
      <c r="J302" s="142">
        <v>0.76500000000000001</v>
      </c>
      <c r="K302" s="155"/>
      <c r="L302" s="141" t="s">
        <v>754</v>
      </c>
      <c r="M302" s="141" t="s">
        <v>736</v>
      </c>
      <c r="N302" s="141">
        <v>840</v>
      </c>
      <c r="O302" s="141" t="s">
        <v>841</v>
      </c>
      <c r="P302" s="141">
        <v>4</v>
      </c>
      <c r="Q302" s="142">
        <v>0.67272730000000003</v>
      </c>
      <c r="R302" s="142">
        <v>0.59195410000000004</v>
      </c>
      <c r="S302" s="142">
        <v>0.58333330000000005</v>
      </c>
      <c r="T302" s="142">
        <v>0.48</v>
      </c>
      <c r="U302" s="142">
        <v>0.53763439999999996</v>
      </c>
      <c r="V302" s="142">
        <v>0.58625000000000005</v>
      </c>
    </row>
    <row r="303" spans="1:22" ht="18.5" x14ac:dyDescent="0.35">
      <c r="A303" s="141" t="s">
        <v>754</v>
      </c>
      <c r="B303" s="141" t="s">
        <v>736</v>
      </c>
      <c r="C303" s="141">
        <v>1630</v>
      </c>
      <c r="D303" s="141" t="s">
        <v>842</v>
      </c>
      <c r="E303" s="141">
        <v>1</v>
      </c>
      <c r="F303" s="142">
        <v>0.65</v>
      </c>
      <c r="G303" s="141">
        <v>1</v>
      </c>
      <c r="H303" s="142">
        <v>0.88888889999999998</v>
      </c>
      <c r="I303" s="142">
        <v>0.54347829999999997</v>
      </c>
      <c r="J303" s="142">
        <v>0.69</v>
      </c>
      <c r="K303" s="155"/>
      <c r="L303" s="141" t="s">
        <v>754</v>
      </c>
      <c r="M303" s="141" t="s">
        <v>736</v>
      </c>
      <c r="N303" s="141">
        <v>1630</v>
      </c>
      <c r="O303" s="141" t="s">
        <v>842</v>
      </c>
      <c r="P303" s="141">
        <v>4</v>
      </c>
      <c r="Q303" s="142">
        <v>0.41860459999999999</v>
      </c>
      <c r="R303" s="142">
        <v>0.3131313</v>
      </c>
      <c r="S303" s="142">
        <v>0.67164179999999996</v>
      </c>
      <c r="T303" s="142">
        <v>0.3947369</v>
      </c>
      <c r="U303" s="142">
        <v>0.21818180000000001</v>
      </c>
      <c r="V303" s="142">
        <v>0.3775</v>
      </c>
    </row>
    <row r="304" spans="1:22" ht="18.5" x14ac:dyDescent="0.35">
      <c r="A304" s="141" t="s">
        <v>754</v>
      </c>
      <c r="B304" s="141" t="s">
        <v>736</v>
      </c>
      <c r="C304" s="141">
        <v>1745</v>
      </c>
      <c r="D304" s="141" t="s">
        <v>842</v>
      </c>
      <c r="E304" s="141">
        <v>1</v>
      </c>
      <c r="F304" s="142">
        <v>0.42</v>
      </c>
      <c r="G304" s="141">
        <v>1</v>
      </c>
      <c r="H304" s="142">
        <v>0.83333330000000005</v>
      </c>
      <c r="I304" s="142">
        <v>0.54347829999999997</v>
      </c>
      <c r="J304" s="142">
        <v>0.56000000000000005</v>
      </c>
      <c r="K304" s="155"/>
      <c r="L304" s="141" t="s">
        <v>754</v>
      </c>
      <c r="M304" s="141" t="s">
        <v>736</v>
      </c>
      <c r="N304" s="141">
        <v>1745</v>
      </c>
      <c r="O304" s="141" t="s">
        <v>842</v>
      </c>
      <c r="P304" s="141">
        <v>4</v>
      </c>
      <c r="Q304" s="142">
        <v>0.56306310000000004</v>
      </c>
      <c r="R304" s="142">
        <v>0.60465120000000006</v>
      </c>
      <c r="S304" s="142">
        <v>0.67307689999999998</v>
      </c>
      <c r="T304" s="142">
        <v>0.22058820000000001</v>
      </c>
      <c r="U304" s="142">
        <v>0.1204819</v>
      </c>
      <c r="V304" s="142">
        <v>0.43625000000000003</v>
      </c>
    </row>
    <row r="305" spans="1:22" ht="18.5" x14ac:dyDescent="0.35">
      <c r="A305" s="141" t="s">
        <v>754</v>
      </c>
      <c r="B305" s="141" t="s">
        <v>736</v>
      </c>
      <c r="C305" s="141">
        <v>2188</v>
      </c>
      <c r="D305" s="141" t="s">
        <v>841</v>
      </c>
      <c r="E305" s="141">
        <v>1</v>
      </c>
      <c r="F305" s="142">
        <v>0.56999999999999995</v>
      </c>
      <c r="G305" s="141">
        <v>1</v>
      </c>
      <c r="H305" s="142">
        <v>0.88888889999999998</v>
      </c>
      <c r="I305" s="142">
        <v>0.65217389999999997</v>
      </c>
      <c r="J305" s="142">
        <v>0.67500000000000004</v>
      </c>
      <c r="K305" s="155"/>
      <c r="L305" s="141" t="s">
        <v>754</v>
      </c>
      <c r="M305" s="141" t="s">
        <v>736</v>
      </c>
      <c r="N305" s="141">
        <v>2188</v>
      </c>
      <c r="O305" s="141" t="s">
        <v>841</v>
      </c>
      <c r="P305" s="141">
        <v>4</v>
      </c>
      <c r="Q305" s="142">
        <v>0.49099100000000001</v>
      </c>
      <c r="R305" s="142">
        <v>0.47674420000000001</v>
      </c>
      <c r="S305" s="142">
        <v>0.48076920000000001</v>
      </c>
      <c r="T305" s="142">
        <v>0.35294120000000001</v>
      </c>
      <c r="U305" s="142">
        <v>0.27710839999999998</v>
      </c>
      <c r="V305" s="142">
        <v>0.41875000000000001</v>
      </c>
    </row>
    <row r="306" spans="1:22" ht="18.5" x14ac:dyDescent="0.35">
      <c r="A306" s="141" t="s">
        <v>754</v>
      </c>
      <c r="B306" s="141" t="s">
        <v>736</v>
      </c>
      <c r="C306" s="141">
        <v>2748</v>
      </c>
      <c r="D306" s="141" t="s">
        <v>663</v>
      </c>
      <c r="E306" s="141">
        <v>1</v>
      </c>
      <c r="F306" s="142">
        <v>0.66</v>
      </c>
      <c r="G306" s="141">
        <v>1</v>
      </c>
      <c r="H306" s="142">
        <v>0.72222220000000004</v>
      </c>
      <c r="I306" s="142">
        <v>0.54347829999999997</v>
      </c>
      <c r="J306" s="142">
        <v>0.65</v>
      </c>
      <c r="K306" s="155"/>
      <c r="L306" s="141" t="s">
        <v>754</v>
      </c>
      <c r="M306" s="141" t="s">
        <v>736</v>
      </c>
      <c r="N306" s="141">
        <v>2748</v>
      </c>
      <c r="O306" s="141" t="s">
        <v>663</v>
      </c>
      <c r="P306" s="141">
        <v>4</v>
      </c>
      <c r="Q306" s="142">
        <v>0.45624999999999999</v>
      </c>
      <c r="R306" s="142">
        <v>0.4942529</v>
      </c>
      <c r="S306" s="142">
        <v>0.5</v>
      </c>
      <c r="T306" s="142">
        <v>0.56666669999999997</v>
      </c>
      <c r="U306" s="142">
        <v>0.26881719999999998</v>
      </c>
      <c r="V306" s="142">
        <v>0.44624999999999998</v>
      </c>
    </row>
    <row r="307" spans="1:22" ht="18.5" x14ac:dyDescent="0.35">
      <c r="A307" s="141" t="s">
        <v>754</v>
      </c>
      <c r="B307" s="141" t="s">
        <v>736</v>
      </c>
      <c r="C307" s="141">
        <v>2750</v>
      </c>
      <c r="D307" s="141" t="s">
        <v>663</v>
      </c>
      <c r="E307" s="141">
        <v>1</v>
      </c>
      <c r="F307" s="142">
        <v>0.48</v>
      </c>
      <c r="G307" s="141">
        <v>1</v>
      </c>
      <c r="H307" s="142">
        <v>0.72222220000000004</v>
      </c>
      <c r="I307" s="142">
        <v>0.54347829999999997</v>
      </c>
      <c r="J307" s="142">
        <v>0.56000000000000005</v>
      </c>
      <c r="K307" s="155"/>
      <c r="L307" s="141" t="s">
        <v>754</v>
      </c>
      <c r="M307" s="141" t="s">
        <v>736</v>
      </c>
      <c r="N307" s="141">
        <v>2750</v>
      </c>
      <c r="O307" s="141" t="s">
        <v>663</v>
      </c>
      <c r="P307" s="141">
        <v>4</v>
      </c>
      <c r="Q307" s="142">
        <v>0.40740739999999998</v>
      </c>
      <c r="R307" s="142">
        <v>0.34020620000000001</v>
      </c>
      <c r="S307" s="142">
        <v>0.3333333</v>
      </c>
      <c r="T307" s="142">
        <v>0.05</v>
      </c>
      <c r="U307" s="142">
        <v>0.2429907</v>
      </c>
      <c r="V307" s="142">
        <v>0.29749999999999999</v>
      </c>
    </row>
    <row r="308" spans="1:22" ht="18.5" x14ac:dyDescent="0.35">
      <c r="A308" s="141" t="s">
        <v>754</v>
      </c>
      <c r="B308" s="141" t="s">
        <v>736</v>
      </c>
      <c r="C308" s="141">
        <v>2751</v>
      </c>
      <c r="D308" s="141" t="s">
        <v>663</v>
      </c>
      <c r="E308" s="141">
        <v>1</v>
      </c>
      <c r="F308" s="142">
        <v>0.52</v>
      </c>
      <c r="G308" s="141">
        <v>1</v>
      </c>
      <c r="H308" s="142">
        <v>0.94444439999999996</v>
      </c>
      <c r="I308" s="142">
        <v>0.82608689999999996</v>
      </c>
      <c r="J308" s="142">
        <v>0.70499999999999996</v>
      </c>
      <c r="K308" s="155"/>
      <c r="L308" s="141" t="s">
        <v>754</v>
      </c>
      <c r="M308" s="141" t="s">
        <v>736</v>
      </c>
      <c r="N308" s="141">
        <v>2751</v>
      </c>
      <c r="O308" s="141" t="s">
        <v>663</v>
      </c>
      <c r="P308" s="141">
        <v>4</v>
      </c>
      <c r="Q308" s="142">
        <v>0.26470589999999999</v>
      </c>
      <c r="R308" s="142">
        <v>0.2247191</v>
      </c>
      <c r="S308" s="142">
        <v>0.4166667</v>
      </c>
      <c r="T308" s="142">
        <v>0.34482760000000001</v>
      </c>
      <c r="U308" s="142">
        <v>0.1145833</v>
      </c>
      <c r="V308" s="142">
        <v>0.25874999999999998</v>
      </c>
    </row>
    <row r="309" spans="1:22" ht="18.5" x14ac:dyDescent="0.35">
      <c r="A309" s="141" t="s">
        <v>754</v>
      </c>
      <c r="B309" s="141" t="s">
        <v>736</v>
      </c>
      <c r="C309" s="141">
        <v>3705</v>
      </c>
      <c r="D309" s="141" t="s">
        <v>663</v>
      </c>
      <c r="E309" s="141">
        <v>1</v>
      </c>
      <c r="F309" s="142">
        <v>0.56999999999999995</v>
      </c>
      <c r="G309" s="141">
        <v>1</v>
      </c>
      <c r="H309" s="142">
        <v>0.66666669999999995</v>
      </c>
      <c r="I309" s="142">
        <v>0.54347829999999997</v>
      </c>
      <c r="J309" s="142">
        <v>0.59</v>
      </c>
      <c r="K309" s="155"/>
      <c r="L309" s="141" t="s">
        <v>754</v>
      </c>
      <c r="M309" s="141" t="s">
        <v>736</v>
      </c>
      <c r="N309" s="141">
        <v>3705</v>
      </c>
      <c r="O309" s="141" t="s">
        <v>663</v>
      </c>
      <c r="P309" s="141">
        <v>4</v>
      </c>
      <c r="Q309" s="142">
        <v>0.368421</v>
      </c>
      <c r="R309" s="142">
        <v>0.14736840000000001</v>
      </c>
      <c r="S309" s="142">
        <v>0.63636360000000003</v>
      </c>
      <c r="T309" s="142">
        <v>0</v>
      </c>
      <c r="U309" s="142">
        <v>0.15887850000000001</v>
      </c>
      <c r="V309" s="142">
        <v>0.28749999999999998</v>
      </c>
    </row>
    <row r="310" spans="1:22" ht="18.5" x14ac:dyDescent="0.35">
      <c r="A310" s="141" t="s">
        <v>754</v>
      </c>
      <c r="B310" s="141" t="s">
        <v>736</v>
      </c>
      <c r="C310" s="141">
        <v>4339</v>
      </c>
      <c r="D310" s="141" t="s">
        <v>663</v>
      </c>
      <c r="E310" s="141">
        <v>1</v>
      </c>
      <c r="F310" s="142">
        <v>0.47</v>
      </c>
      <c r="G310" s="141">
        <v>1</v>
      </c>
      <c r="H310" s="142">
        <v>0.27777780000000002</v>
      </c>
      <c r="I310" s="142">
        <v>0.52173910000000001</v>
      </c>
      <c r="J310" s="142">
        <v>0.43</v>
      </c>
      <c r="K310" s="155"/>
      <c r="L310" s="141" t="s">
        <v>754</v>
      </c>
      <c r="M310" s="141" t="s">
        <v>736</v>
      </c>
      <c r="N310" s="141">
        <v>4339</v>
      </c>
      <c r="O310" s="141" t="s">
        <v>663</v>
      </c>
      <c r="P310" s="141">
        <v>4</v>
      </c>
      <c r="Q310" s="142">
        <v>0.24117649999999999</v>
      </c>
      <c r="R310" s="142">
        <v>0.3595506</v>
      </c>
      <c r="S310" s="142">
        <v>0.13888890000000001</v>
      </c>
      <c r="T310" s="142">
        <v>0.25862069999999998</v>
      </c>
      <c r="U310" s="142">
        <v>3.125E-2</v>
      </c>
      <c r="V310" s="142">
        <v>0.20125000000000001</v>
      </c>
    </row>
    <row r="311" spans="1:22" ht="18.5" x14ac:dyDescent="0.35">
      <c r="A311" s="141" t="s">
        <v>755</v>
      </c>
      <c r="B311" s="141" t="s">
        <v>753</v>
      </c>
      <c r="C311" s="141">
        <v>293</v>
      </c>
      <c r="D311" s="141" t="s">
        <v>843</v>
      </c>
      <c r="E311" s="141">
        <v>1</v>
      </c>
      <c r="F311" s="142">
        <v>0.59</v>
      </c>
      <c r="G311" s="141">
        <v>1</v>
      </c>
      <c r="H311" s="142">
        <v>0.38888889999999998</v>
      </c>
      <c r="I311" s="142">
        <v>0.68478260000000002</v>
      </c>
      <c r="J311" s="142">
        <v>0.5575</v>
      </c>
      <c r="K311" s="155"/>
      <c r="L311" s="141" t="s">
        <v>755</v>
      </c>
      <c r="M311" s="141" t="s">
        <v>753</v>
      </c>
      <c r="N311" s="141">
        <v>293</v>
      </c>
      <c r="O311" s="141" t="s">
        <v>843</v>
      </c>
      <c r="P311" s="141">
        <v>4</v>
      </c>
      <c r="Q311" s="142">
        <v>0.31092439999999999</v>
      </c>
      <c r="R311" s="142">
        <v>0.2604167</v>
      </c>
      <c r="S311" s="142">
        <v>0.375</v>
      </c>
      <c r="T311" s="142">
        <v>0.2083333</v>
      </c>
      <c r="U311" s="142">
        <v>4.1237099999999999E-2</v>
      </c>
      <c r="V311" s="142">
        <v>0.22750000000000001</v>
      </c>
    </row>
    <row r="312" spans="1:22" ht="18.5" x14ac:dyDescent="0.35">
      <c r="A312" s="141" t="s">
        <v>755</v>
      </c>
      <c r="B312" s="141" t="s">
        <v>753</v>
      </c>
      <c r="C312" s="141">
        <v>1518</v>
      </c>
      <c r="D312" s="141" t="s">
        <v>841</v>
      </c>
      <c r="E312" s="141">
        <v>2</v>
      </c>
      <c r="F312" s="142">
        <v>0.41499999999999998</v>
      </c>
      <c r="G312" s="141">
        <v>0</v>
      </c>
      <c r="H312" s="142"/>
      <c r="I312" s="142"/>
      <c r="J312" s="142">
        <v>0.41499999999999998</v>
      </c>
      <c r="K312" s="155"/>
      <c r="L312" s="141" t="s">
        <v>755</v>
      </c>
      <c r="M312" s="141" t="s">
        <v>753</v>
      </c>
      <c r="N312" s="141">
        <v>1518</v>
      </c>
      <c r="O312" s="141" t="s">
        <v>841</v>
      </c>
      <c r="P312" s="141">
        <v>4</v>
      </c>
      <c r="Q312" s="142">
        <v>0.35772359999999997</v>
      </c>
      <c r="R312" s="142">
        <v>0.41414139999999999</v>
      </c>
      <c r="S312" s="142">
        <v>0.625</v>
      </c>
      <c r="T312" s="142">
        <v>0.5</v>
      </c>
      <c r="U312" s="142">
        <v>0.45454549999999999</v>
      </c>
      <c r="V312" s="142">
        <v>0.435</v>
      </c>
    </row>
    <row r="313" spans="1:22" ht="18.5" x14ac:dyDescent="0.35">
      <c r="A313" s="141" t="s">
        <v>755</v>
      </c>
      <c r="B313" s="141" t="s">
        <v>753</v>
      </c>
      <c r="C313" s="141">
        <v>2028</v>
      </c>
      <c r="D313" s="141" t="s">
        <v>842</v>
      </c>
      <c r="E313" s="141">
        <v>2</v>
      </c>
      <c r="F313" s="142">
        <v>0.505</v>
      </c>
      <c r="G313" s="141">
        <v>0</v>
      </c>
      <c r="H313" s="142"/>
      <c r="I313" s="142"/>
      <c r="J313" s="142">
        <v>0.505</v>
      </c>
      <c r="K313" s="155"/>
      <c r="L313" s="141" t="s">
        <v>755</v>
      </c>
      <c r="M313" s="141" t="s">
        <v>753</v>
      </c>
      <c r="N313" s="141">
        <v>2028</v>
      </c>
      <c r="O313" s="141" t="s">
        <v>842</v>
      </c>
      <c r="P313" s="141">
        <v>4</v>
      </c>
      <c r="Q313" s="142">
        <v>0.31739129999999999</v>
      </c>
      <c r="R313" s="142">
        <v>0.1123596</v>
      </c>
      <c r="S313" s="142">
        <v>0.1923077</v>
      </c>
      <c r="T313" s="142">
        <v>0.3541667</v>
      </c>
      <c r="U313" s="142">
        <v>0.1875</v>
      </c>
      <c r="V313" s="142">
        <v>0.22875000000000001</v>
      </c>
    </row>
    <row r="314" spans="1:22" ht="18.5" x14ac:dyDescent="0.35">
      <c r="A314" s="141" t="s">
        <v>755</v>
      </c>
      <c r="B314" s="141" t="s">
        <v>753</v>
      </c>
      <c r="C314" s="141">
        <v>2082</v>
      </c>
      <c r="D314" s="141" t="s">
        <v>842</v>
      </c>
      <c r="E314" s="141">
        <v>2</v>
      </c>
      <c r="F314" s="142">
        <v>0.60499999999999998</v>
      </c>
      <c r="G314" s="141">
        <v>0</v>
      </c>
      <c r="H314" s="142"/>
      <c r="I314" s="142"/>
      <c r="J314" s="142">
        <v>0.60499999999999998</v>
      </c>
      <c r="K314" s="155"/>
      <c r="L314" s="141" t="s">
        <v>755</v>
      </c>
      <c r="M314" s="141" t="s">
        <v>753</v>
      </c>
      <c r="N314" s="141">
        <v>2082</v>
      </c>
      <c r="O314" s="141" t="s">
        <v>842</v>
      </c>
      <c r="P314" s="141">
        <v>4</v>
      </c>
      <c r="Q314" s="142">
        <v>0.53125</v>
      </c>
      <c r="R314" s="142">
        <v>0.62068959999999995</v>
      </c>
      <c r="S314" s="142">
        <v>0.75</v>
      </c>
      <c r="T314" s="142">
        <v>0.4166667</v>
      </c>
      <c r="U314" s="142">
        <v>0.47311829999999999</v>
      </c>
      <c r="V314" s="142">
        <v>0.56374999999999997</v>
      </c>
    </row>
    <row r="315" spans="1:22" ht="18.5" x14ac:dyDescent="0.35">
      <c r="A315" s="141" t="s">
        <v>755</v>
      </c>
      <c r="B315" s="141" t="s">
        <v>753</v>
      </c>
      <c r="C315" s="141">
        <v>2192</v>
      </c>
      <c r="D315" s="141" t="s">
        <v>842</v>
      </c>
      <c r="E315" s="141">
        <v>2</v>
      </c>
      <c r="F315" s="142">
        <v>0.55000000000000004</v>
      </c>
      <c r="G315" s="141">
        <v>0</v>
      </c>
      <c r="H315" s="142"/>
      <c r="I315" s="142"/>
      <c r="J315" s="142">
        <v>0.55000000000000004</v>
      </c>
      <c r="K315" s="155"/>
      <c r="L315" s="141" t="s">
        <v>755</v>
      </c>
      <c r="M315" s="141" t="s">
        <v>753</v>
      </c>
      <c r="N315" s="141">
        <v>2192</v>
      </c>
      <c r="O315" s="141" t="s">
        <v>842</v>
      </c>
      <c r="P315" s="141">
        <v>4</v>
      </c>
      <c r="Q315" s="142">
        <v>0.73873869999999997</v>
      </c>
      <c r="R315" s="142">
        <v>0.64893619999999996</v>
      </c>
      <c r="S315" s="142">
        <v>0.7</v>
      </c>
      <c r="T315" s="142">
        <v>0.71052630000000006</v>
      </c>
      <c r="U315" s="142">
        <v>0.54639170000000004</v>
      </c>
      <c r="V315" s="142">
        <v>0.66249999999999998</v>
      </c>
    </row>
    <row r="316" spans="1:22" ht="18.5" x14ac:dyDescent="0.35">
      <c r="A316" s="141" t="s">
        <v>755</v>
      </c>
      <c r="B316" s="141" t="s">
        <v>753</v>
      </c>
      <c r="C316" s="141">
        <v>2304</v>
      </c>
      <c r="D316" s="141" t="s">
        <v>842</v>
      </c>
      <c r="E316" s="141">
        <v>2</v>
      </c>
      <c r="F316" s="142">
        <v>0.54</v>
      </c>
      <c r="G316" s="141">
        <v>0</v>
      </c>
      <c r="H316" s="142"/>
      <c r="I316" s="142"/>
      <c r="J316" s="142">
        <v>0.54</v>
      </c>
      <c r="K316" s="155"/>
      <c r="L316" s="141" t="s">
        <v>755</v>
      </c>
      <c r="M316" s="141" t="s">
        <v>753</v>
      </c>
      <c r="N316" s="141">
        <v>2304</v>
      </c>
      <c r="O316" s="141" t="s">
        <v>842</v>
      </c>
      <c r="P316" s="141">
        <v>4</v>
      </c>
      <c r="Q316" s="142">
        <v>0.40178570000000002</v>
      </c>
      <c r="R316" s="142">
        <v>0.3333333</v>
      </c>
      <c r="S316" s="142">
        <v>1</v>
      </c>
      <c r="T316" s="142">
        <v>0.72916669999999995</v>
      </c>
      <c r="U316" s="142">
        <v>0.28865980000000002</v>
      </c>
      <c r="V316" s="142">
        <v>0.46750000000000003</v>
      </c>
    </row>
    <row r="317" spans="1:22" ht="18.5" x14ac:dyDescent="0.35">
      <c r="A317" s="141" t="s">
        <v>755</v>
      </c>
      <c r="B317" s="141" t="s">
        <v>753</v>
      </c>
      <c r="C317" s="141">
        <v>2306</v>
      </c>
      <c r="D317" s="141" t="s">
        <v>663</v>
      </c>
      <c r="E317" s="141">
        <v>1</v>
      </c>
      <c r="F317" s="142">
        <v>0.65</v>
      </c>
      <c r="G317" s="141">
        <v>1</v>
      </c>
      <c r="H317" s="142">
        <v>0.44444440000000002</v>
      </c>
      <c r="I317" s="142">
        <v>0.6413044</v>
      </c>
      <c r="J317" s="142">
        <v>0.59250000000000003</v>
      </c>
      <c r="K317" s="155"/>
      <c r="L317" s="141" t="s">
        <v>755</v>
      </c>
      <c r="M317" s="141" t="s">
        <v>753</v>
      </c>
      <c r="N317" s="141">
        <v>2306</v>
      </c>
      <c r="O317" s="141" t="s">
        <v>663</v>
      </c>
      <c r="P317" s="141">
        <v>4</v>
      </c>
      <c r="Q317" s="142">
        <v>0.72272729999999996</v>
      </c>
      <c r="R317" s="142">
        <v>0.4736842</v>
      </c>
      <c r="S317" s="142">
        <v>0.58823530000000002</v>
      </c>
      <c r="T317" s="142">
        <v>0.3</v>
      </c>
      <c r="U317" s="142">
        <v>0.31775700000000001</v>
      </c>
      <c r="V317" s="142">
        <v>0.51124999999999998</v>
      </c>
    </row>
    <row r="318" spans="1:22" ht="18.5" x14ac:dyDescent="0.35">
      <c r="A318" s="141" t="s">
        <v>755</v>
      </c>
      <c r="B318" s="141" t="s">
        <v>753</v>
      </c>
      <c r="C318" s="141">
        <v>2542</v>
      </c>
      <c r="D318" s="141" t="s">
        <v>663</v>
      </c>
      <c r="E318" s="141">
        <v>1</v>
      </c>
      <c r="F318" s="142">
        <v>0.5</v>
      </c>
      <c r="G318" s="141">
        <v>1</v>
      </c>
      <c r="H318" s="142">
        <v>0.77777779999999996</v>
      </c>
      <c r="I318" s="142">
        <v>0.5</v>
      </c>
      <c r="J318" s="142">
        <v>0.57499999999999996</v>
      </c>
      <c r="K318" s="155"/>
      <c r="L318" s="141" t="s">
        <v>755</v>
      </c>
      <c r="M318" s="141" t="s">
        <v>753</v>
      </c>
      <c r="N318" s="141">
        <v>2542</v>
      </c>
      <c r="O318" s="141" t="s">
        <v>663</v>
      </c>
      <c r="P318" s="141">
        <v>4</v>
      </c>
      <c r="Q318" s="142">
        <v>0.51136360000000003</v>
      </c>
      <c r="R318" s="142">
        <v>0.34020620000000001</v>
      </c>
      <c r="S318" s="142">
        <v>0</v>
      </c>
      <c r="T318" s="142">
        <v>0</v>
      </c>
      <c r="U318" s="142">
        <v>0.35514020000000002</v>
      </c>
      <c r="V318" s="142">
        <v>0.28999999999999998</v>
      </c>
    </row>
    <row r="319" spans="1:22" ht="18.5" x14ac:dyDescent="0.35">
      <c r="A319" s="141" t="s">
        <v>755</v>
      </c>
      <c r="B319" s="141" t="s">
        <v>753</v>
      </c>
      <c r="C319" s="141">
        <v>3410</v>
      </c>
      <c r="D319" s="141" t="s">
        <v>663</v>
      </c>
      <c r="E319" s="141">
        <v>1</v>
      </c>
      <c r="F319" s="142">
        <v>0.56000000000000005</v>
      </c>
      <c r="G319" s="141">
        <v>1</v>
      </c>
      <c r="H319" s="142">
        <v>0.5</v>
      </c>
      <c r="I319" s="142">
        <v>0.73913039999999997</v>
      </c>
      <c r="J319" s="142">
        <v>0.58499999999999996</v>
      </c>
      <c r="K319" s="155"/>
      <c r="L319" s="141" t="s">
        <v>755</v>
      </c>
      <c r="M319" s="141" t="s">
        <v>753</v>
      </c>
      <c r="N319" s="141">
        <v>3410</v>
      </c>
      <c r="O319" s="141" t="s">
        <v>663</v>
      </c>
      <c r="P319" s="141">
        <v>4</v>
      </c>
      <c r="Q319" s="142">
        <v>0.47727269999999999</v>
      </c>
      <c r="R319" s="142">
        <v>0.31958760000000003</v>
      </c>
      <c r="S319" s="142">
        <v>0.33823530000000002</v>
      </c>
      <c r="T319" s="142">
        <v>0.25</v>
      </c>
      <c r="U319" s="142">
        <v>0.38317760000000001</v>
      </c>
      <c r="V319" s="142">
        <v>0.36749999999999999</v>
      </c>
    </row>
    <row r="320" spans="1:22" ht="18.5" x14ac:dyDescent="0.35">
      <c r="A320" s="141" t="s">
        <v>755</v>
      </c>
      <c r="B320" s="141" t="s">
        <v>753</v>
      </c>
      <c r="C320" s="141">
        <v>3411</v>
      </c>
      <c r="D320" s="141" t="s">
        <v>663</v>
      </c>
      <c r="E320" s="141">
        <v>2</v>
      </c>
      <c r="F320" s="142">
        <v>0.46</v>
      </c>
      <c r="G320" s="141">
        <v>0</v>
      </c>
      <c r="H320" s="142"/>
      <c r="I320" s="142"/>
      <c r="J320" s="142">
        <v>0.46</v>
      </c>
      <c r="K320" s="155"/>
      <c r="L320" s="141" t="s">
        <v>755</v>
      </c>
      <c r="M320" s="141" t="s">
        <v>753</v>
      </c>
      <c r="N320" s="141">
        <v>3411</v>
      </c>
      <c r="O320" s="141" t="s">
        <v>663</v>
      </c>
      <c r="P320" s="141">
        <v>4</v>
      </c>
      <c r="Q320" s="142">
        <v>0.37037039999999999</v>
      </c>
      <c r="R320" s="142">
        <v>0.23255809999999999</v>
      </c>
      <c r="S320" s="142">
        <v>0.48611110000000002</v>
      </c>
      <c r="T320" s="142">
        <v>0.55128200000000005</v>
      </c>
      <c r="U320" s="142">
        <v>0</v>
      </c>
      <c r="V320" s="142">
        <v>0.32</v>
      </c>
    </row>
    <row r="321" spans="1:22" ht="18.5" x14ac:dyDescent="0.35">
      <c r="A321" s="141" t="s">
        <v>755</v>
      </c>
      <c r="B321" s="141" t="s">
        <v>753</v>
      </c>
      <c r="C321" s="141">
        <v>3702</v>
      </c>
      <c r="D321" s="141" t="s">
        <v>663</v>
      </c>
      <c r="E321" s="141">
        <v>2</v>
      </c>
      <c r="F321" s="142">
        <v>0.44</v>
      </c>
      <c r="G321" s="141">
        <v>0</v>
      </c>
      <c r="H321" s="142"/>
      <c r="I321" s="142"/>
      <c r="J321" s="142">
        <v>0.44</v>
      </c>
      <c r="K321" s="155"/>
      <c r="L321" s="141" t="s">
        <v>755</v>
      </c>
      <c r="M321" s="141" t="s">
        <v>753</v>
      </c>
      <c r="N321" s="141">
        <v>3702</v>
      </c>
      <c r="O321" s="141" t="s">
        <v>663</v>
      </c>
      <c r="P321" s="141">
        <v>4</v>
      </c>
      <c r="Q321" s="142">
        <v>0.50588239999999995</v>
      </c>
      <c r="R321" s="142">
        <v>0.47777779999999997</v>
      </c>
      <c r="S321" s="142">
        <v>0.4166667</v>
      </c>
      <c r="T321" s="142">
        <v>8.6206900000000003E-2</v>
      </c>
      <c r="U321" s="142">
        <v>0.2315789</v>
      </c>
      <c r="V321" s="142">
        <v>0.35749999999999998</v>
      </c>
    </row>
    <row r="322" spans="1:22" ht="18.5" x14ac:dyDescent="0.35">
      <c r="A322" s="141" t="s">
        <v>756</v>
      </c>
      <c r="B322" s="141" t="s">
        <v>728</v>
      </c>
      <c r="C322" s="141">
        <v>21</v>
      </c>
      <c r="D322" s="141" t="s">
        <v>843</v>
      </c>
      <c r="E322" s="141">
        <v>1</v>
      </c>
      <c r="F322" s="142">
        <v>0.51</v>
      </c>
      <c r="G322" s="141">
        <v>1</v>
      </c>
      <c r="H322" s="142">
        <v>1</v>
      </c>
      <c r="I322" s="142">
        <v>0.68478260000000002</v>
      </c>
      <c r="J322" s="142">
        <v>0.6825</v>
      </c>
      <c r="K322" s="155"/>
      <c r="L322" s="141" t="s">
        <v>756</v>
      </c>
      <c r="M322" s="141" t="s">
        <v>728</v>
      </c>
      <c r="N322" s="141">
        <v>21</v>
      </c>
      <c r="O322" s="141" t="s">
        <v>843</v>
      </c>
      <c r="P322" s="141">
        <v>4</v>
      </c>
      <c r="Q322" s="142">
        <v>0.45112780000000002</v>
      </c>
      <c r="R322" s="142">
        <v>0.23214290000000001</v>
      </c>
      <c r="S322" s="142">
        <v>0.57692310000000002</v>
      </c>
      <c r="T322" s="142">
        <v>0.1458333</v>
      </c>
      <c r="U322" s="142">
        <v>0.26506020000000002</v>
      </c>
      <c r="V322" s="142">
        <v>0.34625</v>
      </c>
    </row>
    <row r="323" spans="1:22" ht="18.5" x14ac:dyDescent="0.35">
      <c r="A323" s="141" t="s">
        <v>756</v>
      </c>
      <c r="B323" s="141" t="s">
        <v>728</v>
      </c>
      <c r="C323" s="141">
        <v>77</v>
      </c>
      <c r="D323" s="141" t="s">
        <v>842</v>
      </c>
      <c r="E323" s="141">
        <v>1</v>
      </c>
      <c r="F323" s="142">
        <v>0.46</v>
      </c>
      <c r="G323" s="141">
        <v>1</v>
      </c>
      <c r="H323" s="142">
        <v>0.83333330000000005</v>
      </c>
      <c r="I323" s="142">
        <v>0.84782610000000003</v>
      </c>
      <c r="J323" s="142">
        <v>0.65</v>
      </c>
      <c r="K323" s="155"/>
      <c r="L323" s="141" t="s">
        <v>756</v>
      </c>
      <c r="M323" s="141" t="s">
        <v>728</v>
      </c>
      <c r="N323" s="141">
        <v>77</v>
      </c>
      <c r="O323" s="141" t="s">
        <v>842</v>
      </c>
      <c r="P323" s="141">
        <v>4</v>
      </c>
      <c r="Q323" s="142">
        <v>0.35483870000000001</v>
      </c>
      <c r="R323" s="142">
        <v>0.3333333</v>
      </c>
      <c r="S323" s="142">
        <v>1</v>
      </c>
      <c r="T323" s="142">
        <v>0.4473684</v>
      </c>
      <c r="U323" s="142">
        <v>0.29090909999999998</v>
      </c>
      <c r="V323" s="142">
        <v>0.4375</v>
      </c>
    </row>
    <row r="324" spans="1:22" ht="18.5" x14ac:dyDescent="0.35">
      <c r="A324" s="141" t="s">
        <v>756</v>
      </c>
      <c r="B324" s="141" t="s">
        <v>728</v>
      </c>
      <c r="C324" s="141">
        <v>78</v>
      </c>
      <c r="D324" s="141" t="s">
        <v>841</v>
      </c>
      <c r="E324" s="141">
        <v>1</v>
      </c>
      <c r="F324" s="142">
        <v>0.3</v>
      </c>
      <c r="G324" s="141">
        <v>1</v>
      </c>
      <c r="H324" s="142">
        <v>0.83333330000000005</v>
      </c>
      <c r="I324" s="142">
        <v>0.75</v>
      </c>
      <c r="J324" s="142">
        <v>0.54749999999999999</v>
      </c>
      <c r="K324" s="155"/>
      <c r="L324" s="141" t="s">
        <v>756</v>
      </c>
      <c r="M324" s="141" t="s">
        <v>728</v>
      </c>
      <c r="N324" s="141">
        <v>78</v>
      </c>
      <c r="O324" s="141" t="s">
        <v>841</v>
      </c>
      <c r="P324" s="141">
        <v>4</v>
      </c>
      <c r="Q324" s="142">
        <v>0.35802469999999997</v>
      </c>
      <c r="R324" s="142">
        <v>0.36781609999999998</v>
      </c>
      <c r="S324" s="142">
        <v>0.69444439999999996</v>
      </c>
      <c r="T324" s="142">
        <v>0.2820513</v>
      </c>
      <c r="U324" s="142">
        <v>0.1585366</v>
      </c>
      <c r="V324" s="142">
        <v>0.36499999999999999</v>
      </c>
    </row>
    <row r="325" spans="1:22" ht="18.5" x14ac:dyDescent="0.35">
      <c r="A325" s="141" t="s">
        <v>756</v>
      </c>
      <c r="B325" s="141" t="s">
        <v>728</v>
      </c>
      <c r="C325" s="141">
        <v>79</v>
      </c>
      <c r="D325" s="141" t="s">
        <v>842</v>
      </c>
      <c r="E325" s="141">
        <v>1</v>
      </c>
      <c r="F325" s="142">
        <v>0.46</v>
      </c>
      <c r="G325" s="141">
        <v>1</v>
      </c>
      <c r="H325" s="142">
        <v>1</v>
      </c>
      <c r="I325" s="142">
        <v>0.71739129999999995</v>
      </c>
      <c r="J325" s="142">
        <v>0.66500000000000004</v>
      </c>
      <c r="K325" s="155"/>
      <c r="L325" s="141" t="s">
        <v>756</v>
      </c>
      <c r="M325" s="141" t="s">
        <v>728</v>
      </c>
      <c r="N325" s="141">
        <v>79</v>
      </c>
      <c r="O325" s="141" t="s">
        <v>842</v>
      </c>
      <c r="P325" s="141">
        <v>4</v>
      </c>
      <c r="Q325" s="142">
        <v>0.61274510000000004</v>
      </c>
      <c r="R325" s="142">
        <v>0.26744190000000001</v>
      </c>
      <c r="S325" s="142">
        <v>0.625</v>
      </c>
      <c r="T325" s="142">
        <v>0.5</v>
      </c>
      <c r="U325" s="142">
        <v>0.35869570000000001</v>
      </c>
      <c r="V325" s="142">
        <v>0.47125</v>
      </c>
    </row>
    <row r="326" spans="1:22" ht="18.5" x14ac:dyDescent="0.35">
      <c r="A326" s="141" t="s">
        <v>756</v>
      </c>
      <c r="B326" s="141" t="s">
        <v>728</v>
      </c>
      <c r="C326" s="141">
        <v>2287</v>
      </c>
      <c r="D326" s="141" t="s">
        <v>663</v>
      </c>
      <c r="E326" s="141">
        <v>1</v>
      </c>
      <c r="F326" s="142">
        <v>0.65</v>
      </c>
      <c r="G326" s="141">
        <v>1</v>
      </c>
      <c r="H326" s="142">
        <v>0.94444439999999996</v>
      </c>
      <c r="I326" s="142">
        <v>0.54347829999999997</v>
      </c>
      <c r="J326" s="142">
        <v>0.70499999999999996</v>
      </c>
      <c r="K326" s="155"/>
      <c r="L326" s="141" t="s">
        <v>756</v>
      </c>
      <c r="M326" s="141" t="s">
        <v>728</v>
      </c>
      <c r="N326" s="141">
        <v>2287</v>
      </c>
      <c r="O326" s="141" t="s">
        <v>663</v>
      </c>
      <c r="P326" s="141">
        <v>4</v>
      </c>
      <c r="Q326" s="142">
        <v>0.39784950000000002</v>
      </c>
      <c r="R326" s="142">
        <v>0.35</v>
      </c>
      <c r="S326" s="142">
        <v>0.38333329999999999</v>
      </c>
      <c r="T326" s="142">
        <v>0.131579</v>
      </c>
      <c r="U326" s="142">
        <v>0.17431189999999999</v>
      </c>
      <c r="V326" s="142">
        <v>0.29749999999999999</v>
      </c>
    </row>
    <row r="327" spans="1:22" ht="18.5" x14ac:dyDescent="0.35">
      <c r="A327" s="141" t="s">
        <v>756</v>
      </c>
      <c r="B327" s="141" t="s">
        <v>728</v>
      </c>
      <c r="C327" s="141">
        <v>2289</v>
      </c>
      <c r="D327" s="141" t="s">
        <v>663</v>
      </c>
      <c r="E327" s="141">
        <v>1</v>
      </c>
      <c r="F327" s="142">
        <v>0.51</v>
      </c>
      <c r="G327" s="141">
        <v>1</v>
      </c>
      <c r="H327" s="142">
        <v>0.94444439999999996</v>
      </c>
      <c r="I327" s="142">
        <v>0.72826089999999999</v>
      </c>
      <c r="J327" s="142">
        <v>0.67749999999999999</v>
      </c>
      <c r="K327" s="155"/>
      <c r="L327" s="141" t="s">
        <v>756</v>
      </c>
      <c r="M327" s="141" t="s">
        <v>728</v>
      </c>
      <c r="N327" s="141">
        <v>2289</v>
      </c>
      <c r="O327" s="141" t="s">
        <v>663</v>
      </c>
      <c r="P327" s="141">
        <v>4</v>
      </c>
      <c r="Q327" s="142">
        <v>0.4</v>
      </c>
      <c r="R327" s="142">
        <v>0.41111110000000001</v>
      </c>
      <c r="S327" s="142">
        <v>0.44444440000000002</v>
      </c>
      <c r="T327" s="142">
        <v>6.8965499999999999E-2</v>
      </c>
      <c r="U327" s="142">
        <v>0.25263160000000001</v>
      </c>
      <c r="V327" s="142">
        <v>0.32750000000000001</v>
      </c>
    </row>
    <row r="328" spans="1:22" ht="18.5" x14ac:dyDescent="0.35">
      <c r="A328" s="141" t="s">
        <v>756</v>
      </c>
      <c r="B328" s="141" t="s">
        <v>728</v>
      </c>
      <c r="C328" s="141">
        <v>2867</v>
      </c>
      <c r="D328" s="141" t="s">
        <v>663</v>
      </c>
      <c r="E328" s="141">
        <v>1</v>
      </c>
      <c r="F328" s="142">
        <v>0.62</v>
      </c>
      <c r="G328" s="141">
        <v>1</v>
      </c>
      <c r="H328" s="142">
        <v>0.72222220000000004</v>
      </c>
      <c r="I328" s="142">
        <v>0.58695649999999999</v>
      </c>
      <c r="J328" s="142">
        <v>0.64</v>
      </c>
      <c r="K328" s="155"/>
      <c r="L328" s="141" t="s">
        <v>756</v>
      </c>
      <c r="M328" s="141" t="s">
        <v>728</v>
      </c>
      <c r="N328" s="141">
        <v>2867</v>
      </c>
      <c r="O328" s="141" t="s">
        <v>663</v>
      </c>
      <c r="P328" s="141">
        <v>4</v>
      </c>
      <c r="Q328" s="142">
        <v>0.39374999999999999</v>
      </c>
      <c r="R328" s="142">
        <v>0.34482760000000001</v>
      </c>
      <c r="S328" s="142">
        <v>0.5625</v>
      </c>
      <c r="T328" s="142">
        <v>0.23333329999999999</v>
      </c>
      <c r="U328" s="142">
        <v>0.23655909999999999</v>
      </c>
      <c r="V328" s="142">
        <v>0.35625000000000001</v>
      </c>
    </row>
    <row r="329" spans="1:22" ht="18.5" x14ac:dyDescent="0.35">
      <c r="A329" s="141" t="s">
        <v>756</v>
      </c>
      <c r="B329" s="141" t="s">
        <v>728</v>
      </c>
      <c r="C329" s="141">
        <v>4658</v>
      </c>
      <c r="D329" s="141" t="s">
        <v>663</v>
      </c>
      <c r="E329" s="141">
        <v>2</v>
      </c>
      <c r="F329" s="142">
        <v>0.51500000000000001</v>
      </c>
      <c r="G329" s="141">
        <v>0</v>
      </c>
      <c r="H329" s="142"/>
      <c r="I329" s="142"/>
      <c r="J329" s="142">
        <v>0.51500000000000001</v>
      </c>
      <c r="K329" s="155"/>
      <c r="L329" s="141" t="s">
        <v>756</v>
      </c>
      <c r="M329" s="141" t="s">
        <v>728</v>
      </c>
      <c r="N329" s="141">
        <v>4658</v>
      </c>
      <c r="O329" s="141" t="s">
        <v>663</v>
      </c>
      <c r="P329" s="141">
        <v>2</v>
      </c>
      <c r="Q329" s="142">
        <v>0.63414630000000005</v>
      </c>
      <c r="R329" s="142">
        <v>0.39130429999999999</v>
      </c>
      <c r="S329" s="142">
        <v>0.3125</v>
      </c>
      <c r="T329" s="142">
        <v>5.2631600000000001E-2</v>
      </c>
      <c r="U329" s="142">
        <v>0.2093023</v>
      </c>
      <c r="V329" s="142">
        <v>0.32500000000000001</v>
      </c>
    </row>
    <row r="330" spans="1:22" ht="18.5" x14ac:dyDescent="0.35">
      <c r="A330" s="141" t="s">
        <v>756</v>
      </c>
      <c r="B330" s="141" t="s">
        <v>728</v>
      </c>
      <c r="C330" s="141">
        <v>4660</v>
      </c>
      <c r="D330" s="141" t="s">
        <v>663</v>
      </c>
      <c r="E330" s="141">
        <v>1</v>
      </c>
      <c r="F330" s="142">
        <v>0.56000000000000005</v>
      </c>
      <c r="G330" s="141">
        <v>0</v>
      </c>
      <c r="H330" s="142"/>
      <c r="I330" s="142"/>
      <c r="J330" s="142">
        <v>0.56000000000000005</v>
      </c>
      <c r="K330" s="155"/>
      <c r="L330" s="141" t="s">
        <v>756</v>
      </c>
      <c r="M330" s="141" t="s">
        <v>728</v>
      </c>
      <c r="N330" s="141">
        <v>4660</v>
      </c>
      <c r="O330" s="141" t="s">
        <v>663</v>
      </c>
      <c r="P330" s="141">
        <v>4</v>
      </c>
      <c r="Q330" s="142">
        <v>0.42857139999999999</v>
      </c>
      <c r="R330" s="142">
        <v>0.30487809999999999</v>
      </c>
      <c r="S330" s="142">
        <v>0.5625</v>
      </c>
      <c r="T330" s="142">
        <v>0.26666669999999998</v>
      </c>
      <c r="U330" s="142">
        <v>0.23749999999999999</v>
      </c>
      <c r="V330" s="142">
        <v>0.36749999999999999</v>
      </c>
    </row>
    <row r="331" spans="1:22" ht="18.5" x14ac:dyDescent="0.35">
      <c r="A331" s="141" t="s">
        <v>756</v>
      </c>
      <c r="B331" s="141" t="s">
        <v>728</v>
      </c>
      <c r="C331" s="141">
        <v>4661</v>
      </c>
      <c r="D331" s="141" t="s">
        <v>663</v>
      </c>
      <c r="E331" s="141">
        <v>1</v>
      </c>
      <c r="F331" s="142">
        <v>0.27</v>
      </c>
      <c r="G331" s="141">
        <v>1</v>
      </c>
      <c r="H331" s="142">
        <v>0.94444439999999996</v>
      </c>
      <c r="I331" s="142">
        <v>0.54347829999999997</v>
      </c>
      <c r="J331" s="142">
        <v>0.51500000000000001</v>
      </c>
      <c r="K331" s="155"/>
      <c r="L331" s="141" t="s">
        <v>756</v>
      </c>
      <c r="M331" s="141" t="s">
        <v>728</v>
      </c>
      <c r="N331" s="141">
        <v>4661</v>
      </c>
      <c r="O331" s="141" t="s">
        <v>663</v>
      </c>
      <c r="P331" s="141">
        <v>4</v>
      </c>
      <c r="Q331" s="142">
        <v>0.40860210000000002</v>
      </c>
      <c r="R331" s="142">
        <v>0.2929293</v>
      </c>
      <c r="S331" s="142">
        <v>0.55000000000000004</v>
      </c>
      <c r="T331" s="142">
        <v>0.1842105</v>
      </c>
      <c r="U331" s="142">
        <v>0.40909089999999998</v>
      </c>
      <c r="V331" s="142">
        <v>0.38</v>
      </c>
    </row>
    <row r="332" spans="1:22" ht="18.5" x14ac:dyDescent="0.35">
      <c r="A332" s="141" t="s">
        <v>756</v>
      </c>
      <c r="B332" s="141" t="s">
        <v>728</v>
      </c>
      <c r="C332" s="141">
        <v>4663</v>
      </c>
      <c r="D332" s="141" t="s">
        <v>663</v>
      </c>
      <c r="E332" s="141">
        <v>1</v>
      </c>
      <c r="F332" s="142">
        <v>0.53</v>
      </c>
      <c r="G332" s="141">
        <v>1</v>
      </c>
      <c r="H332" s="142">
        <v>1</v>
      </c>
      <c r="I332" s="142">
        <v>0.54347829999999997</v>
      </c>
      <c r="J332" s="142">
        <v>0.66</v>
      </c>
      <c r="K332" s="155"/>
      <c r="L332" s="141" t="s">
        <v>756</v>
      </c>
      <c r="M332" s="141" t="s">
        <v>728</v>
      </c>
      <c r="N332" s="141">
        <v>4663</v>
      </c>
      <c r="O332" s="141" t="s">
        <v>663</v>
      </c>
      <c r="P332" s="141">
        <v>4</v>
      </c>
      <c r="Q332" s="142">
        <v>0.5521739</v>
      </c>
      <c r="R332" s="142">
        <v>0.46666669999999999</v>
      </c>
      <c r="S332" s="142">
        <v>0.96153840000000002</v>
      </c>
      <c r="T332" s="142">
        <v>0.2083333</v>
      </c>
      <c r="U332" s="142">
        <v>0.44210529999999998</v>
      </c>
      <c r="V332" s="142">
        <v>0.51875000000000004</v>
      </c>
    </row>
    <row r="333" spans="1:22" ht="18.5" x14ac:dyDescent="0.35">
      <c r="A333" s="141" t="s">
        <v>757</v>
      </c>
      <c r="B333" s="141" t="s">
        <v>730</v>
      </c>
      <c r="C333" s="141">
        <v>19</v>
      </c>
      <c r="D333" s="141" t="s">
        <v>842</v>
      </c>
      <c r="E333" s="141">
        <v>1</v>
      </c>
      <c r="F333" s="142">
        <v>0.4</v>
      </c>
      <c r="G333" s="141">
        <v>1</v>
      </c>
      <c r="H333" s="142">
        <v>0.88888889999999998</v>
      </c>
      <c r="I333" s="142">
        <v>0.57608689999999996</v>
      </c>
      <c r="J333" s="142">
        <v>0.57250000000000001</v>
      </c>
      <c r="K333" s="155"/>
      <c r="L333" s="141" t="s">
        <v>757</v>
      </c>
      <c r="M333" s="141" t="s">
        <v>730</v>
      </c>
      <c r="N333" s="141">
        <v>19</v>
      </c>
      <c r="O333" s="141" t="s">
        <v>842</v>
      </c>
      <c r="P333" s="141">
        <v>4</v>
      </c>
      <c r="Q333" s="142">
        <v>0.52941179999999999</v>
      </c>
      <c r="R333" s="142">
        <v>0.640625</v>
      </c>
      <c r="S333" s="142">
        <v>0.57499999999999996</v>
      </c>
      <c r="T333" s="142">
        <v>0</v>
      </c>
      <c r="U333" s="142">
        <v>0.28865980000000002</v>
      </c>
      <c r="V333" s="142">
        <v>0.43874999999999997</v>
      </c>
    </row>
    <row r="334" spans="1:22" ht="18.5" x14ac:dyDescent="0.35">
      <c r="A334" s="141" t="s">
        <v>757</v>
      </c>
      <c r="B334" s="141" t="s">
        <v>730</v>
      </c>
      <c r="C334" s="141">
        <v>61</v>
      </c>
      <c r="D334" s="141" t="s">
        <v>2452</v>
      </c>
      <c r="E334" s="141">
        <v>1</v>
      </c>
      <c r="F334" s="142">
        <v>0.23</v>
      </c>
      <c r="G334" s="141">
        <v>1</v>
      </c>
      <c r="H334" s="142">
        <v>0.44444440000000002</v>
      </c>
      <c r="I334" s="142">
        <v>0.61956520000000004</v>
      </c>
      <c r="J334" s="142">
        <v>0.3775</v>
      </c>
      <c r="K334" s="155"/>
      <c r="L334" s="141" t="s">
        <v>757</v>
      </c>
      <c r="M334" s="141" t="s">
        <v>730</v>
      </c>
      <c r="N334" s="141">
        <v>61</v>
      </c>
      <c r="O334" s="141" t="s">
        <v>2452</v>
      </c>
      <c r="P334" s="141">
        <v>4</v>
      </c>
      <c r="Q334" s="142">
        <v>0.26744190000000001</v>
      </c>
      <c r="R334" s="142">
        <v>0.25252520000000001</v>
      </c>
      <c r="S334" s="142">
        <v>0.67164179999999996</v>
      </c>
      <c r="T334" s="142">
        <v>5.2631600000000001E-2</v>
      </c>
      <c r="U334" s="142">
        <v>6.3636399999999996E-2</v>
      </c>
      <c r="V334" s="142">
        <v>0.255</v>
      </c>
    </row>
    <row r="335" spans="1:22" ht="18.5" x14ac:dyDescent="0.35">
      <c r="A335" s="141" t="s">
        <v>757</v>
      </c>
      <c r="B335" s="141" t="s">
        <v>730</v>
      </c>
      <c r="C335" s="141">
        <v>1108</v>
      </c>
      <c r="D335" s="141" t="s">
        <v>842</v>
      </c>
      <c r="E335" s="141">
        <v>1</v>
      </c>
      <c r="F335" s="142">
        <v>0.4</v>
      </c>
      <c r="G335" s="141">
        <v>1</v>
      </c>
      <c r="H335" s="142">
        <v>0.94444439999999996</v>
      </c>
      <c r="I335" s="142">
        <v>0.66304350000000001</v>
      </c>
      <c r="J335" s="142">
        <v>0.60750000000000004</v>
      </c>
      <c r="K335" s="155"/>
      <c r="L335" s="141" t="s">
        <v>757</v>
      </c>
      <c r="M335" s="141" t="s">
        <v>730</v>
      </c>
      <c r="N335" s="141">
        <v>1108</v>
      </c>
      <c r="O335" s="141" t="s">
        <v>842</v>
      </c>
      <c r="P335" s="141">
        <v>4</v>
      </c>
      <c r="Q335" s="142">
        <v>0.53883490000000001</v>
      </c>
      <c r="R335" s="142">
        <v>0.368421</v>
      </c>
      <c r="S335" s="142">
        <v>0.4</v>
      </c>
      <c r="T335" s="142">
        <v>0.4</v>
      </c>
      <c r="U335" s="142">
        <v>0.28971960000000002</v>
      </c>
      <c r="V335" s="142">
        <v>0.39874999999999999</v>
      </c>
    </row>
    <row r="336" spans="1:22" ht="18.5" x14ac:dyDescent="0.35">
      <c r="A336" s="141" t="s">
        <v>757</v>
      </c>
      <c r="B336" s="141" t="s">
        <v>730</v>
      </c>
      <c r="C336" s="141">
        <v>1645</v>
      </c>
      <c r="D336" s="141" t="s">
        <v>842</v>
      </c>
      <c r="E336" s="141">
        <v>1</v>
      </c>
      <c r="F336" s="142">
        <v>0.53</v>
      </c>
      <c r="G336" s="141">
        <v>1</v>
      </c>
      <c r="H336" s="142">
        <v>0.88888889999999998</v>
      </c>
      <c r="I336" s="142">
        <v>0.47826089999999999</v>
      </c>
      <c r="J336" s="142">
        <v>0.61499999999999999</v>
      </c>
      <c r="K336" s="155"/>
      <c r="L336" s="141" t="s">
        <v>757</v>
      </c>
      <c r="M336" s="141" t="s">
        <v>730</v>
      </c>
      <c r="N336" s="141">
        <v>1645</v>
      </c>
      <c r="O336" s="141" t="s">
        <v>842</v>
      </c>
      <c r="P336" s="141">
        <v>4</v>
      </c>
      <c r="Q336" s="142">
        <v>0.25</v>
      </c>
      <c r="R336" s="142">
        <v>0.1927711</v>
      </c>
      <c r="S336" s="142">
        <v>0.75</v>
      </c>
      <c r="T336" s="142">
        <v>0.04</v>
      </c>
      <c r="U336" s="142">
        <v>0.12658230000000001</v>
      </c>
      <c r="V336" s="142">
        <v>0.26250000000000001</v>
      </c>
    </row>
    <row r="337" spans="1:22" ht="18.5" x14ac:dyDescent="0.35">
      <c r="A337" s="141" t="s">
        <v>757</v>
      </c>
      <c r="B337" s="141" t="s">
        <v>730</v>
      </c>
      <c r="C337" s="141">
        <v>1956</v>
      </c>
      <c r="D337" s="141" t="s">
        <v>842</v>
      </c>
      <c r="E337" s="141">
        <v>1</v>
      </c>
      <c r="F337" s="142">
        <v>0.49</v>
      </c>
      <c r="G337" s="141">
        <v>1</v>
      </c>
      <c r="H337" s="142">
        <v>0.38888889999999998</v>
      </c>
      <c r="I337" s="142">
        <v>0.54347829999999997</v>
      </c>
      <c r="J337" s="142">
        <v>0.47499999999999998</v>
      </c>
      <c r="K337" s="155"/>
      <c r="L337" s="141" t="s">
        <v>757</v>
      </c>
      <c r="M337" s="141" t="s">
        <v>730</v>
      </c>
      <c r="N337" s="141">
        <v>1956</v>
      </c>
      <c r="O337" s="141" t="s">
        <v>842</v>
      </c>
      <c r="P337" s="141">
        <v>4</v>
      </c>
      <c r="Q337" s="142">
        <v>0.35106379999999998</v>
      </c>
      <c r="R337" s="142">
        <v>7.3394500000000001E-2</v>
      </c>
      <c r="S337" s="142">
        <v>0.23636360000000001</v>
      </c>
      <c r="T337" s="142">
        <v>0</v>
      </c>
      <c r="U337" s="142">
        <v>9.6774200000000005E-2</v>
      </c>
      <c r="V337" s="142">
        <v>0.16500000000000001</v>
      </c>
    </row>
    <row r="338" spans="1:22" ht="18.5" x14ac:dyDescent="0.35">
      <c r="A338" s="141" t="s">
        <v>757</v>
      </c>
      <c r="B338" s="141" t="s">
        <v>730</v>
      </c>
      <c r="C338" s="141">
        <v>2336</v>
      </c>
      <c r="D338" s="141" t="s">
        <v>663</v>
      </c>
      <c r="E338" s="141">
        <v>1</v>
      </c>
      <c r="F338" s="142">
        <v>0.16</v>
      </c>
      <c r="G338" s="141">
        <v>1</v>
      </c>
      <c r="H338" s="142">
        <v>0.88888889999999998</v>
      </c>
      <c r="I338" s="142">
        <v>0.77173910000000001</v>
      </c>
      <c r="J338" s="142">
        <v>0.4975</v>
      </c>
      <c r="K338" s="155"/>
      <c r="L338" s="141" t="s">
        <v>757</v>
      </c>
      <c r="M338" s="141" t="s">
        <v>730</v>
      </c>
      <c r="N338" s="141">
        <v>2336</v>
      </c>
      <c r="O338" s="141" t="s">
        <v>663</v>
      </c>
      <c r="P338" s="141">
        <v>4</v>
      </c>
      <c r="Q338" s="142">
        <v>0.2012195</v>
      </c>
      <c r="R338" s="142">
        <v>4.1666700000000001E-2</v>
      </c>
      <c r="S338" s="142">
        <v>0.22388060000000001</v>
      </c>
      <c r="T338" s="142">
        <v>6.8965499999999999E-2</v>
      </c>
      <c r="U338" s="142">
        <v>5.1546399999999999E-2</v>
      </c>
      <c r="V338" s="142">
        <v>0.11125</v>
      </c>
    </row>
    <row r="339" spans="1:22" ht="18.5" x14ac:dyDescent="0.35">
      <c r="A339" s="141" t="s">
        <v>757</v>
      </c>
      <c r="B339" s="141" t="s">
        <v>730</v>
      </c>
      <c r="C339" s="141">
        <v>2346</v>
      </c>
      <c r="D339" s="141" t="s">
        <v>842</v>
      </c>
      <c r="E339" s="141">
        <v>1</v>
      </c>
      <c r="F339" s="142">
        <v>0.37</v>
      </c>
      <c r="G339" s="141">
        <v>1</v>
      </c>
      <c r="H339" s="142">
        <v>1</v>
      </c>
      <c r="I339" s="142">
        <v>0.54347829999999997</v>
      </c>
      <c r="J339" s="142">
        <v>0.57999999999999996</v>
      </c>
      <c r="K339" s="155"/>
      <c r="L339" s="141" t="s">
        <v>757</v>
      </c>
      <c r="M339" s="141" t="s">
        <v>730</v>
      </c>
      <c r="N339" s="141">
        <v>2346</v>
      </c>
      <c r="O339" s="141" t="s">
        <v>842</v>
      </c>
      <c r="P339" s="141">
        <v>4</v>
      </c>
      <c r="Q339" s="142">
        <v>0.42682930000000002</v>
      </c>
      <c r="R339" s="142">
        <v>0.18556700000000001</v>
      </c>
      <c r="S339" s="142">
        <v>0.14925369999999999</v>
      </c>
      <c r="T339" s="142">
        <v>6.8965499999999999E-2</v>
      </c>
      <c r="U339" s="142">
        <v>2.0833299999999999E-2</v>
      </c>
      <c r="V339" s="142">
        <v>0.17249999999999999</v>
      </c>
    </row>
    <row r="340" spans="1:22" ht="18.5" x14ac:dyDescent="0.35">
      <c r="A340" s="141" t="s">
        <v>757</v>
      </c>
      <c r="B340" s="141" t="s">
        <v>730</v>
      </c>
      <c r="C340" s="141">
        <v>2771</v>
      </c>
      <c r="D340" s="141" t="s">
        <v>663</v>
      </c>
      <c r="E340" s="141">
        <v>1</v>
      </c>
      <c r="F340" s="142">
        <v>0.48</v>
      </c>
      <c r="G340" s="141">
        <v>1</v>
      </c>
      <c r="H340" s="142">
        <v>0.88888889999999998</v>
      </c>
      <c r="I340" s="142">
        <v>0.6086956</v>
      </c>
      <c r="J340" s="142">
        <v>0.62</v>
      </c>
      <c r="K340" s="155"/>
      <c r="L340" s="141" t="s">
        <v>757</v>
      </c>
      <c r="M340" s="141" t="s">
        <v>730</v>
      </c>
      <c r="N340" s="141">
        <v>2771</v>
      </c>
      <c r="O340" s="141" t="s">
        <v>663</v>
      </c>
      <c r="P340" s="141">
        <v>4</v>
      </c>
      <c r="Q340" s="142">
        <v>0.30630629999999998</v>
      </c>
      <c r="R340" s="142">
        <v>0.13684209999999999</v>
      </c>
      <c r="S340" s="142">
        <v>0.3333333</v>
      </c>
      <c r="T340" s="142">
        <v>0</v>
      </c>
      <c r="U340" s="142">
        <v>0.1145833</v>
      </c>
      <c r="V340" s="142">
        <v>0.19500000000000001</v>
      </c>
    </row>
    <row r="341" spans="1:22" ht="18.5" x14ac:dyDescent="0.35">
      <c r="A341" s="141" t="s">
        <v>757</v>
      </c>
      <c r="B341" s="141" t="s">
        <v>730</v>
      </c>
      <c r="C341" s="141">
        <v>3434</v>
      </c>
      <c r="D341" s="141" t="s">
        <v>663</v>
      </c>
      <c r="E341" s="141">
        <v>1</v>
      </c>
      <c r="F341" s="142">
        <v>0.28999999999999998</v>
      </c>
      <c r="G341" s="141">
        <v>1</v>
      </c>
      <c r="H341" s="142">
        <v>0.3333333</v>
      </c>
      <c r="I341" s="142">
        <v>0.38043480000000002</v>
      </c>
      <c r="J341" s="142">
        <v>0.32250000000000001</v>
      </c>
      <c r="K341" s="155"/>
      <c r="L341" s="141" t="s">
        <v>757</v>
      </c>
      <c r="M341" s="141" t="s">
        <v>730</v>
      </c>
      <c r="N341" s="141">
        <v>3434</v>
      </c>
      <c r="O341" s="141" t="s">
        <v>663</v>
      </c>
      <c r="P341" s="141">
        <v>4</v>
      </c>
      <c r="Q341" s="142">
        <v>0.34586470000000002</v>
      </c>
      <c r="R341" s="142">
        <v>0.34523809999999999</v>
      </c>
      <c r="S341" s="142">
        <v>0.76923079999999999</v>
      </c>
      <c r="T341" s="142">
        <v>0.2083333</v>
      </c>
      <c r="U341" s="142">
        <v>1.20482E-2</v>
      </c>
      <c r="V341" s="142">
        <v>0.315</v>
      </c>
    </row>
    <row r="342" spans="1:22" ht="18.5" x14ac:dyDescent="0.35">
      <c r="A342" s="141" t="s">
        <v>757</v>
      </c>
      <c r="B342" s="141" t="s">
        <v>730</v>
      </c>
      <c r="C342" s="141">
        <v>4801</v>
      </c>
      <c r="D342" s="141" t="s">
        <v>663</v>
      </c>
      <c r="E342" s="141">
        <v>1</v>
      </c>
      <c r="F342" s="142">
        <v>0.35</v>
      </c>
      <c r="G342" s="141">
        <v>1</v>
      </c>
      <c r="H342" s="142">
        <v>0.55555560000000004</v>
      </c>
      <c r="I342" s="142">
        <v>0.69565220000000005</v>
      </c>
      <c r="J342" s="142">
        <v>0.48499999999999999</v>
      </c>
      <c r="K342" s="155"/>
      <c r="L342" s="141" t="s">
        <v>757</v>
      </c>
      <c r="M342" s="141" t="s">
        <v>730</v>
      </c>
      <c r="N342" s="141">
        <v>4801</v>
      </c>
      <c r="O342" s="141" t="s">
        <v>663</v>
      </c>
      <c r="P342" s="141">
        <v>4</v>
      </c>
      <c r="Q342" s="142">
        <v>0.30630629999999998</v>
      </c>
      <c r="R342" s="142">
        <v>6.9767399999999993E-2</v>
      </c>
      <c r="S342" s="142">
        <v>0.86538459999999995</v>
      </c>
      <c r="T342" s="142">
        <v>0.22058820000000001</v>
      </c>
      <c r="U342" s="142">
        <v>0.16867470000000001</v>
      </c>
      <c r="V342" s="142">
        <v>0.28499999999999998</v>
      </c>
    </row>
    <row r="343" spans="1:22" ht="18.5" x14ac:dyDescent="0.35">
      <c r="A343" s="141" t="s">
        <v>757</v>
      </c>
      <c r="B343" s="141" t="s">
        <v>730</v>
      </c>
      <c r="C343" s="141">
        <v>4805</v>
      </c>
      <c r="D343" s="141" t="s">
        <v>663</v>
      </c>
      <c r="E343" s="141">
        <v>1</v>
      </c>
      <c r="F343" s="142">
        <v>0.5</v>
      </c>
      <c r="G343" s="141">
        <v>1</v>
      </c>
      <c r="H343" s="142">
        <v>0.94444439999999996</v>
      </c>
      <c r="I343" s="142">
        <v>0.66304350000000001</v>
      </c>
      <c r="J343" s="142">
        <v>0.65749999999999997</v>
      </c>
      <c r="K343" s="155"/>
      <c r="L343" s="141" t="s">
        <v>757</v>
      </c>
      <c r="M343" s="141" t="s">
        <v>730</v>
      </c>
      <c r="N343" s="141">
        <v>4805</v>
      </c>
      <c r="O343" s="141" t="s">
        <v>663</v>
      </c>
      <c r="P343" s="141">
        <v>4</v>
      </c>
      <c r="Q343" s="142">
        <v>0.36249999999999999</v>
      </c>
      <c r="R343" s="142">
        <v>0.22727269999999999</v>
      </c>
      <c r="S343" s="142">
        <v>0.375</v>
      </c>
      <c r="T343" s="142">
        <v>0.1833333</v>
      </c>
      <c r="U343" s="142">
        <v>0</v>
      </c>
      <c r="V343" s="142">
        <v>0.22500000000000001</v>
      </c>
    </row>
    <row r="344" spans="1:22" ht="18.5" x14ac:dyDescent="0.35">
      <c r="A344" s="141" t="s">
        <v>758</v>
      </c>
      <c r="B344" s="141" t="s">
        <v>759</v>
      </c>
      <c r="C344" s="141">
        <v>536</v>
      </c>
      <c r="D344" s="141" t="s">
        <v>843</v>
      </c>
      <c r="E344" s="141">
        <v>1</v>
      </c>
      <c r="F344" s="142">
        <v>0.56999999999999995</v>
      </c>
      <c r="G344" s="141">
        <v>1</v>
      </c>
      <c r="H344" s="142">
        <v>1</v>
      </c>
      <c r="I344" s="142">
        <v>0.56521739999999998</v>
      </c>
      <c r="J344" s="142">
        <v>0.68500000000000005</v>
      </c>
      <c r="K344" s="155"/>
      <c r="L344" s="141" t="s">
        <v>758</v>
      </c>
      <c r="M344" s="141" t="s">
        <v>759</v>
      </c>
      <c r="N344" s="141">
        <v>536</v>
      </c>
      <c r="O344" s="141" t="s">
        <v>843</v>
      </c>
      <c r="P344" s="141">
        <v>4</v>
      </c>
      <c r="Q344" s="142">
        <v>0.34234229999999999</v>
      </c>
      <c r="R344" s="142">
        <v>0.3953488</v>
      </c>
      <c r="S344" s="142">
        <v>0.3846154</v>
      </c>
      <c r="T344" s="142">
        <v>7.3529399999999995E-2</v>
      </c>
      <c r="U344" s="142">
        <v>9.6385499999999999E-2</v>
      </c>
      <c r="V344" s="142">
        <v>0.26250000000000001</v>
      </c>
    </row>
    <row r="345" spans="1:22" ht="18.5" x14ac:dyDescent="0.35">
      <c r="A345" s="141" t="s">
        <v>758</v>
      </c>
      <c r="B345" s="141" t="s">
        <v>759</v>
      </c>
      <c r="C345" s="141">
        <v>538</v>
      </c>
      <c r="D345" s="141" t="s">
        <v>841</v>
      </c>
      <c r="E345" s="141">
        <v>1</v>
      </c>
      <c r="F345" s="142">
        <v>0.73</v>
      </c>
      <c r="G345" s="141">
        <v>1</v>
      </c>
      <c r="H345" s="142">
        <v>0.88888889999999998</v>
      </c>
      <c r="I345" s="142">
        <v>0.52173910000000001</v>
      </c>
      <c r="J345" s="142">
        <v>0.72499999999999998</v>
      </c>
      <c r="K345" s="155"/>
      <c r="L345" s="141" t="s">
        <v>758</v>
      </c>
      <c r="M345" s="141" t="s">
        <v>759</v>
      </c>
      <c r="N345" s="141">
        <v>538</v>
      </c>
      <c r="O345" s="141" t="s">
        <v>841</v>
      </c>
      <c r="P345" s="141">
        <v>4</v>
      </c>
      <c r="Q345" s="142">
        <v>0.45679009999999998</v>
      </c>
      <c r="R345" s="142">
        <v>0.13402059999999999</v>
      </c>
      <c r="S345" s="142">
        <v>0.73333329999999997</v>
      </c>
      <c r="T345" s="142">
        <v>0.45</v>
      </c>
      <c r="U345" s="142">
        <v>0.28971960000000002</v>
      </c>
      <c r="V345" s="142">
        <v>0.38500000000000001</v>
      </c>
    </row>
    <row r="346" spans="1:22" ht="18.5" x14ac:dyDescent="0.35">
      <c r="A346" s="141" t="s">
        <v>758</v>
      </c>
      <c r="B346" s="141" t="s">
        <v>759</v>
      </c>
      <c r="C346" s="141">
        <v>1115</v>
      </c>
      <c r="D346" s="141" t="s">
        <v>842</v>
      </c>
      <c r="E346" s="141">
        <v>2</v>
      </c>
      <c r="F346" s="142">
        <v>0.505</v>
      </c>
      <c r="G346" s="141">
        <v>0</v>
      </c>
      <c r="H346" s="142"/>
      <c r="I346" s="142"/>
      <c r="J346" s="142">
        <v>0.505</v>
      </c>
      <c r="K346" s="155"/>
      <c r="L346" s="141" t="s">
        <v>758</v>
      </c>
      <c r="M346" s="141" t="s">
        <v>759</v>
      </c>
      <c r="N346" s="141">
        <v>1115</v>
      </c>
      <c r="O346" s="141" t="s">
        <v>842</v>
      </c>
      <c r="P346" s="141">
        <v>4</v>
      </c>
      <c r="Q346" s="142">
        <v>0.52469129999999997</v>
      </c>
      <c r="R346" s="142">
        <v>0.37209300000000001</v>
      </c>
      <c r="S346" s="142">
        <v>0.55555560000000004</v>
      </c>
      <c r="T346" s="142">
        <v>0.35897440000000003</v>
      </c>
      <c r="U346" s="142">
        <v>0.10843369999999999</v>
      </c>
      <c r="V346" s="142">
        <v>0.37874999999999998</v>
      </c>
    </row>
    <row r="347" spans="1:22" ht="18.5" x14ac:dyDescent="0.35">
      <c r="A347" s="141" t="s">
        <v>758</v>
      </c>
      <c r="B347" s="141" t="s">
        <v>759</v>
      </c>
      <c r="C347" s="141">
        <v>1885</v>
      </c>
      <c r="D347" s="141" t="s">
        <v>842</v>
      </c>
      <c r="E347" s="141">
        <v>0</v>
      </c>
      <c r="F347" s="142"/>
      <c r="G347" s="141">
        <v>1</v>
      </c>
      <c r="H347" s="142">
        <v>0.83333330000000005</v>
      </c>
      <c r="I347" s="142">
        <v>0.54347829999999997</v>
      </c>
      <c r="J347" s="142">
        <v>0.7</v>
      </c>
      <c r="K347" s="155"/>
      <c r="L347" s="141" t="s">
        <v>758</v>
      </c>
      <c r="M347" s="141" t="s">
        <v>759</v>
      </c>
      <c r="N347" s="141">
        <v>1885</v>
      </c>
      <c r="O347" s="141" t="s">
        <v>842</v>
      </c>
      <c r="P347" s="141">
        <v>4</v>
      </c>
      <c r="Q347" s="142">
        <v>0.53409090000000004</v>
      </c>
      <c r="R347" s="142">
        <v>0.29411769999999998</v>
      </c>
      <c r="S347" s="142">
        <v>0.66666669999999995</v>
      </c>
      <c r="T347" s="142">
        <v>0.43333329999999998</v>
      </c>
      <c r="U347" s="142">
        <v>0.172043</v>
      </c>
      <c r="V347" s="142">
        <v>0.41125</v>
      </c>
    </row>
    <row r="348" spans="1:22" ht="18.5" x14ac:dyDescent="0.35">
      <c r="A348" s="141" t="s">
        <v>758</v>
      </c>
      <c r="B348" s="141" t="s">
        <v>759</v>
      </c>
      <c r="C348" s="141">
        <v>2055</v>
      </c>
      <c r="D348" s="141" t="s">
        <v>842</v>
      </c>
      <c r="E348" s="141">
        <v>1</v>
      </c>
      <c r="F348" s="142">
        <v>0.41</v>
      </c>
      <c r="G348" s="141">
        <v>1</v>
      </c>
      <c r="H348" s="142">
        <v>0.27777780000000002</v>
      </c>
      <c r="I348" s="142">
        <v>0.54347829999999997</v>
      </c>
      <c r="J348" s="142">
        <v>0.40500000000000003</v>
      </c>
      <c r="K348" s="155"/>
      <c r="L348" s="141" t="s">
        <v>758</v>
      </c>
      <c r="M348" s="141" t="s">
        <v>759</v>
      </c>
      <c r="N348" s="141">
        <v>2055</v>
      </c>
      <c r="O348" s="141" t="s">
        <v>842</v>
      </c>
      <c r="P348" s="141">
        <v>4</v>
      </c>
      <c r="Q348" s="142">
        <v>0.1181818</v>
      </c>
      <c r="R348" s="142">
        <v>0.22988510000000001</v>
      </c>
      <c r="S348" s="142">
        <v>0.1666667</v>
      </c>
      <c r="T348" s="142">
        <v>0</v>
      </c>
      <c r="U348" s="142">
        <v>4.3010800000000002E-2</v>
      </c>
      <c r="V348" s="142">
        <v>0.11749999999999999</v>
      </c>
    </row>
    <row r="349" spans="1:22" ht="18.5" x14ac:dyDescent="0.35">
      <c r="A349" s="141" t="s">
        <v>758</v>
      </c>
      <c r="B349" s="141" t="s">
        <v>759</v>
      </c>
      <c r="C349" s="141">
        <v>2057</v>
      </c>
      <c r="D349" s="141" t="s">
        <v>842</v>
      </c>
      <c r="E349" s="141">
        <v>1</v>
      </c>
      <c r="F349" s="142">
        <v>0.33</v>
      </c>
      <c r="G349" s="141">
        <v>1</v>
      </c>
      <c r="H349" s="142">
        <v>0.77777779999999996</v>
      </c>
      <c r="I349" s="142">
        <v>0.48913040000000002</v>
      </c>
      <c r="J349" s="142">
        <v>0.48749999999999999</v>
      </c>
      <c r="K349" s="155"/>
      <c r="L349" s="141" t="s">
        <v>758</v>
      </c>
      <c r="M349" s="141" t="s">
        <v>759</v>
      </c>
      <c r="N349" s="141">
        <v>2057</v>
      </c>
      <c r="O349" s="141" t="s">
        <v>842</v>
      </c>
      <c r="P349" s="141">
        <v>4</v>
      </c>
      <c r="Q349" s="142">
        <v>0.37634410000000001</v>
      </c>
      <c r="R349" s="142">
        <v>0.22</v>
      </c>
      <c r="S349" s="142">
        <v>0.58333330000000005</v>
      </c>
      <c r="T349" s="142">
        <v>0.5263158</v>
      </c>
      <c r="U349" s="142">
        <v>0.34862379999999998</v>
      </c>
      <c r="V349" s="142">
        <v>0.375</v>
      </c>
    </row>
    <row r="350" spans="1:22" ht="18.5" x14ac:dyDescent="0.35">
      <c r="A350" s="141" t="s">
        <v>758</v>
      </c>
      <c r="B350" s="141" t="s">
        <v>759</v>
      </c>
      <c r="C350" s="141">
        <v>2330</v>
      </c>
      <c r="D350" s="141" t="s">
        <v>663</v>
      </c>
      <c r="E350" s="141">
        <v>1</v>
      </c>
      <c r="F350" s="142">
        <v>0.66</v>
      </c>
      <c r="G350" s="141">
        <v>1</v>
      </c>
      <c r="H350" s="142">
        <v>0.55555560000000004</v>
      </c>
      <c r="I350" s="142">
        <v>0.72826089999999999</v>
      </c>
      <c r="J350" s="142">
        <v>0.64749999999999996</v>
      </c>
      <c r="K350" s="155"/>
      <c r="L350" s="141" t="s">
        <v>758</v>
      </c>
      <c r="M350" s="141" t="s">
        <v>759</v>
      </c>
      <c r="N350" s="141">
        <v>2330</v>
      </c>
      <c r="O350" s="141" t="s">
        <v>663</v>
      </c>
      <c r="P350" s="141">
        <v>4</v>
      </c>
      <c r="Q350" s="142">
        <v>0.3</v>
      </c>
      <c r="R350" s="142">
        <v>0.3207547</v>
      </c>
      <c r="S350" s="142">
        <v>0.58181819999999995</v>
      </c>
      <c r="T350" s="142">
        <v>0.1052632</v>
      </c>
      <c r="U350" s="142">
        <v>9.0090100000000006E-2</v>
      </c>
      <c r="V350" s="142">
        <v>0.26750000000000002</v>
      </c>
    </row>
    <row r="351" spans="1:22" ht="18.5" x14ac:dyDescent="0.35">
      <c r="A351" s="141" t="s">
        <v>758</v>
      </c>
      <c r="B351" s="141" t="s">
        <v>759</v>
      </c>
      <c r="C351" s="141">
        <v>2331</v>
      </c>
      <c r="D351" s="141" t="s">
        <v>663</v>
      </c>
      <c r="E351" s="141">
        <v>1</v>
      </c>
      <c r="F351" s="142">
        <v>0.62</v>
      </c>
      <c r="G351" s="141">
        <v>1</v>
      </c>
      <c r="H351" s="142">
        <v>0.77777779999999996</v>
      </c>
      <c r="I351" s="142">
        <v>0.53260870000000005</v>
      </c>
      <c r="J351" s="142">
        <v>0.64249999999999996</v>
      </c>
      <c r="K351" s="155"/>
      <c r="L351" s="141" t="s">
        <v>758</v>
      </c>
      <c r="M351" s="141" t="s">
        <v>759</v>
      </c>
      <c r="N351" s="141">
        <v>2331</v>
      </c>
      <c r="O351" s="141" t="s">
        <v>663</v>
      </c>
      <c r="P351" s="141">
        <v>4</v>
      </c>
      <c r="Q351" s="142">
        <v>0.37058819999999998</v>
      </c>
      <c r="R351" s="142">
        <v>0.29213479999999997</v>
      </c>
      <c r="S351" s="142">
        <v>0.55555560000000004</v>
      </c>
      <c r="T351" s="142">
        <v>0.5</v>
      </c>
      <c r="U351" s="142">
        <v>0.15625</v>
      </c>
      <c r="V351" s="142">
        <v>0.35375000000000001</v>
      </c>
    </row>
    <row r="352" spans="1:22" ht="18.5" x14ac:dyDescent="0.35">
      <c r="A352" s="141" t="s">
        <v>758</v>
      </c>
      <c r="B352" s="141" t="s">
        <v>759</v>
      </c>
      <c r="C352" s="141">
        <v>3186</v>
      </c>
      <c r="D352" s="141" t="s">
        <v>663</v>
      </c>
      <c r="E352" s="141">
        <v>2</v>
      </c>
      <c r="F352" s="142">
        <v>0.625</v>
      </c>
      <c r="G352" s="141">
        <v>0</v>
      </c>
      <c r="H352" s="142"/>
      <c r="I352" s="142"/>
      <c r="J352" s="142">
        <v>0.625</v>
      </c>
      <c r="K352" s="155"/>
      <c r="L352" s="141" t="s">
        <v>758</v>
      </c>
      <c r="M352" s="141" t="s">
        <v>759</v>
      </c>
      <c r="N352" s="141">
        <v>3186</v>
      </c>
      <c r="O352" s="141" t="s">
        <v>663</v>
      </c>
      <c r="P352" s="141">
        <v>4</v>
      </c>
      <c r="Q352" s="142">
        <v>0.62962960000000001</v>
      </c>
      <c r="R352" s="142">
        <v>0.47126440000000003</v>
      </c>
      <c r="S352" s="142">
        <v>0.44444440000000002</v>
      </c>
      <c r="T352" s="142">
        <v>0.57692310000000002</v>
      </c>
      <c r="U352" s="142">
        <v>0.25609759999999998</v>
      </c>
      <c r="V352" s="142">
        <v>0.47499999999999998</v>
      </c>
    </row>
    <row r="353" spans="1:22" ht="18.5" x14ac:dyDescent="0.35">
      <c r="A353" s="141" t="s">
        <v>758</v>
      </c>
      <c r="B353" s="141" t="s">
        <v>759</v>
      </c>
      <c r="C353" s="141">
        <v>3385</v>
      </c>
      <c r="D353" s="141" t="s">
        <v>663</v>
      </c>
      <c r="E353" s="141">
        <v>1</v>
      </c>
      <c r="F353" s="142">
        <v>0.41</v>
      </c>
      <c r="G353" s="141">
        <v>1</v>
      </c>
      <c r="H353" s="142">
        <v>0.77777779999999996</v>
      </c>
      <c r="I353" s="142">
        <v>0.54347829999999997</v>
      </c>
      <c r="J353" s="142">
        <v>0.54</v>
      </c>
      <c r="K353" s="155"/>
      <c r="L353" s="141" t="s">
        <v>758</v>
      </c>
      <c r="M353" s="141" t="s">
        <v>759</v>
      </c>
      <c r="N353" s="141">
        <v>3385</v>
      </c>
      <c r="O353" s="141" t="s">
        <v>663</v>
      </c>
      <c r="P353" s="141">
        <v>4</v>
      </c>
      <c r="Q353" s="142">
        <v>0.57317070000000003</v>
      </c>
      <c r="R353" s="142">
        <v>0.46875</v>
      </c>
      <c r="S353" s="142">
        <v>0.97014929999999999</v>
      </c>
      <c r="T353" s="142">
        <v>0.74137929999999996</v>
      </c>
      <c r="U353" s="142">
        <v>0.72164950000000005</v>
      </c>
      <c r="V353" s="142">
        <v>0.67500000000000004</v>
      </c>
    </row>
    <row r="354" spans="1:22" ht="18.5" x14ac:dyDescent="0.35">
      <c r="A354" s="141" t="s">
        <v>758</v>
      </c>
      <c r="B354" s="141" t="s">
        <v>759</v>
      </c>
      <c r="C354" s="141">
        <v>3386</v>
      </c>
      <c r="D354" s="141" t="s">
        <v>663</v>
      </c>
      <c r="E354" s="141">
        <v>1</v>
      </c>
      <c r="F354" s="142">
        <v>0.37</v>
      </c>
      <c r="G354" s="141">
        <v>1</v>
      </c>
      <c r="H354" s="142">
        <v>0.94444439999999996</v>
      </c>
      <c r="I354" s="142">
        <v>0.57608689999999996</v>
      </c>
      <c r="J354" s="142">
        <v>0.57250000000000001</v>
      </c>
      <c r="K354" s="155"/>
      <c r="L354" s="141" t="s">
        <v>758</v>
      </c>
      <c r="M354" s="141" t="s">
        <v>759</v>
      </c>
      <c r="N354" s="141">
        <v>3386</v>
      </c>
      <c r="O354" s="141" t="s">
        <v>663</v>
      </c>
      <c r="P354" s="141">
        <v>4</v>
      </c>
      <c r="Q354" s="142">
        <v>0.35365849999999999</v>
      </c>
      <c r="R354" s="142">
        <v>0.21875</v>
      </c>
      <c r="S354" s="142">
        <v>0.55223880000000003</v>
      </c>
      <c r="T354" s="142">
        <v>0.63793100000000003</v>
      </c>
      <c r="U354" s="142">
        <v>0.2783505</v>
      </c>
      <c r="V354" s="142">
        <v>0.3775</v>
      </c>
    </row>
    <row r="355" spans="1:22" ht="18.5" x14ac:dyDescent="0.35">
      <c r="A355" s="141" t="s">
        <v>760</v>
      </c>
      <c r="B355" s="141" t="s">
        <v>759</v>
      </c>
      <c r="C355" s="141">
        <v>856</v>
      </c>
      <c r="D355" s="141" t="s">
        <v>843</v>
      </c>
      <c r="E355" s="141">
        <v>1</v>
      </c>
      <c r="F355" s="142">
        <v>0.82</v>
      </c>
      <c r="G355" s="141">
        <v>1</v>
      </c>
      <c r="H355" s="142">
        <v>0.66666669999999995</v>
      </c>
      <c r="I355" s="142">
        <v>0.66304350000000001</v>
      </c>
      <c r="J355" s="142">
        <v>0.74250000000000005</v>
      </c>
      <c r="K355" s="155"/>
      <c r="L355" s="141" t="s">
        <v>760</v>
      </c>
      <c r="M355" s="141" t="s">
        <v>759</v>
      </c>
      <c r="N355" s="141">
        <v>856</v>
      </c>
      <c r="O355" s="141" t="s">
        <v>843</v>
      </c>
      <c r="P355" s="141">
        <v>4</v>
      </c>
      <c r="Q355" s="142">
        <v>0.54545460000000001</v>
      </c>
      <c r="R355" s="142">
        <v>0.3139535</v>
      </c>
      <c r="S355" s="142">
        <v>0.66666669999999995</v>
      </c>
      <c r="T355" s="142">
        <v>0.6</v>
      </c>
      <c r="U355" s="142">
        <v>0.43478260000000002</v>
      </c>
      <c r="V355" s="142">
        <v>0.49249999999999999</v>
      </c>
    </row>
    <row r="356" spans="1:22" ht="18.5" x14ac:dyDescent="0.35">
      <c r="A356" s="141" t="s">
        <v>760</v>
      </c>
      <c r="B356" s="141" t="s">
        <v>759</v>
      </c>
      <c r="C356" s="141">
        <v>1724</v>
      </c>
      <c r="D356" s="141" t="s">
        <v>842</v>
      </c>
      <c r="E356" s="141">
        <v>1</v>
      </c>
      <c r="F356" s="142">
        <v>0.22</v>
      </c>
      <c r="G356" s="141">
        <v>1</v>
      </c>
      <c r="H356" s="142">
        <v>0.3333333</v>
      </c>
      <c r="I356" s="142">
        <v>0.45652169999999997</v>
      </c>
      <c r="J356" s="142">
        <v>0.30499999999999999</v>
      </c>
      <c r="K356" s="155"/>
      <c r="L356" s="141" t="s">
        <v>760</v>
      </c>
      <c r="M356" s="141" t="s">
        <v>759</v>
      </c>
      <c r="N356" s="141">
        <v>1724</v>
      </c>
      <c r="O356" s="141" t="s">
        <v>842</v>
      </c>
      <c r="P356" s="141">
        <v>4</v>
      </c>
      <c r="Q356" s="142">
        <v>0.65591390000000005</v>
      </c>
      <c r="R356" s="142">
        <v>0.56999999999999995</v>
      </c>
      <c r="S356" s="142">
        <v>0.66666669999999995</v>
      </c>
      <c r="T356" s="142">
        <v>0.4736842</v>
      </c>
      <c r="U356" s="142">
        <v>0.3119266</v>
      </c>
      <c r="V356" s="142">
        <v>0.52500000000000002</v>
      </c>
    </row>
    <row r="357" spans="1:22" ht="18.5" x14ac:dyDescent="0.35">
      <c r="A357" s="141" t="s">
        <v>760</v>
      </c>
      <c r="B357" s="141" t="s">
        <v>759</v>
      </c>
      <c r="C357" s="141">
        <v>1732</v>
      </c>
      <c r="D357" s="141" t="s">
        <v>841</v>
      </c>
      <c r="E357" s="141">
        <v>1</v>
      </c>
      <c r="F357" s="142">
        <v>0.21</v>
      </c>
      <c r="G357" s="141">
        <v>1</v>
      </c>
      <c r="H357" s="142">
        <v>0.77777779999999996</v>
      </c>
      <c r="I357" s="142">
        <v>0.53260870000000005</v>
      </c>
      <c r="J357" s="142">
        <v>0.4375</v>
      </c>
      <c r="K357" s="155"/>
      <c r="L357" s="141" t="s">
        <v>760</v>
      </c>
      <c r="M357" s="141" t="s">
        <v>759</v>
      </c>
      <c r="N357" s="141">
        <v>1732</v>
      </c>
      <c r="O357" s="141" t="s">
        <v>841</v>
      </c>
      <c r="P357" s="141">
        <v>4</v>
      </c>
      <c r="Q357" s="142">
        <v>0.49090909999999999</v>
      </c>
      <c r="R357" s="142">
        <v>0.56842110000000001</v>
      </c>
      <c r="S357" s="142">
        <v>0.58823530000000002</v>
      </c>
      <c r="T357" s="142">
        <v>0.75</v>
      </c>
      <c r="U357" s="142">
        <v>0.61682239999999999</v>
      </c>
      <c r="V357" s="142">
        <v>0.57250000000000001</v>
      </c>
    </row>
    <row r="358" spans="1:22" ht="18.5" x14ac:dyDescent="0.35">
      <c r="A358" s="141" t="s">
        <v>760</v>
      </c>
      <c r="B358" s="141" t="s">
        <v>759</v>
      </c>
      <c r="C358" s="141">
        <v>1882</v>
      </c>
      <c r="D358" s="141" t="s">
        <v>842</v>
      </c>
      <c r="E358" s="141">
        <v>0</v>
      </c>
      <c r="F358" s="142"/>
      <c r="G358" s="141">
        <v>1</v>
      </c>
      <c r="H358" s="142">
        <v>0.72222220000000004</v>
      </c>
      <c r="I358" s="142">
        <v>0.52173910000000001</v>
      </c>
      <c r="J358" s="142">
        <v>0.63</v>
      </c>
      <c r="K358" s="155"/>
      <c r="L358" s="141" t="s">
        <v>760</v>
      </c>
      <c r="M358" s="141" t="s">
        <v>759</v>
      </c>
      <c r="N358" s="141">
        <v>1882</v>
      </c>
      <c r="O358" s="141" t="s">
        <v>842</v>
      </c>
      <c r="P358" s="141">
        <v>4</v>
      </c>
      <c r="Q358" s="142">
        <v>0.55855860000000002</v>
      </c>
      <c r="R358" s="142">
        <v>0.2</v>
      </c>
      <c r="S358" s="142">
        <v>0.05</v>
      </c>
      <c r="T358" s="142">
        <v>0.4736842</v>
      </c>
      <c r="U358" s="142">
        <v>0.5</v>
      </c>
      <c r="V358" s="142">
        <v>0.375</v>
      </c>
    </row>
    <row r="359" spans="1:22" ht="18.5" x14ac:dyDescent="0.35">
      <c r="A359" s="141" t="s">
        <v>760</v>
      </c>
      <c r="B359" s="141" t="s">
        <v>759</v>
      </c>
      <c r="C359" s="141">
        <v>1897</v>
      </c>
      <c r="D359" s="141" t="s">
        <v>842</v>
      </c>
      <c r="E359" s="141">
        <v>1</v>
      </c>
      <c r="F359" s="142">
        <v>0.56999999999999995</v>
      </c>
      <c r="G359" s="141">
        <v>1</v>
      </c>
      <c r="H359" s="142">
        <v>0.88888889999999998</v>
      </c>
      <c r="I359" s="142">
        <v>0.69565220000000005</v>
      </c>
      <c r="J359" s="142">
        <v>0.68500000000000005</v>
      </c>
      <c r="K359" s="155"/>
      <c r="L359" s="141" t="s">
        <v>760</v>
      </c>
      <c r="M359" s="141" t="s">
        <v>759</v>
      </c>
      <c r="N359" s="141">
        <v>1897</v>
      </c>
      <c r="O359" s="141" t="s">
        <v>842</v>
      </c>
      <c r="P359" s="141">
        <v>4</v>
      </c>
      <c r="Q359" s="142">
        <v>0.31531530000000002</v>
      </c>
      <c r="R359" s="142">
        <v>0.22093019999999999</v>
      </c>
      <c r="S359" s="142">
        <v>0.3846154</v>
      </c>
      <c r="T359" s="142">
        <v>0.1176471</v>
      </c>
      <c r="U359" s="142">
        <v>6.0241000000000003E-2</v>
      </c>
      <c r="V359" s="142">
        <v>0.2175</v>
      </c>
    </row>
    <row r="360" spans="1:22" ht="18.5" x14ac:dyDescent="0.35">
      <c r="A360" s="141" t="s">
        <v>760</v>
      </c>
      <c r="B360" s="141" t="s">
        <v>759</v>
      </c>
      <c r="C360" s="141">
        <v>2242</v>
      </c>
      <c r="D360" s="141" t="s">
        <v>663</v>
      </c>
      <c r="E360" s="141">
        <v>1</v>
      </c>
      <c r="F360" s="142">
        <v>0.12</v>
      </c>
      <c r="G360" s="141">
        <v>1</v>
      </c>
      <c r="H360" s="142">
        <v>1</v>
      </c>
      <c r="I360" s="142">
        <v>0.93478260000000002</v>
      </c>
      <c r="J360" s="142">
        <v>0.54500000000000004</v>
      </c>
      <c r="K360" s="155"/>
      <c r="L360" s="141" t="s">
        <v>760</v>
      </c>
      <c r="M360" s="141" t="s">
        <v>759</v>
      </c>
      <c r="N360" s="141">
        <v>2242</v>
      </c>
      <c r="O360" s="141" t="s">
        <v>663</v>
      </c>
      <c r="P360" s="141">
        <v>4</v>
      </c>
      <c r="Q360" s="142">
        <v>0.4774775</v>
      </c>
      <c r="R360" s="142">
        <v>0.25263160000000001</v>
      </c>
      <c r="S360" s="142">
        <v>0.38333329999999999</v>
      </c>
      <c r="T360" s="142">
        <v>0.5</v>
      </c>
      <c r="U360" s="142">
        <v>0.34375</v>
      </c>
      <c r="V360" s="142">
        <v>0.38</v>
      </c>
    </row>
    <row r="361" spans="1:22" ht="18.5" x14ac:dyDescent="0.35">
      <c r="A361" s="141" t="s">
        <v>760</v>
      </c>
      <c r="B361" s="141" t="s">
        <v>759</v>
      </c>
      <c r="C361" s="141">
        <v>2248</v>
      </c>
      <c r="D361" s="141" t="s">
        <v>663</v>
      </c>
      <c r="E361" s="141">
        <v>1</v>
      </c>
      <c r="F361" s="142">
        <v>0.46</v>
      </c>
      <c r="G361" s="141">
        <v>1</v>
      </c>
      <c r="H361" s="142">
        <v>0.5</v>
      </c>
      <c r="I361" s="142">
        <v>0.54347829999999997</v>
      </c>
      <c r="J361" s="142">
        <v>0.49</v>
      </c>
      <c r="K361" s="155"/>
      <c r="L361" s="141" t="s">
        <v>760</v>
      </c>
      <c r="M361" s="141" t="s">
        <v>759</v>
      </c>
      <c r="N361" s="141">
        <v>2248</v>
      </c>
      <c r="O361" s="141" t="s">
        <v>663</v>
      </c>
      <c r="P361" s="141">
        <v>4</v>
      </c>
      <c r="Q361" s="142">
        <v>0.5</v>
      </c>
      <c r="R361" s="142">
        <v>0.42452830000000003</v>
      </c>
      <c r="S361" s="142">
        <v>0.72727269999999999</v>
      </c>
      <c r="T361" s="142">
        <v>0.3157895</v>
      </c>
      <c r="U361" s="142">
        <v>0.1891892</v>
      </c>
      <c r="V361" s="142">
        <v>0.40749999999999997</v>
      </c>
    </row>
    <row r="362" spans="1:22" ht="18.5" x14ac:dyDescent="0.35">
      <c r="A362" s="141" t="s">
        <v>760</v>
      </c>
      <c r="B362" s="141" t="s">
        <v>759</v>
      </c>
      <c r="C362" s="141">
        <v>2249</v>
      </c>
      <c r="D362" s="141" t="s">
        <v>663</v>
      </c>
      <c r="E362" s="141">
        <v>1</v>
      </c>
      <c r="F362" s="142">
        <v>0.61</v>
      </c>
      <c r="G362" s="141">
        <v>1</v>
      </c>
      <c r="H362" s="142">
        <v>0.5</v>
      </c>
      <c r="I362" s="142">
        <v>0.5</v>
      </c>
      <c r="J362" s="142">
        <v>0.55500000000000005</v>
      </c>
      <c r="K362" s="155"/>
      <c r="L362" s="141" t="s">
        <v>760</v>
      </c>
      <c r="M362" s="141" t="s">
        <v>759</v>
      </c>
      <c r="N362" s="141">
        <v>2249</v>
      </c>
      <c r="O362" s="141" t="s">
        <v>663</v>
      </c>
      <c r="P362" s="141">
        <v>4</v>
      </c>
      <c r="Q362" s="142">
        <v>0.32432430000000001</v>
      </c>
      <c r="R362" s="142">
        <v>0.14736840000000001</v>
      </c>
      <c r="S362" s="142">
        <v>0.1666667</v>
      </c>
      <c r="T362" s="142">
        <v>0.1052632</v>
      </c>
      <c r="U362" s="142">
        <v>0.1979167</v>
      </c>
      <c r="V362" s="142">
        <v>0.20749999999999999</v>
      </c>
    </row>
    <row r="363" spans="1:22" ht="18.5" x14ac:dyDescent="0.35">
      <c r="A363" s="141" t="s">
        <v>760</v>
      </c>
      <c r="B363" s="141" t="s">
        <v>759</v>
      </c>
      <c r="C363" s="141">
        <v>3418</v>
      </c>
      <c r="D363" s="141" t="s">
        <v>663</v>
      </c>
      <c r="E363" s="141">
        <v>1</v>
      </c>
      <c r="F363" s="142">
        <v>0.36</v>
      </c>
      <c r="G363" s="141">
        <v>1</v>
      </c>
      <c r="H363" s="142">
        <v>0.72222220000000004</v>
      </c>
      <c r="I363" s="142">
        <v>0.52173910000000001</v>
      </c>
      <c r="J363" s="142">
        <v>0.495</v>
      </c>
      <c r="K363" s="155"/>
      <c r="L363" s="141" t="s">
        <v>760</v>
      </c>
      <c r="M363" s="141" t="s">
        <v>759</v>
      </c>
      <c r="N363" s="141">
        <v>3418</v>
      </c>
      <c r="O363" s="141" t="s">
        <v>663</v>
      </c>
      <c r="P363" s="141">
        <v>4</v>
      </c>
      <c r="Q363" s="142">
        <v>0.64453130000000003</v>
      </c>
      <c r="R363" s="142">
        <v>0.52439020000000003</v>
      </c>
      <c r="S363" s="142">
        <v>0.66666669999999995</v>
      </c>
      <c r="T363" s="142">
        <v>0.4</v>
      </c>
      <c r="U363" s="142">
        <v>0.47499999999999998</v>
      </c>
      <c r="V363" s="142">
        <v>0.55874999999999997</v>
      </c>
    </row>
    <row r="364" spans="1:22" ht="18.5" x14ac:dyDescent="0.35">
      <c r="A364" s="141" t="s">
        <v>760</v>
      </c>
      <c r="B364" s="141" t="s">
        <v>759</v>
      </c>
      <c r="C364" s="141">
        <v>3839</v>
      </c>
      <c r="D364" s="141" t="s">
        <v>663</v>
      </c>
      <c r="E364" s="141">
        <v>1</v>
      </c>
      <c r="F364" s="142">
        <v>0.21</v>
      </c>
      <c r="G364" s="141">
        <v>1</v>
      </c>
      <c r="H364" s="142">
        <v>0.66666669999999995</v>
      </c>
      <c r="I364" s="142">
        <v>0.48913040000000002</v>
      </c>
      <c r="J364" s="142">
        <v>0.39750000000000002</v>
      </c>
      <c r="K364" s="155"/>
      <c r="L364" s="141" t="s">
        <v>760</v>
      </c>
      <c r="M364" s="141" t="s">
        <v>759</v>
      </c>
      <c r="N364" s="141">
        <v>3839</v>
      </c>
      <c r="O364" s="141" t="s">
        <v>663</v>
      </c>
      <c r="P364" s="141">
        <v>4</v>
      </c>
      <c r="Q364" s="142">
        <v>0.29411769999999998</v>
      </c>
      <c r="R364" s="142">
        <v>0.1666667</v>
      </c>
      <c r="S364" s="142">
        <v>0.55555560000000004</v>
      </c>
      <c r="T364" s="142">
        <v>0.1896552</v>
      </c>
      <c r="U364" s="142">
        <v>0</v>
      </c>
      <c r="V364" s="142">
        <v>0.22750000000000001</v>
      </c>
    </row>
    <row r="365" spans="1:22" ht="18.5" x14ac:dyDescent="0.35">
      <c r="A365" s="141" t="s">
        <v>760</v>
      </c>
      <c r="B365" s="141" t="s">
        <v>759</v>
      </c>
      <c r="C365" s="141">
        <v>3846</v>
      </c>
      <c r="D365" s="141" t="s">
        <v>663</v>
      </c>
      <c r="E365" s="141">
        <v>1</v>
      </c>
      <c r="F365" s="142">
        <v>0.56999999999999995</v>
      </c>
      <c r="G365" s="141">
        <v>1</v>
      </c>
      <c r="H365" s="142">
        <v>0.83333330000000005</v>
      </c>
      <c r="I365" s="142">
        <v>0.61956520000000004</v>
      </c>
      <c r="J365" s="142">
        <v>0.65249999999999997</v>
      </c>
      <c r="K365" s="155"/>
      <c r="L365" s="141" t="s">
        <v>760</v>
      </c>
      <c r="M365" s="141" t="s">
        <v>759</v>
      </c>
      <c r="N365" s="141">
        <v>3846</v>
      </c>
      <c r="O365" s="141" t="s">
        <v>663</v>
      </c>
      <c r="P365" s="141">
        <v>4</v>
      </c>
      <c r="Q365" s="142">
        <v>0.19396550000000001</v>
      </c>
      <c r="R365" s="142">
        <v>0.15151519999999999</v>
      </c>
      <c r="S365" s="142">
        <v>0</v>
      </c>
      <c r="T365" s="142">
        <v>0</v>
      </c>
      <c r="U365" s="142">
        <v>4.5454500000000002E-2</v>
      </c>
      <c r="V365" s="142">
        <v>0.10625</v>
      </c>
    </row>
    <row r="366" spans="1:22" ht="18.5" x14ac:dyDescent="0.35">
      <c r="A366" s="141" t="s">
        <v>761</v>
      </c>
      <c r="B366" s="141" t="s">
        <v>720</v>
      </c>
      <c r="C366" s="141">
        <v>427</v>
      </c>
      <c r="D366" s="141" t="s">
        <v>841</v>
      </c>
      <c r="E366" s="141">
        <v>1</v>
      </c>
      <c r="F366" s="142">
        <v>0.1</v>
      </c>
      <c r="G366" s="141">
        <v>1</v>
      </c>
      <c r="H366" s="142">
        <v>0.83333330000000005</v>
      </c>
      <c r="I366" s="142">
        <v>0.51086960000000003</v>
      </c>
      <c r="J366" s="142">
        <v>0.39250000000000002</v>
      </c>
      <c r="K366" s="155"/>
      <c r="L366" s="141" t="s">
        <v>761</v>
      </c>
      <c r="M366" s="141" t="s">
        <v>720</v>
      </c>
      <c r="N366" s="141">
        <v>427</v>
      </c>
      <c r="O366" s="141" t="s">
        <v>841</v>
      </c>
      <c r="P366" s="141">
        <v>4</v>
      </c>
      <c r="Q366" s="142">
        <v>0.62272729999999998</v>
      </c>
      <c r="R366" s="142">
        <v>0.45402300000000001</v>
      </c>
      <c r="S366" s="142">
        <v>0.83333330000000005</v>
      </c>
      <c r="T366" s="142">
        <v>0.24</v>
      </c>
      <c r="U366" s="142">
        <v>0.344086</v>
      </c>
      <c r="V366" s="142">
        <v>0.505</v>
      </c>
    </row>
    <row r="367" spans="1:22" ht="18.5" x14ac:dyDescent="0.35">
      <c r="A367" s="141" t="s">
        <v>761</v>
      </c>
      <c r="B367" s="141" t="s">
        <v>720</v>
      </c>
      <c r="C367" s="141">
        <v>439</v>
      </c>
      <c r="D367" s="141" t="s">
        <v>843</v>
      </c>
      <c r="E367" s="141">
        <v>1</v>
      </c>
      <c r="F367" s="142">
        <v>0.27</v>
      </c>
      <c r="G367" s="141">
        <v>1</v>
      </c>
      <c r="H367" s="142">
        <v>0.55555560000000004</v>
      </c>
      <c r="I367" s="142">
        <v>0.45652169999999997</v>
      </c>
      <c r="J367" s="142">
        <v>0.39</v>
      </c>
      <c r="K367" s="155"/>
      <c r="L367" s="141" t="s">
        <v>761</v>
      </c>
      <c r="M367" s="141" t="s">
        <v>720</v>
      </c>
      <c r="N367" s="141">
        <v>439</v>
      </c>
      <c r="O367" s="141" t="s">
        <v>843</v>
      </c>
      <c r="P367" s="141">
        <v>4</v>
      </c>
      <c r="Q367" s="142">
        <v>0.92941180000000001</v>
      </c>
      <c r="R367" s="142">
        <v>0.97752810000000001</v>
      </c>
      <c r="S367" s="142">
        <v>1</v>
      </c>
      <c r="T367" s="142">
        <v>0.89655169999999995</v>
      </c>
      <c r="U367" s="142">
        <v>0.76041669999999995</v>
      </c>
      <c r="V367" s="142">
        <v>0.90749999999999997</v>
      </c>
    </row>
    <row r="368" spans="1:22" ht="18.5" x14ac:dyDescent="0.35">
      <c r="A368" s="141" t="s">
        <v>761</v>
      </c>
      <c r="B368" s="141" t="s">
        <v>720</v>
      </c>
      <c r="C368" s="141">
        <v>1161</v>
      </c>
      <c r="D368" s="141" t="s">
        <v>841</v>
      </c>
      <c r="E368" s="141">
        <v>1</v>
      </c>
      <c r="F368" s="142">
        <v>0.71</v>
      </c>
      <c r="G368" s="141">
        <v>1</v>
      </c>
      <c r="H368" s="142">
        <v>0.5</v>
      </c>
      <c r="I368" s="142">
        <v>0.59782610000000003</v>
      </c>
      <c r="J368" s="142">
        <v>0.62749999999999995</v>
      </c>
      <c r="K368" s="155"/>
      <c r="L368" s="141" t="s">
        <v>761</v>
      </c>
      <c r="M368" s="141" t="s">
        <v>720</v>
      </c>
      <c r="N368" s="141">
        <v>1161</v>
      </c>
      <c r="O368" s="141" t="s">
        <v>841</v>
      </c>
      <c r="P368" s="141">
        <v>4</v>
      </c>
      <c r="Q368" s="142">
        <v>0.68181820000000004</v>
      </c>
      <c r="R368" s="142">
        <v>0.81609200000000004</v>
      </c>
      <c r="S368" s="142">
        <v>1</v>
      </c>
      <c r="T368" s="142">
        <v>0.32</v>
      </c>
      <c r="U368" s="142">
        <v>0.65591390000000005</v>
      </c>
      <c r="V368" s="142">
        <v>0.70750000000000002</v>
      </c>
    </row>
    <row r="369" spans="1:22" ht="18.5" x14ac:dyDescent="0.35">
      <c r="A369" s="141" t="s">
        <v>761</v>
      </c>
      <c r="B369" s="141" t="s">
        <v>720</v>
      </c>
      <c r="C369" s="141">
        <v>1685</v>
      </c>
      <c r="D369" s="141" t="s">
        <v>842</v>
      </c>
      <c r="E369" s="141">
        <v>1</v>
      </c>
      <c r="F369" s="142">
        <v>0.64</v>
      </c>
      <c r="G369" s="141">
        <v>1</v>
      </c>
      <c r="H369" s="142">
        <v>0.94444439999999996</v>
      </c>
      <c r="I369" s="142">
        <v>0.58695649999999999</v>
      </c>
      <c r="J369" s="142">
        <v>0.71</v>
      </c>
      <c r="K369" s="155"/>
      <c r="L369" s="141" t="s">
        <v>761</v>
      </c>
      <c r="M369" s="141" t="s">
        <v>720</v>
      </c>
      <c r="N369" s="141">
        <v>1685</v>
      </c>
      <c r="O369" s="141" t="s">
        <v>842</v>
      </c>
      <c r="P369" s="141">
        <v>4</v>
      </c>
      <c r="Q369" s="142">
        <v>0.73636360000000001</v>
      </c>
      <c r="R369" s="142">
        <v>0.51578939999999995</v>
      </c>
      <c r="S369" s="142">
        <v>0.55882350000000003</v>
      </c>
      <c r="T369" s="142">
        <v>1</v>
      </c>
      <c r="U369" s="142">
        <v>0.67289719999999997</v>
      </c>
      <c r="V369" s="142">
        <v>0.65</v>
      </c>
    </row>
    <row r="370" spans="1:22" ht="18.5" x14ac:dyDescent="0.35">
      <c r="A370" s="141" t="s">
        <v>761</v>
      </c>
      <c r="B370" s="141" t="s">
        <v>720</v>
      </c>
      <c r="C370" s="141">
        <v>1697</v>
      </c>
      <c r="D370" s="141" t="s">
        <v>842</v>
      </c>
      <c r="E370" s="141">
        <v>1</v>
      </c>
      <c r="F370" s="142">
        <v>0.36</v>
      </c>
      <c r="G370" s="141">
        <v>1</v>
      </c>
      <c r="H370" s="142">
        <v>1</v>
      </c>
      <c r="I370" s="142">
        <v>0.67391310000000004</v>
      </c>
      <c r="J370" s="142">
        <v>0.60499999999999998</v>
      </c>
      <c r="K370" s="155"/>
      <c r="L370" s="141" t="s">
        <v>761</v>
      </c>
      <c r="M370" s="141" t="s">
        <v>720</v>
      </c>
      <c r="N370" s="141">
        <v>1697</v>
      </c>
      <c r="O370" s="141" t="s">
        <v>842</v>
      </c>
      <c r="P370" s="141">
        <v>4</v>
      </c>
      <c r="Q370" s="142">
        <v>0.6404495</v>
      </c>
      <c r="R370" s="142">
        <v>0.60824739999999999</v>
      </c>
      <c r="S370" s="142">
        <v>0.75</v>
      </c>
      <c r="T370" s="142">
        <v>0.94827589999999995</v>
      </c>
      <c r="U370" s="142">
        <v>0.53125</v>
      </c>
      <c r="V370" s="142">
        <v>0.66749999999999998</v>
      </c>
    </row>
    <row r="371" spans="1:22" ht="18.5" x14ac:dyDescent="0.35">
      <c r="A371" s="141" t="s">
        <v>761</v>
      </c>
      <c r="B371" s="141" t="s">
        <v>720</v>
      </c>
      <c r="C371" s="141">
        <v>1707</v>
      </c>
      <c r="D371" s="141" t="s">
        <v>842</v>
      </c>
      <c r="E371" s="141">
        <v>1</v>
      </c>
      <c r="F371" s="142">
        <v>0.05</v>
      </c>
      <c r="G371" s="141">
        <v>1</v>
      </c>
      <c r="H371" s="142">
        <v>0.77777779999999996</v>
      </c>
      <c r="I371" s="142">
        <v>0.6413044</v>
      </c>
      <c r="J371" s="142">
        <v>0.38250000000000001</v>
      </c>
      <c r="K371" s="155"/>
      <c r="L371" s="141" t="s">
        <v>761</v>
      </c>
      <c r="M371" s="141" t="s">
        <v>720</v>
      </c>
      <c r="N371" s="141">
        <v>1707</v>
      </c>
      <c r="O371" s="141" t="s">
        <v>842</v>
      </c>
      <c r="P371" s="141">
        <v>4</v>
      </c>
      <c r="Q371" s="142">
        <v>0.57207209999999997</v>
      </c>
      <c r="R371" s="142">
        <v>0.58720930000000005</v>
      </c>
      <c r="S371" s="142">
        <v>0.57692310000000002</v>
      </c>
      <c r="T371" s="142">
        <v>0.26470589999999999</v>
      </c>
      <c r="U371" s="142">
        <v>0.28915659999999999</v>
      </c>
      <c r="V371" s="142">
        <v>0.46500000000000002</v>
      </c>
    </row>
    <row r="372" spans="1:22" ht="18.5" x14ac:dyDescent="0.35">
      <c r="A372" s="141" t="s">
        <v>761</v>
      </c>
      <c r="B372" s="141" t="s">
        <v>720</v>
      </c>
      <c r="C372" s="141">
        <v>1708</v>
      </c>
      <c r="D372" s="141" t="s">
        <v>842</v>
      </c>
      <c r="E372" s="141">
        <v>1</v>
      </c>
      <c r="F372" s="142">
        <v>0.57999999999999996</v>
      </c>
      <c r="G372" s="141">
        <v>1</v>
      </c>
      <c r="H372" s="142">
        <v>0.44444440000000002</v>
      </c>
      <c r="I372" s="142">
        <v>0.54347829999999997</v>
      </c>
      <c r="J372" s="142">
        <v>0.53500000000000003</v>
      </c>
      <c r="K372" s="155"/>
      <c r="L372" s="141" t="s">
        <v>761</v>
      </c>
      <c r="M372" s="141" t="s">
        <v>720</v>
      </c>
      <c r="N372" s="141">
        <v>1708</v>
      </c>
      <c r="O372" s="141" t="s">
        <v>842</v>
      </c>
      <c r="P372" s="141">
        <v>4</v>
      </c>
      <c r="Q372" s="142">
        <v>0.48863640000000003</v>
      </c>
      <c r="R372" s="142">
        <v>0.74489799999999995</v>
      </c>
      <c r="S372" s="142">
        <v>0.58823530000000002</v>
      </c>
      <c r="T372" s="142">
        <v>0.875</v>
      </c>
      <c r="U372" s="142">
        <v>0.42452830000000003</v>
      </c>
      <c r="V372" s="142">
        <v>0.59</v>
      </c>
    </row>
    <row r="373" spans="1:22" ht="18.5" x14ac:dyDescent="0.35">
      <c r="A373" s="141" t="s">
        <v>761</v>
      </c>
      <c r="B373" s="141" t="s">
        <v>720</v>
      </c>
      <c r="C373" s="141">
        <v>2387</v>
      </c>
      <c r="D373" s="141" t="s">
        <v>663</v>
      </c>
      <c r="E373" s="141">
        <v>1</v>
      </c>
      <c r="F373" s="142">
        <v>0.3</v>
      </c>
      <c r="G373" s="141">
        <v>1</v>
      </c>
      <c r="H373" s="142">
        <v>0.72222220000000004</v>
      </c>
      <c r="I373" s="142">
        <v>0.69565220000000005</v>
      </c>
      <c r="J373" s="142">
        <v>0.505</v>
      </c>
      <c r="K373" s="155"/>
      <c r="L373" s="141" t="s">
        <v>761</v>
      </c>
      <c r="M373" s="141" t="s">
        <v>720</v>
      </c>
      <c r="N373" s="141">
        <v>2387</v>
      </c>
      <c r="O373" s="141" t="s">
        <v>663</v>
      </c>
      <c r="P373" s="141">
        <v>4</v>
      </c>
      <c r="Q373" s="142">
        <v>0.42173909999999998</v>
      </c>
      <c r="R373" s="142">
        <v>7.8651700000000005E-2</v>
      </c>
      <c r="S373" s="142">
        <v>0</v>
      </c>
      <c r="T373" s="142">
        <v>0.1875</v>
      </c>
      <c r="U373" s="142">
        <v>0.21875</v>
      </c>
      <c r="V373" s="142">
        <v>0.21375</v>
      </c>
    </row>
    <row r="374" spans="1:22" ht="18.5" x14ac:dyDescent="0.35">
      <c r="A374" s="141" t="s">
        <v>761</v>
      </c>
      <c r="B374" s="141" t="s">
        <v>720</v>
      </c>
      <c r="C374" s="141">
        <v>2533</v>
      </c>
      <c r="D374" s="141" t="s">
        <v>663</v>
      </c>
      <c r="E374" s="141">
        <v>1</v>
      </c>
      <c r="F374" s="142">
        <v>0.53</v>
      </c>
      <c r="G374" s="141">
        <v>1</v>
      </c>
      <c r="H374" s="142">
        <v>0.83333330000000005</v>
      </c>
      <c r="I374" s="142">
        <v>0.84782610000000003</v>
      </c>
      <c r="J374" s="142">
        <v>0.68500000000000005</v>
      </c>
      <c r="K374" s="155"/>
      <c r="L374" s="141" t="s">
        <v>761</v>
      </c>
      <c r="M374" s="141" t="s">
        <v>720</v>
      </c>
      <c r="N374" s="141">
        <v>2533</v>
      </c>
      <c r="O374" s="141" t="s">
        <v>663</v>
      </c>
      <c r="P374" s="141">
        <v>4</v>
      </c>
      <c r="Q374" s="142">
        <v>0.72471909999999995</v>
      </c>
      <c r="R374" s="142">
        <v>0.51041669999999995</v>
      </c>
      <c r="S374" s="142">
        <v>0.71666660000000004</v>
      </c>
      <c r="T374" s="142">
        <v>0.43103449999999999</v>
      </c>
      <c r="U374" s="142">
        <v>0.45360820000000002</v>
      </c>
      <c r="V374" s="142">
        <v>0.56374999999999997</v>
      </c>
    </row>
    <row r="375" spans="1:22" ht="18.5" x14ac:dyDescent="0.35">
      <c r="A375" s="141" t="s">
        <v>761</v>
      </c>
      <c r="B375" s="141" t="s">
        <v>720</v>
      </c>
      <c r="C375" s="141">
        <v>4218</v>
      </c>
      <c r="D375" s="141" t="s">
        <v>663</v>
      </c>
      <c r="E375" s="141">
        <v>1</v>
      </c>
      <c r="F375" s="142">
        <v>0.39</v>
      </c>
      <c r="G375" s="141">
        <v>1</v>
      </c>
      <c r="H375" s="142">
        <v>0.5</v>
      </c>
      <c r="I375" s="142">
        <v>0.42391299999999998</v>
      </c>
      <c r="J375" s="142">
        <v>0.42749999999999999</v>
      </c>
      <c r="K375" s="155"/>
      <c r="L375" s="141" t="s">
        <v>761</v>
      </c>
      <c r="M375" s="141" t="s">
        <v>720</v>
      </c>
      <c r="N375" s="141">
        <v>4218</v>
      </c>
      <c r="O375" s="141" t="s">
        <v>663</v>
      </c>
      <c r="P375" s="141">
        <v>4</v>
      </c>
      <c r="Q375" s="142">
        <v>0.5521739</v>
      </c>
      <c r="R375" s="142">
        <v>0.59550559999999997</v>
      </c>
      <c r="S375" s="142">
        <v>1</v>
      </c>
      <c r="T375" s="142">
        <v>0.3125</v>
      </c>
      <c r="U375" s="142">
        <v>0.3645833</v>
      </c>
      <c r="V375" s="142">
        <v>0.54625000000000001</v>
      </c>
    </row>
    <row r="376" spans="1:22" ht="18.5" x14ac:dyDescent="0.35">
      <c r="A376" s="141" t="s">
        <v>761</v>
      </c>
      <c r="B376" s="141" t="s">
        <v>720</v>
      </c>
      <c r="C376" s="141">
        <v>4222</v>
      </c>
      <c r="D376" s="141" t="s">
        <v>663</v>
      </c>
      <c r="E376" s="141">
        <v>1</v>
      </c>
      <c r="F376" s="142">
        <v>0.67</v>
      </c>
      <c r="G376" s="141">
        <v>1</v>
      </c>
      <c r="H376" s="142">
        <v>0.94444439999999996</v>
      </c>
      <c r="I376" s="142">
        <v>0.86956520000000004</v>
      </c>
      <c r="J376" s="142">
        <v>0.79</v>
      </c>
      <c r="K376" s="155"/>
      <c r="L376" s="141" t="s">
        <v>761</v>
      </c>
      <c r="M376" s="141" t="s">
        <v>720</v>
      </c>
      <c r="N376" s="141">
        <v>4222</v>
      </c>
      <c r="O376" s="141" t="s">
        <v>663</v>
      </c>
      <c r="P376" s="141">
        <v>4</v>
      </c>
      <c r="Q376" s="142">
        <v>0.56310680000000002</v>
      </c>
      <c r="R376" s="142">
        <v>0.4270833</v>
      </c>
      <c r="S376" s="142">
        <v>0.26666669999999998</v>
      </c>
      <c r="T376" s="142">
        <v>0.85</v>
      </c>
      <c r="U376" s="142">
        <v>0.28301890000000002</v>
      </c>
      <c r="V376" s="142">
        <v>0.41499999999999998</v>
      </c>
    </row>
    <row r="377" spans="1:22" ht="18.5" x14ac:dyDescent="0.35">
      <c r="A377" s="141" t="s">
        <v>762</v>
      </c>
      <c r="B377" s="141" t="s">
        <v>763</v>
      </c>
      <c r="C377" s="141">
        <v>781</v>
      </c>
      <c r="D377" s="141" t="s">
        <v>843</v>
      </c>
      <c r="E377" s="141">
        <v>1</v>
      </c>
      <c r="F377" s="142">
        <v>0.26</v>
      </c>
      <c r="G377" s="141">
        <v>1</v>
      </c>
      <c r="H377" s="142">
        <v>0.22222220000000001</v>
      </c>
      <c r="I377" s="142">
        <v>0.39130429999999999</v>
      </c>
      <c r="J377" s="142">
        <v>0.28000000000000003</v>
      </c>
      <c r="K377" s="155"/>
      <c r="L377" s="141" t="s">
        <v>762</v>
      </c>
      <c r="M377" s="141" t="s">
        <v>763</v>
      </c>
      <c r="N377" s="141">
        <v>781</v>
      </c>
      <c r="O377" s="141" t="s">
        <v>843</v>
      </c>
      <c r="P377" s="141">
        <v>4</v>
      </c>
      <c r="Q377" s="142">
        <v>0.35393259999999999</v>
      </c>
      <c r="R377" s="142">
        <v>0.3854167</v>
      </c>
      <c r="S377" s="142">
        <v>0.63333329999999999</v>
      </c>
      <c r="T377" s="142">
        <v>0.60344830000000005</v>
      </c>
      <c r="U377" s="142">
        <v>0.57731960000000004</v>
      </c>
      <c r="V377" s="142">
        <v>0.49375000000000002</v>
      </c>
    </row>
    <row r="378" spans="1:22" ht="18.5" x14ac:dyDescent="0.35">
      <c r="A378" s="141" t="s">
        <v>762</v>
      </c>
      <c r="B378" s="141" t="s">
        <v>763</v>
      </c>
      <c r="C378" s="141">
        <v>2479</v>
      </c>
      <c r="D378" s="141" t="s">
        <v>842</v>
      </c>
      <c r="E378" s="141">
        <v>1</v>
      </c>
      <c r="F378" s="142">
        <v>0.44</v>
      </c>
      <c r="G378" s="141">
        <v>1</v>
      </c>
      <c r="H378" s="142">
        <v>0.77777779999999996</v>
      </c>
      <c r="I378" s="142">
        <v>0.76086960000000003</v>
      </c>
      <c r="J378" s="142">
        <v>0.60499999999999998</v>
      </c>
      <c r="K378" s="155"/>
      <c r="L378" s="141" t="s">
        <v>762</v>
      </c>
      <c r="M378" s="141" t="s">
        <v>763</v>
      </c>
      <c r="N378" s="141">
        <v>2479</v>
      </c>
      <c r="O378" s="141" t="s">
        <v>842</v>
      </c>
      <c r="P378" s="141">
        <v>4</v>
      </c>
      <c r="Q378" s="142">
        <v>0.66666669999999995</v>
      </c>
      <c r="R378" s="142">
        <v>0.70408170000000003</v>
      </c>
      <c r="S378" s="142">
        <v>0.3333333</v>
      </c>
      <c r="T378" s="142">
        <v>0.42499999999999999</v>
      </c>
      <c r="U378" s="142">
        <v>0.20754719999999999</v>
      </c>
      <c r="V378" s="142">
        <v>0.46750000000000003</v>
      </c>
    </row>
    <row r="379" spans="1:22" ht="18.5" x14ac:dyDescent="0.35">
      <c r="A379" s="141" t="s">
        <v>762</v>
      </c>
      <c r="B379" s="141" t="s">
        <v>763</v>
      </c>
      <c r="C379" s="141">
        <v>2485</v>
      </c>
      <c r="D379" s="141" t="s">
        <v>842</v>
      </c>
      <c r="E379" s="141">
        <v>1</v>
      </c>
      <c r="F379" s="142">
        <v>0.42</v>
      </c>
      <c r="G379" s="141">
        <v>1</v>
      </c>
      <c r="H379" s="142">
        <v>0.61111110000000002</v>
      </c>
      <c r="I379" s="142">
        <v>0.41304350000000001</v>
      </c>
      <c r="J379" s="142">
        <v>0.47</v>
      </c>
      <c r="K379" s="155"/>
      <c r="L379" s="141" t="s">
        <v>762</v>
      </c>
      <c r="M379" s="141" t="s">
        <v>763</v>
      </c>
      <c r="N379" s="141">
        <v>2485</v>
      </c>
      <c r="O379" s="141" t="s">
        <v>842</v>
      </c>
      <c r="P379" s="141">
        <v>4</v>
      </c>
      <c r="Q379" s="142">
        <v>0.43181819999999999</v>
      </c>
      <c r="R379" s="142">
        <v>0.70588240000000002</v>
      </c>
      <c r="S379" s="142">
        <v>0.3333333</v>
      </c>
      <c r="T379" s="142">
        <v>0.66666669999999995</v>
      </c>
      <c r="U379" s="142">
        <v>0.10752689999999999</v>
      </c>
      <c r="V379" s="142">
        <v>0.41749999999999998</v>
      </c>
    </row>
    <row r="380" spans="1:22" ht="18.5" x14ac:dyDescent="0.35">
      <c r="A380" s="141" t="s">
        <v>762</v>
      </c>
      <c r="B380" s="141" t="s">
        <v>763</v>
      </c>
      <c r="C380" s="141">
        <v>2684</v>
      </c>
      <c r="D380" s="141" t="s">
        <v>841</v>
      </c>
      <c r="E380" s="141">
        <v>1</v>
      </c>
      <c r="F380" s="142">
        <v>0.37</v>
      </c>
      <c r="G380" s="141">
        <v>1</v>
      </c>
      <c r="H380" s="142">
        <v>0.22222220000000001</v>
      </c>
      <c r="I380" s="142">
        <v>0.67391310000000004</v>
      </c>
      <c r="J380" s="142">
        <v>0.4</v>
      </c>
      <c r="K380" s="155"/>
      <c r="L380" s="141" t="s">
        <v>762</v>
      </c>
      <c r="M380" s="141" t="s">
        <v>763</v>
      </c>
      <c r="N380" s="141">
        <v>2684</v>
      </c>
      <c r="O380" s="141" t="s">
        <v>841</v>
      </c>
      <c r="P380" s="141">
        <v>4</v>
      </c>
      <c r="Q380" s="142">
        <v>0.28676469999999998</v>
      </c>
      <c r="R380" s="142">
        <v>0.36956519999999998</v>
      </c>
      <c r="S380" s="142">
        <v>0.72916669999999995</v>
      </c>
      <c r="T380" s="142">
        <v>0.56666669999999997</v>
      </c>
      <c r="U380" s="142">
        <v>0.15957450000000001</v>
      </c>
      <c r="V380" s="142">
        <v>0.35</v>
      </c>
    </row>
    <row r="381" spans="1:22" ht="18.5" x14ac:dyDescent="0.35">
      <c r="A381" s="141" t="s">
        <v>762</v>
      </c>
      <c r="B381" s="141" t="s">
        <v>763</v>
      </c>
      <c r="C381" s="141">
        <v>3450</v>
      </c>
      <c r="D381" s="141" t="s">
        <v>663</v>
      </c>
      <c r="E381" s="141">
        <v>1</v>
      </c>
      <c r="F381" s="142">
        <v>0.56000000000000005</v>
      </c>
      <c r="G381" s="141">
        <v>1</v>
      </c>
      <c r="H381" s="142">
        <v>0.61111110000000002</v>
      </c>
      <c r="I381" s="142">
        <v>0.67391310000000004</v>
      </c>
      <c r="J381" s="142">
        <v>0.6</v>
      </c>
      <c r="K381" s="155"/>
      <c r="L381" s="141" t="s">
        <v>762</v>
      </c>
      <c r="M381" s="141" t="s">
        <v>763</v>
      </c>
      <c r="N381" s="141">
        <v>3450</v>
      </c>
      <c r="O381" s="141" t="s">
        <v>663</v>
      </c>
      <c r="P381" s="141">
        <v>4</v>
      </c>
      <c r="Q381" s="142">
        <v>0.1227273</v>
      </c>
      <c r="R381" s="142">
        <v>0.4942529</v>
      </c>
      <c r="S381" s="142">
        <v>0.66666669999999995</v>
      </c>
      <c r="T381" s="142">
        <v>0.1</v>
      </c>
      <c r="U381" s="142">
        <v>7.5268799999999997E-2</v>
      </c>
      <c r="V381" s="142">
        <v>0.27124999999999999</v>
      </c>
    </row>
    <row r="382" spans="1:22" ht="18.5" x14ac:dyDescent="0.35">
      <c r="A382" s="141" t="s">
        <v>762</v>
      </c>
      <c r="B382" s="141" t="s">
        <v>763</v>
      </c>
      <c r="C382" s="141">
        <v>3490</v>
      </c>
      <c r="D382" s="141" t="s">
        <v>663</v>
      </c>
      <c r="E382" s="141">
        <v>1</v>
      </c>
      <c r="F382" s="142">
        <v>0.56999999999999995</v>
      </c>
      <c r="G382" s="141">
        <v>1</v>
      </c>
      <c r="H382" s="142">
        <v>0.94444439999999996</v>
      </c>
      <c r="I382" s="142">
        <v>0.69565220000000005</v>
      </c>
      <c r="J382" s="142">
        <v>0.7</v>
      </c>
      <c r="K382" s="155"/>
      <c r="L382" s="141" t="s">
        <v>762</v>
      </c>
      <c r="M382" s="141" t="s">
        <v>763</v>
      </c>
      <c r="N382" s="141">
        <v>3490</v>
      </c>
      <c r="O382" s="141" t="s">
        <v>663</v>
      </c>
      <c r="P382" s="141">
        <v>4</v>
      </c>
      <c r="Q382" s="142">
        <v>0.83082710000000004</v>
      </c>
      <c r="R382" s="142">
        <v>0.75294119999999998</v>
      </c>
      <c r="S382" s="142">
        <v>0.76923079999999999</v>
      </c>
      <c r="T382" s="142">
        <v>0.54166669999999995</v>
      </c>
      <c r="U382" s="142">
        <v>0.63414630000000005</v>
      </c>
      <c r="V382" s="142">
        <v>0.73124999999999996</v>
      </c>
    </row>
    <row r="383" spans="1:22" ht="18.5" x14ac:dyDescent="0.35">
      <c r="A383" s="141" t="s">
        <v>762</v>
      </c>
      <c r="B383" s="141" t="s">
        <v>763</v>
      </c>
      <c r="C383" s="141">
        <v>3858</v>
      </c>
      <c r="D383" s="141" t="s">
        <v>663</v>
      </c>
      <c r="E383" s="141">
        <v>1</v>
      </c>
      <c r="F383" s="142">
        <v>0.36</v>
      </c>
      <c r="G383" s="141">
        <v>1</v>
      </c>
      <c r="H383" s="142">
        <v>0.88888889999999998</v>
      </c>
      <c r="I383" s="142">
        <v>0.65217389999999997</v>
      </c>
      <c r="J383" s="142">
        <v>0.56999999999999995</v>
      </c>
      <c r="K383" s="155"/>
      <c r="L383" s="141" t="s">
        <v>762</v>
      </c>
      <c r="M383" s="141" t="s">
        <v>763</v>
      </c>
      <c r="N383" s="141">
        <v>3858</v>
      </c>
      <c r="O383" s="141" t="s">
        <v>663</v>
      </c>
      <c r="P383" s="141">
        <v>4</v>
      </c>
      <c r="Q383" s="142">
        <v>0.67901239999999996</v>
      </c>
      <c r="R383" s="142">
        <v>0.59793810000000003</v>
      </c>
      <c r="S383" s="142">
        <v>0.46666669999999999</v>
      </c>
      <c r="T383" s="142">
        <v>0.125</v>
      </c>
      <c r="U383" s="142">
        <v>0.49532710000000002</v>
      </c>
      <c r="V383" s="142">
        <v>0.51500000000000001</v>
      </c>
    </row>
    <row r="384" spans="1:22" ht="18.5" x14ac:dyDescent="0.35">
      <c r="A384" s="141" t="s">
        <v>762</v>
      </c>
      <c r="B384" s="141" t="s">
        <v>763</v>
      </c>
      <c r="C384" s="141">
        <v>3949</v>
      </c>
      <c r="D384" s="141" t="s">
        <v>663</v>
      </c>
      <c r="E384" s="141">
        <v>1</v>
      </c>
      <c r="F384" s="142">
        <v>0.51</v>
      </c>
      <c r="G384" s="141">
        <v>1</v>
      </c>
      <c r="H384" s="142">
        <v>0.94444439999999996</v>
      </c>
      <c r="I384" s="142">
        <v>0.65217389999999997</v>
      </c>
      <c r="J384" s="142">
        <v>0.66</v>
      </c>
      <c r="K384" s="155"/>
      <c r="L384" s="141" t="s">
        <v>762</v>
      </c>
      <c r="M384" s="141" t="s">
        <v>763</v>
      </c>
      <c r="N384" s="141">
        <v>3949</v>
      </c>
      <c r="O384" s="141" t="s">
        <v>663</v>
      </c>
      <c r="P384" s="141">
        <v>4</v>
      </c>
      <c r="Q384" s="142">
        <v>0.76136360000000003</v>
      </c>
      <c r="R384" s="142">
        <v>0.65306120000000001</v>
      </c>
      <c r="S384" s="142">
        <v>0.80882350000000003</v>
      </c>
      <c r="T384" s="142">
        <v>0.15</v>
      </c>
      <c r="U384" s="142">
        <v>0.39622639999999998</v>
      </c>
      <c r="V384" s="142">
        <v>0.58499999999999996</v>
      </c>
    </row>
    <row r="385" spans="1:22" ht="18.5" x14ac:dyDescent="0.35">
      <c r="A385" s="141" t="s">
        <v>762</v>
      </c>
      <c r="B385" s="141" t="s">
        <v>763</v>
      </c>
      <c r="C385" s="141">
        <v>4101</v>
      </c>
      <c r="D385" s="141" t="s">
        <v>842</v>
      </c>
      <c r="E385" s="141">
        <v>1</v>
      </c>
      <c r="F385" s="142">
        <v>0.61</v>
      </c>
      <c r="G385" s="141">
        <v>1</v>
      </c>
      <c r="H385" s="142">
        <v>0.83333330000000005</v>
      </c>
      <c r="I385" s="142">
        <v>0.58695649999999999</v>
      </c>
      <c r="J385" s="142">
        <v>0.66500000000000004</v>
      </c>
      <c r="K385" s="155"/>
      <c r="L385" s="141" t="s">
        <v>762</v>
      </c>
      <c r="M385" s="141" t="s">
        <v>763</v>
      </c>
      <c r="N385" s="141">
        <v>4101</v>
      </c>
      <c r="O385" s="141" t="s">
        <v>842</v>
      </c>
      <c r="P385" s="141">
        <v>4</v>
      </c>
      <c r="Q385" s="142">
        <v>0.67500000000000004</v>
      </c>
      <c r="R385" s="142">
        <v>0.70114940000000003</v>
      </c>
      <c r="S385" s="142">
        <v>0.75</v>
      </c>
      <c r="T385" s="142">
        <v>0.48333330000000002</v>
      </c>
      <c r="U385" s="142">
        <v>0.46236559999999999</v>
      </c>
      <c r="V385" s="142">
        <v>0.61750000000000005</v>
      </c>
    </row>
    <row r="386" spans="1:22" ht="18.5" x14ac:dyDescent="0.35">
      <c r="A386" s="141" t="s">
        <v>762</v>
      </c>
      <c r="B386" s="141" t="s">
        <v>763</v>
      </c>
      <c r="C386" s="141">
        <v>6926</v>
      </c>
      <c r="D386" s="141" t="s">
        <v>663</v>
      </c>
      <c r="E386" s="141">
        <v>1</v>
      </c>
      <c r="F386" s="142">
        <v>0.37</v>
      </c>
      <c r="G386" s="141">
        <v>1</v>
      </c>
      <c r="H386" s="142">
        <v>0.38888889999999998</v>
      </c>
      <c r="I386" s="142">
        <v>0.5</v>
      </c>
      <c r="J386" s="142">
        <v>0.40500000000000003</v>
      </c>
      <c r="K386" s="155"/>
      <c r="L386" s="141" t="s">
        <v>762</v>
      </c>
      <c r="M386" s="141" t="s">
        <v>763</v>
      </c>
      <c r="N386" s="141">
        <v>6926</v>
      </c>
      <c r="O386" s="141" t="s">
        <v>663</v>
      </c>
      <c r="P386" s="141">
        <v>4</v>
      </c>
      <c r="Q386" s="142">
        <v>0.21739130000000001</v>
      </c>
      <c r="R386" s="142">
        <v>0.1888889</v>
      </c>
      <c r="S386" s="142">
        <v>0.1923077</v>
      </c>
      <c r="T386" s="142">
        <v>0.1666667</v>
      </c>
      <c r="U386" s="142">
        <v>0.13684209999999999</v>
      </c>
      <c r="V386" s="142">
        <v>0.1825</v>
      </c>
    </row>
    <row r="387" spans="1:22" ht="18.5" x14ac:dyDescent="0.35">
      <c r="A387" s="141" t="s">
        <v>762</v>
      </c>
      <c r="B387" s="141" t="s">
        <v>763</v>
      </c>
      <c r="C387" s="141">
        <v>6927</v>
      </c>
      <c r="D387" s="141" t="s">
        <v>663</v>
      </c>
      <c r="E387" s="141">
        <v>1</v>
      </c>
      <c r="F387" s="142">
        <v>0.05</v>
      </c>
      <c r="G387" s="141">
        <v>1</v>
      </c>
      <c r="H387" s="142">
        <v>0.44444440000000002</v>
      </c>
      <c r="I387" s="142">
        <v>0.40217389999999997</v>
      </c>
      <c r="J387" s="142">
        <v>0.23749999999999999</v>
      </c>
      <c r="K387" s="155"/>
      <c r="L387" s="141" t="s">
        <v>762</v>
      </c>
      <c r="M387" s="141" t="s">
        <v>763</v>
      </c>
      <c r="N387" s="141">
        <v>6927</v>
      </c>
      <c r="O387" s="141" t="s">
        <v>663</v>
      </c>
      <c r="P387" s="141">
        <v>4</v>
      </c>
      <c r="Q387" s="142">
        <v>0.15340909999999999</v>
      </c>
      <c r="R387" s="142">
        <v>0.38144329999999999</v>
      </c>
      <c r="S387" s="142">
        <v>0.80882350000000003</v>
      </c>
      <c r="T387" s="142">
        <v>0.7</v>
      </c>
      <c r="U387" s="142">
        <v>0.27102799999999999</v>
      </c>
      <c r="V387" s="142">
        <v>0.40625</v>
      </c>
    </row>
    <row r="388" spans="1:22" ht="18.5" x14ac:dyDescent="0.35">
      <c r="A388" s="141" t="s">
        <v>764</v>
      </c>
      <c r="B388" s="141" t="s">
        <v>765</v>
      </c>
      <c r="C388" s="141">
        <v>91</v>
      </c>
      <c r="D388" s="141" t="s">
        <v>2452</v>
      </c>
      <c r="E388" s="141">
        <v>1</v>
      </c>
      <c r="F388" s="142">
        <v>0.15</v>
      </c>
      <c r="G388" s="141">
        <v>1</v>
      </c>
      <c r="H388" s="142">
        <v>0.72222220000000004</v>
      </c>
      <c r="I388" s="142">
        <v>0.94565220000000005</v>
      </c>
      <c r="J388" s="142">
        <v>0.48749999999999999</v>
      </c>
      <c r="K388" s="155"/>
      <c r="L388" s="141" t="s">
        <v>764</v>
      </c>
      <c r="M388" s="141" t="s">
        <v>765</v>
      </c>
      <c r="N388" s="141">
        <v>91</v>
      </c>
      <c r="O388" s="141" t="s">
        <v>2452</v>
      </c>
      <c r="P388" s="141">
        <v>4</v>
      </c>
      <c r="Q388" s="142">
        <v>0.3565217</v>
      </c>
      <c r="R388" s="142">
        <v>0.5280899</v>
      </c>
      <c r="S388" s="142">
        <v>0.57692310000000002</v>
      </c>
      <c r="T388" s="142">
        <v>0.5625</v>
      </c>
      <c r="U388" s="142">
        <v>0.25</v>
      </c>
      <c r="V388" s="142">
        <v>0.42249999999999999</v>
      </c>
    </row>
    <row r="389" spans="1:22" ht="18.5" x14ac:dyDescent="0.35">
      <c r="A389" s="141" t="s">
        <v>764</v>
      </c>
      <c r="B389" s="141" t="s">
        <v>765</v>
      </c>
      <c r="C389" s="141">
        <v>201</v>
      </c>
      <c r="D389" s="141" t="s">
        <v>842</v>
      </c>
      <c r="E389" s="141">
        <v>2</v>
      </c>
      <c r="F389" s="142">
        <v>0.27500000000000002</v>
      </c>
      <c r="G389" s="141">
        <v>0</v>
      </c>
      <c r="H389" s="142"/>
      <c r="I389" s="142"/>
      <c r="J389" s="142">
        <v>0.27500000000000002</v>
      </c>
      <c r="K389" s="155"/>
      <c r="L389" s="141" t="s">
        <v>764</v>
      </c>
      <c r="M389" s="141" t="s">
        <v>765</v>
      </c>
      <c r="N389" s="141">
        <v>201</v>
      </c>
      <c r="O389" s="141" t="s">
        <v>842</v>
      </c>
      <c r="P389" s="141">
        <v>4</v>
      </c>
      <c r="Q389" s="142">
        <v>0.3333333</v>
      </c>
      <c r="R389" s="142">
        <v>0.30232560000000003</v>
      </c>
      <c r="S389" s="142">
        <v>0.58333330000000005</v>
      </c>
      <c r="T389" s="142">
        <v>0.3846154</v>
      </c>
      <c r="U389" s="142">
        <v>0.1566265</v>
      </c>
      <c r="V389" s="142">
        <v>0.34499999999999997</v>
      </c>
    </row>
    <row r="390" spans="1:22" ht="18.5" x14ac:dyDescent="0.35">
      <c r="A390" s="141" t="s">
        <v>764</v>
      </c>
      <c r="B390" s="141" t="s">
        <v>765</v>
      </c>
      <c r="C390" s="141">
        <v>261</v>
      </c>
      <c r="D390" s="141" t="s">
        <v>841</v>
      </c>
      <c r="E390" s="141">
        <v>1</v>
      </c>
      <c r="F390" s="142">
        <v>0.56000000000000005</v>
      </c>
      <c r="G390" s="141">
        <v>1</v>
      </c>
      <c r="H390" s="142">
        <v>0.77777779999999996</v>
      </c>
      <c r="I390" s="142">
        <v>0.40217389999999997</v>
      </c>
      <c r="J390" s="142">
        <v>0.58250000000000002</v>
      </c>
      <c r="K390" s="155"/>
      <c r="L390" s="141" t="s">
        <v>764</v>
      </c>
      <c r="M390" s="141" t="s">
        <v>765</v>
      </c>
      <c r="N390" s="141">
        <v>261</v>
      </c>
      <c r="O390" s="141" t="s">
        <v>841</v>
      </c>
      <c r="P390" s="141">
        <v>4</v>
      </c>
      <c r="Q390" s="142">
        <v>0.84883719999999996</v>
      </c>
      <c r="R390" s="142">
        <v>0.56565650000000001</v>
      </c>
      <c r="S390" s="142">
        <v>1</v>
      </c>
      <c r="T390" s="142">
        <v>0.81578949999999995</v>
      </c>
      <c r="U390" s="142">
        <v>0.56363640000000004</v>
      </c>
      <c r="V390" s="142">
        <v>0.72250000000000003</v>
      </c>
    </row>
    <row r="391" spans="1:22" ht="18.5" x14ac:dyDescent="0.35">
      <c r="A391" s="141" t="s">
        <v>764</v>
      </c>
      <c r="B391" s="141" t="s">
        <v>765</v>
      </c>
      <c r="C391" s="141">
        <v>1060</v>
      </c>
      <c r="D391" s="141" t="s">
        <v>842</v>
      </c>
      <c r="E391" s="141">
        <v>1</v>
      </c>
      <c r="F391" s="142">
        <v>0.53</v>
      </c>
      <c r="G391" s="141">
        <v>1</v>
      </c>
      <c r="H391" s="142">
        <v>1</v>
      </c>
      <c r="I391" s="142">
        <v>0.53260870000000005</v>
      </c>
      <c r="J391" s="142">
        <v>0.65749999999999997</v>
      </c>
      <c r="K391" s="155"/>
      <c r="L391" s="141" t="s">
        <v>764</v>
      </c>
      <c r="M391" s="141" t="s">
        <v>765</v>
      </c>
      <c r="N391" s="141">
        <v>1060</v>
      </c>
      <c r="O391" s="141" t="s">
        <v>842</v>
      </c>
      <c r="P391" s="141">
        <v>4</v>
      </c>
      <c r="Q391" s="142">
        <v>0.67647060000000003</v>
      </c>
      <c r="R391" s="142">
        <v>0.48235289999999997</v>
      </c>
      <c r="S391" s="142">
        <v>0.875</v>
      </c>
      <c r="T391" s="142">
        <v>0.7</v>
      </c>
      <c r="U391" s="142">
        <v>0.58064510000000003</v>
      </c>
      <c r="V391" s="142">
        <v>0.65500000000000003</v>
      </c>
    </row>
    <row r="392" spans="1:22" ht="18.5" x14ac:dyDescent="0.35">
      <c r="A392" s="141" t="s">
        <v>764</v>
      </c>
      <c r="B392" s="141" t="s">
        <v>765</v>
      </c>
      <c r="C392" s="141">
        <v>1812</v>
      </c>
      <c r="D392" s="141" t="s">
        <v>842</v>
      </c>
      <c r="E392" s="141">
        <v>2</v>
      </c>
      <c r="F392" s="142">
        <v>0.375</v>
      </c>
      <c r="G392" s="141">
        <v>0</v>
      </c>
      <c r="H392" s="142"/>
      <c r="I392" s="142"/>
      <c r="J392" s="142">
        <v>0.375</v>
      </c>
      <c r="K392" s="155"/>
      <c r="L392" s="141" t="s">
        <v>764</v>
      </c>
      <c r="M392" s="141" t="s">
        <v>765</v>
      </c>
      <c r="N392" s="141">
        <v>1812</v>
      </c>
      <c r="O392" s="141" t="s">
        <v>842</v>
      </c>
      <c r="P392" s="141">
        <v>2</v>
      </c>
      <c r="Q392" s="142">
        <v>0.53658539999999999</v>
      </c>
      <c r="R392" s="142">
        <v>0.34782610000000003</v>
      </c>
      <c r="S392" s="142">
        <v>0.625</v>
      </c>
      <c r="T392" s="142">
        <v>0.4210526</v>
      </c>
      <c r="U392" s="142">
        <v>0.13953489999999999</v>
      </c>
      <c r="V392" s="142">
        <v>0.4</v>
      </c>
    </row>
    <row r="393" spans="1:22" ht="18.5" x14ac:dyDescent="0.35">
      <c r="A393" s="141" t="s">
        <v>764</v>
      </c>
      <c r="B393" s="141" t="s">
        <v>765</v>
      </c>
      <c r="C393" s="141">
        <v>2351</v>
      </c>
      <c r="D393" s="141" t="s">
        <v>663</v>
      </c>
      <c r="E393" s="141">
        <v>1</v>
      </c>
      <c r="F393" s="142">
        <v>0.32</v>
      </c>
      <c r="G393" s="141">
        <v>0</v>
      </c>
      <c r="H393" s="142"/>
      <c r="I393" s="142"/>
      <c r="J393" s="142">
        <v>0.32</v>
      </c>
      <c r="K393" s="155"/>
      <c r="L393" s="141" t="s">
        <v>764</v>
      </c>
      <c r="M393" s="141" t="s">
        <v>765</v>
      </c>
      <c r="N393" s="141">
        <v>2351</v>
      </c>
      <c r="O393" s="141" t="s">
        <v>663</v>
      </c>
      <c r="P393" s="141">
        <v>2</v>
      </c>
      <c r="Q393" s="142">
        <v>0.75806450000000003</v>
      </c>
      <c r="R393" s="142">
        <v>0.6</v>
      </c>
      <c r="S393" s="142">
        <v>1</v>
      </c>
      <c r="T393" s="142"/>
      <c r="U393" s="142">
        <v>0.3207547</v>
      </c>
      <c r="V393" s="142">
        <v>0.65500000000000003</v>
      </c>
    </row>
    <row r="394" spans="1:22" ht="18.5" x14ac:dyDescent="0.35">
      <c r="A394" s="141" t="s">
        <v>764</v>
      </c>
      <c r="B394" s="141" t="s">
        <v>765</v>
      </c>
      <c r="C394" s="141">
        <v>2354</v>
      </c>
      <c r="D394" s="141" t="s">
        <v>663</v>
      </c>
      <c r="E394" s="141">
        <v>1</v>
      </c>
      <c r="F394" s="142">
        <v>0.21</v>
      </c>
      <c r="G394" s="141">
        <v>1</v>
      </c>
      <c r="H394" s="142">
        <v>0.72222220000000004</v>
      </c>
      <c r="I394" s="142">
        <v>0.55434779999999995</v>
      </c>
      <c r="J394" s="142">
        <v>0.42749999999999999</v>
      </c>
      <c r="K394" s="155"/>
      <c r="L394" s="141" t="s">
        <v>764</v>
      </c>
      <c r="M394" s="141" t="s">
        <v>765</v>
      </c>
      <c r="N394" s="141">
        <v>2354</v>
      </c>
      <c r="O394" s="141" t="s">
        <v>663</v>
      </c>
      <c r="P394" s="141">
        <v>4</v>
      </c>
      <c r="Q394" s="142">
        <v>0.58252429999999999</v>
      </c>
      <c r="R394" s="142">
        <v>0.42857139999999999</v>
      </c>
      <c r="S394" s="142">
        <v>0.83333330000000005</v>
      </c>
      <c r="T394" s="142">
        <v>0.65517239999999999</v>
      </c>
      <c r="U394" s="142">
        <v>0.40963860000000002</v>
      </c>
      <c r="V394" s="142">
        <v>0.56999999999999995</v>
      </c>
    </row>
    <row r="395" spans="1:22" ht="18.5" x14ac:dyDescent="0.35">
      <c r="A395" s="141" t="s">
        <v>764</v>
      </c>
      <c r="B395" s="141" t="s">
        <v>765</v>
      </c>
      <c r="C395" s="141">
        <v>2934</v>
      </c>
      <c r="D395" s="141" t="s">
        <v>663</v>
      </c>
      <c r="E395" s="141">
        <v>1</v>
      </c>
      <c r="F395" s="142">
        <v>0.56000000000000005</v>
      </c>
      <c r="G395" s="141">
        <v>1</v>
      </c>
      <c r="H395" s="142">
        <v>1</v>
      </c>
      <c r="I395" s="142">
        <v>0.35869570000000001</v>
      </c>
      <c r="J395" s="142">
        <v>0.63249999999999995</v>
      </c>
      <c r="K395" s="155"/>
      <c r="L395" s="141" t="s">
        <v>764</v>
      </c>
      <c r="M395" s="141" t="s">
        <v>765</v>
      </c>
      <c r="N395" s="141">
        <v>2934</v>
      </c>
      <c r="O395" s="141" t="s">
        <v>663</v>
      </c>
      <c r="P395" s="141">
        <v>4</v>
      </c>
      <c r="Q395" s="142">
        <v>0.46470590000000001</v>
      </c>
      <c r="R395" s="142">
        <v>0.57303369999999998</v>
      </c>
      <c r="S395" s="142">
        <v>0.83333330000000005</v>
      </c>
      <c r="T395" s="142">
        <v>0.43103449999999999</v>
      </c>
      <c r="U395" s="142">
        <v>0.375</v>
      </c>
      <c r="V395" s="142">
        <v>0.52875000000000005</v>
      </c>
    </row>
    <row r="396" spans="1:22" ht="18.5" x14ac:dyDescent="0.35">
      <c r="A396" s="141" t="s">
        <v>764</v>
      </c>
      <c r="B396" s="141" t="s">
        <v>765</v>
      </c>
      <c r="C396" s="141">
        <v>2936</v>
      </c>
      <c r="D396" s="141" t="s">
        <v>842</v>
      </c>
      <c r="E396" s="141">
        <v>1</v>
      </c>
      <c r="F396" s="142">
        <v>0.27</v>
      </c>
      <c r="G396" s="141">
        <v>1</v>
      </c>
      <c r="H396" s="142">
        <v>1</v>
      </c>
      <c r="I396" s="142">
        <v>0.63043479999999996</v>
      </c>
      <c r="J396" s="142">
        <v>0.55000000000000004</v>
      </c>
      <c r="K396" s="155"/>
      <c r="L396" s="141" t="s">
        <v>764</v>
      </c>
      <c r="M396" s="141" t="s">
        <v>765</v>
      </c>
      <c r="N396" s="141">
        <v>2936</v>
      </c>
      <c r="O396" s="141" t="s">
        <v>842</v>
      </c>
      <c r="P396" s="141">
        <v>4</v>
      </c>
      <c r="Q396" s="142">
        <v>0.5990991</v>
      </c>
      <c r="R396" s="142">
        <v>0.76162790000000002</v>
      </c>
      <c r="S396" s="142">
        <v>0.90384609999999999</v>
      </c>
      <c r="T396" s="142">
        <v>0.42647059999999998</v>
      </c>
      <c r="U396" s="142">
        <v>0.44578309999999999</v>
      </c>
      <c r="V396" s="142">
        <v>0.61250000000000004</v>
      </c>
    </row>
    <row r="397" spans="1:22" ht="18.5" x14ac:dyDescent="0.35">
      <c r="A397" s="141" t="s">
        <v>764</v>
      </c>
      <c r="B397" s="141" t="s">
        <v>765</v>
      </c>
      <c r="C397" s="141">
        <v>2940</v>
      </c>
      <c r="D397" s="141" t="s">
        <v>663</v>
      </c>
      <c r="E397" s="141">
        <v>1</v>
      </c>
      <c r="F397" s="142">
        <v>0.35</v>
      </c>
      <c r="G397" s="141">
        <v>0</v>
      </c>
      <c r="H397" s="142"/>
      <c r="I397" s="142"/>
      <c r="J397" s="142">
        <v>0.35</v>
      </c>
      <c r="K397" s="155"/>
      <c r="L397" s="141" t="s">
        <v>764</v>
      </c>
      <c r="M397" s="141" t="s">
        <v>765</v>
      </c>
      <c r="N397" s="141">
        <v>2940</v>
      </c>
      <c r="O397" s="141" t="s">
        <v>663</v>
      </c>
      <c r="P397" s="141">
        <v>2</v>
      </c>
      <c r="Q397" s="142">
        <v>0.53658539999999999</v>
      </c>
      <c r="R397" s="142">
        <v>0.3043478</v>
      </c>
      <c r="S397" s="142">
        <v>0.53125</v>
      </c>
      <c r="T397" s="142">
        <v>0.368421</v>
      </c>
      <c r="U397" s="142">
        <v>2.32558E-2</v>
      </c>
      <c r="V397" s="142">
        <v>0.34</v>
      </c>
    </row>
    <row r="398" spans="1:22" ht="18.5" x14ac:dyDescent="0.35">
      <c r="A398" s="141" t="s">
        <v>764</v>
      </c>
      <c r="B398" s="141" t="s">
        <v>765</v>
      </c>
      <c r="C398" s="141">
        <v>3850</v>
      </c>
      <c r="D398" s="141" t="s">
        <v>663</v>
      </c>
      <c r="E398" s="141">
        <v>1</v>
      </c>
      <c r="F398" s="142">
        <v>0.38</v>
      </c>
      <c r="G398" s="141">
        <v>1</v>
      </c>
      <c r="H398" s="142">
        <v>0.5</v>
      </c>
      <c r="I398" s="142">
        <v>0.41304350000000001</v>
      </c>
      <c r="J398" s="142">
        <v>0.42</v>
      </c>
      <c r="K398" s="155"/>
      <c r="L398" s="141" t="s">
        <v>764</v>
      </c>
      <c r="M398" s="141" t="s">
        <v>765</v>
      </c>
      <c r="N398" s="141">
        <v>3850</v>
      </c>
      <c r="O398" s="141" t="s">
        <v>663</v>
      </c>
      <c r="P398" s="141">
        <v>4</v>
      </c>
      <c r="Q398" s="142">
        <v>0.3333333</v>
      </c>
      <c r="R398" s="142">
        <v>0.40697670000000002</v>
      </c>
      <c r="S398" s="142">
        <v>0.375</v>
      </c>
      <c r="T398" s="142">
        <v>0.6</v>
      </c>
      <c r="U398" s="142">
        <v>0.52173910000000001</v>
      </c>
      <c r="V398" s="142">
        <v>0.42749999999999999</v>
      </c>
    </row>
    <row r="399" spans="1:22" ht="18.5" x14ac:dyDescent="0.35">
      <c r="A399" s="141" t="s">
        <v>766</v>
      </c>
      <c r="B399" s="141" t="s">
        <v>728</v>
      </c>
      <c r="C399" s="141">
        <v>759</v>
      </c>
      <c r="D399" s="141" t="s">
        <v>843</v>
      </c>
      <c r="E399" s="141">
        <v>1</v>
      </c>
      <c r="F399" s="142">
        <v>0.52</v>
      </c>
      <c r="G399" s="141">
        <v>1</v>
      </c>
      <c r="H399" s="142">
        <v>0.3333333</v>
      </c>
      <c r="I399" s="142">
        <v>0.97826089999999999</v>
      </c>
      <c r="J399" s="142">
        <v>0.57499999999999996</v>
      </c>
      <c r="K399" s="155"/>
      <c r="L399" s="141" t="s">
        <v>766</v>
      </c>
      <c r="M399" s="141" t="s">
        <v>728</v>
      </c>
      <c r="N399" s="141">
        <v>759</v>
      </c>
      <c r="O399" s="141" t="s">
        <v>843</v>
      </c>
      <c r="P399" s="141">
        <v>4</v>
      </c>
      <c r="Q399" s="142">
        <v>0.6</v>
      </c>
      <c r="R399" s="142">
        <v>0.67816089999999996</v>
      </c>
      <c r="S399" s="142">
        <v>0.75</v>
      </c>
      <c r="T399" s="142">
        <v>0.6</v>
      </c>
      <c r="U399" s="142">
        <v>0.6774194</v>
      </c>
      <c r="V399" s="142">
        <v>0.65749999999999997</v>
      </c>
    </row>
    <row r="400" spans="1:22" ht="18.5" x14ac:dyDescent="0.35">
      <c r="A400" s="141" t="s">
        <v>766</v>
      </c>
      <c r="B400" s="141" t="s">
        <v>728</v>
      </c>
      <c r="C400" s="141">
        <v>1893</v>
      </c>
      <c r="D400" s="141" t="s">
        <v>841</v>
      </c>
      <c r="E400" s="141">
        <v>1</v>
      </c>
      <c r="F400" s="142">
        <v>0.56000000000000005</v>
      </c>
      <c r="G400" s="141">
        <v>1</v>
      </c>
      <c r="H400" s="142">
        <v>1</v>
      </c>
      <c r="I400" s="142">
        <v>1</v>
      </c>
      <c r="J400" s="142">
        <v>0.78</v>
      </c>
      <c r="K400" s="155"/>
      <c r="L400" s="141" t="s">
        <v>766</v>
      </c>
      <c r="M400" s="141" t="s">
        <v>728</v>
      </c>
      <c r="N400" s="141">
        <v>1893</v>
      </c>
      <c r="O400" s="141" t="s">
        <v>841</v>
      </c>
      <c r="P400" s="141">
        <v>4</v>
      </c>
      <c r="Q400" s="142">
        <v>0.68292679999999995</v>
      </c>
      <c r="R400" s="142">
        <v>0.49484539999999999</v>
      </c>
      <c r="S400" s="142">
        <v>0.8208955</v>
      </c>
      <c r="T400" s="142">
        <v>0.7241379</v>
      </c>
      <c r="U400" s="142">
        <v>0.63541669999999995</v>
      </c>
      <c r="V400" s="142">
        <v>0.65500000000000003</v>
      </c>
    </row>
    <row r="401" spans="1:22" ht="18.5" x14ac:dyDescent="0.35">
      <c r="A401" s="141" t="s">
        <v>766</v>
      </c>
      <c r="B401" s="141" t="s">
        <v>728</v>
      </c>
      <c r="C401" s="141">
        <v>2118</v>
      </c>
      <c r="D401" s="141" t="s">
        <v>842</v>
      </c>
      <c r="E401" s="141">
        <v>0</v>
      </c>
      <c r="F401" s="142"/>
      <c r="G401" s="141">
        <v>0</v>
      </c>
      <c r="H401" s="142"/>
      <c r="I401" s="142"/>
      <c r="J401" s="142"/>
      <c r="K401" s="155"/>
      <c r="L401" s="141" t="s">
        <v>766</v>
      </c>
      <c r="M401" s="141" t="s">
        <v>728</v>
      </c>
      <c r="N401" s="141">
        <v>2118</v>
      </c>
      <c r="O401" s="141" t="s">
        <v>842</v>
      </c>
      <c r="P401" s="141">
        <v>4</v>
      </c>
      <c r="Q401" s="142">
        <v>0.66279069999999995</v>
      </c>
      <c r="R401" s="142">
        <v>0.61616159999999998</v>
      </c>
      <c r="S401" s="142">
        <v>0.85074629999999996</v>
      </c>
      <c r="T401" s="142">
        <v>0.76315789999999994</v>
      </c>
      <c r="U401" s="142">
        <v>0.85454549999999996</v>
      </c>
      <c r="V401" s="142">
        <v>0.745</v>
      </c>
    </row>
    <row r="402" spans="1:22" ht="18.5" x14ac:dyDescent="0.35">
      <c r="A402" s="141" t="s">
        <v>766</v>
      </c>
      <c r="B402" s="141" t="s">
        <v>728</v>
      </c>
      <c r="C402" s="141">
        <v>2891</v>
      </c>
      <c r="D402" s="141" t="s">
        <v>663</v>
      </c>
      <c r="E402" s="141">
        <v>1</v>
      </c>
      <c r="F402" s="142">
        <v>0.69</v>
      </c>
      <c r="G402" s="141">
        <v>1</v>
      </c>
      <c r="H402" s="142">
        <v>0.83333330000000005</v>
      </c>
      <c r="I402" s="142">
        <v>1</v>
      </c>
      <c r="J402" s="142">
        <v>0.8</v>
      </c>
      <c r="K402" s="155"/>
      <c r="L402" s="141" t="s">
        <v>766</v>
      </c>
      <c r="M402" s="141" t="s">
        <v>728</v>
      </c>
      <c r="N402" s="141">
        <v>2891</v>
      </c>
      <c r="O402" s="141" t="s">
        <v>663</v>
      </c>
      <c r="P402" s="141">
        <v>4</v>
      </c>
      <c r="Q402" s="142">
        <v>0.80597010000000002</v>
      </c>
      <c r="R402" s="142">
        <v>0.57978730000000001</v>
      </c>
      <c r="S402" s="142">
        <v>0.74468080000000003</v>
      </c>
      <c r="T402" s="142">
        <v>0.42857139999999999</v>
      </c>
      <c r="U402" s="142">
        <v>0.7525773</v>
      </c>
      <c r="V402" s="142">
        <v>0.70625000000000004</v>
      </c>
    </row>
    <row r="403" spans="1:22" ht="18.5" x14ac:dyDescent="0.35">
      <c r="A403" s="141" t="s">
        <v>766</v>
      </c>
      <c r="B403" s="141" t="s">
        <v>728</v>
      </c>
      <c r="C403" s="141">
        <v>2893</v>
      </c>
      <c r="D403" s="141" t="s">
        <v>842</v>
      </c>
      <c r="E403" s="141">
        <v>1</v>
      </c>
      <c r="F403" s="142">
        <v>0.69</v>
      </c>
      <c r="G403" s="141">
        <v>1</v>
      </c>
      <c r="H403" s="142">
        <v>0.83333330000000005</v>
      </c>
      <c r="I403" s="142">
        <v>1</v>
      </c>
      <c r="J403" s="142">
        <v>0.8</v>
      </c>
      <c r="K403" s="155"/>
      <c r="L403" s="141" t="s">
        <v>766</v>
      </c>
      <c r="M403" s="141" t="s">
        <v>728</v>
      </c>
      <c r="N403" s="141">
        <v>2893</v>
      </c>
      <c r="O403" s="141" t="s">
        <v>842</v>
      </c>
      <c r="P403" s="141">
        <v>4</v>
      </c>
      <c r="Q403" s="142">
        <v>0.75675680000000001</v>
      </c>
      <c r="R403" s="142">
        <v>0.51428569999999996</v>
      </c>
      <c r="S403" s="142">
        <v>0.84126990000000001</v>
      </c>
      <c r="T403" s="142"/>
      <c r="U403" s="142">
        <v>0.8677686</v>
      </c>
      <c r="V403" s="142">
        <v>0.74</v>
      </c>
    </row>
    <row r="404" spans="1:22" ht="18.5" x14ac:dyDescent="0.35">
      <c r="A404" s="141" t="s">
        <v>766</v>
      </c>
      <c r="B404" s="141" t="s">
        <v>728</v>
      </c>
      <c r="C404" s="141">
        <v>3238</v>
      </c>
      <c r="D404" s="141" t="s">
        <v>841</v>
      </c>
      <c r="E404" s="141">
        <v>1</v>
      </c>
      <c r="F404" s="142">
        <v>0.44</v>
      </c>
      <c r="G404" s="141">
        <v>1</v>
      </c>
      <c r="H404" s="142">
        <v>0.61111110000000002</v>
      </c>
      <c r="I404" s="142">
        <v>0.96739129999999995</v>
      </c>
      <c r="J404" s="142">
        <v>0.60750000000000004</v>
      </c>
      <c r="K404" s="155"/>
      <c r="L404" s="141" t="s">
        <v>766</v>
      </c>
      <c r="M404" s="141" t="s">
        <v>728</v>
      </c>
      <c r="N404" s="141">
        <v>3238</v>
      </c>
      <c r="O404" s="141" t="s">
        <v>841</v>
      </c>
      <c r="P404" s="141">
        <v>4</v>
      </c>
      <c r="Q404" s="142">
        <v>0.50900900000000004</v>
      </c>
      <c r="R404" s="142">
        <v>0.52298849999999997</v>
      </c>
      <c r="S404" s="142">
        <v>1</v>
      </c>
      <c r="T404" s="142">
        <v>0.70588240000000002</v>
      </c>
      <c r="U404" s="142">
        <v>0.47560970000000002</v>
      </c>
      <c r="V404" s="142">
        <v>0.60250000000000004</v>
      </c>
    </row>
    <row r="405" spans="1:22" ht="18.5" x14ac:dyDescent="0.35">
      <c r="A405" s="141" t="s">
        <v>766</v>
      </c>
      <c r="B405" s="141" t="s">
        <v>728</v>
      </c>
      <c r="C405" s="141">
        <v>3239</v>
      </c>
      <c r="D405" s="141" t="s">
        <v>842</v>
      </c>
      <c r="E405" s="141">
        <v>0</v>
      </c>
      <c r="F405" s="142"/>
      <c r="G405" s="141">
        <v>1</v>
      </c>
      <c r="H405" s="142">
        <v>0.5</v>
      </c>
      <c r="I405" s="142">
        <v>0.5</v>
      </c>
      <c r="J405" s="142">
        <v>0.5</v>
      </c>
      <c r="K405" s="155"/>
      <c r="L405" s="141" t="s">
        <v>766</v>
      </c>
      <c r="M405" s="141" t="s">
        <v>728</v>
      </c>
      <c r="N405" s="141">
        <v>3239</v>
      </c>
      <c r="O405" s="141" t="s">
        <v>842</v>
      </c>
      <c r="P405" s="141">
        <v>2</v>
      </c>
      <c r="Q405" s="142">
        <v>5.7142900000000003E-2</v>
      </c>
      <c r="R405" s="142">
        <v>0.16250000000000001</v>
      </c>
      <c r="S405" s="142">
        <v>0</v>
      </c>
      <c r="T405" s="142">
        <v>0.13333329999999999</v>
      </c>
      <c r="U405" s="142">
        <v>0</v>
      </c>
      <c r="V405" s="142">
        <v>7.2499999999999995E-2</v>
      </c>
    </row>
    <row r="406" spans="1:22" ht="18.5" x14ac:dyDescent="0.35">
      <c r="A406" s="141" t="s">
        <v>766</v>
      </c>
      <c r="B406" s="141" t="s">
        <v>728</v>
      </c>
      <c r="C406" s="141">
        <v>3293</v>
      </c>
      <c r="D406" s="141" t="s">
        <v>663</v>
      </c>
      <c r="E406" s="141">
        <v>1</v>
      </c>
      <c r="F406" s="142">
        <v>0.14000000000000001</v>
      </c>
      <c r="G406" s="141">
        <v>1</v>
      </c>
      <c r="H406" s="142">
        <v>0.77777779999999996</v>
      </c>
      <c r="I406" s="142">
        <v>0.95652170000000003</v>
      </c>
      <c r="J406" s="142">
        <v>0.5</v>
      </c>
      <c r="K406" s="155"/>
      <c r="L406" s="141" t="s">
        <v>766</v>
      </c>
      <c r="M406" s="141" t="s">
        <v>728</v>
      </c>
      <c r="N406" s="141">
        <v>3293</v>
      </c>
      <c r="O406" s="141" t="s">
        <v>663</v>
      </c>
      <c r="P406" s="141">
        <v>4</v>
      </c>
      <c r="Q406" s="142">
        <v>0.74193549999999997</v>
      </c>
      <c r="R406" s="142">
        <v>0.66</v>
      </c>
      <c r="S406" s="142">
        <v>0.91666669999999995</v>
      </c>
      <c r="T406" s="142">
        <v>0.4736842</v>
      </c>
      <c r="U406" s="142">
        <v>0.33944960000000002</v>
      </c>
      <c r="V406" s="142">
        <v>0.61250000000000004</v>
      </c>
    </row>
    <row r="407" spans="1:22" ht="18.5" x14ac:dyDescent="0.35">
      <c r="A407" s="141" t="s">
        <v>766</v>
      </c>
      <c r="B407" s="141" t="s">
        <v>728</v>
      </c>
      <c r="C407" s="141">
        <v>3457</v>
      </c>
      <c r="D407" s="141" t="s">
        <v>663</v>
      </c>
      <c r="E407" s="141">
        <v>1</v>
      </c>
      <c r="F407" s="142">
        <v>0.28999999999999998</v>
      </c>
      <c r="G407" s="141">
        <v>1</v>
      </c>
      <c r="H407" s="142">
        <v>0.27777780000000002</v>
      </c>
      <c r="I407" s="142">
        <v>0.51086960000000003</v>
      </c>
      <c r="J407" s="142">
        <v>0.33750000000000002</v>
      </c>
      <c r="K407" s="155"/>
      <c r="L407" s="141" t="s">
        <v>766</v>
      </c>
      <c r="M407" s="141" t="s">
        <v>728</v>
      </c>
      <c r="N407" s="141">
        <v>3457</v>
      </c>
      <c r="O407" s="141" t="s">
        <v>663</v>
      </c>
      <c r="P407" s="141">
        <v>4</v>
      </c>
      <c r="Q407" s="142">
        <v>0.44374999999999998</v>
      </c>
      <c r="R407" s="142">
        <v>0.26136359999999997</v>
      </c>
      <c r="S407" s="142">
        <v>0.125</v>
      </c>
      <c r="T407" s="142">
        <v>3.3333300000000003E-2</v>
      </c>
      <c r="U407" s="142">
        <v>3.2608699999999997E-2</v>
      </c>
      <c r="V407" s="142">
        <v>0.18375</v>
      </c>
    </row>
    <row r="408" spans="1:22" ht="18.5" x14ac:dyDescent="0.35">
      <c r="A408" s="141" t="s">
        <v>766</v>
      </c>
      <c r="B408" s="141" t="s">
        <v>728</v>
      </c>
      <c r="C408" s="141">
        <v>3467</v>
      </c>
      <c r="D408" s="141" t="s">
        <v>663</v>
      </c>
      <c r="E408" s="141">
        <v>0</v>
      </c>
      <c r="F408" s="142"/>
      <c r="G408" s="141">
        <v>1</v>
      </c>
      <c r="H408" s="142">
        <v>0.55555560000000004</v>
      </c>
      <c r="I408" s="142">
        <v>0.55434779999999995</v>
      </c>
      <c r="J408" s="142">
        <v>0.55500000000000005</v>
      </c>
      <c r="K408" s="155"/>
      <c r="L408" s="141" t="s">
        <v>766</v>
      </c>
      <c r="M408" s="141" t="s">
        <v>728</v>
      </c>
      <c r="N408" s="141">
        <v>3467</v>
      </c>
      <c r="O408" s="141" t="s">
        <v>663</v>
      </c>
      <c r="P408" s="141">
        <v>2</v>
      </c>
      <c r="Q408" s="142">
        <v>0.1142857</v>
      </c>
      <c r="R408" s="142">
        <v>0.1829268</v>
      </c>
      <c r="S408" s="142">
        <v>0</v>
      </c>
      <c r="T408" s="142">
        <v>0</v>
      </c>
      <c r="U408" s="142">
        <v>5.1282099999999997E-2</v>
      </c>
      <c r="V408" s="142">
        <v>8.7499999999999994E-2</v>
      </c>
    </row>
    <row r="409" spans="1:22" ht="18.5" x14ac:dyDescent="0.35">
      <c r="A409" s="141" t="s">
        <v>766</v>
      </c>
      <c r="B409" s="141" t="s">
        <v>728</v>
      </c>
      <c r="C409" s="141">
        <v>4097</v>
      </c>
      <c r="D409" s="141" t="s">
        <v>663</v>
      </c>
      <c r="E409" s="141">
        <v>1</v>
      </c>
      <c r="F409" s="142">
        <v>0.37</v>
      </c>
      <c r="G409" s="141">
        <v>1</v>
      </c>
      <c r="H409" s="142">
        <v>0.38888889999999998</v>
      </c>
      <c r="I409" s="142">
        <v>0.53260870000000005</v>
      </c>
      <c r="J409" s="142">
        <v>0.41249999999999998</v>
      </c>
      <c r="K409" s="155"/>
      <c r="L409" s="141" t="s">
        <v>766</v>
      </c>
      <c r="M409" s="141" t="s">
        <v>728</v>
      </c>
      <c r="N409" s="141">
        <v>4097</v>
      </c>
      <c r="O409" s="141" t="s">
        <v>663</v>
      </c>
      <c r="P409" s="141">
        <v>4</v>
      </c>
      <c r="Q409" s="142">
        <v>0.1608696</v>
      </c>
      <c r="R409" s="142">
        <v>2.24719E-2</v>
      </c>
      <c r="S409" s="142">
        <v>0</v>
      </c>
      <c r="T409" s="142">
        <v>2.0833299999999999E-2</v>
      </c>
      <c r="U409" s="142">
        <v>0</v>
      </c>
      <c r="V409" s="142">
        <v>5.3749999999999999E-2</v>
      </c>
    </row>
  </sheetData>
  <autoFilter ref="A3:W507" xr:uid="{00000000-0009-0000-0000-000009000000}"/>
  <mergeCells count="5">
    <mergeCell ref="E2:F2"/>
    <mergeCell ref="G2:I2"/>
    <mergeCell ref="J2:J3"/>
    <mergeCell ref="E1:J1"/>
    <mergeCell ref="Q1:V2"/>
  </mergeCells>
  <conditionalFormatting sqref="C4:C1048576 C1:C2">
    <cfRule type="duplicateValues" dxfId="3" priority="5"/>
  </conditionalFormatting>
  <conditionalFormatting sqref="D3">
    <cfRule type="duplicateValues" dxfId="2" priority="70"/>
  </conditionalFormatting>
  <conditionalFormatting sqref="N1:N2">
    <cfRule type="duplicateValues" dxfId="1" priority="1"/>
  </conditionalFormatting>
  <conditionalFormatting sqref="O3">
    <cfRule type="duplicateValues" dxfId="0" priority="2"/>
  </conditionalFormatting>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filterMode="1">
    <tabColor theme="5" tint="0.39997558519241921"/>
  </sheetPr>
  <dimension ref="A1:AX57"/>
  <sheetViews>
    <sheetView tabSelected="1" topLeftCell="P1" zoomScale="55" zoomScaleNormal="55" workbookViewId="0">
      <pane ySplit="8" topLeftCell="A11" activePane="bottomLeft" state="frozen"/>
      <selection pane="bottomLeft" activeCell="AR44" sqref="AR44"/>
    </sheetView>
  </sheetViews>
  <sheetFormatPr defaultColWidth="20.5" defaultRowHeight="15.5" x14ac:dyDescent="0.35"/>
  <cols>
    <col min="1" max="4" width="20.5" style="143"/>
    <col min="5" max="7" width="20.5" style="78"/>
    <col min="8" max="8" width="20.83203125" style="78" customWidth="1"/>
    <col min="9" max="9" width="6" style="78" customWidth="1"/>
    <col min="10" max="14" width="20.83203125" style="78" customWidth="1"/>
    <col min="15" max="15" width="6" style="78" customWidth="1"/>
    <col min="16" max="18" width="20.5" style="143"/>
    <col min="19" max="28" width="20.5" style="137"/>
    <col min="29" max="29" width="6" style="78" customWidth="1"/>
    <col min="30" max="33" width="20.5" style="143"/>
    <col min="34" max="37" width="20.5" style="137"/>
    <col min="38" max="38" width="5.5" style="78" customWidth="1"/>
    <col min="39" max="39" width="24.83203125" style="143" bestFit="1" customWidth="1"/>
    <col min="40" max="42" width="20.5" style="143"/>
    <col min="43" max="49" width="20.5" style="156"/>
    <col min="50" max="16384" width="20.5" style="78"/>
  </cols>
  <sheetData>
    <row r="1" spans="1:50" s="120" customFormat="1" ht="93.75" customHeight="1" x14ac:dyDescent="0.35">
      <c r="A1" s="306"/>
      <c r="B1" s="306"/>
      <c r="C1" s="306"/>
      <c r="D1" s="306"/>
      <c r="E1" s="388" t="s">
        <v>2453</v>
      </c>
      <c r="F1" s="388"/>
      <c r="G1" s="388"/>
      <c r="H1" s="388"/>
      <c r="J1" s="306"/>
      <c r="K1" s="306"/>
      <c r="L1" s="388" t="s">
        <v>2454</v>
      </c>
      <c r="M1" s="388"/>
      <c r="N1" s="388"/>
      <c r="P1" s="306"/>
      <c r="Q1" s="306"/>
      <c r="R1" s="306"/>
      <c r="S1" s="393" t="s">
        <v>2455</v>
      </c>
      <c r="T1" s="393"/>
      <c r="U1" s="393"/>
      <c r="V1" s="393"/>
      <c r="W1" s="393"/>
      <c r="X1" s="393"/>
      <c r="Y1" s="393"/>
      <c r="Z1" s="393"/>
      <c r="AA1" s="393"/>
      <c r="AB1" s="393"/>
      <c r="AD1" s="306"/>
      <c r="AE1" s="306"/>
      <c r="AF1" s="306"/>
      <c r="AG1" s="306"/>
      <c r="AH1" s="392" t="s">
        <v>2456</v>
      </c>
      <c r="AI1" s="392"/>
      <c r="AJ1" s="392"/>
      <c r="AK1" s="392"/>
      <c r="AM1" s="306"/>
      <c r="AN1" s="313"/>
      <c r="AO1" s="313"/>
      <c r="AP1" s="315"/>
      <c r="AQ1" s="423" t="s">
        <v>2457</v>
      </c>
      <c r="AR1" s="423"/>
      <c r="AS1" s="423"/>
      <c r="AT1" s="423"/>
      <c r="AU1" s="423"/>
      <c r="AV1" s="423"/>
      <c r="AW1" s="423"/>
      <c r="AX1" s="423"/>
    </row>
    <row r="2" spans="1:50" s="120" customFormat="1" ht="27" customHeight="1" x14ac:dyDescent="0.35">
      <c r="A2" s="307"/>
      <c r="B2" s="307"/>
      <c r="C2" s="307"/>
      <c r="D2" s="307"/>
      <c r="E2" s="303"/>
      <c r="F2" s="303"/>
      <c r="G2" s="303"/>
      <c r="H2" s="303"/>
      <c r="J2" s="307"/>
      <c r="K2" s="307"/>
      <c r="L2" s="303"/>
      <c r="M2" s="303"/>
      <c r="N2" s="303"/>
      <c r="P2" s="307"/>
      <c r="Q2" s="307"/>
      <c r="R2" s="307"/>
      <c r="S2" s="393" t="s">
        <v>2458</v>
      </c>
      <c r="T2" s="393"/>
      <c r="U2" s="393"/>
      <c r="V2" s="393"/>
      <c r="W2" s="392" t="s">
        <v>2459</v>
      </c>
      <c r="X2" s="392"/>
      <c r="Y2" s="392"/>
      <c r="Z2" s="392" t="s">
        <v>2460</v>
      </c>
      <c r="AA2" s="392"/>
      <c r="AB2" s="392"/>
      <c r="AD2" s="307"/>
      <c r="AE2" s="307"/>
      <c r="AF2" s="307"/>
      <c r="AG2" s="307"/>
      <c r="AH2" s="392" t="s">
        <v>2461</v>
      </c>
      <c r="AI2" s="392"/>
      <c r="AJ2" s="392" t="s">
        <v>2462</v>
      </c>
      <c r="AK2" s="392"/>
      <c r="AM2" s="307"/>
      <c r="AN2" s="314"/>
      <c r="AO2" s="314"/>
      <c r="AP2" s="316"/>
      <c r="AQ2" s="308"/>
      <c r="AR2" s="308"/>
      <c r="AS2" s="308"/>
      <c r="AT2" s="308"/>
      <c r="AU2" s="308"/>
      <c r="AV2" s="308"/>
      <c r="AW2" s="309"/>
      <c r="AX2" s="309"/>
    </row>
    <row r="3" spans="1:50" s="110" customFormat="1" ht="156" customHeight="1" x14ac:dyDescent="0.35">
      <c r="A3" s="292" t="s">
        <v>699</v>
      </c>
      <c r="B3" s="292" t="s">
        <v>813</v>
      </c>
      <c r="C3" s="299" t="s">
        <v>2434</v>
      </c>
      <c r="D3" s="299" t="s">
        <v>2463</v>
      </c>
      <c r="E3" s="300" t="s">
        <v>2464</v>
      </c>
      <c r="F3" s="300" t="s">
        <v>2465</v>
      </c>
      <c r="G3" s="300" t="s">
        <v>2466</v>
      </c>
      <c r="H3" s="300" t="s">
        <v>2467</v>
      </c>
      <c r="J3" s="292" t="s">
        <v>699</v>
      </c>
      <c r="K3" s="292" t="s">
        <v>813</v>
      </c>
      <c r="L3" s="300" t="s">
        <v>2468</v>
      </c>
      <c r="M3" s="300" t="s">
        <v>2469</v>
      </c>
      <c r="N3" s="300" t="s">
        <v>2470</v>
      </c>
      <c r="P3" s="292" t="s">
        <v>699</v>
      </c>
      <c r="Q3" s="292" t="s">
        <v>813</v>
      </c>
      <c r="R3" s="299" t="s">
        <v>2434</v>
      </c>
      <c r="S3" s="301" t="s">
        <v>2471</v>
      </c>
      <c r="T3" s="301" t="s">
        <v>2472</v>
      </c>
      <c r="U3" s="302" t="s">
        <v>2473</v>
      </c>
      <c r="V3" s="302" t="s">
        <v>2474</v>
      </c>
      <c r="W3" s="301" t="s">
        <v>2475</v>
      </c>
      <c r="X3" s="302" t="s">
        <v>2476</v>
      </c>
      <c r="Y3" s="302" t="s">
        <v>2477</v>
      </c>
      <c r="Z3" s="301" t="s">
        <v>2478</v>
      </c>
      <c r="AA3" s="302" t="s">
        <v>2479</v>
      </c>
      <c r="AB3" s="302" t="s">
        <v>2480</v>
      </c>
      <c r="AD3" s="292" t="s">
        <v>699</v>
      </c>
      <c r="AE3" s="292" t="s">
        <v>813</v>
      </c>
      <c r="AF3" s="299" t="s">
        <v>2434</v>
      </c>
      <c r="AG3" s="299" t="s">
        <v>2481</v>
      </c>
      <c r="AH3" s="301" t="s">
        <v>2482</v>
      </c>
      <c r="AI3" s="301" t="s">
        <v>2483</v>
      </c>
      <c r="AJ3" s="301" t="s">
        <v>2482</v>
      </c>
      <c r="AK3" s="301" t="s">
        <v>2483</v>
      </c>
      <c r="AM3" s="292" t="s">
        <v>699</v>
      </c>
      <c r="AN3" s="299" t="s">
        <v>813</v>
      </c>
      <c r="AO3" s="299" t="s">
        <v>2434</v>
      </c>
      <c r="AP3" s="317" t="s">
        <v>2481</v>
      </c>
      <c r="AQ3" s="310" t="s">
        <v>510</v>
      </c>
      <c r="AR3" s="310" t="s">
        <v>514</v>
      </c>
      <c r="AS3" s="310" t="s">
        <v>517</v>
      </c>
      <c r="AT3" s="310" t="s">
        <v>520</v>
      </c>
      <c r="AU3" s="310" t="s">
        <v>523</v>
      </c>
      <c r="AV3" s="310" t="s">
        <v>526</v>
      </c>
      <c r="AW3" s="310" t="s">
        <v>529</v>
      </c>
      <c r="AX3" s="311" t="s">
        <v>2488</v>
      </c>
    </row>
    <row r="4" spans="1:50" s="191" customFormat="1" ht="18.75" hidden="1" customHeight="1" x14ac:dyDescent="0.35">
      <c r="A4" s="227" t="s">
        <v>767</v>
      </c>
      <c r="B4" s="227"/>
      <c r="C4" s="227"/>
      <c r="D4" s="227"/>
      <c r="E4" s="228"/>
      <c r="F4" s="228"/>
      <c r="G4" s="228"/>
      <c r="H4" s="228"/>
      <c r="J4" s="227" t="s">
        <v>767</v>
      </c>
      <c r="K4" s="227"/>
      <c r="L4" s="228"/>
      <c r="M4" s="228"/>
      <c r="N4" s="228"/>
      <c r="P4" s="227" t="s">
        <v>767</v>
      </c>
      <c r="Q4" s="227"/>
      <c r="R4" s="227"/>
      <c r="S4" s="228"/>
      <c r="T4" s="228"/>
      <c r="U4" s="228"/>
      <c r="V4" s="228"/>
      <c r="W4" s="228"/>
      <c r="X4" s="228"/>
      <c r="Y4" s="228"/>
      <c r="Z4" s="228"/>
      <c r="AA4" s="228"/>
      <c r="AB4" s="228"/>
      <c r="AD4" s="227" t="s">
        <v>767</v>
      </c>
      <c r="AE4" s="227"/>
      <c r="AF4" s="227"/>
      <c r="AG4" s="227"/>
      <c r="AH4" s="228"/>
      <c r="AI4" s="228"/>
      <c r="AJ4" s="228"/>
      <c r="AK4" s="228"/>
      <c r="AM4" s="227" t="s">
        <v>767</v>
      </c>
      <c r="AN4" s="227"/>
      <c r="AO4" s="227"/>
      <c r="AP4" s="227"/>
      <c r="AQ4" s="229"/>
      <c r="AR4" s="229"/>
      <c r="AS4" s="229"/>
      <c r="AT4" s="229"/>
      <c r="AU4" s="229"/>
      <c r="AV4" s="229"/>
      <c r="AW4" s="229"/>
    </row>
    <row r="5" spans="1:50" s="191" customFormat="1" ht="18.75" hidden="1" customHeight="1" x14ac:dyDescent="0.35">
      <c r="A5" s="230" t="s">
        <v>790</v>
      </c>
      <c r="B5" s="227"/>
      <c r="C5" s="227"/>
      <c r="D5" s="227"/>
      <c r="E5" s="228">
        <f>AVERAGE(E10:E100)</f>
        <v>0.93641376764705886</v>
      </c>
      <c r="F5" s="228">
        <f t="shared" ref="F5:H5" si="0">AVERAGE(F10:F100)</f>
        <v>0.94044953235294138</v>
      </c>
      <c r="G5" s="228">
        <f t="shared" si="0"/>
        <v>0.93813641764705891</v>
      </c>
      <c r="H5" s="228">
        <f t="shared" si="0"/>
        <v>0.30858492058823528</v>
      </c>
      <c r="J5" s="230" t="s">
        <v>790</v>
      </c>
      <c r="K5" s="227"/>
      <c r="L5" s="228"/>
      <c r="M5" s="228"/>
      <c r="N5" s="228"/>
      <c r="O5" s="228"/>
      <c r="P5" s="230" t="s">
        <v>790</v>
      </c>
      <c r="Q5" s="227"/>
      <c r="R5" s="227"/>
      <c r="S5" s="228">
        <f>AVERAGE(S10:S100)</f>
        <v>0.38985523571428565</v>
      </c>
      <c r="T5" s="228">
        <f t="shared" ref="T5:AB5" si="1">AVERAGE(T10:T100)</f>
        <v>0.58471539705882369</v>
      </c>
      <c r="U5" s="228">
        <f t="shared" si="1"/>
        <v>0.97414455238095266</v>
      </c>
      <c r="V5" s="228">
        <f t="shared" si="1"/>
        <v>0.75063130476190465</v>
      </c>
      <c r="W5" s="228">
        <f t="shared" si="1"/>
        <v>0.31091428809523824</v>
      </c>
      <c r="X5" s="228">
        <f t="shared" si="1"/>
        <v>0.75</v>
      </c>
      <c r="Y5" s="228">
        <f t="shared" si="1"/>
        <v>0.61904761904761907</v>
      </c>
      <c r="Z5" s="228">
        <f t="shared" si="1"/>
        <v>0.51150903529411773</v>
      </c>
      <c r="AA5" s="228">
        <f t="shared" si="1"/>
        <v>0.98011363529411777</v>
      </c>
      <c r="AB5" s="228">
        <f t="shared" si="1"/>
        <v>0.94981325882352952</v>
      </c>
      <c r="AD5" s="230" t="s">
        <v>790</v>
      </c>
      <c r="AE5" s="227"/>
      <c r="AF5" s="227"/>
      <c r="AG5" s="227"/>
      <c r="AH5" s="228">
        <f t="shared" ref="AH5:AK5" si="2">AVERAGE(AH10:AH100)</f>
        <v>0.19243697352941178</v>
      </c>
      <c r="AI5" s="228">
        <f t="shared" si="2"/>
        <v>8.9556275757575743E-2</v>
      </c>
      <c r="AJ5" s="228">
        <f t="shared" si="2"/>
        <v>5.5388558823529421E-3</v>
      </c>
      <c r="AK5" s="228">
        <f t="shared" si="2"/>
        <v>0.25291411875000003</v>
      </c>
      <c r="AM5" s="424" t="s">
        <v>2868</v>
      </c>
      <c r="AN5" s="227"/>
      <c r="AO5" s="227"/>
      <c r="AP5" s="227"/>
      <c r="AQ5" s="426">
        <f t="shared" ref="AQ5:AX5" si="3">AVERAGE(AQ10:AQ51)</f>
        <v>1.9817440439673031</v>
      </c>
      <c r="AR5" s="426">
        <f t="shared" si="3"/>
        <v>3.265951451133279</v>
      </c>
      <c r="AS5" s="426">
        <f t="shared" si="3"/>
        <v>3.1125837073606601</v>
      </c>
      <c r="AT5" s="426">
        <f t="shared" si="3"/>
        <v>2.9974642641404095</v>
      </c>
      <c r="AU5" s="426">
        <f t="shared" si="3"/>
        <v>2.6131053812363567</v>
      </c>
      <c r="AV5" s="426">
        <f t="shared" si="3"/>
        <v>3.0076062679290776</v>
      </c>
      <c r="AW5" s="426">
        <f t="shared" si="3"/>
        <v>3.2838223190868603</v>
      </c>
      <c r="AX5" s="426">
        <f t="shared" si="3"/>
        <v>3.0595418529411753</v>
      </c>
    </row>
    <row r="6" spans="1:50" s="191" customFormat="1" ht="18.75" hidden="1" customHeight="1" x14ac:dyDescent="0.35">
      <c r="A6" s="230" t="s">
        <v>791</v>
      </c>
      <c r="B6" s="227"/>
      <c r="C6" s="227"/>
      <c r="D6" s="227"/>
      <c r="E6" s="228">
        <f>MEDIAN(E10:E100)</f>
        <v>1</v>
      </c>
      <c r="F6" s="228">
        <f t="shared" ref="F6:H6" si="4">MEDIAN(F10:F100)</f>
        <v>1</v>
      </c>
      <c r="G6" s="228">
        <f t="shared" si="4"/>
        <v>1</v>
      </c>
      <c r="H6" s="228">
        <f t="shared" si="4"/>
        <v>9.4602249999999999E-2</v>
      </c>
      <c r="J6" s="230" t="s">
        <v>791</v>
      </c>
      <c r="K6" s="227"/>
      <c r="L6" s="228"/>
      <c r="M6" s="228"/>
      <c r="N6" s="228"/>
      <c r="O6" s="228"/>
      <c r="P6" s="230" t="s">
        <v>791</v>
      </c>
      <c r="Q6" s="227"/>
      <c r="R6" s="227"/>
      <c r="S6" s="228">
        <f>MEDIAN(S10:S100)</f>
        <v>0.3953604</v>
      </c>
      <c r="T6" s="228">
        <f t="shared" ref="T6:AB6" si="5">MEDIAN(T10:T100)</f>
        <v>0.59740260000000001</v>
      </c>
      <c r="U6" s="228">
        <f t="shared" si="5"/>
        <v>0.98266664999999997</v>
      </c>
      <c r="V6" s="228">
        <f t="shared" si="5"/>
        <v>0.73863634999999994</v>
      </c>
      <c r="W6" s="228">
        <f t="shared" si="5"/>
        <v>0.4</v>
      </c>
      <c r="X6" s="228">
        <f t="shared" si="5"/>
        <v>1</v>
      </c>
      <c r="Y6" s="228">
        <f t="shared" si="5"/>
        <v>1</v>
      </c>
      <c r="Z6" s="228">
        <f t="shared" si="5"/>
        <v>0.51825110000000008</v>
      </c>
      <c r="AA6" s="228">
        <f t="shared" si="5"/>
        <v>1</v>
      </c>
      <c r="AB6" s="228">
        <f t="shared" si="5"/>
        <v>1</v>
      </c>
      <c r="AD6" s="230" t="s">
        <v>791</v>
      </c>
      <c r="AE6" s="227"/>
      <c r="AF6" s="227"/>
      <c r="AG6" s="227"/>
      <c r="AH6" s="228">
        <f t="shared" ref="AH6:AK6" si="6">MEDIAN(AH10:AH100)</f>
        <v>0.17142855000000001</v>
      </c>
      <c r="AI6" s="228">
        <f t="shared" si="6"/>
        <v>0</v>
      </c>
      <c r="AJ6" s="228">
        <f t="shared" si="6"/>
        <v>0</v>
      </c>
      <c r="AK6" s="228">
        <f t="shared" si="6"/>
        <v>0.23411304999999999</v>
      </c>
      <c r="AM6" s="424"/>
      <c r="AN6" s="227"/>
      <c r="AO6" s="227"/>
      <c r="AP6" s="227"/>
      <c r="AQ6" s="426"/>
      <c r="AR6" s="426"/>
      <c r="AS6" s="426"/>
      <c r="AT6" s="426"/>
      <c r="AU6" s="426"/>
      <c r="AV6" s="426"/>
      <c r="AW6" s="426"/>
      <c r="AX6" s="426"/>
    </row>
    <row r="7" spans="1:50" s="191" customFormat="1" ht="18.75" hidden="1" customHeight="1" x14ac:dyDescent="0.35">
      <c r="A7" s="230" t="s">
        <v>2484</v>
      </c>
      <c r="B7" s="227"/>
      <c r="C7" s="227"/>
      <c r="D7" s="227"/>
      <c r="E7" s="228">
        <f>MIN(E10:E100)</f>
        <v>0.61363639999999997</v>
      </c>
      <c r="F7" s="228">
        <f t="shared" ref="F7:H7" si="7">MIN(F10:F100)</f>
        <v>0.61363639999999997</v>
      </c>
      <c r="G7" s="228">
        <f t="shared" si="7"/>
        <v>0.65909090000000004</v>
      </c>
      <c r="H7" s="228">
        <f t="shared" si="7"/>
        <v>0</v>
      </c>
      <c r="J7" s="230" t="s">
        <v>2484</v>
      </c>
      <c r="K7" s="227"/>
      <c r="L7" s="228"/>
      <c r="M7" s="228"/>
      <c r="N7" s="228"/>
      <c r="O7" s="228"/>
      <c r="P7" s="230" t="s">
        <v>2484</v>
      </c>
      <c r="Q7" s="227"/>
      <c r="R7" s="227"/>
      <c r="S7" s="228">
        <f>MIN(S10:S100)</f>
        <v>0.3566667</v>
      </c>
      <c r="T7" s="228">
        <f t="shared" ref="T7:AB7" si="8">MIN(T10:T100)</f>
        <v>0.48917749999999999</v>
      </c>
      <c r="U7" s="228">
        <f t="shared" si="8"/>
        <v>0.88793460000000002</v>
      </c>
      <c r="V7" s="228">
        <f t="shared" si="8"/>
        <v>0.27272730000000001</v>
      </c>
      <c r="W7" s="228">
        <f t="shared" si="8"/>
        <v>0</v>
      </c>
      <c r="X7" s="228">
        <f t="shared" si="8"/>
        <v>0</v>
      </c>
      <c r="Y7" s="228">
        <f t="shared" si="8"/>
        <v>0</v>
      </c>
      <c r="Z7" s="228">
        <f t="shared" si="8"/>
        <v>0.38005050000000001</v>
      </c>
      <c r="AA7" s="228">
        <f t="shared" si="8"/>
        <v>0.875</v>
      </c>
      <c r="AB7" s="228">
        <f t="shared" si="8"/>
        <v>0.66666669999999995</v>
      </c>
      <c r="AD7" s="230" t="s">
        <v>2484</v>
      </c>
      <c r="AE7" s="227"/>
      <c r="AF7" s="227"/>
      <c r="AG7" s="227"/>
      <c r="AH7" s="228">
        <f t="shared" ref="AH7:AK7" si="9">MIN(AH10:AH100)</f>
        <v>0</v>
      </c>
      <c r="AI7" s="228">
        <f t="shared" si="9"/>
        <v>0</v>
      </c>
      <c r="AJ7" s="228">
        <f t="shared" si="9"/>
        <v>0</v>
      </c>
      <c r="AK7" s="228">
        <f t="shared" si="9"/>
        <v>2.7777799999999998E-2</v>
      </c>
      <c r="AM7" s="424"/>
      <c r="AN7" s="227"/>
      <c r="AO7" s="227"/>
      <c r="AP7" s="227"/>
      <c r="AQ7" s="426"/>
      <c r="AR7" s="426"/>
      <c r="AS7" s="426"/>
      <c r="AT7" s="426"/>
      <c r="AU7" s="426"/>
      <c r="AV7" s="426"/>
      <c r="AW7" s="426"/>
      <c r="AX7" s="426"/>
    </row>
    <row r="8" spans="1:50" s="191" customFormat="1" ht="18.75" hidden="1" customHeight="1" x14ac:dyDescent="0.35">
      <c r="A8" s="231" t="s">
        <v>2485</v>
      </c>
      <c r="B8" s="193"/>
      <c r="C8" s="193"/>
      <c r="D8" s="193"/>
      <c r="E8" s="192">
        <f>MAX(E10:E100)</f>
        <v>1</v>
      </c>
      <c r="F8" s="192">
        <f t="shared" ref="F8:H8" si="10">MAX(F10:F100)</f>
        <v>1</v>
      </c>
      <c r="G8" s="192">
        <f t="shared" si="10"/>
        <v>1</v>
      </c>
      <c r="H8" s="192">
        <f t="shared" si="10"/>
        <v>1</v>
      </c>
      <c r="J8" s="231" t="s">
        <v>2485</v>
      </c>
      <c r="K8" s="193"/>
      <c r="L8" s="192"/>
      <c r="M8" s="192"/>
      <c r="N8" s="192"/>
      <c r="O8" s="192"/>
      <c r="P8" s="231" t="s">
        <v>2485</v>
      </c>
      <c r="Q8" s="193"/>
      <c r="R8" s="193"/>
      <c r="S8" s="192">
        <f>MAX(S10:S100)</f>
        <v>0.4</v>
      </c>
      <c r="T8" s="192">
        <f t="shared" ref="T8:AB8" si="11">MAX(T10:T100)</f>
        <v>0.6</v>
      </c>
      <c r="U8" s="192">
        <f t="shared" si="11"/>
        <v>1</v>
      </c>
      <c r="V8" s="192">
        <f t="shared" si="11"/>
        <v>1</v>
      </c>
      <c r="W8" s="192">
        <f t="shared" si="11"/>
        <v>0.4</v>
      </c>
      <c r="X8" s="192">
        <f t="shared" si="11"/>
        <v>1</v>
      </c>
      <c r="Y8" s="192">
        <f t="shared" si="11"/>
        <v>1</v>
      </c>
      <c r="Z8" s="192">
        <f t="shared" si="11"/>
        <v>0.63459600000000005</v>
      </c>
      <c r="AA8" s="192">
        <f t="shared" si="11"/>
        <v>1</v>
      </c>
      <c r="AB8" s="192">
        <f t="shared" si="11"/>
        <v>1</v>
      </c>
      <c r="AD8" s="231" t="s">
        <v>2485</v>
      </c>
      <c r="AE8" s="193"/>
      <c r="AF8" s="193"/>
      <c r="AG8" s="193"/>
      <c r="AH8" s="192">
        <f t="shared" ref="AH8:AK8" si="12">MAX(AH10:AH100)</f>
        <v>1</v>
      </c>
      <c r="AI8" s="192">
        <f t="shared" si="12"/>
        <v>0.83333330000000005</v>
      </c>
      <c r="AJ8" s="192">
        <f t="shared" si="12"/>
        <v>0.1114719</v>
      </c>
      <c r="AK8" s="192">
        <f t="shared" si="12"/>
        <v>0.49749130000000003</v>
      </c>
      <c r="AM8" s="425"/>
      <c r="AN8" s="193"/>
      <c r="AO8" s="193"/>
      <c r="AP8" s="193"/>
      <c r="AQ8" s="426"/>
      <c r="AR8" s="426"/>
      <c r="AS8" s="426"/>
      <c r="AT8" s="426"/>
      <c r="AU8" s="426"/>
      <c r="AV8" s="426"/>
      <c r="AW8" s="426"/>
      <c r="AX8" s="426"/>
    </row>
    <row r="9" spans="1:50" hidden="1" x14ac:dyDescent="0.35">
      <c r="A9" s="143" t="s">
        <v>2793</v>
      </c>
      <c r="B9" s="143" t="s">
        <v>2794</v>
      </c>
      <c r="C9" s="143" t="s">
        <v>2853</v>
      </c>
      <c r="D9" s="143" t="s">
        <v>2797</v>
      </c>
      <c r="E9" s="137" t="s">
        <v>2798</v>
      </c>
      <c r="F9" s="137" t="s">
        <v>2799</v>
      </c>
      <c r="G9" s="137" t="s">
        <v>2800</v>
      </c>
      <c r="H9" s="137" t="s">
        <v>2801</v>
      </c>
      <c r="I9" s="78" t="s">
        <v>2854</v>
      </c>
      <c r="J9" s="143" t="s">
        <v>2855</v>
      </c>
      <c r="K9" s="143" t="s">
        <v>2856</v>
      </c>
      <c r="L9" s="137" t="s">
        <v>2857</v>
      </c>
      <c r="M9" s="137" t="s">
        <v>2858</v>
      </c>
      <c r="N9" s="137" t="s">
        <v>2859</v>
      </c>
      <c r="O9" s="78" t="s">
        <v>2802</v>
      </c>
      <c r="P9" s="143" t="s">
        <v>2803</v>
      </c>
      <c r="Q9" s="143" t="s">
        <v>2804</v>
      </c>
      <c r="R9" s="143" t="s">
        <v>2860</v>
      </c>
      <c r="S9" s="137" t="s">
        <v>2807</v>
      </c>
      <c r="T9" s="137" t="s">
        <v>2808</v>
      </c>
      <c r="U9" s="137" t="s">
        <v>2809</v>
      </c>
      <c r="V9" s="137" t="s">
        <v>2810</v>
      </c>
      <c r="W9" s="137" t="s">
        <v>2861</v>
      </c>
      <c r="X9" s="137" t="s">
        <v>2862</v>
      </c>
      <c r="Y9" s="137" t="s">
        <v>2863</v>
      </c>
      <c r="Z9" s="137" t="s">
        <v>2811</v>
      </c>
      <c r="AA9" s="137" t="s">
        <v>2812</v>
      </c>
      <c r="AB9" s="137" t="s">
        <v>2813</v>
      </c>
      <c r="AC9" s="78" t="s">
        <v>2814</v>
      </c>
      <c r="AD9" s="143" t="s">
        <v>2815</v>
      </c>
      <c r="AE9" s="143" t="s">
        <v>2816</v>
      </c>
      <c r="AF9" s="143" t="s">
        <v>2864</v>
      </c>
      <c r="AG9" s="143" t="s">
        <v>2819</v>
      </c>
      <c r="AH9" s="137" t="s">
        <v>2820</v>
      </c>
      <c r="AI9" s="137" t="s">
        <v>2821</v>
      </c>
      <c r="AJ9" s="137" t="s">
        <v>2822</v>
      </c>
      <c r="AK9" s="137" t="s">
        <v>2823</v>
      </c>
      <c r="AL9" s="78" t="s">
        <v>2824</v>
      </c>
      <c r="AM9" s="143" t="s">
        <v>2825</v>
      </c>
      <c r="AN9" s="143" t="s">
        <v>2826</v>
      </c>
      <c r="AO9" s="143" t="s">
        <v>2865</v>
      </c>
      <c r="AP9" s="143" t="s">
        <v>2829</v>
      </c>
      <c r="AQ9" s="156" t="s">
        <v>2830</v>
      </c>
      <c r="AR9" s="156" t="s">
        <v>2831</v>
      </c>
      <c r="AS9" s="156" t="s">
        <v>2832</v>
      </c>
      <c r="AT9" s="156" t="s">
        <v>2833</v>
      </c>
      <c r="AU9" s="156" t="s">
        <v>2834</v>
      </c>
      <c r="AV9" s="156" t="s">
        <v>2835</v>
      </c>
      <c r="AW9" s="156" t="s">
        <v>2836</v>
      </c>
      <c r="AX9" s="78" t="s">
        <v>2837</v>
      </c>
    </row>
    <row r="10" spans="1:50" hidden="1" x14ac:dyDescent="0.35">
      <c r="A10" s="143" t="s">
        <v>719</v>
      </c>
      <c r="B10" s="143" t="s">
        <v>720</v>
      </c>
      <c r="C10" s="143">
        <v>16</v>
      </c>
      <c r="D10" s="143">
        <v>54</v>
      </c>
      <c r="E10" s="137">
        <v>1</v>
      </c>
      <c r="F10" s="137">
        <v>1</v>
      </c>
      <c r="G10" s="137">
        <v>1</v>
      </c>
      <c r="H10" s="137">
        <v>0.51354160000000004</v>
      </c>
      <c r="J10" s="143" t="s">
        <v>719</v>
      </c>
      <c r="K10" s="143" t="s">
        <v>720</v>
      </c>
      <c r="L10" s="137" t="s">
        <v>2486</v>
      </c>
      <c r="M10" s="137" t="s">
        <v>2486</v>
      </c>
      <c r="N10" s="137" t="s">
        <v>2486</v>
      </c>
      <c r="P10" s="143" t="s">
        <v>719</v>
      </c>
      <c r="Q10" s="143" t="s">
        <v>720</v>
      </c>
      <c r="R10" s="143">
        <v>16</v>
      </c>
      <c r="S10" s="137">
        <v>0.39952379999999998</v>
      </c>
      <c r="T10" s="137">
        <v>0.56190479999999998</v>
      </c>
      <c r="U10" s="137">
        <v>0.96142859999999997</v>
      </c>
      <c r="V10" s="137">
        <v>0.9375</v>
      </c>
      <c r="W10" s="137">
        <v>0.4</v>
      </c>
      <c r="X10" s="137">
        <v>1</v>
      </c>
      <c r="Y10" s="137">
        <v>1</v>
      </c>
      <c r="Z10" s="137">
        <v>0.59055170000000001</v>
      </c>
      <c r="AA10" s="137">
        <v>0.9375</v>
      </c>
      <c r="AB10" s="137">
        <v>1</v>
      </c>
      <c r="AD10" s="143" t="s">
        <v>719</v>
      </c>
      <c r="AE10" s="143" t="s">
        <v>720</v>
      </c>
      <c r="AF10" s="143">
        <v>16</v>
      </c>
      <c r="AG10" s="143">
        <v>20</v>
      </c>
      <c r="AH10" s="137">
        <v>0</v>
      </c>
      <c r="AI10" s="137">
        <v>0.2</v>
      </c>
      <c r="AJ10" s="137">
        <v>0</v>
      </c>
      <c r="AK10" s="137">
        <v>0.46784360000000003</v>
      </c>
      <c r="AM10" s="143" t="s">
        <v>719</v>
      </c>
      <c r="AN10" s="143" t="s">
        <v>720</v>
      </c>
      <c r="AO10" s="143">
        <v>16</v>
      </c>
      <c r="AP10" s="143">
        <v>54</v>
      </c>
      <c r="AQ10" s="156">
        <v>1.83541667461395</v>
      </c>
      <c r="AR10" s="156">
        <v>3.3760416507720898</v>
      </c>
      <c r="AS10" s="156">
        <v>3.2385416030883798</v>
      </c>
      <c r="AT10" s="156">
        <v>2.9510416984558101</v>
      </c>
      <c r="AU10" s="156">
        <v>2.3916666507720898</v>
      </c>
      <c r="AV10" s="156">
        <v>2.9031250476837198</v>
      </c>
      <c r="AW10" s="156">
        <v>3.3072917461395299</v>
      </c>
      <c r="AX10" s="156">
        <v>3.0501490000000002</v>
      </c>
    </row>
    <row r="11" spans="1:50" x14ac:dyDescent="0.35">
      <c r="A11" s="143" t="s">
        <v>2839</v>
      </c>
      <c r="B11" s="143" t="s">
        <v>759</v>
      </c>
      <c r="C11" s="143">
        <v>7</v>
      </c>
      <c r="E11" s="137">
        <v>0.83333330000000005</v>
      </c>
      <c r="F11" s="137">
        <v>0.83333330000000005</v>
      </c>
      <c r="G11" s="137"/>
      <c r="H11" s="137"/>
      <c r="J11" s="143" t="s">
        <v>2839</v>
      </c>
      <c r="K11" s="143" t="s">
        <v>759</v>
      </c>
      <c r="L11" s="137" t="s">
        <v>2487</v>
      </c>
      <c r="M11" s="137" t="s">
        <v>2487</v>
      </c>
      <c r="N11" s="137"/>
      <c r="P11" s="143" t="s">
        <v>2839</v>
      </c>
      <c r="Q11" s="143" t="s">
        <v>759</v>
      </c>
      <c r="R11" s="143">
        <v>7</v>
      </c>
      <c r="S11" s="137">
        <v>0.37687159999999997</v>
      </c>
      <c r="U11" s="137">
        <v>0.94217899999999999</v>
      </c>
      <c r="V11" s="137">
        <v>0.63636360000000003</v>
      </c>
      <c r="W11" s="137">
        <v>0.08</v>
      </c>
      <c r="X11" s="137">
        <v>0.2</v>
      </c>
      <c r="Y11" s="137">
        <v>0</v>
      </c>
      <c r="AD11" s="143" t="s">
        <v>2839</v>
      </c>
      <c r="AE11" s="143" t="s">
        <v>759</v>
      </c>
      <c r="AF11" s="143">
        <v>7</v>
      </c>
      <c r="AM11" s="143" t="s">
        <v>2839</v>
      </c>
      <c r="AN11" s="143" t="s">
        <v>759</v>
      </c>
      <c r="AO11" s="143">
        <v>7</v>
      </c>
      <c r="AP11" s="143">
        <v>40</v>
      </c>
      <c r="AX11" s="156"/>
    </row>
    <row r="12" spans="1:50" x14ac:dyDescent="0.35">
      <c r="A12" s="143" t="s">
        <v>2840</v>
      </c>
      <c r="B12" s="143" t="s">
        <v>722</v>
      </c>
      <c r="C12" s="143">
        <v>4</v>
      </c>
      <c r="D12" s="143">
        <v>40</v>
      </c>
      <c r="E12" s="137"/>
      <c r="F12" s="137"/>
      <c r="G12" s="137">
        <v>0.72272729999999996</v>
      </c>
      <c r="H12" s="137">
        <v>0.4393939</v>
      </c>
      <c r="J12" s="143" t="s">
        <v>2840</v>
      </c>
      <c r="K12" s="143" t="s">
        <v>722</v>
      </c>
      <c r="L12" s="137"/>
      <c r="M12" s="137" t="s">
        <v>2838</v>
      </c>
      <c r="N12" s="137" t="s">
        <v>2487</v>
      </c>
      <c r="P12" s="143" t="s">
        <v>2840</v>
      </c>
      <c r="Q12" s="143" t="s">
        <v>722</v>
      </c>
      <c r="R12" s="143">
        <v>4</v>
      </c>
      <c r="S12" s="137">
        <v>0.3950361</v>
      </c>
      <c r="T12" s="137">
        <v>0.56926410000000005</v>
      </c>
      <c r="U12" s="137">
        <v>0.96430020000000005</v>
      </c>
      <c r="V12" s="137">
        <v>0.72727269999999999</v>
      </c>
      <c r="W12" s="137">
        <v>0.2656</v>
      </c>
      <c r="X12" s="137">
        <v>0.6</v>
      </c>
      <c r="Y12" s="137">
        <v>0</v>
      </c>
      <c r="Z12" s="137">
        <v>0.58238639999999997</v>
      </c>
      <c r="AA12" s="137">
        <v>0.90909090000000004</v>
      </c>
      <c r="AB12" s="137">
        <v>1</v>
      </c>
      <c r="AD12" s="143" t="s">
        <v>2840</v>
      </c>
      <c r="AE12" s="143" t="s">
        <v>722</v>
      </c>
      <c r="AF12" s="143">
        <v>4</v>
      </c>
      <c r="AG12" s="143">
        <v>20</v>
      </c>
      <c r="AH12" s="137">
        <v>0.25</v>
      </c>
      <c r="AI12" s="137">
        <v>0</v>
      </c>
      <c r="AJ12" s="137">
        <v>0</v>
      </c>
      <c r="AK12" s="137">
        <v>0.21291669999999999</v>
      </c>
      <c r="AM12" s="143" t="s">
        <v>2840</v>
      </c>
      <c r="AN12" s="143" t="s">
        <v>722</v>
      </c>
      <c r="AO12" s="143">
        <v>4</v>
      </c>
      <c r="AP12" s="143">
        <v>40</v>
      </c>
      <c r="AQ12" s="156">
        <v>1.52575755119324</v>
      </c>
      <c r="AR12" s="156">
        <v>3.1969697475433301</v>
      </c>
      <c r="AS12" s="156">
        <v>3.1863636970520002</v>
      </c>
      <c r="AT12" s="156">
        <v>3.2848484516143799</v>
      </c>
      <c r="AU12" s="156">
        <v>2.4424242973327601</v>
      </c>
      <c r="AV12" s="156">
        <v>2.72727274894714</v>
      </c>
      <c r="AW12" s="156">
        <v>3.2848484516143799</v>
      </c>
      <c r="AX12" s="156">
        <v>3.0852810000000002</v>
      </c>
    </row>
    <row r="13" spans="1:50" hidden="1" x14ac:dyDescent="0.35">
      <c r="A13" s="143" t="s">
        <v>723</v>
      </c>
      <c r="B13" s="143" t="s">
        <v>720</v>
      </c>
      <c r="C13" s="143">
        <v>12</v>
      </c>
      <c r="D13" s="143">
        <v>32</v>
      </c>
      <c r="E13" s="137">
        <v>1</v>
      </c>
      <c r="F13" s="137">
        <v>1</v>
      </c>
      <c r="G13" s="137">
        <v>1</v>
      </c>
      <c r="H13" s="137">
        <v>0.4895833</v>
      </c>
      <c r="J13" s="143" t="s">
        <v>723</v>
      </c>
      <c r="K13" s="143" t="s">
        <v>720</v>
      </c>
      <c r="L13" s="137" t="s">
        <v>2486</v>
      </c>
      <c r="M13" s="137" t="s">
        <v>2486</v>
      </c>
      <c r="N13" s="137" t="s">
        <v>2486</v>
      </c>
      <c r="P13" s="143" t="s">
        <v>723</v>
      </c>
      <c r="Q13" s="143" t="s">
        <v>720</v>
      </c>
      <c r="R13" s="143">
        <v>12</v>
      </c>
      <c r="S13" s="137">
        <v>0.3566667</v>
      </c>
      <c r="T13" s="137">
        <v>0.6</v>
      </c>
      <c r="U13" s="137">
        <v>0.95666660000000003</v>
      </c>
      <c r="V13" s="137">
        <v>0.58333330000000005</v>
      </c>
      <c r="W13" s="137">
        <v>0.36399999999999999</v>
      </c>
      <c r="X13" s="137">
        <v>0.75</v>
      </c>
      <c r="Y13" s="137">
        <v>0</v>
      </c>
      <c r="Z13" s="137">
        <v>0.59182820000000003</v>
      </c>
      <c r="AA13" s="137">
        <v>1</v>
      </c>
      <c r="AB13" s="137">
        <v>1</v>
      </c>
      <c r="AD13" s="143" t="s">
        <v>723</v>
      </c>
      <c r="AE13" s="143" t="s">
        <v>720</v>
      </c>
      <c r="AF13" s="143">
        <v>12</v>
      </c>
      <c r="AG13" s="143">
        <v>8</v>
      </c>
      <c r="AH13" s="137">
        <v>0.25</v>
      </c>
      <c r="AI13" s="137">
        <v>0</v>
      </c>
      <c r="AJ13" s="137">
        <v>0</v>
      </c>
      <c r="AM13" s="143" t="s">
        <v>723</v>
      </c>
      <c r="AN13" s="143" t="s">
        <v>720</v>
      </c>
      <c r="AO13" s="143">
        <v>12</v>
      </c>
      <c r="AP13" s="143">
        <v>32</v>
      </c>
      <c r="AQ13" s="156">
        <v>1.71527779102325</v>
      </c>
      <c r="AR13" s="156">
        <v>3.2916667461395299</v>
      </c>
      <c r="AS13" s="156">
        <v>3.1006944179534899</v>
      </c>
      <c r="AT13" s="156">
        <v>3.0833332538604701</v>
      </c>
      <c r="AU13" s="156">
        <v>2.6458332538604701</v>
      </c>
      <c r="AV13" s="156">
        <v>3.1493055820465101</v>
      </c>
      <c r="AW13" s="156">
        <v>3.25</v>
      </c>
      <c r="AX13" s="156">
        <v>3.1150790000000002</v>
      </c>
    </row>
    <row r="14" spans="1:50" hidden="1" x14ac:dyDescent="0.35">
      <c r="A14" s="143" t="s">
        <v>724</v>
      </c>
      <c r="B14" s="143" t="s">
        <v>725</v>
      </c>
      <c r="C14" s="143">
        <v>16</v>
      </c>
      <c r="D14" s="143">
        <v>43</v>
      </c>
      <c r="E14" s="137">
        <v>1</v>
      </c>
      <c r="F14" s="137">
        <v>0.984375</v>
      </c>
      <c r="G14" s="137">
        <v>1</v>
      </c>
      <c r="H14" s="137">
        <v>3.125E-2</v>
      </c>
      <c r="J14" s="143" t="s">
        <v>724</v>
      </c>
      <c r="K14" s="143" t="s">
        <v>725</v>
      </c>
      <c r="L14" s="137" t="s">
        <v>2486</v>
      </c>
      <c r="M14" s="137" t="s">
        <v>2486</v>
      </c>
      <c r="N14" s="137" t="s">
        <v>2486</v>
      </c>
      <c r="P14" s="143" t="s">
        <v>724</v>
      </c>
      <c r="Q14" s="143" t="s">
        <v>725</v>
      </c>
      <c r="R14" s="143">
        <v>16</v>
      </c>
      <c r="S14" s="137">
        <v>0.39983340000000001</v>
      </c>
      <c r="T14" s="137">
        <v>0.6</v>
      </c>
      <c r="U14" s="137">
        <v>0.99983330000000004</v>
      </c>
      <c r="V14" s="137">
        <v>0.9375</v>
      </c>
      <c r="W14" s="137">
        <v>0.4</v>
      </c>
      <c r="X14" s="137">
        <v>1</v>
      </c>
      <c r="Y14" s="137">
        <v>1</v>
      </c>
      <c r="Z14" s="137">
        <v>0.54479829999999996</v>
      </c>
      <c r="AA14" s="137">
        <v>1</v>
      </c>
      <c r="AB14" s="137">
        <v>1</v>
      </c>
      <c r="AD14" s="143" t="s">
        <v>724</v>
      </c>
      <c r="AE14" s="143" t="s">
        <v>725</v>
      </c>
      <c r="AF14" s="143">
        <v>16</v>
      </c>
      <c r="AG14" s="143">
        <v>8</v>
      </c>
      <c r="AH14" s="137">
        <v>0</v>
      </c>
      <c r="AI14" s="137">
        <v>0</v>
      </c>
      <c r="AJ14" s="137">
        <v>0</v>
      </c>
      <c r="AK14" s="137">
        <v>0.25</v>
      </c>
      <c r="AM14" s="143" t="s">
        <v>724</v>
      </c>
      <c r="AN14" s="143" t="s">
        <v>725</v>
      </c>
      <c r="AO14" s="143">
        <v>16</v>
      </c>
      <c r="AP14" s="143">
        <v>43</v>
      </c>
      <c r="AQ14" s="156">
        <v>1.890625</v>
      </c>
      <c r="AR14" s="156">
        <v>3.4895832538604701</v>
      </c>
      <c r="AS14" s="156">
        <v>3.25</v>
      </c>
      <c r="AT14" s="156">
        <v>3.2708332538604701</v>
      </c>
      <c r="AU14" s="156">
        <v>2.7916667461395299</v>
      </c>
      <c r="AV14" s="156">
        <v>3.1041667461395299</v>
      </c>
      <c r="AW14" s="156">
        <v>3.3255207538604701</v>
      </c>
      <c r="AX14" s="156">
        <v>3.2083330000000001</v>
      </c>
    </row>
    <row r="15" spans="1:50" hidden="1" x14ac:dyDescent="0.35">
      <c r="A15" s="143" t="s">
        <v>726</v>
      </c>
      <c r="B15" s="143" t="s">
        <v>720</v>
      </c>
      <c r="C15" s="143">
        <v>11</v>
      </c>
      <c r="D15" s="143">
        <v>29</v>
      </c>
      <c r="E15" s="137">
        <v>0.77272730000000001</v>
      </c>
      <c r="F15" s="137">
        <v>0.81818179999999996</v>
      </c>
      <c r="G15" s="137">
        <v>0.81818179999999996</v>
      </c>
      <c r="H15" s="137">
        <v>0.68181820000000004</v>
      </c>
      <c r="J15" s="143" t="s">
        <v>726</v>
      </c>
      <c r="K15" s="143" t="s">
        <v>720</v>
      </c>
      <c r="L15" s="137" t="s">
        <v>2486</v>
      </c>
      <c r="M15" s="137" t="s">
        <v>2486</v>
      </c>
      <c r="N15" s="137" t="s">
        <v>2486</v>
      </c>
      <c r="P15" s="143" t="s">
        <v>726</v>
      </c>
      <c r="Q15" s="143" t="s">
        <v>720</v>
      </c>
      <c r="R15" s="143">
        <v>11</v>
      </c>
      <c r="S15" s="137">
        <v>0.39781820000000001</v>
      </c>
      <c r="T15" s="137">
        <v>0.6</v>
      </c>
      <c r="U15" s="137">
        <v>0.99781819999999999</v>
      </c>
      <c r="V15" s="137">
        <v>0.72727269999999999</v>
      </c>
      <c r="W15" s="137">
        <v>0.4</v>
      </c>
      <c r="X15" s="137">
        <v>1</v>
      </c>
      <c r="Y15" s="137">
        <v>1</v>
      </c>
      <c r="Z15" s="137">
        <v>0.58266320000000005</v>
      </c>
      <c r="AA15" s="137">
        <v>1</v>
      </c>
      <c r="AB15" s="137">
        <v>1</v>
      </c>
      <c r="AD15" s="143" t="s">
        <v>726</v>
      </c>
      <c r="AE15" s="143" t="s">
        <v>720</v>
      </c>
      <c r="AF15" s="143">
        <v>11</v>
      </c>
      <c r="AG15" s="143">
        <v>8</v>
      </c>
      <c r="AH15" s="137">
        <v>0.5</v>
      </c>
      <c r="AI15" s="137">
        <v>0</v>
      </c>
      <c r="AJ15" s="137">
        <v>0</v>
      </c>
      <c r="AK15" s="137">
        <v>0.33553690000000003</v>
      </c>
      <c r="AM15" s="143" t="s">
        <v>726</v>
      </c>
      <c r="AN15" s="143" t="s">
        <v>720</v>
      </c>
      <c r="AO15" s="143">
        <v>11</v>
      </c>
      <c r="AP15" s="143">
        <v>29</v>
      </c>
      <c r="AQ15" s="156">
        <v>1.7878787517547601</v>
      </c>
      <c r="AR15" s="156">
        <v>3.2159090042114298</v>
      </c>
      <c r="AS15" s="156">
        <v>3.26136374473572</v>
      </c>
      <c r="AT15" s="156">
        <v>3.2234847545623802</v>
      </c>
      <c r="AU15" s="156">
        <v>2.6856060028076199</v>
      </c>
      <c r="AV15" s="156">
        <v>3.5568182468414302</v>
      </c>
      <c r="AW15" s="156">
        <v>3.5757575035095202</v>
      </c>
      <c r="AX15" s="156">
        <v>3.2521650000000002</v>
      </c>
    </row>
    <row r="16" spans="1:50" hidden="1" x14ac:dyDescent="0.35">
      <c r="A16" s="143" t="s">
        <v>727</v>
      </c>
      <c r="B16" s="143" t="s">
        <v>728</v>
      </c>
      <c r="C16" s="143">
        <v>11</v>
      </c>
      <c r="D16" s="143">
        <v>41</v>
      </c>
      <c r="E16" s="137">
        <v>0.94545449999999998</v>
      </c>
      <c r="F16" s="137">
        <v>0.94090910000000005</v>
      </c>
      <c r="G16" s="137">
        <v>0.93636359999999996</v>
      </c>
      <c r="H16" s="137">
        <v>0.90909090000000004</v>
      </c>
      <c r="J16" s="143" t="s">
        <v>727</v>
      </c>
      <c r="K16" s="143" t="s">
        <v>728</v>
      </c>
      <c r="L16" s="137" t="s">
        <v>2486</v>
      </c>
      <c r="M16" s="137" t="s">
        <v>2486</v>
      </c>
      <c r="N16" s="137" t="s">
        <v>2486</v>
      </c>
      <c r="P16" s="143" t="s">
        <v>727</v>
      </c>
      <c r="Q16" s="143" t="s">
        <v>728</v>
      </c>
      <c r="R16" s="143">
        <v>11</v>
      </c>
      <c r="S16" s="137">
        <v>0.39819909999999997</v>
      </c>
      <c r="T16" s="137">
        <v>0.59653679999999998</v>
      </c>
      <c r="U16" s="137">
        <v>0.99473599999999995</v>
      </c>
      <c r="V16" s="137">
        <v>0.90909090000000004</v>
      </c>
      <c r="W16" s="137">
        <v>0.4</v>
      </c>
      <c r="X16" s="137">
        <v>1</v>
      </c>
      <c r="Y16" s="137">
        <v>1</v>
      </c>
      <c r="Z16" s="137">
        <v>0.50729840000000004</v>
      </c>
      <c r="AA16" s="137">
        <v>1</v>
      </c>
      <c r="AB16" s="137">
        <v>1</v>
      </c>
      <c r="AD16" s="143" t="s">
        <v>727</v>
      </c>
      <c r="AE16" s="143" t="s">
        <v>728</v>
      </c>
      <c r="AF16" s="143">
        <v>11</v>
      </c>
      <c r="AG16" s="143">
        <v>20</v>
      </c>
      <c r="AH16" s="137">
        <v>0</v>
      </c>
      <c r="AI16" s="137">
        <v>0.45</v>
      </c>
      <c r="AJ16" s="137">
        <v>0</v>
      </c>
      <c r="AK16" s="137">
        <v>0.27048119999999998</v>
      </c>
      <c r="AM16" s="143" t="s">
        <v>727</v>
      </c>
      <c r="AN16" s="143" t="s">
        <v>728</v>
      </c>
      <c r="AO16" s="143">
        <v>11</v>
      </c>
      <c r="AP16" s="143">
        <v>41</v>
      </c>
      <c r="AQ16" s="156">
        <v>1.95606064796448</v>
      </c>
      <c r="AR16" s="156">
        <v>3.0090909004211399</v>
      </c>
      <c r="AS16" s="156">
        <v>3.1454546451568599</v>
      </c>
      <c r="AT16" s="156">
        <v>3.14090919494629</v>
      </c>
      <c r="AU16" s="156">
        <v>2.5651514530181898</v>
      </c>
      <c r="AV16" s="156">
        <v>3.0954544544220002</v>
      </c>
      <c r="AW16" s="156">
        <v>3.2409090995788601</v>
      </c>
      <c r="AX16" s="156">
        <v>3.0344150000000001</v>
      </c>
    </row>
    <row r="17" spans="1:50" hidden="1" x14ac:dyDescent="0.35">
      <c r="A17" s="143" t="s">
        <v>729</v>
      </c>
      <c r="B17" s="143" t="s">
        <v>730</v>
      </c>
      <c r="C17" s="143">
        <v>11</v>
      </c>
      <c r="D17" s="143">
        <v>28</v>
      </c>
      <c r="E17" s="137">
        <v>1</v>
      </c>
      <c r="F17" s="137">
        <v>1</v>
      </c>
      <c r="G17" s="137">
        <v>1</v>
      </c>
      <c r="H17" s="137">
        <v>0</v>
      </c>
      <c r="J17" s="143" t="s">
        <v>729</v>
      </c>
      <c r="K17" s="143" t="s">
        <v>730</v>
      </c>
      <c r="L17" s="137" t="s">
        <v>2486</v>
      </c>
      <c r="M17" s="137" t="s">
        <v>2486</v>
      </c>
      <c r="N17" s="137" t="s">
        <v>2486</v>
      </c>
      <c r="P17" s="143" t="s">
        <v>729</v>
      </c>
      <c r="Q17" s="143" t="s">
        <v>730</v>
      </c>
      <c r="R17" s="143">
        <v>11</v>
      </c>
      <c r="S17" s="137">
        <v>0.39781820000000001</v>
      </c>
      <c r="T17" s="137">
        <v>0.6</v>
      </c>
      <c r="U17" s="137">
        <v>0.99781819999999999</v>
      </c>
      <c r="V17" s="137">
        <v>0.90909090000000004</v>
      </c>
      <c r="W17" s="137">
        <v>0.4</v>
      </c>
      <c r="X17" s="137">
        <v>1</v>
      </c>
      <c r="Y17" s="137">
        <v>1</v>
      </c>
      <c r="Z17" s="137">
        <v>0.6023077</v>
      </c>
      <c r="AA17" s="137">
        <v>1</v>
      </c>
      <c r="AB17" s="137">
        <v>1</v>
      </c>
      <c r="AD17" s="143" t="s">
        <v>729</v>
      </c>
      <c r="AE17" s="143" t="s">
        <v>730</v>
      </c>
      <c r="AF17" s="143">
        <v>11</v>
      </c>
      <c r="AG17" s="143">
        <v>8</v>
      </c>
      <c r="AH17" s="137">
        <v>0</v>
      </c>
      <c r="AI17" s="137">
        <v>0.375</v>
      </c>
      <c r="AJ17" s="137">
        <v>0</v>
      </c>
      <c r="AK17" s="137">
        <v>0.20786019999999999</v>
      </c>
      <c r="AM17" s="143" t="s">
        <v>729</v>
      </c>
      <c r="AN17" s="143" t="s">
        <v>730</v>
      </c>
      <c r="AO17" s="143">
        <v>11</v>
      </c>
      <c r="AP17" s="143">
        <v>28</v>
      </c>
      <c r="AQ17" s="156">
        <v>1.4469697475433301</v>
      </c>
      <c r="AR17" s="156">
        <v>3.36363625526428</v>
      </c>
      <c r="AS17" s="156">
        <v>3.3446969985961901</v>
      </c>
      <c r="AT17" s="156">
        <v>3.36363625526428</v>
      </c>
      <c r="AU17" s="156">
        <v>1.9810606241226201</v>
      </c>
      <c r="AV17" s="156">
        <v>3.4545454978942902</v>
      </c>
      <c r="AW17" s="156">
        <v>3.48863625526428</v>
      </c>
      <c r="AX17" s="156">
        <v>3.22132</v>
      </c>
    </row>
    <row r="18" spans="1:50" x14ac:dyDescent="0.35">
      <c r="A18" s="143" t="s">
        <v>2841</v>
      </c>
      <c r="B18" s="143" t="s">
        <v>748</v>
      </c>
      <c r="C18" s="143">
        <v>9</v>
      </c>
      <c r="E18" s="137">
        <v>0.98863639999999997</v>
      </c>
      <c r="F18" s="137">
        <v>0.98863639999999997</v>
      </c>
      <c r="G18" s="137"/>
      <c r="H18" s="137"/>
      <c r="J18" s="143" t="s">
        <v>2841</v>
      </c>
      <c r="K18" s="143" t="s">
        <v>748</v>
      </c>
      <c r="L18" s="137" t="s">
        <v>2487</v>
      </c>
      <c r="M18" s="137" t="s">
        <v>2487</v>
      </c>
      <c r="N18" s="137"/>
      <c r="P18" s="143" t="s">
        <v>2841</v>
      </c>
      <c r="Q18" s="143" t="s">
        <v>748</v>
      </c>
      <c r="R18" s="143">
        <v>9</v>
      </c>
      <c r="S18" s="137">
        <v>0.3621818</v>
      </c>
      <c r="U18" s="137">
        <v>0.9054546</v>
      </c>
      <c r="V18" s="137">
        <v>0.72727269999999999</v>
      </c>
      <c r="W18" s="137">
        <v>0</v>
      </c>
      <c r="X18" s="137">
        <v>0</v>
      </c>
      <c r="Y18" s="137">
        <v>0</v>
      </c>
      <c r="AD18" s="143" t="s">
        <v>2841</v>
      </c>
      <c r="AE18" s="143" t="s">
        <v>748</v>
      </c>
      <c r="AF18" s="143">
        <v>9</v>
      </c>
      <c r="AM18" s="143" t="s">
        <v>2841</v>
      </c>
      <c r="AN18" s="143" t="s">
        <v>748</v>
      </c>
      <c r="AO18" s="143">
        <v>9</v>
      </c>
      <c r="AP18" s="143">
        <v>31</v>
      </c>
      <c r="AX18" s="156"/>
    </row>
    <row r="19" spans="1:50" x14ac:dyDescent="0.35">
      <c r="A19" s="143" t="s">
        <v>2842</v>
      </c>
      <c r="B19" s="143" t="s">
        <v>722</v>
      </c>
      <c r="C19" s="143">
        <v>2</v>
      </c>
      <c r="D19" s="143">
        <v>31</v>
      </c>
      <c r="E19" s="137"/>
      <c r="F19" s="137"/>
      <c r="G19" s="137">
        <v>0.89772730000000001</v>
      </c>
      <c r="H19" s="137">
        <v>0.1212121</v>
      </c>
      <c r="J19" s="143" t="s">
        <v>2842</v>
      </c>
      <c r="K19" s="143" t="s">
        <v>722</v>
      </c>
      <c r="L19" s="137"/>
      <c r="M19" s="137"/>
      <c r="N19" s="137" t="s">
        <v>2486</v>
      </c>
      <c r="P19" s="143" t="s">
        <v>2842</v>
      </c>
      <c r="Q19" s="143" t="s">
        <v>722</v>
      </c>
      <c r="R19" s="143">
        <v>2</v>
      </c>
      <c r="S19" s="137">
        <v>0.36290909999999998</v>
      </c>
      <c r="T19" s="137">
        <v>0.6</v>
      </c>
      <c r="U19" s="137">
        <v>0.96290909999999996</v>
      </c>
      <c r="V19" s="137">
        <v>0.81818179999999996</v>
      </c>
      <c r="W19" s="137">
        <v>0.24</v>
      </c>
      <c r="X19" s="137">
        <v>0.6</v>
      </c>
      <c r="Y19" s="137">
        <v>0</v>
      </c>
      <c r="Z19" s="137">
        <v>0.52148680000000003</v>
      </c>
      <c r="AA19" s="137">
        <v>1</v>
      </c>
      <c r="AB19" s="137">
        <v>0.71428570000000002</v>
      </c>
      <c r="AD19" s="143" t="s">
        <v>2842</v>
      </c>
      <c r="AE19" s="143" t="s">
        <v>722</v>
      </c>
      <c r="AF19" s="143">
        <v>2</v>
      </c>
      <c r="AG19" s="143">
        <v>8</v>
      </c>
      <c r="AH19" s="137">
        <v>0.375</v>
      </c>
      <c r="AI19" s="137">
        <v>0.2</v>
      </c>
      <c r="AJ19" s="137">
        <v>0</v>
      </c>
      <c r="AK19" s="137">
        <v>0.2283452</v>
      </c>
      <c r="AM19" s="143" t="s">
        <v>2842</v>
      </c>
      <c r="AN19" s="143" t="s">
        <v>722</v>
      </c>
      <c r="AO19" s="143">
        <v>2</v>
      </c>
      <c r="AP19" s="143">
        <v>31</v>
      </c>
      <c r="AQ19" s="156">
        <v>1.7689393758773799</v>
      </c>
      <c r="AR19" s="156">
        <v>3.2007575035095202</v>
      </c>
      <c r="AS19" s="156">
        <v>2.9848484992981001</v>
      </c>
      <c r="AT19" s="156">
        <v>2.4848484992981001</v>
      </c>
      <c r="AU19" s="156">
        <v>2.26136374473572</v>
      </c>
      <c r="AV19" s="156">
        <v>2.5151515007018999</v>
      </c>
      <c r="AW19" s="156">
        <v>3.3030302524566699</v>
      </c>
      <c r="AX19" s="156">
        <v>2.8593069999999998</v>
      </c>
    </row>
    <row r="20" spans="1:50" x14ac:dyDescent="0.35">
      <c r="A20" s="143" t="s">
        <v>2843</v>
      </c>
      <c r="B20" s="143" t="s">
        <v>753</v>
      </c>
      <c r="C20" s="143">
        <v>6</v>
      </c>
      <c r="E20" s="137">
        <v>0.7734375</v>
      </c>
      <c r="F20" s="137">
        <v>0.9296875</v>
      </c>
      <c r="G20" s="137"/>
      <c r="H20" s="137"/>
      <c r="J20" s="143" t="s">
        <v>2843</v>
      </c>
      <c r="K20" s="143" t="s">
        <v>753</v>
      </c>
      <c r="L20" s="137" t="s">
        <v>2486</v>
      </c>
      <c r="M20" s="137" t="s">
        <v>2486</v>
      </c>
      <c r="N20" s="137"/>
      <c r="P20" s="143" t="s">
        <v>2843</v>
      </c>
      <c r="Q20" s="143" t="s">
        <v>753</v>
      </c>
      <c r="R20" s="143">
        <v>6</v>
      </c>
      <c r="S20" s="137">
        <v>0.39774999999999999</v>
      </c>
      <c r="U20" s="137">
        <v>0.99437500000000001</v>
      </c>
      <c r="V20" s="137">
        <v>0.8125</v>
      </c>
      <c r="W20" s="137">
        <v>0.33600000000000002</v>
      </c>
      <c r="X20" s="137">
        <v>0.8</v>
      </c>
      <c r="Y20" s="137">
        <v>0</v>
      </c>
      <c r="AD20" s="143" t="s">
        <v>2843</v>
      </c>
      <c r="AE20" s="143" t="s">
        <v>753</v>
      </c>
      <c r="AF20" s="143">
        <v>6</v>
      </c>
      <c r="AM20" s="143" t="s">
        <v>2843</v>
      </c>
      <c r="AN20" s="143" t="s">
        <v>753</v>
      </c>
      <c r="AO20" s="143">
        <v>6</v>
      </c>
      <c r="AP20" s="143">
        <v>44</v>
      </c>
      <c r="AX20" s="156"/>
    </row>
    <row r="21" spans="1:50" x14ac:dyDescent="0.35">
      <c r="A21" s="143" t="s">
        <v>2844</v>
      </c>
      <c r="B21" s="143" t="s">
        <v>730</v>
      </c>
      <c r="C21" s="143">
        <v>10</v>
      </c>
      <c r="D21" s="143">
        <v>44</v>
      </c>
      <c r="E21" s="137"/>
      <c r="F21" s="137"/>
      <c r="G21" s="137">
        <v>0.9375</v>
      </c>
      <c r="H21" s="137">
        <v>9.375E-2</v>
      </c>
      <c r="J21" s="143" t="s">
        <v>2844</v>
      </c>
      <c r="K21" s="143" t="s">
        <v>730</v>
      </c>
      <c r="L21" s="137"/>
      <c r="M21" s="137"/>
      <c r="N21" s="137" t="s">
        <v>2486</v>
      </c>
      <c r="P21" s="143" t="s">
        <v>2844</v>
      </c>
      <c r="Q21" s="143" t="s">
        <v>730</v>
      </c>
      <c r="R21" s="143">
        <v>10</v>
      </c>
      <c r="S21" s="137">
        <v>0.4</v>
      </c>
      <c r="T21" s="137">
        <v>0.6</v>
      </c>
      <c r="U21" s="137">
        <v>1</v>
      </c>
      <c r="V21" s="137">
        <v>1</v>
      </c>
      <c r="W21" s="137">
        <v>0.36799999999999999</v>
      </c>
      <c r="X21" s="137">
        <v>1</v>
      </c>
      <c r="Y21" s="137">
        <v>1</v>
      </c>
      <c r="Z21" s="137">
        <v>0.49617529999999999</v>
      </c>
      <c r="AA21" s="137">
        <v>1</v>
      </c>
      <c r="AB21" s="137">
        <v>1</v>
      </c>
      <c r="AD21" s="143" t="s">
        <v>2844</v>
      </c>
      <c r="AE21" s="143" t="s">
        <v>730</v>
      </c>
      <c r="AF21" s="143">
        <v>10</v>
      </c>
      <c r="AG21" s="143">
        <v>8</v>
      </c>
      <c r="AH21" s="137">
        <v>0.25</v>
      </c>
      <c r="AI21" s="137">
        <v>0</v>
      </c>
      <c r="AJ21" s="137">
        <v>0</v>
      </c>
      <c r="AK21" s="137">
        <v>0.26488099999999998</v>
      </c>
      <c r="AM21" s="143" t="s">
        <v>2844</v>
      </c>
      <c r="AN21" s="143" t="s">
        <v>730</v>
      </c>
      <c r="AO21" s="143">
        <v>10</v>
      </c>
      <c r="AP21" s="143">
        <v>44</v>
      </c>
      <c r="AQ21" s="156">
        <v>1.9322916269302399</v>
      </c>
      <c r="AR21" s="156">
        <v>2.9765625</v>
      </c>
      <c r="AS21" s="156">
        <v>2.765625</v>
      </c>
      <c r="AT21" s="156">
        <v>2.8463542461395299</v>
      </c>
      <c r="AU21" s="156">
        <v>2.6588542461395299</v>
      </c>
      <c r="AV21" s="156">
        <v>2.1979167461395299</v>
      </c>
      <c r="AW21" s="156">
        <v>2.9609375</v>
      </c>
      <c r="AX21" s="156">
        <v>2.804316</v>
      </c>
    </row>
    <row r="22" spans="1:50" hidden="1" x14ac:dyDescent="0.35">
      <c r="A22" s="143" t="s">
        <v>733</v>
      </c>
      <c r="B22" s="143" t="s">
        <v>734</v>
      </c>
      <c r="C22" s="143">
        <v>11</v>
      </c>
      <c r="D22" s="143">
        <v>28</v>
      </c>
      <c r="E22" s="137">
        <v>0.95454539999999999</v>
      </c>
      <c r="F22" s="137">
        <v>0.90909090000000004</v>
      </c>
      <c r="G22" s="137">
        <v>0.95454539999999999</v>
      </c>
      <c r="H22" s="137">
        <v>0</v>
      </c>
      <c r="J22" s="143" t="s">
        <v>733</v>
      </c>
      <c r="K22" s="143" t="s">
        <v>734</v>
      </c>
      <c r="L22" s="137" t="s">
        <v>2486</v>
      </c>
      <c r="M22" s="137" t="s">
        <v>2486</v>
      </c>
      <c r="N22" s="137" t="s">
        <v>2486</v>
      </c>
      <c r="P22" s="143" t="s">
        <v>733</v>
      </c>
      <c r="Q22" s="143" t="s">
        <v>734</v>
      </c>
      <c r="R22" s="143">
        <v>11</v>
      </c>
      <c r="S22" s="137">
        <v>0.38624239999999999</v>
      </c>
      <c r="T22" s="137">
        <v>0.59318179999999998</v>
      </c>
      <c r="U22" s="137">
        <v>0.97942419999999997</v>
      </c>
      <c r="V22" s="137">
        <v>0.27272730000000001</v>
      </c>
      <c r="W22" s="137">
        <v>0.4</v>
      </c>
      <c r="X22" s="137">
        <v>1</v>
      </c>
      <c r="Y22" s="137">
        <v>1</v>
      </c>
      <c r="Z22" s="137">
        <v>0.63459600000000005</v>
      </c>
      <c r="AA22" s="137">
        <v>1</v>
      </c>
      <c r="AB22" s="137">
        <v>1</v>
      </c>
      <c r="AD22" s="143" t="s">
        <v>733</v>
      </c>
      <c r="AE22" s="143" t="s">
        <v>734</v>
      </c>
      <c r="AF22" s="143">
        <v>11</v>
      </c>
      <c r="AG22" s="143">
        <v>7</v>
      </c>
      <c r="AH22" s="137">
        <v>0.14285709999999999</v>
      </c>
      <c r="AI22" s="137">
        <v>0.1666667</v>
      </c>
      <c r="AJ22" s="137">
        <v>0</v>
      </c>
      <c r="AK22" s="137">
        <v>2.7777799999999998E-2</v>
      </c>
      <c r="AM22" s="143" t="s">
        <v>733</v>
      </c>
      <c r="AN22" s="143" t="s">
        <v>734</v>
      </c>
      <c r="AO22" s="143">
        <v>11</v>
      </c>
      <c r="AP22" s="143">
        <v>28</v>
      </c>
      <c r="AQ22" s="156">
        <v>2.24675321578979</v>
      </c>
      <c r="AR22" s="156">
        <v>3.2164502143859899</v>
      </c>
      <c r="AS22" s="156">
        <v>3.3528139591217001</v>
      </c>
      <c r="AT22" s="156">
        <v>3.20346331596375</v>
      </c>
      <c r="AU22" s="156">
        <v>2.3961038589477499</v>
      </c>
      <c r="AV22" s="156">
        <v>3.0108225345611599</v>
      </c>
      <c r="AW22" s="156">
        <v>3.3246753215789799</v>
      </c>
      <c r="AX22" s="156">
        <v>3.0479280000000002</v>
      </c>
    </row>
    <row r="23" spans="1:50" hidden="1" x14ac:dyDescent="0.35">
      <c r="A23" s="143" t="s">
        <v>735</v>
      </c>
      <c r="B23" s="143" t="s">
        <v>736</v>
      </c>
      <c r="C23" s="143">
        <v>12</v>
      </c>
      <c r="D23" s="143">
        <v>31</v>
      </c>
      <c r="E23" s="137">
        <v>1</v>
      </c>
      <c r="F23" s="137">
        <v>1</v>
      </c>
      <c r="G23" s="137">
        <v>1</v>
      </c>
      <c r="H23" s="137">
        <v>0.86111110000000002</v>
      </c>
      <c r="J23" s="143" t="s">
        <v>735</v>
      </c>
      <c r="K23" s="143" t="s">
        <v>736</v>
      </c>
      <c r="L23" s="137" t="s">
        <v>2486</v>
      </c>
      <c r="M23" s="137" t="s">
        <v>2486</v>
      </c>
      <c r="N23" s="137" t="s">
        <v>2486</v>
      </c>
      <c r="P23" s="143" t="s">
        <v>735</v>
      </c>
      <c r="Q23" s="143" t="s">
        <v>736</v>
      </c>
      <c r="R23" s="143">
        <v>12</v>
      </c>
      <c r="S23" s="137">
        <v>0.38883329999999999</v>
      </c>
      <c r="T23" s="137">
        <v>0.54374999999999996</v>
      </c>
      <c r="U23" s="137">
        <v>0.9325833</v>
      </c>
      <c r="V23" s="137">
        <v>0.625</v>
      </c>
      <c r="W23" s="137">
        <v>0.4</v>
      </c>
      <c r="X23" s="137">
        <v>1</v>
      </c>
      <c r="Y23" s="137">
        <v>1</v>
      </c>
      <c r="Z23" s="137">
        <v>0.50853530000000002</v>
      </c>
      <c r="AA23" s="137">
        <v>0.875</v>
      </c>
      <c r="AB23" s="137">
        <v>1</v>
      </c>
      <c r="AD23" s="143" t="s">
        <v>735</v>
      </c>
      <c r="AE23" s="143" t="s">
        <v>736</v>
      </c>
      <c r="AF23" s="143">
        <v>12</v>
      </c>
      <c r="AG23" s="143">
        <v>8</v>
      </c>
      <c r="AH23" s="137">
        <v>0</v>
      </c>
      <c r="AI23" s="137">
        <v>0</v>
      </c>
      <c r="AJ23" s="137">
        <v>0</v>
      </c>
      <c r="AM23" s="143" t="s">
        <v>735</v>
      </c>
      <c r="AN23" s="143" t="s">
        <v>736</v>
      </c>
      <c r="AO23" s="143">
        <v>12</v>
      </c>
      <c r="AP23" s="143">
        <v>31</v>
      </c>
      <c r="AQ23" s="156">
        <v>2.0486111640930198</v>
      </c>
      <c r="AR23" s="156">
        <v>3.03125</v>
      </c>
      <c r="AS23" s="156">
        <v>2.3645832538604701</v>
      </c>
      <c r="AT23" s="156">
        <v>2.40625</v>
      </c>
      <c r="AU23" s="156">
        <v>2.1875</v>
      </c>
      <c r="AV23" s="156">
        <v>2.9583332538604701</v>
      </c>
      <c r="AW23" s="156">
        <v>3.03125</v>
      </c>
      <c r="AX23" s="156">
        <v>2.7043650000000001</v>
      </c>
    </row>
    <row r="24" spans="1:50" hidden="1" x14ac:dyDescent="0.35">
      <c r="A24" s="143" t="s">
        <v>737</v>
      </c>
      <c r="B24" s="143" t="s">
        <v>736</v>
      </c>
      <c r="C24" s="143">
        <v>16</v>
      </c>
      <c r="D24" s="143">
        <v>43</v>
      </c>
      <c r="E24" s="137">
        <v>0.7890625</v>
      </c>
      <c r="F24" s="137">
        <v>0.7890625</v>
      </c>
      <c r="G24" s="137">
        <v>0.7265625</v>
      </c>
      <c r="H24" s="137">
        <v>1</v>
      </c>
      <c r="J24" s="143" t="s">
        <v>737</v>
      </c>
      <c r="K24" s="143" t="s">
        <v>736</v>
      </c>
      <c r="L24" s="137" t="s">
        <v>2486</v>
      </c>
      <c r="M24" s="137" t="s">
        <v>2486</v>
      </c>
      <c r="N24" s="137" t="s">
        <v>2486</v>
      </c>
      <c r="P24" s="143" t="s">
        <v>737</v>
      </c>
      <c r="Q24" s="143" t="s">
        <v>736</v>
      </c>
      <c r="R24" s="143">
        <v>16</v>
      </c>
      <c r="S24" s="137">
        <v>0.3928334</v>
      </c>
      <c r="T24" s="137">
        <v>0.6</v>
      </c>
      <c r="U24" s="137">
        <v>0.99283330000000003</v>
      </c>
      <c r="V24" s="137">
        <v>0.75</v>
      </c>
      <c r="W24" s="137">
        <v>0.4</v>
      </c>
      <c r="X24" s="137">
        <v>1</v>
      </c>
      <c r="Y24" s="137">
        <v>1</v>
      </c>
      <c r="Z24" s="137">
        <v>0.58817920000000001</v>
      </c>
      <c r="AA24" s="137">
        <v>1</v>
      </c>
      <c r="AB24" s="137">
        <v>1</v>
      </c>
      <c r="AD24" s="143" t="s">
        <v>737</v>
      </c>
      <c r="AE24" s="143" t="s">
        <v>736</v>
      </c>
      <c r="AF24" s="143">
        <v>16</v>
      </c>
      <c r="AG24" s="143">
        <v>8</v>
      </c>
      <c r="AH24" s="137">
        <v>0</v>
      </c>
      <c r="AI24" s="137">
        <v>0.125</v>
      </c>
      <c r="AJ24" s="137">
        <v>0</v>
      </c>
      <c r="AK24" s="137">
        <v>0.1196948</v>
      </c>
      <c r="AM24" s="143" t="s">
        <v>737</v>
      </c>
      <c r="AN24" s="143" t="s">
        <v>736</v>
      </c>
      <c r="AO24" s="143">
        <v>16</v>
      </c>
      <c r="AP24" s="143">
        <v>43</v>
      </c>
      <c r="AQ24" s="156">
        <v>2.0208332538604701</v>
      </c>
      <c r="AR24" s="156">
        <v>3.3307292461395299</v>
      </c>
      <c r="AS24" s="156">
        <v>3.1328125</v>
      </c>
      <c r="AT24" s="156">
        <v>3.1119792461395299</v>
      </c>
      <c r="AU24" s="156">
        <v>2.4583332538604701</v>
      </c>
      <c r="AV24" s="156">
        <v>2.8177082538604701</v>
      </c>
      <c r="AW24" s="156">
        <v>3.2161457538604701</v>
      </c>
      <c r="AX24" s="156">
        <v>3.0066959999999998</v>
      </c>
    </row>
    <row r="25" spans="1:50" hidden="1" x14ac:dyDescent="0.35">
      <c r="A25" s="143" t="s">
        <v>738</v>
      </c>
      <c r="B25" s="143" t="s">
        <v>722</v>
      </c>
      <c r="C25" s="143">
        <v>11</v>
      </c>
      <c r="D25" s="143">
        <v>30</v>
      </c>
      <c r="E25" s="137">
        <v>1</v>
      </c>
      <c r="F25" s="137">
        <v>1</v>
      </c>
      <c r="G25" s="137">
        <v>1</v>
      </c>
      <c r="H25" s="137">
        <v>2.2727299999999999E-2</v>
      </c>
      <c r="J25" s="143" t="s">
        <v>738</v>
      </c>
      <c r="K25" s="143" t="s">
        <v>722</v>
      </c>
      <c r="L25" s="137" t="s">
        <v>2486</v>
      </c>
      <c r="M25" s="137" t="s">
        <v>2486</v>
      </c>
      <c r="N25" s="137" t="s">
        <v>2486</v>
      </c>
      <c r="P25" s="143" t="s">
        <v>738</v>
      </c>
      <c r="Q25" s="143" t="s">
        <v>722</v>
      </c>
      <c r="R25" s="143">
        <v>11</v>
      </c>
      <c r="S25" s="137">
        <v>0.3927273</v>
      </c>
      <c r="T25" s="137">
        <v>0.59318179999999998</v>
      </c>
      <c r="U25" s="137">
        <v>0.98590909999999998</v>
      </c>
      <c r="V25" s="137">
        <v>0.63636360000000003</v>
      </c>
      <c r="W25" s="137">
        <v>0.4</v>
      </c>
      <c r="X25" s="137">
        <v>1</v>
      </c>
      <c r="Y25" s="137">
        <v>1</v>
      </c>
      <c r="Z25" s="137">
        <v>0.54368879999999997</v>
      </c>
      <c r="AA25" s="137">
        <v>1</v>
      </c>
      <c r="AB25" s="137">
        <v>0.66666669999999995</v>
      </c>
      <c r="AD25" s="143" t="s">
        <v>738</v>
      </c>
      <c r="AE25" s="143" t="s">
        <v>722</v>
      </c>
      <c r="AF25" s="143">
        <v>11</v>
      </c>
      <c r="AG25" s="143">
        <v>8</v>
      </c>
      <c r="AH25" s="137">
        <v>0.25</v>
      </c>
      <c r="AI25" s="137">
        <v>0.83333330000000005</v>
      </c>
      <c r="AJ25" s="137">
        <v>0</v>
      </c>
      <c r="AK25" s="137">
        <v>0.41709960000000001</v>
      </c>
      <c r="AM25" s="143" t="s">
        <v>738</v>
      </c>
      <c r="AN25" s="143" t="s">
        <v>722</v>
      </c>
      <c r="AO25" s="143">
        <v>11</v>
      </c>
      <c r="AP25" s="143">
        <v>30</v>
      </c>
      <c r="AQ25" s="156">
        <v>1.79545450210571</v>
      </c>
      <c r="AR25" s="156">
        <v>3.4545454978942902</v>
      </c>
      <c r="AS25" s="156">
        <v>3.23863625526428</v>
      </c>
      <c r="AT25" s="156">
        <v>3.1818182468414302</v>
      </c>
      <c r="AU25" s="156">
        <v>2.8295454978942902</v>
      </c>
      <c r="AV25" s="156">
        <v>3.1818182468414302</v>
      </c>
      <c r="AW25" s="156">
        <v>3.11363625526428</v>
      </c>
      <c r="AX25" s="156">
        <v>3.1818179999999998</v>
      </c>
    </row>
    <row r="26" spans="1:50" hidden="1" x14ac:dyDescent="0.35">
      <c r="A26" s="143" t="s">
        <v>739</v>
      </c>
      <c r="B26" s="143" t="s">
        <v>720</v>
      </c>
      <c r="C26" s="143">
        <v>11</v>
      </c>
      <c r="D26" s="143">
        <v>30</v>
      </c>
      <c r="E26" s="137">
        <v>1</v>
      </c>
      <c r="F26" s="137">
        <v>1</v>
      </c>
      <c r="G26" s="137">
        <v>1</v>
      </c>
      <c r="H26" s="137">
        <v>0</v>
      </c>
      <c r="J26" s="143" t="s">
        <v>739</v>
      </c>
      <c r="K26" s="143" t="s">
        <v>720</v>
      </c>
      <c r="L26" s="137" t="s">
        <v>2486</v>
      </c>
      <c r="M26" s="137" t="s">
        <v>2486</v>
      </c>
      <c r="N26" s="137" t="s">
        <v>2486</v>
      </c>
      <c r="P26" s="143" t="s">
        <v>739</v>
      </c>
      <c r="Q26" s="143" t="s">
        <v>720</v>
      </c>
      <c r="R26" s="143">
        <v>11</v>
      </c>
      <c r="S26" s="137">
        <v>0.38163639999999999</v>
      </c>
      <c r="T26" s="137">
        <v>0.53863640000000002</v>
      </c>
      <c r="U26" s="137">
        <v>0.92027270000000005</v>
      </c>
      <c r="V26" s="137">
        <v>0.54545460000000001</v>
      </c>
      <c r="W26" s="137">
        <v>0.39866669999999998</v>
      </c>
      <c r="X26" s="137">
        <v>1</v>
      </c>
      <c r="Y26" s="137">
        <v>1</v>
      </c>
      <c r="Z26" s="137">
        <v>0.5395527</v>
      </c>
      <c r="AA26" s="137">
        <v>0.90909090000000004</v>
      </c>
      <c r="AB26" s="137">
        <v>0.88888889999999998</v>
      </c>
      <c r="AD26" s="143" t="s">
        <v>739</v>
      </c>
      <c r="AE26" s="143" t="s">
        <v>720</v>
      </c>
      <c r="AF26" s="143">
        <v>11</v>
      </c>
      <c r="AG26" s="143">
        <v>8</v>
      </c>
      <c r="AH26" s="137">
        <v>0.25</v>
      </c>
      <c r="AI26" s="137">
        <v>0</v>
      </c>
      <c r="AJ26" s="137">
        <v>0</v>
      </c>
      <c r="AK26" s="137">
        <v>0.3333333</v>
      </c>
      <c r="AM26" s="143" t="s">
        <v>739</v>
      </c>
      <c r="AN26" s="143" t="s">
        <v>720</v>
      </c>
      <c r="AO26" s="143">
        <v>11</v>
      </c>
      <c r="AP26" s="143">
        <v>30</v>
      </c>
      <c r="AQ26" s="156">
        <v>2.2348484992981001</v>
      </c>
      <c r="AR26" s="156">
        <v>3.23863625526428</v>
      </c>
      <c r="AS26" s="156">
        <v>3.1666667461395299</v>
      </c>
      <c r="AT26" s="156">
        <v>3.1893939971923801</v>
      </c>
      <c r="AU26" s="156">
        <v>2.5643939971923801</v>
      </c>
      <c r="AV26" s="156">
        <v>3.01136374473572</v>
      </c>
      <c r="AW26" s="156">
        <v>3.1856060028076199</v>
      </c>
      <c r="AX26" s="156">
        <v>3.022186</v>
      </c>
    </row>
    <row r="27" spans="1:50" x14ac:dyDescent="0.35">
      <c r="A27" s="143" t="s">
        <v>2845</v>
      </c>
      <c r="B27" s="143" t="s">
        <v>734</v>
      </c>
      <c r="C27" s="143">
        <v>10</v>
      </c>
      <c r="E27" s="137">
        <v>0.94791669999999995</v>
      </c>
      <c r="F27" s="137">
        <v>0.94791669999999995</v>
      </c>
      <c r="G27" s="137"/>
      <c r="H27" s="137"/>
      <c r="J27" s="143" t="s">
        <v>2845</v>
      </c>
      <c r="K27" s="143" t="s">
        <v>734</v>
      </c>
      <c r="L27" s="137" t="s">
        <v>2487</v>
      </c>
      <c r="M27" s="137" t="s">
        <v>2487</v>
      </c>
      <c r="N27" s="137"/>
      <c r="P27" s="143" t="s">
        <v>2845</v>
      </c>
      <c r="Q27" s="143" t="s">
        <v>734</v>
      </c>
      <c r="R27" s="143">
        <v>10</v>
      </c>
      <c r="S27" s="137">
        <v>0.38704169999999999</v>
      </c>
      <c r="U27" s="137">
        <v>0.96760420000000003</v>
      </c>
      <c r="V27" s="137">
        <v>0.625</v>
      </c>
      <c r="W27" s="137">
        <v>0</v>
      </c>
      <c r="X27" s="137">
        <v>0</v>
      </c>
      <c r="Y27" s="137">
        <v>0</v>
      </c>
      <c r="AD27" s="143" t="s">
        <v>2845</v>
      </c>
      <c r="AE27" s="143" t="s">
        <v>734</v>
      </c>
      <c r="AF27" s="143">
        <v>10</v>
      </c>
      <c r="AM27" s="143" t="s">
        <v>2845</v>
      </c>
      <c r="AN27" s="143" t="s">
        <v>734</v>
      </c>
      <c r="AO27" s="143">
        <v>10</v>
      </c>
      <c r="AP27" s="143">
        <v>41</v>
      </c>
      <c r="AX27" s="156"/>
    </row>
    <row r="28" spans="1:50" x14ac:dyDescent="0.35">
      <c r="A28" s="143" t="s">
        <v>2846</v>
      </c>
      <c r="B28" s="143" t="s">
        <v>730</v>
      </c>
      <c r="C28" s="143">
        <v>6</v>
      </c>
      <c r="D28" s="143">
        <v>41</v>
      </c>
      <c r="E28" s="137"/>
      <c r="F28" s="137"/>
      <c r="G28" s="137">
        <v>0.94791669999999995</v>
      </c>
      <c r="H28" s="137">
        <v>0.5625</v>
      </c>
      <c r="J28" s="143" t="s">
        <v>2846</v>
      </c>
      <c r="K28" s="143" t="s">
        <v>730</v>
      </c>
      <c r="L28" s="137"/>
      <c r="M28" s="137"/>
      <c r="N28" s="137" t="s">
        <v>2486</v>
      </c>
      <c r="P28" s="143" t="s">
        <v>2846</v>
      </c>
      <c r="Q28" s="143" t="s">
        <v>730</v>
      </c>
      <c r="R28" s="143">
        <v>6</v>
      </c>
      <c r="S28" s="137">
        <v>0.38533329999999999</v>
      </c>
      <c r="T28" s="137">
        <v>0.58125000000000004</v>
      </c>
      <c r="U28" s="137">
        <v>0.96658330000000003</v>
      </c>
      <c r="V28" s="137">
        <v>0.8125</v>
      </c>
      <c r="W28" s="137">
        <v>0.08</v>
      </c>
      <c r="X28" s="137">
        <v>0</v>
      </c>
      <c r="Y28" s="137">
        <v>0</v>
      </c>
      <c r="Z28" s="137">
        <v>0.48917769999999999</v>
      </c>
      <c r="AA28" s="137">
        <v>0.9375</v>
      </c>
      <c r="AB28" s="137">
        <v>1</v>
      </c>
      <c r="AD28" s="143" t="s">
        <v>2846</v>
      </c>
      <c r="AE28" s="143" t="s">
        <v>730</v>
      </c>
      <c r="AF28" s="143">
        <v>6</v>
      </c>
      <c r="AG28" s="143">
        <v>8</v>
      </c>
      <c r="AH28" s="137">
        <v>0</v>
      </c>
      <c r="AI28" s="137">
        <v>0</v>
      </c>
      <c r="AJ28" s="137">
        <v>0</v>
      </c>
      <c r="AK28" s="137">
        <v>9.0909100000000007E-2</v>
      </c>
      <c r="AM28" s="143" t="s">
        <v>2846</v>
      </c>
      <c r="AN28" s="143" t="s">
        <v>730</v>
      </c>
      <c r="AO28" s="143">
        <v>6</v>
      </c>
      <c r="AP28" s="143">
        <v>41</v>
      </c>
      <c r="AQ28" s="156">
        <v>1.8125</v>
      </c>
      <c r="AR28" s="156">
        <v>3.0703125</v>
      </c>
      <c r="AS28" s="156">
        <v>2.8125</v>
      </c>
      <c r="AT28" s="156">
        <v>2.859375</v>
      </c>
      <c r="AU28" s="156">
        <v>2.640625</v>
      </c>
      <c r="AV28" s="156">
        <v>3.046875</v>
      </c>
      <c r="AW28" s="156">
        <v>3.4270832538604701</v>
      </c>
      <c r="AX28" s="156">
        <v>3.0063240000000002</v>
      </c>
    </row>
    <row r="29" spans="1:50" hidden="1" x14ac:dyDescent="0.35">
      <c r="A29" s="143" t="s">
        <v>741</v>
      </c>
      <c r="B29" s="143" t="s">
        <v>736</v>
      </c>
      <c r="C29" s="143">
        <v>11</v>
      </c>
      <c r="D29" s="143">
        <v>42</v>
      </c>
      <c r="E29" s="137">
        <v>0.95454539999999999</v>
      </c>
      <c r="F29" s="137">
        <v>0.95454539999999999</v>
      </c>
      <c r="G29" s="137">
        <v>0.95454539999999999</v>
      </c>
      <c r="H29" s="137">
        <v>1</v>
      </c>
      <c r="J29" s="143" t="s">
        <v>741</v>
      </c>
      <c r="K29" s="143" t="s">
        <v>736</v>
      </c>
      <c r="L29" s="137" t="s">
        <v>2486</v>
      </c>
      <c r="M29" s="137" t="s">
        <v>2486</v>
      </c>
      <c r="N29" s="137" t="s">
        <v>2486</v>
      </c>
      <c r="P29" s="143" t="s">
        <v>741</v>
      </c>
      <c r="Q29" s="143" t="s">
        <v>736</v>
      </c>
      <c r="R29" s="143">
        <v>11</v>
      </c>
      <c r="S29" s="137">
        <v>0.39875709999999998</v>
      </c>
      <c r="T29" s="137">
        <v>0.48917749999999999</v>
      </c>
      <c r="U29" s="137">
        <v>0.88793460000000002</v>
      </c>
      <c r="V29" s="137">
        <v>0.72727269999999999</v>
      </c>
      <c r="W29" s="137">
        <v>0.4</v>
      </c>
      <c r="X29" s="137">
        <v>1</v>
      </c>
      <c r="Y29" s="137">
        <v>1</v>
      </c>
      <c r="Z29" s="137">
        <v>0.5207735</v>
      </c>
      <c r="AA29" s="137">
        <v>0.90909090000000004</v>
      </c>
      <c r="AB29" s="137">
        <v>1</v>
      </c>
      <c r="AD29" s="143" t="s">
        <v>741</v>
      </c>
      <c r="AE29" s="143" t="s">
        <v>736</v>
      </c>
      <c r="AF29" s="143">
        <v>11</v>
      </c>
      <c r="AG29" s="143">
        <v>20</v>
      </c>
      <c r="AH29" s="137">
        <v>0.55000000000000004</v>
      </c>
      <c r="AI29" s="137">
        <v>0.3333333</v>
      </c>
      <c r="AJ29" s="137">
        <v>0</v>
      </c>
      <c r="AK29" s="137">
        <v>0.49749130000000003</v>
      </c>
      <c r="AM29" s="143" t="s">
        <v>741</v>
      </c>
      <c r="AN29" s="143" t="s">
        <v>736</v>
      </c>
      <c r="AO29" s="143">
        <v>11</v>
      </c>
      <c r="AP29" s="143">
        <v>42</v>
      </c>
      <c r="AQ29" s="156">
        <v>1.9409090280532799</v>
      </c>
      <c r="AR29" s="156">
        <v>3.2833333015441899</v>
      </c>
      <c r="AS29" s="156">
        <v>2.9530303478240998</v>
      </c>
      <c r="AT29" s="156">
        <v>2.7651515007018999</v>
      </c>
      <c r="AU29" s="156">
        <v>3.2818181514739999</v>
      </c>
      <c r="AV29" s="156">
        <v>2.88181829452515</v>
      </c>
      <c r="AW29" s="156">
        <v>3.2606060504913299</v>
      </c>
      <c r="AX29" s="156">
        <v>3.0965370000000001</v>
      </c>
    </row>
    <row r="30" spans="1:50" hidden="1" x14ac:dyDescent="0.35">
      <c r="A30" s="143" t="s">
        <v>742</v>
      </c>
      <c r="B30" s="143" t="s">
        <v>743</v>
      </c>
      <c r="C30" s="143">
        <v>11</v>
      </c>
      <c r="D30" s="143">
        <v>43</v>
      </c>
      <c r="E30" s="137">
        <v>1</v>
      </c>
      <c r="F30" s="137">
        <v>1</v>
      </c>
      <c r="G30" s="137">
        <v>1</v>
      </c>
      <c r="H30" s="137">
        <v>0</v>
      </c>
      <c r="J30" s="143" t="s">
        <v>742</v>
      </c>
      <c r="K30" s="143" t="s">
        <v>743</v>
      </c>
      <c r="L30" s="137" t="s">
        <v>2486</v>
      </c>
      <c r="M30" s="137" t="s">
        <v>2486</v>
      </c>
      <c r="N30" s="137" t="s">
        <v>2486</v>
      </c>
      <c r="P30" s="143" t="s">
        <v>742</v>
      </c>
      <c r="Q30" s="143" t="s">
        <v>743</v>
      </c>
      <c r="R30" s="143">
        <v>11</v>
      </c>
      <c r="S30" s="137">
        <v>0.39522079999999998</v>
      </c>
      <c r="T30" s="137">
        <v>0.59134200000000003</v>
      </c>
      <c r="U30" s="137">
        <v>0.98656279999999996</v>
      </c>
      <c r="V30" s="137">
        <v>0.72727269999999999</v>
      </c>
      <c r="W30" s="137">
        <v>0.37333329999999998</v>
      </c>
      <c r="X30" s="137">
        <v>0.8</v>
      </c>
      <c r="Y30" s="137">
        <v>0</v>
      </c>
      <c r="Z30" s="137">
        <v>0.44266299999999997</v>
      </c>
      <c r="AA30" s="137">
        <v>1</v>
      </c>
      <c r="AB30" s="137">
        <v>1</v>
      </c>
      <c r="AD30" s="143" t="s">
        <v>742</v>
      </c>
      <c r="AE30" s="143" t="s">
        <v>743</v>
      </c>
      <c r="AF30" s="143">
        <v>11</v>
      </c>
      <c r="AG30" s="143">
        <v>20</v>
      </c>
      <c r="AH30" s="137">
        <v>0.25</v>
      </c>
      <c r="AI30" s="137">
        <v>0</v>
      </c>
      <c r="AJ30" s="137">
        <v>0</v>
      </c>
      <c r="AK30" s="137">
        <v>0.24893789999999999</v>
      </c>
      <c r="AM30" s="143" t="s">
        <v>742</v>
      </c>
      <c r="AN30" s="143" t="s">
        <v>743</v>
      </c>
      <c r="AO30" s="143">
        <v>11</v>
      </c>
      <c r="AP30" s="143">
        <v>43</v>
      </c>
      <c r="AQ30" s="156">
        <v>1.77424240112305</v>
      </c>
      <c r="AR30" s="156">
        <v>3.5106060504913299</v>
      </c>
      <c r="AS30" s="156">
        <v>3.5515151023864702</v>
      </c>
      <c r="AT30" s="156">
        <v>3.2045454978942902</v>
      </c>
      <c r="AU30" s="156">
        <v>2.38484859466553</v>
      </c>
      <c r="AV30" s="156">
        <v>3.50454545021057</v>
      </c>
      <c r="AW30" s="156">
        <v>3.63333320617676</v>
      </c>
      <c r="AX30" s="156">
        <v>3.3028140000000001</v>
      </c>
    </row>
    <row r="31" spans="1:50" hidden="1" x14ac:dyDescent="0.35">
      <c r="A31" s="143" t="s">
        <v>744</v>
      </c>
      <c r="B31" s="143" t="s">
        <v>743</v>
      </c>
      <c r="C31" s="143">
        <v>11</v>
      </c>
      <c r="D31" s="143">
        <v>29</v>
      </c>
      <c r="E31" s="137">
        <v>1</v>
      </c>
      <c r="F31" s="137">
        <v>1</v>
      </c>
      <c r="G31" s="137">
        <v>1</v>
      </c>
      <c r="H31" s="137">
        <v>0.1363636</v>
      </c>
      <c r="J31" s="143" t="s">
        <v>744</v>
      </c>
      <c r="K31" s="143" t="s">
        <v>743</v>
      </c>
      <c r="L31" s="137" t="s">
        <v>2486</v>
      </c>
      <c r="M31" s="137" t="s">
        <v>2486</v>
      </c>
      <c r="N31" s="137" t="s">
        <v>2486</v>
      </c>
      <c r="P31" s="143" t="s">
        <v>744</v>
      </c>
      <c r="Q31" s="143" t="s">
        <v>743</v>
      </c>
      <c r="R31" s="143">
        <v>11</v>
      </c>
      <c r="S31" s="137">
        <v>0.39898990000000001</v>
      </c>
      <c r="T31" s="137">
        <v>0.6</v>
      </c>
      <c r="U31" s="137">
        <v>0.99898989999999999</v>
      </c>
      <c r="V31" s="137">
        <v>0.72727269999999999</v>
      </c>
      <c r="W31" s="137">
        <v>0.4</v>
      </c>
      <c r="X31" s="137">
        <v>1</v>
      </c>
      <c r="Y31" s="137">
        <v>1</v>
      </c>
      <c r="Z31" s="137">
        <v>0.42856610000000001</v>
      </c>
      <c r="AA31" s="137">
        <v>1</v>
      </c>
      <c r="AB31" s="137">
        <v>1</v>
      </c>
      <c r="AD31" s="143" t="s">
        <v>744</v>
      </c>
      <c r="AE31" s="143" t="s">
        <v>743</v>
      </c>
      <c r="AF31" s="143">
        <v>11</v>
      </c>
      <c r="AG31" s="143">
        <v>8</v>
      </c>
      <c r="AH31" s="137">
        <v>0.125</v>
      </c>
      <c r="AI31" s="137">
        <v>0</v>
      </c>
      <c r="AJ31" s="137">
        <v>0</v>
      </c>
      <c r="AK31" s="137">
        <v>0.1666667</v>
      </c>
      <c r="AM31" s="143" t="s">
        <v>744</v>
      </c>
      <c r="AN31" s="143" t="s">
        <v>743</v>
      </c>
      <c r="AO31" s="143">
        <v>11</v>
      </c>
      <c r="AP31" s="143">
        <v>29</v>
      </c>
      <c r="AQ31" s="156">
        <v>1.27272725105286</v>
      </c>
      <c r="AR31" s="156">
        <v>3.6856060028076199</v>
      </c>
      <c r="AS31" s="156">
        <v>3.4053030014038099</v>
      </c>
      <c r="AT31" s="156">
        <v>3</v>
      </c>
      <c r="AU31" s="156">
        <v>2.6212120056152299</v>
      </c>
      <c r="AV31" s="156">
        <v>3.5681817531585698</v>
      </c>
      <c r="AW31" s="156">
        <v>3.5</v>
      </c>
      <c r="AX31" s="156">
        <v>3.358225</v>
      </c>
    </row>
    <row r="32" spans="1:50" hidden="1" x14ac:dyDescent="0.35">
      <c r="A32" s="143" t="s">
        <v>745</v>
      </c>
      <c r="B32" s="143" t="s">
        <v>730</v>
      </c>
      <c r="C32" s="143">
        <v>11</v>
      </c>
      <c r="D32" s="143">
        <v>30</v>
      </c>
      <c r="E32" s="137">
        <v>1</v>
      </c>
      <c r="F32" s="137">
        <v>1</v>
      </c>
      <c r="G32" s="137">
        <v>1</v>
      </c>
      <c r="H32" s="137">
        <v>4.5454500000000002E-2</v>
      </c>
      <c r="J32" s="143" t="s">
        <v>745</v>
      </c>
      <c r="K32" s="143" t="s">
        <v>730</v>
      </c>
      <c r="L32" s="137" t="s">
        <v>2486</v>
      </c>
      <c r="M32" s="137" t="s">
        <v>2486</v>
      </c>
      <c r="N32" s="137" t="s">
        <v>2486</v>
      </c>
      <c r="P32" s="143" t="s">
        <v>745</v>
      </c>
      <c r="Q32" s="143" t="s">
        <v>730</v>
      </c>
      <c r="R32" s="143">
        <v>11</v>
      </c>
      <c r="S32" s="137">
        <v>0.39806059999999999</v>
      </c>
      <c r="T32" s="137">
        <v>0.6</v>
      </c>
      <c r="U32" s="137">
        <v>0.99806059999999996</v>
      </c>
      <c r="V32" s="137">
        <v>0.81818179999999996</v>
      </c>
      <c r="W32" s="137">
        <v>0.4</v>
      </c>
      <c r="X32" s="137">
        <v>1</v>
      </c>
      <c r="Y32" s="137">
        <v>1</v>
      </c>
      <c r="Z32" s="137">
        <v>0.5550117</v>
      </c>
      <c r="AA32" s="137">
        <v>1</v>
      </c>
      <c r="AB32" s="137">
        <v>1</v>
      </c>
      <c r="AD32" s="143" t="s">
        <v>745</v>
      </c>
      <c r="AE32" s="143" t="s">
        <v>730</v>
      </c>
      <c r="AF32" s="143">
        <v>11</v>
      </c>
      <c r="AG32" s="143">
        <v>8</v>
      </c>
      <c r="AH32" s="137">
        <v>0.125</v>
      </c>
      <c r="AI32" s="137">
        <v>0.14285709999999999</v>
      </c>
      <c r="AJ32" s="137">
        <v>0</v>
      </c>
      <c r="AK32" s="137">
        <v>0.38251750000000001</v>
      </c>
      <c r="AM32" s="143" t="s">
        <v>745</v>
      </c>
      <c r="AN32" s="143" t="s">
        <v>730</v>
      </c>
      <c r="AO32" s="143">
        <v>11</v>
      </c>
      <c r="AP32" s="143">
        <v>30</v>
      </c>
      <c r="AQ32" s="156">
        <v>1.3712121248245199</v>
      </c>
      <c r="AR32" s="156">
        <v>3.5189394950866699</v>
      </c>
      <c r="AS32" s="156">
        <v>3.13636374473572</v>
      </c>
      <c r="AT32" s="156">
        <v>3.01136374473572</v>
      </c>
      <c r="AU32" s="156">
        <v>2.5643939971923801</v>
      </c>
      <c r="AV32" s="156">
        <v>3.3257575035095202</v>
      </c>
      <c r="AW32" s="156">
        <v>3.7689394950866699</v>
      </c>
      <c r="AX32" s="156">
        <v>3.293831</v>
      </c>
    </row>
    <row r="33" spans="1:50" hidden="1" x14ac:dyDescent="0.35">
      <c r="A33" s="143" t="s">
        <v>746</v>
      </c>
      <c r="B33" s="143" t="s">
        <v>743</v>
      </c>
      <c r="C33" s="143">
        <v>11</v>
      </c>
      <c r="D33" s="143">
        <v>42</v>
      </c>
      <c r="E33" s="137">
        <v>1</v>
      </c>
      <c r="F33" s="137">
        <v>1</v>
      </c>
      <c r="G33" s="137">
        <v>1</v>
      </c>
      <c r="H33" s="137">
        <v>9.5454499999999998E-2</v>
      </c>
      <c r="J33" s="143" t="s">
        <v>746</v>
      </c>
      <c r="K33" s="143" t="s">
        <v>743</v>
      </c>
      <c r="L33" s="137" t="s">
        <v>2486</v>
      </c>
      <c r="M33" s="137" t="s">
        <v>2486</v>
      </c>
      <c r="N33" s="137" t="s">
        <v>2487</v>
      </c>
      <c r="P33" s="143" t="s">
        <v>746</v>
      </c>
      <c r="Q33" s="143" t="s">
        <v>743</v>
      </c>
      <c r="R33" s="143">
        <v>11</v>
      </c>
      <c r="S33" s="137">
        <v>0.36263590000000001</v>
      </c>
      <c r="T33" s="137">
        <v>0.59826840000000003</v>
      </c>
      <c r="U33" s="137">
        <v>0.96090430000000004</v>
      </c>
      <c r="V33" s="137">
        <v>0.90909090000000004</v>
      </c>
      <c r="W33" s="137">
        <v>0.4</v>
      </c>
      <c r="X33" s="137">
        <v>1</v>
      </c>
      <c r="Y33" s="137">
        <v>1</v>
      </c>
      <c r="Z33" s="137">
        <v>0.4463877</v>
      </c>
      <c r="AA33" s="137">
        <v>1</v>
      </c>
      <c r="AB33" s="137">
        <v>1</v>
      </c>
      <c r="AD33" s="143" t="s">
        <v>746</v>
      </c>
      <c r="AE33" s="143" t="s">
        <v>743</v>
      </c>
      <c r="AF33" s="143">
        <v>11</v>
      </c>
      <c r="AG33" s="143">
        <v>20</v>
      </c>
      <c r="AH33" s="137">
        <v>0.2</v>
      </c>
      <c r="AI33" s="137">
        <v>6.25E-2</v>
      </c>
      <c r="AJ33" s="137">
        <v>3.0303E-2</v>
      </c>
      <c r="AK33" s="137">
        <v>0.30853580000000003</v>
      </c>
      <c r="AM33" s="143" t="s">
        <v>746</v>
      </c>
      <c r="AN33" s="143" t="s">
        <v>743</v>
      </c>
      <c r="AO33" s="143">
        <v>11</v>
      </c>
      <c r="AP33" s="143">
        <v>42</v>
      </c>
      <c r="AQ33" s="156">
        <v>2.1681818962097199</v>
      </c>
      <c r="AR33" s="156">
        <v>3.5969696044921902</v>
      </c>
      <c r="AS33" s="156">
        <v>3.7333333492279102</v>
      </c>
      <c r="AT33" s="156">
        <v>3.4000000953674299</v>
      </c>
      <c r="AU33" s="156">
        <v>2.9454545974731401</v>
      </c>
      <c r="AV33" s="156">
        <v>3.50151515007019</v>
      </c>
      <c r="AW33" s="156">
        <v>3.4621212482452401</v>
      </c>
      <c r="AX33" s="156">
        <v>3.4367960000000002</v>
      </c>
    </row>
    <row r="34" spans="1:50" hidden="1" x14ac:dyDescent="0.35">
      <c r="A34" s="143" t="s">
        <v>747</v>
      </c>
      <c r="B34" s="143" t="s">
        <v>748</v>
      </c>
      <c r="C34" s="143">
        <v>11</v>
      </c>
      <c r="D34" s="143">
        <v>30</v>
      </c>
      <c r="E34" s="137">
        <v>1</v>
      </c>
      <c r="F34" s="137">
        <v>1</v>
      </c>
      <c r="G34" s="137">
        <v>1</v>
      </c>
      <c r="H34" s="137">
        <v>0</v>
      </c>
      <c r="J34" s="143" t="s">
        <v>747</v>
      </c>
      <c r="K34" s="143" t="s">
        <v>748</v>
      </c>
      <c r="L34" s="137" t="s">
        <v>2486</v>
      </c>
      <c r="M34" s="137" t="s">
        <v>2486</v>
      </c>
      <c r="N34" s="137" t="s">
        <v>2486</v>
      </c>
      <c r="P34" s="143" t="s">
        <v>747</v>
      </c>
      <c r="Q34" s="143" t="s">
        <v>748</v>
      </c>
      <c r="R34" s="143">
        <v>11</v>
      </c>
      <c r="S34" s="137">
        <v>0.39975759999999999</v>
      </c>
      <c r="T34" s="137">
        <v>0.6</v>
      </c>
      <c r="U34" s="137">
        <v>0.99975760000000002</v>
      </c>
      <c r="V34" s="137">
        <v>0.90909090000000004</v>
      </c>
      <c r="W34" s="137">
        <v>0.4</v>
      </c>
      <c r="X34" s="137">
        <v>1</v>
      </c>
      <c r="Y34" s="137">
        <v>1</v>
      </c>
      <c r="Z34" s="137">
        <v>0.42887520000000001</v>
      </c>
      <c r="AA34" s="137">
        <v>1</v>
      </c>
      <c r="AB34" s="137">
        <v>0.75</v>
      </c>
      <c r="AD34" s="143" t="s">
        <v>747</v>
      </c>
      <c r="AE34" s="143" t="s">
        <v>748</v>
      </c>
      <c r="AF34" s="143">
        <v>11</v>
      </c>
      <c r="AG34" s="143">
        <v>8</v>
      </c>
      <c r="AH34" s="137">
        <v>0.25</v>
      </c>
      <c r="AI34" s="137">
        <v>0</v>
      </c>
      <c r="AJ34" s="137">
        <v>6.4935000000000001E-3</v>
      </c>
      <c r="AK34" s="137">
        <v>0.1798246</v>
      </c>
      <c r="AM34" s="143" t="s">
        <v>747</v>
      </c>
      <c r="AN34" s="143" t="s">
        <v>748</v>
      </c>
      <c r="AO34" s="143">
        <v>11</v>
      </c>
      <c r="AP34" s="143">
        <v>30</v>
      </c>
      <c r="AQ34" s="156">
        <v>3.2159090042114298</v>
      </c>
      <c r="AR34" s="156">
        <v>3.3068182468414302</v>
      </c>
      <c r="AS34" s="156">
        <v>3.5606060028076199</v>
      </c>
      <c r="AT34" s="156">
        <v>3.3674242496490501</v>
      </c>
      <c r="AU34" s="156">
        <v>3.2159090042114298</v>
      </c>
      <c r="AV34" s="156">
        <v>3.2916667461395299</v>
      </c>
      <c r="AW34" s="156">
        <v>3.4962120056152299</v>
      </c>
      <c r="AX34" s="156">
        <v>3.3035709999999998</v>
      </c>
    </row>
    <row r="35" spans="1:50" hidden="1" x14ac:dyDescent="0.35">
      <c r="A35" s="143" t="s">
        <v>749</v>
      </c>
      <c r="B35" s="143" t="s">
        <v>730</v>
      </c>
      <c r="C35" s="143">
        <v>16</v>
      </c>
      <c r="D35" s="143">
        <v>42</v>
      </c>
      <c r="E35" s="137">
        <v>0.9375</v>
      </c>
      <c r="F35" s="137">
        <v>1</v>
      </c>
      <c r="G35" s="137">
        <v>0.96875</v>
      </c>
      <c r="H35" s="137">
        <v>0</v>
      </c>
      <c r="J35" s="143" t="s">
        <v>749</v>
      </c>
      <c r="K35" s="143" t="s">
        <v>730</v>
      </c>
      <c r="L35" s="137" t="s">
        <v>2486</v>
      </c>
      <c r="M35" s="137" t="s">
        <v>2486</v>
      </c>
      <c r="N35" s="137" t="s">
        <v>2486</v>
      </c>
      <c r="P35" s="143" t="s">
        <v>749</v>
      </c>
      <c r="Q35" s="143" t="s">
        <v>730</v>
      </c>
      <c r="R35" s="143">
        <v>16</v>
      </c>
      <c r="S35" s="137">
        <v>0.39550000000000002</v>
      </c>
      <c r="T35" s="137">
        <v>0.55781250000000004</v>
      </c>
      <c r="U35" s="137">
        <v>0.95331250000000001</v>
      </c>
      <c r="V35" s="137">
        <v>0.625</v>
      </c>
      <c r="W35" s="137">
        <v>0.39893339999999999</v>
      </c>
      <c r="X35" s="137">
        <v>1</v>
      </c>
      <c r="Y35" s="137">
        <v>1</v>
      </c>
      <c r="Z35" s="137">
        <v>0.4060764</v>
      </c>
      <c r="AA35" s="137">
        <v>0.9375</v>
      </c>
      <c r="AB35" s="137">
        <v>1</v>
      </c>
      <c r="AD35" s="143" t="s">
        <v>749</v>
      </c>
      <c r="AE35" s="143" t="s">
        <v>730</v>
      </c>
      <c r="AF35" s="143">
        <v>16</v>
      </c>
      <c r="AG35" s="143">
        <v>8</v>
      </c>
      <c r="AH35" s="137">
        <v>0</v>
      </c>
      <c r="AI35" s="137">
        <v>0</v>
      </c>
      <c r="AJ35" s="137">
        <v>0</v>
      </c>
      <c r="AK35" s="137">
        <v>0.1666667</v>
      </c>
      <c r="AM35" s="143" t="s">
        <v>749</v>
      </c>
      <c r="AN35" s="143" t="s">
        <v>730</v>
      </c>
      <c r="AO35" s="143">
        <v>16</v>
      </c>
      <c r="AP35" s="143">
        <v>42</v>
      </c>
      <c r="AQ35" s="156">
        <v>2.0572917461395299</v>
      </c>
      <c r="AR35" s="156">
        <v>3.2552082538604701</v>
      </c>
      <c r="AS35" s="156">
        <v>3.0390625</v>
      </c>
      <c r="AT35" s="156">
        <v>2.765625</v>
      </c>
      <c r="AU35" s="156">
        <v>2.8125</v>
      </c>
      <c r="AV35" s="156">
        <v>3.1510417461395299</v>
      </c>
      <c r="AW35" s="156">
        <v>3.1953125</v>
      </c>
      <c r="AX35" s="156">
        <v>3.0319940000000001</v>
      </c>
    </row>
    <row r="36" spans="1:50" hidden="1" x14ac:dyDescent="0.35">
      <c r="A36" s="143" t="s">
        <v>750</v>
      </c>
      <c r="B36" s="143" t="s">
        <v>751</v>
      </c>
      <c r="C36" s="143">
        <v>11</v>
      </c>
      <c r="D36" s="143">
        <v>44</v>
      </c>
      <c r="E36" s="137">
        <v>1</v>
      </c>
      <c r="F36" s="137">
        <v>1</v>
      </c>
      <c r="G36" s="137">
        <v>1</v>
      </c>
      <c r="H36" s="137">
        <v>4.5454500000000002E-2</v>
      </c>
      <c r="J36" s="143" t="s">
        <v>750</v>
      </c>
      <c r="K36" s="143" t="s">
        <v>751</v>
      </c>
      <c r="L36" s="137" t="s">
        <v>2486</v>
      </c>
      <c r="M36" s="137" t="s">
        <v>2486</v>
      </c>
      <c r="N36" s="137" t="s">
        <v>2486</v>
      </c>
      <c r="P36" s="143" t="s">
        <v>750</v>
      </c>
      <c r="Q36" s="143" t="s">
        <v>751</v>
      </c>
      <c r="R36" s="143">
        <v>11</v>
      </c>
      <c r="S36" s="137">
        <v>0.3962213</v>
      </c>
      <c r="T36" s="137">
        <v>0.59480520000000003</v>
      </c>
      <c r="U36" s="137">
        <v>0.99102650000000003</v>
      </c>
      <c r="V36" s="137">
        <v>0.90909090000000004</v>
      </c>
      <c r="W36" s="137">
        <v>0.4</v>
      </c>
      <c r="X36" s="137">
        <v>1</v>
      </c>
      <c r="Y36" s="137">
        <v>1</v>
      </c>
      <c r="Z36" s="137">
        <v>0.58817209999999998</v>
      </c>
      <c r="AA36" s="137">
        <v>1</v>
      </c>
      <c r="AB36" s="137">
        <v>1</v>
      </c>
      <c r="AD36" s="143" t="s">
        <v>750</v>
      </c>
      <c r="AE36" s="143" t="s">
        <v>751</v>
      </c>
      <c r="AF36" s="143">
        <v>11</v>
      </c>
      <c r="AG36" s="143">
        <v>20</v>
      </c>
      <c r="AH36" s="137">
        <v>0.1</v>
      </c>
      <c r="AI36" s="137">
        <v>0</v>
      </c>
      <c r="AJ36" s="137">
        <v>0</v>
      </c>
      <c r="AK36" s="137">
        <v>0.1978367</v>
      </c>
      <c r="AM36" s="143" t="s">
        <v>750</v>
      </c>
      <c r="AN36" s="143" t="s">
        <v>751</v>
      </c>
      <c r="AO36" s="143">
        <v>11</v>
      </c>
      <c r="AP36" s="143">
        <v>44</v>
      </c>
      <c r="AQ36" s="156">
        <v>1.8318182229995701</v>
      </c>
      <c r="AR36" s="156">
        <v>3.3499999046325701</v>
      </c>
      <c r="AS36" s="156">
        <v>3.4893939495086701</v>
      </c>
      <c r="AT36" s="156">
        <v>3.2803030014038099</v>
      </c>
      <c r="AU36" s="156">
        <v>3.0893938541412398</v>
      </c>
      <c r="AV36" s="156">
        <v>3.2181818485260001</v>
      </c>
      <c r="AW36" s="156">
        <v>3.6545455455779998</v>
      </c>
      <c r="AX36" s="156">
        <v>3.3233769999999998</v>
      </c>
    </row>
    <row r="37" spans="1:50" x14ac:dyDescent="0.35">
      <c r="A37" s="143" t="s">
        <v>2866</v>
      </c>
      <c r="B37" s="143" t="s">
        <v>765</v>
      </c>
      <c r="C37" s="143">
        <v>6</v>
      </c>
      <c r="E37" s="137">
        <v>1</v>
      </c>
      <c r="F37" s="137">
        <v>0.98863639999999997</v>
      </c>
      <c r="G37" s="137"/>
      <c r="H37" s="137"/>
      <c r="J37" s="143" t="s">
        <v>2866</v>
      </c>
      <c r="K37" s="143" t="s">
        <v>765</v>
      </c>
      <c r="L37" s="137" t="s">
        <v>2487</v>
      </c>
      <c r="M37" s="137" t="s">
        <v>2487</v>
      </c>
      <c r="N37" s="137"/>
      <c r="P37" s="143" t="s">
        <v>2866</v>
      </c>
      <c r="Q37" s="143" t="s">
        <v>765</v>
      </c>
      <c r="R37" s="143">
        <v>6</v>
      </c>
      <c r="S37" s="137">
        <v>0.38993939999999999</v>
      </c>
      <c r="U37" s="137">
        <v>0.97484850000000001</v>
      </c>
      <c r="V37" s="137">
        <v>0.81818179999999996</v>
      </c>
      <c r="W37" s="137">
        <v>0</v>
      </c>
      <c r="X37" s="137">
        <v>0</v>
      </c>
      <c r="Y37" s="137">
        <v>0</v>
      </c>
      <c r="AD37" s="143" t="s">
        <v>2866</v>
      </c>
      <c r="AE37" s="143" t="s">
        <v>765</v>
      </c>
      <c r="AF37" s="143">
        <v>6</v>
      </c>
      <c r="AM37" s="143" t="s">
        <v>2866</v>
      </c>
      <c r="AN37" s="143" t="s">
        <v>765</v>
      </c>
      <c r="AO37" s="143">
        <v>6</v>
      </c>
      <c r="AP37" s="143">
        <v>29</v>
      </c>
      <c r="AX37" s="156"/>
    </row>
    <row r="38" spans="1:50" x14ac:dyDescent="0.35">
      <c r="A38" s="143" t="s">
        <v>2867</v>
      </c>
      <c r="B38" s="143" t="s">
        <v>753</v>
      </c>
      <c r="C38" s="143">
        <v>5</v>
      </c>
      <c r="D38" s="143">
        <v>29</v>
      </c>
      <c r="E38" s="137"/>
      <c r="F38" s="137"/>
      <c r="G38" s="137">
        <v>1</v>
      </c>
      <c r="H38" s="137">
        <v>0.22727269999999999</v>
      </c>
      <c r="J38" s="143" t="s">
        <v>2867</v>
      </c>
      <c r="K38" s="143" t="s">
        <v>753</v>
      </c>
      <c r="L38" s="137"/>
      <c r="M38" s="137"/>
      <c r="N38" s="137" t="s">
        <v>2486</v>
      </c>
      <c r="P38" s="143" t="s">
        <v>2867</v>
      </c>
      <c r="Q38" s="143" t="s">
        <v>753</v>
      </c>
      <c r="R38" s="143">
        <v>5</v>
      </c>
      <c r="S38" s="137">
        <v>0.37969700000000001</v>
      </c>
      <c r="T38" s="137">
        <v>0.55909089999999995</v>
      </c>
      <c r="U38" s="137">
        <v>0.93878790000000001</v>
      </c>
      <c r="V38" s="137">
        <v>0.63636360000000003</v>
      </c>
      <c r="W38" s="137">
        <v>0.4</v>
      </c>
      <c r="X38" s="137">
        <v>1</v>
      </c>
      <c r="Y38" s="137">
        <v>1</v>
      </c>
      <c r="Z38" s="137">
        <v>0.38005050000000001</v>
      </c>
      <c r="AA38" s="137">
        <v>1</v>
      </c>
      <c r="AB38" s="137">
        <v>1</v>
      </c>
      <c r="AD38" s="143" t="s">
        <v>2867</v>
      </c>
      <c r="AE38" s="143" t="s">
        <v>753</v>
      </c>
      <c r="AF38" s="143">
        <v>5</v>
      </c>
      <c r="AG38" s="143">
        <v>8</v>
      </c>
      <c r="AH38" s="137">
        <v>0.375</v>
      </c>
      <c r="AI38" s="137">
        <v>0</v>
      </c>
      <c r="AJ38" s="137">
        <v>1.51515E-2</v>
      </c>
      <c r="AK38" s="137">
        <v>0.18777779999999999</v>
      </c>
      <c r="AM38" s="143" t="s">
        <v>2867</v>
      </c>
      <c r="AN38" s="143" t="s">
        <v>753</v>
      </c>
      <c r="AO38" s="143">
        <v>5</v>
      </c>
      <c r="AP38" s="143">
        <v>29</v>
      </c>
      <c r="AQ38" s="156">
        <v>1.70454549789429</v>
      </c>
      <c r="AR38" s="156">
        <v>3.4545454978942902</v>
      </c>
      <c r="AS38" s="156">
        <v>3.1704545021057098</v>
      </c>
      <c r="AT38" s="156">
        <v>2.9431817531585698</v>
      </c>
      <c r="AU38" s="156">
        <v>2.64772725105286</v>
      </c>
      <c r="AV38" s="156">
        <v>3.0681817531585698</v>
      </c>
      <c r="AW38" s="156">
        <v>3.375</v>
      </c>
      <c r="AX38" s="156">
        <v>3.1363639999999999</v>
      </c>
    </row>
    <row r="39" spans="1:50" hidden="1" x14ac:dyDescent="0.35">
      <c r="A39" s="143" t="s">
        <v>754</v>
      </c>
      <c r="B39" s="143" t="s">
        <v>736</v>
      </c>
      <c r="C39" s="143">
        <v>11</v>
      </c>
      <c r="D39" s="143">
        <v>30</v>
      </c>
      <c r="E39" s="137">
        <v>1</v>
      </c>
      <c r="F39" s="137">
        <v>1</v>
      </c>
      <c r="G39" s="137">
        <v>1</v>
      </c>
      <c r="H39" s="137">
        <v>1</v>
      </c>
      <c r="J39" s="143" t="s">
        <v>754</v>
      </c>
      <c r="K39" s="143" t="s">
        <v>736</v>
      </c>
      <c r="L39" s="137" t="s">
        <v>2486</v>
      </c>
      <c r="M39" s="137" t="s">
        <v>2486</v>
      </c>
      <c r="N39" s="137" t="s">
        <v>2486</v>
      </c>
      <c r="P39" s="143" t="s">
        <v>754</v>
      </c>
      <c r="Q39" s="143" t="s">
        <v>736</v>
      </c>
      <c r="R39" s="143">
        <v>11</v>
      </c>
      <c r="S39" s="137">
        <v>0.3990303</v>
      </c>
      <c r="T39" s="137">
        <v>0.57272730000000005</v>
      </c>
      <c r="U39" s="137">
        <v>0.9717576</v>
      </c>
      <c r="V39" s="137">
        <v>0.90909090000000004</v>
      </c>
      <c r="W39" s="137">
        <v>0.35733330000000002</v>
      </c>
      <c r="X39" s="137">
        <v>0.8</v>
      </c>
      <c r="Y39" s="137">
        <v>0</v>
      </c>
      <c r="Z39" s="137">
        <v>0.45095180000000001</v>
      </c>
      <c r="AA39" s="137">
        <v>1</v>
      </c>
      <c r="AB39" s="137">
        <v>1</v>
      </c>
      <c r="AD39" s="143" t="s">
        <v>754</v>
      </c>
      <c r="AE39" s="143" t="s">
        <v>736</v>
      </c>
      <c r="AF39" s="143">
        <v>11</v>
      </c>
      <c r="AG39" s="143">
        <v>8</v>
      </c>
      <c r="AH39" s="137">
        <v>0.375</v>
      </c>
      <c r="AI39" s="137">
        <v>0</v>
      </c>
      <c r="AJ39" s="137">
        <v>2.2727299999999999E-2</v>
      </c>
      <c r="AK39" s="137">
        <v>0.1815476</v>
      </c>
      <c r="AM39" s="143" t="s">
        <v>754</v>
      </c>
      <c r="AN39" s="143" t="s">
        <v>736</v>
      </c>
      <c r="AO39" s="143">
        <v>11</v>
      </c>
      <c r="AP39" s="143">
        <v>30</v>
      </c>
      <c r="AQ39" s="156">
        <v>2.01136374473572</v>
      </c>
      <c r="AR39" s="156">
        <v>3.0757575035095202</v>
      </c>
      <c r="AS39" s="156">
        <v>2.9318182468414302</v>
      </c>
      <c r="AT39" s="156">
        <v>2.9204545021057098</v>
      </c>
      <c r="AU39" s="156">
        <v>2.8939394950866699</v>
      </c>
      <c r="AV39" s="156">
        <v>3</v>
      </c>
      <c r="AW39" s="156">
        <v>2.9848484992981001</v>
      </c>
      <c r="AX39" s="156">
        <v>2.9707789999999998</v>
      </c>
    </row>
    <row r="40" spans="1:50" hidden="1" x14ac:dyDescent="0.35">
      <c r="A40" s="143" t="s">
        <v>755</v>
      </c>
      <c r="B40" s="143" t="s">
        <v>753</v>
      </c>
      <c r="C40" s="143">
        <v>11</v>
      </c>
      <c r="D40" s="143">
        <v>29</v>
      </c>
      <c r="E40" s="137">
        <v>0.63636360000000003</v>
      </c>
      <c r="F40" s="137">
        <v>0.63636360000000003</v>
      </c>
      <c r="G40" s="137">
        <v>0.68181820000000004</v>
      </c>
      <c r="H40" s="137">
        <v>0</v>
      </c>
      <c r="J40" s="143" t="s">
        <v>755</v>
      </c>
      <c r="K40" s="143" t="s">
        <v>753</v>
      </c>
      <c r="L40" s="137" t="s">
        <v>2486</v>
      </c>
      <c r="M40" s="137" t="s">
        <v>2486</v>
      </c>
      <c r="N40" s="137" t="s">
        <v>2486</v>
      </c>
      <c r="P40" s="143" t="s">
        <v>755</v>
      </c>
      <c r="Q40" s="143" t="s">
        <v>753</v>
      </c>
      <c r="R40" s="143">
        <v>11</v>
      </c>
      <c r="S40" s="137">
        <v>0.39975759999999999</v>
      </c>
      <c r="T40" s="137">
        <v>0.57272730000000005</v>
      </c>
      <c r="U40" s="137">
        <v>0.97248480000000004</v>
      </c>
      <c r="V40" s="137">
        <v>0.81818179999999996</v>
      </c>
      <c r="W40" s="137">
        <v>0.4</v>
      </c>
      <c r="X40" s="137">
        <v>1</v>
      </c>
      <c r="Y40" s="137">
        <v>1</v>
      </c>
      <c r="Z40" s="137">
        <v>0.3868569</v>
      </c>
      <c r="AA40" s="137">
        <v>1</v>
      </c>
      <c r="AB40" s="137">
        <v>0.83333330000000005</v>
      </c>
      <c r="AD40" s="143" t="s">
        <v>755</v>
      </c>
      <c r="AE40" s="143" t="s">
        <v>753</v>
      </c>
      <c r="AF40" s="143">
        <v>11</v>
      </c>
      <c r="AG40" s="143">
        <v>8</v>
      </c>
      <c r="AH40" s="137">
        <v>0.25</v>
      </c>
      <c r="AI40" s="137">
        <v>0</v>
      </c>
      <c r="AJ40" s="137">
        <v>0</v>
      </c>
      <c r="AK40" s="137">
        <v>0.16500000000000001</v>
      </c>
      <c r="AM40" s="143" t="s">
        <v>755</v>
      </c>
      <c r="AN40" s="143" t="s">
        <v>753</v>
      </c>
      <c r="AO40" s="143">
        <v>11</v>
      </c>
      <c r="AP40" s="143">
        <v>29</v>
      </c>
      <c r="AQ40" s="156">
        <v>2.5340909957885698</v>
      </c>
      <c r="AR40" s="156">
        <v>3.1553030014038099</v>
      </c>
      <c r="AS40" s="156">
        <v>2.9583332538604701</v>
      </c>
      <c r="AT40" s="156">
        <v>2.8068182468414302</v>
      </c>
      <c r="AU40" s="156">
        <v>2.75</v>
      </c>
      <c r="AV40" s="156">
        <v>2.0681817531585698</v>
      </c>
      <c r="AW40" s="156">
        <v>3.02272725105286</v>
      </c>
      <c r="AX40" s="156">
        <v>2.7662339999999999</v>
      </c>
    </row>
    <row r="41" spans="1:50" x14ac:dyDescent="0.35">
      <c r="A41" s="143" t="s">
        <v>2847</v>
      </c>
      <c r="B41" s="143" t="s">
        <v>751</v>
      </c>
      <c r="C41" s="143">
        <v>7</v>
      </c>
      <c r="E41" s="137">
        <v>0.90909090000000004</v>
      </c>
      <c r="F41" s="137">
        <v>0.86363639999999997</v>
      </c>
      <c r="G41" s="137"/>
      <c r="H41" s="137"/>
      <c r="J41" s="143" t="s">
        <v>2847</v>
      </c>
      <c r="K41" s="143" t="s">
        <v>751</v>
      </c>
      <c r="L41" s="137" t="s">
        <v>2487</v>
      </c>
      <c r="M41" s="137" t="s">
        <v>2487</v>
      </c>
      <c r="N41" s="137"/>
      <c r="P41" s="143" t="s">
        <v>2847</v>
      </c>
      <c r="Q41" s="143" t="s">
        <v>751</v>
      </c>
      <c r="R41" s="143">
        <v>7</v>
      </c>
      <c r="S41" s="137">
        <v>0.4</v>
      </c>
      <c r="U41" s="137">
        <v>1</v>
      </c>
      <c r="V41" s="137">
        <v>1</v>
      </c>
      <c r="W41" s="137">
        <v>0</v>
      </c>
      <c r="X41" s="137">
        <v>0</v>
      </c>
      <c r="Y41" s="137">
        <v>0</v>
      </c>
      <c r="AD41" s="143" t="s">
        <v>2847</v>
      </c>
      <c r="AE41" s="143" t="s">
        <v>751</v>
      </c>
      <c r="AF41" s="143">
        <v>7</v>
      </c>
      <c r="AM41" s="143" t="s">
        <v>2847</v>
      </c>
      <c r="AN41" s="143" t="s">
        <v>751</v>
      </c>
      <c r="AO41" s="143">
        <v>7</v>
      </c>
      <c r="AP41" s="143">
        <v>29</v>
      </c>
      <c r="AX41" s="156"/>
    </row>
    <row r="42" spans="1:50" x14ac:dyDescent="0.35">
      <c r="A42" s="143" t="s">
        <v>2848</v>
      </c>
      <c r="B42" s="143" t="s">
        <v>728</v>
      </c>
      <c r="C42" s="143">
        <v>4</v>
      </c>
      <c r="D42" s="143">
        <v>29</v>
      </c>
      <c r="E42" s="137"/>
      <c r="F42" s="137"/>
      <c r="G42" s="137">
        <v>0.86363639999999997</v>
      </c>
      <c r="H42" s="137">
        <v>1</v>
      </c>
      <c r="J42" s="143" t="s">
        <v>2848</v>
      </c>
      <c r="K42" s="143" t="s">
        <v>728</v>
      </c>
      <c r="L42" s="137"/>
      <c r="M42" s="137"/>
      <c r="N42" s="137" t="s">
        <v>2487</v>
      </c>
      <c r="P42" s="143" t="s">
        <v>2848</v>
      </c>
      <c r="Q42" s="143" t="s">
        <v>728</v>
      </c>
      <c r="R42" s="143">
        <v>4</v>
      </c>
      <c r="S42" s="137">
        <v>0.39927269999999998</v>
      </c>
      <c r="T42" s="137">
        <v>0.6</v>
      </c>
      <c r="U42" s="137">
        <v>0.99927270000000001</v>
      </c>
      <c r="V42" s="137">
        <v>0.90909090000000004</v>
      </c>
      <c r="W42" s="137">
        <v>0.4</v>
      </c>
      <c r="X42" s="137">
        <v>1</v>
      </c>
      <c r="Y42" s="137">
        <v>1</v>
      </c>
      <c r="Z42" s="137">
        <v>0.51572870000000004</v>
      </c>
      <c r="AA42" s="137">
        <v>1</v>
      </c>
      <c r="AB42" s="137">
        <v>0.75</v>
      </c>
      <c r="AD42" s="143" t="s">
        <v>2848</v>
      </c>
      <c r="AE42" s="143" t="s">
        <v>728</v>
      </c>
      <c r="AF42" s="143">
        <v>4</v>
      </c>
      <c r="AG42" s="143">
        <v>8</v>
      </c>
      <c r="AH42" s="137">
        <v>0.375</v>
      </c>
      <c r="AI42" s="137">
        <v>0</v>
      </c>
      <c r="AJ42" s="137">
        <v>0.1114719</v>
      </c>
      <c r="AK42" s="137">
        <v>0.48611110000000002</v>
      </c>
      <c r="AM42" s="143" t="s">
        <v>2848</v>
      </c>
      <c r="AN42" s="143" t="s">
        <v>728</v>
      </c>
      <c r="AO42" s="143">
        <v>4</v>
      </c>
      <c r="AP42" s="143">
        <v>29</v>
      </c>
      <c r="AQ42" s="156">
        <v>2.23863625526428</v>
      </c>
      <c r="AR42" s="156">
        <v>3.5189394950866699</v>
      </c>
      <c r="AS42" s="156">
        <v>3.1590909957885698</v>
      </c>
      <c r="AT42" s="156">
        <v>3.1174242496490501</v>
      </c>
      <c r="AU42" s="156">
        <v>2.86363625526428</v>
      </c>
      <c r="AV42" s="156">
        <v>3.1590909957885698</v>
      </c>
      <c r="AW42" s="156">
        <v>3.2878787517547599</v>
      </c>
      <c r="AX42" s="156">
        <v>3.1563850000000002</v>
      </c>
    </row>
    <row r="43" spans="1:50" x14ac:dyDescent="0.35">
      <c r="A43" s="143" t="s">
        <v>2849</v>
      </c>
      <c r="B43" s="143" t="s">
        <v>748</v>
      </c>
      <c r="C43" s="143">
        <v>2</v>
      </c>
      <c r="E43" s="137">
        <v>0.78181820000000002</v>
      </c>
      <c r="F43" s="137">
        <v>0.77727270000000004</v>
      </c>
      <c r="G43" s="137"/>
      <c r="H43" s="137"/>
      <c r="J43" s="143" t="s">
        <v>2849</v>
      </c>
      <c r="K43" s="143" t="s">
        <v>748</v>
      </c>
      <c r="L43" s="137" t="s">
        <v>2487</v>
      </c>
      <c r="M43" s="137" t="s">
        <v>2487</v>
      </c>
      <c r="N43" s="137"/>
      <c r="P43" s="143" t="s">
        <v>2849</v>
      </c>
      <c r="Q43" s="143" t="s">
        <v>748</v>
      </c>
      <c r="R43" s="143">
        <v>2</v>
      </c>
      <c r="S43" s="137">
        <v>0.39591920000000003</v>
      </c>
      <c r="U43" s="137">
        <v>0.98979799999999996</v>
      </c>
      <c r="V43" s="137">
        <v>0.81818179999999996</v>
      </c>
      <c r="W43" s="137">
        <v>0</v>
      </c>
      <c r="X43" s="137">
        <v>0</v>
      </c>
      <c r="Y43" s="137">
        <v>0</v>
      </c>
      <c r="AD43" s="143" t="s">
        <v>2849</v>
      </c>
      <c r="AE43" s="143" t="s">
        <v>748</v>
      </c>
      <c r="AF43" s="143">
        <v>2</v>
      </c>
      <c r="AM43" s="143" t="s">
        <v>2849</v>
      </c>
      <c r="AN43" s="143" t="s">
        <v>748</v>
      </c>
      <c r="AO43" s="143">
        <v>2</v>
      </c>
      <c r="AP43" s="143">
        <v>40</v>
      </c>
      <c r="AX43" s="156"/>
    </row>
    <row r="44" spans="1:50" x14ac:dyDescent="0.35">
      <c r="A44" s="143" t="s">
        <v>2850</v>
      </c>
      <c r="B44" s="143" t="s">
        <v>730</v>
      </c>
      <c r="C44" s="143">
        <v>9</v>
      </c>
      <c r="D44" s="143">
        <v>40</v>
      </c>
      <c r="E44" s="137"/>
      <c r="F44" s="137"/>
      <c r="G44" s="137">
        <v>0.82727269999999997</v>
      </c>
      <c r="H44" s="137">
        <v>1</v>
      </c>
      <c r="J44" s="143" t="s">
        <v>2850</v>
      </c>
      <c r="K44" s="143" t="s">
        <v>730</v>
      </c>
      <c r="L44" s="137"/>
      <c r="M44" s="137"/>
      <c r="N44" s="137" t="s">
        <v>2486</v>
      </c>
      <c r="P44" s="143" t="s">
        <v>2850</v>
      </c>
      <c r="Q44" s="143" t="s">
        <v>730</v>
      </c>
      <c r="R44" s="143">
        <v>9</v>
      </c>
      <c r="S44" s="137">
        <v>0.35996539999999999</v>
      </c>
      <c r="T44" s="137">
        <v>0.59393940000000001</v>
      </c>
      <c r="U44" s="137">
        <v>0.95390470000000005</v>
      </c>
      <c r="V44" s="137">
        <v>0.81818179999999996</v>
      </c>
      <c r="W44" s="137">
        <v>0.2016</v>
      </c>
      <c r="X44" s="137">
        <v>0</v>
      </c>
      <c r="Y44" s="137">
        <v>0</v>
      </c>
      <c r="Z44" s="137">
        <v>0.48038950000000002</v>
      </c>
      <c r="AA44" s="137">
        <v>1</v>
      </c>
      <c r="AB44" s="137">
        <v>1</v>
      </c>
      <c r="AD44" s="143" t="s">
        <v>2850</v>
      </c>
      <c r="AE44" s="143" t="s">
        <v>730</v>
      </c>
      <c r="AF44" s="143">
        <v>9</v>
      </c>
      <c r="AG44" s="143">
        <v>20</v>
      </c>
      <c r="AH44" s="137">
        <v>0.05</v>
      </c>
      <c r="AI44" s="137">
        <v>0</v>
      </c>
      <c r="AJ44" s="137">
        <v>0</v>
      </c>
      <c r="AK44" s="137">
        <v>0.17142859999999999</v>
      </c>
      <c r="AM44" s="143" t="s">
        <v>2850</v>
      </c>
      <c r="AN44" s="143" t="s">
        <v>730</v>
      </c>
      <c r="AO44" s="143">
        <v>9</v>
      </c>
      <c r="AP44" s="143">
        <v>40</v>
      </c>
      <c r="AQ44" s="156">
        <v>2.1545455455779998</v>
      </c>
      <c r="AR44" s="156">
        <v>2.7136363983154301</v>
      </c>
      <c r="AS44" s="156">
        <v>2.4272727966308598</v>
      </c>
      <c r="AT44" s="156">
        <v>2.8045454025268599</v>
      </c>
      <c r="AU44" s="156">
        <v>1.9181817770004299</v>
      </c>
      <c r="AV44" s="156">
        <v>2.10909080505371</v>
      </c>
      <c r="AW44" s="156">
        <v>3.0499999523162802</v>
      </c>
      <c r="AX44" s="156">
        <v>2.6207790000000002</v>
      </c>
    </row>
    <row r="45" spans="1:50" hidden="1" x14ac:dyDescent="0.35">
      <c r="A45" s="143" t="s">
        <v>758</v>
      </c>
      <c r="B45" s="143" t="s">
        <v>759</v>
      </c>
      <c r="C45" s="143">
        <v>11</v>
      </c>
      <c r="D45" s="143">
        <v>29</v>
      </c>
      <c r="E45" s="137">
        <v>1</v>
      </c>
      <c r="F45" s="137">
        <v>1</v>
      </c>
      <c r="G45" s="137">
        <v>1</v>
      </c>
      <c r="H45" s="137">
        <v>0</v>
      </c>
      <c r="J45" s="143" t="s">
        <v>758</v>
      </c>
      <c r="K45" s="143" t="s">
        <v>759</v>
      </c>
      <c r="L45" s="137" t="s">
        <v>2486</v>
      </c>
      <c r="M45" s="137" t="s">
        <v>2486</v>
      </c>
      <c r="N45" s="137" t="s">
        <v>2486</v>
      </c>
      <c r="P45" s="143" t="s">
        <v>758</v>
      </c>
      <c r="Q45" s="143" t="s">
        <v>759</v>
      </c>
      <c r="R45" s="143">
        <v>11</v>
      </c>
      <c r="S45" s="137">
        <v>0.39927269999999998</v>
      </c>
      <c r="T45" s="137">
        <v>0.6</v>
      </c>
      <c r="U45" s="137">
        <v>0.99927270000000001</v>
      </c>
      <c r="V45" s="137">
        <v>0.81818179999999996</v>
      </c>
      <c r="W45" s="137">
        <v>0.4</v>
      </c>
      <c r="X45" s="137">
        <v>1</v>
      </c>
      <c r="Y45" s="137">
        <v>1</v>
      </c>
      <c r="Z45" s="137">
        <v>0.59437229999999996</v>
      </c>
      <c r="AA45" s="137">
        <v>1</v>
      </c>
      <c r="AB45" s="137">
        <v>1</v>
      </c>
      <c r="AD45" s="143" t="s">
        <v>758</v>
      </c>
      <c r="AE45" s="143" t="s">
        <v>759</v>
      </c>
      <c r="AF45" s="143">
        <v>11</v>
      </c>
      <c r="AG45" s="143">
        <v>8</v>
      </c>
      <c r="AH45" s="137">
        <v>0</v>
      </c>
      <c r="AI45" s="137">
        <v>0</v>
      </c>
      <c r="AJ45" s="137">
        <v>0</v>
      </c>
      <c r="AK45" s="137">
        <v>0.25</v>
      </c>
      <c r="AM45" s="143" t="s">
        <v>758</v>
      </c>
      <c r="AN45" s="143" t="s">
        <v>759</v>
      </c>
      <c r="AO45" s="143">
        <v>11</v>
      </c>
      <c r="AP45" s="143">
        <v>29</v>
      </c>
      <c r="AQ45" s="156">
        <v>1.84090912342072</v>
      </c>
      <c r="AR45" s="156">
        <v>3.27272725105286</v>
      </c>
      <c r="AS45" s="156">
        <v>3.1818182468414302</v>
      </c>
      <c r="AT45" s="156">
        <v>3.1060605049133301</v>
      </c>
      <c r="AU45" s="156">
        <v>2.6704545021057098</v>
      </c>
      <c r="AV45" s="156">
        <v>3.1931817531585698</v>
      </c>
      <c r="AW45" s="156">
        <v>3.4848484992981001</v>
      </c>
      <c r="AX45" s="156">
        <v>3.1525970000000001</v>
      </c>
    </row>
    <row r="46" spans="1:50" hidden="1" x14ac:dyDescent="0.35">
      <c r="A46" s="143" t="s">
        <v>760</v>
      </c>
      <c r="B46" s="143" t="s">
        <v>759</v>
      </c>
      <c r="C46" s="143">
        <v>11</v>
      </c>
      <c r="D46" s="143">
        <v>29</v>
      </c>
      <c r="E46" s="137">
        <v>1</v>
      </c>
      <c r="F46" s="137">
        <v>1</v>
      </c>
      <c r="G46" s="137">
        <v>1</v>
      </c>
      <c r="H46" s="137">
        <v>9.0909100000000007E-2</v>
      </c>
      <c r="J46" s="143" t="s">
        <v>760</v>
      </c>
      <c r="K46" s="143" t="s">
        <v>759</v>
      </c>
      <c r="L46" s="137" t="s">
        <v>2486</v>
      </c>
      <c r="M46" s="137" t="s">
        <v>2486</v>
      </c>
      <c r="N46" s="137" t="s">
        <v>2486</v>
      </c>
      <c r="P46" s="143" t="s">
        <v>760</v>
      </c>
      <c r="Q46" s="143" t="s">
        <v>759</v>
      </c>
      <c r="R46" s="143">
        <v>11</v>
      </c>
      <c r="S46" s="137">
        <v>0.39127269999999997</v>
      </c>
      <c r="T46" s="137">
        <v>0.6</v>
      </c>
      <c r="U46" s="137">
        <v>0.99127270000000001</v>
      </c>
      <c r="V46" s="137">
        <v>0.72727269999999999</v>
      </c>
      <c r="W46" s="137">
        <v>0.4</v>
      </c>
      <c r="X46" s="137">
        <v>1</v>
      </c>
      <c r="Y46" s="137">
        <v>1</v>
      </c>
      <c r="Z46" s="137">
        <v>0.60615920000000001</v>
      </c>
      <c r="AA46" s="137">
        <v>1</v>
      </c>
      <c r="AB46" s="137">
        <v>1</v>
      </c>
      <c r="AD46" s="143" t="s">
        <v>760</v>
      </c>
      <c r="AE46" s="143" t="s">
        <v>759</v>
      </c>
      <c r="AF46" s="143">
        <v>11</v>
      </c>
      <c r="AG46" s="143">
        <v>8</v>
      </c>
      <c r="AH46" s="137">
        <v>0</v>
      </c>
      <c r="AI46" s="137">
        <v>0</v>
      </c>
      <c r="AJ46" s="137">
        <v>0</v>
      </c>
      <c r="AK46" s="137">
        <v>0.35301589999999999</v>
      </c>
      <c r="AM46" s="143" t="s">
        <v>760</v>
      </c>
      <c r="AN46" s="143" t="s">
        <v>759</v>
      </c>
      <c r="AO46" s="143">
        <v>11</v>
      </c>
      <c r="AP46" s="143">
        <v>29</v>
      </c>
      <c r="AQ46" s="156">
        <v>2.1931817531585698</v>
      </c>
      <c r="AR46" s="156">
        <v>3.2689394950866699</v>
      </c>
      <c r="AS46" s="156">
        <v>3.2121212482452401</v>
      </c>
      <c r="AT46" s="156">
        <v>3.1780302524566699</v>
      </c>
      <c r="AU46" s="156">
        <v>2.5</v>
      </c>
      <c r="AV46" s="156">
        <v>3.2916667461395299</v>
      </c>
      <c r="AW46" s="156">
        <v>3.0454545021057098</v>
      </c>
      <c r="AX46" s="156">
        <v>3.0481600000000002</v>
      </c>
    </row>
    <row r="47" spans="1:50" hidden="1" x14ac:dyDescent="0.35">
      <c r="A47" s="143" t="s">
        <v>761</v>
      </c>
      <c r="B47" s="143" t="s">
        <v>720</v>
      </c>
      <c r="C47" s="143">
        <v>11</v>
      </c>
      <c r="D47" s="143">
        <v>30</v>
      </c>
      <c r="E47" s="137">
        <v>1</v>
      </c>
      <c r="F47" s="137">
        <v>1</v>
      </c>
      <c r="G47" s="137">
        <v>1</v>
      </c>
      <c r="H47" s="137">
        <v>0</v>
      </c>
      <c r="J47" s="143" t="s">
        <v>761</v>
      </c>
      <c r="K47" s="143" t="s">
        <v>720</v>
      </c>
      <c r="L47" s="137" t="s">
        <v>2486</v>
      </c>
      <c r="M47" s="137" t="s">
        <v>2486</v>
      </c>
      <c r="N47" s="137" t="s">
        <v>2486</v>
      </c>
      <c r="P47" s="143" t="s">
        <v>761</v>
      </c>
      <c r="Q47" s="143" t="s">
        <v>720</v>
      </c>
      <c r="R47" s="143">
        <v>11</v>
      </c>
      <c r="S47" s="137">
        <v>0.39939390000000002</v>
      </c>
      <c r="T47" s="137">
        <v>0.6</v>
      </c>
      <c r="U47" s="137">
        <v>0.99939389999999995</v>
      </c>
      <c r="V47" s="137">
        <v>0.72727269999999999</v>
      </c>
      <c r="W47" s="137">
        <v>0.316</v>
      </c>
      <c r="X47" s="137">
        <v>0.75</v>
      </c>
      <c r="Y47" s="137">
        <v>0</v>
      </c>
      <c r="Z47" s="137">
        <v>0.54224110000000003</v>
      </c>
      <c r="AA47" s="137">
        <v>1</v>
      </c>
      <c r="AB47" s="137">
        <v>0.85714290000000004</v>
      </c>
      <c r="AD47" s="143" t="s">
        <v>761</v>
      </c>
      <c r="AE47" s="143" t="s">
        <v>720</v>
      </c>
      <c r="AF47" s="143">
        <v>11</v>
      </c>
      <c r="AG47" s="143">
        <v>8</v>
      </c>
      <c r="AH47" s="137">
        <v>0</v>
      </c>
      <c r="AI47" s="137">
        <v>0</v>
      </c>
      <c r="AJ47" s="137">
        <v>0</v>
      </c>
      <c r="AK47" s="137">
        <v>0.40380949999999999</v>
      </c>
      <c r="AM47" s="143" t="s">
        <v>761</v>
      </c>
      <c r="AN47" s="143" t="s">
        <v>720</v>
      </c>
      <c r="AO47" s="143">
        <v>11</v>
      </c>
      <c r="AP47" s="143">
        <v>30</v>
      </c>
      <c r="AQ47" s="156">
        <v>2.1060605049133301</v>
      </c>
      <c r="AR47" s="156">
        <v>3.2537877559661901</v>
      </c>
      <c r="AS47" s="156">
        <v>3.0643939971923801</v>
      </c>
      <c r="AT47" s="156">
        <v>2.8257575035095202</v>
      </c>
      <c r="AU47" s="156">
        <v>2.5454545021057098</v>
      </c>
      <c r="AV47" s="156">
        <v>2.6060605049133301</v>
      </c>
      <c r="AW47" s="156">
        <v>3.2045454978942902</v>
      </c>
      <c r="AX47" s="156">
        <v>2.9182899999999998</v>
      </c>
    </row>
    <row r="48" spans="1:50" hidden="1" x14ac:dyDescent="0.35">
      <c r="A48" s="143" t="s">
        <v>762</v>
      </c>
      <c r="B48" s="143" t="s">
        <v>763</v>
      </c>
      <c r="C48" s="143">
        <v>11</v>
      </c>
      <c r="D48" s="143">
        <v>31</v>
      </c>
      <c r="E48" s="137">
        <v>0.61363639999999997</v>
      </c>
      <c r="F48" s="137">
        <v>0.61363639999999997</v>
      </c>
      <c r="G48" s="137">
        <v>0.65909090000000004</v>
      </c>
      <c r="H48" s="137">
        <v>0</v>
      </c>
      <c r="J48" s="143" t="s">
        <v>762</v>
      </c>
      <c r="K48" s="143" t="s">
        <v>763</v>
      </c>
      <c r="L48" s="137" t="s">
        <v>2486</v>
      </c>
      <c r="M48" s="137" t="s">
        <v>2486</v>
      </c>
      <c r="N48" s="137" t="s">
        <v>2486</v>
      </c>
      <c r="P48" s="143" t="s">
        <v>762</v>
      </c>
      <c r="Q48" s="143" t="s">
        <v>763</v>
      </c>
      <c r="R48" s="143">
        <v>11</v>
      </c>
      <c r="S48" s="137">
        <v>0.39151520000000001</v>
      </c>
      <c r="T48" s="137">
        <v>0.6</v>
      </c>
      <c r="U48" s="137">
        <v>0.99151520000000004</v>
      </c>
      <c r="V48" s="137">
        <v>0.45454549999999999</v>
      </c>
      <c r="W48" s="137">
        <v>0.39893339999999999</v>
      </c>
      <c r="X48" s="137">
        <v>1</v>
      </c>
      <c r="Y48" s="137">
        <v>1</v>
      </c>
      <c r="Z48" s="137">
        <v>0.44116490000000003</v>
      </c>
      <c r="AA48" s="137">
        <v>1</v>
      </c>
      <c r="AB48" s="137">
        <v>1</v>
      </c>
      <c r="AD48" s="143" t="s">
        <v>762</v>
      </c>
      <c r="AE48" s="143" t="s">
        <v>763</v>
      </c>
      <c r="AF48" s="143">
        <v>11</v>
      </c>
      <c r="AG48" s="143">
        <v>8</v>
      </c>
      <c r="AH48" s="137">
        <v>0</v>
      </c>
      <c r="AI48" s="137">
        <v>0</v>
      </c>
      <c r="AJ48" s="137">
        <v>0</v>
      </c>
      <c r="AK48" s="137">
        <v>0.19619049999999999</v>
      </c>
      <c r="AM48" s="143" t="s">
        <v>762</v>
      </c>
      <c r="AN48" s="143" t="s">
        <v>763</v>
      </c>
      <c r="AO48" s="143">
        <v>11</v>
      </c>
      <c r="AP48" s="143">
        <v>31</v>
      </c>
      <c r="AQ48" s="156">
        <v>2.0719697475433301</v>
      </c>
      <c r="AR48" s="156">
        <v>3.1553030014038099</v>
      </c>
      <c r="AS48" s="156">
        <v>2.5946969985961901</v>
      </c>
      <c r="AT48" s="156">
        <v>2.2083332538604701</v>
      </c>
      <c r="AU48" s="156">
        <v>2.1628787517547599</v>
      </c>
      <c r="AV48" s="156">
        <v>2.5454545021057098</v>
      </c>
      <c r="AW48" s="156">
        <v>3.13636374473572</v>
      </c>
      <c r="AX48" s="156">
        <v>2.7148270000000001</v>
      </c>
    </row>
    <row r="49" spans="1:50" hidden="1" x14ac:dyDescent="0.35">
      <c r="A49" s="143" t="s">
        <v>764</v>
      </c>
      <c r="B49" s="143" t="s">
        <v>765</v>
      </c>
      <c r="C49" s="143">
        <v>11</v>
      </c>
      <c r="D49" s="143">
        <v>41</v>
      </c>
      <c r="E49" s="137">
        <v>1</v>
      </c>
      <c r="F49" s="137">
        <v>1</v>
      </c>
      <c r="G49" s="137">
        <v>1</v>
      </c>
      <c r="H49" s="137">
        <v>0</v>
      </c>
      <c r="J49" s="143" t="s">
        <v>764</v>
      </c>
      <c r="K49" s="143" t="s">
        <v>765</v>
      </c>
      <c r="L49" s="137" t="s">
        <v>2487</v>
      </c>
      <c r="M49" s="137" t="s">
        <v>2487</v>
      </c>
      <c r="N49" s="137" t="s">
        <v>2487</v>
      </c>
      <c r="P49" s="143" t="s">
        <v>764</v>
      </c>
      <c r="Q49" s="143" t="s">
        <v>765</v>
      </c>
      <c r="R49" s="143">
        <v>11</v>
      </c>
      <c r="S49" s="137">
        <v>0.38957570000000002</v>
      </c>
      <c r="T49" s="137">
        <v>0.57272730000000005</v>
      </c>
      <c r="U49" s="137">
        <v>0.96230300000000002</v>
      </c>
      <c r="V49" s="137">
        <v>0.45454549999999999</v>
      </c>
      <c r="W49" s="137">
        <v>0.08</v>
      </c>
      <c r="X49" s="137">
        <v>0.2</v>
      </c>
      <c r="Y49" s="137">
        <v>0</v>
      </c>
      <c r="Z49" s="137">
        <v>0.44742969999999999</v>
      </c>
      <c r="AA49" s="137">
        <v>0.90909090000000004</v>
      </c>
      <c r="AB49" s="137">
        <v>1</v>
      </c>
      <c r="AD49" s="143" t="s">
        <v>764</v>
      </c>
      <c r="AE49" s="143" t="s">
        <v>765</v>
      </c>
      <c r="AF49" s="143">
        <v>11</v>
      </c>
      <c r="AG49" s="143">
        <v>20</v>
      </c>
      <c r="AH49" s="137">
        <v>0.25</v>
      </c>
      <c r="AI49" s="137">
        <v>6.6666699999999995E-2</v>
      </c>
      <c r="AJ49" s="137">
        <v>0</v>
      </c>
      <c r="AK49" s="137">
        <v>0.23988090000000001</v>
      </c>
      <c r="AM49" s="143" t="s">
        <v>764</v>
      </c>
      <c r="AN49" s="143" t="s">
        <v>765</v>
      </c>
      <c r="AO49" s="143">
        <v>11</v>
      </c>
      <c r="AP49" s="143">
        <v>41</v>
      </c>
      <c r="AQ49" s="156">
        <v>2.1984848976135298</v>
      </c>
      <c r="AR49" s="156">
        <v>3.0454545021057098</v>
      </c>
      <c r="AS49" s="156">
        <v>2.9469697475433301</v>
      </c>
      <c r="AT49" s="156">
        <v>2.8363635540008501</v>
      </c>
      <c r="AU49" s="156">
        <v>2.63181829452515</v>
      </c>
      <c r="AV49" s="156">
        <v>2.63181829452515</v>
      </c>
      <c r="AW49" s="156">
        <v>2.9227273464202899</v>
      </c>
      <c r="AX49" s="156">
        <v>2.834848</v>
      </c>
    </row>
    <row r="50" spans="1:50" x14ac:dyDescent="0.35">
      <c r="A50" s="143" t="s">
        <v>2851</v>
      </c>
      <c r="B50" s="143" t="s">
        <v>2518</v>
      </c>
      <c r="C50" s="143">
        <v>6</v>
      </c>
      <c r="E50" s="137">
        <v>1</v>
      </c>
      <c r="F50" s="137">
        <v>1</v>
      </c>
      <c r="G50" s="137"/>
      <c r="H50" s="137"/>
      <c r="J50" s="143" t="s">
        <v>2851</v>
      </c>
      <c r="K50" s="143" t="s">
        <v>2518</v>
      </c>
      <c r="L50" s="137" t="s">
        <v>2487</v>
      </c>
      <c r="M50" s="137" t="s">
        <v>2487</v>
      </c>
      <c r="N50" s="137"/>
      <c r="P50" s="143" t="s">
        <v>2851</v>
      </c>
      <c r="Q50" s="143" t="s">
        <v>2518</v>
      </c>
      <c r="R50" s="143">
        <v>6</v>
      </c>
      <c r="S50" s="137">
        <v>0.39684849999999999</v>
      </c>
      <c r="U50" s="137">
        <v>0.99212120000000004</v>
      </c>
      <c r="V50" s="137">
        <v>0.72727269999999999</v>
      </c>
      <c r="W50" s="137">
        <v>0.4</v>
      </c>
      <c r="X50" s="137">
        <v>1</v>
      </c>
      <c r="Y50" s="137">
        <v>1</v>
      </c>
      <c r="AD50" s="143" t="s">
        <v>2851</v>
      </c>
      <c r="AE50" s="143" t="s">
        <v>2518</v>
      </c>
      <c r="AF50" s="143">
        <v>6</v>
      </c>
      <c r="AM50" s="143" t="s">
        <v>2851</v>
      </c>
      <c r="AN50" s="143" t="s">
        <v>2518</v>
      </c>
      <c r="AO50" s="143">
        <v>6</v>
      </c>
      <c r="AP50" s="143">
        <v>31</v>
      </c>
      <c r="AX50" s="156"/>
    </row>
    <row r="51" spans="1:50" x14ac:dyDescent="0.35">
      <c r="A51" s="143" t="s">
        <v>2852</v>
      </c>
      <c r="B51" s="143" t="s">
        <v>728</v>
      </c>
      <c r="C51" s="143">
        <v>4</v>
      </c>
      <c r="D51" s="143">
        <v>31</v>
      </c>
      <c r="E51" s="137"/>
      <c r="F51" s="137"/>
      <c r="G51" s="137">
        <v>1</v>
      </c>
      <c r="H51" s="137">
        <v>0.125</v>
      </c>
      <c r="J51" s="143" t="s">
        <v>2852</v>
      </c>
      <c r="K51" s="143" t="s">
        <v>728</v>
      </c>
      <c r="L51" s="137"/>
      <c r="M51" s="137"/>
      <c r="N51" s="137" t="s">
        <v>2486</v>
      </c>
      <c r="P51" s="143" t="s">
        <v>2852</v>
      </c>
      <c r="Q51" s="143" t="s">
        <v>728</v>
      </c>
      <c r="R51" s="143">
        <v>4</v>
      </c>
      <c r="S51" s="137">
        <v>0.37806060000000002</v>
      </c>
      <c r="T51" s="137">
        <v>0.6</v>
      </c>
      <c r="U51" s="137">
        <v>0.97806059999999995</v>
      </c>
      <c r="V51" s="137">
        <v>0.54545460000000001</v>
      </c>
      <c r="W51" s="137">
        <v>0.4</v>
      </c>
      <c r="X51" s="137">
        <v>1</v>
      </c>
      <c r="Y51" s="137">
        <v>1</v>
      </c>
      <c r="Z51" s="137">
        <v>0.40621119999999999</v>
      </c>
      <c r="AA51" s="137">
        <v>1</v>
      </c>
      <c r="AB51" s="137">
        <v>0.83333330000000005</v>
      </c>
      <c r="AD51" s="143" t="s">
        <v>2852</v>
      </c>
      <c r="AE51" s="143" t="s">
        <v>728</v>
      </c>
      <c r="AF51" s="143">
        <v>4</v>
      </c>
      <c r="AG51" s="143">
        <v>8</v>
      </c>
      <c r="AH51" s="137">
        <v>1</v>
      </c>
      <c r="AJ51" s="137">
        <v>2.1738999999999999E-3</v>
      </c>
      <c r="AK51" s="137">
        <v>8.3333299999999999E-2</v>
      </c>
      <c r="AM51" s="143" t="s">
        <v>2852</v>
      </c>
      <c r="AN51" s="143" t="s">
        <v>728</v>
      </c>
      <c r="AO51" s="143">
        <v>4</v>
      </c>
      <c r="AP51" s="143">
        <v>31</v>
      </c>
      <c r="AQ51" s="156">
        <v>2.6749999523162802</v>
      </c>
      <c r="AR51" s="156">
        <v>3.1583333015441899</v>
      </c>
      <c r="AS51" s="156">
        <v>2.9666666984558101</v>
      </c>
      <c r="AT51" s="156">
        <v>2.7708332538604701</v>
      </c>
      <c r="AU51" s="156">
        <v>2.8458333015441899</v>
      </c>
      <c r="AV51" s="156">
        <v>3.4124999046325701</v>
      </c>
      <c r="AW51" s="156">
        <v>3.1291666030883798</v>
      </c>
      <c r="AX51" s="156">
        <v>2.9583330000000001</v>
      </c>
    </row>
    <row r="52" spans="1:50" x14ac:dyDescent="0.35">
      <c r="E52" s="137"/>
      <c r="F52" s="137"/>
      <c r="G52" s="137"/>
      <c r="H52" s="137"/>
      <c r="J52" s="143"/>
      <c r="K52" s="143"/>
      <c r="L52" s="137"/>
      <c r="M52" s="137"/>
      <c r="N52" s="137"/>
      <c r="AX52" s="156"/>
    </row>
    <row r="53" spans="1:50" x14ac:dyDescent="0.35">
      <c r="E53" s="137"/>
      <c r="F53" s="137"/>
      <c r="G53" s="137"/>
      <c r="H53" s="137"/>
      <c r="J53" s="143"/>
      <c r="K53" s="143"/>
      <c r="L53" s="137"/>
      <c r="M53" s="137"/>
      <c r="N53" s="137"/>
      <c r="AX53" s="156"/>
    </row>
    <row r="54" spans="1:50" x14ac:dyDescent="0.35">
      <c r="E54" s="137"/>
      <c r="F54" s="137"/>
      <c r="G54" s="137"/>
      <c r="H54" s="137"/>
      <c r="J54" s="143"/>
      <c r="K54" s="143"/>
      <c r="L54" s="137"/>
      <c r="M54" s="137"/>
      <c r="N54" s="137"/>
      <c r="AX54" s="156"/>
    </row>
    <row r="55" spans="1:50" x14ac:dyDescent="0.35">
      <c r="E55" s="137"/>
      <c r="F55" s="137"/>
      <c r="G55" s="137"/>
      <c r="H55" s="137"/>
      <c r="J55" s="143"/>
      <c r="K55" s="143"/>
      <c r="L55" s="137"/>
      <c r="M55" s="137"/>
      <c r="N55" s="137"/>
      <c r="AX55" s="156"/>
    </row>
    <row r="56" spans="1:50" x14ac:dyDescent="0.35">
      <c r="E56" s="137"/>
      <c r="F56" s="137"/>
      <c r="G56" s="137"/>
      <c r="H56" s="137"/>
      <c r="J56" s="143"/>
      <c r="K56" s="143"/>
      <c r="L56" s="137"/>
      <c r="M56" s="137"/>
      <c r="N56" s="137"/>
      <c r="AX56" s="156"/>
    </row>
    <row r="57" spans="1:50" x14ac:dyDescent="0.35">
      <c r="E57" s="137"/>
      <c r="F57" s="137"/>
      <c r="G57" s="137"/>
      <c r="H57" s="137"/>
      <c r="J57" s="143"/>
      <c r="K57" s="143"/>
      <c r="L57" s="137"/>
      <c r="M57" s="137"/>
      <c r="N57" s="137"/>
      <c r="AX57" s="156"/>
    </row>
  </sheetData>
  <autoFilter ref="A3:AW51" xr:uid="{00000000-0001-0000-1100-000000000000}">
    <filterColumn colId="15">
      <filters>
        <filter val="Badghis (Jan+Feb)"/>
        <filter val="Badghis (March)"/>
        <filter val="Faryab (Jan+Feb)"/>
        <filter val="Faryab (March)"/>
        <filter val="Ghazni (Jan+Feb)"/>
        <filter val="Ghazni (March)"/>
        <filter val="Kandahar (Jan+Feb)"/>
        <filter val="Kandahar (March)"/>
        <filter val="Nuristan (Jan+Feb)"/>
        <filter val="Nuristan (March)"/>
        <filter val="Panjsher (Jan+Feb)"/>
        <filter val="Panjsher (March)"/>
        <filter val="Parwan (Jan+Feb)"/>
        <filter val="Parwan (March)"/>
        <filter val="Zabul (Jan+Feb)"/>
        <filter val="Zabul (March)"/>
      </filters>
    </filterColumn>
  </autoFilter>
  <mergeCells count="19">
    <mergeCell ref="AM5:AM8"/>
    <mergeCell ref="AX5:AX8"/>
    <mergeCell ref="AW5:AW8"/>
    <mergeCell ref="AV5:AV8"/>
    <mergeCell ref="AU5:AU8"/>
    <mergeCell ref="AT5:AT8"/>
    <mergeCell ref="AS5:AS8"/>
    <mergeCell ref="AR5:AR8"/>
    <mergeCell ref="AQ5:AQ8"/>
    <mergeCell ref="AH1:AK1"/>
    <mergeCell ref="E1:H1"/>
    <mergeCell ref="L1:N1"/>
    <mergeCell ref="S1:AB1"/>
    <mergeCell ref="AQ1:AX1"/>
    <mergeCell ref="AH2:AI2"/>
    <mergeCell ref="AJ2:AK2"/>
    <mergeCell ref="S2:V2"/>
    <mergeCell ref="W2:Y2"/>
    <mergeCell ref="Z2:AB2"/>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B8474-D4FB-43F8-B271-69EACEA4761D}">
  <sheetPr>
    <tabColor theme="5" tint="0.39997558519241921"/>
  </sheetPr>
  <dimension ref="A1:AS538"/>
  <sheetViews>
    <sheetView zoomScale="55" zoomScaleNormal="55" workbookViewId="0">
      <selection activeCell="AL1" sqref="AL1:AS3"/>
    </sheetView>
  </sheetViews>
  <sheetFormatPr defaultColWidth="20.5" defaultRowHeight="15.5" x14ac:dyDescent="0.35"/>
  <cols>
    <col min="1" max="5" width="20.5" style="143"/>
    <col min="6" max="8" width="20.5" style="78"/>
    <col min="9" max="9" width="20.83203125" style="78" customWidth="1"/>
    <col min="10" max="10" width="6" style="78" customWidth="1"/>
    <col min="11" max="14" width="20.5" style="143"/>
    <col min="15" max="21" width="20.5" style="137"/>
    <col min="22" max="22" width="6" style="78" customWidth="1"/>
    <col min="23" max="27" width="20.5" style="143"/>
    <col min="28" max="31" width="20.5" style="137"/>
    <col min="32" max="32" width="5.5" style="78" customWidth="1"/>
    <col min="33" max="37" width="20.5" style="143"/>
    <col min="38" max="44" width="20.5" style="156"/>
    <col min="45" max="45" width="20.5" style="169"/>
    <col min="46" max="16384" width="20.5" style="78"/>
  </cols>
  <sheetData>
    <row r="1" spans="1:45" s="120" customFormat="1" ht="93.75" customHeight="1" x14ac:dyDescent="0.35">
      <c r="A1" s="306"/>
      <c r="B1" s="306"/>
      <c r="C1" s="306"/>
      <c r="D1" s="306"/>
      <c r="E1" s="315"/>
      <c r="F1" s="388" t="s">
        <v>2453</v>
      </c>
      <c r="G1" s="388"/>
      <c r="H1" s="388"/>
      <c r="I1" s="388"/>
      <c r="K1" s="306"/>
      <c r="L1" s="306"/>
      <c r="M1" s="306"/>
      <c r="N1" s="304"/>
      <c r="O1" s="393" t="s">
        <v>2455</v>
      </c>
      <c r="P1" s="393"/>
      <c r="Q1" s="393"/>
      <c r="R1" s="393"/>
      <c r="S1" s="393"/>
      <c r="T1" s="393"/>
      <c r="U1" s="393"/>
      <c r="W1" s="306"/>
      <c r="X1" s="306"/>
      <c r="Y1" s="306"/>
      <c r="Z1" s="304"/>
      <c r="AA1" s="315"/>
      <c r="AB1" s="392" t="s">
        <v>2456</v>
      </c>
      <c r="AC1" s="392"/>
      <c r="AD1" s="392"/>
      <c r="AE1" s="392"/>
      <c r="AG1" s="306"/>
      <c r="AH1" s="306"/>
      <c r="AI1" s="306"/>
      <c r="AJ1" s="304"/>
      <c r="AK1" s="315"/>
      <c r="AL1" s="423" t="s">
        <v>2457</v>
      </c>
      <c r="AM1" s="423"/>
      <c r="AN1" s="423"/>
      <c r="AO1" s="423"/>
      <c r="AP1" s="423"/>
      <c r="AQ1" s="423"/>
      <c r="AR1" s="423"/>
      <c r="AS1" s="423"/>
    </row>
    <row r="2" spans="1:45" s="120" customFormat="1" ht="27" customHeight="1" x14ac:dyDescent="0.35">
      <c r="A2" s="307"/>
      <c r="B2" s="307"/>
      <c r="C2" s="307"/>
      <c r="D2" s="307"/>
      <c r="E2" s="316"/>
      <c r="F2" s="303"/>
      <c r="G2" s="303"/>
      <c r="H2" s="303"/>
      <c r="I2" s="303"/>
      <c r="K2" s="307"/>
      <c r="L2" s="307"/>
      <c r="M2" s="307"/>
      <c r="N2" s="305"/>
      <c r="O2" s="393" t="s">
        <v>2458</v>
      </c>
      <c r="P2" s="393"/>
      <c r="Q2" s="393"/>
      <c r="R2" s="393"/>
      <c r="S2" s="392" t="s">
        <v>2460</v>
      </c>
      <c r="T2" s="392"/>
      <c r="U2" s="392"/>
      <c r="W2" s="307"/>
      <c r="X2" s="307"/>
      <c r="Y2" s="307"/>
      <c r="Z2" s="305"/>
      <c r="AA2" s="316"/>
      <c r="AB2" s="392" t="s">
        <v>2461</v>
      </c>
      <c r="AC2" s="392"/>
      <c r="AD2" s="392" t="s">
        <v>2462</v>
      </c>
      <c r="AE2" s="392"/>
      <c r="AG2" s="307"/>
      <c r="AH2" s="307"/>
      <c r="AI2" s="307"/>
      <c r="AJ2" s="305"/>
      <c r="AK2" s="316"/>
      <c r="AL2" s="308"/>
      <c r="AM2" s="308"/>
      <c r="AN2" s="308"/>
      <c r="AO2" s="308"/>
      <c r="AP2" s="308"/>
      <c r="AQ2" s="308"/>
      <c r="AR2" s="308"/>
      <c r="AS2" s="308"/>
    </row>
    <row r="3" spans="1:45" s="110" customFormat="1" ht="156" customHeight="1" x14ac:dyDescent="0.35">
      <c r="A3" s="292" t="s">
        <v>699</v>
      </c>
      <c r="B3" s="292" t="s">
        <v>813</v>
      </c>
      <c r="C3" s="292" t="s">
        <v>814</v>
      </c>
      <c r="D3" s="292" t="s">
        <v>815</v>
      </c>
      <c r="E3" s="317" t="s">
        <v>2463</v>
      </c>
      <c r="F3" s="300" t="s">
        <v>2464</v>
      </c>
      <c r="G3" s="300" t="s">
        <v>2465</v>
      </c>
      <c r="H3" s="300" t="s">
        <v>2466</v>
      </c>
      <c r="I3" s="300" t="s">
        <v>2467</v>
      </c>
      <c r="K3" s="292" t="s">
        <v>699</v>
      </c>
      <c r="L3" s="292" t="s">
        <v>813</v>
      </c>
      <c r="M3" s="292" t="s">
        <v>814</v>
      </c>
      <c r="N3" s="293" t="s">
        <v>815</v>
      </c>
      <c r="O3" s="301" t="s">
        <v>2471</v>
      </c>
      <c r="P3" s="301" t="s">
        <v>2472</v>
      </c>
      <c r="Q3" s="302" t="s">
        <v>2473</v>
      </c>
      <c r="R3" s="302" t="s">
        <v>2474</v>
      </c>
      <c r="S3" s="301" t="s">
        <v>2478</v>
      </c>
      <c r="T3" s="301" t="s">
        <v>2479</v>
      </c>
      <c r="U3" s="301" t="s">
        <v>2480</v>
      </c>
      <c r="W3" s="292" t="s">
        <v>699</v>
      </c>
      <c r="X3" s="292" t="s">
        <v>813</v>
      </c>
      <c r="Y3" s="292" t="s">
        <v>814</v>
      </c>
      <c r="Z3" s="293" t="s">
        <v>815</v>
      </c>
      <c r="AA3" s="317" t="s">
        <v>2481</v>
      </c>
      <c r="AB3" s="301" t="s">
        <v>2482</v>
      </c>
      <c r="AC3" s="301" t="s">
        <v>2483</v>
      </c>
      <c r="AD3" s="301" t="s">
        <v>2482</v>
      </c>
      <c r="AE3" s="301" t="s">
        <v>2483</v>
      </c>
      <c r="AG3" s="292" t="s">
        <v>699</v>
      </c>
      <c r="AH3" s="292" t="s">
        <v>813</v>
      </c>
      <c r="AI3" s="292" t="s">
        <v>814</v>
      </c>
      <c r="AJ3" s="293" t="s">
        <v>815</v>
      </c>
      <c r="AK3" s="317" t="s">
        <v>2463</v>
      </c>
      <c r="AL3" s="310" t="s">
        <v>510</v>
      </c>
      <c r="AM3" s="310" t="s">
        <v>514</v>
      </c>
      <c r="AN3" s="310" t="s">
        <v>517</v>
      </c>
      <c r="AO3" s="310" t="s">
        <v>520</v>
      </c>
      <c r="AP3" s="310" t="s">
        <v>523</v>
      </c>
      <c r="AQ3" s="310" t="s">
        <v>526</v>
      </c>
      <c r="AR3" s="310" t="s">
        <v>529</v>
      </c>
      <c r="AS3" s="311" t="s">
        <v>2488</v>
      </c>
    </row>
    <row r="4" spans="1:45" hidden="1" x14ac:dyDescent="0.35">
      <c r="A4" s="143" t="s">
        <v>2793</v>
      </c>
      <c r="B4" s="143" t="s">
        <v>2794</v>
      </c>
      <c r="C4" s="143" t="s">
        <v>2795</v>
      </c>
      <c r="D4" s="143" t="s">
        <v>2796</v>
      </c>
      <c r="E4" s="143" t="s">
        <v>2797</v>
      </c>
      <c r="F4" s="137" t="s">
        <v>2798</v>
      </c>
      <c r="G4" s="137" t="s">
        <v>2799</v>
      </c>
      <c r="H4" s="137" t="s">
        <v>2800</v>
      </c>
      <c r="I4" s="137" t="s">
        <v>2801</v>
      </c>
      <c r="J4" s="78" t="s">
        <v>2802</v>
      </c>
      <c r="K4" s="143" t="s">
        <v>2803</v>
      </c>
      <c r="L4" s="143" t="s">
        <v>2804</v>
      </c>
      <c r="M4" s="143" t="s">
        <v>2805</v>
      </c>
      <c r="N4" s="143" t="s">
        <v>2806</v>
      </c>
      <c r="O4" s="137" t="s">
        <v>2807</v>
      </c>
      <c r="P4" s="137" t="s">
        <v>2808</v>
      </c>
      <c r="Q4" s="137" t="s">
        <v>2809</v>
      </c>
      <c r="R4" s="137" t="s">
        <v>2810</v>
      </c>
      <c r="S4" s="137" t="s">
        <v>2811</v>
      </c>
      <c r="T4" s="137" t="s">
        <v>2812</v>
      </c>
      <c r="U4" s="137" t="s">
        <v>2813</v>
      </c>
      <c r="V4" s="78" t="s">
        <v>2814</v>
      </c>
      <c r="W4" s="143" t="s">
        <v>2815</v>
      </c>
      <c r="X4" s="143" t="s">
        <v>2816</v>
      </c>
      <c r="Y4" s="143" t="s">
        <v>2817</v>
      </c>
      <c r="Z4" s="143" t="s">
        <v>2818</v>
      </c>
      <c r="AA4" s="143" t="s">
        <v>2819</v>
      </c>
      <c r="AB4" s="137" t="s">
        <v>2820</v>
      </c>
      <c r="AC4" s="137" t="s">
        <v>2821</v>
      </c>
      <c r="AD4" s="137" t="s">
        <v>2822</v>
      </c>
      <c r="AE4" s="137" t="s">
        <v>2823</v>
      </c>
      <c r="AF4" s="78" t="s">
        <v>2824</v>
      </c>
      <c r="AG4" s="143" t="s">
        <v>2825</v>
      </c>
      <c r="AH4" s="143" t="s">
        <v>2826</v>
      </c>
      <c r="AI4" s="143" t="s">
        <v>2827</v>
      </c>
      <c r="AJ4" s="143" t="s">
        <v>2828</v>
      </c>
      <c r="AK4" s="143" t="s">
        <v>2829</v>
      </c>
      <c r="AL4" s="156" t="s">
        <v>2830</v>
      </c>
      <c r="AM4" s="156" t="s">
        <v>2831</v>
      </c>
      <c r="AN4" s="156" t="s">
        <v>2832</v>
      </c>
      <c r="AO4" s="156" t="s">
        <v>2833</v>
      </c>
      <c r="AP4" s="156" t="s">
        <v>2834</v>
      </c>
      <c r="AQ4" s="156" t="s">
        <v>2835</v>
      </c>
      <c r="AR4" s="156" t="s">
        <v>2836</v>
      </c>
      <c r="AS4" s="169" t="s">
        <v>2837</v>
      </c>
    </row>
    <row r="5" spans="1:45" x14ac:dyDescent="0.35">
      <c r="A5" s="143" t="s">
        <v>719</v>
      </c>
      <c r="B5" s="143" t="s">
        <v>720</v>
      </c>
      <c r="C5" s="143" t="s">
        <v>841</v>
      </c>
      <c r="D5" s="143">
        <v>401</v>
      </c>
      <c r="E5" s="143">
        <v>3</v>
      </c>
      <c r="F5" s="137">
        <v>1</v>
      </c>
      <c r="G5" s="137">
        <v>1</v>
      </c>
      <c r="H5" s="137">
        <v>1</v>
      </c>
      <c r="I5" s="137">
        <v>1</v>
      </c>
      <c r="K5" s="143" t="s">
        <v>719</v>
      </c>
      <c r="L5" s="143" t="s">
        <v>720</v>
      </c>
      <c r="M5" s="143" t="s">
        <v>841</v>
      </c>
      <c r="N5" s="143">
        <v>401</v>
      </c>
      <c r="O5" s="137">
        <v>0.4</v>
      </c>
      <c r="P5" s="137">
        <v>0.6</v>
      </c>
      <c r="Q5" s="137">
        <v>1</v>
      </c>
      <c r="R5" s="137" t="s">
        <v>2486</v>
      </c>
      <c r="S5" s="137">
        <v>0.54545460000000001</v>
      </c>
      <c r="T5" s="137" t="s">
        <v>2486</v>
      </c>
      <c r="U5" s="137" t="s">
        <v>2486</v>
      </c>
      <c r="W5" s="143" t="s">
        <v>719</v>
      </c>
      <c r="X5" s="143" t="s">
        <v>720</v>
      </c>
      <c r="Y5" s="143" t="s">
        <v>841</v>
      </c>
      <c r="Z5" s="143">
        <v>401</v>
      </c>
      <c r="AA5" s="143">
        <v>0</v>
      </c>
      <c r="AD5" s="137">
        <v>0</v>
      </c>
      <c r="AE5" s="137">
        <v>9.0909100000000007E-2</v>
      </c>
      <c r="AG5" s="143" t="s">
        <v>719</v>
      </c>
      <c r="AH5" s="143" t="s">
        <v>720</v>
      </c>
      <c r="AI5" s="143" t="s">
        <v>841</v>
      </c>
      <c r="AJ5" s="143">
        <v>401</v>
      </c>
      <c r="AK5" s="143">
        <v>3</v>
      </c>
      <c r="AL5" s="156">
        <v>2</v>
      </c>
      <c r="AM5" s="156">
        <v>3.6666667461395299</v>
      </c>
      <c r="AN5" s="156">
        <v>4</v>
      </c>
      <c r="AO5" s="156">
        <v>3.3333332538604701</v>
      </c>
      <c r="AP5" s="156">
        <v>3</v>
      </c>
      <c r="AQ5" s="156">
        <v>3</v>
      </c>
      <c r="AR5" s="156">
        <v>3.3333332538604701</v>
      </c>
      <c r="AS5" s="169">
        <v>3.3333330000000001</v>
      </c>
    </row>
    <row r="6" spans="1:45" x14ac:dyDescent="0.35">
      <c r="A6" s="143" t="s">
        <v>719</v>
      </c>
      <c r="B6" s="143" t="s">
        <v>720</v>
      </c>
      <c r="C6" s="143" t="s">
        <v>2452</v>
      </c>
      <c r="D6" s="143">
        <v>403</v>
      </c>
      <c r="E6" s="143">
        <v>20</v>
      </c>
      <c r="F6" s="137">
        <v>1</v>
      </c>
      <c r="G6" s="137">
        <v>1</v>
      </c>
      <c r="H6" s="137">
        <v>1</v>
      </c>
      <c r="I6" s="137">
        <v>0.05</v>
      </c>
      <c r="K6" s="143" t="s">
        <v>719</v>
      </c>
      <c r="L6" s="143" t="s">
        <v>720</v>
      </c>
      <c r="M6" s="143" t="s">
        <v>2452</v>
      </c>
      <c r="N6" s="143">
        <v>403</v>
      </c>
      <c r="O6" s="137">
        <v>0.39238099999999998</v>
      </c>
      <c r="P6" s="137">
        <v>0.59047620000000001</v>
      </c>
      <c r="Q6" s="137">
        <v>0.98285719999999999</v>
      </c>
      <c r="R6" s="137" t="s">
        <v>2486</v>
      </c>
      <c r="S6" s="137">
        <v>0.65178570000000002</v>
      </c>
      <c r="T6" s="137" t="s">
        <v>2486</v>
      </c>
      <c r="U6" s="137" t="s">
        <v>2838</v>
      </c>
      <c r="W6" s="143" t="s">
        <v>719</v>
      </c>
      <c r="X6" s="143" t="s">
        <v>720</v>
      </c>
      <c r="Y6" s="143" t="s">
        <v>2452</v>
      </c>
      <c r="Z6" s="143">
        <v>403</v>
      </c>
      <c r="AA6" s="143">
        <v>20</v>
      </c>
      <c r="AB6" s="137">
        <v>0</v>
      </c>
      <c r="AC6" s="137">
        <v>0.2</v>
      </c>
      <c r="AD6" s="137">
        <v>0</v>
      </c>
      <c r="AE6" s="137">
        <v>0.65178570000000002</v>
      </c>
      <c r="AG6" s="143" t="s">
        <v>719</v>
      </c>
      <c r="AH6" s="143" t="s">
        <v>720</v>
      </c>
      <c r="AI6" s="143" t="s">
        <v>2452</v>
      </c>
      <c r="AJ6" s="143">
        <v>403</v>
      </c>
      <c r="AK6" s="143">
        <v>20</v>
      </c>
      <c r="AL6" s="156">
        <v>2.2000000476837198</v>
      </c>
      <c r="AM6" s="156">
        <v>3.3499999046325701</v>
      </c>
      <c r="AN6" s="156">
        <v>3.1500000953674299</v>
      </c>
      <c r="AO6" s="156">
        <v>3.0499999523162802</v>
      </c>
      <c r="AP6" s="156">
        <v>3.0999999046325701</v>
      </c>
      <c r="AQ6" s="156">
        <v>2.9500000476837198</v>
      </c>
      <c r="AR6" s="156">
        <v>3.25</v>
      </c>
      <c r="AS6" s="169">
        <v>3.1357140000000001</v>
      </c>
    </row>
    <row r="7" spans="1:45" x14ac:dyDescent="0.35">
      <c r="A7" s="143" t="s">
        <v>719</v>
      </c>
      <c r="B7" s="143" t="s">
        <v>720</v>
      </c>
      <c r="C7" s="143" t="s">
        <v>841</v>
      </c>
      <c r="D7" s="143">
        <v>417</v>
      </c>
      <c r="E7" s="143">
        <v>3</v>
      </c>
      <c r="F7" s="137">
        <v>1</v>
      </c>
      <c r="G7" s="137">
        <v>1</v>
      </c>
      <c r="H7" s="137">
        <v>1</v>
      </c>
      <c r="I7" s="137">
        <v>0.66666669999999995</v>
      </c>
      <c r="K7" s="143" t="s">
        <v>719</v>
      </c>
      <c r="L7" s="143" t="s">
        <v>720</v>
      </c>
      <c r="M7" s="143" t="s">
        <v>841</v>
      </c>
      <c r="N7" s="143">
        <v>417</v>
      </c>
      <c r="O7" s="137">
        <v>0.4</v>
      </c>
      <c r="P7" s="137">
        <v>0.6</v>
      </c>
      <c r="Q7" s="137">
        <v>1</v>
      </c>
      <c r="R7" s="137" t="s">
        <v>2486</v>
      </c>
      <c r="S7" s="137">
        <v>0.44444440000000002</v>
      </c>
      <c r="T7" s="137" t="s">
        <v>2486</v>
      </c>
      <c r="U7" s="137" t="s">
        <v>2486</v>
      </c>
      <c r="W7" s="143" t="s">
        <v>719</v>
      </c>
      <c r="X7" s="143" t="s">
        <v>720</v>
      </c>
      <c r="Y7" s="143" t="s">
        <v>841</v>
      </c>
      <c r="Z7" s="143">
        <v>417</v>
      </c>
      <c r="AA7" s="143">
        <v>0</v>
      </c>
      <c r="AD7" s="137">
        <v>0</v>
      </c>
      <c r="AG7" s="143" t="s">
        <v>719</v>
      </c>
      <c r="AH7" s="143" t="s">
        <v>720</v>
      </c>
      <c r="AI7" s="143" t="s">
        <v>841</v>
      </c>
      <c r="AJ7" s="143">
        <v>417</v>
      </c>
      <c r="AK7" s="143">
        <v>3</v>
      </c>
      <c r="AL7" s="156">
        <v>2</v>
      </c>
      <c r="AM7" s="156">
        <v>3.6666667461395299</v>
      </c>
      <c r="AN7" s="156">
        <v>3.3333332538604701</v>
      </c>
      <c r="AO7" s="156">
        <v>3</v>
      </c>
      <c r="AP7" s="156">
        <v>3</v>
      </c>
      <c r="AQ7" s="156">
        <v>3</v>
      </c>
      <c r="AR7" s="156">
        <v>3.6666667461395299</v>
      </c>
      <c r="AS7" s="169">
        <v>3.2380949999999999</v>
      </c>
    </row>
    <row r="8" spans="1:45" x14ac:dyDescent="0.35">
      <c r="A8" s="143" t="s">
        <v>719</v>
      </c>
      <c r="B8" s="143" t="s">
        <v>720</v>
      </c>
      <c r="C8" s="143" t="s">
        <v>842</v>
      </c>
      <c r="D8" s="143">
        <v>1565</v>
      </c>
      <c r="E8" s="143">
        <v>3</v>
      </c>
      <c r="F8" s="137">
        <v>1</v>
      </c>
      <c r="G8" s="137">
        <v>1</v>
      </c>
      <c r="H8" s="137">
        <v>1</v>
      </c>
      <c r="I8" s="137">
        <v>1</v>
      </c>
      <c r="K8" s="143" t="s">
        <v>719</v>
      </c>
      <c r="L8" s="143" t="s">
        <v>720</v>
      </c>
      <c r="M8" s="143" t="s">
        <v>842</v>
      </c>
      <c r="N8" s="143">
        <v>1565</v>
      </c>
      <c r="O8" s="137">
        <v>0.4</v>
      </c>
      <c r="P8" s="137">
        <v>0.6</v>
      </c>
      <c r="Q8" s="137">
        <v>1</v>
      </c>
      <c r="R8" s="137" t="s">
        <v>2486</v>
      </c>
      <c r="S8" s="137">
        <v>0.57142859999999995</v>
      </c>
      <c r="T8" s="137" t="s">
        <v>2486</v>
      </c>
      <c r="U8" s="137" t="s">
        <v>2486</v>
      </c>
      <c r="W8" s="143" t="s">
        <v>719</v>
      </c>
      <c r="X8" s="143" t="s">
        <v>720</v>
      </c>
      <c r="Y8" s="143" t="s">
        <v>842</v>
      </c>
      <c r="Z8" s="143">
        <v>1565</v>
      </c>
      <c r="AA8" s="143">
        <v>0</v>
      </c>
      <c r="AD8" s="137">
        <v>0</v>
      </c>
      <c r="AE8" s="137">
        <v>0.28571429999999998</v>
      </c>
      <c r="AG8" s="143" t="s">
        <v>719</v>
      </c>
      <c r="AH8" s="143" t="s">
        <v>720</v>
      </c>
      <c r="AI8" s="143" t="s">
        <v>842</v>
      </c>
      <c r="AJ8" s="143">
        <v>1565</v>
      </c>
      <c r="AK8" s="143">
        <v>3</v>
      </c>
      <c r="AL8" s="156">
        <v>2.3333332538604701</v>
      </c>
      <c r="AM8" s="156">
        <v>2.6666667461395299</v>
      </c>
      <c r="AN8" s="156">
        <v>3</v>
      </c>
      <c r="AO8" s="156">
        <v>3</v>
      </c>
      <c r="AP8" s="156">
        <v>3</v>
      </c>
      <c r="AQ8" s="156">
        <v>3</v>
      </c>
      <c r="AR8" s="156">
        <v>3</v>
      </c>
      <c r="AS8" s="169">
        <v>2.9047619999999998</v>
      </c>
    </row>
    <row r="9" spans="1:45" x14ac:dyDescent="0.35">
      <c r="A9" s="143" t="s">
        <v>719</v>
      </c>
      <c r="B9" s="143" t="s">
        <v>720</v>
      </c>
      <c r="C9" s="143" t="s">
        <v>842</v>
      </c>
      <c r="D9" s="143">
        <v>1712</v>
      </c>
      <c r="E9" s="143">
        <v>3</v>
      </c>
      <c r="F9" s="137">
        <v>1</v>
      </c>
      <c r="G9" s="137">
        <v>1</v>
      </c>
      <c r="H9" s="137">
        <v>1</v>
      </c>
      <c r="I9" s="137">
        <v>1</v>
      </c>
      <c r="K9" s="143" t="s">
        <v>719</v>
      </c>
      <c r="L9" s="143" t="s">
        <v>720</v>
      </c>
      <c r="M9" s="143" t="s">
        <v>842</v>
      </c>
      <c r="N9" s="143">
        <v>1712</v>
      </c>
      <c r="O9" s="137">
        <v>0.4</v>
      </c>
      <c r="P9" s="137">
        <v>0.6</v>
      </c>
      <c r="Q9" s="137">
        <v>1</v>
      </c>
      <c r="R9" s="137" t="s">
        <v>2486</v>
      </c>
      <c r="S9" s="137">
        <v>0.28571429999999998</v>
      </c>
      <c r="T9" s="137" t="s">
        <v>2486</v>
      </c>
      <c r="U9" s="137" t="s">
        <v>2486</v>
      </c>
      <c r="W9" s="143" t="s">
        <v>719</v>
      </c>
      <c r="X9" s="143" t="s">
        <v>720</v>
      </c>
      <c r="Y9" s="143" t="s">
        <v>842</v>
      </c>
      <c r="Z9" s="143">
        <v>1712</v>
      </c>
      <c r="AA9" s="143">
        <v>0</v>
      </c>
      <c r="AD9" s="137">
        <v>0</v>
      </c>
      <c r="AE9" s="137">
        <v>0.28571429999999998</v>
      </c>
      <c r="AG9" s="143" t="s">
        <v>719</v>
      </c>
      <c r="AH9" s="143" t="s">
        <v>720</v>
      </c>
      <c r="AI9" s="143" t="s">
        <v>842</v>
      </c>
      <c r="AJ9" s="143">
        <v>1712</v>
      </c>
      <c r="AK9" s="143">
        <v>3</v>
      </c>
      <c r="AL9" s="156">
        <v>1.3333333730697601</v>
      </c>
      <c r="AM9" s="156">
        <v>3.6666667461395299</v>
      </c>
      <c r="AN9" s="156">
        <v>3.3333332538604701</v>
      </c>
      <c r="AO9" s="156">
        <v>2.3333332538604701</v>
      </c>
      <c r="AP9" s="156">
        <v>2.6666667461395299</v>
      </c>
      <c r="AQ9" s="156">
        <v>3</v>
      </c>
      <c r="AR9" s="156">
        <v>3.6666667461395299</v>
      </c>
      <c r="AS9" s="169">
        <v>3.1904759999999999</v>
      </c>
    </row>
    <row r="10" spans="1:45" x14ac:dyDescent="0.35">
      <c r="A10" s="143" t="s">
        <v>719</v>
      </c>
      <c r="B10" s="143" t="s">
        <v>720</v>
      </c>
      <c r="C10" s="143" t="s">
        <v>842</v>
      </c>
      <c r="D10" s="143">
        <v>1979</v>
      </c>
      <c r="E10" s="143">
        <v>2</v>
      </c>
      <c r="F10" s="137">
        <v>1</v>
      </c>
      <c r="G10" s="137">
        <v>1</v>
      </c>
      <c r="H10" s="137">
        <v>1</v>
      </c>
      <c r="I10" s="137">
        <v>0</v>
      </c>
      <c r="K10" s="143" t="s">
        <v>719</v>
      </c>
      <c r="L10" s="143" t="s">
        <v>720</v>
      </c>
      <c r="M10" s="143" t="s">
        <v>842</v>
      </c>
      <c r="N10" s="143">
        <v>1979</v>
      </c>
      <c r="O10" s="137">
        <v>0.4</v>
      </c>
      <c r="P10" s="137">
        <v>0.6</v>
      </c>
      <c r="Q10" s="137">
        <v>1</v>
      </c>
      <c r="R10" s="137" t="s">
        <v>2486</v>
      </c>
      <c r="S10" s="137">
        <v>0.6</v>
      </c>
      <c r="T10" s="137" t="s">
        <v>2486</v>
      </c>
      <c r="U10" s="137" t="s">
        <v>2486</v>
      </c>
      <c r="W10" s="143" t="s">
        <v>719</v>
      </c>
      <c r="X10" s="143" t="s">
        <v>720</v>
      </c>
      <c r="Y10" s="143" t="s">
        <v>842</v>
      </c>
      <c r="Z10" s="143">
        <v>1979</v>
      </c>
      <c r="AA10" s="143">
        <v>0</v>
      </c>
      <c r="AD10" s="137">
        <v>0</v>
      </c>
      <c r="AE10" s="137">
        <v>0.4</v>
      </c>
      <c r="AG10" s="143" t="s">
        <v>719</v>
      </c>
      <c r="AH10" s="143" t="s">
        <v>720</v>
      </c>
      <c r="AI10" s="143" t="s">
        <v>842</v>
      </c>
      <c r="AJ10" s="143">
        <v>1979</v>
      </c>
      <c r="AK10" s="143">
        <v>2</v>
      </c>
      <c r="AL10" s="156">
        <v>2</v>
      </c>
      <c r="AM10" s="156">
        <v>3</v>
      </c>
      <c r="AN10" s="156">
        <v>3.5</v>
      </c>
      <c r="AO10" s="156">
        <v>2.5</v>
      </c>
      <c r="AP10" s="156">
        <v>3</v>
      </c>
      <c r="AQ10" s="156">
        <v>1.5</v>
      </c>
      <c r="AR10" s="156">
        <v>2.5</v>
      </c>
      <c r="AS10" s="169">
        <v>2.714286</v>
      </c>
    </row>
    <row r="11" spans="1:45" x14ac:dyDescent="0.35">
      <c r="A11" s="143" t="s">
        <v>719</v>
      </c>
      <c r="B11" s="143" t="s">
        <v>720</v>
      </c>
      <c r="C11" s="143" t="s">
        <v>842</v>
      </c>
      <c r="D11" s="143">
        <v>2064</v>
      </c>
      <c r="E11" s="143">
        <v>2</v>
      </c>
      <c r="F11" s="137">
        <v>1</v>
      </c>
      <c r="G11" s="137">
        <v>1</v>
      </c>
      <c r="H11" s="137">
        <v>1</v>
      </c>
      <c r="I11" s="137">
        <v>1</v>
      </c>
      <c r="K11" s="143" t="s">
        <v>719</v>
      </c>
      <c r="L11" s="143" t="s">
        <v>720</v>
      </c>
      <c r="M11" s="143" t="s">
        <v>842</v>
      </c>
      <c r="N11" s="143">
        <v>2064</v>
      </c>
      <c r="O11" s="137">
        <v>0.4</v>
      </c>
      <c r="P11" s="137">
        <v>0.6</v>
      </c>
      <c r="Q11" s="137">
        <v>1</v>
      </c>
      <c r="R11" s="137" t="s">
        <v>2486</v>
      </c>
      <c r="S11" s="137">
        <v>0.3333333</v>
      </c>
      <c r="T11" s="137" t="s">
        <v>2486</v>
      </c>
      <c r="U11" s="137" t="s">
        <v>2486</v>
      </c>
      <c r="W11" s="143" t="s">
        <v>719</v>
      </c>
      <c r="X11" s="143" t="s">
        <v>720</v>
      </c>
      <c r="Y11" s="143" t="s">
        <v>842</v>
      </c>
      <c r="Z11" s="143">
        <v>2064</v>
      </c>
      <c r="AA11" s="143">
        <v>0</v>
      </c>
      <c r="AD11" s="137">
        <v>0</v>
      </c>
      <c r="AG11" s="143" t="s">
        <v>719</v>
      </c>
      <c r="AH11" s="143" t="s">
        <v>720</v>
      </c>
      <c r="AI11" s="143" t="s">
        <v>842</v>
      </c>
      <c r="AJ11" s="143">
        <v>2064</v>
      </c>
      <c r="AK11" s="143">
        <v>2</v>
      </c>
      <c r="AL11" s="156">
        <v>1.5</v>
      </c>
      <c r="AM11" s="156">
        <v>3.5</v>
      </c>
      <c r="AN11" s="156">
        <v>3</v>
      </c>
      <c r="AO11" s="156">
        <v>3.5</v>
      </c>
      <c r="AP11" s="156">
        <v>4</v>
      </c>
      <c r="AQ11" s="156">
        <v>3</v>
      </c>
      <c r="AR11" s="156">
        <v>3.5</v>
      </c>
      <c r="AS11" s="169">
        <v>3.4285709999999998</v>
      </c>
    </row>
    <row r="12" spans="1:45" x14ac:dyDescent="0.35">
      <c r="A12" s="143" t="s">
        <v>719</v>
      </c>
      <c r="B12" s="143" t="s">
        <v>720</v>
      </c>
      <c r="C12" s="143" t="s">
        <v>663</v>
      </c>
      <c r="D12" s="143">
        <v>2527</v>
      </c>
      <c r="E12" s="143">
        <v>2</v>
      </c>
      <c r="F12" s="137">
        <v>1</v>
      </c>
      <c r="G12" s="137">
        <v>1</v>
      </c>
      <c r="H12" s="137">
        <v>1</v>
      </c>
      <c r="I12" s="137">
        <v>0</v>
      </c>
      <c r="K12" s="143" t="s">
        <v>719</v>
      </c>
      <c r="L12" s="143" t="s">
        <v>720</v>
      </c>
      <c r="M12" s="143" t="s">
        <v>663</v>
      </c>
      <c r="N12" s="143">
        <v>2527</v>
      </c>
      <c r="O12" s="137">
        <v>0.4</v>
      </c>
      <c r="P12" s="137">
        <v>0.6</v>
      </c>
      <c r="Q12" s="137">
        <v>1</v>
      </c>
      <c r="R12" s="137" t="s">
        <v>2486</v>
      </c>
      <c r="S12" s="137">
        <v>0.75</v>
      </c>
      <c r="T12" s="137" t="s">
        <v>2486</v>
      </c>
      <c r="U12" s="137" t="s">
        <v>2838</v>
      </c>
      <c r="W12" s="143" t="s">
        <v>719</v>
      </c>
      <c r="X12" s="143" t="s">
        <v>720</v>
      </c>
      <c r="Y12" s="143" t="s">
        <v>663</v>
      </c>
      <c r="Z12" s="143">
        <v>2527</v>
      </c>
      <c r="AA12" s="143">
        <v>0</v>
      </c>
      <c r="AD12" s="137">
        <v>0</v>
      </c>
      <c r="AE12" s="137">
        <v>0.5</v>
      </c>
      <c r="AG12" s="143" t="s">
        <v>719</v>
      </c>
      <c r="AH12" s="143" t="s">
        <v>720</v>
      </c>
      <c r="AI12" s="143" t="s">
        <v>663</v>
      </c>
      <c r="AJ12" s="143">
        <v>2527</v>
      </c>
      <c r="AK12" s="143">
        <v>2</v>
      </c>
      <c r="AL12" s="156">
        <v>1.5</v>
      </c>
      <c r="AM12" s="156">
        <v>3</v>
      </c>
      <c r="AN12" s="156">
        <v>3</v>
      </c>
      <c r="AO12" s="156">
        <v>4</v>
      </c>
      <c r="AP12" s="156">
        <v>3.5</v>
      </c>
      <c r="AQ12" s="156">
        <v>3</v>
      </c>
      <c r="AR12" s="156">
        <v>4</v>
      </c>
      <c r="AS12" s="169">
        <v>3.4285709999999998</v>
      </c>
    </row>
    <row r="13" spans="1:45" x14ac:dyDescent="0.35">
      <c r="A13" s="143" t="s">
        <v>719</v>
      </c>
      <c r="B13" s="143" t="s">
        <v>720</v>
      </c>
      <c r="C13" s="143" t="s">
        <v>663</v>
      </c>
      <c r="D13" s="143">
        <v>2570</v>
      </c>
      <c r="E13" s="143">
        <v>2</v>
      </c>
      <c r="F13" s="137">
        <v>1</v>
      </c>
      <c r="G13" s="137">
        <v>1</v>
      </c>
      <c r="H13" s="137">
        <v>1</v>
      </c>
      <c r="I13" s="137">
        <v>1</v>
      </c>
      <c r="K13" s="143" t="s">
        <v>719</v>
      </c>
      <c r="L13" s="143" t="s">
        <v>720</v>
      </c>
      <c r="M13" s="143" t="s">
        <v>663</v>
      </c>
      <c r="N13" s="143">
        <v>2570</v>
      </c>
      <c r="O13" s="137">
        <v>0.4</v>
      </c>
      <c r="P13" s="137">
        <v>0.6</v>
      </c>
      <c r="Q13" s="137">
        <v>1</v>
      </c>
      <c r="R13" s="137" t="s">
        <v>2486</v>
      </c>
      <c r="S13" s="137">
        <v>0.5</v>
      </c>
      <c r="T13" s="137" t="s">
        <v>2486</v>
      </c>
      <c r="U13" s="137" t="s">
        <v>2838</v>
      </c>
      <c r="W13" s="143" t="s">
        <v>719</v>
      </c>
      <c r="X13" s="143" t="s">
        <v>720</v>
      </c>
      <c r="Y13" s="143" t="s">
        <v>663</v>
      </c>
      <c r="Z13" s="143">
        <v>2570</v>
      </c>
      <c r="AA13" s="143">
        <v>0</v>
      </c>
      <c r="AD13" s="137">
        <v>0</v>
      </c>
      <c r="AE13" s="137">
        <v>0.5</v>
      </c>
      <c r="AG13" s="143" t="s">
        <v>719</v>
      </c>
      <c r="AH13" s="143" t="s">
        <v>720</v>
      </c>
      <c r="AI13" s="143" t="s">
        <v>663</v>
      </c>
      <c r="AJ13" s="143">
        <v>2570</v>
      </c>
      <c r="AK13" s="143">
        <v>2</v>
      </c>
      <c r="AL13" s="156">
        <v>1.5</v>
      </c>
      <c r="AM13" s="156">
        <v>3.5</v>
      </c>
      <c r="AN13" s="156">
        <v>3</v>
      </c>
      <c r="AO13" s="156">
        <v>2.5</v>
      </c>
      <c r="AP13" s="156">
        <v>2.5</v>
      </c>
      <c r="AQ13" s="156">
        <v>3</v>
      </c>
      <c r="AR13" s="156">
        <v>3</v>
      </c>
      <c r="AS13" s="169">
        <v>3</v>
      </c>
    </row>
    <row r="14" spans="1:45" x14ac:dyDescent="0.35">
      <c r="A14" s="143" t="s">
        <v>719</v>
      </c>
      <c r="B14" s="143" t="s">
        <v>720</v>
      </c>
      <c r="C14" s="143" t="s">
        <v>663</v>
      </c>
      <c r="D14" s="143">
        <v>2584</v>
      </c>
      <c r="E14" s="143">
        <v>2</v>
      </c>
      <c r="F14" s="137">
        <v>1</v>
      </c>
      <c r="G14" s="137">
        <v>1</v>
      </c>
      <c r="H14" s="137">
        <v>1</v>
      </c>
      <c r="I14" s="137">
        <v>1</v>
      </c>
      <c r="K14" s="143" t="s">
        <v>719</v>
      </c>
      <c r="L14" s="143" t="s">
        <v>720</v>
      </c>
      <c r="M14" s="143" t="s">
        <v>663</v>
      </c>
      <c r="N14" s="143">
        <v>2584</v>
      </c>
      <c r="O14" s="137">
        <v>0.4</v>
      </c>
      <c r="P14" s="137">
        <v>0.6</v>
      </c>
      <c r="Q14" s="137">
        <v>1</v>
      </c>
      <c r="R14" s="137" t="s">
        <v>2486</v>
      </c>
      <c r="S14" s="137">
        <v>0.6</v>
      </c>
      <c r="T14" s="137" t="s">
        <v>2486</v>
      </c>
      <c r="U14" s="137" t="s">
        <v>2838</v>
      </c>
      <c r="W14" s="143" t="s">
        <v>719</v>
      </c>
      <c r="X14" s="143" t="s">
        <v>720</v>
      </c>
      <c r="Y14" s="143" t="s">
        <v>663</v>
      </c>
      <c r="Z14" s="143">
        <v>2584</v>
      </c>
      <c r="AA14" s="143">
        <v>0</v>
      </c>
      <c r="AD14" s="137">
        <v>0</v>
      </c>
      <c r="AE14" s="137">
        <v>0.4</v>
      </c>
      <c r="AG14" s="143" t="s">
        <v>719</v>
      </c>
      <c r="AH14" s="143" t="s">
        <v>720</v>
      </c>
      <c r="AI14" s="143" t="s">
        <v>663</v>
      </c>
      <c r="AJ14" s="143">
        <v>2584</v>
      </c>
      <c r="AK14" s="143">
        <v>2</v>
      </c>
      <c r="AL14" s="156">
        <v>2</v>
      </c>
      <c r="AM14" s="156">
        <v>3</v>
      </c>
      <c r="AN14" s="156">
        <v>3</v>
      </c>
      <c r="AO14" s="156">
        <v>2.5</v>
      </c>
      <c r="AP14" s="156">
        <v>2.5</v>
      </c>
      <c r="AQ14" s="156">
        <v>3</v>
      </c>
      <c r="AR14" s="156">
        <v>3</v>
      </c>
      <c r="AS14" s="169">
        <v>2.8571430000000002</v>
      </c>
    </row>
    <row r="15" spans="1:45" x14ac:dyDescent="0.35">
      <c r="A15" s="143" t="s">
        <v>719</v>
      </c>
      <c r="B15" s="143" t="s">
        <v>720</v>
      </c>
      <c r="C15" s="143" t="s">
        <v>663</v>
      </c>
      <c r="D15" s="143">
        <v>2880</v>
      </c>
      <c r="E15" s="143">
        <v>2</v>
      </c>
      <c r="F15" s="137">
        <v>1</v>
      </c>
      <c r="G15" s="137">
        <v>1</v>
      </c>
      <c r="H15" s="137">
        <v>1</v>
      </c>
      <c r="I15" s="137">
        <v>0</v>
      </c>
      <c r="K15" s="143" t="s">
        <v>719</v>
      </c>
      <c r="L15" s="143" t="s">
        <v>720</v>
      </c>
      <c r="M15" s="143" t="s">
        <v>663</v>
      </c>
      <c r="N15" s="143">
        <v>2880</v>
      </c>
      <c r="O15" s="137">
        <v>0.4</v>
      </c>
      <c r="P15" s="137">
        <v>0</v>
      </c>
      <c r="Q15" s="137">
        <v>0.4</v>
      </c>
      <c r="R15" s="137" t="s">
        <v>2487</v>
      </c>
      <c r="S15" s="137">
        <v>0.5</v>
      </c>
      <c r="T15" s="137" t="s">
        <v>2487</v>
      </c>
      <c r="U15" s="137" t="s">
        <v>2838</v>
      </c>
      <c r="W15" s="143" t="s">
        <v>719</v>
      </c>
      <c r="X15" s="143" t="s">
        <v>720</v>
      </c>
      <c r="Y15" s="143" t="s">
        <v>663</v>
      </c>
      <c r="Z15" s="143">
        <v>2880</v>
      </c>
      <c r="AA15" s="143">
        <v>0</v>
      </c>
      <c r="AD15" s="137">
        <v>0</v>
      </c>
      <c r="AE15" s="137">
        <v>0.5</v>
      </c>
      <c r="AG15" s="143" t="s">
        <v>719</v>
      </c>
      <c r="AH15" s="143" t="s">
        <v>720</v>
      </c>
      <c r="AI15" s="143" t="s">
        <v>663</v>
      </c>
      <c r="AJ15" s="143">
        <v>2880</v>
      </c>
      <c r="AK15" s="143">
        <v>2</v>
      </c>
      <c r="AL15" s="156">
        <v>2</v>
      </c>
      <c r="AM15" s="156">
        <v>3</v>
      </c>
      <c r="AN15" s="156">
        <v>3.5</v>
      </c>
      <c r="AO15" s="156">
        <v>3</v>
      </c>
      <c r="AP15" s="156">
        <v>1.5</v>
      </c>
      <c r="AQ15" s="156">
        <v>3</v>
      </c>
      <c r="AR15" s="156">
        <v>3.5</v>
      </c>
      <c r="AS15" s="169">
        <v>2.9285709999999998</v>
      </c>
    </row>
    <row r="16" spans="1:45" x14ac:dyDescent="0.35">
      <c r="A16" s="143" t="s">
        <v>719</v>
      </c>
      <c r="B16" s="143" t="s">
        <v>720</v>
      </c>
      <c r="C16" s="143" t="s">
        <v>663</v>
      </c>
      <c r="D16" s="143">
        <v>4263</v>
      </c>
      <c r="E16" s="143">
        <v>2</v>
      </c>
      <c r="F16" s="137">
        <v>1</v>
      </c>
      <c r="G16" s="137">
        <v>1</v>
      </c>
      <c r="H16" s="137">
        <v>1</v>
      </c>
      <c r="I16" s="137">
        <v>0.5</v>
      </c>
      <c r="K16" s="143" t="s">
        <v>719</v>
      </c>
      <c r="L16" s="143" t="s">
        <v>720</v>
      </c>
      <c r="M16" s="143" t="s">
        <v>663</v>
      </c>
      <c r="N16" s="143">
        <v>4263</v>
      </c>
      <c r="O16" s="137">
        <v>0.4</v>
      </c>
      <c r="P16" s="137">
        <v>0.6</v>
      </c>
      <c r="Q16" s="137">
        <v>1</v>
      </c>
      <c r="R16" s="137" t="s">
        <v>2486</v>
      </c>
      <c r="S16" s="137">
        <v>0.66666669999999995</v>
      </c>
      <c r="T16" s="137" t="s">
        <v>2486</v>
      </c>
      <c r="U16" s="137" t="s">
        <v>2838</v>
      </c>
      <c r="W16" s="143" t="s">
        <v>719</v>
      </c>
      <c r="X16" s="143" t="s">
        <v>720</v>
      </c>
      <c r="Y16" s="143" t="s">
        <v>663</v>
      </c>
      <c r="Z16" s="143">
        <v>4263</v>
      </c>
      <c r="AA16" s="143">
        <v>0</v>
      </c>
      <c r="AD16" s="137">
        <v>0</v>
      </c>
      <c r="AG16" s="143" t="s">
        <v>719</v>
      </c>
      <c r="AH16" s="143" t="s">
        <v>720</v>
      </c>
      <c r="AI16" s="143" t="s">
        <v>663</v>
      </c>
      <c r="AJ16" s="143">
        <v>4263</v>
      </c>
      <c r="AK16" s="143">
        <v>2</v>
      </c>
      <c r="AL16" s="156">
        <v>2</v>
      </c>
      <c r="AM16" s="156">
        <v>4</v>
      </c>
      <c r="AN16" s="156">
        <v>3</v>
      </c>
      <c r="AO16" s="156">
        <v>3</v>
      </c>
      <c r="AP16" s="156">
        <v>1</v>
      </c>
      <c r="AQ16" s="156">
        <v>3</v>
      </c>
      <c r="AR16" s="156">
        <v>3</v>
      </c>
      <c r="AS16" s="169">
        <v>2.8571430000000002</v>
      </c>
    </row>
    <row r="17" spans="1:45" x14ac:dyDescent="0.35">
      <c r="A17" s="143" t="s">
        <v>719</v>
      </c>
      <c r="B17" s="143" t="s">
        <v>720</v>
      </c>
      <c r="C17" s="143" t="s">
        <v>663</v>
      </c>
      <c r="D17" s="143">
        <v>4265</v>
      </c>
      <c r="E17" s="143">
        <v>2</v>
      </c>
      <c r="F17" s="137">
        <v>1</v>
      </c>
      <c r="G17" s="137">
        <v>1</v>
      </c>
      <c r="H17" s="137">
        <v>1</v>
      </c>
      <c r="I17" s="137">
        <v>1</v>
      </c>
      <c r="K17" s="143" t="s">
        <v>719</v>
      </c>
      <c r="L17" s="143" t="s">
        <v>720</v>
      </c>
      <c r="M17" s="143" t="s">
        <v>663</v>
      </c>
      <c r="N17" s="143">
        <v>4265</v>
      </c>
      <c r="O17" s="137">
        <v>0.4</v>
      </c>
      <c r="P17" s="137">
        <v>0.6</v>
      </c>
      <c r="Q17" s="137">
        <v>1</v>
      </c>
      <c r="R17" s="137" t="s">
        <v>2486</v>
      </c>
      <c r="S17" s="137">
        <v>1</v>
      </c>
      <c r="T17" s="137" t="s">
        <v>2486</v>
      </c>
      <c r="U17" s="137" t="s">
        <v>2838</v>
      </c>
      <c r="W17" s="143" t="s">
        <v>719</v>
      </c>
      <c r="X17" s="143" t="s">
        <v>720</v>
      </c>
      <c r="Y17" s="143" t="s">
        <v>663</v>
      </c>
      <c r="Z17" s="143">
        <v>4265</v>
      </c>
      <c r="AA17" s="143">
        <v>0</v>
      </c>
      <c r="AD17" s="137">
        <v>0</v>
      </c>
      <c r="AE17" s="137">
        <v>0.66666669999999995</v>
      </c>
      <c r="AG17" s="143" t="s">
        <v>719</v>
      </c>
      <c r="AH17" s="143" t="s">
        <v>720</v>
      </c>
      <c r="AI17" s="143" t="s">
        <v>663</v>
      </c>
      <c r="AJ17" s="143">
        <v>4265</v>
      </c>
      <c r="AK17" s="143">
        <v>2</v>
      </c>
      <c r="AL17" s="156">
        <v>2</v>
      </c>
      <c r="AM17" s="156">
        <v>4</v>
      </c>
      <c r="AN17" s="156">
        <v>3</v>
      </c>
      <c r="AO17" s="156">
        <v>3.5</v>
      </c>
      <c r="AP17" s="156">
        <v>1</v>
      </c>
      <c r="AQ17" s="156">
        <v>3</v>
      </c>
      <c r="AR17" s="156">
        <v>3.5</v>
      </c>
      <c r="AS17" s="169">
        <v>3</v>
      </c>
    </row>
    <row r="18" spans="1:45" x14ac:dyDescent="0.35">
      <c r="A18" s="143" t="s">
        <v>719</v>
      </c>
      <c r="B18" s="143" t="s">
        <v>720</v>
      </c>
      <c r="C18" s="143" t="s">
        <v>663</v>
      </c>
      <c r="D18" s="143">
        <v>4283</v>
      </c>
      <c r="E18" s="143">
        <v>2</v>
      </c>
      <c r="F18" s="137">
        <v>1</v>
      </c>
      <c r="G18" s="137">
        <v>1</v>
      </c>
      <c r="H18" s="137">
        <v>1</v>
      </c>
      <c r="I18" s="137">
        <v>0</v>
      </c>
      <c r="K18" s="143" t="s">
        <v>719</v>
      </c>
      <c r="L18" s="143" t="s">
        <v>720</v>
      </c>
      <c r="M18" s="143" t="s">
        <v>663</v>
      </c>
      <c r="N18" s="143">
        <v>4283</v>
      </c>
      <c r="O18" s="137">
        <v>0.4</v>
      </c>
      <c r="P18" s="137">
        <v>0.6</v>
      </c>
      <c r="Q18" s="137">
        <v>1</v>
      </c>
      <c r="R18" s="137" t="s">
        <v>2486</v>
      </c>
      <c r="S18" s="137">
        <v>0.66666669999999995</v>
      </c>
      <c r="T18" s="137" t="s">
        <v>2486</v>
      </c>
      <c r="U18" s="137" t="s">
        <v>2838</v>
      </c>
      <c r="W18" s="143" t="s">
        <v>719</v>
      </c>
      <c r="X18" s="143" t="s">
        <v>720</v>
      </c>
      <c r="Y18" s="143" t="s">
        <v>663</v>
      </c>
      <c r="Z18" s="143">
        <v>4283</v>
      </c>
      <c r="AA18" s="143">
        <v>0</v>
      </c>
      <c r="AD18" s="137">
        <v>0</v>
      </c>
      <c r="AE18" s="137">
        <v>0.66666669999999995</v>
      </c>
      <c r="AG18" s="143" t="s">
        <v>719</v>
      </c>
      <c r="AH18" s="143" t="s">
        <v>720</v>
      </c>
      <c r="AI18" s="143" t="s">
        <v>663</v>
      </c>
      <c r="AJ18" s="143">
        <v>4283</v>
      </c>
      <c r="AK18" s="143">
        <v>2</v>
      </c>
      <c r="AL18" s="156">
        <v>2</v>
      </c>
      <c r="AM18" s="156">
        <v>3.5</v>
      </c>
      <c r="AN18" s="156">
        <v>3</v>
      </c>
      <c r="AO18" s="156">
        <v>2</v>
      </c>
      <c r="AP18" s="156">
        <v>2.5</v>
      </c>
      <c r="AQ18" s="156">
        <v>3</v>
      </c>
      <c r="AR18" s="156">
        <v>3</v>
      </c>
      <c r="AS18" s="169">
        <v>2.8571430000000002</v>
      </c>
    </row>
    <row r="19" spans="1:45" x14ac:dyDescent="0.35">
      <c r="A19" s="143" t="s">
        <v>719</v>
      </c>
      <c r="B19" s="143" t="s">
        <v>720</v>
      </c>
      <c r="C19" s="143" t="s">
        <v>663</v>
      </c>
      <c r="D19" s="143">
        <v>4287</v>
      </c>
      <c r="E19" s="143">
        <v>2</v>
      </c>
      <c r="F19" s="137">
        <v>1</v>
      </c>
      <c r="G19" s="137">
        <v>1</v>
      </c>
      <c r="H19" s="137">
        <v>1</v>
      </c>
      <c r="I19" s="137">
        <v>0</v>
      </c>
      <c r="K19" s="143" t="s">
        <v>719</v>
      </c>
      <c r="L19" s="143" t="s">
        <v>720</v>
      </c>
      <c r="M19" s="143" t="s">
        <v>663</v>
      </c>
      <c r="N19" s="143">
        <v>4287</v>
      </c>
      <c r="O19" s="137">
        <v>0.4</v>
      </c>
      <c r="P19" s="137">
        <v>0.6</v>
      </c>
      <c r="Q19" s="137">
        <v>1</v>
      </c>
      <c r="R19" s="137" t="s">
        <v>2486</v>
      </c>
      <c r="S19" s="137">
        <v>0.66666669999999995</v>
      </c>
      <c r="T19" s="137" t="s">
        <v>2486</v>
      </c>
      <c r="U19" s="137" t="s">
        <v>2838</v>
      </c>
      <c r="W19" s="143" t="s">
        <v>719</v>
      </c>
      <c r="X19" s="143" t="s">
        <v>720</v>
      </c>
      <c r="Y19" s="143" t="s">
        <v>663</v>
      </c>
      <c r="Z19" s="143">
        <v>4287</v>
      </c>
      <c r="AA19" s="143">
        <v>0</v>
      </c>
      <c r="AD19" s="137">
        <v>0</v>
      </c>
      <c r="AE19" s="137">
        <v>0.66666669999999995</v>
      </c>
      <c r="AG19" s="143" t="s">
        <v>719</v>
      </c>
      <c r="AH19" s="143" t="s">
        <v>720</v>
      </c>
      <c r="AI19" s="143" t="s">
        <v>663</v>
      </c>
      <c r="AJ19" s="143">
        <v>4287</v>
      </c>
      <c r="AK19" s="143">
        <v>2</v>
      </c>
      <c r="AL19" s="156">
        <v>1.5</v>
      </c>
      <c r="AM19" s="156">
        <v>3</v>
      </c>
      <c r="AN19" s="156">
        <v>3</v>
      </c>
      <c r="AO19" s="156">
        <v>3</v>
      </c>
      <c r="AP19" s="156">
        <v>1</v>
      </c>
      <c r="AQ19" s="156">
        <v>3</v>
      </c>
      <c r="AR19" s="156">
        <v>3.5</v>
      </c>
      <c r="AS19" s="169">
        <v>2.8571430000000002</v>
      </c>
    </row>
    <row r="20" spans="1:45" x14ac:dyDescent="0.35">
      <c r="A20" s="143" t="s">
        <v>719</v>
      </c>
      <c r="B20" s="143" t="s">
        <v>720</v>
      </c>
      <c r="C20" s="143" t="s">
        <v>663</v>
      </c>
      <c r="D20" s="143">
        <v>4289</v>
      </c>
      <c r="E20" s="143">
        <v>2</v>
      </c>
      <c r="F20" s="137">
        <v>1</v>
      </c>
      <c r="G20" s="137">
        <v>1</v>
      </c>
      <c r="H20" s="137">
        <v>1</v>
      </c>
      <c r="I20" s="137">
        <v>0</v>
      </c>
      <c r="K20" s="143" t="s">
        <v>719</v>
      </c>
      <c r="L20" s="143" t="s">
        <v>720</v>
      </c>
      <c r="M20" s="143" t="s">
        <v>663</v>
      </c>
      <c r="N20" s="143">
        <v>4289</v>
      </c>
      <c r="O20" s="137">
        <v>0.4</v>
      </c>
      <c r="P20" s="137">
        <v>0.6</v>
      </c>
      <c r="Q20" s="137">
        <v>1</v>
      </c>
      <c r="R20" s="137" t="s">
        <v>2486</v>
      </c>
      <c r="S20" s="137">
        <v>0.66666669999999995</v>
      </c>
      <c r="T20" s="137" t="s">
        <v>2486</v>
      </c>
      <c r="U20" s="137" t="s">
        <v>2838</v>
      </c>
      <c r="W20" s="143" t="s">
        <v>719</v>
      </c>
      <c r="X20" s="143" t="s">
        <v>720</v>
      </c>
      <c r="Y20" s="143" t="s">
        <v>663</v>
      </c>
      <c r="Z20" s="143">
        <v>4289</v>
      </c>
      <c r="AA20" s="143">
        <v>0</v>
      </c>
      <c r="AD20" s="137">
        <v>0</v>
      </c>
      <c r="AG20" s="143" t="s">
        <v>719</v>
      </c>
      <c r="AH20" s="143" t="s">
        <v>720</v>
      </c>
      <c r="AI20" s="143" t="s">
        <v>663</v>
      </c>
      <c r="AJ20" s="143">
        <v>4289</v>
      </c>
      <c r="AK20" s="143">
        <v>2</v>
      </c>
      <c r="AL20" s="156">
        <v>1.5</v>
      </c>
      <c r="AM20" s="156">
        <v>3.5</v>
      </c>
      <c r="AN20" s="156">
        <v>4</v>
      </c>
      <c r="AO20" s="156">
        <v>3</v>
      </c>
      <c r="AP20" s="156">
        <v>1</v>
      </c>
      <c r="AQ20" s="156">
        <v>3</v>
      </c>
      <c r="AR20" s="156">
        <v>3.5</v>
      </c>
      <c r="AS20" s="169">
        <v>3.0714290000000002</v>
      </c>
    </row>
    <row r="21" spans="1:45" x14ac:dyDescent="0.35">
      <c r="A21" s="143" t="s">
        <v>2839</v>
      </c>
      <c r="B21" s="143" t="s">
        <v>759</v>
      </c>
      <c r="C21" s="143" t="s">
        <v>2452</v>
      </c>
      <c r="D21" s="143">
        <v>612</v>
      </c>
      <c r="F21" s="137">
        <v>1</v>
      </c>
      <c r="G21" s="137">
        <v>1</v>
      </c>
      <c r="H21" s="137"/>
      <c r="I21" s="137"/>
      <c r="K21" s="143" t="s">
        <v>2839</v>
      </c>
      <c r="L21" s="143" t="s">
        <v>759</v>
      </c>
      <c r="M21" s="143" t="s">
        <v>2452</v>
      </c>
      <c r="N21" s="143">
        <v>612</v>
      </c>
      <c r="O21" s="137">
        <v>0.34958729999999999</v>
      </c>
      <c r="Q21" s="137">
        <v>0.87396819999999997</v>
      </c>
      <c r="R21" s="137" t="s">
        <v>2487</v>
      </c>
      <c r="T21" s="137" t="s">
        <v>2838</v>
      </c>
      <c r="U21" s="137" t="s">
        <v>2838</v>
      </c>
      <c r="W21" s="143" t="s">
        <v>2839</v>
      </c>
      <c r="X21" s="143" t="s">
        <v>759</v>
      </c>
      <c r="Y21" s="143" t="s">
        <v>2452</v>
      </c>
      <c r="Z21" s="143">
        <v>612</v>
      </c>
      <c r="AG21" s="143" t="s">
        <v>2839</v>
      </c>
      <c r="AH21" s="143" t="s">
        <v>759</v>
      </c>
      <c r="AI21" s="143" t="s">
        <v>2452</v>
      </c>
      <c r="AJ21" s="143">
        <v>612</v>
      </c>
    </row>
    <row r="22" spans="1:45" x14ac:dyDescent="0.35">
      <c r="A22" s="143" t="s">
        <v>2839</v>
      </c>
      <c r="B22" s="143" t="s">
        <v>759</v>
      </c>
      <c r="C22" s="143" t="s">
        <v>842</v>
      </c>
      <c r="D22" s="143">
        <v>613</v>
      </c>
      <c r="F22" s="137">
        <v>0.5</v>
      </c>
      <c r="G22" s="137">
        <v>0.5</v>
      </c>
      <c r="H22" s="137"/>
      <c r="I22" s="137"/>
      <c r="K22" s="143" t="s">
        <v>2839</v>
      </c>
      <c r="L22" s="143" t="s">
        <v>759</v>
      </c>
      <c r="M22" s="143" t="s">
        <v>842</v>
      </c>
      <c r="N22" s="143">
        <v>613</v>
      </c>
      <c r="O22" s="137">
        <v>0.4</v>
      </c>
      <c r="Q22" s="137">
        <v>1</v>
      </c>
      <c r="R22" s="137" t="s">
        <v>2486</v>
      </c>
      <c r="T22" s="137" t="s">
        <v>2838</v>
      </c>
      <c r="U22" s="137" t="s">
        <v>2838</v>
      </c>
      <c r="W22" s="143" t="s">
        <v>2839</v>
      </c>
      <c r="X22" s="143" t="s">
        <v>759</v>
      </c>
      <c r="Y22" s="143" t="s">
        <v>842</v>
      </c>
      <c r="Z22" s="143">
        <v>613</v>
      </c>
      <c r="AG22" s="143" t="s">
        <v>2839</v>
      </c>
      <c r="AH22" s="143" t="s">
        <v>759</v>
      </c>
      <c r="AI22" s="143" t="s">
        <v>842</v>
      </c>
      <c r="AJ22" s="143">
        <v>613</v>
      </c>
    </row>
    <row r="23" spans="1:45" x14ac:dyDescent="0.35">
      <c r="A23" s="143" t="s">
        <v>2839</v>
      </c>
      <c r="B23" s="143" t="s">
        <v>759</v>
      </c>
      <c r="C23" s="143" t="s">
        <v>841</v>
      </c>
      <c r="D23" s="143">
        <v>615</v>
      </c>
      <c r="F23" s="137">
        <v>0.66666669999999995</v>
      </c>
      <c r="G23" s="137">
        <v>0.66666669999999995</v>
      </c>
      <c r="H23" s="137"/>
      <c r="I23" s="137"/>
      <c r="K23" s="143" t="s">
        <v>2839</v>
      </c>
      <c r="L23" s="143" t="s">
        <v>759</v>
      </c>
      <c r="M23" s="143" t="s">
        <v>841</v>
      </c>
      <c r="N23" s="143">
        <v>615</v>
      </c>
      <c r="O23" s="137">
        <v>0.4</v>
      </c>
      <c r="Q23" s="137">
        <v>1</v>
      </c>
      <c r="R23" s="137" t="s">
        <v>2486</v>
      </c>
      <c r="T23" s="137" t="s">
        <v>2838</v>
      </c>
      <c r="U23" s="137" t="s">
        <v>2838</v>
      </c>
      <c r="W23" s="143" t="s">
        <v>2839</v>
      </c>
      <c r="X23" s="143" t="s">
        <v>759</v>
      </c>
      <c r="Y23" s="143" t="s">
        <v>841</v>
      </c>
      <c r="Z23" s="143">
        <v>615</v>
      </c>
      <c r="AG23" s="143" t="s">
        <v>2839</v>
      </c>
      <c r="AH23" s="143" t="s">
        <v>759</v>
      </c>
      <c r="AI23" s="143" t="s">
        <v>841</v>
      </c>
      <c r="AJ23" s="143">
        <v>615</v>
      </c>
    </row>
    <row r="24" spans="1:45" x14ac:dyDescent="0.35">
      <c r="A24" s="143" t="s">
        <v>2839</v>
      </c>
      <c r="B24" s="143" t="s">
        <v>759</v>
      </c>
      <c r="C24" s="143" t="s">
        <v>842</v>
      </c>
      <c r="D24" s="143">
        <v>1004</v>
      </c>
      <c r="F24" s="137">
        <v>1</v>
      </c>
      <c r="G24" s="137">
        <v>1</v>
      </c>
      <c r="H24" s="137"/>
      <c r="I24" s="137"/>
      <c r="K24" s="143" t="s">
        <v>2839</v>
      </c>
      <c r="L24" s="143" t="s">
        <v>759</v>
      </c>
      <c r="M24" s="143" t="s">
        <v>842</v>
      </c>
      <c r="N24" s="143">
        <v>1004</v>
      </c>
      <c r="O24" s="137">
        <v>0.4</v>
      </c>
      <c r="Q24" s="137">
        <v>1</v>
      </c>
      <c r="R24" s="137" t="s">
        <v>2486</v>
      </c>
      <c r="T24" s="137" t="s">
        <v>2838</v>
      </c>
      <c r="U24" s="137" t="s">
        <v>2838</v>
      </c>
      <c r="W24" s="143" t="s">
        <v>2839</v>
      </c>
      <c r="X24" s="143" t="s">
        <v>759</v>
      </c>
      <c r="Y24" s="143" t="s">
        <v>842</v>
      </c>
      <c r="Z24" s="143">
        <v>1004</v>
      </c>
      <c r="AG24" s="143" t="s">
        <v>2839</v>
      </c>
      <c r="AH24" s="143" t="s">
        <v>759</v>
      </c>
      <c r="AI24" s="143" t="s">
        <v>842</v>
      </c>
      <c r="AJ24" s="143">
        <v>1004</v>
      </c>
    </row>
    <row r="25" spans="1:45" x14ac:dyDescent="0.35">
      <c r="A25" s="143" t="s">
        <v>2839</v>
      </c>
      <c r="B25" s="143" t="s">
        <v>759</v>
      </c>
      <c r="C25" s="143" t="s">
        <v>842</v>
      </c>
      <c r="D25" s="143">
        <v>1604</v>
      </c>
      <c r="F25" s="137">
        <v>1</v>
      </c>
      <c r="G25" s="137">
        <v>1</v>
      </c>
      <c r="H25" s="137"/>
      <c r="I25" s="137"/>
      <c r="K25" s="143" t="s">
        <v>2839</v>
      </c>
      <c r="L25" s="143" t="s">
        <v>759</v>
      </c>
      <c r="M25" s="143" t="s">
        <v>842</v>
      </c>
      <c r="N25" s="143">
        <v>1604</v>
      </c>
      <c r="O25" s="137">
        <v>0.4</v>
      </c>
      <c r="Q25" s="137">
        <v>1</v>
      </c>
      <c r="R25" s="137" t="s">
        <v>2486</v>
      </c>
      <c r="T25" s="137" t="s">
        <v>2838</v>
      </c>
      <c r="U25" s="137" t="s">
        <v>2838</v>
      </c>
      <c r="W25" s="143" t="s">
        <v>2839</v>
      </c>
      <c r="X25" s="143" t="s">
        <v>759</v>
      </c>
      <c r="Y25" s="143" t="s">
        <v>842</v>
      </c>
      <c r="Z25" s="143">
        <v>1604</v>
      </c>
      <c r="AG25" s="143" t="s">
        <v>2839</v>
      </c>
      <c r="AH25" s="143" t="s">
        <v>759</v>
      </c>
      <c r="AI25" s="143" t="s">
        <v>842</v>
      </c>
      <c r="AJ25" s="143">
        <v>1604</v>
      </c>
    </row>
    <row r="26" spans="1:45" x14ac:dyDescent="0.35">
      <c r="A26" s="143" t="s">
        <v>2839</v>
      </c>
      <c r="B26" s="143" t="s">
        <v>759</v>
      </c>
      <c r="C26" s="143" t="s">
        <v>842</v>
      </c>
      <c r="D26" s="143">
        <v>1721</v>
      </c>
      <c r="F26" s="137">
        <v>1</v>
      </c>
      <c r="G26" s="137">
        <v>1</v>
      </c>
      <c r="H26" s="137"/>
      <c r="I26" s="137"/>
      <c r="K26" s="143" t="s">
        <v>2839</v>
      </c>
      <c r="L26" s="143" t="s">
        <v>759</v>
      </c>
      <c r="M26" s="143" t="s">
        <v>842</v>
      </c>
      <c r="N26" s="143">
        <v>1721</v>
      </c>
      <c r="O26" s="137">
        <v>0.35199999999999998</v>
      </c>
      <c r="Q26" s="137">
        <v>0.88</v>
      </c>
      <c r="R26" s="137" t="s">
        <v>2487</v>
      </c>
      <c r="T26" s="137" t="s">
        <v>2838</v>
      </c>
      <c r="U26" s="137" t="s">
        <v>2838</v>
      </c>
      <c r="W26" s="143" t="s">
        <v>2839</v>
      </c>
      <c r="X26" s="143" t="s">
        <v>759</v>
      </c>
      <c r="Y26" s="143" t="s">
        <v>842</v>
      </c>
      <c r="Z26" s="143">
        <v>1721</v>
      </c>
      <c r="AG26" s="143" t="s">
        <v>2839</v>
      </c>
      <c r="AH26" s="143" t="s">
        <v>759</v>
      </c>
      <c r="AI26" s="143" t="s">
        <v>842</v>
      </c>
      <c r="AJ26" s="143">
        <v>1721</v>
      </c>
    </row>
    <row r="27" spans="1:45" x14ac:dyDescent="0.35">
      <c r="A27" s="143" t="s">
        <v>2839</v>
      </c>
      <c r="B27" s="143" t="s">
        <v>759</v>
      </c>
      <c r="C27" s="143" t="s">
        <v>663</v>
      </c>
      <c r="D27" s="143">
        <v>2359</v>
      </c>
      <c r="F27" s="137">
        <v>1</v>
      </c>
      <c r="G27" s="137">
        <v>1</v>
      </c>
      <c r="H27" s="137"/>
      <c r="I27" s="137"/>
      <c r="K27" s="143" t="s">
        <v>2839</v>
      </c>
      <c r="L27" s="143" t="s">
        <v>759</v>
      </c>
      <c r="M27" s="143" t="s">
        <v>663</v>
      </c>
      <c r="N27" s="143">
        <v>2359</v>
      </c>
      <c r="O27" s="137">
        <v>0.4</v>
      </c>
      <c r="Q27" s="137">
        <v>1</v>
      </c>
      <c r="R27" s="137" t="s">
        <v>2486</v>
      </c>
      <c r="T27" s="137" t="s">
        <v>2838</v>
      </c>
      <c r="U27" s="137" t="s">
        <v>2838</v>
      </c>
      <c r="W27" s="143" t="s">
        <v>2839</v>
      </c>
      <c r="X27" s="143" t="s">
        <v>759</v>
      </c>
      <c r="Y27" s="143" t="s">
        <v>663</v>
      </c>
      <c r="Z27" s="143">
        <v>2359</v>
      </c>
      <c r="AG27" s="143" t="s">
        <v>2839</v>
      </c>
      <c r="AH27" s="143" t="s">
        <v>759</v>
      </c>
      <c r="AI27" s="143" t="s">
        <v>663</v>
      </c>
      <c r="AJ27" s="143">
        <v>2359</v>
      </c>
    </row>
    <row r="28" spans="1:45" x14ac:dyDescent="0.35">
      <c r="A28" s="143" t="s">
        <v>2839</v>
      </c>
      <c r="B28" s="143" t="s">
        <v>759</v>
      </c>
      <c r="C28" s="143" t="s">
        <v>663</v>
      </c>
      <c r="D28" s="143">
        <v>2702</v>
      </c>
      <c r="F28" s="137">
        <v>0.5</v>
      </c>
      <c r="G28" s="137">
        <v>0.5</v>
      </c>
      <c r="H28" s="137"/>
      <c r="I28" s="137"/>
      <c r="K28" s="143" t="s">
        <v>2839</v>
      </c>
      <c r="L28" s="143" t="s">
        <v>759</v>
      </c>
      <c r="M28" s="143" t="s">
        <v>663</v>
      </c>
      <c r="N28" s="143">
        <v>2702</v>
      </c>
      <c r="O28" s="137">
        <v>0.4</v>
      </c>
      <c r="Q28" s="137">
        <v>1</v>
      </c>
      <c r="R28" s="137" t="s">
        <v>2486</v>
      </c>
      <c r="T28" s="137" t="s">
        <v>2838</v>
      </c>
      <c r="U28" s="137" t="s">
        <v>2838</v>
      </c>
      <c r="W28" s="143" t="s">
        <v>2839</v>
      </c>
      <c r="X28" s="143" t="s">
        <v>759</v>
      </c>
      <c r="Y28" s="143" t="s">
        <v>663</v>
      </c>
      <c r="Z28" s="143">
        <v>2702</v>
      </c>
      <c r="AG28" s="143" t="s">
        <v>2839</v>
      </c>
      <c r="AH28" s="143" t="s">
        <v>759</v>
      </c>
      <c r="AI28" s="143" t="s">
        <v>663</v>
      </c>
      <c r="AJ28" s="143">
        <v>2702</v>
      </c>
    </row>
    <row r="29" spans="1:45" x14ac:dyDescent="0.35">
      <c r="A29" s="143" t="s">
        <v>2839</v>
      </c>
      <c r="B29" s="143" t="s">
        <v>759</v>
      </c>
      <c r="C29" s="143" t="s">
        <v>663</v>
      </c>
      <c r="D29" s="143">
        <v>3254</v>
      </c>
      <c r="F29" s="137">
        <v>1</v>
      </c>
      <c r="G29" s="137">
        <v>1</v>
      </c>
      <c r="H29" s="137"/>
      <c r="I29" s="137"/>
      <c r="K29" s="143" t="s">
        <v>2839</v>
      </c>
      <c r="L29" s="143" t="s">
        <v>759</v>
      </c>
      <c r="M29" s="143" t="s">
        <v>663</v>
      </c>
      <c r="N29" s="143">
        <v>3254</v>
      </c>
      <c r="O29" s="137">
        <v>0.4</v>
      </c>
      <c r="Q29" s="137">
        <v>1</v>
      </c>
      <c r="R29" s="137" t="s">
        <v>2486</v>
      </c>
      <c r="T29" s="137" t="s">
        <v>2838</v>
      </c>
      <c r="U29" s="137" t="s">
        <v>2838</v>
      </c>
      <c r="W29" s="143" t="s">
        <v>2839</v>
      </c>
      <c r="X29" s="143" t="s">
        <v>759</v>
      </c>
      <c r="Y29" s="143" t="s">
        <v>663</v>
      </c>
      <c r="Z29" s="143">
        <v>3254</v>
      </c>
      <c r="AG29" s="143" t="s">
        <v>2839</v>
      </c>
      <c r="AH29" s="143" t="s">
        <v>759</v>
      </c>
      <c r="AI29" s="143" t="s">
        <v>663</v>
      </c>
      <c r="AJ29" s="143">
        <v>3254</v>
      </c>
    </row>
    <row r="30" spans="1:45" x14ac:dyDescent="0.35">
      <c r="A30" s="143" t="s">
        <v>2839</v>
      </c>
      <c r="B30" s="143" t="s">
        <v>759</v>
      </c>
      <c r="C30" s="143" t="s">
        <v>663</v>
      </c>
      <c r="D30" s="143">
        <v>3398</v>
      </c>
      <c r="F30" s="137">
        <v>1</v>
      </c>
      <c r="G30" s="137">
        <v>1</v>
      </c>
      <c r="H30" s="137"/>
      <c r="I30" s="137"/>
      <c r="K30" s="143" t="s">
        <v>2839</v>
      </c>
      <c r="L30" s="143" t="s">
        <v>759</v>
      </c>
      <c r="M30" s="143" t="s">
        <v>663</v>
      </c>
      <c r="N30" s="143">
        <v>3398</v>
      </c>
      <c r="O30" s="137">
        <v>0.38800000000000001</v>
      </c>
      <c r="Q30" s="137">
        <v>0.97</v>
      </c>
      <c r="R30" s="137" t="s">
        <v>2487</v>
      </c>
      <c r="T30" s="137" t="s">
        <v>2838</v>
      </c>
      <c r="U30" s="137" t="s">
        <v>2838</v>
      </c>
      <c r="W30" s="143" t="s">
        <v>2839</v>
      </c>
      <c r="X30" s="143" t="s">
        <v>759</v>
      </c>
      <c r="Y30" s="143" t="s">
        <v>663</v>
      </c>
      <c r="Z30" s="143">
        <v>3398</v>
      </c>
      <c r="AG30" s="143" t="s">
        <v>2839</v>
      </c>
      <c r="AH30" s="143" t="s">
        <v>759</v>
      </c>
      <c r="AI30" s="143" t="s">
        <v>663</v>
      </c>
      <c r="AJ30" s="143">
        <v>3398</v>
      </c>
    </row>
    <row r="31" spans="1:45" x14ac:dyDescent="0.35">
      <c r="A31" s="143" t="s">
        <v>2839</v>
      </c>
      <c r="B31" s="143" t="s">
        <v>759</v>
      </c>
      <c r="C31" s="143" t="s">
        <v>663</v>
      </c>
      <c r="D31" s="143">
        <v>4840</v>
      </c>
      <c r="F31" s="137">
        <v>0.5</v>
      </c>
      <c r="G31" s="137">
        <v>0.5</v>
      </c>
      <c r="H31" s="137"/>
      <c r="I31" s="137"/>
      <c r="K31" s="143" t="s">
        <v>2839</v>
      </c>
      <c r="L31" s="143" t="s">
        <v>759</v>
      </c>
      <c r="M31" s="143" t="s">
        <v>663</v>
      </c>
      <c r="N31" s="143">
        <v>4840</v>
      </c>
      <c r="O31" s="137">
        <v>0.25600000000000001</v>
      </c>
      <c r="Q31" s="137">
        <v>0.64</v>
      </c>
      <c r="R31" s="137" t="s">
        <v>2487</v>
      </c>
      <c r="T31" s="137" t="s">
        <v>2838</v>
      </c>
      <c r="U31" s="137" t="s">
        <v>2838</v>
      </c>
      <c r="W31" s="143" t="s">
        <v>2839</v>
      </c>
      <c r="X31" s="143" t="s">
        <v>759</v>
      </c>
      <c r="Y31" s="143" t="s">
        <v>663</v>
      </c>
      <c r="Z31" s="143">
        <v>4840</v>
      </c>
      <c r="AG31" s="143" t="s">
        <v>2839</v>
      </c>
      <c r="AH31" s="143" t="s">
        <v>759</v>
      </c>
      <c r="AI31" s="143" t="s">
        <v>663</v>
      </c>
      <c r="AJ31" s="143">
        <v>4840</v>
      </c>
    </row>
    <row r="32" spans="1:45" x14ac:dyDescent="0.35">
      <c r="A32" s="143" t="s">
        <v>2840</v>
      </c>
      <c r="B32" s="143" t="s">
        <v>722</v>
      </c>
      <c r="C32" s="143" t="s">
        <v>2452</v>
      </c>
      <c r="D32" s="143">
        <v>612</v>
      </c>
      <c r="E32" s="143">
        <v>20</v>
      </c>
      <c r="F32" s="137"/>
      <c r="G32" s="137"/>
      <c r="H32" s="137">
        <v>0.95</v>
      </c>
      <c r="I32" s="137">
        <v>0</v>
      </c>
      <c r="K32" s="143" t="s">
        <v>2840</v>
      </c>
      <c r="L32" s="143" t="s">
        <v>722</v>
      </c>
      <c r="M32" s="143" t="s">
        <v>2452</v>
      </c>
      <c r="N32" s="143">
        <v>612</v>
      </c>
      <c r="O32" s="137">
        <v>0.36139680000000002</v>
      </c>
      <c r="P32" s="137">
        <v>0.56190479999999998</v>
      </c>
      <c r="Q32" s="137">
        <v>0.92330159999999994</v>
      </c>
      <c r="R32" s="137" t="s">
        <v>2487</v>
      </c>
      <c r="S32" s="137">
        <v>0.57291669999999995</v>
      </c>
      <c r="T32" s="137" t="s">
        <v>2486</v>
      </c>
      <c r="U32" s="137" t="s">
        <v>2838</v>
      </c>
      <c r="W32" s="143" t="s">
        <v>2840</v>
      </c>
      <c r="X32" s="143" t="s">
        <v>722</v>
      </c>
      <c r="Y32" s="143" t="s">
        <v>2452</v>
      </c>
      <c r="Z32" s="143">
        <v>612</v>
      </c>
      <c r="AA32" s="143">
        <v>20</v>
      </c>
      <c r="AB32" s="137">
        <v>0.25</v>
      </c>
      <c r="AC32" s="137">
        <v>0</v>
      </c>
      <c r="AD32" s="137">
        <v>0</v>
      </c>
      <c r="AE32" s="137">
        <v>3.125E-2</v>
      </c>
      <c r="AG32" s="143" t="s">
        <v>2840</v>
      </c>
      <c r="AH32" s="143" t="s">
        <v>722</v>
      </c>
      <c r="AI32" s="143" t="s">
        <v>2452</v>
      </c>
      <c r="AJ32" s="143">
        <v>612</v>
      </c>
      <c r="AK32" s="143">
        <v>20</v>
      </c>
      <c r="AL32" s="156">
        <v>1.45000004768372</v>
      </c>
      <c r="AM32" s="156">
        <v>3</v>
      </c>
      <c r="AN32" s="156">
        <v>3.0499999523162802</v>
      </c>
      <c r="AO32" s="156">
        <v>3.2999999523162802</v>
      </c>
      <c r="AP32" s="156">
        <v>3.2000000476837198</v>
      </c>
      <c r="AQ32" s="156">
        <v>3</v>
      </c>
      <c r="AR32" s="156">
        <v>3.2999999523162802</v>
      </c>
      <c r="AS32" s="169">
        <v>3.2</v>
      </c>
    </row>
    <row r="33" spans="1:45" x14ac:dyDescent="0.35">
      <c r="A33" s="143" t="s">
        <v>2840</v>
      </c>
      <c r="B33" s="143" t="s">
        <v>722</v>
      </c>
      <c r="C33" s="143" t="s">
        <v>842</v>
      </c>
      <c r="D33" s="143">
        <v>613</v>
      </c>
      <c r="E33" s="143">
        <v>2</v>
      </c>
      <c r="F33" s="137"/>
      <c r="G33" s="137"/>
      <c r="H33" s="137">
        <v>0.5</v>
      </c>
      <c r="I33" s="137">
        <v>0</v>
      </c>
      <c r="K33" s="143" t="s">
        <v>2840</v>
      </c>
      <c r="L33" s="143" t="s">
        <v>722</v>
      </c>
      <c r="M33" s="143" t="s">
        <v>842</v>
      </c>
      <c r="N33" s="143">
        <v>613</v>
      </c>
      <c r="O33" s="137">
        <v>0.4</v>
      </c>
      <c r="P33" s="137">
        <v>0.6</v>
      </c>
      <c r="Q33" s="137">
        <v>1</v>
      </c>
      <c r="R33" s="137" t="s">
        <v>2486</v>
      </c>
      <c r="S33" s="137">
        <v>0.6</v>
      </c>
      <c r="T33" s="137" t="s">
        <v>2486</v>
      </c>
      <c r="U33" s="137" t="s">
        <v>2486</v>
      </c>
      <c r="W33" s="143" t="s">
        <v>2840</v>
      </c>
      <c r="X33" s="143" t="s">
        <v>722</v>
      </c>
      <c r="Y33" s="143" t="s">
        <v>842</v>
      </c>
      <c r="Z33" s="143">
        <v>613</v>
      </c>
      <c r="AA33" s="143">
        <v>0</v>
      </c>
      <c r="AD33" s="137">
        <v>0</v>
      </c>
      <c r="AE33" s="137">
        <v>0.2</v>
      </c>
      <c r="AG33" s="143" t="s">
        <v>2840</v>
      </c>
      <c r="AH33" s="143" t="s">
        <v>722</v>
      </c>
      <c r="AI33" s="143" t="s">
        <v>842</v>
      </c>
      <c r="AJ33" s="143">
        <v>613</v>
      </c>
      <c r="AK33" s="143">
        <v>2</v>
      </c>
      <c r="AL33" s="156">
        <v>1.5</v>
      </c>
      <c r="AM33" s="156">
        <v>3.5</v>
      </c>
      <c r="AN33" s="156">
        <v>4</v>
      </c>
      <c r="AO33" s="156">
        <v>4</v>
      </c>
      <c r="AP33" s="156">
        <v>4</v>
      </c>
      <c r="AQ33" s="156">
        <v>3.5</v>
      </c>
      <c r="AR33" s="156">
        <v>4</v>
      </c>
      <c r="AS33" s="169">
        <v>3.785714</v>
      </c>
    </row>
    <row r="34" spans="1:45" x14ac:dyDescent="0.35">
      <c r="A34" s="143" t="s">
        <v>2840</v>
      </c>
      <c r="B34" s="143" t="s">
        <v>722</v>
      </c>
      <c r="C34" s="143" t="s">
        <v>841</v>
      </c>
      <c r="D34" s="143">
        <v>615</v>
      </c>
      <c r="E34" s="143">
        <v>3</v>
      </c>
      <c r="F34" s="137"/>
      <c r="G34" s="137"/>
      <c r="H34" s="137">
        <v>1</v>
      </c>
      <c r="I34" s="137">
        <v>0.3333333</v>
      </c>
      <c r="K34" s="143" t="s">
        <v>2840</v>
      </c>
      <c r="L34" s="143" t="s">
        <v>722</v>
      </c>
      <c r="M34" s="143" t="s">
        <v>841</v>
      </c>
      <c r="N34" s="143">
        <v>615</v>
      </c>
      <c r="O34" s="137">
        <v>0.4</v>
      </c>
      <c r="P34" s="137">
        <v>0.6</v>
      </c>
      <c r="Q34" s="137">
        <v>1</v>
      </c>
      <c r="R34" s="137" t="s">
        <v>2486</v>
      </c>
      <c r="S34" s="137">
        <v>0.4166667</v>
      </c>
      <c r="T34" s="137" t="s">
        <v>2486</v>
      </c>
      <c r="U34" s="137" t="s">
        <v>2486</v>
      </c>
      <c r="W34" s="143" t="s">
        <v>2840</v>
      </c>
      <c r="X34" s="143" t="s">
        <v>722</v>
      </c>
      <c r="Y34" s="143" t="s">
        <v>841</v>
      </c>
      <c r="Z34" s="143">
        <v>615</v>
      </c>
      <c r="AA34" s="143">
        <v>0</v>
      </c>
      <c r="AD34" s="137">
        <v>0</v>
      </c>
      <c r="AG34" s="143" t="s">
        <v>2840</v>
      </c>
      <c r="AH34" s="143" t="s">
        <v>722</v>
      </c>
      <c r="AI34" s="143" t="s">
        <v>841</v>
      </c>
      <c r="AJ34" s="143">
        <v>615</v>
      </c>
      <c r="AK34" s="143">
        <v>3</v>
      </c>
      <c r="AL34" s="156">
        <v>1.3333333730697601</v>
      </c>
      <c r="AM34" s="156">
        <v>2.6666667461395299</v>
      </c>
      <c r="AN34" s="156">
        <v>3</v>
      </c>
      <c r="AO34" s="156">
        <v>3.3333332538604701</v>
      </c>
      <c r="AP34" s="156">
        <v>2.6666667461395299</v>
      </c>
      <c r="AQ34" s="156">
        <v>3</v>
      </c>
      <c r="AR34" s="156">
        <v>3.3333332538604701</v>
      </c>
      <c r="AS34" s="169">
        <v>3.0952380000000002</v>
      </c>
    </row>
    <row r="35" spans="1:45" x14ac:dyDescent="0.35">
      <c r="A35" s="143" t="s">
        <v>2840</v>
      </c>
      <c r="B35" s="143" t="s">
        <v>722</v>
      </c>
      <c r="C35" s="143" t="s">
        <v>842</v>
      </c>
      <c r="D35" s="143">
        <v>1004</v>
      </c>
      <c r="E35" s="143">
        <v>2</v>
      </c>
      <c r="F35" s="137"/>
      <c r="G35" s="137"/>
      <c r="H35" s="137">
        <v>0</v>
      </c>
      <c r="I35" s="137">
        <v>0.5</v>
      </c>
      <c r="K35" s="143" t="s">
        <v>2840</v>
      </c>
      <c r="L35" s="143" t="s">
        <v>722</v>
      </c>
      <c r="M35" s="143" t="s">
        <v>842</v>
      </c>
      <c r="N35" s="143">
        <v>1004</v>
      </c>
      <c r="O35" s="137">
        <v>0.4</v>
      </c>
      <c r="P35" s="137">
        <v>0.6</v>
      </c>
      <c r="Q35" s="137">
        <v>1</v>
      </c>
      <c r="R35" s="137" t="s">
        <v>2486</v>
      </c>
      <c r="S35" s="137">
        <v>0.5</v>
      </c>
      <c r="T35" s="137" t="s">
        <v>2486</v>
      </c>
      <c r="U35" s="137" t="s">
        <v>2486</v>
      </c>
      <c r="W35" s="143" t="s">
        <v>2840</v>
      </c>
      <c r="X35" s="143" t="s">
        <v>722</v>
      </c>
      <c r="Y35" s="143" t="s">
        <v>842</v>
      </c>
      <c r="Z35" s="143">
        <v>1004</v>
      </c>
      <c r="AA35" s="143">
        <v>0</v>
      </c>
      <c r="AD35" s="137">
        <v>0</v>
      </c>
      <c r="AG35" s="143" t="s">
        <v>2840</v>
      </c>
      <c r="AH35" s="143" t="s">
        <v>722</v>
      </c>
      <c r="AI35" s="143" t="s">
        <v>842</v>
      </c>
      <c r="AJ35" s="143">
        <v>1004</v>
      </c>
      <c r="AK35" s="143">
        <v>2</v>
      </c>
      <c r="AL35" s="156">
        <v>2</v>
      </c>
      <c r="AM35" s="156">
        <v>3</v>
      </c>
      <c r="AN35" s="156">
        <v>3</v>
      </c>
      <c r="AO35" s="156">
        <v>3</v>
      </c>
      <c r="AP35" s="156">
        <v>1</v>
      </c>
      <c r="AQ35" s="156">
        <v>1.5</v>
      </c>
      <c r="AR35" s="156">
        <v>3</v>
      </c>
      <c r="AS35" s="169">
        <v>2.5</v>
      </c>
    </row>
    <row r="36" spans="1:45" x14ac:dyDescent="0.35">
      <c r="A36" s="143" t="s">
        <v>2840</v>
      </c>
      <c r="B36" s="143" t="s">
        <v>722</v>
      </c>
      <c r="C36" s="143" t="s">
        <v>842</v>
      </c>
      <c r="D36" s="143">
        <v>1604</v>
      </c>
      <c r="E36" s="143">
        <v>2</v>
      </c>
      <c r="F36" s="137"/>
      <c r="G36" s="137"/>
      <c r="H36" s="137">
        <v>1</v>
      </c>
      <c r="I36" s="137">
        <v>0</v>
      </c>
      <c r="K36" s="143" t="s">
        <v>2840</v>
      </c>
      <c r="L36" s="143" t="s">
        <v>722</v>
      </c>
      <c r="M36" s="143" t="s">
        <v>842</v>
      </c>
      <c r="N36" s="143">
        <v>1604</v>
      </c>
      <c r="O36" s="137">
        <v>0.4</v>
      </c>
      <c r="P36" s="137">
        <v>0.6</v>
      </c>
      <c r="Q36" s="137">
        <v>1</v>
      </c>
      <c r="R36" s="137" t="s">
        <v>2486</v>
      </c>
      <c r="S36" s="137">
        <v>0.5</v>
      </c>
      <c r="T36" s="137" t="s">
        <v>2486</v>
      </c>
      <c r="U36" s="137" t="s">
        <v>2486</v>
      </c>
      <c r="W36" s="143" t="s">
        <v>2840</v>
      </c>
      <c r="X36" s="143" t="s">
        <v>722</v>
      </c>
      <c r="Y36" s="143" t="s">
        <v>842</v>
      </c>
      <c r="Z36" s="143">
        <v>1604</v>
      </c>
      <c r="AA36" s="143">
        <v>0</v>
      </c>
      <c r="AD36" s="137">
        <v>0</v>
      </c>
      <c r="AG36" s="143" t="s">
        <v>2840</v>
      </c>
      <c r="AH36" s="143" t="s">
        <v>722</v>
      </c>
      <c r="AI36" s="143" t="s">
        <v>842</v>
      </c>
      <c r="AJ36" s="143">
        <v>1604</v>
      </c>
      <c r="AK36" s="143">
        <v>2</v>
      </c>
      <c r="AL36" s="156">
        <v>2</v>
      </c>
      <c r="AM36" s="156">
        <v>3</v>
      </c>
      <c r="AN36" s="156">
        <v>3</v>
      </c>
      <c r="AO36" s="156">
        <v>3</v>
      </c>
      <c r="AP36" s="156">
        <v>2.5</v>
      </c>
      <c r="AQ36" s="156">
        <v>2.5</v>
      </c>
      <c r="AR36" s="156">
        <v>3</v>
      </c>
      <c r="AS36" s="169">
        <v>2.8571430000000002</v>
      </c>
    </row>
    <row r="37" spans="1:45" x14ac:dyDescent="0.35">
      <c r="A37" s="143" t="s">
        <v>2840</v>
      </c>
      <c r="B37" s="143" t="s">
        <v>722</v>
      </c>
      <c r="C37" s="143" t="s">
        <v>842</v>
      </c>
      <c r="D37" s="143">
        <v>1721</v>
      </c>
      <c r="E37" s="143">
        <v>1</v>
      </c>
      <c r="F37" s="137"/>
      <c r="G37" s="137"/>
      <c r="H37" s="137">
        <v>1</v>
      </c>
      <c r="I37" s="137">
        <v>1</v>
      </c>
      <c r="K37" s="143" t="s">
        <v>2840</v>
      </c>
      <c r="L37" s="143" t="s">
        <v>722</v>
      </c>
      <c r="M37" s="143" t="s">
        <v>842</v>
      </c>
      <c r="N37" s="143">
        <v>1721</v>
      </c>
      <c r="O37" s="137">
        <v>0.4</v>
      </c>
      <c r="P37" s="137">
        <v>0.3</v>
      </c>
      <c r="Q37" s="137">
        <v>0.7</v>
      </c>
      <c r="R37" s="137" t="s">
        <v>2487</v>
      </c>
      <c r="S37" s="137">
        <v>0.4</v>
      </c>
      <c r="T37" s="137" t="s">
        <v>2487</v>
      </c>
      <c r="U37" s="137" t="s">
        <v>2486</v>
      </c>
      <c r="W37" s="143" t="s">
        <v>2840</v>
      </c>
      <c r="X37" s="143" t="s">
        <v>722</v>
      </c>
      <c r="Y37" s="143" t="s">
        <v>842</v>
      </c>
      <c r="Z37" s="143">
        <v>1721</v>
      </c>
      <c r="AA37" s="143">
        <v>0</v>
      </c>
      <c r="AD37" s="137">
        <v>0</v>
      </c>
      <c r="AG37" s="143" t="s">
        <v>2840</v>
      </c>
      <c r="AH37" s="143" t="s">
        <v>722</v>
      </c>
      <c r="AI37" s="143" t="s">
        <v>842</v>
      </c>
      <c r="AJ37" s="143">
        <v>1721</v>
      </c>
      <c r="AK37" s="143">
        <v>1</v>
      </c>
      <c r="AL37" s="156">
        <v>1</v>
      </c>
      <c r="AM37" s="156">
        <v>3</v>
      </c>
      <c r="AN37" s="156">
        <v>3</v>
      </c>
      <c r="AO37" s="156">
        <v>3</v>
      </c>
      <c r="AP37" s="156">
        <v>3</v>
      </c>
      <c r="AQ37" s="156">
        <v>3</v>
      </c>
      <c r="AR37" s="156">
        <v>3</v>
      </c>
      <c r="AS37" s="169">
        <v>3.1428569999999998</v>
      </c>
    </row>
    <row r="38" spans="1:45" x14ac:dyDescent="0.35">
      <c r="A38" s="143" t="s">
        <v>2840</v>
      </c>
      <c r="B38" s="143" t="s">
        <v>722</v>
      </c>
      <c r="C38" s="143" t="s">
        <v>663</v>
      </c>
      <c r="D38" s="143">
        <v>2359</v>
      </c>
      <c r="E38" s="143">
        <v>2</v>
      </c>
      <c r="F38" s="137"/>
      <c r="G38" s="137"/>
      <c r="H38" s="137">
        <v>1</v>
      </c>
      <c r="I38" s="137">
        <v>1</v>
      </c>
      <c r="K38" s="143" t="s">
        <v>2840</v>
      </c>
      <c r="L38" s="143" t="s">
        <v>722</v>
      </c>
      <c r="M38" s="143" t="s">
        <v>663</v>
      </c>
      <c r="N38" s="143">
        <v>2359</v>
      </c>
      <c r="O38" s="137">
        <v>0.4</v>
      </c>
      <c r="P38" s="137">
        <v>0.6</v>
      </c>
      <c r="Q38" s="137">
        <v>1</v>
      </c>
      <c r="R38" s="137" t="s">
        <v>2486</v>
      </c>
      <c r="S38" s="137">
        <v>0.66666669999999995</v>
      </c>
      <c r="T38" s="137" t="s">
        <v>2486</v>
      </c>
      <c r="U38" s="137" t="s">
        <v>2838</v>
      </c>
      <c r="W38" s="143" t="s">
        <v>2840</v>
      </c>
      <c r="X38" s="143" t="s">
        <v>722</v>
      </c>
      <c r="Y38" s="143" t="s">
        <v>663</v>
      </c>
      <c r="Z38" s="143">
        <v>2359</v>
      </c>
      <c r="AA38" s="143">
        <v>0</v>
      </c>
      <c r="AD38" s="137">
        <v>0</v>
      </c>
      <c r="AE38" s="137">
        <v>0.3333333</v>
      </c>
      <c r="AG38" s="143" t="s">
        <v>2840</v>
      </c>
      <c r="AH38" s="143" t="s">
        <v>722</v>
      </c>
      <c r="AI38" s="143" t="s">
        <v>663</v>
      </c>
      <c r="AJ38" s="143">
        <v>2359</v>
      </c>
      <c r="AK38" s="143">
        <v>2</v>
      </c>
      <c r="AL38" s="156">
        <v>1</v>
      </c>
      <c r="AM38" s="156">
        <v>3</v>
      </c>
      <c r="AN38" s="156">
        <v>3</v>
      </c>
      <c r="AO38" s="156">
        <v>3</v>
      </c>
      <c r="AP38" s="156">
        <v>1.5</v>
      </c>
      <c r="AQ38" s="156">
        <v>2.5</v>
      </c>
      <c r="AR38" s="156">
        <v>3</v>
      </c>
      <c r="AS38" s="169">
        <v>2.8571430000000002</v>
      </c>
    </row>
    <row r="39" spans="1:45" x14ac:dyDescent="0.35">
      <c r="A39" s="143" t="s">
        <v>2840</v>
      </c>
      <c r="B39" s="143" t="s">
        <v>722</v>
      </c>
      <c r="C39" s="143" t="s">
        <v>663</v>
      </c>
      <c r="D39" s="143">
        <v>2702</v>
      </c>
      <c r="E39" s="143">
        <v>2</v>
      </c>
      <c r="F39" s="137"/>
      <c r="G39" s="137"/>
      <c r="H39" s="137">
        <v>0.5</v>
      </c>
      <c r="I39" s="137">
        <v>0</v>
      </c>
      <c r="K39" s="143" t="s">
        <v>2840</v>
      </c>
      <c r="L39" s="143" t="s">
        <v>722</v>
      </c>
      <c r="M39" s="143" t="s">
        <v>663</v>
      </c>
      <c r="N39" s="143">
        <v>2702</v>
      </c>
      <c r="O39" s="137">
        <v>0.4</v>
      </c>
      <c r="P39" s="137">
        <v>0.6</v>
      </c>
      <c r="Q39" s="137">
        <v>1</v>
      </c>
      <c r="R39" s="137" t="s">
        <v>2486</v>
      </c>
      <c r="S39" s="137">
        <v>0.75</v>
      </c>
      <c r="T39" s="78" t="s">
        <v>2486</v>
      </c>
      <c r="U39" s="78" t="s">
        <v>2838</v>
      </c>
      <c r="W39" s="143" t="s">
        <v>2840</v>
      </c>
      <c r="X39" s="143" t="s">
        <v>722</v>
      </c>
      <c r="Y39" s="143" t="s">
        <v>663</v>
      </c>
      <c r="Z39" s="143">
        <v>2702</v>
      </c>
      <c r="AA39" s="143">
        <v>0</v>
      </c>
      <c r="AD39" s="137">
        <v>0</v>
      </c>
      <c r="AE39" s="137">
        <v>0.25</v>
      </c>
      <c r="AG39" s="143" t="s">
        <v>2840</v>
      </c>
      <c r="AH39" s="143" t="s">
        <v>722</v>
      </c>
      <c r="AI39" s="143" t="s">
        <v>663</v>
      </c>
      <c r="AJ39" s="143">
        <v>2702</v>
      </c>
      <c r="AK39" s="143">
        <v>2</v>
      </c>
      <c r="AL39" s="78">
        <v>1</v>
      </c>
      <c r="AM39" s="78">
        <v>4</v>
      </c>
      <c r="AN39" s="78">
        <v>3</v>
      </c>
      <c r="AO39" s="78">
        <v>3</v>
      </c>
      <c r="AP39" s="78">
        <v>3</v>
      </c>
      <c r="AQ39" s="78">
        <v>3</v>
      </c>
      <c r="AR39" s="78">
        <v>3</v>
      </c>
      <c r="AS39" s="169">
        <v>3.285714</v>
      </c>
    </row>
    <row r="40" spans="1:45" x14ac:dyDescent="0.35">
      <c r="A40" s="143" t="s">
        <v>2840</v>
      </c>
      <c r="B40" s="143" t="s">
        <v>722</v>
      </c>
      <c r="C40" s="143" t="s">
        <v>663</v>
      </c>
      <c r="D40" s="143">
        <v>3254</v>
      </c>
      <c r="E40" s="143">
        <v>2</v>
      </c>
      <c r="F40" s="137"/>
      <c r="G40" s="137"/>
      <c r="H40" s="137">
        <v>0.5</v>
      </c>
      <c r="I40" s="137">
        <v>1</v>
      </c>
      <c r="K40" s="143" t="s">
        <v>2840</v>
      </c>
      <c r="L40" s="143" t="s">
        <v>722</v>
      </c>
      <c r="M40" s="143" t="s">
        <v>663</v>
      </c>
      <c r="N40" s="143">
        <v>3254</v>
      </c>
      <c r="O40" s="137">
        <v>0.4</v>
      </c>
      <c r="P40" s="137">
        <v>0.6</v>
      </c>
      <c r="Q40" s="137">
        <v>1</v>
      </c>
      <c r="R40" s="137" t="s">
        <v>2486</v>
      </c>
      <c r="S40" s="137">
        <v>0.5</v>
      </c>
      <c r="T40" s="78" t="s">
        <v>2486</v>
      </c>
      <c r="U40" s="78" t="s">
        <v>2838</v>
      </c>
      <c r="W40" s="143" t="s">
        <v>2840</v>
      </c>
      <c r="X40" s="143" t="s">
        <v>722</v>
      </c>
      <c r="Y40" s="143" t="s">
        <v>663</v>
      </c>
      <c r="Z40" s="143">
        <v>3254</v>
      </c>
      <c r="AA40" s="143">
        <v>0</v>
      </c>
      <c r="AD40" s="137">
        <v>0</v>
      </c>
      <c r="AG40" s="143" t="s">
        <v>2840</v>
      </c>
      <c r="AH40" s="143" t="s">
        <v>722</v>
      </c>
      <c r="AI40" s="143" t="s">
        <v>663</v>
      </c>
      <c r="AJ40" s="143">
        <v>3254</v>
      </c>
      <c r="AK40" s="143">
        <v>2</v>
      </c>
      <c r="AL40" s="78">
        <v>2</v>
      </c>
      <c r="AM40" s="78">
        <v>3</v>
      </c>
      <c r="AN40" s="78">
        <v>3</v>
      </c>
      <c r="AO40" s="78">
        <v>3.5</v>
      </c>
      <c r="AP40" s="78">
        <v>1</v>
      </c>
      <c r="AQ40" s="78">
        <v>2.5</v>
      </c>
      <c r="AR40" s="78">
        <v>3.5</v>
      </c>
      <c r="AS40" s="169">
        <v>2.785714</v>
      </c>
    </row>
    <row r="41" spans="1:45" x14ac:dyDescent="0.35">
      <c r="A41" s="143" t="s">
        <v>2840</v>
      </c>
      <c r="B41" s="143" t="s">
        <v>722</v>
      </c>
      <c r="C41" s="143" t="s">
        <v>663</v>
      </c>
      <c r="D41" s="143">
        <v>3398</v>
      </c>
      <c r="E41" s="143">
        <v>2</v>
      </c>
      <c r="F41" s="137"/>
      <c r="G41" s="137"/>
      <c r="H41" s="137">
        <v>1</v>
      </c>
      <c r="I41" s="137">
        <v>0.5</v>
      </c>
      <c r="K41" s="143" t="s">
        <v>2840</v>
      </c>
      <c r="L41" s="143" t="s">
        <v>722</v>
      </c>
      <c r="M41" s="143" t="s">
        <v>663</v>
      </c>
      <c r="N41" s="143">
        <v>3398</v>
      </c>
      <c r="O41" s="137">
        <v>0.38400000000000001</v>
      </c>
      <c r="P41" s="137">
        <v>0.6</v>
      </c>
      <c r="Q41" s="137">
        <v>0.98399999999999999</v>
      </c>
      <c r="R41" s="137" t="s">
        <v>2487</v>
      </c>
      <c r="S41" s="137">
        <v>0.75</v>
      </c>
      <c r="T41" s="78" t="s">
        <v>2486</v>
      </c>
      <c r="U41" s="78" t="s">
        <v>2838</v>
      </c>
      <c r="W41" s="143" t="s">
        <v>2840</v>
      </c>
      <c r="X41" s="143" t="s">
        <v>722</v>
      </c>
      <c r="Y41" s="143" t="s">
        <v>663</v>
      </c>
      <c r="Z41" s="143">
        <v>3398</v>
      </c>
      <c r="AA41" s="143">
        <v>0</v>
      </c>
      <c r="AD41" s="137">
        <v>0</v>
      </c>
      <c r="AE41" s="137">
        <v>0.25</v>
      </c>
      <c r="AG41" s="143" t="s">
        <v>2840</v>
      </c>
      <c r="AH41" s="143" t="s">
        <v>722</v>
      </c>
      <c r="AI41" s="143" t="s">
        <v>663</v>
      </c>
      <c r="AJ41" s="143">
        <v>3398</v>
      </c>
      <c r="AK41" s="143">
        <v>2</v>
      </c>
      <c r="AL41" s="156">
        <v>1</v>
      </c>
      <c r="AM41" s="156">
        <v>3.5</v>
      </c>
      <c r="AN41" s="156">
        <v>3.5</v>
      </c>
      <c r="AO41" s="156">
        <v>3.5</v>
      </c>
      <c r="AP41" s="156">
        <v>4</v>
      </c>
      <c r="AQ41" s="156">
        <v>2</v>
      </c>
      <c r="AR41" s="156">
        <v>3</v>
      </c>
      <c r="AS41" s="169">
        <v>3.3571430000000002</v>
      </c>
    </row>
    <row r="42" spans="1:45" x14ac:dyDescent="0.35">
      <c r="A42" s="143" t="s">
        <v>2840</v>
      </c>
      <c r="B42" s="143" t="s">
        <v>722</v>
      </c>
      <c r="C42" s="143" t="s">
        <v>663</v>
      </c>
      <c r="D42" s="143">
        <v>4840</v>
      </c>
      <c r="E42" s="143">
        <v>2</v>
      </c>
      <c r="F42" s="137"/>
      <c r="G42" s="137"/>
      <c r="H42" s="137">
        <v>0.5</v>
      </c>
      <c r="I42" s="137">
        <v>0.5</v>
      </c>
      <c r="K42" s="143" t="s">
        <v>2840</v>
      </c>
      <c r="L42" s="143" t="s">
        <v>722</v>
      </c>
      <c r="M42" s="143" t="s">
        <v>663</v>
      </c>
      <c r="N42" s="143">
        <v>4840</v>
      </c>
      <c r="O42" s="137">
        <v>0.4</v>
      </c>
      <c r="P42" s="137">
        <v>0.6</v>
      </c>
      <c r="Q42" s="137">
        <v>1</v>
      </c>
      <c r="R42" s="137" t="s">
        <v>2486</v>
      </c>
      <c r="S42" s="137">
        <v>0.75</v>
      </c>
      <c r="T42" s="78" t="s">
        <v>2486</v>
      </c>
      <c r="U42" s="78" t="s">
        <v>2838</v>
      </c>
      <c r="W42" s="143" t="s">
        <v>2840</v>
      </c>
      <c r="X42" s="143" t="s">
        <v>722</v>
      </c>
      <c r="Y42" s="143" t="s">
        <v>663</v>
      </c>
      <c r="Z42" s="143">
        <v>4840</v>
      </c>
      <c r="AA42" s="143">
        <v>0</v>
      </c>
      <c r="AD42" s="137">
        <v>0</v>
      </c>
      <c r="AG42" s="143" t="s">
        <v>2840</v>
      </c>
      <c r="AH42" s="143" t="s">
        <v>722</v>
      </c>
      <c r="AI42" s="143" t="s">
        <v>663</v>
      </c>
      <c r="AJ42" s="143">
        <v>4840</v>
      </c>
      <c r="AK42" s="143">
        <v>2</v>
      </c>
      <c r="AL42" s="156">
        <v>2.5</v>
      </c>
      <c r="AM42" s="156">
        <v>3.5</v>
      </c>
      <c r="AN42" s="156">
        <v>3.5</v>
      </c>
      <c r="AO42" s="156">
        <v>3.5</v>
      </c>
      <c r="AP42" s="156">
        <v>1</v>
      </c>
      <c r="AQ42" s="156">
        <v>3.5</v>
      </c>
      <c r="AR42" s="156">
        <v>4</v>
      </c>
      <c r="AS42" s="169">
        <v>3.0714290000000002</v>
      </c>
    </row>
    <row r="43" spans="1:45" x14ac:dyDescent="0.35">
      <c r="A43" s="143" t="s">
        <v>723</v>
      </c>
      <c r="B43" s="143" t="s">
        <v>720</v>
      </c>
      <c r="C43" s="143" t="s">
        <v>841</v>
      </c>
      <c r="D43" s="143">
        <v>460</v>
      </c>
      <c r="E43" s="143">
        <v>3</v>
      </c>
      <c r="F43" s="137">
        <v>1</v>
      </c>
      <c r="G43" s="137">
        <v>1</v>
      </c>
      <c r="H43" s="137">
        <v>1</v>
      </c>
      <c r="I43" s="137">
        <v>0</v>
      </c>
      <c r="K43" s="143" t="s">
        <v>723</v>
      </c>
      <c r="L43" s="143" t="s">
        <v>720</v>
      </c>
      <c r="M43" s="143" t="s">
        <v>841</v>
      </c>
      <c r="N43" s="143">
        <v>460</v>
      </c>
      <c r="O43" s="137">
        <v>0.4</v>
      </c>
      <c r="P43" s="137">
        <v>0.6</v>
      </c>
      <c r="Q43" s="137">
        <v>1</v>
      </c>
      <c r="R43" s="137" t="s">
        <v>2486</v>
      </c>
      <c r="S43" s="137">
        <v>0.57142859999999995</v>
      </c>
      <c r="T43" s="78" t="s">
        <v>2486</v>
      </c>
      <c r="U43" s="78" t="s">
        <v>2486</v>
      </c>
      <c r="W43" s="143" t="s">
        <v>723</v>
      </c>
      <c r="X43" s="143" t="s">
        <v>720</v>
      </c>
      <c r="Y43" s="143" t="s">
        <v>841</v>
      </c>
      <c r="Z43" s="143">
        <v>460</v>
      </c>
      <c r="AA43" s="143">
        <v>0</v>
      </c>
      <c r="AD43" s="137">
        <v>0</v>
      </c>
      <c r="AG43" s="143" t="s">
        <v>723</v>
      </c>
      <c r="AH43" s="143" t="s">
        <v>720</v>
      </c>
      <c r="AI43" s="143" t="s">
        <v>841</v>
      </c>
      <c r="AJ43" s="143">
        <v>460</v>
      </c>
      <c r="AK43" s="143">
        <v>3</v>
      </c>
      <c r="AL43" s="156">
        <v>2</v>
      </c>
      <c r="AM43" s="156">
        <v>3.3333332538604701</v>
      </c>
      <c r="AN43" s="156">
        <v>3.3333332538604701</v>
      </c>
      <c r="AO43" s="156">
        <v>3</v>
      </c>
      <c r="AP43" s="156">
        <v>1</v>
      </c>
      <c r="AQ43" s="156">
        <v>3.3333332538604701</v>
      </c>
      <c r="AR43" s="156">
        <v>3.6666667461395299</v>
      </c>
      <c r="AS43" s="169">
        <v>2.9523809999999999</v>
      </c>
    </row>
    <row r="44" spans="1:45" x14ac:dyDescent="0.35">
      <c r="A44" s="143" t="s">
        <v>723</v>
      </c>
      <c r="B44" s="143" t="s">
        <v>720</v>
      </c>
      <c r="C44" s="143" t="s">
        <v>663</v>
      </c>
      <c r="D44" s="143">
        <v>462</v>
      </c>
      <c r="E44" s="143">
        <v>2</v>
      </c>
      <c r="F44" s="137">
        <v>1</v>
      </c>
      <c r="G44" s="137">
        <v>1</v>
      </c>
      <c r="H44" s="137">
        <v>1</v>
      </c>
      <c r="I44" s="137">
        <v>0</v>
      </c>
      <c r="K44" s="143" t="s">
        <v>723</v>
      </c>
      <c r="L44" s="143" t="s">
        <v>720</v>
      </c>
      <c r="M44" s="143" t="s">
        <v>663</v>
      </c>
      <c r="N44" s="143">
        <v>462</v>
      </c>
      <c r="O44" s="137">
        <v>0.4</v>
      </c>
      <c r="P44" s="137">
        <v>0.6</v>
      </c>
      <c r="Q44" s="137">
        <v>1</v>
      </c>
      <c r="R44" s="137" t="s">
        <v>2486</v>
      </c>
      <c r="S44" s="137">
        <v>0.75</v>
      </c>
      <c r="T44" s="78" t="s">
        <v>2486</v>
      </c>
      <c r="U44" s="78" t="s">
        <v>2838</v>
      </c>
      <c r="W44" s="143" t="s">
        <v>723</v>
      </c>
      <c r="X44" s="143" t="s">
        <v>720</v>
      </c>
      <c r="Y44" s="143" t="s">
        <v>663</v>
      </c>
      <c r="Z44" s="143">
        <v>462</v>
      </c>
      <c r="AA44" s="143">
        <v>0</v>
      </c>
      <c r="AD44" s="137">
        <v>0</v>
      </c>
      <c r="AG44" s="143" t="s">
        <v>723</v>
      </c>
      <c r="AH44" s="143" t="s">
        <v>720</v>
      </c>
      <c r="AI44" s="143" t="s">
        <v>663</v>
      </c>
      <c r="AJ44" s="143">
        <v>462</v>
      </c>
      <c r="AK44" s="143">
        <v>2</v>
      </c>
      <c r="AL44" s="156">
        <v>1.5</v>
      </c>
      <c r="AM44" s="156">
        <v>3.5</v>
      </c>
      <c r="AN44" s="156">
        <v>3.5</v>
      </c>
      <c r="AO44" s="156">
        <v>3</v>
      </c>
      <c r="AP44" s="156">
        <v>3.5</v>
      </c>
      <c r="AQ44" s="156">
        <v>3.5</v>
      </c>
      <c r="AR44" s="156">
        <v>3.5</v>
      </c>
      <c r="AS44" s="169">
        <v>3.4285709999999998</v>
      </c>
    </row>
    <row r="45" spans="1:45" x14ac:dyDescent="0.35">
      <c r="A45" s="143" t="s">
        <v>723</v>
      </c>
      <c r="B45" s="143" t="s">
        <v>720</v>
      </c>
      <c r="C45" s="143" t="s">
        <v>841</v>
      </c>
      <c r="D45" s="143">
        <v>488</v>
      </c>
      <c r="E45" s="143">
        <v>3</v>
      </c>
      <c r="F45" s="137">
        <v>1</v>
      </c>
      <c r="G45" s="137">
        <v>1</v>
      </c>
      <c r="H45" s="137">
        <v>1</v>
      </c>
      <c r="I45" s="137">
        <v>1</v>
      </c>
      <c r="K45" s="143" t="s">
        <v>723</v>
      </c>
      <c r="L45" s="143" t="s">
        <v>720</v>
      </c>
      <c r="M45" s="143" t="s">
        <v>841</v>
      </c>
      <c r="N45" s="143">
        <v>488</v>
      </c>
      <c r="O45" s="137">
        <v>0.4</v>
      </c>
      <c r="P45" s="137">
        <v>0.6</v>
      </c>
      <c r="Q45" s="137">
        <v>1</v>
      </c>
      <c r="R45" s="137" t="s">
        <v>2486</v>
      </c>
      <c r="S45" s="137">
        <v>0.6</v>
      </c>
      <c r="T45" s="78" t="s">
        <v>2486</v>
      </c>
      <c r="U45" s="78" t="s">
        <v>2486</v>
      </c>
      <c r="W45" s="143" t="s">
        <v>723</v>
      </c>
      <c r="X45" s="143" t="s">
        <v>720</v>
      </c>
      <c r="Y45" s="143" t="s">
        <v>841</v>
      </c>
      <c r="Z45" s="143">
        <v>488</v>
      </c>
      <c r="AA45" s="143">
        <v>0</v>
      </c>
      <c r="AD45" s="137">
        <v>0</v>
      </c>
      <c r="AG45" s="143" t="s">
        <v>723</v>
      </c>
      <c r="AH45" s="143" t="s">
        <v>720</v>
      </c>
      <c r="AI45" s="143" t="s">
        <v>841</v>
      </c>
      <c r="AJ45" s="143">
        <v>488</v>
      </c>
      <c r="AK45" s="143">
        <v>3</v>
      </c>
      <c r="AL45" s="156">
        <v>1.3333333730697601</v>
      </c>
      <c r="AM45" s="156">
        <v>2.6666667461395299</v>
      </c>
      <c r="AN45" s="156">
        <v>2</v>
      </c>
      <c r="AO45" s="156">
        <v>3</v>
      </c>
      <c r="AP45" s="156">
        <v>1</v>
      </c>
      <c r="AQ45" s="156">
        <v>3.3333332538604701</v>
      </c>
      <c r="AR45" s="156">
        <v>3.3333332538604701</v>
      </c>
      <c r="AS45" s="169">
        <v>2.714286</v>
      </c>
    </row>
    <row r="46" spans="1:45" x14ac:dyDescent="0.35">
      <c r="A46" s="143" t="s">
        <v>723</v>
      </c>
      <c r="B46" s="143" t="s">
        <v>720</v>
      </c>
      <c r="C46" s="143" t="s">
        <v>843</v>
      </c>
      <c r="D46" s="143">
        <v>1529</v>
      </c>
      <c r="E46" s="143">
        <v>8</v>
      </c>
      <c r="F46" s="137">
        <v>1</v>
      </c>
      <c r="G46" s="137">
        <v>1</v>
      </c>
      <c r="H46" s="137">
        <v>1</v>
      </c>
      <c r="I46" s="137">
        <v>0.875</v>
      </c>
      <c r="K46" s="143" t="s">
        <v>723</v>
      </c>
      <c r="L46" s="143" t="s">
        <v>720</v>
      </c>
      <c r="M46" s="143" t="s">
        <v>843</v>
      </c>
      <c r="N46" s="143">
        <v>1529</v>
      </c>
      <c r="O46" s="137">
        <v>0.39466669999999998</v>
      </c>
      <c r="P46" s="137">
        <v>0.6</v>
      </c>
      <c r="Q46" s="137">
        <v>0.99466670000000001</v>
      </c>
      <c r="R46" s="137" t="s">
        <v>2487</v>
      </c>
      <c r="S46" s="137">
        <v>0.41860459999999999</v>
      </c>
      <c r="T46" s="78" t="s">
        <v>2486</v>
      </c>
      <c r="U46" s="78" t="s">
        <v>2486</v>
      </c>
      <c r="W46" s="143" t="s">
        <v>723</v>
      </c>
      <c r="X46" s="143" t="s">
        <v>720</v>
      </c>
      <c r="Y46" s="143" t="s">
        <v>843</v>
      </c>
      <c r="Z46" s="143">
        <v>1529</v>
      </c>
      <c r="AA46" s="143">
        <v>8</v>
      </c>
      <c r="AB46" s="137">
        <v>0.25</v>
      </c>
      <c r="AC46" s="137">
        <v>0</v>
      </c>
      <c r="AD46" s="137">
        <v>0</v>
      </c>
      <c r="AG46" s="143" t="s">
        <v>723</v>
      </c>
      <c r="AH46" s="143" t="s">
        <v>720</v>
      </c>
      <c r="AI46" s="143" t="s">
        <v>843</v>
      </c>
      <c r="AJ46" s="143">
        <v>1529</v>
      </c>
      <c r="AK46" s="143">
        <v>8</v>
      </c>
      <c r="AL46" s="156">
        <v>1.25</v>
      </c>
      <c r="AM46" s="156">
        <v>3.5</v>
      </c>
      <c r="AN46" s="156">
        <v>2.875</v>
      </c>
      <c r="AO46" s="156">
        <v>3</v>
      </c>
      <c r="AP46" s="156">
        <v>2.75</v>
      </c>
      <c r="AQ46" s="156">
        <v>3.125</v>
      </c>
      <c r="AR46" s="156">
        <v>3</v>
      </c>
      <c r="AS46" s="169">
        <v>3.1428569999999998</v>
      </c>
    </row>
    <row r="47" spans="1:45" x14ac:dyDescent="0.35">
      <c r="A47" s="143" t="s">
        <v>723</v>
      </c>
      <c r="B47" s="143" t="s">
        <v>720</v>
      </c>
      <c r="C47" s="143" t="s">
        <v>842</v>
      </c>
      <c r="D47" s="143">
        <v>1792</v>
      </c>
      <c r="E47" s="143">
        <v>2</v>
      </c>
      <c r="F47" s="137">
        <v>1</v>
      </c>
      <c r="G47" s="137">
        <v>1</v>
      </c>
      <c r="H47" s="137">
        <v>1</v>
      </c>
      <c r="I47" s="137">
        <v>0</v>
      </c>
      <c r="K47" s="143" t="s">
        <v>723</v>
      </c>
      <c r="L47" s="143" t="s">
        <v>720</v>
      </c>
      <c r="M47" s="143" t="s">
        <v>842</v>
      </c>
      <c r="N47" s="143">
        <v>1792</v>
      </c>
      <c r="O47" s="137">
        <v>0.4</v>
      </c>
      <c r="P47" s="137">
        <v>0.6</v>
      </c>
      <c r="Q47" s="137">
        <v>1</v>
      </c>
      <c r="R47" s="137" t="s">
        <v>2486</v>
      </c>
      <c r="S47" s="137">
        <v>0.5</v>
      </c>
      <c r="T47" s="78" t="s">
        <v>2486</v>
      </c>
      <c r="U47" s="78" t="s">
        <v>2486</v>
      </c>
      <c r="W47" s="143" t="s">
        <v>723</v>
      </c>
      <c r="X47" s="143" t="s">
        <v>720</v>
      </c>
      <c r="Y47" s="143" t="s">
        <v>842</v>
      </c>
      <c r="Z47" s="143">
        <v>1792</v>
      </c>
      <c r="AA47" s="143">
        <v>0</v>
      </c>
      <c r="AD47" s="137">
        <v>0</v>
      </c>
      <c r="AG47" s="143" t="s">
        <v>723</v>
      </c>
      <c r="AH47" s="143" t="s">
        <v>720</v>
      </c>
      <c r="AI47" s="143" t="s">
        <v>842</v>
      </c>
      <c r="AJ47" s="143">
        <v>1792</v>
      </c>
      <c r="AK47" s="143">
        <v>2</v>
      </c>
      <c r="AL47" s="156">
        <v>2.5</v>
      </c>
      <c r="AM47" s="156">
        <v>2.5</v>
      </c>
      <c r="AN47" s="156">
        <v>2.5</v>
      </c>
      <c r="AO47" s="156">
        <v>2.5</v>
      </c>
      <c r="AP47" s="156">
        <v>2.5</v>
      </c>
      <c r="AQ47" s="156">
        <v>2.5</v>
      </c>
      <c r="AR47" s="156">
        <v>3</v>
      </c>
      <c r="AS47" s="169">
        <v>2.5714290000000002</v>
      </c>
    </row>
    <row r="48" spans="1:45" x14ac:dyDescent="0.35">
      <c r="A48" s="143" t="s">
        <v>723</v>
      </c>
      <c r="B48" s="143" t="s">
        <v>720</v>
      </c>
      <c r="C48" s="143" t="s">
        <v>842</v>
      </c>
      <c r="D48" s="143">
        <v>1808</v>
      </c>
      <c r="E48" s="143">
        <v>2</v>
      </c>
      <c r="F48" s="137">
        <v>1</v>
      </c>
      <c r="G48" s="137">
        <v>1</v>
      </c>
      <c r="H48" s="137">
        <v>1</v>
      </c>
      <c r="I48" s="137">
        <v>0</v>
      </c>
      <c r="K48" s="143" t="s">
        <v>723</v>
      </c>
      <c r="L48" s="143" t="s">
        <v>720</v>
      </c>
      <c r="M48" s="143" t="s">
        <v>842</v>
      </c>
      <c r="N48" s="143">
        <v>1808</v>
      </c>
      <c r="O48" s="137">
        <v>0.4</v>
      </c>
      <c r="P48" s="137">
        <v>0.6</v>
      </c>
      <c r="Q48" s="137">
        <v>1</v>
      </c>
      <c r="R48" s="137" t="s">
        <v>2486</v>
      </c>
      <c r="S48" s="137">
        <v>0.5</v>
      </c>
      <c r="T48" s="78" t="s">
        <v>2486</v>
      </c>
      <c r="U48" s="78" t="s">
        <v>2486</v>
      </c>
      <c r="W48" s="143" t="s">
        <v>723</v>
      </c>
      <c r="X48" s="143" t="s">
        <v>720</v>
      </c>
      <c r="Y48" s="143" t="s">
        <v>842</v>
      </c>
      <c r="Z48" s="143">
        <v>1808</v>
      </c>
      <c r="AA48" s="143">
        <v>0</v>
      </c>
      <c r="AD48" s="137">
        <v>0</v>
      </c>
      <c r="AG48" s="143" t="s">
        <v>723</v>
      </c>
      <c r="AH48" s="143" t="s">
        <v>720</v>
      </c>
      <c r="AI48" s="143" t="s">
        <v>842</v>
      </c>
      <c r="AJ48" s="143">
        <v>1808</v>
      </c>
      <c r="AK48" s="143">
        <v>2</v>
      </c>
      <c r="AL48" s="156">
        <v>1.5</v>
      </c>
      <c r="AM48" s="156">
        <v>3.5</v>
      </c>
      <c r="AN48" s="156">
        <v>4</v>
      </c>
      <c r="AO48" s="156">
        <v>4</v>
      </c>
      <c r="AP48" s="156">
        <v>4</v>
      </c>
      <c r="AQ48" s="156">
        <v>3</v>
      </c>
      <c r="AR48" s="156">
        <v>2.5</v>
      </c>
      <c r="AS48" s="169">
        <v>3.5</v>
      </c>
    </row>
    <row r="49" spans="1:45" x14ac:dyDescent="0.35">
      <c r="A49" s="143" t="s">
        <v>723</v>
      </c>
      <c r="B49" s="143" t="s">
        <v>720</v>
      </c>
      <c r="C49" s="143" t="s">
        <v>842</v>
      </c>
      <c r="D49" s="143">
        <v>1926</v>
      </c>
      <c r="E49" s="143">
        <v>2</v>
      </c>
      <c r="F49" s="137">
        <v>1</v>
      </c>
      <c r="G49" s="137">
        <v>1</v>
      </c>
      <c r="H49" s="137">
        <v>1</v>
      </c>
      <c r="I49" s="137">
        <v>1</v>
      </c>
      <c r="K49" s="143" t="s">
        <v>723</v>
      </c>
      <c r="L49" s="143" t="s">
        <v>720</v>
      </c>
      <c r="M49" s="143" t="s">
        <v>842</v>
      </c>
      <c r="N49" s="143">
        <v>1926</v>
      </c>
      <c r="O49" s="137">
        <v>0</v>
      </c>
      <c r="P49" s="137">
        <v>0.6</v>
      </c>
      <c r="Q49" s="137">
        <v>0.6</v>
      </c>
      <c r="R49" s="137" t="s">
        <v>2487</v>
      </c>
      <c r="S49" s="137">
        <v>0.42857139999999999</v>
      </c>
      <c r="T49" s="78" t="s">
        <v>2486</v>
      </c>
      <c r="U49" s="78" t="s">
        <v>2486</v>
      </c>
      <c r="W49" s="143" t="s">
        <v>723</v>
      </c>
      <c r="X49" s="143" t="s">
        <v>720</v>
      </c>
      <c r="Y49" s="143" t="s">
        <v>842</v>
      </c>
      <c r="Z49" s="143">
        <v>1926</v>
      </c>
      <c r="AA49" s="143">
        <v>0</v>
      </c>
      <c r="AD49" s="137">
        <v>0</v>
      </c>
      <c r="AG49" s="143" t="s">
        <v>723</v>
      </c>
      <c r="AH49" s="143" t="s">
        <v>720</v>
      </c>
      <c r="AI49" s="143" t="s">
        <v>842</v>
      </c>
      <c r="AJ49" s="143">
        <v>1926</v>
      </c>
      <c r="AK49" s="143">
        <v>2</v>
      </c>
      <c r="AL49" s="156">
        <v>2</v>
      </c>
      <c r="AM49" s="156">
        <v>2.5</v>
      </c>
      <c r="AN49" s="156">
        <v>1.5</v>
      </c>
      <c r="AO49" s="156">
        <v>3</v>
      </c>
      <c r="AP49" s="156">
        <v>1.5</v>
      </c>
      <c r="AQ49" s="156">
        <v>2.5</v>
      </c>
      <c r="AR49" s="156">
        <v>3.5</v>
      </c>
      <c r="AS49" s="169">
        <v>2.5</v>
      </c>
    </row>
    <row r="50" spans="1:45" x14ac:dyDescent="0.35">
      <c r="A50" s="143" t="s">
        <v>723</v>
      </c>
      <c r="B50" s="143" t="s">
        <v>720</v>
      </c>
      <c r="C50" s="143" t="s">
        <v>663</v>
      </c>
      <c r="D50" s="143">
        <v>2623</v>
      </c>
      <c r="E50" s="143">
        <v>2</v>
      </c>
      <c r="F50" s="137">
        <v>1</v>
      </c>
      <c r="G50" s="137">
        <v>1</v>
      </c>
      <c r="H50" s="137">
        <v>1</v>
      </c>
      <c r="I50" s="137">
        <v>0</v>
      </c>
      <c r="K50" s="143" t="s">
        <v>723</v>
      </c>
      <c r="L50" s="143" t="s">
        <v>720</v>
      </c>
      <c r="M50" s="143" t="s">
        <v>663</v>
      </c>
      <c r="N50" s="143">
        <v>2623</v>
      </c>
      <c r="O50" s="137">
        <v>0.30933329999999998</v>
      </c>
      <c r="P50" s="137">
        <v>0.6</v>
      </c>
      <c r="Q50" s="137">
        <v>0.90933330000000001</v>
      </c>
      <c r="R50" s="137" t="s">
        <v>2487</v>
      </c>
      <c r="S50" s="137">
        <v>0.75</v>
      </c>
      <c r="T50" s="78" t="s">
        <v>2486</v>
      </c>
      <c r="U50" s="78" t="s">
        <v>2838</v>
      </c>
      <c r="W50" s="143" t="s">
        <v>723</v>
      </c>
      <c r="X50" s="143" t="s">
        <v>720</v>
      </c>
      <c r="Y50" s="143" t="s">
        <v>663</v>
      </c>
      <c r="Z50" s="143">
        <v>2623</v>
      </c>
      <c r="AA50" s="143">
        <v>0</v>
      </c>
      <c r="AD50" s="137">
        <v>0</v>
      </c>
      <c r="AG50" s="143" t="s">
        <v>723</v>
      </c>
      <c r="AH50" s="143" t="s">
        <v>720</v>
      </c>
      <c r="AI50" s="143" t="s">
        <v>663</v>
      </c>
      <c r="AJ50" s="143">
        <v>2623</v>
      </c>
      <c r="AK50" s="143">
        <v>2</v>
      </c>
      <c r="AL50" s="156">
        <v>1.5</v>
      </c>
      <c r="AM50" s="156">
        <v>3.5</v>
      </c>
      <c r="AN50" s="156">
        <v>3</v>
      </c>
      <c r="AO50" s="156">
        <v>3</v>
      </c>
      <c r="AP50" s="156">
        <v>4</v>
      </c>
      <c r="AQ50" s="156">
        <v>3</v>
      </c>
      <c r="AR50" s="156">
        <v>2</v>
      </c>
      <c r="AS50" s="169">
        <v>3.1428569999999998</v>
      </c>
    </row>
    <row r="51" spans="1:45" x14ac:dyDescent="0.35">
      <c r="A51" s="143" t="s">
        <v>723</v>
      </c>
      <c r="B51" s="143" t="s">
        <v>720</v>
      </c>
      <c r="C51" s="143" t="s">
        <v>842</v>
      </c>
      <c r="D51" s="143">
        <v>3022</v>
      </c>
      <c r="E51" s="143">
        <v>2</v>
      </c>
      <c r="F51" s="137">
        <v>1</v>
      </c>
      <c r="G51" s="137">
        <v>1</v>
      </c>
      <c r="H51" s="137">
        <v>1</v>
      </c>
      <c r="I51" s="137">
        <v>1</v>
      </c>
      <c r="K51" s="143" t="s">
        <v>723</v>
      </c>
      <c r="L51" s="143" t="s">
        <v>720</v>
      </c>
      <c r="M51" s="143" t="s">
        <v>842</v>
      </c>
      <c r="N51" s="143">
        <v>3022</v>
      </c>
      <c r="O51" s="137">
        <v>0.4</v>
      </c>
      <c r="P51" s="137">
        <v>0.6</v>
      </c>
      <c r="Q51" s="137">
        <v>1</v>
      </c>
      <c r="R51" s="137" t="s">
        <v>2486</v>
      </c>
      <c r="S51" s="137">
        <v>0.5</v>
      </c>
      <c r="T51" s="78" t="s">
        <v>2486</v>
      </c>
      <c r="U51" s="78" t="s">
        <v>2486</v>
      </c>
      <c r="W51" s="143" t="s">
        <v>723</v>
      </c>
      <c r="X51" s="143" t="s">
        <v>720</v>
      </c>
      <c r="Y51" s="143" t="s">
        <v>842</v>
      </c>
      <c r="Z51" s="143">
        <v>3022</v>
      </c>
      <c r="AA51" s="143">
        <v>0</v>
      </c>
      <c r="AD51" s="137">
        <v>0</v>
      </c>
      <c r="AG51" s="143" t="s">
        <v>723</v>
      </c>
      <c r="AH51" s="143" t="s">
        <v>720</v>
      </c>
      <c r="AI51" s="143" t="s">
        <v>842</v>
      </c>
      <c r="AJ51" s="143">
        <v>3022</v>
      </c>
      <c r="AK51" s="143">
        <v>2</v>
      </c>
      <c r="AL51" s="156">
        <v>2</v>
      </c>
      <c r="AM51" s="156">
        <v>4</v>
      </c>
      <c r="AN51" s="156">
        <v>4</v>
      </c>
      <c r="AO51" s="156">
        <v>2</v>
      </c>
      <c r="AP51" s="156">
        <v>4</v>
      </c>
      <c r="AQ51" s="156">
        <v>3</v>
      </c>
      <c r="AR51" s="156">
        <v>3.5</v>
      </c>
      <c r="AS51" s="169">
        <v>3.3571430000000002</v>
      </c>
    </row>
    <row r="52" spans="1:45" x14ac:dyDescent="0.35">
      <c r="A52" s="143" t="s">
        <v>723</v>
      </c>
      <c r="B52" s="143" t="s">
        <v>720</v>
      </c>
      <c r="C52" s="143" t="s">
        <v>663</v>
      </c>
      <c r="D52" s="143">
        <v>4189</v>
      </c>
      <c r="E52" s="143">
        <v>2</v>
      </c>
      <c r="F52" s="137">
        <v>1</v>
      </c>
      <c r="G52" s="137">
        <v>1</v>
      </c>
      <c r="H52" s="137">
        <v>1</v>
      </c>
      <c r="I52" s="137">
        <v>1</v>
      </c>
      <c r="K52" s="143" t="s">
        <v>723</v>
      </c>
      <c r="L52" s="143" t="s">
        <v>720</v>
      </c>
      <c r="M52" s="143" t="s">
        <v>663</v>
      </c>
      <c r="N52" s="143">
        <v>4189</v>
      </c>
      <c r="O52" s="137">
        <v>0.3973333</v>
      </c>
      <c r="P52" s="137">
        <v>0.6</v>
      </c>
      <c r="Q52" s="137">
        <v>0.99733329999999998</v>
      </c>
      <c r="R52" s="137" t="s">
        <v>2487</v>
      </c>
      <c r="S52" s="137">
        <v>0.66666669999999995</v>
      </c>
      <c r="T52" s="78" t="s">
        <v>2486</v>
      </c>
      <c r="U52" s="78" t="s">
        <v>2838</v>
      </c>
      <c r="W52" s="143" t="s">
        <v>723</v>
      </c>
      <c r="X52" s="143" t="s">
        <v>720</v>
      </c>
      <c r="Y52" s="143" t="s">
        <v>663</v>
      </c>
      <c r="Z52" s="143">
        <v>4189</v>
      </c>
      <c r="AA52" s="143">
        <v>0</v>
      </c>
      <c r="AD52" s="137">
        <v>0</v>
      </c>
      <c r="AG52" s="143" t="s">
        <v>723</v>
      </c>
      <c r="AH52" s="143" t="s">
        <v>720</v>
      </c>
      <c r="AI52" s="143" t="s">
        <v>663</v>
      </c>
      <c r="AJ52" s="143">
        <v>4189</v>
      </c>
      <c r="AK52" s="143">
        <v>2</v>
      </c>
      <c r="AL52" s="156">
        <v>1.5</v>
      </c>
      <c r="AM52" s="156">
        <v>3.5</v>
      </c>
      <c r="AN52" s="156">
        <v>3</v>
      </c>
      <c r="AO52" s="156">
        <v>3.5</v>
      </c>
      <c r="AP52" s="156">
        <v>2.5</v>
      </c>
      <c r="AQ52" s="156">
        <v>3.5</v>
      </c>
      <c r="AR52" s="156">
        <v>3.5</v>
      </c>
      <c r="AS52" s="169">
        <v>3.285714</v>
      </c>
    </row>
    <row r="53" spans="1:45" x14ac:dyDescent="0.35">
      <c r="A53" s="143" t="s">
        <v>723</v>
      </c>
      <c r="B53" s="143" t="s">
        <v>720</v>
      </c>
      <c r="C53" s="143" t="s">
        <v>663</v>
      </c>
      <c r="D53" s="143">
        <v>4193</v>
      </c>
      <c r="E53" s="143">
        <v>2</v>
      </c>
      <c r="F53" s="137">
        <v>1</v>
      </c>
      <c r="G53" s="137">
        <v>1</v>
      </c>
      <c r="H53" s="137">
        <v>1</v>
      </c>
      <c r="I53" s="137">
        <v>0</v>
      </c>
      <c r="K53" s="143" t="s">
        <v>723</v>
      </c>
      <c r="L53" s="143" t="s">
        <v>720</v>
      </c>
      <c r="M53" s="143" t="s">
        <v>663</v>
      </c>
      <c r="N53" s="143">
        <v>4193</v>
      </c>
      <c r="O53" s="137">
        <v>0.37866670000000002</v>
      </c>
      <c r="P53" s="137">
        <v>0.6</v>
      </c>
      <c r="Q53" s="137">
        <v>0.9786667</v>
      </c>
      <c r="R53" s="137" t="s">
        <v>2487</v>
      </c>
      <c r="S53" s="137">
        <v>0.75</v>
      </c>
      <c r="T53" s="78" t="s">
        <v>2486</v>
      </c>
      <c r="U53" s="78" t="s">
        <v>2838</v>
      </c>
      <c r="W53" s="143" t="s">
        <v>723</v>
      </c>
      <c r="X53" s="143" t="s">
        <v>720</v>
      </c>
      <c r="Y53" s="143" t="s">
        <v>663</v>
      </c>
      <c r="Z53" s="143">
        <v>4193</v>
      </c>
      <c r="AA53" s="143">
        <v>0</v>
      </c>
      <c r="AD53" s="137">
        <v>0</v>
      </c>
      <c r="AG53" s="143" t="s">
        <v>723</v>
      </c>
      <c r="AH53" s="143" t="s">
        <v>720</v>
      </c>
      <c r="AI53" s="143" t="s">
        <v>663</v>
      </c>
      <c r="AJ53" s="143">
        <v>4193</v>
      </c>
      <c r="AK53" s="143">
        <v>2</v>
      </c>
      <c r="AL53" s="156">
        <v>1.5</v>
      </c>
      <c r="AM53" s="156">
        <v>4</v>
      </c>
      <c r="AN53" s="156">
        <v>4</v>
      </c>
      <c r="AO53" s="156">
        <v>3.5</v>
      </c>
      <c r="AP53" s="156">
        <v>2.5</v>
      </c>
      <c r="AQ53" s="156">
        <v>4</v>
      </c>
      <c r="AR53" s="156">
        <v>4</v>
      </c>
      <c r="AS53" s="169">
        <v>3.6428569999999998</v>
      </c>
    </row>
    <row r="54" spans="1:45" x14ac:dyDescent="0.35">
      <c r="A54" s="143" t="s">
        <v>723</v>
      </c>
      <c r="B54" s="143" t="s">
        <v>720</v>
      </c>
      <c r="C54" s="143" t="s">
        <v>663</v>
      </c>
      <c r="D54" s="143">
        <v>4194</v>
      </c>
      <c r="E54" s="143">
        <v>2</v>
      </c>
      <c r="F54" s="137">
        <v>1</v>
      </c>
      <c r="G54" s="137">
        <v>1</v>
      </c>
      <c r="H54" s="137">
        <v>1</v>
      </c>
      <c r="I54" s="137">
        <v>1</v>
      </c>
      <c r="K54" s="143" t="s">
        <v>723</v>
      </c>
      <c r="L54" s="143" t="s">
        <v>720</v>
      </c>
      <c r="M54" s="143" t="s">
        <v>663</v>
      </c>
      <c r="N54" s="143">
        <v>4194</v>
      </c>
      <c r="O54" s="137">
        <v>0.4</v>
      </c>
      <c r="P54" s="137">
        <v>0.6</v>
      </c>
      <c r="Q54" s="137">
        <v>1</v>
      </c>
      <c r="R54" s="137" t="s">
        <v>2486</v>
      </c>
      <c r="S54" s="137">
        <v>0.66666669999999995</v>
      </c>
      <c r="T54" s="78" t="s">
        <v>2486</v>
      </c>
      <c r="U54" s="78" t="s">
        <v>2838</v>
      </c>
      <c r="W54" s="143" t="s">
        <v>723</v>
      </c>
      <c r="X54" s="143" t="s">
        <v>720</v>
      </c>
      <c r="Y54" s="143" t="s">
        <v>663</v>
      </c>
      <c r="Z54" s="143">
        <v>4194</v>
      </c>
      <c r="AA54" s="143">
        <v>0</v>
      </c>
      <c r="AD54" s="137">
        <v>0</v>
      </c>
      <c r="AG54" s="143" t="s">
        <v>723</v>
      </c>
      <c r="AH54" s="143" t="s">
        <v>720</v>
      </c>
      <c r="AI54" s="143" t="s">
        <v>663</v>
      </c>
      <c r="AJ54" s="143">
        <v>4194</v>
      </c>
      <c r="AK54" s="143">
        <v>2</v>
      </c>
      <c r="AL54" s="156">
        <v>2</v>
      </c>
      <c r="AM54" s="156">
        <v>3</v>
      </c>
      <c r="AN54" s="156">
        <v>3.5</v>
      </c>
      <c r="AO54" s="156">
        <v>3.5</v>
      </c>
      <c r="AP54" s="156">
        <v>2.5</v>
      </c>
      <c r="AQ54" s="156">
        <v>3</v>
      </c>
      <c r="AR54" s="156">
        <v>3.5</v>
      </c>
      <c r="AS54" s="169">
        <v>3.1428569999999998</v>
      </c>
    </row>
    <row r="55" spans="1:45" x14ac:dyDescent="0.35">
      <c r="A55" s="143" t="s">
        <v>724</v>
      </c>
      <c r="B55" s="143" t="s">
        <v>725</v>
      </c>
      <c r="C55" s="143" t="s">
        <v>841</v>
      </c>
      <c r="D55" s="143">
        <v>548</v>
      </c>
      <c r="E55" s="143">
        <v>3</v>
      </c>
      <c r="F55" s="137">
        <v>1</v>
      </c>
      <c r="G55" s="137">
        <v>1</v>
      </c>
      <c r="H55" s="137">
        <v>1</v>
      </c>
      <c r="I55" s="137">
        <v>0</v>
      </c>
      <c r="K55" s="143" t="s">
        <v>724</v>
      </c>
      <c r="L55" s="143" t="s">
        <v>725</v>
      </c>
      <c r="M55" s="143" t="s">
        <v>841</v>
      </c>
      <c r="N55" s="143">
        <v>548</v>
      </c>
      <c r="O55" s="137">
        <v>0.4</v>
      </c>
      <c r="P55" s="137">
        <v>0.6</v>
      </c>
      <c r="Q55" s="137">
        <v>1</v>
      </c>
      <c r="R55" s="137" t="s">
        <v>2486</v>
      </c>
      <c r="S55" s="137">
        <v>0.6</v>
      </c>
      <c r="T55" s="78" t="s">
        <v>2486</v>
      </c>
      <c r="U55" s="78" t="s">
        <v>2486</v>
      </c>
      <c r="W55" s="143" t="s">
        <v>724</v>
      </c>
      <c r="X55" s="143" t="s">
        <v>725</v>
      </c>
      <c r="Y55" s="143" t="s">
        <v>841</v>
      </c>
      <c r="Z55" s="143">
        <v>548</v>
      </c>
      <c r="AA55" s="143">
        <v>0</v>
      </c>
      <c r="AD55" s="137">
        <v>0</v>
      </c>
      <c r="AG55" s="143" t="s">
        <v>724</v>
      </c>
      <c r="AH55" s="143" t="s">
        <v>725</v>
      </c>
      <c r="AI55" s="143" t="s">
        <v>841</v>
      </c>
      <c r="AJ55" s="143">
        <v>548</v>
      </c>
      <c r="AK55" s="143">
        <v>3</v>
      </c>
      <c r="AL55" s="156">
        <v>2</v>
      </c>
      <c r="AM55" s="156">
        <v>3</v>
      </c>
      <c r="AN55" s="156">
        <v>3</v>
      </c>
      <c r="AO55" s="156">
        <v>3</v>
      </c>
      <c r="AP55" s="156">
        <v>3</v>
      </c>
      <c r="AQ55" s="156">
        <v>3</v>
      </c>
      <c r="AR55" s="156">
        <v>3</v>
      </c>
      <c r="AS55" s="169">
        <v>3</v>
      </c>
    </row>
    <row r="56" spans="1:45" x14ac:dyDescent="0.35">
      <c r="A56" s="143" t="s">
        <v>724</v>
      </c>
      <c r="B56" s="143" t="s">
        <v>725</v>
      </c>
      <c r="C56" s="143" t="s">
        <v>841</v>
      </c>
      <c r="D56" s="143">
        <v>565</v>
      </c>
      <c r="E56" s="143">
        <v>3</v>
      </c>
      <c r="F56" s="137">
        <v>1</v>
      </c>
      <c r="G56" s="137">
        <v>1</v>
      </c>
      <c r="H56" s="137">
        <v>1</v>
      </c>
      <c r="I56" s="137">
        <v>0</v>
      </c>
      <c r="K56" s="143" t="s">
        <v>724</v>
      </c>
      <c r="L56" s="143" t="s">
        <v>725</v>
      </c>
      <c r="M56" s="143" t="s">
        <v>841</v>
      </c>
      <c r="N56" s="143">
        <v>565</v>
      </c>
      <c r="O56" s="137">
        <v>0.4</v>
      </c>
      <c r="P56" s="137">
        <v>0.6</v>
      </c>
      <c r="Q56" s="137">
        <v>1</v>
      </c>
      <c r="R56" s="137" t="s">
        <v>2486</v>
      </c>
      <c r="S56" s="137">
        <v>0.4375</v>
      </c>
      <c r="T56" s="78" t="s">
        <v>2486</v>
      </c>
      <c r="U56" s="78" t="s">
        <v>2486</v>
      </c>
      <c r="W56" s="143" t="s">
        <v>724</v>
      </c>
      <c r="X56" s="143" t="s">
        <v>725</v>
      </c>
      <c r="Y56" s="143" t="s">
        <v>841</v>
      </c>
      <c r="Z56" s="143">
        <v>565</v>
      </c>
      <c r="AA56" s="143">
        <v>0</v>
      </c>
      <c r="AD56" s="137">
        <v>0</v>
      </c>
      <c r="AG56" s="143" t="s">
        <v>724</v>
      </c>
      <c r="AH56" s="143" t="s">
        <v>725</v>
      </c>
      <c r="AI56" s="143" t="s">
        <v>841</v>
      </c>
      <c r="AJ56" s="143">
        <v>565</v>
      </c>
      <c r="AK56" s="143">
        <v>3</v>
      </c>
      <c r="AL56" s="156">
        <v>1.3333333730697601</v>
      </c>
      <c r="AM56" s="156">
        <v>3.3333332538604701</v>
      </c>
      <c r="AN56" s="156">
        <v>3.3333332538604701</v>
      </c>
      <c r="AO56" s="156">
        <v>3.3333332538604701</v>
      </c>
      <c r="AP56" s="156">
        <v>3.3333332538604701</v>
      </c>
      <c r="AQ56" s="156">
        <v>3</v>
      </c>
      <c r="AR56" s="156">
        <v>3.3333332538604701</v>
      </c>
      <c r="AS56" s="169">
        <v>3.3333330000000001</v>
      </c>
    </row>
    <row r="57" spans="1:45" x14ac:dyDescent="0.35">
      <c r="A57" s="143" t="s">
        <v>724</v>
      </c>
      <c r="B57" s="143" t="s">
        <v>725</v>
      </c>
      <c r="C57" s="143" t="s">
        <v>841</v>
      </c>
      <c r="D57" s="143">
        <v>1081</v>
      </c>
      <c r="E57" s="143">
        <v>3</v>
      </c>
      <c r="F57" s="137">
        <v>1</v>
      </c>
      <c r="G57" s="137">
        <v>1</v>
      </c>
      <c r="H57" s="137">
        <v>1</v>
      </c>
      <c r="I57" s="137">
        <v>0</v>
      </c>
      <c r="K57" s="143" t="s">
        <v>724</v>
      </c>
      <c r="L57" s="143" t="s">
        <v>725</v>
      </c>
      <c r="M57" s="143" t="s">
        <v>841</v>
      </c>
      <c r="N57" s="143">
        <v>1081</v>
      </c>
      <c r="O57" s="137">
        <v>0.4</v>
      </c>
      <c r="P57" s="137">
        <v>0.6</v>
      </c>
      <c r="Q57" s="137">
        <v>1</v>
      </c>
      <c r="R57" s="137" t="s">
        <v>2486</v>
      </c>
      <c r="S57" s="137">
        <v>0.5</v>
      </c>
      <c r="T57" s="78" t="s">
        <v>2486</v>
      </c>
      <c r="U57" s="78" t="s">
        <v>2486</v>
      </c>
      <c r="W57" s="143" t="s">
        <v>724</v>
      </c>
      <c r="X57" s="143" t="s">
        <v>725</v>
      </c>
      <c r="Y57" s="143" t="s">
        <v>841</v>
      </c>
      <c r="Z57" s="143">
        <v>1081</v>
      </c>
      <c r="AA57" s="143">
        <v>0</v>
      </c>
      <c r="AD57" s="137">
        <v>0</v>
      </c>
      <c r="AG57" s="143" t="s">
        <v>724</v>
      </c>
      <c r="AH57" s="143" t="s">
        <v>725</v>
      </c>
      <c r="AI57" s="143" t="s">
        <v>841</v>
      </c>
      <c r="AJ57" s="143">
        <v>1081</v>
      </c>
      <c r="AK57" s="143">
        <v>3</v>
      </c>
      <c r="AL57" s="156">
        <v>1.6666666269302399</v>
      </c>
      <c r="AM57" s="156">
        <v>4</v>
      </c>
      <c r="AN57" s="156">
        <v>3.6666667461395299</v>
      </c>
      <c r="AO57" s="156">
        <v>3</v>
      </c>
      <c r="AP57" s="156">
        <v>1.3333333730697601</v>
      </c>
      <c r="AQ57" s="156">
        <v>2.6666667461395299</v>
      </c>
      <c r="AR57" s="156">
        <v>3</v>
      </c>
      <c r="AS57" s="169">
        <v>3</v>
      </c>
    </row>
    <row r="58" spans="1:45" x14ac:dyDescent="0.35">
      <c r="A58" s="143" t="s">
        <v>724</v>
      </c>
      <c r="B58" s="143" t="s">
        <v>725</v>
      </c>
      <c r="C58" s="143" t="s">
        <v>843</v>
      </c>
      <c r="D58" s="143">
        <v>1539</v>
      </c>
      <c r="E58" s="143">
        <v>8</v>
      </c>
      <c r="F58" s="137">
        <v>1</v>
      </c>
      <c r="G58" s="137">
        <v>1</v>
      </c>
      <c r="H58" s="137">
        <v>1</v>
      </c>
      <c r="I58" s="137">
        <v>0</v>
      </c>
      <c r="K58" s="143" t="s">
        <v>724</v>
      </c>
      <c r="L58" s="143" t="s">
        <v>725</v>
      </c>
      <c r="M58" s="143" t="s">
        <v>843</v>
      </c>
      <c r="N58" s="143">
        <v>1539</v>
      </c>
      <c r="O58" s="137">
        <v>0.4</v>
      </c>
      <c r="P58" s="137">
        <v>0.6</v>
      </c>
      <c r="Q58" s="137">
        <v>1</v>
      </c>
      <c r="R58" s="137" t="s">
        <v>2486</v>
      </c>
      <c r="S58" s="137">
        <v>0.44117650000000003</v>
      </c>
      <c r="T58" s="78" t="s">
        <v>2486</v>
      </c>
      <c r="U58" s="78" t="s">
        <v>2486</v>
      </c>
      <c r="W58" s="143" t="s">
        <v>724</v>
      </c>
      <c r="X58" s="143" t="s">
        <v>725</v>
      </c>
      <c r="Y58" s="143" t="s">
        <v>843</v>
      </c>
      <c r="Z58" s="143">
        <v>1539</v>
      </c>
      <c r="AA58" s="143">
        <v>8</v>
      </c>
      <c r="AB58" s="137">
        <v>0</v>
      </c>
      <c r="AC58" s="137">
        <v>0</v>
      </c>
      <c r="AD58" s="137">
        <v>0</v>
      </c>
      <c r="AG58" s="143" t="s">
        <v>724</v>
      </c>
      <c r="AH58" s="143" t="s">
        <v>725</v>
      </c>
      <c r="AI58" s="143" t="s">
        <v>843</v>
      </c>
      <c r="AJ58" s="143">
        <v>1539</v>
      </c>
      <c r="AK58" s="143">
        <v>8</v>
      </c>
      <c r="AL58" s="156">
        <v>2.25</v>
      </c>
      <c r="AM58" s="156">
        <v>3.25</v>
      </c>
      <c r="AN58" s="156">
        <v>3.5</v>
      </c>
      <c r="AO58" s="156">
        <v>3</v>
      </c>
      <c r="AP58" s="156">
        <v>3</v>
      </c>
      <c r="AQ58" s="156">
        <v>3</v>
      </c>
      <c r="AR58" s="156">
        <v>3.375</v>
      </c>
      <c r="AS58" s="169">
        <v>3.1785709999999998</v>
      </c>
    </row>
    <row r="59" spans="1:45" x14ac:dyDescent="0.35">
      <c r="A59" s="143" t="s">
        <v>724</v>
      </c>
      <c r="B59" s="143" t="s">
        <v>725</v>
      </c>
      <c r="C59" s="143" t="s">
        <v>842</v>
      </c>
      <c r="D59" s="143">
        <v>1762</v>
      </c>
      <c r="E59" s="143">
        <v>2</v>
      </c>
      <c r="F59" s="137">
        <v>1</v>
      </c>
      <c r="G59" s="137">
        <v>1</v>
      </c>
      <c r="H59" s="137">
        <v>1</v>
      </c>
      <c r="I59" s="137">
        <v>0</v>
      </c>
      <c r="K59" s="143" t="s">
        <v>724</v>
      </c>
      <c r="L59" s="143" t="s">
        <v>725</v>
      </c>
      <c r="M59" s="143" t="s">
        <v>842</v>
      </c>
      <c r="N59" s="143">
        <v>1762</v>
      </c>
      <c r="O59" s="137">
        <v>0.4</v>
      </c>
      <c r="P59" s="137">
        <v>0.6</v>
      </c>
      <c r="Q59" s="137">
        <v>1</v>
      </c>
      <c r="R59" s="137" t="s">
        <v>2486</v>
      </c>
      <c r="S59" s="137">
        <v>0.57142859999999995</v>
      </c>
      <c r="T59" s="78" t="s">
        <v>2486</v>
      </c>
      <c r="U59" s="78" t="s">
        <v>2486</v>
      </c>
      <c r="W59" s="143" t="s">
        <v>724</v>
      </c>
      <c r="X59" s="143" t="s">
        <v>725</v>
      </c>
      <c r="Y59" s="143" t="s">
        <v>842</v>
      </c>
      <c r="Z59" s="143">
        <v>1762</v>
      </c>
      <c r="AA59" s="143">
        <v>0</v>
      </c>
      <c r="AD59" s="137">
        <v>0</v>
      </c>
      <c r="AG59" s="143" t="s">
        <v>724</v>
      </c>
      <c r="AH59" s="143" t="s">
        <v>725</v>
      </c>
      <c r="AI59" s="143" t="s">
        <v>842</v>
      </c>
      <c r="AJ59" s="143">
        <v>1762</v>
      </c>
      <c r="AK59" s="143">
        <v>2</v>
      </c>
      <c r="AL59" s="156">
        <v>2</v>
      </c>
      <c r="AM59" s="156">
        <v>3.5</v>
      </c>
      <c r="AN59" s="156">
        <v>3</v>
      </c>
      <c r="AO59" s="156">
        <v>3</v>
      </c>
      <c r="AP59" s="156">
        <v>4</v>
      </c>
      <c r="AQ59" s="156">
        <v>3</v>
      </c>
      <c r="AR59" s="156">
        <v>3</v>
      </c>
      <c r="AS59" s="169">
        <v>3.214286</v>
      </c>
    </row>
    <row r="60" spans="1:45" x14ac:dyDescent="0.35">
      <c r="A60" s="143" t="s">
        <v>724</v>
      </c>
      <c r="B60" s="143" t="s">
        <v>725</v>
      </c>
      <c r="C60" s="143" t="s">
        <v>842</v>
      </c>
      <c r="D60" s="143">
        <v>1830</v>
      </c>
      <c r="E60" s="143">
        <v>2</v>
      </c>
      <c r="F60" s="137">
        <v>1</v>
      </c>
      <c r="G60" s="137">
        <v>1</v>
      </c>
      <c r="H60" s="137">
        <v>1</v>
      </c>
      <c r="I60" s="137">
        <v>0</v>
      </c>
      <c r="K60" s="143" t="s">
        <v>724</v>
      </c>
      <c r="L60" s="143" t="s">
        <v>725</v>
      </c>
      <c r="M60" s="143" t="s">
        <v>842</v>
      </c>
      <c r="N60" s="143">
        <v>1830</v>
      </c>
      <c r="O60" s="137">
        <v>0.3973333</v>
      </c>
      <c r="P60" s="137">
        <v>0.6</v>
      </c>
      <c r="Q60" s="137">
        <v>0.99733329999999998</v>
      </c>
      <c r="R60" s="137" t="s">
        <v>2487</v>
      </c>
      <c r="S60" s="137">
        <v>0.5</v>
      </c>
      <c r="T60" s="78" t="s">
        <v>2486</v>
      </c>
      <c r="U60" s="78" t="s">
        <v>2486</v>
      </c>
      <c r="W60" s="143" t="s">
        <v>724</v>
      </c>
      <c r="X60" s="143" t="s">
        <v>725</v>
      </c>
      <c r="Y60" s="143" t="s">
        <v>842</v>
      </c>
      <c r="Z60" s="143">
        <v>1830</v>
      </c>
      <c r="AA60" s="143">
        <v>0</v>
      </c>
      <c r="AD60" s="137">
        <v>0</v>
      </c>
      <c r="AG60" s="143" t="s">
        <v>724</v>
      </c>
      <c r="AH60" s="143" t="s">
        <v>725</v>
      </c>
      <c r="AI60" s="143" t="s">
        <v>842</v>
      </c>
      <c r="AJ60" s="143">
        <v>1830</v>
      </c>
      <c r="AK60" s="143">
        <v>2</v>
      </c>
      <c r="AL60" s="156">
        <v>1</v>
      </c>
      <c r="AM60" s="156">
        <v>3.5</v>
      </c>
      <c r="AN60" s="156">
        <v>3</v>
      </c>
      <c r="AO60" s="156">
        <v>3</v>
      </c>
      <c r="AP60" s="156">
        <v>3</v>
      </c>
      <c r="AQ60" s="156">
        <v>3</v>
      </c>
      <c r="AR60" s="156">
        <v>3</v>
      </c>
      <c r="AS60" s="169">
        <v>3.214286</v>
      </c>
    </row>
    <row r="61" spans="1:45" x14ac:dyDescent="0.35">
      <c r="A61" s="143" t="s">
        <v>724</v>
      </c>
      <c r="B61" s="143" t="s">
        <v>725</v>
      </c>
      <c r="C61" s="143" t="s">
        <v>663</v>
      </c>
      <c r="D61" s="143">
        <v>2267</v>
      </c>
      <c r="E61" s="143">
        <v>2</v>
      </c>
      <c r="F61" s="137">
        <v>1</v>
      </c>
      <c r="G61" s="137">
        <v>1</v>
      </c>
      <c r="H61" s="137">
        <v>1</v>
      </c>
      <c r="I61" s="137">
        <v>0.5</v>
      </c>
      <c r="K61" s="143" t="s">
        <v>724</v>
      </c>
      <c r="L61" s="143" t="s">
        <v>725</v>
      </c>
      <c r="M61" s="143" t="s">
        <v>663</v>
      </c>
      <c r="N61" s="143">
        <v>2267</v>
      </c>
      <c r="O61" s="137">
        <v>0.4</v>
      </c>
      <c r="P61" s="137">
        <v>0.6</v>
      </c>
      <c r="Q61" s="137">
        <v>1</v>
      </c>
      <c r="R61" s="137" t="s">
        <v>2486</v>
      </c>
      <c r="S61" s="137">
        <v>0.66666669999999995</v>
      </c>
      <c r="T61" s="78" t="s">
        <v>2486</v>
      </c>
      <c r="U61" s="78" t="s">
        <v>2838</v>
      </c>
      <c r="W61" s="143" t="s">
        <v>724</v>
      </c>
      <c r="X61" s="143" t="s">
        <v>725</v>
      </c>
      <c r="Y61" s="143" t="s">
        <v>663</v>
      </c>
      <c r="Z61" s="143">
        <v>2267</v>
      </c>
      <c r="AA61" s="143">
        <v>0</v>
      </c>
      <c r="AD61" s="137">
        <v>0</v>
      </c>
      <c r="AG61" s="143" t="s">
        <v>724</v>
      </c>
      <c r="AH61" s="143" t="s">
        <v>725</v>
      </c>
      <c r="AI61" s="143" t="s">
        <v>663</v>
      </c>
      <c r="AJ61" s="143">
        <v>2267</v>
      </c>
      <c r="AK61" s="143">
        <v>2</v>
      </c>
      <c r="AL61" s="156">
        <v>2</v>
      </c>
      <c r="AM61" s="156">
        <v>4</v>
      </c>
      <c r="AN61" s="156">
        <v>3.5</v>
      </c>
      <c r="AO61" s="156">
        <v>4</v>
      </c>
      <c r="AP61" s="156">
        <v>4</v>
      </c>
      <c r="AQ61" s="156">
        <v>3.5</v>
      </c>
      <c r="AR61" s="156">
        <v>3.5</v>
      </c>
      <c r="AS61" s="169">
        <v>3.6428569999999998</v>
      </c>
    </row>
    <row r="62" spans="1:45" x14ac:dyDescent="0.35">
      <c r="A62" s="143" t="s">
        <v>724</v>
      </c>
      <c r="B62" s="143" t="s">
        <v>725</v>
      </c>
      <c r="C62" s="143" t="s">
        <v>663</v>
      </c>
      <c r="D62" s="143">
        <v>2273</v>
      </c>
      <c r="E62" s="143">
        <v>2</v>
      </c>
      <c r="F62" s="137">
        <v>1</v>
      </c>
      <c r="G62" s="137">
        <v>1</v>
      </c>
      <c r="H62" s="137">
        <v>1</v>
      </c>
      <c r="I62" s="137">
        <v>0</v>
      </c>
      <c r="K62" s="143" t="s">
        <v>724</v>
      </c>
      <c r="L62" s="143" t="s">
        <v>725</v>
      </c>
      <c r="M62" s="143" t="s">
        <v>663</v>
      </c>
      <c r="N62" s="143">
        <v>2273</v>
      </c>
      <c r="O62" s="137">
        <v>0.4</v>
      </c>
      <c r="P62" s="137">
        <v>0.6</v>
      </c>
      <c r="Q62" s="137">
        <v>1</v>
      </c>
      <c r="R62" s="137" t="s">
        <v>2486</v>
      </c>
      <c r="S62" s="137">
        <v>0.5</v>
      </c>
      <c r="T62" s="78" t="s">
        <v>2486</v>
      </c>
      <c r="U62" s="78" t="s">
        <v>2838</v>
      </c>
      <c r="W62" s="143" t="s">
        <v>724</v>
      </c>
      <c r="X62" s="143" t="s">
        <v>725</v>
      </c>
      <c r="Y62" s="143" t="s">
        <v>663</v>
      </c>
      <c r="Z62" s="143">
        <v>2273</v>
      </c>
      <c r="AA62" s="143">
        <v>0</v>
      </c>
      <c r="AD62" s="137">
        <v>0</v>
      </c>
      <c r="AE62" s="137">
        <v>0.25</v>
      </c>
      <c r="AG62" s="143" t="s">
        <v>724</v>
      </c>
      <c r="AH62" s="143" t="s">
        <v>725</v>
      </c>
      <c r="AI62" s="143" t="s">
        <v>663</v>
      </c>
      <c r="AJ62" s="143">
        <v>2273</v>
      </c>
      <c r="AK62" s="143">
        <v>2</v>
      </c>
      <c r="AL62" s="156">
        <v>1.5</v>
      </c>
      <c r="AM62" s="156">
        <v>3.5</v>
      </c>
      <c r="AN62" s="156">
        <v>3.5</v>
      </c>
      <c r="AO62" s="156">
        <v>3.5</v>
      </c>
      <c r="AP62" s="156">
        <v>2</v>
      </c>
      <c r="AQ62" s="156">
        <v>3</v>
      </c>
      <c r="AR62" s="156">
        <v>3</v>
      </c>
      <c r="AS62" s="169">
        <v>3.1428569999999998</v>
      </c>
    </row>
    <row r="63" spans="1:45" x14ac:dyDescent="0.35">
      <c r="A63" s="143" t="s">
        <v>724</v>
      </c>
      <c r="B63" s="143" t="s">
        <v>725</v>
      </c>
      <c r="C63" s="143" t="s">
        <v>842</v>
      </c>
      <c r="D63" s="143">
        <v>2377</v>
      </c>
      <c r="E63" s="143">
        <v>2</v>
      </c>
      <c r="F63" s="137">
        <v>1</v>
      </c>
      <c r="G63" s="137">
        <v>1</v>
      </c>
      <c r="H63" s="137">
        <v>1</v>
      </c>
      <c r="I63" s="137">
        <v>0</v>
      </c>
      <c r="K63" s="143" t="s">
        <v>724</v>
      </c>
      <c r="L63" s="143" t="s">
        <v>725</v>
      </c>
      <c r="M63" s="143" t="s">
        <v>842</v>
      </c>
      <c r="N63" s="143">
        <v>2377</v>
      </c>
      <c r="O63" s="137">
        <v>0.4</v>
      </c>
      <c r="P63" s="137">
        <v>0.6</v>
      </c>
      <c r="Q63" s="137">
        <v>1</v>
      </c>
      <c r="R63" s="137" t="s">
        <v>2486</v>
      </c>
      <c r="S63" s="137">
        <v>0.5</v>
      </c>
      <c r="T63" s="78" t="s">
        <v>2486</v>
      </c>
      <c r="U63" s="78" t="s">
        <v>2486</v>
      </c>
      <c r="W63" s="143" t="s">
        <v>724</v>
      </c>
      <c r="X63" s="143" t="s">
        <v>725</v>
      </c>
      <c r="Y63" s="143" t="s">
        <v>842</v>
      </c>
      <c r="Z63" s="143">
        <v>2377</v>
      </c>
      <c r="AA63" s="143">
        <v>0</v>
      </c>
      <c r="AD63" s="137">
        <v>0</v>
      </c>
      <c r="AG63" s="143" t="s">
        <v>724</v>
      </c>
      <c r="AH63" s="143" t="s">
        <v>725</v>
      </c>
      <c r="AI63" s="143" t="s">
        <v>842</v>
      </c>
      <c r="AJ63" s="143">
        <v>2377</v>
      </c>
      <c r="AK63" s="143">
        <v>2</v>
      </c>
      <c r="AL63" s="156">
        <v>2</v>
      </c>
      <c r="AM63" s="156">
        <v>3</v>
      </c>
      <c r="AN63" s="156">
        <v>3</v>
      </c>
      <c r="AO63" s="156">
        <v>3</v>
      </c>
      <c r="AP63" s="156">
        <v>2.5</v>
      </c>
      <c r="AQ63" s="156">
        <v>3</v>
      </c>
      <c r="AR63" s="156">
        <v>3.5</v>
      </c>
      <c r="AS63" s="169">
        <v>3</v>
      </c>
    </row>
    <row r="64" spans="1:45" x14ac:dyDescent="0.35">
      <c r="A64" s="143" t="s">
        <v>724</v>
      </c>
      <c r="B64" s="143" t="s">
        <v>725</v>
      </c>
      <c r="C64" s="143" t="s">
        <v>842</v>
      </c>
      <c r="D64" s="143">
        <v>2379</v>
      </c>
      <c r="E64" s="143">
        <v>2</v>
      </c>
      <c r="F64" s="137">
        <v>1</v>
      </c>
      <c r="G64" s="137">
        <v>1</v>
      </c>
      <c r="H64" s="137">
        <v>1</v>
      </c>
      <c r="I64" s="137">
        <v>0</v>
      </c>
      <c r="K64" s="143" t="s">
        <v>724</v>
      </c>
      <c r="L64" s="143" t="s">
        <v>725</v>
      </c>
      <c r="M64" s="143" t="s">
        <v>842</v>
      </c>
      <c r="N64" s="143">
        <v>2379</v>
      </c>
      <c r="O64" s="137">
        <v>0.4</v>
      </c>
      <c r="P64" s="137">
        <v>0.6</v>
      </c>
      <c r="Q64" s="137">
        <v>1</v>
      </c>
      <c r="R64" s="137" t="s">
        <v>2486</v>
      </c>
      <c r="S64" s="137">
        <v>0.5</v>
      </c>
      <c r="T64" s="137" t="s">
        <v>2486</v>
      </c>
      <c r="U64" s="137" t="s">
        <v>2486</v>
      </c>
      <c r="W64" s="143" t="s">
        <v>724</v>
      </c>
      <c r="X64" s="143" t="s">
        <v>725</v>
      </c>
      <c r="Y64" s="143" t="s">
        <v>842</v>
      </c>
      <c r="Z64" s="143">
        <v>2379</v>
      </c>
      <c r="AA64" s="143">
        <v>0</v>
      </c>
      <c r="AD64" s="137">
        <v>0</v>
      </c>
      <c r="AG64" s="143" t="s">
        <v>724</v>
      </c>
      <c r="AH64" s="143" t="s">
        <v>725</v>
      </c>
      <c r="AI64" s="143" t="s">
        <v>842</v>
      </c>
      <c r="AJ64" s="143">
        <v>2379</v>
      </c>
      <c r="AK64" s="143">
        <v>2</v>
      </c>
      <c r="AL64" s="156">
        <v>2.5</v>
      </c>
      <c r="AM64" s="156">
        <v>4</v>
      </c>
      <c r="AN64" s="156">
        <v>4</v>
      </c>
      <c r="AO64" s="156">
        <v>4</v>
      </c>
      <c r="AP64" s="156">
        <v>4</v>
      </c>
      <c r="AQ64" s="156">
        <v>4</v>
      </c>
      <c r="AR64" s="156">
        <v>4</v>
      </c>
      <c r="AS64" s="169">
        <v>4</v>
      </c>
    </row>
    <row r="65" spans="1:45" x14ac:dyDescent="0.35">
      <c r="A65" s="143" t="s">
        <v>724</v>
      </c>
      <c r="B65" s="143" t="s">
        <v>725</v>
      </c>
      <c r="C65" s="143" t="s">
        <v>842</v>
      </c>
      <c r="D65" s="143">
        <v>2663</v>
      </c>
      <c r="E65" s="143">
        <v>2</v>
      </c>
      <c r="F65" s="137">
        <v>1</v>
      </c>
      <c r="G65" s="137">
        <v>1</v>
      </c>
      <c r="H65" s="137">
        <v>1</v>
      </c>
      <c r="I65" s="137">
        <v>0</v>
      </c>
      <c r="K65" s="143" t="s">
        <v>724</v>
      </c>
      <c r="L65" s="143" t="s">
        <v>725</v>
      </c>
      <c r="M65" s="143" t="s">
        <v>842</v>
      </c>
      <c r="N65" s="143">
        <v>2663</v>
      </c>
      <c r="O65" s="137">
        <v>0.4</v>
      </c>
      <c r="P65" s="137">
        <v>0.6</v>
      </c>
      <c r="Q65" s="137">
        <v>1</v>
      </c>
      <c r="R65" s="137" t="s">
        <v>2486</v>
      </c>
      <c r="S65" s="137">
        <v>0.5</v>
      </c>
      <c r="T65" s="137" t="s">
        <v>2486</v>
      </c>
      <c r="U65" s="137" t="s">
        <v>2486</v>
      </c>
      <c r="W65" s="143" t="s">
        <v>724</v>
      </c>
      <c r="X65" s="143" t="s">
        <v>725</v>
      </c>
      <c r="Y65" s="143" t="s">
        <v>842</v>
      </c>
      <c r="Z65" s="143">
        <v>2663</v>
      </c>
      <c r="AA65" s="143">
        <v>0</v>
      </c>
      <c r="AD65" s="137">
        <v>0</v>
      </c>
      <c r="AG65" s="143" t="s">
        <v>724</v>
      </c>
      <c r="AH65" s="143" t="s">
        <v>725</v>
      </c>
      <c r="AI65" s="143" t="s">
        <v>842</v>
      </c>
      <c r="AJ65" s="143">
        <v>2663</v>
      </c>
      <c r="AK65" s="143">
        <v>2</v>
      </c>
      <c r="AL65" s="156">
        <v>2</v>
      </c>
      <c r="AM65" s="156">
        <v>3.5</v>
      </c>
      <c r="AN65" s="156">
        <v>4</v>
      </c>
      <c r="AO65" s="156">
        <v>4</v>
      </c>
      <c r="AP65" s="156">
        <v>4</v>
      </c>
      <c r="AQ65" s="156">
        <v>4</v>
      </c>
      <c r="AR65" s="156">
        <v>4</v>
      </c>
      <c r="AS65" s="169">
        <v>3.785714</v>
      </c>
    </row>
    <row r="66" spans="1:45" x14ac:dyDescent="0.35">
      <c r="A66" s="143" t="s">
        <v>724</v>
      </c>
      <c r="B66" s="143" t="s">
        <v>725</v>
      </c>
      <c r="C66" s="143" t="s">
        <v>663</v>
      </c>
      <c r="D66" s="143">
        <v>3109</v>
      </c>
      <c r="E66" s="143">
        <v>2</v>
      </c>
      <c r="F66" s="137">
        <v>1</v>
      </c>
      <c r="G66" s="137">
        <v>1</v>
      </c>
      <c r="H66" s="137">
        <v>1</v>
      </c>
      <c r="I66" s="137">
        <v>0</v>
      </c>
      <c r="K66" s="143" t="s">
        <v>724</v>
      </c>
      <c r="L66" s="143" t="s">
        <v>725</v>
      </c>
      <c r="M66" s="143" t="s">
        <v>663</v>
      </c>
      <c r="N66" s="143">
        <v>3109</v>
      </c>
      <c r="O66" s="137">
        <v>0.4</v>
      </c>
      <c r="P66" s="137">
        <v>0.6</v>
      </c>
      <c r="Q66" s="137">
        <v>1</v>
      </c>
      <c r="R66" s="137" t="s">
        <v>2486</v>
      </c>
      <c r="S66" s="137">
        <v>0.66666669999999995</v>
      </c>
      <c r="T66" s="137" t="s">
        <v>2486</v>
      </c>
      <c r="U66" s="137" t="s">
        <v>2838</v>
      </c>
      <c r="W66" s="143" t="s">
        <v>724</v>
      </c>
      <c r="X66" s="143" t="s">
        <v>725</v>
      </c>
      <c r="Y66" s="143" t="s">
        <v>663</v>
      </c>
      <c r="Z66" s="143">
        <v>3109</v>
      </c>
      <c r="AA66" s="143">
        <v>0</v>
      </c>
      <c r="AD66" s="137">
        <v>0</v>
      </c>
      <c r="AG66" s="143" t="s">
        <v>724</v>
      </c>
      <c r="AH66" s="143" t="s">
        <v>725</v>
      </c>
      <c r="AI66" s="143" t="s">
        <v>663</v>
      </c>
      <c r="AJ66" s="143">
        <v>3109</v>
      </c>
      <c r="AK66" s="143">
        <v>2</v>
      </c>
      <c r="AL66" s="156">
        <v>2.5</v>
      </c>
      <c r="AM66" s="156">
        <v>3</v>
      </c>
      <c r="AN66" s="156">
        <v>2.5</v>
      </c>
      <c r="AO66" s="156">
        <v>3</v>
      </c>
      <c r="AP66" s="156">
        <v>3.5</v>
      </c>
      <c r="AQ66" s="156">
        <v>3</v>
      </c>
      <c r="AR66" s="156">
        <v>3</v>
      </c>
      <c r="AS66" s="169">
        <v>2.9285709999999998</v>
      </c>
    </row>
    <row r="67" spans="1:45" x14ac:dyDescent="0.35">
      <c r="A67" s="143" t="s">
        <v>724</v>
      </c>
      <c r="B67" s="143" t="s">
        <v>725</v>
      </c>
      <c r="C67" s="143" t="s">
        <v>663</v>
      </c>
      <c r="D67" s="143">
        <v>3718</v>
      </c>
      <c r="E67" s="143">
        <v>2</v>
      </c>
      <c r="F67" s="137">
        <v>1</v>
      </c>
      <c r="G67" s="137">
        <v>1</v>
      </c>
      <c r="H67" s="137">
        <v>1</v>
      </c>
      <c r="I67" s="137">
        <v>0</v>
      </c>
      <c r="K67" s="143" t="s">
        <v>724</v>
      </c>
      <c r="L67" s="143" t="s">
        <v>725</v>
      </c>
      <c r="M67" s="143" t="s">
        <v>663</v>
      </c>
      <c r="N67" s="143">
        <v>3718</v>
      </c>
      <c r="O67" s="137">
        <v>0.4</v>
      </c>
      <c r="P67" s="137">
        <v>0.6</v>
      </c>
      <c r="Q67" s="137">
        <v>1</v>
      </c>
      <c r="R67" s="137" t="s">
        <v>2486</v>
      </c>
      <c r="S67" s="137">
        <v>0.66666669999999995</v>
      </c>
      <c r="T67" s="137" t="s">
        <v>2486</v>
      </c>
      <c r="U67" s="137" t="s">
        <v>2838</v>
      </c>
      <c r="W67" s="143" t="s">
        <v>724</v>
      </c>
      <c r="X67" s="143" t="s">
        <v>725</v>
      </c>
      <c r="Y67" s="143" t="s">
        <v>663</v>
      </c>
      <c r="Z67" s="143">
        <v>3718</v>
      </c>
      <c r="AA67" s="143">
        <v>0</v>
      </c>
      <c r="AD67" s="137">
        <v>0</v>
      </c>
      <c r="AG67" s="143" t="s">
        <v>724</v>
      </c>
      <c r="AH67" s="143" t="s">
        <v>725</v>
      </c>
      <c r="AI67" s="143" t="s">
        <v>663</v>
      </c>
      <c r="AJ67" s="143">
        <v>3718</v>
      </c>
      <c r="AK67" s="143">
        <v>2</v>
      </c>
      <c r="AL67" s="156">
        <v>2.5</v>
      </c>
      <c r="AM67" s="156">
        <v>3.5</v>
      </c>
      <c r="AN67" s="156">
        <v>3</v>
      </c>
      <c r="AO67" s="156">
        <v>3</v>
      </c>
      <c r="AP67" s="156">
        <v>1</v>
      </c>
      <c r="AQ67" s="156">
        <v>2.5</v>
      </c>
      <c r="AR67" s="156">
        <v>3</v>
      </c>
      <c r="AS67" s="169">
        <v>2.6428569999999998</v>
      </c>
    </row>
    <row r="68" spans="1:45" x14ac:dyDescent="0.35">
      <c r="A68" s="143" t="s">
        <v>724</v>
      </c>
      <c r="B68" s="143" t="s">
        <v>725</v>
      </c>
      <c r="C68" s="143" t="s">
        <v>842</v>
      </c>
      <c r="D68" s="143">
        <v>3885</v>
      </c>
      <c r="E68" s="143">
        <v>4</v>
      </c>
      <c r="F68" s="137">
        <v>1</v>
      </c>
      <c r="G68" s="137">
        <v>0.75</v>
      </c>
      <c r="H68" s="137">
        <v>1</v>
      </c>
      <c r="I68" s="137">
        <v>0</v>
      </c>
      <c r="K68" s="143" t="s">
        <v>724</v>
      </c>
      <c r="L68" s="143" t="s">
        <v>725</v>
      </c>
      <c r="M68" s="143" t="s">
        <v>842</v>
      </c>
      <c r="N68" s="143">
        <v>3885</v>
      </c>
      <c r="O68" s="137">
        <v>0.4</v>
      </c>
      <c r="P68" s="137">
        <v>0.6</v>
      </c>
      <c r="Q68" s="137">
        <v>1</v>
      </c>
      <c r="R68" s="137" t="s">
        <v>2486</v>
      </c>
      <c r="S68" s="137">
        <v>0.5</v>
      </c>
      <c r="T68" s="137" t="s">
        <v>2486</v>
      </c>
      <c r="U68" s="137" t="s">
        <v>2486</v>
      </c>
      <c r="W68" s="143" t="s">
        <v>724</v>
      </c>
      <c r="X68" s="143" t="s">
        <v>725</v>
      </c>
      <c r="Y68" s="143" t="s">
        <v>842</v>
      </c>
      <c r="Z68" s="143">
        <v>3885</v>
      </c>
      <c r="AA68" s="143">
        <v>0</v>
      </c>
      <c r="AD68" s="137">
        <v>0</v>
      </c>
      <c r="AG68" s="143" t="s">
        <v>724</v>
      </c>
      <c r="AH68" s="143" t="s">
        <v>725</v>
      </c>
      <c r="AI68" s="143" t="s">
        <v>842</v>
      </c>
      <c r="AJ68" s="143">
        <v>3885</v>
      </c>
      <c r="AK68" s="143">
        <v>4</v>
      </c>
      <c r="AL68" s="156">
        <v>1.5</v>
      </c>
      <c r="AM68" s="156">
        <v>3.75</v>
      </c>
      <c r="AN68" s="156">
        <v>3</v>
      </c>
      <c r="AO68" s="156">
        <v>3</v>
      </c>
      <c r="AP68" s="156">
        <v>1.5</v>
      </c>
      <c r="AQ68" s="156">
        <v>3</v>
      </c>
      <c r="AR68" s="156">
        <v>3</v>
      </c>
      <c r="AS68" s="169">
        <v>2.964286</v>
      </c>
    </row>
    <row r="69" spans="1:45" x14ac:dyDescent="0.35">
      <c r="A69" s="143" t="s">
        <v>724</v>
      </c>
      <c r="B69" s="143" t="s">
        <v>725</v>
      </c>
      <c r="C69" s="143" t="s">
        <v>663</v>
      </c>
      <c r="D69" s="143">
        <v>3887</v>
      </c>
      <c r="E69" s="143">
        <v>2</v>
      </c>
      <c r="F69" s="137">
        <v>1</v>
      </c>
      <c r="G69" s="137">
        <v>1</v>
      </c>
      <c r="H69" s="137">
        <v>1</v>
      </c>
      <c r="I69" s="137">
        <v>0</v>
      </c>
      <c r="K69" s="143" t="s">
        <v>724</v>
      </c>
      <c r="L69" s="143" t="s">
        <v>725</v>
      </c>
      <c r="M69" s="143" t="s">
        <v>663</v>
      </c>
      <c r="N69" s="143">
        <v>3887</v>
      </c>
      <c r="O69" s="137">
        <v>0.4</v>
      </c>
      <c r="P69" s="137">
        <v>0.6</v>
      </c>
      <c r="Q69" s="137">
        <v>1</v>
      </c>
      <c r="R69" s="137" t="s">
        <v>2486</v>
      </c>
      <c r="S69" s="137">
        <v>0.66666669999999995</v>
      </c>
      <c r="T69" s="137" t="s">
        <v>2486</v>
      </c>
      <c r="U69" s="137" t="s">
        <v>2838</v>
      </c>
      <c r="W69" s="143" t="s">
        <v>724</v>
      </c>
      <c r="X69" s="143" t="s">
        <v>725</v>
      </c>
      <c r="Y69" s="143" t="s">
        <v>663</v>
      </c>
      <c r="Z69" s="143">
        <v>3887</v>
      </c>
      <c r="AA69" s="143">
        <v>0</v>
      </c>
      <c r="AD69" s="137">
        <v>0</v>
      </c>
      <c r="AG69" s="143" t="s">
        <v>724</v>
      </c>
      <c r="AH69" s="143" t="s">
        <v>725</v>
      </c>
      <c r="AI69" s="143" t="s">
        <v>663</v>
      </c>
      <c r="AJ69" s="143">
        <v>3887</v>
      </c>
      <c r="AK69" s="143">
        <v>2</v>
      </c>
      <c r="AL69" s="156">
        <v>1.5</v>
      </c>
      <c r="AM69" s="156">
        <v>4</v>
      </c>
      <c r="AN69" s="156">
        <v>3</v>
      </c>
      <c r="AO69" s="156">
        <v>3.5</v>
      </c>
      <c r="AP69" s="156">
        <v>2</v>
      </c>
      <c r="AQ69" s="156">
        <v>3.5</v>
      </c>
      <c r="AR69" s="156">
        <v>4</v>
      </c>
      <c r="AS69" s="169">
        <v>3.3571430000000002</v>
      </c>
    </row>
    <row r="70" spans="1:45" x14ac:dyDescent="0.35">
      <c r="A70" s="143" t="s">
        <v>724</v>
      </c>
      <c r="B70" s="143" t="s">
        <v>725</v>
      </c>
      <c r="C70" s="143" t="s">
        <v>663</v>
      </c>
      <c r="D70" s="143">
        <v>3888</v>
      </c>
      <c r="E70" s="143">
        <v>2</v>
      </c>
      <c r="F70" s="137">
        <v>1</v>
      </c>
      <c r="G70" s="137">
        <v>1</v>
      </c>
      <c r="H70" s="137">
        <v>1</v>
      </c>
      <c r="I70" s="137">
        <v>0</v>
      </c>
      <c r="K70" s="143" t="s">
        <v>724</v>
      </c>
      <c r="L70" s="143" t="s">
        <v>725</v>
      </c>
      <c r="M70" s="143" t="s">
        <v>663</v>
      </c>
      <c r="N70" s="143">
        <v>3888</v>
      </c>
      <c r="O70" s="137">
        <v>0.4</v>
      </c>
      <c r="P70" s="137">
        <v>0.6</v>
      </c>
      <c r="Q70" s="137">
        <v>1</v>
      </c>
      <c r="R70" s="137" t="s">
        <v>2486</v>
      </c>
      <c r="S70" s="137">
        <v>0.5</v>
      </c>
      <c r="T70" s="137" t="s">
        <v>2486</v>
      </c>
      <c r="U70" s="137" t="s">
        <v>2838</v>
      </c>
      <c r="W70" s="143" t="s">
        <v>724</v>
      </c>
      <c r="X70" s="143" t="s">
        <v>725</v>
      </c>
      <c r="Y70" s="143" t="s">
        <v>663</v>
      </c>
      <c r="Z70" s="143">
        <v>3888</v>
      </c>
      <c r="AA70" s="143">
        <v>0</v>
      </c>
      <c r="AD70" s="137">
        <v>0</v>
      </c>
      <c r="AG70" s="143" t="s">
        <v>724</v>
      </c>
      <c r="AH70" s="143" t="s">
        <v>725</v>
      </c>
      <c r="AI70" s="143" t="s">
        <v>663</v>
      </c>
      <c r="AJ70" s="143">
        <v>3888</v>
      </c>
      <c r="AK70" s="143">
        <v>2</v>
      </c>
      <c r="AL70" s="156">
        <v>2</v>
      </c>
      <c r="AM70" s="156">
        <v>3</v>
      </c>
      <c r="AN70" s="156">
        <v>3</v>
      </c>
      <c r="AO70" s="156">
        <v>3</v>
      </c>
      <c r="AP70" s="156">
        <v>2.5</v>
      </c>
      <c r="AQ70" s="156">
        <v>2.5</v>
      </c>
      <c r="AR70" s="156">
        <v>3.5</v>
      </c>
      <c r="AS70" s="169">
        <v>2.9285709999999998</v>
      </c>
    </row>
    <row r="71" spans="1:45" x14ac:dyDescent="0.35">
      <c r="A71" s="143" t="s">
        <v>726</v>
      </c>
      <c r="B71" s="143" t="s">
        <v>720</v>
      </c>
      <c r="C71" s="143" t="s">
        <v>843</v>
      </c>
      <c r="D71" s="143">
        <v>810</v>
      </c>
      <c r="E71" s="143">
        <v>8</v>
      </c>
      <c r="F71" s="137">
        <v>1</v>
      </c>
      <c r="G71" s="137">
        <v>1</v>
      </c>
      <c r="H71" s="137">
        <v>1</v>
      </c>
      <c r="I71" s="137">
        <v>1</v>
      </c>
      <c r="K71" s="143" t="s">
        <v>726</v>
      </c>
      <c r="L71" s="143" t="s">
        <v>720</v>
      </c>
      <c r="M71" s="143" t="s">
        <v>843</v>
      </c>
      <c r="N71" s="143">
        <v>810</v>
      </c>
      <c r="O71" s="137">
        <v>0.4</v>
      </c>
      <c r="P71" s="137">
        <v>0.6</v>
      </c>
      <c r="Q71" s="137">
        <v>1</v>
      </c>
      <c r="R71" s="137" t="s">
        <v>2486</v>
      </c>
      <c r="S71" s="137">
        <v>0.4375</v>
      </c>
      <c r="T71" s="137" t="s">
        <v>2486</v>
      </c>
      <c r="U71" s="137" t="s">
        <v>2486</v>
      </c>
      <c r="W71" s="143" t="s">
        <v>726</v>
      </c>
      <c r="X71" s="143" t="s">
        <v>720</v>
      </c>
      <c r="Y71" s="143" t="s">
        <v>843</v>
      </c>
      <c r="Z71" s="143">
        <v>810</v>
      </c>
      <c r="AA71" s="143">
        <v>8</v>
      </c>
      <c r="AB71" s="137">
        <v>0.5</v>
      </c>
      <c r="AC71" s="137">
        <v>0</v>
      </c>
      <c r="AD71" s="137">
        <v>0</v>
      </c>
      <c r="AE71" s="137">
        <v>0.3125</v>
      </c>
      <c r="AG71" s="143" t="s">
        <v>726</v>
      </c>
      <c r="AH71" s="143" t="s">
        <v>720</v>
      </c>
      <c r="AI71" s="143" t="s">
        <v>843</v>
      </c>
      <c r="AJ71" s="143">
        <v>810</v>
      </c>
      <c r="AK71" s="143">
        <v>8</v>
      </c>
      <c r="AL71" s="156">
        <v>2</v>
      </c>
      <c r="AM71" s="156">
        <v>2.875</v>
      </c>
      <c r="AN71" s="156">
        <v>2.375</v>
      </c>
      <c r="AO71" s="156">
        <v>2.125</v>
      </c>
      <c r="AP71" s="156">
        <v>1.375</v>
      </c>
      <c r="AQ71" s="156">
        <v>3.125</v>
      </c>
      <c r="AR71" s="156">
        <v>3</v>
      </c>
      <c r="AS71" s="169">
        <v>2.6071430000000002</v>
      </c>
    </row>
    <row r="72" spans="1:45" x14ac:dyDescent="0.35">
      <c r="A72" s="143" t="s">
        <v>726</v>
      </c>
      <c r="B72" s="143" t="s">
        <v>720</v>
      </c>
      <c r="C72" s="143" t="s">
        <v>841</v>
      </c>
      <c r="D72" s="143">
        <v>1163</v>
      </c>
      <c r="E72" s="143">
        <v>3</v>
      </c>
      <c r="F72" s="137">
        <v>1</v>
      </c>
      <c r="G72" s="137">
        <v>1</v>
      </c>
      <c r="H72" s="137">
        <v>1</v>
      </c>
      <c r="I72" s="137">
        <v>1</v>
      </c>
      <c r="K72" s="143" t="s">
        <v>726</v>
      </c>
      <c r="L72" s="143" t="s">
        <v>720</v>
      </c>
      <c r="M72" s="143" t="s">
        <v>841</v>
      </c>
      <c r="N72" s="143">
        <v>1163</v>
      </c>
      <c r="O72" s="137">
        <v>0.4</v>
      </c>
      <c r="P72" s="137">
        <v>0.6</v>
      </c>
      <c r="Q72" s="137">
        <v>1</v>
      </c>
      <c r="R72" s="137" t="s">
        <v>2486</v>
      </c>
      <c r="S72" s="137">
        <v>0.53846159999999998</v>
      </c>
      <c r="T72" s="137" t="s">
        <v>2486</v>
      </c>
      <c r="U72" s="137" t="s">
        <v>2486</v>
      </c>
      <c r="W72" s="143" t="s">
        <v>726</v>
      </c>
      <c r="X72" s="143" t="s">
        <v>720</v>
      </c>
      <c r="Y72" s="143" t="s">
        <v>841</v>
      </c>
      <c r="Z72" s="143">
        <v>1163</v>
      </c>
      <c r="AA72" s="143">
        <v>0</v>
      </c>
      <c r="AD72" s="137">
        <v>0</v>
      </c>
      <c r="AE72" s="137">
        <v>0.53846159999999998</v>
      </c>
      <c r="AG72" s="143" t="s">
        <v>726</v>
      </c>
      <c r="AH72" s="143" t="s">
        <v>720</v>
      </c>
      <c r="AI72" s="143" t="s">
        <v>841</v>
      </c>
      <c r="AJ72" s="143">
        <v>1163</v>
      </c>
      <c r="AK72" s="143">
        <v>3</v>
      </c>
      <c r="AL72" s="156">
        <v>1.6666666269302399</v>
      </c>
      <c r="AM72" s="156">
        <v>3</v>
      </c>
      <c r="AN72" s="156">
        <v>3</v>
      </c>
      <c r="AO72" s="156">
        <v>2.3333332538604701</v>
      </c>
      <c r="AP72" s="156">
        <v>1.6666666269302399</v>
      </c>
      <c r="AQ72" s="156">
        <v>3</v>
      </c>
      <c r="AR72" s="156">
        <v>2.3333332538604701</v>
      </c>
      <c r="AS72" s="169">
        <v>2.6666669999999999</v>
      </c>
    </row>
    <row r="73" spans="1:45" x14ac:dyDescent="0.35">
      <c r="A73" s="143" t="s">
        <v>726</v>
      </c>
      <c r="B73" s="143" t="s">
        <v>720</v>
      </c>
      <c r="C73" s="143" t="s">
        <v>842</v>
      </c>
      <c r="D73" s="143">
        <v>1573</v>
      </c>
      <c r="E73" s="143">
        <v>2</v>
      </c>
      <c r="F73" s="137">
        <v>1</v>
      </c>
      <c r="G73" s="137">
        <v>1</v>
      </c>
      <c r="H73" s="137">
        <v>1</v>
      </c>
      <c r="I73" s="137">
        <v>0</v>
      </c>
      <c r="K73" s="143" t="s">
        <v>726</v>
      </c>
      <c r="L73" s="143" t="s">
        <v>720</v>
      </c>
      <c r="M73" s="143" t="s">
        <v>842</v>
      </c>
      <c r="N73" s="143">
        <v>1573</v>
      </c>
      <c r="O73" s="137">
        <v>0.4</v>
      </c>
      <c r="P73" s="137">
        <v>0.6</v>
      </c>
      <c r="Q73" s="137">
        <v>1</v>
      </c>
      <c r="R73" s="137" t="s">
        <v>2486</v>
      </c>
      <c r="S73" s="137">
        <v>0.66666669999999995</v>
      </c>
      <c r="T73" s="137" t="s">
        <v>2486</v>
      </c>
      <c r="U73" s="137" t="s">
        <v>2486</v>
      </c>
      <c r="W73" s="143" t="s">
        <v>726</v>
      </c>
      <c r="X73" s="143" t="s">
        <v>720</v>
      </c>
      <c r="Y73" s="143" t="s">
        <v>842</v>
      </c>
      <c r="Z73" s="143">
        <v>1573</v>
      </c>
      <c r="AA73" s="143">
        <v>0</v>
      </c>
      <c r="AD73" s="137">
        <v>0</v>
      </c>
      <c r="AE73" s="137">
        <v>0.1666667</v>
      </c>
      <c r="AG73" s="143" t="s">
        <v>726</v>
      </c>
      <c r="AH73" s="143" t="s">
        <v>720</v>
      </c>
      <c r="AI73" s="143" t="s">
        <v>842</v>
      </c>
      <c r="AJ73" s="143">
        <v>1573</v>
      </c>
      <c r="AK73" s="143">
        <v>2</v>
      </c>
      <c r="AL73" s="156">
        <v>2</v>
      </c>
      <c r="AM73" s="156">
        <v>4</v>
      </c>
      <c r="AN73" s="156">
        <v>4</v>
      </c>
      <c r="AO73" s="156">
        <v>4</v>
      </c>
      <c r="AP73" s="156">
        <v>4</v>
      </c>
      <c r="AQ73" s="156">
        <v>4</v>
      </c>
      <c r="AR73" s="156">
        <v>3.5</v>
      </c>
      <c r="AS73" s="169">
        <v>3.785714</v>
      </c>
    </row>
    <row r="74" spans="1:45" x14ac:dyDescent="0.35">
      <c r="A74" s="143" t="s">
        <v>726</v>
      </c>
      <c r="B74" s="143" t="s">
        <v>720</v>
      </c>
      <c r="C74" s="143" t="s">
        <v>842</v>
      </c>
      <c r="D74" s="143">
        <v>1726</v>
      </c>
      <c r="E74" s="143">
        <v>2</v>
      </c>
      <c r="F74" s="137">
        <v>0</v>
      </c>
      <c r="G74" s="137">
        <v>0</v>
      </c>
      <c r="H74" s="137">
        <v>0</v>
      </c>
      <c r="I74" s="137">
        <v>1</v>
      </c>
      <c r="K74" s="143" t="s">
        <v>726</v>
      </c>
      <c r="L74" s="143" t="s">
        <v>720</v>
      </c>
      <c r="M74" s="143" t="s">
        <v>842</v>
      </c>
      <c r="N74" s="143">
        <v>1726</v>
      </c>
      <c r="O74" s="137">
        <v>0.4</v>
      </c>
      <c r="P74" s="137">
        <v>0.6</v>
      </c>
      <c r="Q74" s="137">
        <v>1</v>
      </c>
      <c r="R74" s="137" t="s">
        <v>2486</v>
      </c>
      <c r="S74" s="137">
        <v>0.5</v>
      </c>
      <c r="T74" s="137" t="s">
        <v>2486</v>
      </c>
      <c r="U74" s="137" t="s">
        <v>2486</v>
      </c>
      <c r="W74" s="143" t="s">
        <v>726</v>
      </c>
      <c r="X74" s="143" t="s">
        <v>720</v>
      </c>
      <c r="Y74" s="143" t="s">
        <v>842</v>
      </c>
      <c r="Z74" s="143">
        <v>1726</v>
      </c>
      <c r="AA74" s="143">
        <v>0</v>
      </c>
      <c r="AD74" s="137">
        <v>0</v>
      </c>
      <c r="AE74" s="137">
        <v>0.1666667</v>
      </c>
      <c r="AG74" s="143" t="s">
        <v>726</v>
      </c>
      <c r="AH74" s="143" t="s">
        <v>720</v>
      </c>
      <c r="AI74" s="143" t="s">
        <v>842</v>
      </c>
      <c r="AJ74" s="143">
        <v>1726</v>
      </c>
      <c r="AK74" s="143">
        <v>2</v>
      </c>
      <c r="AL74" s="156">
        <v>2</v>
      </c>
      <c r="AM74" s="156">
        <v>3</v>
      </c>
      <c r="AN74" s="156">
        <v>3.5</v>
      </c>
      <c r="AO74" s="156">
        <v>4</v>
      </c>
      <c r="AP74" s="156">
        <v>3</v>
      </c>
      <c r="AQ74" s="156">
        <v>4</v>
      </c>
      <c r="AR74" s="156">
        <v>4</v>
      </c>
      <c r="AS74" s="169">
        <v>3.5</v>
      </c>
    </row>
    <row r="75" spans="1:45" x14ac:dyDescent="0.35">
      <c r="A75" s="143" t="s">
        <v>726</v>
      </c>
      <c r="B75" s="143" t="s">
        <v>720</v>
      </c>
      <c r="C75" s="143" t="s">
        <v>842</v>
      </c>
      <c r="D75" s="143">
        <v>1818</v>
      </c>
      <c r="E75" s="143">
        <v>2</v>
      </c>
      <c r="F75" s="137">
        <v>1</v>
      </c>
      <c r="G75" s="137">
        <v>1</v>
      </c>
      <c r="H75" s="137">
        <v>1</v>
      </c>
      <c r="I75" s="137">
        <v>0</v>
      </c>
      <c r="K75" s="143" t="s">
        <v>726</v>
      </c>
      <c r="L75" s="143" t="s">
        <v>720</v>
      </c>
      <c r="M75" s="143" t="s">
        <v>842</v>
      </c>
      <c r="N75" s="143">
        <v>1818</v>
      </c>
      <c r="O75" s="137">
        <v>0.3973333</v>
      </c>
      <c r="P75" s="137">
        <v>0.6</v>
      </c>
      <c r="Q75" s="137">
        <v>0.99733329999999998</v>
      </c>
      <c r="R75" s="137" t="s">
        <v>2487</v>
      </c>
      <c r="S75" s="137">
        <v>0.5</v>
      </c>
      <c r="T75" s="137" t="s">
        <v>2486</v>
      </c>
      <c r="U75" s="137" t="s">
        <v>2486</v>
      </c>
      <c r="W75" s="143" t="s">
        <v>726</v>
      </c>
      <c r="X75" s="143" t="s">
        <v>720</v>
      </c>
      <c r="Y75" s="143" t="s">
        <v>842</v>
      </c>
      <c r="Z75" s="143">
        <v>1818</v>
      </c>
      <c r="AA75" s="143">
        <v>0</v>
      </c>
      <c r="AD75" s="137">
        <v>0</v>
      </c>
      <c r="AG75" s="143" t="s">
        <v>726</v>
      </c>
      <c r="AH75" s="143" t="s">
        <v>720</v>
      </c>
      <c r="AI75" s="143" t="s">
        <v>842</v>
      </c>
      <c r="AJ75" s="143">
        <v>1818</v>
      </c>
      <c r="AK75" s="143">
        <v>2</v>
      </c>
      <c r="AL75" s="156">
        <v>1</v>
      </c>
      <c r="AM75" s="156">
        <v>4</v>
      </c>
      <c r="AN75" s="156">
        <v>3</v>
      </c>
      <c r="AO75" s="156">
        <v>3</v>
      </c>
      <c r="AP75" s="156">
        <v>3</v>
      </c>
      <c r="AQ75" s="156">
        <v>4</v>
      </c>
      <c r="AR75" s="156">
        <v>4</v>
      </c>
      <c r="AS75" s="169">
        <v>3.5714290000000002</v>
      </c>
    </row>
    <row r="76" spans="1:45" x14ac:dyDescent="0.35">
      <c r="A76" s="143" t="s">
        <v>726</v>
      </c>
      <c r="B76" s="143" t="s">
        <v>720</v>
      </c>
      <c r="C76" s="143" t="s">
        <v>663</v>
      </c>
      <c r="D76" s="143">
        <v>1991</v>
      </c>
      <c r="E76" s="143">
        <v>2</v>
      </c>
      <c r="F76" s="137">
        <v>1</v>
      </c>
      <c r="G76" s="137">
        <v>1</v>
      </c>
      <c r="H76" s="137">
        <v>1</v>
      </c>
      <c r="I76" s="137">
        <v>0</v>
      </c>
      <c r="K76" s="143" t="s">
        <v>726</v>
      </c>
      <c r="L76" s="143" t="s">
        <v>720</v>
      </c>
      <c r="M76" s="143" t="s">
        <v>663</v>
      </c>
      <c r="N76" s="143">
        <v>1991</v>
      </c>
      <c r="O76" s="137">
        <v>0.3973333</v>
      </c>
      <c r="P76" s="137">
        <v>0.6</v>
      </c>
      <c r="Q76" s="137">
        <v>0.99733329999999998</v>
      </c>
      <c r="R76" s="137" t="s">
        <v>2487</v>
      </c>
      <c r="S76" s="137">
        <v>0.6</v>
      </c>
      <c r="T76" s="137" t="s">
        <v>2486</v>
      </c>
      <c r="U76" s="137" t="s">
        <v>2838</v>
      </c>
      <c r="W76" s="143" t="s">
        <v>726</v>
      </c>
      <c r="X76" s="143" t="s">
        <v>720</v>
      </c>
      <c r="Y76" s="143" t="s">
        <v>663</v>
      </c>
      <c r="Z76" s="143">
        <v>1991</v>
      </c>
      <c r="AA76" s="143">
        <v>0</v>
      </c>
      <c r="AD76" s="137">
        <v>0</v>
      </c>
      <c r="AG76" s="143" t="s">
        <v>726</v>
      </c>
      <c r="AH76" s="143" t="s">
        <v>720</v>
      </c>
      <c r="AI76" s="143" t="s">
        <v>663</v>
      </c>
      <c r="AJ76" s="143">
        <v>1991</v>
      </c>
      <c r="AK76" s="143">
        <v>2</v>
      </c>
      <c r="AL76" s="156">
        <v>2</v>
      </c>
      <c r="AM76" s="156">
        <v>3</v>
      </c>
      <c r="AN76" s="156">
        <v>3.5</v>
      </c>
      <c r="AO76" s="156">
        <v>3.5</v>
      </c>
      <c r="AP76" s="156">
        <v>4</v>
      </c>
      <c r="AQ76" s="156">
        <v>3</v>
      </c>
      <c r="AR76" s="156">
        <v>3.5</v>
      </c>
      <c r="AS76" s="169">
        <v>3.3571430000000002</v>
      </c>
    </row>
    <row r="77" spans="1:45" x14ac:dyDescent="0.35">
      <c r="A77" s="143" t="s">
        <v>726</v>
      </c>
      <c r="B77" s="143" t="s">
        <v>720</v>
      </c>
      <c r="C77" s="143" t="s">
        <v>663</v>
      </c>
      <c r="D77" s="143">
        <v>2764</v>
      </c>
      <c r="E77" s="143">
        <v>2</v>
      </c>
      <c r="F77" s="137">
        <v>1</v>
      </c>
      <c r="G77" s="137">
        <v>1</v>
      </c>
      <c r="H77" s="137">
        <v>1</v>
      </c>
      <c r="I77" s="137">
        <v>1</v>
      </c>
      <c r="K77" s="143" t="s">
        <v>726</v>
      </c>
      <c r="L77" s="143" t="s">
        <v>720</v>
      </c>
      <c r="M77" s="143" t="s">
        <v>663</v>
      </c>
      <c r="N77" s="143">
        <v>2764</v>
      </c>
      <c r="O77" s="137">
        <v>0.4</v>
      </c>
      <c r="P77" s="137">
        <v>0.6</v>
      </c>
      <c r="Q77" s="137">
        <v>1</v>
      </c>
      <c r="R77" s="137" t="s">
        <v>2486</v>
      </c>
      <c r="S77" s="137">
        <v>0.75</v>
      </c>
      <c r="T77" s="137" t="s">
        <v>2486</v>
      </c>
      <c r="U77" s="137" t="s">
        <v>2838</v>
      </c>
      <c r="W77" s="143" t="s">
        <v>726</v>
      </c>
      <c r="X77" s="143" t="s">
        <v>720</v>
      </c>
      <c r="Y77" s="143" t="s">
        <v>663</v>
      </c>
      <c r="Z77" s="143">
        <v>2764</v>
      </c>
      <c r="AA77" s="143">
        <v>0</v>
      </c>
      <c r="AD77" s="137">
        <v>0</v>
      </c>
      <c r="AE77" s="137">
        <v>0.25</v>
      </c>
      <c r="AG77" s="143" t="s">
        <v>726</v>
      </c>
      <c r="AH77" s="143" t="s">
        <v>720</v>
      </c>
      <c r="AI77" s="143" t="s">
        <v>663</v>
      </c>
      <c r="AJ77" s="143">
        <v>2764</v>
      </c>
      <c r="AK77" s="143">
        <v>2</v>
      </c>
      <c r="AL77" s="156">
        <v>2.5</v>
      </c>
      <c r="AM77" s="156">
        <v>3</v>
      </c>
      <c r="AN77" s="156">
        <v>3</v>
      </c>
      <c r="AO77" s="156">
        <v>3</v>
      </c>
      <c r="AP77" s="156">
        <v>3.5</v>
      </c>
      <c r="AQ77" s="156">
        <v>3.5</v>
      </c>
      <c r="AR77" s="156">
        <v>4</v>
      </c>
      <c r="AS77" s="169">
        <v>3.214286</v>
      </c>
    </row>
    <row r="78" spans="1:45" x14ac:dyDescent="0.35">
      <c r="A78" s="143" t="s">
        <v>726</v>
      </c>
      <c r="B78" s="143" t="s">
        <v>720</v>
      </c>
      <c r="C78" s="143" t="s">
        <v>663</v>
      </c>
      <c r="D78" s="143">
        <v>2766</v>
      </c>
      <c r="E78" s="143">
        <v>2</v>
      </c>
      <c r="F78" s="137">
        <v>0</v>
      </c>
      <c r="G78" s="137">
        <v>0</v>
      </c>
      <c r="H78" s="137">
        <v>0</v>
      </c>
      <c r="I78" s="137">
        <v>1</v>
      </c>
      <c r="K78" s="143" t="s">
        <v>726</v>
      </c>
      <c r="L78" s="143" t="s">
        <v>720</v>
      </c>
      <c r="M78" s="143" t="s">
        <v>663</v>
      </c>
      <c r="N78" s="143">
        <v>2766</v>
      </c>
      <c r="O78" s="137">
        <v>0.4</v>
      </c>
      <c r="P78" s="137">
        <v>0.6</v>
      </c>
      <c r="Q78" s="137">
        <v>1</v>
      </c>
      <c r="R78" s="137" t="s">
        <v>2486</v>
      </c>
      <c r="S78" s="137">
        <v>0.75</v>
      </c>
      <c r="T78" s="137" t="s">
        <v>2486</v>
      </c>
      <c r="U78" s="137" t="s">
        <v>2838</v>
      </c>
      <c r="W78" s="143" t="s">
        <v>726</v>
      </c>
      <c r="X78" s="143" t="s">
        <v>720</v>
      </c>
      <c r="Y78" s="143" t="s">
        <v>663</v>
      </c>
      <c r="Z78" s="143">
        <v>2766</v>
      </c>
      <c r="AA78" s="143">
        <v>0</v>
      </c>
      <c r="AD78" s="137">
        <v>0</v>
      </c>
      <c r="AE78" s="137">
        <v>0.5</v>
      </c>
      <c r="AG78" s="143" t="s">
        <v>726</v>
      </c>
      <c r="AH78" s="143" t="s">
        <v>720</v>
      </c>
      <c r="AI78" s="143" t="s">
        <v>663</v>
      </c>
      <c r="AJ78" s="143">
        <v>2766</v>
      </c>
      <c r="AK78" s="143">
        <v>2</v>
      </c>
      <c r="AL78" s="156">
        <v>1</v>
      </c>
      <c r="AM78" s="156">
        <v>3</v>
      </c>
      <c r="AN78" s="156">
        <v>3.5</v>
      </c>
      <c r="AO78" s="156">
        <v>3.5</v>
      </c>
      <c r="AP78" s="156">
        <v>3.5</v>
      </c>
      <c r="AQ78" s="156">
        <v>4</v>
      </c>
      <c r="AR78" s="156">
        <v>3.5</v>
      </c>
      <c r="AS78" s="169">
        <v>3.5714290000000002</v>
      </c>
    </row>
    <row r="79" spans="1:45" x14ac:dyDescent="0.35">
      <c r="A79" s="143" t="s">
        <v>726</v>
      </c>
      <c r="B79" s="143" t="s">
        <v>720</v>
      </c>
      <c r="C79" s="143" t="s">
        <v>663</v>
      </c>
      <c r="D79" s="143">
        <v>2768</v>
      </c>
      <c r="E79" s="143">
        <v>2</v>
      </c>
      <c r="F79" s="137">
        <v>1</v>
      </c>
      <c r="G79" s="137">
        <v>1</v>
      </c>
      <c r="H79" s="137">
        <v>1</v>
      </c>
      <c r="I79" s="137">
        <v>1</v>
      </c>
      <c r="K79" s="143" t="s">
        <v>726</v>
      </c>
      <c r="L79" s="143" t="s">
        <v>720</v>
      </c>
      <c r="M79" s="143" t="s">
        <v>663</v>
      </c>
      <c r="N79" s="143">
        <v>2768</v>
      </c>
      <c r="O79" s="137">
        <v>0.4</v>
      </c>
      <c r="P79" s="137">
        <v>0.6</v>
      </c>
      <c r="Q79" s="137">
        <v>1</v>
      </c>
      <c r="R79" s="137" t="s">
        <v>2486</v>
      </c>
      <c r="S79" s="137">
        <v>0.5</v>
      </c>
      <c r="T79" s="137" t="s">
        <v>2486</v>
      </c>
      <c r="U79" s="137" t="s">
        <v>2838</v>
      </c>
      <c r="W79" s="143" t="s">
        <v>726</v>
      </c>
      <c r="X79" s="143" t="s">
        <v>720</v>
      </c>
      <c r="Y79" s="143" t="s">
        <v>663</v>
      </c>
      <c r="Z79" s="143">
        <v>2768</v>
      </c>
      <c r="AA79" s="143">
        <v>0</v>
      </c>
      <c r="AD79" s="137">
        <v>0</v>
      </c>
      <c r="AE79" s="137">
        <v>0.5</v>
      </c>
      <c r="AG79" s="143" t="s">
        <v>726</v>
      </c>
      <c r="AH79" s="143" t="s">
        <v>720</v>
      </c>
      <c r="AI79" s="143" t="s">
        <v>663</v>
      </c>
      <c r="AJ79" s="143">
        <v>2768</v>
      </c>
      <c r="AK79" s="143">
        <v>2</v>
      </c>
      <c r="AL79" s="156">
        <v>1.5</v>
      </c>
      <c r="AM79" s="156">
        <v>3</v>
      </c>
      <c r="AN79" s="156">
        <v>3.5</v>
      </c>
      <c r="AO79" s="156">
        <v>3</v>
      </c>
      <c r="AP79" s="156">
        <v>1.5</v>
      </c>
      <c r="AQ79" s="156">
        <v>4</v>
      </c>
      <c r="AR79" s="156">
        <v>4</v>
      </c>
      <c r="AS79" s="169">
        <v>3.214286</v>
      </c>
    </row>
    <row r="80" spans="1:45" x14ac:dyDescent="0.35">
      <c r="A80" s="143" t="s">
        <v>726</v>
      </c>
      <c r="B80" s="143" t="s">
        <v>720</v>
      </c>
      <c r="C80" s="143" t="s">
        <v>663</v>
      </c>
      <c r="D80" s="143">
        <v>3133</v>
      </c>
      <c r="E80" s="143">
        <v>2</v>
      </c>
      <c r="F80" s="137">
        <v>1</v>
      </c>
      <c r="G80" s="137">
        <v>1</v>
      </c>
      <c r="H80" s="137">
        <v>1</v>
      </c>
      <c r="I80" s="137">
        <v>0.5</v>
      </c>
      <c r="K80" s="143" t="s">
        <v>726</v>
      </c>
      <c r="L80" s="143" t="s">
        <v>720</v>
      </c>
      <c r="M80" s="143" t="s">
        <v>663</v>
      </c>
      <c r="N80" s="143">
        <v>3133</v>
      </c>
      <c r="O80" s="137">
        <v>0.38133339999999999</v>
      </c>
      <c r="P80" s="137">
        <v>0.6</v>
      </c>
      <c r="Q80" s="137">
        <v>0.98133340000000002</v>
      </c>
      <c r="R80" s="137" t="s">
        <v>2487</v>
      </c>
      <c r="S80" s="137">
        <v>0.5</v>
      </c>
      <c r="T80" s="137" t="s">
        <v>2486</v>
      </c>
      <c r="U80" s="137" t="s">
        <v>2838</v>
      </c>
      <c r="W80" s="143" t="s">
        <v>726</v>
      </c>
      <c r="X80" s="143" t="s">
        <v>720</v>
      </c>
      <c r="Y80" s="143" t="s">
        <v>663</v>
      </c>
      <c r="Z80" s="143">
        <v>3133</v>
      </c>
      <c r="AA80" s="143">
        <v>0</v>
      </c>
      <c r="AD80" s="137">
        <v>0</v>
      </c>
      <c r="AE80" s="137">
        <v>0.25</v>
      </c>
      <c r="AG80" s="143" t="s">
        <v>726</v>
      </c>
      <c r="AH80" s="143" t="s">
        <v>720</v>
      </c>
      <c r="AI80" s="143" t="s">
        <v>663</v>
      </c>
      <c r="AJ80" s="143">
        <v>3133</v>
      </c>
      <c r="AK80" s="143">
        <v>2</v>
      </c>
      <c r="AL80" s="156">
        <v>1.5</v>
      </c>
      <c r="AM80" s="156">
        <v>3</v>
      </c>
      <c r="AN80" s="156">
        <v>3</v>
      </c>
      <c r="AO80" s="156">
        <v>3</v>
      </c>
      <c r="AP80" s="156">
        <v>1</v>
      </c>
      <c r="AQ80" s="156">
        <v>2.5</v>
      </c>
      <c r="AR80" s="156">
        <v>3.5</v>
      </c>
      <c r="AS80" s="169">
        <v>2.785714</v>
      </c>
    </row>
    <row r="81" spans="1:45" x14ac:dyDescent="0.35">
      <c r="A81" s="143" t="s">
        <v>726</v>
      </c>
      <c r="B81" s="143" t="s">
        <v>720</v>
      </c>
      <c r="C81" s="143" t="s">
        <v>663</v>
      </c>
      <c r="D81" s="143">
        <v>4351</v>
      </c>
      <c r="E81" s="143">
        <v>2</v>
      </c>
      <c r="F81" s="137">
        <v>0.5</v>
      </c>
      <c r="G81" s="137">
        <v>1</v>
      </c>
      <c r="H81" s="137">
        <v>1</v>
      </c>
      <c r="I81" s="137">
        <v>1</v>
      </c>
      <c r="K81" s="143" t="s">
        <v>726</v>
      </c>
      <c r="L81" s="143" t="s">
        <v>720</v>
      </c>
      <c r="M81" s="143" t="s">
        <v>663</v>
      </c>
      <c r="N81" s="143">
        <v>4351</v>
      </c>
      <c r="O81" s="137">
        <v>0.4</v>
      </c>
      <c r="P81" s="137">
        <v>0.6</v>
      </c>
      <c r="Q81" s="137">
        <v>1</v>
      </c>
      <c r="R81" s="137" t="s">
        <v>2486</v>
      </c>
      <c r="S81" s="137">
        <v>0.66666669999999995</v>
      </c>
      <c r="T81" s="137" t="s">
        <v>2486</v>
      </c>
      <c r="U81" s="137" t="s">
        <v>2838</v>
      </c>
      <c r="W81" s="143" t="s">
        <v>726</v>
      </c>
      <c r="X81" s="143" t="s">
        <v>720</v>
      </c>
      <c r="Y81" s="143" t="s">
        <v>663</v>
      </c>
      <c r="Z81" s="143">
        <v>4351</v>
      </c>
      <c r="AA81" s="143">
        <v>0</v>
      </c>
      <c r="AD81" s="137">
        <v>0</v>
      </c>
      <c r="AG81" s="143" t="s">
        <v>726</v>
      </c>
      <c r="AH81" s="143" t="s">
        <v>720</v>
      </c>
      <c r="AI81" s="143" t="s">
        <v>663</v>
      </c>
      <c r="AJ81" s="143">
        <v>4351</v>
      </c>
      <c r="AK81" s="143">
        <v>2</v>
      </c>
      <c r="AL81" s="156">
        <v>2.5</v>
      </c>
      <c r="AM81" s="156">
        <v>3.5</v>
      </c>
      <c r="AN81" s="156">
        <v>3.5</v>
      </c>
      <c r="AO81" s="156">
        <v>4</v>
      </c>
      <c r="AP81" s="156">
        <v>3</v>
      </c>
      <c r="AQ81" s="156">
        <v>4</v>
      </c>
      <c r="AR81" s="156">
        <v>4</v>
      </c>
      <c r="AS81" s="169">
        <v>3.5</v>
      </c>
    </row>
    <row r="82" spans="1:45" x14ac:dyDescent="0.35">
      <c r="A82" s="143" t="s">
        <v>727</v>
      </c>
      <c r="B82" s="143" t="s">
        <v>728</v>
      </c>
      <c r="C82" s="143" t="s">
        <v>842</v>
      </c>
      <c r="D82" s="143">
        <v>1836</v>
      </c>
      <c r="E82" s="143">
        <v>2</v>
      </c>
      <c r="F82" s="137">
        <v>1</v>
      </c>
      <c r="G82" s="137">
        <v>1</v>
      </c>
      <c r="H82" s="137">
        <v>1</v>
      </c>
      <c r="I82" s="137">
        <v>1</v>
      </c>
      <c r="K82" s="143" t="s">
        <v>727</v>
      </c>
      <c r="L82" s="143" t="s">
        <v>728</v>
      </c>
      <c r="M82" s="143" t="s">
        <v>842</v>
      </c>
      <c r="N82" s="143">
        <v>1836</v>
      </c>
      <c r="O82" s="137">
        <v>0.4</v>
      </c>
      <c r="P82" s="137">
        <v>0.6</v>
      </c>
      <c r="Q82" s="137">
        <v>1</v>
      </c>
      <c r="R82" s="137" t="s">
        <v>2486</v>
      </c>
      <c r="S82" s="137">
        <v>0.5</v>
      </c>
      <c r="T82" s="137" t="s">
        <v>2486</v>
      </c>
      <c r="U82" s="137" t="s">
        <v>2486</v>
      </c>
      <c r="W82" s="143" t="s">
        <v>727</v>
      </c>
      <c r="X82" s="143" t="s">
        <v>728</v>
      </c>
      <c r="Y82" s="143" t="s">
        <v>842</v>
      </c>
      <c r="Z82" s="143">
        <v>1836</v>
      </c>
      <c r="AA82" s="143">
        <v>0</v>
      </c>
      <c r="AD82" s="137">
        <v>0</v>
      </c>
      <c r="AE82" s="137">
        <v>0.3333333</v>
      </c>
      <c r="AG82" s="143" t="s">
        <v>727</v>
      </c>
      <c r="AH82" s="143" t="s">
        <v>728</v>
      </c>
      <c r="AI82" s="143" t="s">
        <v>842</v>
      </c>
      <c r="AJ82" s="143">
        <v>1836</v>
      </c>
      <c r="AK82" s="143">
        <v>2</v>
      </c>
      <c r="AL82" s="156">
        <v>2</v>
      </c>
      <c r="AM82" s="156">
        <v>3</v>
      </c>
      <c r="AN82" s="156">
        <v>3</v>
      </c>
      <c r="AO82" s="156">
        <v>3</v>
      </c>
      <c r="AP82" s="156">
        <v>2.5</v>
      </c>
      <c r="AQ82" s="156">
        <v>3</v>
      </c>
      <c r="AR82" s="156">
        <v>3</v>
      </c>
      <c r="AS82" s="169">
        <v>2.9285709999999998</v>
      </c>
    </row>
    <row r="83" spans="1:45" x14ac:dyDescent="0.35">
      <c r="A83" s="143" t="s">
        <v>727</v>
      </c>
      <c r="B83" s="143" t="s">
        <v>728</v>
      </c>
      <c r="C83" s="143" t="s">
        <v>2452</v>
      </c>
      <c r="D83" s="143">
        <v>1837</v>
      </c>
      <c r="E83" s="143">
        <v>20</v>
      </c>
      <c r="F83" s="137">
        <v>0.4</v>
      </c>
      <c r="G83" s="137">
        <v>0.35</v>
      </c>
      <c r="H83" s="137">
        <v>0.3</v>
      </c>
      <c r="I83" s="137">
        <v>0</v>
      </c>
      <c r="K83" s="143" t="s">
        <v>727</v>
      </c>
      <c r="L83" s="143" t="s">
        <v>728</v>
      </c>
      <c r="M83" s="143" t="s">
        <v>2452</v>
      </c>
      <c r="N83" s="143">
        <v>1837</v>
      </c>
      <c r="O83" s="137">
        <v>0.38019049999999999</v>
      </c>
      <c r="P83" s="137">
        <v>0.56190479999999998</v>
      </c>
      <c r="Q83" s="137">
        <v>0.94209520000000002</v>
      </c>
      <c r="R83" s="137" t="s">
        <v>2487</v>
      </c>
      <c r="S83" s="137">
        <v>0.3802817</v>
      </c>
      <c r="T83" s="137" t="s">
        <v>2486</v>
      </c>
      <c r="U83" s="137" t="s">
        <v>2838</v>
      </c>
      <c r="W83" s="143" t="s">
        <v>727</v>
      </c>
      <c r="X83" s="143" t="s">
        <v>728</v>
      </c>
      <c r="Y83" s="143" t="s">
        <v>2452</v>
      </c>
      <c r="Z83" s="143">
        <v>1837</v>
      </c>
      <c r="AA83" s="143">
        <v>20</v>
      </c>
      <c r="AB83" s="137">
        <v>0</v>
      </c>
      <c r="AC83" s="137">
        <v>0.45</v>
      </c>
      <c r="AD83" s="137">
        <v>0</v>
      </c>
      <c r="AE83" s="137">
        <v>0.1971831</v>
      </c>
      <c r="AG83" s="143" t="s">
        <v>727</v>
      </c>
      <c r="AH83" s="143" t="s">
        <v>728</v>
      </c>
      <c r="AI83" s="143" t="s">
        <v>2452</v>
      </c>
      <c r="AJ83" s="143">
        <v>1837</v>
      </c>
      <c r="AK83" s="143">
        <v>20</v>
      </c>
      <c r="AL83" s="156">
        <v>1.8500000238418599</v>
      </c>
      <c r="AM83" s="156">
        <v>3.0999999046325701</v>
      </c>
      <c r="AN83" s="156">
        <v>3.0999999046325701</v>
      </c>
      <c r="AO83" s="156">
        <v>3.0499999523162802</v>
      </c>
      <c r="AP83" s="156">
        <v>2.5499999523162802</v>
      </c>
      <c r="AQ83" s="156">
        <v>3.0499999523162802</v>
      </c>
      <c r="AR83" s="156">
        <v>3.1500000953674299</v>
      </c>
      <c r="AS83" s="169">
        <v>3.0214289999999999</v>
      </c>
    </row>
    <row r="84" spans="1:45" x14ac:dyDescent="0.35">
      <c r="A84" s="143" t="s">
        <v>727</v>
      </c>
      <c r="B84" s="143" t="s">
        <v>728</v>
      </c>
      <c r="C84" s="143" t="s">
        <v>841</v>
      </c>
      <c r="D84" s="143">
        <v>2200</v>
      </c>
      <c r="E84" s="143">
        <v>3</v>
      </c>
      <c r="F84" s="137">
        <v>1</v>
      </c>
      <c r="G84" s="137">
        <v>1</v>
      </c>
      <c r="H84" s="137">
        <v>1</v>
      </c>
      <c r="I84" s="137">
        <v>1</v>
      </c>
      <c r="K84" s="143" t="s">
        <v>727</v>
      </c>
      <c r="L84" s="143" t="s">
        <v>728</v>
      </c>
      <c r="M84" s="143" t="s">
        <v>841</v>
      </c>
      <c r="N84" s="143">
        <v>2200</v>
      </c>
      <c r="O84" s="137">
        <v>0.4</v>
      </c>
      <c r="P84" s="137">
        <v>0.6</v>
      </c>
      <c r="Q84" s="137">
        <v>1</v>
      </c>
      <c r="R84" s="137" t="s">
        <v>2486</v>
      </c>
      <c r="S84" s="137">
        <v>0.6</v>
      </c>
      <c r="T84" s="137" t="s">
        <v>2486</v>
      </c>
      <c r="U84" s="137" t="s">
        <v>2486</v>
      </c>
      <c r="W84" s="143" t="s">
        <v>727</v>
      </c>
      <c r="X84" s="143" t="s">
        <v>728</v>
      </c>
      <c r="Y84" s="143" t="s">
        <v>841</v>
      </c>
      <c r="Z84" s="143">
        <v>2200</v>
      </c>
      <c r="AA84" s="143">
        <v>0</v>
      </c>
      <c r="AD84" s="137">
        <v>0</v>
      </c>
      <c r="AE84" s="137">
        <v>0.3</v>
      </c>
      <c r="AG84" s="143" t="s">
        <v>727</v>
      </c>
      <c r="AH84" s="143" t="s">
        <v>728</v>
      </c>
      <c r="AI84" s="143" t="s">
        <v>841</v>
      </c>
      <c r="AJ84" s="143">
        <v>2200</v>
      </c>
      <c r="AK84" s="143">
        <v>3</v>
      </c>
      <c r="AL84" s="156">
        <v>1.6666666269302399</v>
      </c>
      <c r="AM84" s="156">
        <v>3</v>
      </c>
      <c r="AN84" s="156">
        <v>3</v>
      </c>
      <c r="AO84" s="156">
        <v>3</v>
      </c>
      <c r="AP84" s="156">
        <v>2.6666667461395299</v>
      </c>
      <c r="AQ84" s="156">
        <v>3</v>
      </c>
      <c r="AR84" s="156">
        <v>3</v>
      </c>
      <c r="AS84" s="169">
        <v>3</v>
      </c>
    </row>
    <row r="85" spans="1:45" x14ac:dyDescent="0.35">
      <c r="A85" s="143" t="s">
        <v>727</v>
      </c>
      <c r="B85" s="143" t="s">
        <v>728</v>
      </c>
      <c r="C85" s="143" t="s">
        <v>842</v>
      </c>
      <c r="D85" s="143">
        <v>2207</v>
      </c>
      <c r="E85" s="143">
        <v>2</v>
      </c>
      <c r="F85" s="137">
        <v>1</v>
      </c>
      <c r="G85" s="137">
        <v>1</v>
      </c>
      <c r="H85" s="137">
        <v>1</v>
      </c>
      <c r="I85" s="137">
        <v>1</v>
      </c>
      <c r="K85" s="143" t="s">
        <v>727</v>
      </c>
      <c r="L85" s="143" t="s">
        <v>728</v>
      </c>
      <c r="M85" s="143" t="s">
        <v>842</v>
      </c>
      <c r="N85" s="143">
        <v>2207</v>
      </c>
      <c r="O85" s="137">
        <v>0.4</v>
      </c>
      <c r="P85" s="137">
        <v>0.6</v>
      </c>
      <c r="Q85" s="137">
        <v>1</v>
      </c>
      <c r="R85" s="137" t="s">
        <v>2486</v>
      </c>
      <c r="S85" s="137">
        <v>0.5</v>
      </c>
      <c r="T85" s="137" t="s">
        <v>2486</v>
      </c>
      <c r="U85" s="137" t="s">
        <v>2486</v>
      </c>
      <c r="W85" s="143" t="s">
        <v>727</v>
      </c>
      <c r="X85" s="143" t="s">
        <v>728</v>
      </c>
      <c r="Y85" s="143" t="s">
        <v>842</v>
      </c>
      <c r="Z85" s="143">
        <v>2207</v>
      </c>
      <c r="AA85" s="143">
        <v>0</v>
      </c>
      <c r="AD85" s="137">
        <v>0</v>
      </c>
      <c r="AE85" s="137">
        <v>0.3333333</v>
      </c>
      <c r="AG85" s="143" t="s">
        <v>727</v>
      </c>
      <c r="AH85" s="143" t="s">
        <v>728</v>
      </c>
      <c r="AI85" s="143" t="s">
        <v>842</v>
      </c>
      <c r="AJ85" s="143">
        <v>2207</v>
      </c>
      <c r="AK85" s="143">
        <v>2</v>
      </c>
      <c r="AL85" s="156">
        <v>2</v>
      </c>
      <c r="AM85" s="156">
        <v>3</v>
      </c>
      <c r="AN85" s="156">
        <v>3.5</v>
      </c>
      <c r="AO85" s="156">
        <v>3</v>
      </c>
      <c r="AP85" s="156">
        <v>3.5</v>
      </c>
      <c r="AQ85" s="156">
        <v>3</v>
      </c>
      <c r="AR85" s="156">
        <v>3.5</v>
      </c>
      <c r="AS85" s="169">
        <v>3.214286</v>
      </c>
    </row>
    <row r="86" spans="1:45" x14ac:dyDescent="0.35">
      <c r="A86" s="143" t="s">
        <v>727</v>
      </c>
      <c r="B86" s="143" t="s">
        <v>728</v>
      </c>
      <c r="C86" s="143" t="s">
        <v>663</v>
      </c>
      <c r="D86" s="143">
        <v>2793</v>
      </c>
      <c r="E86" s="143">
        <v>2</v>
      </c>
      <c r="F86" s="137">
        <v>1</v>
      </c>
      <c r="G86" s="137">
        <v>1</v>
      </c>
      <c r="H86" s="137">
        <v>1</v>
      </c>
      <c r="I86" s="137">
        <v>1</v>
      </c>
      <c r="K86" s="143" t="s">
        <v>727</v>
      </c>
      <c r="L86" s="143" t="s">
        <v>728</v>
      </c>
      <c r="M86" s="143" t="s">
        <v>663</v>
      </c>
      <c r="N86" s="143">
        <v>2793</v>
      </c>
      <c r="O86" s="137">
        <v>0.4</v>
      </c>
      <c r="P86" s="137">
        <v>0.6</v>
      </c>
      <c r="Q86" s="137">
        <v>1</v>
      </c>
      <c r="R86" s="137" t="s">
        <v>2486</v>
      </c>
      <c r="S86" s="137">
        <v>0.5</v>
      </c>
      <c r="T86" s="137" t="s">
        <v>2486</v>
      </c>
      <c r="U86" s="137" t="s">
        <v>2838</v>
      </c>
      <c r="W86" s="143" t="s">
        <v>727</v>
      </c>
      <c r="X86" s="143" t="s">
        <v>728</v>
      </c>
      <c r="Y86" s="143" t="s">
        <v>663</v>
      </c>
      <c r="Z86" s="143">
        <v>2793</v>
      </c>
      <c r="AA86" s="143">
        <v>0</v>
      </c>
      <c r="AD86" s="137">
        <v>0</v>
      </c>
      <c r="AE86" s="137">
        <v>0.25</v>
      </c>
      <c r="AG86" s="143" t="s">
        <v>727</v>
      </c>
      <c r="AH86" s="143" t="s">
        <v>728</v>
      </c>
      <c r="AI86" s="143" t="s">
        <v>663</v>
      </c>
      <c r="AJ86" s="143">
        <v>2793</v>
      </c>
      <c r="AK86" s="143">
        <v>2</v>
      </c>
      <c r="AL86" s="156">
        <v>1.5</v>
      </c>
      <c r="AM86" s="156">
        <v>3</v>
      </c>
      <c r="AN86" s="156">
        <v>3</v>
      </c>
      <c r="AO86" s="156">
        <v>3</v>
      </c>
      <c r="AP86" s="156">
        <v>2.5</v>
      </c>
      <c r="AQ86" s="156">
        <v>3</v>
      </c>
      <c r="AR86" s="156">
        <v>3</v>
      </c>
      <c r="AS86" s="169">
        <v>3</v>
      </c>
    </row>
    <row r="87" spans="1:45" x14ac:dyDescent="0.35">
      <c r="A87" s="143" t="s">
        <v>727</v>
      </c>
      <c r="B87" s="143" t="s">
        <v>728</v>
      </c>
      <c r="C87" s="143" t="s">
        <v>663</v>
      </c>
      <c r="D87" s="143">
        <v>3117</v>
      </c>
      <c r="E87" s="143">
        <v>2</v>
      </c>
      <c r="F87" s="137">
        <v>1</v>
      </c>
      <c r="G87" s="137">
        <v>1</v>
      </c>
      <c r="H87" s="137">
        <v>1</v>
      </c>
      <c r="I87" s="137">
        <v>1</v>
      </c>
      <c r="K87" s="143" t="s">
        <v>727</v>
      </c>
      <c r="L87" s="143" t="s">
        <v>728</v>
      </c>
      <c r="M87" s="143" t="s">
        <v>663</v>
      </c>
      <c r="N87" s="143">
        <v>3117</v>
      </c>
      <c r="O87" s="137">
        <v>0.4</v>
      </c>
      <c r="P87" s="137">
        <v>0.6</v>
      </c>
      <c r="Q87" s="137">
        <v>1</v>
      </c>
      <c r="R87" s="137" t="s">
        <v>2486</v>
      </c>
      <c r="S87" s="137">
        <v>0.5</v>
      </c>
      <c r="T87" s="137" t="s">
        <v>2486</v>
      </c>
      <c r="U87" s="137" t="s">
        <v>2838</v>
      </c>
      <c r="W87" s="143" t="s">
        <v>727</v>
      </c>
      <c r="X87" s="143" t="s">
        <v>728</v>
      </c>
      <c r="Y87" s="143" t="s">
        <v>663</v>
      </c>
      <c r="Z87" s="143">
        <v>3117</v>
      </c>
      <c r="AA87" s="143">
        <v>0</v>
      </c>
      <c r="AD87" s="137">
        <v>0</v>
      </c>
      <c r="AG87" s="143" t="s">
        <v>727</v>
      </c>
      <c r="AH87" s="143" t="s">
        <v>728</v>
      </c>
      <c r="AI87" s="143" t="s">
        <v>663</v>
      </c>
      <c r="AJ87" s="143">
        <v>3117</v>
      </c>
      <c r="AK87" s="143">
        <v>2</v>
      </c>
      <c r="AL87" s="156">
        <v>2.5</v>
      </c>
      <c r="AM87" s="156">
        <v>3</v>
      </c>
      <c r="AN87" s="156">
        <v>3</v>
      </c>
      <c r="AO87" s="156">
        <v>3</v>
      </c>
      <c r="AP87" s="156">
        <v>2</v>
      </c>
      <c r="AQ87" s="156">
        <v>3</v>
      </c>
      <c r="AR87" s="156">
        <v>3</v>
      </c>
      <c r="AS87" s="169">
        <v>2.785714</v>
      </c>
    </row>
    <row r="88" spans="1:45" x14ac:dyDescent="0.35">
      <c r="A88" s="143" t="s">
        <v>727</v>
      </c>
      <c r="B88" s="143" t="s">
        <v>728</v>
      </c>
      <c r="C88" s="143" t="s">
        <v>663</v>
      </c>
      <c r="D88" s="143">
        <v>3427</v>
      </c>
      <c r="E88" s="143">
        <v>2</v>
      </c>
      <c r="F88" s="137">
        <v>1</v>
      </c>
      <c r="G88" s="137">
        <v>1</v>
      </c>
      <c r="H88" s="137">
        <v>1</v>
      </c>
      <c r="I88" s="137">
        <v>1</v>
      </c>
      <c r="K88" s="143" t="s">
        <v>727</v>
      </c>
      <c r="L88" s="143" t="s">
        <v>728</v>
      </c>
      <c r="M88" s="143" t="s">
        <v>663</v>
      </c>
      <c r="N88" s="143">
        <v>3427</v>
      </c>
      <c r="O88" s="137">
        <v>0.4</v>
      </c>
      <c r="P88" s="137">
        <v>0.6</v>
      </c>
      <c r="Q88" s="137">
        <v>1</v>
      </c>
      <c r="R88" s="137" t="s">
        <v>2486</v>
      </c>
      <c r="S88" s="137">
        <v>0.5</v>
      </c>
      <c r="T88" s="137" t="s">
        <v>2486</v>
      </c>
      <c r="U88" s="137" t="s">
        <v>2838</v>
      </c>
      <c r="W88" s="143" t="s">
        <v>727</v>
      </c>
      <c r="X88" s="143" t="s">
        <v>728</v>
      </c>
      <c r="Y88" s="143" t="s">
        <v>663</v>
      </c>
      <c r="Z88" s="143">
        <v>3427</v>
      </c>
      <c r="AA88" s="143">
        <v>0</v>
      </c>
      <c r="AD88" s="137">
        <v>0</v>
      </c>
      <c r="AE88" s="137">
        <v>0.25</v>
      </c>
      <c r="AG88" s="143" t="s">
        <v>727</v>
      </c>
      <c r="AH88" s="143" t="s">
        <v>728</v>
      </c>
      <c r="AI88" s="143" t="s">
        <v>663</v>
      </c>
      <c r="AJ88" s="143">
        <v>3427</v>
      </c>
      <c r="AK88" s="143">
        <v>2</v>
      </c>
      <c r="AL88" s="156">
        <v>2</v>
      </c>
      <c r="AM88" s="156">
        <v>3</v>
      </c>
      <c r="AN88" s="156">
        <v>3</v>
      </c>
      <c r="AO88" s="156">
        <v>3</v>
      </c>
      <c r="AP88" s="156">
        <v>2.5</v>
      </c>
      <c r="AQ88" s="156">
        <v>3</v>
      </c>
      <c r="AR88" s="156">
        <v>3</v>
      </c>
      <c r="AS88" s="169">
        <v>2.9285709999999998</v>
      </c>
    </row>
    <row r="89" spans="1:45" x14ac:dyDescent="0.35">
      <c r="A89" s="143" t="s">
        <v>727</v>
      </c>
      <c r="B89" s="143" t="s">
        <v>728</v>
      </c>
      <c r="C89" s="143" t="s">
        <v>842</v>
      </c>
      <c r="D89" s="143">
        <v>3962</v>
      </c>
      <c r="E89" s="143">
        <v>2</v>
      </c>
      <c r="F89" s="137">
        <v>1</v>
      </c>
      <c r="G89" s="137">
        <v>1</v>
      </c>
      <c r="H89" s="137">
        <v>1</v>
      </c>
      <c r="I89" s="137">
        <v>1</v>
      </c>
      <c r="K89" s="143" t="s">
        <v>727</v>
      </c>
      <c r="L89" s="143" t="s">
        <v>728</v>
      </c>
      <c r="M89" s="143" t="s">
        <v>842</v>
      </c>
      <c r="N89" s="143">
        <v>3962</v>
      </c>
      <c r="O89" s="137">
        <v>0.4</v>
      </c>
      <c r="P89" s="137">
        <v>0.6</v>
      </c>
      <c r="Q89" s="137">
        <v>1</v>
      </c>
      <c r="R89" s="137" t="s">
        <v>2486</v>
      </c>
      <c r="S89" s="137">
        <v>0.6</v>
      </c>
      <c r="T89" s="137" t="s">
        <v>2486</v>
      </c>
      <c r="U89" s="137" t="s">
        <v>2486</v>
      </c>
      <c r="W89" s="143" t="s">
        <v>727</v>
      </c>
      <c r="X89" s="143" t="s">
        <v>728</v>
      </c>
      <c r="Y89" s="143" t="s">
        <v>842</v>
      </c>
      <c r="Z89" s="143">
        <v>3962</v>
      </c>
      <c r="AA89" s="143">
        <v>0</v>
      </c>
      <c r="AD89" s="137">
        <v>0</v>
      </c>
      <c r="AG89" s="143" t="s">
        <v>727</v>
      </c>
      <c r="AH89" s="143" t="s">
        <v>728</v>
      </c>
      <c r="AI89" s="143" t="s">
        <v>842</v>
      </c>
      <c r="AJ89" s="143">
        <v>3962</v>
      </c>
      <c r="AK89" s="143">
        <v>2</v>
      </c>
      <c r="AL89" s="156">
        <v>2</v>
      </c>
      <c r="AM89" s="156">
        <v>3</v>
      </c>
      <c r="AN89" s="156">
        <v>2.5</v>
      </c>
      <c r="AO89" s="156">
        <v>3</v>
      </c>
      <c r="AP89" s="156">
        <v>2</v>
      </c>
      <c r="AQ89" s="156">
        <v>3</v>
      </c>
      <c r="AR89" s="156">
        <v>3</v>
      </c>
      <c r="AS89" s="169">
        <v>2.785714</v>
      </c>
    </row>
    <row r="90" spans="1:45" x14ac:dyDescent="0.35">
      <c r="A90" s="143" t="s">
        <v>727</v>
      </c>
      <c r="B90" s="143" t="s">
        <v>728</v>
      </c>
      <c r="C90" s="143" t="s">
        <v>663</v>
      </c>
      <c r="D90" s="143">
        <v>4046</v>
      </c>
      <c r="E90" s="143">
        <v>2</v>
      </c>
      <c r="F90" s="137">
        <v>1</v>
      </c>
      <c r="G90" s="137">
        <v>1</v>
      </c>
      <c r="H90" s="137">
        <v>1</v>
      </c>
      <c r="I90" s="137">
        <v>1</v>
      </c>
      <c r="K90" s="143" t="s">
        <v>727</v>
      </c>
      <c r="L90" s="143" t="s">
        <v>728</v>
      </c>
      <c r="M90" s="143" t="s">
        <v>663</v>
      </c>
      <c r="N90" s="143">
        <v>4046</v>
      </c>
      <c r="O90" s="137">
        <v>0.4</v>
      </c>
      <c r="P90" s="137">
        <v>0.6</v>
      </c>
      <c r="Q90" s="137">
        <v>1</v>
      </c>
      <c r="R90" s="137" t="s">
        <v>2486</v>
      </c>
      <c r="S90" s="137">
        <v>0.5</v>
      </c>
      <c r="T90" s="137" t="s">
        <v>2486</v>
      </c>
      <c r="U90" s="137" t="s">
        <v>2838</v>
      </c>
      <c r="W90" s="143" t="s">
        <v>727</v>
      </c>
      <c r="X90" s="143" t="s">
        <v>728</v>
      </c>
      <c r="Y90" s="143" t="s">
        <v>663</v>
      </c>
      <c r="Z90" s="143">
        <v>4046</v>
      </c>
      <c r="AA90" s="143">
        <v>0</v>
      </c>
      <c r="AD90" s="137">
        <v>0</v>
      </c>
      <c r="AG90" s="143" t="s">
        <v>727</v>
      </c>
      <c r="AH90" s="143" t="s">
        <v>728</v>
      </c>
      <c r="AI90" s="143" t="s">
        <v>663</v>
      </c>
      <c r="AJ90" s="143">
        <v>4046</v>
      </c>
      <c r="AK90" s="143">
        <v>2</v>
      </c>
      <c r="AL90" s="156">
        <v>1.5</v>
      </c>
      <c r="AM90" s="156">
        <v>3</v>
      </c>
      <c r="AN90" s="156">
        <v>4</v>
      </c>
      <c r="AO90" s="156">
        <v>3.5</v>
      </c>
      <c r="AP90" s="156">
        <v>3.5</v>
      </c>
      <c r="AQ90" s="156">
        <v>3.5</v>
      </c>
      <c r="AR90" s="156">
        <v>4</v>
      </c>
      <c r="AS90" s="169">
        <v>3.5714290000000002</v>
      </c>
    </row>
    <row r="91" spans="1:45" x14ac:dyDescent="0.35">
      <c r="A91" s="143" t="s">
        <v>727</v>
      </c>
      <c r="B91" s="143" t="s">
        <v>728</v>
      </c>
      <c r="C91" s="143" t="s">
        <v>663</v>
      </c>
      <c r="D91" s="143">
        <v>4051</v>
      </c>
      <c r="E91" s="143">
        <v>2</v>
      </c>
      <c r="F91" s="137">
        <v>1</v>
      </c>
      <c r="G91" s="137">
        <v>1</v>
      </c>
      <c r="H91" s="137">
        <v>1</v>
      </c>
      <c r="I91" s="137">
        <v>1</v>
      </c>
      <c r="K91" s="143" t="s">
        <v>727</v>
      </c>
      <c r="L91" s="143" t="s">
        <v>728</v>
      </c>
      <c r="M91" s="143" t="s">
        <v>663</v>
      </c>
      <c r="N91" s="143">
        <v>4051</v>
      </c>
      <c r="O91" s="137">
        <v>0.4</v>
      </c>
      <c r="P91" s="137">
        <v>0.6</v>
      </c>
      <c r="Q91" s="137">
        <v>1</v>
      </c>
      <c r="R91" s="137" t="s">
        <v>2486</v>
      </c>
      <c r="S91" s="137">
        <v>0.5</v>
      </c>
      <c r="T91" s="137" t="s">
        <v>2486</v>
      </c>
      <c r="U91" s="137" t="s">
        <v>2838</v>
      </c>
      <c r="W91" s="143" t="s">
        <v>727</v>
      </c>
      <c r="X91" s="143" t="s">
        <v>728</v>
      </c>
      <c r="Y91" s="143" t="s">
        <v>663</v>
      </c>
      <c r="Z91" s="143">
        <v>4051</v>
      </c>
      <c r="AA91" s="143">
        <v>0</v>
      </c>
      <c r="AD91" s="137">
        <v>0</v>
      </c>
      <c r="AE91" s="137">
        <v>0.25</v>
      </c>
      <c r="AG91" s="143" t="s">
        <v>727</v>
      </c>
      <c r="AH91" s="143" t="s">
        <v>728</v>
      </c>
      <c r="AI91" s="143" t="s">
        <v>663</v>
      </c>
      <c r="AJ91" s="143">
        <v>4051</v>
      </c>
      <c r="AK91" s="143">
        <v>2</v>
      </c>
      <c r="AL91" s="156">
        <v>2.5</v>
      </c>
      <c r="AM91" s="156">
        <v>3</v>
      </c>
      <c r="AN91" s="156">
        <v>3</v>
      </c>
      <c r="AO91" s="156">
        <v>3.5</v>
      </c>
      <c r="AP91" s="156">
        <v>2</v>
      </c>
      <c r="AQ91" s="156">
        <v>3</v>
      </c>
      <c r="AR91" s="156">
        <v>3.5</v>
      </c>
      <c r="AS91" s="169">
        <v>2.9285709999999998</v>
      </c>
    </row>
    <row r="92" spans="1:45" x14ac:dyDescent="0.35">
      <c r="A92" s="143" t="s">
        <v>727</v>
      </c>
      <c r="B92" s="143" t="s">
        <v>728</v>
      </c>
      <c r="C92" s="143" t="s">
        <v>663</v>
      </c>
      <c r="D92" s="143">
        <v>4052</v>
      </c>
      <c r="E92" s="143">
        <v>2</v>
      </c>
      <c r="F92" s="137">
        <v>1</v>
      </c>
      <c r="G92" s="137">
        <v>1</v>
      </c>
      <c r="H92" s="137">
        <v>1</v>
      </c>
      <c r="I92" s="137">
        <v>1</v>
      </c>
      <c r="K92" s="143" t="s">
        <v>727</v>
      </c>
      <c r="L92" s="143" t="s">
        <v>728</v>
      </c>
      <c r="M92" s="143" t="s">
        <v>663</v>
      </c>
      <c r="N92" s="143">
        <v>4052</v>
      </c>
      <c r="O92" s="137">
        <v>0.4</v>
      </c>
      <c r="P92" s="137">
        <v>0.6</v>
      </c>
      <c r="Q92" s="137">
        <v>1</v>
      </c>
      <c r="R92" s="137" t="s">
        <v>2486</v>
      </c>
      <c r="S92" s="137">
        <v>0.5</v>
      </c>
      <c r="T92" s="137" t="s">
        <v>2486</v>
      </c>
      <c r="U92" s="137" t="s">
        <v>2838</v>
      </c>
      <c r="W92" s="143" t="s">
        <v>727</v>
      </c>
      <c r="X92" s="143" t="s">
        <v>728</v>
      </c>
      <c r="Y92" s="143" t="s">
        <v>663</v>
      </c>
      <c r="Z92" s="143">
        <v>4052</v>
      </c>
      <c r="AA92" s="143">
        <v>0</v>
      </c>
      <c r="AD92" s="137">
        <v>0</v>
      </c>
      <c r="AE92" s="137">
        <v>0.25</v>
      </c>
      <c r="AG92" s="143" t="s">
        <v>727</v>
      </c>
      <c r="AH92" s="143" t="s">
        <v>728</v>
      </c>
      <c r="AI92" s="143" t="s">
        <v>663</v>
      </c>
      <c r="AJ92" s="143">
        <v>4052</v>
      </c>
      <c r="AK92" s="143">
        <v>2</v>
      </c>
      <c r="AL92" s="156">
        <v>2</v>
      </c>
      <c r="AM92" s="156">
        <v>3</v>
      </c>
      <c r="AN92" s="156">
        <v>3.5</v>
      </c>
      <c r="AO92" s="156">
        <v>3.5</v>
      </c>
      <c r="AP92" s="156">
        <v>2.5</v>
      </c>
      <c r="AQ92" s="156">
        <v>3.5</v>
      </c>
      <c r="AR92" s="156">
        <v>3.5</v>
      </c>
      <c r="AS92" s="169">
        <v>3.214286</v>
      </c>
    </row>
    <row r="93" spans="1:45" x14ac:dyDescent="0.35">
      <c r="A93" s="143" t="s">
        <v>729</v>
      </c>
      <c r="B93" s="143" t="s">
        <v>730</v>
      </c>
      <c r="C93" s="143" t="s">
        <v>841</v>
      </c>
      <c r="D93" s="143">
        <v>674</v>
      </c>
      <c r="E93" s="143">
        <v>3</v>
      </c>
      <c r="F93" s="137">
        <v>1</v>
      </c>
      <c r="G93" s="137">
        <v>1</v>
      </c>
      <c r="H93" s="137">
        <v>1</v>
      </c>
      <c r="I93" s="137">
        <v>0</v>
      </c>
      <c r="K93" s="143" t="s">
        <v>729</v>
      </c>
      <c r="L93" s="143" t="s">
        <v>730</v>
      </c>
      <c r="M93" s="143" t="s">
        <v>841</v>
      </c>
      <c r="N93" s="143">
        <v>674</v>
      </c>
      <c r="O93" s="137">
        <v>0.4</v>
      </c>
      <c r="P93" s="137">
        <v>0.6</v>
      </c>
      <c r="Q93" s="137">
        <v>1</v>
      </c>
      <c r="R93" s="137" t="s">
        <v>2486</v>
      </c>
      <c r="S93" s="137">
        <v>0.5</v>
      </c>
      <c r="T93" s="137" t="s">
        <v>2486</v>
      </c>
      <c r="U93" s="137" t="s">
        <v>2486</v>
      </c>
      <c r="W93" s="143" t="s">
        <v>729</v>
      </c>
      <c r="X93" s="143" t="s">
        <v>730</v>
      </c>
      <c r="Y93" s="143" t="s">
        <v>841</v>
      </c>
      <c r="Z93" s="143">
        <v>674</v>
      </c>
      <c r="AA93" s="143">
        <v>0</v>
      </c>
      <c r="AD93" s="137">
        <v>0</v>
      </c>
      <c r="AE93" s="137">
        <v>0.42857139999999999</v>
      </c>
      <c r="AG93" s="143" t="s">
        <v>729</v>
      </c>
      <c r="AH93" s="143" t="s">
        <v>730</v>
      </c>
      <c r="AI93" s="143" t="s">
        <v>841</v>
      </c>
      <c r="AJ93" s="143">
        <v>674</v>
      </c>
      <c r="AK93" s="143">
        <v>3</v>
      </c>
      <c r="AL93" s="156">
        <v>1.6666666269302399</v>
      </c>
      <c r="AM93" s="156">
        <v>3</v>
      </c>
      <c r="AN93" s="156">
        <v>2.6666667461395299</v>
      </c>
      <c r="AO93" s="156">
        <v>3</v>
      </c>
      <c r="AP93" s="156">
        <v>1.6666666269302399</v>
      </c>
      <c r="AQ93" s="156">
        <v>3</v>
      </c>
      <c r="AR93" s="156">
        <v>3</v>
      </c>
      <c r="AS93" s="169">
        <v>2.8095240000000001</v>
      </c>
    </row>
    <row r="94" spans="1:45" x14ac:dyDescent="0.35">
      <c r="A94" s="143" t="s">
        <v>729</v>
      </c>
      <c r="B94" s="143" t="s">
        <v>730</v>
      </c>
      <c r="C94" s="143" t="s">
        <v>841</v>
      </c>
      <c r="D94" s="143">
        <v>680</v>
      </c>
      <c r="E94" s="143">
        <v>1</v>
      </c>
      <c r="F94" s="137">
        <v>1</v>
      </c>
      <c r="G94" s="137">
        <v>1</v>
      </c>
      <c r="H94" s="137">
        <v>1</v>
      </c>
      <c r="I94" s="137">
        <v>0</v>
      </c>
      <c r="K94" s="143" t="s">
        <v>729</v>
      </c>
      <c r="L94" s="143" t="s">
        <v>730</v>
      </c>
      <c r="M94" s="143" t="s">
        <v>841</v>
      </c>
      <c r="N94" s="143">
        <v>680</v>
      </c>
      <c r="O94" s="137">
        <v>0.4</v>
      </c>
      <c r="P94" s="137">
        <v>0.6</v>
      </c>
      <c r="Q94" s="137">
        <v>1</v>
      </c>
      <c r="R94" s="137" t="s">
        <v>2486</v>
      </c>
      <c r="S94" s="137">
        <v>0.46666669999999999</v>
      </c>
      <c r="T94" s="137" t="s">
        <v>2486</v>
      </c>
      <c r="U94" s="137" t="s">
        <v>2486</v>
      </c>
      <c r="W94" s="143" t="s">
        <v>729</v>
      </c>
      <c r="X94" s="143" t="s">
        <v>730</v>
      </c>
      <c r="Y94" s="143" t="s">
        <v>841</v>
      </c>
      <c r="Z94" s="143">
        <v>680</v>
      </c>
      <c r="AA94" s="143">
        <v>0</v>
      </c>
      <c r="AD94" s="137">
        <v>0</v>
      </c>
      <c r="AE94" s="137">
        <v>0.2</v>
      </c>
      <c r="AG94" s="143" t="s">
        <v>729</v>
      </c>
      <c r="AH94" s="143" t="s">
        <v>730</v>
      </c>
      <c r="AI94" s="143" t="s">
        <v>841</v>
      </c>
      <c r="AJ94" s="143">
        <v>680</v>
      </c>
      <c r="AK94" s="143">
        <v>1</v>
      </c>
      <c r="AL94" s="156">
        <v>1</v>
      </c>
      <c r="AM94" s="156">
        <v>3</v>
      </c>
      <c r="AN94" s="156">
        <v>2</v>
      </c>
      <c r="AO94" s="156">
        <v>2</v>
      </c>
      <c r="AP94" s="156">
        <v>1</v>
      </c>
      <c r="AQ94" s="156">
        <v>2</v>
      </c>
      <c r="AR94" s="156">
        <v>4</v>
      </c>
      <c r="AS94" s="169">
        <v>2.5714290000000002</v>
      </c>
    </row>
    <row r="95" spans="1:45" x14ac:dyDescent="0.35">
      <c r="A95" s="143" t="s">
        <v>729</v>
      </c>
      <c r="B95" s="143" t="s">
        <v>730</v>
      </c>
      <c r="C95" s="143" t="s">
        <v>843</v>
      </c>
      <c r="D95" s="143">
        <v>681</v>
      </c>
      <c r="E95" s="143">
        <v>8</v>
      </c>
      <c r="F95" s="137">
        <v>1</v>
      </c>
      <c r="G95" s="137">
        <v>1</v>
      </c>
      <c r="H95" s="137">
        <v>1</v>
      </c>
      <c r="I95" s="137">
        <v>0</v>
      </c>
      <c r="K95" s="143" t="s">
        <v>729</v>
      </c>
      <c r="L95" s="143" t="s">
        <v>730</v>
      </c>
      <c r="M95" s="143" t="s">
        <v>843</v>
      </c>
      <c r="N95" s="143">
        <v>681</v>
      </c>
      <c r="O95" s="137">
        <v>0.4</v>
      </c>
      <c r="P95" s="137">
        <v>0.6</v>
      </c>
      <c r="Q95" s="137">
        <v>1</v>
      </c>
      <c r="R95" s="137" t="s">
        <v>2486</v>
      </c>
      <c r="S95" s="137">
        <v>0.42307689999999998</v>
      </c>
      <c r="T95" s="137" t="s">
        <v>2486</v>
      </c>
      <c r="U95" s="137" t="s">
        <v>2486</v>
      </c>
      <c r="W95" s="143" t="s">
        <v>729</v>
      </c>
      <c r="X95" s="143" t="s">
        <v>730</v>
      </c>
      <c r="Y95" s="143" t="s">
        <v>843</v>
      </c>
      <c r="Z95" s="143">
        <v>681</v>
      </c>
      <c r="AA95" s="143">
        <v>8</v>
      </c>
      <c r="AB95" s="137">
        <v>0</v>
      </c>
      <c r="AC95" s="137">
        <v>0.375</v>
      </c>
      <c r="AD95" s="137">
        <v>0</v>
      </c>
      <c r="AE95" s="137">
        <v>7.6923099999999994E-2</v>
      </c>
      <c r="AG95" s="143" t="s">
        <v>729</v>
      </c>
      <c r="AH95" s="143" t="s">
        <v>730</v>
      </c>
      <c r="AI95" s="143" t="s">
        <v>843</v>
      </c>
      <c r="AJ95" s="143">
        <v>681</v>
      </c>
      <c r="AK95" s="143">
        <v>8</v>
      </c>
      <c r="AL95" s="156">
        <v>1.25</v>
      </c>
      <c r="AM95" s="156">
        <v>4</v>
      </c>
      <c r="AN95" s="156">
        <v>3.625</v>
      </c>
      <c r="AO95" s="156">
        <v>3.5</v>
      </c>
      <c r="AP95" s="156">
        <v>3.125</v>
      </c>
      <c r="AQ95" s="156">
        <v>4</v>
      </c>
      <c r="AR95" s="156">
        <v>3.875</v>
      </c>
      <c r="AS95" s="169">
        <v>3.6964290000000002</v>
      </c>
    </row>
    <row r="96" spans="1:45" x14ac:dyDescent="0.35">
      <c r="A96" s="143" t="s">
        <v>729</v>
      </c>
      <c r="B96" s="143" t="s">
        <v>730</v>
      </c>
      <c r="C96" s="143" t="s">
        <v>842</v>
      </c>
      <c r="D96" s="143">
        <v>1917</v>
      </c>
      <c r="E96" s="143">
        <v>2</v>
      </c>
      <c r="F96" s="137">
        <v>1</v>
      </c>
      <c r="G96" s="137">
        <v>1</v>
      </c>
      <c r="H96" s="137">
        <v>1</v>
      </c>
      <c r="I96" s="137">
        <v>0</v>
      </c>
      <c r="K96" s="143" t="s">
        <v>729</v>
      </c>
      <c r="L96" s="143" t="s">
        <v>730</v>
      </c>
      <c r="M96" s="143" t="s">
        <v>842</v>
      </c>
      <c r="N96" s="143">
        <v>1917</v>
      </c>
      <c r="O96" s="137">
        <v>0.376</v>
      </c>
      <c r="P96" s="137">
        <v>0.6</v>
      </c>
      <c r="Q96" s="137">
        <v>0.97599999999999998</v>
      </c>
      <c r="R96" s="137" t="s">
        <v>2487</v>
      </c>
      <c r="S96" s="137">
        <v>0.5</v>
      </c>
      <c r="T96" s="137" t="s">
        <v>2486</v>
      </c>
      <c r="U96" s="137" t="s">
        <v>2486</v>
      </c>
      <c r="W96" s="143" t="s">
        <v>729</v>
      </c>
      <c r="X96" s="143" t="s">
        <v>730</v>
      </c>
      <c r="Y96" s="143" t="s">
        <v>842</v>
      </c>
      <c r="Z96" s="143">
        <v>1917</v>
      </c>
      <c r="AA96" s="143">
        <v>0</v>
      </c>
      <c r="AD96" s="137">
        <v>0</v>
      </c>
      <c r="AE96" s="137">
        <v>0.125</v>
      </c>
      <c r="AG96" s="143" t="s">
        <v>729</v>
      </c>
      <c r="AH96" s="143" t="s">
        <v>730</v>
      </c>
      <c r="AI96" s="143" t="s">
        <v>842</v>
      </c>
      <c r="AJ96" s="143">
        <v>1917</v>
      </c>
      <c r="AK96" s="143">
        <v>2</v>
      </c>
      <c r="AL96" s="156">
        <v>2</v>
      </c>
      <c r="AM96" s="156">
        <v>3</v>
      </c>
      <c r="AN96" s="156">
        <v>3</v>
      </c>
      <c r="AO96" s="156">
        <v>3</v>
      </c>
      <c r="AP96" s="156">
        <v>3</v>
      </c>
      <c r="AQ96" s="156">
        <v>3</v>
      </c>
      <c r="AR96" s="156">
        <v>3</v>
      </c>
      <c r="AS96" s="169">
        <v>3</v>
      </c>
    </row>
    <row r="97" spans="1:45" x14ac:dyDescent="0.35">
      <c r="A97" s="143" t="s">
        <v>729</v>
      </c>
      <c r="B97" s="143" t="s">
        <v>730</v>
      </c>
      <c r="C97" s="143" t="s">
        <v>663</v>
      </c>
      <c r="D97" s="143">
        <v>3040</v>
      </c>
      <c r="E97" s="143">
        <v>2</v>
      </c>
      <c r="F97" s="137">
        <v>1</v>
      </c>
      <c r="G97" s="137">
        <v>1</v>
      </c>
      <c r="H97" s="137">
        <v>1</v>
      </c>
      <c r="I97" s="137">
        <v>0</v>
      </c>
      <c r="K97" s="143" t="s">
        <v>729</v>
      </c>
      <c r="L97" s="143" t="s">
        <v>730</v>
      </c>
      <c r="M97" s="143" t="s">
        <v>663</v>
      </c>
      <c r="N97" s="143">
        <v>3040</v>
      </c>
      <c r="O97" s="137">
        <v>0.4</v>
      </c>
      <c r="P97" s="137">
        <v>0.6</v>
      </c>
      <c r="Q97" s="137">
        <v>1</v>
      </c>
      <c r="R97" s="137" t="s">
        <v>2486</v>
      </c>
      <c r="T97" s="137" t="s">
        <v>2486</v>
      </c>
      <c r="U97" s="137" t="s">
        <v>2838</v>
      </c>
      <c r="W97" s="143" t="s">
        <v>729</v>
      </c>
      <c r="X97" s="143" t="s">
        <v>730</v>
      </c>
      <c r="Y97" s="143" t="s">
        <v>663</v>
      </c>
      <c r="Z97" s="143">
        <v>3040</v>
      </c>
      <c r="AA97" s="143">
        <v>0</v>
      </c>
      <c r="AD97" s="137">
        <v>0</v>
      </c>
      <c r="AG97" s="143" t="s">
        <v>729</v>
      </c>
      <c r="AH97" s="143" t="s">
        <v>730</v>
      </c>
      <c r="AI97" s="143" t="s">
        <v>663</v>
      </c>
      <c r="AJ97" s="143">
        <v>3040</v>
      </c>
      <c r="AK97" s="143">
        <v>2</v>
      </c>
      <c r="AL97" s="156">
        <v>2.5</v>
      </c>
      <c r="AM97" s="156">
        <v>3</v>
      </c>
      <c r="AN97" s="156">
        <v>3</v>
      </c>
      <c r="AO97" s="156">
        <v>3</v>
      </c>
      <c r="AP97" s="156">
        <v>1</v>
      </c>
      <c r="AQ97" s="156">
        <v>3.5</v>
      </c>
      <c r="AR97" s="156">
        <v>2.5</v>
      </c>
      <c r="AS97" s="169">
        <v>2.6428569999999998</v>
      </c>
    </row>
    <row r="98" spans="1:45" x14ac:dyDescent="0.35">
      <c r="A98" s="143" t="s">
        <v>729</v>
      </c>
      <c r="B98" s="143" t="s">
        <v>730</v>
      </c>
      <c r="C98" s="143" t="s">
        <v>663</v>
      </c>
      <c r="D98" s="143">
        <v>3247</v>
      </c>
      <c r="E98" s="143">
        <v>2</v>
      </c>
      <c r="F98" s="137">
        <v>1</v>
      </c>
      <c r="G98" s="137">
        <v>1</v>
      </c>
      <c r="H98" s="137">
        <v>1</v>
      </c>
      <c r="I98" s="137">
        <v>0</v>
      </c>
      <c r="K98" s="143" t="s">
        <v>729</v>
      </c>
      <c r="L98" s="143" t="s">
        <v>730</v>
      </c>
      <c r="M98" s="143" t="s">
        <v>663</v>
      </c>
      <c r="N98" s="143">
        <v>3247</v>
      </c>
      <c r="O98" s="137">
        <v>0.4</v>
      </c>
      <c r="P98" s="137">
        <v>0.6</v>
      </c>
      <c r="Q98" s="137">
        <v>1</v>
      </c>
      <c r="R98" s="137" t="s">
        <v>2486</v>
      </c>
      <c r="S98" s="137">
        <v>0.8</v>
      </c>
      <c r="T98" s="137" t="s">
        <v>2486</v>
      </c>
      <c r="U98" s="137" t="s">
        <v>2838</v>
      </c>
      <c r="W98" s="143" t="s">
        <v>729</v>
      </c>
      <c r="X98" s="143" t="s">
        <v>730</v>
      </c>
      <c r="Y98" s="143" t="s">
        <v>663</v>
      </c>
      <c r="Z98" s="143">
        <v>3247</v>
      </c>
      <c r="AA98" s="143">
        <v>0</v>
      </c>
      <c r="AD98" s="137">
        <v>0</v>
      </c>
      <c r="AG98" s="143" t="s">
        <v>729</v>
      </c>
      <c r="AH98" s="143" t="s">
        <v>730</v>
      </c>
      <c r="AI98" s="143" t="s">
        <v>663</v>
      </c>
      <c r="AJ98" s="143">
        <v>3247</v>
      </c>
      <c r="AK98" s="143">
        <v>2</v>
      </c>
      <c r="AL98" s="156">
        <v>1.5</v>
      </c>
      <c r="AM98" s="156">
        <v>3</v>
      </c>
      <c r="AN98" s="156">
        <v>3</v>
      </c>
      <c r="AO98" s="156">
        <v>3</v>
      </c>
      <c r="AP98" s="156">
        <v>1</v>
      </c>
      <c r="AQ98" s="156">
        <v>3</v>
      </c>
      <c r="AR98" s="156">
        <v>3</v>
      </c>
      <c r="AS98" s="169">
        <v>2.785714</v>
      </c>
    </row>
    <row r="99" spans="1:45" x14ac:dyDescent="0.35">
      <c r="A99" s="143" t="s">
        <v>729</v>
      </c>
      <c r="B99" s="143" t="s">
        <v>730</v>
      </c>
      <c r="C99" s="143" t="s">
        <v>663</v>
      </c>
      <c r="D99" s="143">
        <v>3900</v>
      </c>
      <c r="E99" s="143">
        <v>2</v>
      </c>
      <c r="F99" s="137">
        <v>1</v>
      </c>
      <c r="G99" s="137">
        <v>1</v>
      </c>
      <c r="H99" s="137">
        <v>1</v>
      </c>
      <c r="I99" s="137">
        <v>0</v>
      </c>
      <c r="K99" s="143" t="s">
        <v>729</v>
      </c>
      <c r="L99" s="143" t="s">
        <v>730</v>
      </c>
      <c r="M99" s="143" t="s">
        <v>663</v>
      </c>
      <c r="N99" s="143">
        <v>3900</v>
      </c>
      <c r="O99" s="137">
        <v>0.4</v>
      </c>
      <c r="P99" s="137">
        <v>0.6</v>
      </c>
      <c r="Q99" s="137">
        <v>1</v>
      </c>
      <c r="R99" s="137" t="s">
        <v>2486</v>
      </c>
      <c r="S99" s="137">
        <v>0.75</v>
      </c>
      <c r="T99" s="137" t="s">
        <v>2486</v>
      </c>
      <c r="U99" s="137" t="s">
        <v>2838</v>
      </c>
      <c r="W99" s="143" t="s">
        <v>729</v>
      </c>
      <c r="X99" s="143" t="s">
        <v>730</v>
      </c>
      <c r="Y99" s="143" t="s">
        <v>663</v>
      </c>
      <c r="Z99" s="143">
        <v>3900</v>
      </c>
      <c r="AA99" s="143">
        <v>0</v>
      </c>
      <c r="AD99" s="137">
        <v>0</v>
      </c>
      <c r="AG99" s="143" t="s">
        <v>729</v>
      </c>
      <c r="AH99" s="143" t="s">
        <v>730</v>
      </c>
      <c r="AI99" s="143" t="s">
        <v>663</v>
      </c>
      <c r="AJ99" s="143">
        <v>3900</v>
      </c>
      <c r="AK99" s="143">
        <v>2</v>
      </c>
      <c r="AL99" s="156">
        <v>1</v>
      </c>
      <c r="AM99" s="156">
        <v>4</v>
      </c>
      <c r="AN99" s="156">
        <v>4</v>
      </c>
      <c r="AO99" s="156">
        <v>4</v>
      </c>
      <c r="AP99" s="156">
        <v>2</v>
      </c>
      <c r="AQ99" s="156">
        <v>4</v>
      </c>
      <c r="AR99" s="156">
        <v>4</v>
      </c>
      <c r="AS99" s="169">
        <v>3.714286</v>
      </c>
    </row>
    <row r="100" spans="1:45" x14ac:dyDescent="0.35">
      <c r="A100" s="143" t="s">
        <v>729</v>
      </c>
      <c r="B100" s="143" t="s">
        <v>730</v>
      </c>
      <c r="C100" s="143" t="s">
        <v>663</v>
      </c>
      <c r="D100" s="143">
        <v>3901</v>
      </c>
      <c r="E100" s="143">
        <v>2</v>
      </c>
      <c r="F100" s="137">
        <v>1</v>
      </c>
      <c r="G100" s="137">
        <v>1</v>
      </c>
      <c r="H100" s="137">
        <v>1</v>
      </c>
      <c r="I100" s="137">
        <v>0</v>
      </c>
      <c r="K100" s="143" t="s">
        <v>729</v>
      </c>
      <c r="L100" s="143" t="s">
        <v>730</v>
      </c>
      <c r="M100" s="143" t="s">
        <v>663</v>
      </c>
      <c r="N100" s="143">
        <v>3901</v>
      </c>
      <c r="O100" s="137">
        <v>0.4</v>
      </c>
      <c r="P100" s="137">
        <v>0.6</v>
      </c>
      <c r="Q100" s="137">
        <v>1</v>
      </c>
      <c r="R100" s="137" t="s">
        <v>2486</v>
      </c>
      <c r="S100" s="137">
        <v>0.75</v>
      </c>
      <c r="T100" s="137" t="s">
        <v>2486</v>
      </c>
      <c r="U100" s="137" t="s">
        <v>2838</v>
      </c>
      <c r="W100" s="143" t="s">
        <v>729</v>
      </c>
      <c r="X100" s="143" t="s">
        <v>730</v>
      </c>
      <c r="Y100" s="143" t="s">
        <v>663</v>
      </c>
      <c r="Z100" s="143">
        <v>3901</v>
      </c>
      <c r="AA100" s="143">
        <v>0</v>
      </c>
      <c r="AD100" s="137">
        <v>0</v>
      </c>
      <c r="AG100" s="143" t="s">
        <v>729</v>
      </c>
      <c r="AH100" s="143" t="s">
        <v>730</v>
      </c>
      <c r="AI100" s="143" t="s">
        <v>663</v>
      </c>
      <c r="AJ100" s="143">
        <v>3901</v>
      </c>
      <c r="AK100" s="143">
        <v>2</v>
      </c>
      <c r="AL100" s="156">
        <v>1.5</v>
      </c>
      <c r="AM100" s="156">
        <v>3</v>
      </c>
      <c r="AN100" s="156">
        <v>4</v>
      </c>
      <c r="AO100" s="156">
        <v>4</v>
      </c>
      <c r="AP100" s="156">
        <v>1</v>
      </c>
      <c r="AQ100" s="156">
        <v>4</v>
      </c>
      <c r="AR100" s="156">
        <v>3.5</v>
      </c>
      <c r="AS100" s="169">
        <v>3.285714</v>
      </c>
    </row>
    <row r="101" spans="1:45" x14ac:dyDescent="0.35">
      <c r="A101" s="143" t="s">
        <v>729</v>
      </c>
      <c r="B101" s="143" t="s">
        <v>730</v>
      </c>
      <c r="C101" s="143" t="s">
        <v>663</v>
      </c>
      <c r="D101" s="143">
        <v>3955</v>
      </c>
      <c r="E101" s="143">
        <v>2</v>
      </c>
      <c r="F101" s="137">
        <v>1</v>
      </c>
      <c r="G101" s="137">
        <v>1</v>
      </c>
      <c r="H101" s="137">
        <v>1</v>
      </c>
      <c r="I101" s="137">
        <v>0</v>
      </c>
      <c r="K101" s="143" t="s">
        <v>729</v>
      </c>
      <c r="L101" s="143" t="s">
        <v>730</v>
      </c>
      <c r="M101" s="143" t="s">
        <v>663</v>
      </c>
      <c r="N101" s="143">
        <v>3955</v>
      </c>
      <c r="O101" s="137">
        <v>0.4</v>
      </c>
      <c r="P101" s="137">
        <v>0.6</v>
      </c>
      <c r="Q101" s="137">
        <v>1</v>
      </c>
      <c r="R101" s="137" t="s">
        <v>2486</v>
      </c>
      <c r="S101" s="137">
        <v>0.66666669999999995</v>
      </c>
      <c r="T101" s="137" t="s">
        <v>2486</v>
      </c>
      <c r="U101" s="137" t="s">
        <v>2838</v>
      </c>
      <c r="W101" s="143" t="s">
        <v>729</v>
      </c>
      <c r="X101" s="143" t="s">
        <v>730</v>
      </c>
      <c r="Y101" s="143" t="s">
        <v>663</v>
      </c>
      <c r="Z101" s="143">
        <v>3955</v>
      </c>
      <c r="AA101" s="143">
        <v>0</v>
      </c>
      <c r="AD101" s="137">
        <v>0</v>
      </c>
      <c r="AE101" s="137">
        <v>0.3333333</v>
      </c>
      <c r="AG101" s="143" t="s">
        <v>729</v>
      </c>
      <c r="AH101" s="143" t="s">
        <v>730</v>
      </c>
      <c r="AI101" s="143" t="s">
        <v>663</v>
      </c>
      <c r="AJ101" s="143">
        <v>3955</v>
      </c>
      <c r="AK101" s="143">
        <v>2</v>
      </c>
      <c r="AL101" s="156">
        <v>1.5</v>
      </c>
      <c r="AM101" s="156">
        <v>3.5</v>
      </c>
      <c r="AN101" s="156">
        <v>3.5</v>
      </c>
      <c r="AO101" s="156">
        <v>3.5</v>
      </c>
      <c r="AP101" s="156">
        <v>1</v>
      </c>
      <c r="AQ101" s="156">
        <v>3.5</v>
      </c>
      <c r="AR101" s="156">
        <v>3.5</v>
      </c>
      <c r="AS101" s="169">
        <v>3.1428569999999998</v>
      </c>
    </row>
    <row r="102" spans="1:45" x14ac:dyDescent="0.35">
      <c r="A102" s="143" t="s">
        <v>729</v>
      </c>
      <c r="B102" s="143" t="s">
        <v>730</v>
      </c>
      <c r="C102" s="143" t="s">
        <v>663</v>
      </c>
      <c r="D102" s="143">
        <v>3963</v>
      </c>
      <c r="E102" s="143">
        <v>2</v>
      </c>
      <c r="F102" s="137">
        <v>1</v>
      </c>
      <c r="G102" s="137">
        <v>1</v>
      </c>
      <c r="H102" s="137">
        <v>1</v>
      </c>
      <c r="I102" s="137">
        <v>0</v>
      </c>
      <c r="K102" s="143" t="s">
        <v>729</v>
      </c>
      <c r="L102" s="143" t="s">
        <v>730</v>
      </c>
      <c r="M102" s="143" t="s">
        <v>663</v>
      </c>
      <c r="N102" s="143">
        <v>3963</v>
      </c>
      <c r="O102" s="137">
        <v>0.4</v>
      </c>
      <c r="P102" s="137">
        <v>0.6</v>
      </c>
      <c r="Q102" s="137">
        <v>1</v>
      </c>
      <c r="R102" s="137" t="s">
        <v>2486</v>
      </c>
      <c r="S102" s="137">
        <v>0.5</v>
      </c>
      <c r="T102" s="137" t="s">
        <v>2486</v>
      </c>
      <c r="U102" s="137" t="s">
        <v>2838</v>
      </c>
      <c r="W102" s="143" t="s">
        <v>729</v>
      </c>
      <c r="X102" s="143" t="s">
        <v>730</v>
      </c>
      <c r="Y102" s="143" t="s">
        <v>663</v>
      </c>
      <c r="Z102" s="143">
        <v>3963</v>
      </c>
      <c r="AA102" s="143">
        <v>0</v>
      </c>
      <c r="AD102" s="137">
        <v>0</v>
      </c>
      <c r="AG102" s="143" t="s">
        <v>729</v>
      </c>
      <c r="AH102" s="143" t="s">
        <v>730</v>
      </c>
      <c r="AI102" s="143" t="s">
        <v>663</v>
      </c>
      <c r="AJ102" s="143">
        <v>3963</v>
      </c>
      <c r="AK102" s="143">
        <v>2</v>
      </c>
      <c r="AL102" s="156">
        <v>1</v>
      </c>
      <c r="AM102" s="156">
        <v>4</v>
      </c>
      <c r="AN102" s="156">
        <v>4</v>
      </c>
      <c r="AO102" s="156">
        <v>4</v>
      </c>
      <c r="AP102" s="156">
        <v>3</v>
      </c>
      <c r="AQ102" s="156">
        <v>4</v>
      </c>
      <c r="AR102" s="156">
        <v>4</v>
      </c>
      <c r="AS102" s="169">
        <v>3.8571430000000002</v>
      </c>
    </row>
    <row r="103" spans="1:45" x14ac:dyDescent="0.35">
      <c r="A103" s="143" t="s">
        <v>729</v>
      </c>
      <c r="B103" s="143" t="s">
        <v>730</v>
      </c>
      <c r="C103" s="143" t="s">
        <v>842</v>
      </c>
      <c r="D103" s="143">
        <v>4180</v>
      </c>
      <c r="E103" s="143">
        <v>2</v>
      </c>
      <c r="F103" s="137">
        <v>1</v>
      </c>
      <c r="G103" s="137">
        <v>1</v>
      </c>
      <c r="H103" s="137">
        <v>1</v>
      </c>
      <c r="I103" s="137">
        <v>0</v>
      </c>
      <c r="K103" s="143" t="s">
        <v>729</v>
      </c>
      <c r="L103" s="143" t="s">
        <v>730</v>
      </c>
      <c r="M103" s="143" t="s">
        <v>842</v>
      </c>
      <c r="N103" s="143">
        <v>4180</v>
      </c>
      <c r="O103" s="137">
        <v>0.4</v>
      </c>
      <c r="P103" s="137">
        <v>0.6</v>
      </c>
      <c r="Q103" s="137">
        <v>1</v>
      </c>
      <c r="R103" s="137" t="s">
        <v>2486</v>
      </c>
      <c r="S103" s="137">
        <v>0.66666669999999995</v>
      </c>
      <c r="T103" s="137" t="s">
        <v>2486</v>
      </c>
      <c r="U103" s="137" t="s">
        <v>2486</v>
      </c>
      <c r="W103" s="143" t="s">
        <v>729</v>
      </c>
      <c r="X103" s="143" t="s">
        <v>730</v>
      </c>
      <c r="Y103" s="143" t="s">
        <v>842</v>
      </c>
      <c r="Z103" s="143">
        <v>4180</v>
      </c>
      <c r="AA103" s="143">
        <v>0</v>
      </c>
      <c r="AD103" s="137">
        <v>0</v>
      </c>
      <c r="AE103" s="137">
        <v>8.3333299999999999E-2</v>
      </c>
      <c r="AG103" s="143" t="s">
        <v>729</v>
      </c>
      <c r="AH103" s="143" t="s">
        <v>730</v>
      </c>
      <c r="AI103" s="143" t="s">
        <v>842</v>
      </c>
      <c r="AJ103" s="143">
        <v>4180</v>
      </c>
      <c r="AK103" s="143">
        <v>2</v>
      </c>
      <c r="AL103" s="156">
        <v>1</v>
      </c>
      <c r="AM103" s="156">
        <v>3.5</v>
      </c>
      <c r="AN103" s="156">
        <v>4</v>
      </c>
      <c r="AO103" s="156">
        <v>4</v>
      </c>
      <c r="AP103" s="156">
        <v>4</v>
      </c>
      <c r="AQ103" s="156">
        <v>4</v>
      </c>
      <c r="AR103" s="156">
        <v>4</v>
      </c>
      <c r="AS103" s="169">
        <v>3.9285709999999998</v>
      </c>
    </row>
    <row r="104" spans="1:45" x14ac:dyDescent="0.35">
      <c r="A104" s="143" t="s">
        <v>2841</v>
      </c>
      <c r="B104" s="143" t="s">
        <v>748</v>
      </c>
      <c r="C104" s="143" t="s">
        <v>841</v>
      </c>
      <c r="D104" s="143">
        <v>601</v>
      </c>
      <c r="F104" s="137">
        <v>1</v>
      </c>
      <c r="G104" s="137">
        <v>1</v>
      </c>
      <c r="H104" s="137"/>
      <c r="I104" s="137"/>
      <c r="K104" s="143" t="s">
        <v>2841</v>
      </c>
      <c r="L104" s="143" t="s">
        <v>748</v>
      </c>
      <c r="M104" s="143" t="s">
        <v>841</v>
      </c>
      <c r="N104" s="143">
        <v>601</v>
      </c>
      <c r="O104" s="137">
        <v>0.4</v>
      </c>
      <c r="Q104" s="137">
        <v>1</v>
      </c>
      <c r="R104" s="137" t="s">
        <v>2486</v>
      </c>
      <c r="T104" s="137" t="s">
        <v>2838</v>
      </c>
      <c r="U104" s="137" t="s">
        <v>2838</v>
      </c>
      <c r="W104" s="143" t="s">
        <v>2841</v>
      </c>
      <c r="X104" s="143" t="s">
        <v>748</v>
      </c>
      <c r="Y104" s="143" t="s">
        <v>841</v>
      </c>
      <c r="Z104" s="143">
        <v>601</v>
      </c>
      <c r="AG104" s="143" t="s">
        <v>2841</v>
      </c>
      <c r="AH104" s="143" t="s">
        <v>748</v>
      </c>
      <c r="AI104" s="143" t="s">
        <v>841</v>
      </c>
      <c r="AJ104" s="143">
        <v>601</v>
      </c>
    </row>
    <row r="105" spans="1:45" x14ac:dyDescent="0.35">
      <c r="A105" s="143" t="s">
        <v>2841</v>
      </c>
      <c r="B105" s="143" t="s">
        <v>748</v>
      </c>
      <c r="C105" s="143" t="s">
        <v>841</v>
      </c>
      <c r="D105" s="143">
        <v>604</v>
      </c>
      <c r="F105" s="137">
        <v>1</v>
      </c>
      <c r="G105" s="137">
        <v>1</v>
      </c>
      <c r="H105" s="137"/>
      <c r="I105" s="137"/>
      <c r="K105" s="143" t="s">
        <v>2841</v>
      </c>
      <c r="L105" s="143" t="s">
        <v>748</v>
      </c>
      <c r="M105" s="143" t="s">
        <v>841</v>
      </c>
      <c r="N105" s="143">
        <v>604</v>
      </c>
      <c r="O105" s="137">
        <v>0.4</v>
      </c>
      <c r="Q105" s="137">
        <v>1</v>
      </c>
      <c r="R105" s="137" t="s">
        <v>2486</v>
      </c>
      <c r="T105" s="137" t="s">
        <v>2838</v>
      </c>
      <c r="U105" s="137" t="s">
        <v>2838</v>
      </c>
      <c r="W105" s="143" t="s">
        <v>2841</v>
      </c>
      <c r="X105" s="143" t="s">
        <v>748</v>
      </c>
      <c r="Y105" s="143" t="s">
        <v>841</v>
      </c>
      <c r="Z105" s="143">
        <v>604</v>
      </c>
      <c r="AG105" s="143" t="s">
        <v>2841</v>
      </c>
      <c r="AH105" s="143" t="s">
        <v>748</v>
      </c>
      <c r="AI105" s="143" t="s">
        <v>841</v>
      </c>
      <c r="AJ105" s="143">
        <v>604</v>
      </c>
    </row>
    <row r="106" spans="1:45" x14ac:dyDescent="0.35">
      <c r="A106" s="143" t="s">
        <v>2841</v>
      </c>
      <c r="B106" s="143" t="s">
        <v>748</v>
      </c>
      <c r="C106" s="143" t="s">
        <v>843</v>
      </c>
      <c r="D106" s="143">
        <v>608</v>
      </c>
      <c r="F106" s="137">
        <v>0.875</v>
      </c>
      <c r="G106" s="137">
        <v>0.875</v>
      </c>
      <c r="H106" s="137"/>
      <c r="I106" s="137"/>
      <c r="K106" s="143" t="s">
        <v>2841</v>
      </c>
      <c r="L106" s="143" t="s">
        <v>748</v>
      </c>
      <c r="M106" s="143" t="s">
        <v>843</v>
      </c>
      <c r="N106" s="143">
        <v>608</v>
      </c>
      <c r="O106" s="137">
        <v>0.4</v>
      </c>
      <c r="Q106" s="137">
        <v>1</v>
      </c>
      <c r="R106" s="137" t="s">
        <v>2486</v>
      </c>
      <c r="T106" s="137" t="s">
        <v>2838</v>
      </c>
      <c r="U106" s="137" t="s">
        <v>2838</v>
      </c>
      <c r="W106" s="143" t="s">
        <v>2841</v>
      </c>
      <c r="X106" s="143" t="s">
        <v>748</v>
      </c>
      <c r="Y106" s="143" t="s">
        <v>843</v>
      </c>
      <c r="Z106" s="143">
        <v>608</v>
      </c>
      <c r="AG106" s="143" t="s">
        <v>2841</v>
      </c>
      <c r="AH106" s="143" t="s">
        <v>748</v>
      </c>
      <c r="AI106" s="143" t="s">
        <v>843</v>
      </c>
      <c r="AJ106" s="143">
        <v>608</v>
      </c>
    </row>
    <row r="107" spans="1:45" x14ac:dyDescent="0.35">
      <c r="A107" s="143" t="s">
        <v>2841</v>
      </c>
      <c r="B107" s="143" t="s">
        <v>748</v>
      </c>
      <c r="C107" s="143" t="s">
        <v>841</v>
      </c>
      <c r="D107" s="143">
        <v>1918</v>
      </c>
      <c r="F107" s="137">
        <v>1</v>
      </c>
      <c r="G107" s="137">
        <v>1</v>
      </c>
      <c r="H107" s="137"/>
      <c r="I107" s="137"/>
      <c r="K107" s="143" t="s">
        <v>2841</v>
      </c>
      <c r="L107" s="143" t="s">
        <v>748</v>
      </c>
      <c r="M107" s="143" t="s">
        <v>841</v>
      </c>
      <c r="N107" s="143">
        <v>1918</v>
      </c>
      <c r="O107" s="137">
        <v>0.4</v>
      </c>
      <c r="Q107" s="137">
        <v>1</v>
      </c>
      <c r="R107" s="137" t="s">
        <v>2486</v>
      </c>
      <c r="T107" s="137" t="s">
        <v>2838</v>
      </c>
      <c r="U107" s="137" t="s">
        <v>2838</v>
      </c>
      <c r="W107" s="143" t="s">
        <v>2841</v>
      </c>
      <c r="X107" s="143" t="s">
        <v>748</v>
      </c>
      <c r="Y107" s="143" t="s">
        <v>841</v>
      </c>
      <c r="Z107" s="143">
        <v>1918</v>
      </c>
      <c r="AG107" s="143" t="s">
        <v>2841</v>
      </c>
      <c r="AH107" s="143" t="s">
        <v>748</v>
      </c>
      <c r="AI107" s="143" t="s">
        <v>841</v>
      </c>
      <c r="AJ107" s="143">
        <v>1918</v>
      </c>
    </row>
    <row r="108" spans="1:45" x14ac:dyDescent="0.35">
      <c r="A108" s="143" t="s">
        <v>2841</v>
      </c>
      <c r="B108" s="143" t="s">
        <v>748</v>
      </c>
      <c r="C108" s="143" t="s">
        <v>842</v>
      </c>
      <c r="D108" s="143">
        <v>2059</v>
      </c>
      <c r="F108" s="137">
        <v>1</v>
      </c>
      <c r="G108" s="137">
        <v>1</v>
      </c>
      <c r="H108" s="137"/>
      <c r="I108" s="137"/>
      <c r="K108" s="143" t="s">
        <v>2841</v>
      </c>
      <c r="L108" s="143" t="s">
        <v>748</v>
      </c>
      <c r="M108" s="143" t="s">
        <v>842</v>
      </c>
      <c r="N108" s="143">
        <v>2059</v>
      </c>
      <c r="O108" s="137">
        <v>0.38800000000000001</v>
      </c>
      <c r="Q108" s="137">
        <v>0.97</v>
      </c>
      <c r="R108" s="137" t="s">
        <v>2487</v>
      </c>
      <c r="T108" s="137" t="s">
        <v>2838</v>
      </c>
      <c r="U108" s="137" t="s">
        <v>2838</v>
      </c>
      <c r="W108" s="143" t="s">
        <v>2841</v>
      </c>
      <c r="X108" s="143" t="s">
        <v>748</v>
      </c>
      <c r="Y108" s="143" t="s">
        <v>842</v>
      </c>
      <c r="Z108" s="143">
        <v>2059</v>
      </c>
      <c r="AG108" s="143" t="s">
        <v>2841</v>
      </c>
      <c r="AH108" s="143" t="s">
        <v>748</v>
      </c>
      <c r="AI108" s="143" t="s">
        <v>842</v>
      </c>
      <c r="AJ108" s="143">
        <v>2059</v>
      </c>
    </row>
    <row r="109" spans="1:45" x14ac:dyDescent="0.35">
      <c r="A109" s="143" t="s">
        <v>2841</v>
      </c>
      <c r="B109" s="143" t="s">
        <v>748</v>
      </c>
      <c r="C109" s="143" t="s">
        <v>842</v>
      </c>
      <c r="D109" s="143">
        <v>2065</v>
      </c>
      <c r="F109" s="137">
        <v>1</v>
      </c>
      <c r="G109" s="137">
        <v>1</v>
      </c>
      <c r="H109" s="137"/>
      <c r="I109" s="137"/>
      <c r="K109" s="143" t="s">
        <v>2841</v>
      </c>
      <c r="L109" s="143" t="s">
        <v>748</v>
      </c>
      <c r="M109" s="143" t="s">
        <v>842</v>
      </c>
      <c r="N109" s="143">
        <v>2065</v>
      </c>
      <c r="O109" s="137">
        <v>0.4</v>
      </c>
      <c r="Q109" s="137">
        <v>1</v>
      </c>
      <c r="R109" s="137" t="s">
        <v>2486</v>
      </c>
      <c r="T109" s="137" t="s">
        <v>2838</v>
      </c>
      <c r="U109" s="137" t="s">
        <v>2838</v>
      </c>
      <c r="W109" s="143" t="s">
        <v>2841</v>
      </c>
      <c r="X109" s="143" t="s">
        <v>748</v>
      </c>
      <c r="Y109" s="143" t="s">
        <v>842</v>
      </c>
      <c r="Z109" s="143">
        <v>2065</v>
      </c>
      <c r="AG109" s="143" t="s">
        <v>2841</v>
      </c>
      <c r="AH109" s="143" t="s">
        <v>748</v>
      </c>
      <c r="AI109" s="143" t="s">
        <v>842</v>
      </c>
      <c r="AJ109" s="143">
        <v>2065</v>
      </c>
    </row>
    <row r="110" spans="1:45" x14ac:dyDescent="0.35">
      <c r="A110" s="143" t="s">
        <v>2841</v>
      </c>
      <c r="B110" s="143" t="s">
        <v>748</v>
      </c>
      <c r="C110" s="143" t="s">
        <v>663</v>
      </c>
      <c r="D110" s="143">
        <v>2888</v>
      </c>
      <c r="F110" s="137">
        <v>1</v>
      </c>
      <c r="G110" s="137">
        <v>1</v>
      </c>
      <c r="H110" s="137"/>
      <c r="I110" s="137"/>
      <c r="K110" s="143" t="s">
        <v>2841</v>
      </c>
      <c r="L110" s="143" t="s">
        <v>748</v>
      </c>
      <c r="M110" s="143" t="s">
        <v>663</v>
      </c>
      <c r="N110" s="143">
        <v>2888</v>
      </c>
      <c r="O110" s="137">
        <v>0.4</v>
      </c>
      <c r="Q110" s="137">
        <v>1</v>
      </c>
      <c r="R110" s="137" t="s">
        <v>2486</v>
      </c>
      <c r="T110" s="137" t="s">
        <v>2838</v>
      </c>
      <c r="U110" s="137" t="s">
        <v>2838</v>
      </c>
      <c r="W110" s="143" t="s">
        <v>2841</v>
      </c>
      <c r="X110" s="143" t="s">
        <v>748</v>
      </c>
      <c r="Y110" s="143" t="s">
        <v>663</v>
      </c>
      <c r="Z110" s="143">
        <v>2888</v>
      </c>
      <c r="AG110" s="143" t="s">
        <v>2841</v>
      </c>
      <c r="AH110" s="143" t="s">
        <v>748</v>
      </c>
      <c r="AI110" s="143" t="s">
        <v>663</v>
      </c>
      <c r="AJ110" s="143">
        <v>2888</v>
      </c>
    </row>
    <row r="111" spans="1:45" x14ac:dyDescent="0.35">
      <c r="A111" s="143" t="s">
        <v>2841</v>
      </c>
      <c r="B111" s="143" t="s">
        <v>748</v>
      </c>
      <c r="C111" s="143" t="s">
        <v>842</v>
      </c>
      <c r="D111" s="143">
        <v>2993</v>
      </c>
      <c r="F111" s="137">
        <v>1</v>
      </c>
      <c r="G111" s="137">
        <v>1</v>
      </c>
      <c r="H111" s="137"/>
      <c r="I111" s="137"/>
      <c r="K111" s="143" t="s">
        <v>2841</v>
      </c>
      <c r="L111" s="143" t="s">
        <v>748</v>
      </c>
      <c r="M111" s="143" t="s">
        <v>842</v>
      </c>
      <c r="N111" s="143">
        <v>2993</v>
      </c>
      <c r="O111" s="137">
        <v>0.39600000000000002</v>
      </c>
      <c r="Q111" s="137">
        <v>0.99</v>
      </c>
      <c r="R111" s="137" t="s">
        <v>2487</v>
      </c>
      <c r="T111" s="137" t="s">
        <v>2838</v>
      </c>
      <c r="U111" s="137" t="s">
        <v>2838</v>
      </c>
      <c r="W111" s="143" t="s">
        <v>2841</v>
      </c>
      <c r="X111" s="143" t="s">
        <v>748</v>
      </c>
      <c r="Y111" s="143" t="s">
        <v>842</v>
      </c>
      <c r="Z111" s="143">
        <v>2993</v>
      </c>
      <c r="AG111" s="143" t="s">
        <v>2841</v>
      </c>
      <c r="AH111" s="143" t="s">
        <v>748</v>
      </c>
      <c r="AI111" s="143" t="s">
        <v>842</v>
      </c>
      <c r="AJ111" s="143">
        <v>2993</v>
      </c>
    </row>
    <row r="112" spans="1:45" x14ac:dyDescent="0.35">
      <c r="A112" s="143" t="s">
        <v>2841</v>
      </c>
      <c r="B112" s="143" t="s">
        <v>748</v>
      </c>
      <c r="C112" s="143" t="s">
        <v>663</v>
      </c>
      <c r="D112" s="143">
        <v>4432</v>
      </c>
      <c r="F112" s="137">
        <v>1</v>
      </c>
      <c r="G112" s="137">
        <v>1</v>
      </c>
      <c r="H112" s="137"/>
      <c r="I112" s="137"/>
      <c r="K112" s="143" t="s">
        <v>2841</v>
      </c>
      <c r="L112" s="143" t="s">
        <v>748</v>
      </c>
      <c r="M112" s="143" t="s">
        <v>663</v>
      </c>
      <c r="N112" s="143">
        <v>4432</v>
      </c>
      <c r="O112" s="137">
        <v>0.4</v>
      </c>
      <c r="Q112" s="137">
        <v>1</v>
      </c>
      <c r="R112" s="137" t="s">
        <v>2486</v>
      </c>
      <c r="T112" s="137" t="s">
        <v>2838</v>
      </c>
      <c r="U112" s="137" t="s">
        <v>2838</v>
      </c>
      <c r="W112" s="143" t="s">
        <v>2841</v>
      </c>
      <c r="X112" s="143" t="s">
        <v>748</v>
      </c>
      <c r="Y112" s="143" t="s">
        <v>663</v>
      </c>
      <c r="Z112" s="143">
        <v>4432</v>
      </c>
      <c r="AG112" s="143" t="s">
        <v>2841</v>
      </c>
      <c r="AH112" s="143" t="s">
        <v>748</v>
      </c>
      <c r="AI112" s="143" t="s">
        <v>663</v>
      </c>
      <c r="AJ112" s="143">
        <v>4432</v>
      </c>
    </row>
    <row r="113" spans="1:45" x14ac:dyDescent="0.35">
      <c r="A113" s="143" t="s">
        <v>2841</v>
      </c>
      <c r="B113" s="143" t="s">
        <v>748</v>
      </c>
      <c r="C113" s="143" t="s">
        <v>663</v>
      </c>
      <c r="D113" s="143">
        <v>4436</v>
      </c>
      <c r="F113" s="137">
        <v>1</v>
      </c>
      <c r="G113" s="137">
        <v>1</v>
      </c>
      <c r="H113" s="137"/>
      <c r="I113" s="137"/>
      <c r="K113" s="143" t="s">
        <v>2841</v>
      </c>
      <c r="L113" s="143" t="s">
        <v>748</v>
      </c>
      <c r="M113" s="143" t="s">
        <v>663</v>
      </c>
      <c r="N113" s="143">
        <v>4436</v>
      </c>
      <c r="O113" s="137">
        <v>0</v>
      </c>
      <c r="Q113" s="137">
        <v>0</v>
      </c>
      <c r="R113" s="137" t="s">
        <v>2487</v>
      </c>
      <c r="T113" s="137" t="s">
        <v>2838</v>
      </c>
      <c r="U113" s="137" t="s">
        <v>2838</v>
      </c>
      <c r="W113" s="143" t="s">
        <v>2841</v>
      </c>
      <c r="X113" s="143" t="s">
        <v>748</v>
      </c>
      <c r="Y113" s="143" t="s">
        <v>663</v>
      </c>
      <c r="Z113" s="143">
        <v>4436</v>
      </c>
      <c r="AG113" s="143" t="s">
        <v>2841</v>
      </c>
      <c r="AH113" s="143" t="s">
        <v>748</v>
      </c>
      <c r="AI113" s="143" t="s">
        <v>663</v>
      </c>
      <c r="AJ113" s="143">
        <v>4436</v>
      </c>
    </row>
    <row r="114" spans="1:45" x14ac:dyDescent="0.35">
      <c r="A114" s="143" t="s">
        <v>2841</v>
      </c>
      <c r="B114" s="143" t="s">
        <v>748</v>
      </c>
      <c r="C114" s="143" t="s">
        <v>663</v>
      </c>
      <c r="D114" s="143">
        <v>4440</v>
      </c>
      <c r="F114" s="137">
        <v>1</v>
      </c>
      <c r="G114" s="137">
        <v>1</v>
      </c>
      <c r="H114" s="137"/>
      <c r="I114" s="137"/>
      <c r="K114" s="143" t="s">
        <v>2841</v>
      </c>
      <c r="L114" s="143" t="s">
        <v>748</v>
      </c>
      <c r="M114" s="143" t="s">
        <v>663</v>
      </c>
      <c r="N114" s="143">
        <v>4440</v>
      </c>
      <c r="O114" s="137">
        <v>0.4</v>
      </c>
      <c r="Q114" s="137">
        <v>1</v>
      </c>
      <c r="R114" s="137" t="s">
        <v>2486</v>
      </c>
      <c r="T114" s="137" t="s">
        <v>2838</v>
      </c>
      <c r="U114" s="137" t="s">
        <v>2838</v>
      </c>
      <c r="W114" s="143" t="s">
        <v>2841</v>
      </c>
      <c r="X114" s="143" t="s">
        <v>748</v>
      </c>
      <c r="Y114" s="143" t="s">
        <v>663</v>
      </c>
      <c r="Z114" s="143">
        <v>4440</v>
      </c>
      <c r="AG114" s="143" t="s">
        <v>2841</v>
      </c>
      <c r="AH114" s="143" t="s">
        <v>748</v>
      </c>
      <c r="AI114" s="143" t="s">
        <v>663</v>
      </c>
      <c r="AJ114" s="143">
        <v>4440</v>
      </c>
    </row>
    <row r="115" spans="1:45" x14ac:dyDescent="0.35">
      <c r="A115" s="143" t="s">
        <v>2842</v>
      </c>
      <c r="B115" s="143" t="s">
        <v>722</v>
      </c>
      <c r="C115" s="143" t="s">
        <v>841</v>
      </c>
      <c r="D115" s="143">
        <v>601</v>
      </c>
      <c r="E115" s="143">
        <v>3</v>
      </c>
      <c r="F115" s="137"/>
      <c r="G115" s="137"/>
      <c r="H115" s="137">
        <v>1</v>
      </c>
      <c r="I115" s="137">
        <v>0</v>
      </c>
      <c r="K115" s="143" t="s">
        <v>2842</v>
      </c>
      <c r="L115" s="143" t="s">
        <v>722</v>
      </c>
      <c r="M115" s="143" t="s">
        <v>841</v>
      </c>
      <c r="N115" s="143">
        <v>601</v>
      </c>
      <c r="O115" s="137">
        <v>0.4</v>
      </c>
      <c r="P115" s="137">
        <v>0.6</v>
      </c>
      <c r="Q115" s="137">
        <v>1</v>
      </c>
      <c r="R115" s="137" t="s">
        <v>2486</v>
      </c>
      <c r="S115" s="137">
        <v>0.47058820000000001</v>
      </c>
      <c r="T115" s="137" t="s">
        <v>2486</v>
      </c>
      <c r="U115" s="137" t="s">
        <v>2486</v>
      </c>
      <c r="W115" s="143" t="s">
        <v>2842</v>
      </c>
      <c r="X115" s="143" t="s">
        <v>722</v>
      </c>
      <c r="Y115" s="143" t="s">
        <v>841</v>
      </c>
      <c r="Z115" s="143">
        <v>601</v>
      </c>
      <c r="AA115" s="143">
        <v>0</v>
      </c>
      <c r="AD115" s="137">
        <v>0</v>
      </c>
      <c r="AE115" s="137">
        <v>0.1176471</v>
      </c>
      <c r="AG115" s="143" t="s">
        <v>2842</v>
      </c>
      <c r="AH115" s="143" t="s">
        <v>722</v>
      </c>
      <c r="AI115" s="143" t="s">
        <v>841</v>
      </c>
      <c r="AJ115" s="143">
        <v>601</v>
      </c>
      <c r="AK115" s="143">
        <v>3</v>
      </c>
      <c r="AL115" s="156">
        <v>1.6666666269302399</v>
      </c>
      <c r="AM115" s="156">
        <v>3</v>
      </c>
      <c r="AN115" s="156">
        <v>2.3333332538604701</v>
      </c>
      <c r="AO115" s="156">
        <v>1.6666666269302399</v>
      </c>
      <c r="AP115" s="156">
        <v>3</v>
      </c>
      <c r="AQ115" s="156">
        <v>2.3333332538604701</v>
      </c>
      <c r="AR115" s="156">
        <v>3.6666667461395299</v>
      </c>
      <c r="AS115" s="169">
        <v>2.7619050000000001</v>
      </c>
    </row>
    <row r="116" spans="1:45" x14ac:dyDescent="0.35">
      <c r="A116" s="143" t="s">
        <v>2842</v>
      </c>
      <c r="B116" s="143" t="s">
        <v>722</v>
      </c>
      <c r="C116" s="143" t="s">
        <v>841</v>
      </c>
      <c r="D116" s="143">
        <v>604</v>
      </c>
      <c r="E116" s="143">
        <v>3</v>
      </c>
      <c r="F116" s="137"/>
      <c r="G116" s="137"/>
      <c r="H116" s="137">
        <v>1</v>
      </c>
      <c r="I116" s="137">
        <v>0</v>
      </c>
      <c r="K116" s="143" t="s">
        <v>2842</v>
      </c>
      <c r="L116" s="143" t="s">
        <v>722</v>
      </c>
      <c r="M116" s="143" t="s">
        <v>841</v>
      </c>
      <c r="N116" s="143">
        <v>604</v>
      </c>
      <c r="O116" s="137">
        <v>0.4</v>
      </c>
      <c r="P116" s="137">
        <v>0.6</v>
      </c>
      <c r="Q116" s="137">
        <v>1</v>
      </c>
      <c r="R116" s="137" t="s">
        <v>2486</v>
      </c>
      <c r="S116" s="137">
        <v>0.46153850000000002</v>
      </c>
      <c r="T116" s="137" t="s">
        <v>2486</v>
      </c>
      <c r="U116" s="137" t="s">
        <v>2487</v>
      </c>
      <c r="W116" s="143" t="s">
        <v>2842</v>
      </c>
      <c r="X116" s="143" t="s">
        <v>722</v>
      </c>
      <c r="Y116" s="143" t="s">
        <v>841</v>
      </c>
      <c r="Z116" s="143">
        <v>604</v>
      </c>
      <c r="AA116" s="143">
        <v>0</v>
      </c>
      <c r="AD116" s="137">
        <v>0</v>
      </c>
      <c r="AE116" s="137">
        <v>0.15384619999999999</v>
      </c>
      <c r="AG116" s="143" t="s">
        <v>2842</v>
      </c>
      <c r="AH116" s="143" t="s">
        <v>722</v>
      </c>
      <c r="AI116" s="143" t="s">
        <v>841</v>
      </c>
      <c r="AJ116" s="143">
        <v>604</v>
      </c>
      <c r="AK116" s="143">
        <v>3</v>
      </c>
      <c r="AL116" s="156">
        <v>1</v>
      </c>
      <c r="AM116" s="156">
        <v>3.3333332538604701</v>
      </c>
      <c r="AN116" s="156">
        <v>3</v>
      </c>
      <c r="AO116" s="156">
        <v>2</v>
      </c>
      <c r="AP116" s="156">
        <v>3</v>
      </c>
      <c r="AQ116" s="156">
        <v>3</v>
      </c>
      <c r="AR116" s="156">
        <v>3.3333332538604701</v>
      </c>
      <c r="AS116" s="169">
        <v>3.0952380000000002</v>
      </c>
    </row>
    <row r="117" spans="1:45" x14ac:dyDescent="0.35">
      <c r="A117" s="143" t="s">
        <v>2842</v>
      </c>
      <c r="B117" s="143" t="s">
        <v>722</v>
      </c>
      <c r="C117" s="143" t="s">
        <v>843</v>
      </c>
      <c r="D117" s="143">
        <v>608</v>
      </c>
      <c r="E117" s="143">
        <v>8</v>
      </c>
      <c r="F117" s="137"/>
      <c r="G117" s="137"/>
      <c r="H117" s="137">
        <v>0.875</v>
      </c>
      <c r="I117" s="137">
        <v>0</v>
      </c>
      <c r="K117" s="143" t="s">
        <v>2842</v>
      </c>
      <c r="L117" s="143" t="s">
        <v>722</v>
      </c>
      <c r="M117" s="143" t="s">
        <v>843</v>
      </c>
      <c r="N117" s="143">
        <v>608</v>
      </c>
      <c r="O117" s="137">
        <v>0.4</v>
      </c>
      <c r="P117" s="137">
        <v>0.6</v>
      </c>
      <c r="Q117" s="137">
        <v>1</v>
      </c>
      <c r="R117" s="137" t="s">
        <v>2486</v>
      </c>
      <c r="S117" s="137">
        <v>0.43243239999999999</v>
      </c>
      <c r="T117" s="137" t="s">
        <v>2486</v>
      </c>
      <c r="U117" s="137" t="s">
        <v>2486</v>
      </c>
      <c r="W117" s="143" t="s">
        <v>2842</v>
      </c>
      <c r="X117" s="143" t="s">
        <v>722</v>
      </c>
      <c r="Y117" s="143" t="s">
        <v>843</v>
      </c>
      <c r="Z117" s="143">
        <v>608</v>
      </c>
      <c r="AA117" s="143">
        <v>8</v>
      </c>
      <c r="AB117" s="137">
        <v>0.375</v>
      </c>
      <c r="AC117" s="137">
        <v>0.2</v>
      </c>
      <c r="AD117" s="137">
        <v>0</v>
      </c>
      <c r="AG117" s="143" t="s">
        <v>2842</v>
      </c>
      <c r="AH117" s="143" t="s">
        <v>722</v>
      </c>
      <c r="AI117" s="143" t="s">
        <v>843</v>
      </c>
      <c r="AJ117" s="143">
        <v>608</v>
      </c>
      <c r="AK117" s="143">
        <v>8</v>
      </c>
      <c r="AL117" s="156">
        <v>2.125</v>
      </c>
      <c r="AM117" s="156">
        <v>3.375</v>
      </c>
      <c r="AN117" s="156">
        <v>3</v>
      </c>
      <c r="AO117" s="156">
        <v>3</v>
      </c>
      <c r="AP117" s="156">
        <v>2.875</v>
      </c>
      <c r="AQ117" s="156">
        <v>2</v>
      </c>
      <c r="AR117" s="156">
        <v>4</v>
      </c>
      <c r="AS117" s="169">
        <v>3.0714290000000002</v>
      </c>
    </row>
    <row r="118" spans="1:45" x14ac:dyDescent="0.35">
      <c r="A118" s="143" t="s">
        <v>2842</v>
      </c>
      <c r="B118" s="143" t="s">
        <v>722</v>
      </c>
      <c r="C118" s="143" t="s">
        <v>841</v>
      </c>
      <c r="D118" s="143">
        <v>1918</v>
      </c>
      <c r="E118" s="143">
        <v>3</v>
      </c>
      <c r="F118" s="137"/>
      <c r="G118" s="137"/>
      <c r="H118" s="137">
        <v>1</v>
      </c>
      <c r="I118" s="137">
        <v>0.3333333</v>
      </c>
      <c r="K118" s="143" t="s">
        <v>2842</v>
      </c>
      <c r="L118" s="143" t="s">
        <v>722</v>
      </c>
      <c r="M118" s="143" t="s">
        <v>841</v>
      </c>
      <c r="N118" s="143">
        <v>1918</v>
      </c>
      <c r="O118" s="137">
        <v>0.4</v>
      </c>
      <c r="P118" s="137">
        <v>0.6</v>
      </c>
      <c r="Q118" s="137">
        <v>1</v>
      </c>
      <c r="R118" s="137" t="s">
        <v>2486</v>
      </c>
      <c r="S118" s="137">
        <v>0.53846159999999998</v>
      </c>
      <c r="T118" s="137" t="s">
        <v>2486</v>
      </c>
      <c r="U118" s="137" t="s">
        <v>2487</v>
      </c>
      <c r="W118" s="143" t="s">
        <v>2842</v>
      </c>
      <c r="X118" s="143" t="s">
        <v>722</v>
      </c>
      <c r="Y118" s="143" t="s">
        <v>841</v>
      </c>
      <c r="Z118" s="143">
        <v>1918</v>
      </c>
      <c r="AA118" s="143">
        <v>0</v>
      </c>
      <c r="AD118" s="137">
        <v>0</v>
      </c>
      <c r="AE118" s="137">
        <v>7.6923099999999994E-2</v>
      </c>
      <c r="AG118" s="143" t="s">
        <v>2842</v>
      </c>
      <c r="AH118" s="143" t="s">
        <v>722</v>
      </c>
      <c r="AI118" s="143" t="s">
        <v>841</v>
      </c>
      <c r="AJ118" s="143">
        <v>1918</v>
      </c>
      <c r="AK118" s="143">
        <v>3</v>
      </c>
      <c r="AL118" s="156">
        <v>1.6666666269302399</v>
      </c>
      <c r="AM118" s="156">
        <v>4</v>
      </c>
      <c r="AN118" s="156">
        <v>3</v>
      </c>
      <c r="AO118" s="156">
        <v>1.6666666269302399</v>
      </c>
      <c r="AP118" s="156">
        <v>1</v>
      </c>
      <c r="AQ118" s="156">
        <v>2.3333332538604701</v>
      </c>
      <c r="AR118" s="156">
        <v>3.3333332538604701</v>
      </c>
      <c r="AS118" s="169">
        <v>2.6666669999999999</v>
      </c>
    </row>
    <row r="119" spans="1:45" x14ac:dyDescent="0.35">
      <c r="A119" s="143" t="s">
        <v>2842</v>
      </c>
      <c r="B119" s="143" t="s">
        <v>722</v>
      </c>
      <c r="C119" s="143" t="s">
        <v>842</v>
      </c>
      <c r="D119" s="143">
        <v>2059</v>
      </c>
      <c r="E119" s="143">
        <v>2</v>
      </c>
      <c r="F119" s="137"/>
      <c r="G119" s="137"/>
      <c r="H119" s="137">
        <v>1</v>
      </c>
      <c r="I119" s="137">
        <v>0</v>
      </c>
      <c r="K119" s="143" t="s">
        <v>2842</v>
      </c>
      <c r="L119" s="143" t="s">
        <v>722</v>
      </c>
      <c r="M119" s="143" t="s">
        <v>842</v>
      </c>
      <c r="N119" s="143">
        <v>2059</v>
      </c>
      <c r="O119" s="137">
        <v>0.4</v>
      </c>
      <c r="P119" s="137">
        <v>0.6</v>
      </c>
      <c r="Q119" s="137">
        <v>1</v>
      </c>
      <c r="R119" s="137" t="s">
        <v>2486</v>
      </c>
      <c r="S119" s="137">
        <v>0.3333333</v>
      </c>
      <c r="T119" s="137" t="s">
        <v>2486</v>
      </c>
      <c r="U119" s="137" t="s">
        <v>2486</v>
      </c>
      <c r="W119" s="143" t="s">
        <v>2842</v>
      </c>
      <c r="X119" s="143" t="s">
        <v>722</v>
      </c>
      <c r="Y119" s="143" t="s">
        <v>842</v>
      </c>
      <c r="Z119" s="143">
        <v>2059</v>
      </c>
      <c r="AA119" s="143">
        <v>0</v>
      </c>
      <c r="AD119" s="137">
        <v>0</v>
      </c>
      <c r="AG119" s="143" t="s">
        <v>2842</v>
      </c>
      <c r="AH119" s="143" t="s">
        <v>722</v>
      </c>
      <c r="AI119" s="143" t="s">
        <v>842</v>
      </c>
      <c r="AJ119" s="143">
        <v>2059</v>
      </c>
      <c r="AK119" s="143">
        <v>2</v>
      </c>
      <c r="AL119" s="156">
        <v>2.5</v>
      </c>
      <c r="AM119" s="156">
        <v>3</v>
      </c>
      <c r="AN119" s="156">
        <v>3</v>
      </c>
      <c r="AO119" s="156">
        <v>3</v>
      </c>
      <c r="AP119" s="156">
        <v>1.5</v>
      </c>
      <c r="AQ119" s="156">
        <v>3</v>
      </c>
      <c r="AR119" s="156">
        <v>3</v>
      </c>
      <c r="AS119" s="169">
        <v>2.714286</v>
      </c>
    </row>
    <row r="120" spans="1:45" x14ac:dyDescent="0.35">
      <c r="A120" s="143" t="s">
        <v>2842</v>
      </c>
      <c r="B120" s="143" t="s">
        <v>722</v>
      </c>
      <c r="C120" s="143" t="s">
        <v>842</v>
      </c>
      <c r="D120" s="143">
        <v>2065</v>
      </c>
      <c r="E120" s="143">
        <v>2</v>
      </c>
      <c r="F120" s="137"/>
      <c r="G120" s="137"/>
      <c r="H120" s="137">
        <v>1</v>
      </c>
      <c r="I120" s="137">
        <v>0</v>
      </c>
      <c r="K120" s="143" t="s">
        <v>2842</v>
      </c>
      <c r="L120" s="143" t="s">
        <v>722</v>
      </c>
      <c r="M120" s="143" t="s">
        <v>842</v>
      </c>
      <c r="N120" s="143">
        <v>2065</v>
      </c>
      <c r="O120" s="137">
        <v>0.39200000000000002</v>
      </c>
      <c r="P120" s="137">
        <v>0.6</v>
      </c>
      <c r="Q120" s="137">
        <v>0.99199999999999999</v>
      </c>
      <c r="R120" s="137" t="s">
        <v>2487</v>
      </c>
      <c r="S120" s="137">
        <v>0.5</v>
      </c>
      <c r="T120" s="137" t="s">
        <v>2486</v>
      </c>
      <c r="U120" s="137" t="s">
        <v>2486</v>
      </c>
      <c r="W120" s="143" t="s">
        <v>2842</v>
      </c>
      <c r="X120" s="143" t="s">
        <v>722</v>
      </c>
      <c r="Y120" s="143" t="s">
        <v>842</v>
      </c>
      <c r="Z120" s="143">
        <v>2065</v>
      </c>
      <c r="AA120" s="143">
        <v>0</v>
      </c>
      <c r="AD120" s="137">
        <v>0</v>
      </c>
      <c r="AE120" s="137">
        <v>0.3333333</v>
      </c>
      <c r="AG120" s="143" t="s">
        <v>2842</v>
      </c>
      <c r="AH120" s="143" t="s">
        <v>722</v>
      </c>
      <c r="AI120" s="143" t="s">
        <v>842</v>
      </c>
      <c r="AJ120" s="143">
        <v>2065</v>
      </c>
      <c r="AK120" s="143">
        <v>2</v>
      </c>
      <c r="AL120" s="156">
        <v>2</v>
      </c>
      <c r="AM120" s="156">
        <v>3</v>
      </c>
      <c r="AN120" s="156">
        <v>3</v>
      </c>
      <c r="AO120" s="156">
        <v>3</v>
      </c>
      <c r="AP120" s="156">
        <v>3</v>
      </c>
      <c r="AQ120" s="156">
        <v>3</v>
      </c>
      <c r="AR120" s="156">
        <v>3</v>
      </c>
      <c r="AS120" s="169">
        <v>3</v>
      </c>
    </row>
    <row r="121" spans="1:45" x14ac:dyDescent="0.35">
      <c r="A121" s="143" t="s">
        <v>2842</v>
      </c>
      <c r="B121" s="143" t="s">
        <v>722</v>
      </c>
      <c r="C121" s="143" t="s">
        <v>663</v>
      </c>
      <c r="D121" s="143">
        <v>2888</v>
      </c>
      <c r="E121" s="143">
        <v>2</v>
      </c>
      <c r="F121" s="137"/>
      <c r="G121" s="137"/>
      <c r="H121" s="137">
        <v>1</v>
      </c>
      <c r="I121" s="137">
        <v>0</v>
      </c>
      <c r="K121" s="143" t="s">
        <v>2842</v>
      </c>
      <c r="L121" s="143" t="s">
        <v>722</v>
      </c>
      <c r="M121" s="143" t="s">
        <v>663</v>
      </c>
      <c r="N121" s="143">
        <v>2888</v>
      </c>
      <c r="O121" s="137">
        <v>0.4</v>
      </c>
      <c r="P121" s="137">
        <v>0.6</v>
      </c>
      <c r="Q121" s="137">
        <v>1</v>
      </c>
      <c r="R121" s="137" t="s">
        <v>2486</v>
      </c>
      <c r="S121" s="137">
        <v>0.5</v>
      </c>
      <c r="T121" s="137" t="s">
        <v>2486</v>
      </c>
      <c r="U121" s="137" t="s">
        <v>2838</v>
      </c>
      <c r="W121" s="143" t="s">
        <v>2842</v>
      </c>
      <c r="X121" s="143" t="s">
        <v>722</v>
      </c>
      <c r="Y121" s="143" t="s">
        <v>663</v>
      </c>
      <c r="Z121" s="143">
        <v>2888</v>
      </c>
      <c r="AA121" s="143">
        <v>0</v>
      </c>
      <c r="AD121" s="137">
        <v>0</v>
      </c>
      <c r="AE121" s="137">
        <v>0.5</v>
      </c>
      <c r="AG121" s="143" t="s">
        <v>2842</v>
      </c>
      <c r="AH121" s="143" t="s">
        <v>722</v>
      </c>
      <c r="AI121" s="143" t="s">
        <v>663</v>
      </c>
      <c r="AJ121" s="143">
        <v>2888</v>
      </c>
      <c r="AK121" s="143">
        <v>2</v>
      </c>
      <c r="AL121" s="156">
        <v>1</v>
      </c>
      <c r="AM121" s="156">
        <v>1.5</v>
      </c>
      <c r="AN121" s="156">
        <v>2</v>
      </c>
      <c r="AO121" s="156">
        <v>2</v>
      </c>
      <c r="AP121" s="156">
        <v>2</v>
      </c>
      <c r="AQ121" s="156">
        <v>2.5</v>
      </c>
      <c r="AR121" s="156">
        <v>3</v>
      </c>
      <c r="AS121" s="169">
        <v>2.4285709999999998</v>
      </c>
    </row>
    <row r="122" spans="1:45" x14ac:dyDescent="0.35">
      <c r="A122" s="143" t="s">
        <v>2842</v>
      </c>
      <c r="B122" s="143" t="s">
        <v>722</v>
      </c>
      <c r="C122" s="143" t="s">
        <v>842</v>
      </c>
      <c r="D122" s="143">
        <v>2993</v>
      </c>
      <c r="E122" s="143">
        <v>2</v>
      </c>
      <c r="F122" s="137"/>
      <c r="G122" s="137"/>
      <c r="H122" s="137">
        <v>1</v>
      </c>
      <c r="I122" s="137">
        <v>0</v>
      </c>
      <c r="K122" s="143" t="s">
        <v>2842</v>
      </c>
      <c r="L122" s="143" t="s">
        <v>722</v>
      </c>
      <c r="M122" s="143" t="s">
        <v>842</v>
      </c>
      <c r="N122" s="143">
        <v>2993</v>
      </c>
      <c r="O122" s="137">
        <v>0.4</v>
      </c>
      <c r="P122" s="137">
        <v>0.6</v>
      </c>
      <c r="Q122" s="137">
        <v>1</v>
      </c>
      <c r="R122" s="137" t="s">
        <v>2486</v>
      </c>
      <c r="S122" s="137">
        <v>0.5</v>
      </c>
      <c r="T122" s="137" t="s">
        <v>2486</v>
      </c>
      <c r="U122" s="137" t="s">
        <v>2486</v>
      </c>
      <c r="W122" s="143" t="s">
        <v>2842</v>
      </c>
      <c r="X122" s="143" t="s">
        <v>722</v>
      </c>
      <c r="Y122" s="143" t="s">
        <v>842</v>
      </c>
      <c r="Z122" s="143">
        <v>2993</v>
      </c>
      <c r="AA122" s="143">
        <v>0</v>
      </c>
      <c r="AD122" s="137">
        <v>0</v>
      </c>
      <c r="AE122" s="137">
        <v>0.1666667</v>
      </c>
      <c r="AG122" s="143" t="s">
        <v>2842</v>
      </c>
      <c r="AH122" s="143" t="s">
        <v>722</v>
      </c>
      <c r="AI122" s="143" t="s">
        <v>842</v>
      </c>
      <c r="AJ122" s="143">
        <v>2993</v>
      </c>
      <c r="AK122" s="143">
        <v>2</v>
      </c>
      <c r="AL122" s="156">
        <v>2</v>
      </c>
      <c r="AM122" s="156">
        <v>3</v>
      </c>
      <c r="AN122" s="156">
        <v>3</v>
      </c>
      <c r="AO122" s="156">
        <v>3</v>
      </c>
      <c r="AP122" s="156">
        <v>2</v>
      </c>
      <c r="AQ122" s="156">
        <v>2</v>
      </c>
      <c r="AR122" s="156">
        <v>3</v>
      </c>
      <c r="AS122" s="169">
        <v>2.714286</v>
      </c>
    </row>
    <row r="123" spans="1:45" x14ac:dyDescent="0.35">
      <c r="A123" s="143" t="s">
        <v>2842</v>
      </c>
      <c r="B123" s="143" t="s">
        <v>722</v>
      </c>
      <c r="C123" s="143" t="s">
        <v>663</v>
      </c>
      <c r="D123" s="143">
        <v>4432</v>
      </c>
      <c r="E123" s="143">
        <v>2</v>
      </c>
      <c r="F123" s="137"/>
      <c r="G123" s="137"/>
      <c r="H123" s="137">
        <v>1</v>
      </c>
      <c r="I123" s="137">
        <v>0</v>
      </c>
      <c r="K123" s="143" t="s">
        <v>2842</v>
      </c>
      <c r="L123" s="143" t="s">
        <v>722</v>
      </c>
      <c r="M123" s="143" t="s">
        <v>663</v>
      </c>
      <c r="N123" s="143">
        <v>4432</v>
      </c>
      <c r="O123" s="137">
        <v>0.4</v>
      </c>
      <c r="P123" s="137">
        <v>0.6</v>
      </c>
      <c r="Q123" s="137">
        <v>1</v>
      </c>
      <c r="R123" s="137" t="s">
        <v>2486</v>
      </c>
      <c r="S123" s="137">
        <v>0.5</v>
      </c>
      <c r="T123" s="137" t="s">
        <v>2486</v>
      </c>
      <c r="U123" s="137" t="s">
        <v>2838</v>
      </c>
      <c r="W123" s="143" t="s">
        <v>2842</v>
      </c>
      <c r="X123" s="143" t="s">
        <v>722</v>
      </c>
      <c r="Y123" s="143" t="s">
        <v>663</v>
      </c>
      <c r="Z123" s="143">
        <v>4432</v>
      </c>
      <c r="AA123" s="143">
        <v>0</v>
      </c>
      <c r="AD123" s="137">
        <v>0</v>
      </c>
      <c r="AG123" s="143" t="s">
        <v>2842</v>
      </c>
      <c r="AH123" s="143" t="s">
        <v>722</v>
      </c>
      <c r="AI123" s="143" t="s">
        <v>663</v>
      </c>
      <c r="AJ123" s="143">
        <v>4432</v>
      </c>
      <c r="AK123" s="143">
        <v>2</v>
      </c>
      <c r="AL123" s="156">
        <v>1.5</v>
      </c>
      <c r="AM123" s="156">
        <v>3.5</v>
      </c>
      <c r="AN123" s="156">
        <v>4</v>
      </c>
      <c r="AO123" s="156">
        <v>3.5</v>
      </c>
      <c r="AP123" s="156">
        <v>3.5</v>
      </c>
      <c r="AQ123" s="156">
        <v>2.5</v>
      </c>
      <c r="AR123" s="156">
        <v>3.5</v>
      </c>
      <c r="AS123" s="169">
        <v>3.4285709999999998</v>
      </c>
    </row>
    <row r="124" spans="1:45" x14ac:dyDescent="0.35">
      <c r="A124" s="143" t="s">
        <v>2842</v>
      </c>
      <c r="B124" s="143" t="s">
        <v>722</v>
      </c>
      <c r="C124" s="143" t="s">
        <v>663</v>
      </c>
      <c r="D124" s="143">
        <v>4436</v>
      </c>
      <c r="E124" s="143">
        <v>2</v>
      </c>
      <c r="F124" s="137"/>
      <c r="G124" s="137"/>
      <c r="H124" s="137">
        <v>1</v>
      </c>
      <c r="I124" s="137">
        <v>0</v>
      </c>
      <c r="K124" s="143" t="s">
        <v>2842</v>
      </c>
      <c r="L124" s="143" t="s">
        <v>722</v>
      </c>
      <c r="M124" s="143" t="s">
        <v>663</v>
      </c>
      <c r="N124" s="143">
        <v>4436</v>
      </c>
      <c r="O124" s="137">
        <v>0</v>
      </c>
      <c r="P124" s="137">
        <v>0.6</v>
      </c>
      <c r="Q124" s="137">
        <v>0.6</v>
      </c>
      <c r="R124" s="137" t="s">
        <v>2487</v>
      </c>
      <c r="S124" s="137">
        <v>0.75</v>
      </c>
      <c r="T124" s="137" t="s">
        <v>2486</v>
      </c>
      <c r="U124" s="137" t="s">
        <v>2838</v>
      </c>
      <c r="W124" s="143" t="s">
        <v>2842</v>
      </c>
      <c r="X124" s="143" t="s">
        <v>722</v>
      </c>
      <c r="Y124" s="143" t="s">
        <v>663</v>
      </c>
      <c r="Z124" s="143">
        <v>4436</v>
      </c>
      <c r="AA124" s="143">
        <v>0</v>
      </c>
      <c r="AD124" s="137">
        <v>0</v>
      </c>
      <c r="AG124" s="143" t="s">
        <v>2842</v>
      </c>
      <c r="AH124" s="143" t="s">
        <v>722</v>
      </c>
      <c r="AI124" s="143" t="s">
        <v>663</v>
      </c>
      <c r="AJ124" s="143">
        <v>4436</v>
      </c>
      <c r="AK124" s="143">
        <v>2</v>
      </c>
      <c r="AL124" s="156">
        <v>2</v>
      </c>
      <c r="AM124" s="156">
        <v>3.5</v>
      </c>
      <c r="AN124" s="156">
        <v>3</v>
      </c>
      <c r="AO124" s="156">
        <v>2</v>
      </c>
      <c r="AP124" s="156">
        <v>1.5</v>
      </c>
      <c r="AQ124" s="156">
        <v>2.5</v>
      </c>
      <c r="AR124" s="156">
        <v>3.5</v>
      </c>
      <c r="AS124" s="169">
        <v>2.714286</v>
      </c>
    </row>
    <row r="125" spans="1:45" x14ac:dyDescent="0.35">
      <c r="A125" s="143" t="s">
        <v>2842</v>
      </c>
      <c r="B125" s="143" t="s">
        <v>722</v>
      </c>
      <c r="C125" s="143" t="s">
        <v>663</v>
      </c>
      <c r="D125" s="143">
        <v>4440</v>
      </c>
      <c r="E125" s="143">
        <v>2</v>
      </c>
      <c r="F125" s="137"/>
      <c r="G125" s="137"/>
      <c r="H125" s="137">
        <v>0</v>
      </c>
      <c r="I125" s="137">
        <v>1</v>
      </c>
      <c r="K125" s="143" t="s">
        <v>2842</v>
      </c>
      <c r="L125" s="143" t="s">
        <v>722</v>
      </c>
      <c r="M125" s="143" t="s">
        <v>663</v>
      </c>
      <c r="N125" s="143">
        <v>4440</v>
      </c>
      <c r="O125" s="137">
        <v>0.4</v>
      </c>
      <c r="P125" s="137">
        <v>0.6</v>
      </c>
      <c r="Q125" s="137">
        <v>1</v>
      </c>
      <c r="R125" s="137" t="s">
        <v>2486</v>
      </c>
      <c r="S125" s="137">
        <v>0.75</v>
      </c>
      <c r="T125" s="137" t="s">
        <v>2486</v>
      </c>
      <c r="U125" s="137" t="s">
        <v>2838</v>
      </c>
      <c r="W125" s="143" t="s">
        <v>2842</v>
      </c>
      <c r="X125" s="143" t="s">
        <v>722</v>
      </c>
      <c r="Y125" s="143" t="s">
        <v>663</v>
      </c>
      <c r="Z125" s="143">
        <v>4440</v>
      </c>
      <c r="AA125" s="143">
        <v>0</v>
      </c>
      <c r="AD125" s="137">
        <v>0</v>
      </c>
      <c r="AE125" s="137">
        <v>0.25</v>
      </c>
      <c r="AG125" s="143" t="s">
        <v>2842</v>
      </c>
      <c r="AH125" s="143" t="s">
        <v>722</v>
      </c>
      <c r="AI125" s="143" t="s">
        <v>663</v>
      </c>
      <c r="AJ125" s="143">
        <v>4440</v>
      </c>
      <c r="AK125" s="143">
        <v>2</v>
      </c>
      <c r="AL125" s="156">
        <v>2</v>
      </c>
      <c r="AM125" s="156">
        <v>4</v>
      </c>
      <c r="AN125" s="156">
        <v>3.5</v>
      </c>
      <c r="AO125" s="156">
        <v>2.5</v>
      </c>
      <c r="AP125" s="156">
        <v>1.5</v>
      </c>
      <c r="AQ125" s="156">
        <v>2.5</v>
      </c>
      <c r="AR125" s="156">
        <v>3</v>
      </c>
      <c r="AS125" s="169">
        <v>2.8571430000000002</v>
      </c>
    </row>
    <row r="126" spans="1:45" x14ac:dyDescent="0.35">
      <c r="A126" s="143" t="s">
        <v>2843</v>
      </c>
      <c r="B126" s="143" t="s">
        <v>753</v>
      </c>
      <c r="C126" s="143" t="s">
        <v>842</v>
      </c>
      <c r="D126" s="143">
        <v>98</v>
      </c>
      <c r="F126" s="137">
        <v>1</v>
      </c>
      <c r="G126" s="137">
        <v>1</v>
      </c>
      <c r="H126" s="137"/>
      <c r="I126" s="137"/>
      <c r="K126" s="143" t="s">
        <v>2843</v>
      </c>
      <c r="L126" s="143" t="s">
        <v>753</v>
      </c>
      <c r="M126" s="143" t="s">
        <v>842</v>
      </c>
      <c r="N126" s="143">
        <v>98</v>
      </c>
      <c r="O126" s="137">
        <v>0.38800000000000001</v>
      </c>
      <c r="Q126" s="137">
        <v>0.97</v>
      </c>
      <c r="R126" s="137" t="s">
        <v>2487</v>
      </c>
      <c r="T126" s="137" t="s">
        <v>2838</v>
      </c>
      <c r="U126" s="137" t="s">
        <v>2838</v>
      </c>
      <c r="W126" s="143" t="s">
        <v>2843</v>
      </c>
      <c r="X126" s="143" t="s">
        <v>753</v>
      </c>
      <c r="Y126" s="143" t="s">
        <v>842</v>
      </c>
      <c r="Z126" s="143">
        <v>98</v>
      </c>
      <c r="AG126" s="143" t="s">
        <v>2843</v>
      </c>
      <c r="AH126" s="143" t="s">
        <v>753</v>
      </c>
      <c r="AI126" s="143" t="s">
        <v>842</v>
      </c>
      <c r="AJ126" s="143">
        <v>98</v>
      </c>
    </row>
    <row r="127" spans="1:45" x14ac:dyDescent="0.35">
      <c r="A127" s="143" t="s">
        <v>2843</v>
      </c>
      <c r="B127" s="143" t="s">
        <v>753</v>
      </c>
      <c r="C127" s="143" t="s">
        <v>842</v>
      </c>
      <c r="D127" s="143">
        <v>250</v>
      </c>
      <c r="F127" s="137">
        <v>1</v>
      </c>
      <c r="G127" s="137">
        <v>1</v>
      </c>
      <c r="H127" s="137"/>
      <c r="I127" s="137"/>
      <c r="K127" s="143" t="s">
        <v>2843</v>
      </c>
      <c r="L127" s="143" t="s">
        <v>753</v>
      </c>
      <c r="M127" s="143" t="s">
        <v>842</v>
      </c>
      <c r="N127" s="143">
        <v>250</v>
      </c>
      <c r="O127" s="137">
        <v>0.38800000000000001</v>
      </c>
      <c r="Q127" s="137">
        <v>0.97</v>
      </c>
      <c r="R127" s="137" t="s">
        <v>2487</v>
      </c>
      <c r="T127" s="137" t="s">
        <v>2838</v>
      </c>
      <c r="U127" s="137" t="s">
        <v>2838</v>
      </c>
      <c r="W127" s="143" t="s">
        <v>2843</v>
      </c>
      <c r="X127" s="143" t="s">
        <v>753</v>
      </c>
      <c r="Y127" s="143" t="s">
        <v>842</v>
      </c>
      <c r="Z127" s="143">
        <v>250</v>
      </c>
      <c r="AG127" s="143" t="s">
        <v>2843</v>
      </c>
      <c r="AH127" s="143" t="s">
        <v>753</v>
      </c>
      <c r="AI127" s="143" t="s">
        <v>842</v>
      </c>
      <c r="AJ127" s="143">
        <v>250</v>
      </c>
    </row>
    <row r="128" spans="1:45" x14ac:dyDescent="0.35">
      <c r="A128" s="143" t="s">
        <v>2843</v>
      </c>
      <c r="B128" s="143" t="s">
        <v>753</v>
      </c>
      <c r="C128" s="143" t="s">
        <v>841</v>
      </c>
      <c r="D128" s="143">
        <v>267</v>
      </c>
      <c r="F128" s="137">
        <v>1</v>
      </c>
      <c r="G128" s="137">
        <v>1</v>
      </c>
      <c r="H128" s="137"/>
      <c r="I128" s="137"/>
      <c r="K128" s="143" t="s">
        <v>2843</v>
      </c>
      <c r="L128" s="143" t="s">
        <v>753</v>
      </c>
      <c r="M128" s="143" t="s">
        <v>841</v>
      </c>
      <c r="N128" s="143">
        <v>267</v>
      </c>
      <c r="O128" s="137">
        <v>0.4</v>
      </c>
      <c r="Q128" s="137">
        <v>1</v>
      </c>
      <c r="R128" s="137" t="s">
        <v>2486</v>
      </c>
      <c r="T128" s="137" t="s">
        <v>2838</v>
      </c>
      <c r="U128" s="137" t="s">
        <v>2838</v>
      </c>
      <c r="W128" s="143" t="s">
        <v>2843</v>
      </c>
      <c r="X128" s="143" t="s">
        <v>753</v>
      </c>
      <c r="Y128" s="143" t="s">
        <v>841</v>
      </c>
      <c r="Z128" s="143">
        <v>267</v>
      </c>
      <c r="AG128" s="143" t="s">
        <v>2843</v>
      </c>
      <c r="AH128" s="143" t="s">
        <v>753</v>
      </c>
      <c r="AI128" s="143" t="s">
        <v>841</v>
      </c>
      <c r="AJ128" s="143">
        <v>267</v>
      </c>
    </row>
    <row r="129" spans="1:45" x14ac:dyDescent="0.35">
      <c r="A129" s="143" t="s">
        <v>2843</v>
      </c>
      <c r="B129" s="143" t="s">
        <v>753</v>
      </c>
      <c r="C129" s="143" t="s">
        <v>843</v>
      </c>
      <c r="D129" s="143">
        <v>270</v>
      </c>
      <c r="F129" s="137">
        <v>0.875</v>
      </c>
      <c r="G129" s="137">
        <v>0.875</v>
      </c>
      <c r="H129" s="137"/>
      <c r="I129" s="137"/>
      <c r="K129" s="143" t="s">
        <v>2843</v>
      </c>
      <c r="L129" s="143" t="s">
        <v>753</v>
      </c>
      <c r="M129" s="143" t="s">
        <v>843</v>
      </c>
      <c r="N129" s="143">
        <v>270</v>
      </c>
      <c r="O129" s="137">
        <v>0.4</v>
      </c>
      <c r="Q129" s="137">
        <v>1</v>
      </c>
      <c r="R129" s="137" t="s">
        <v>2486</v>
      </c>
      <c r="T129" s="137" t="s">
        <v>2838</v>
      </c>
      <c r="U129" s="137" t="s">
        <v>2838</v>
      </c>
      <c r="W129" s="143" t="s">
        <v>2843</v>
      </c>
      <c r="X129" s="143" t="s">
        <v>753</v>
      </c>
      <c r="Y129" s="143" t="s">
        <v>843</v>
      </c>
      <c r="Z129" s="143">
        <v>270</v>
      </c>
      <c r="AG129" s="143" t="s">
        <v>2843</v>
      </c>
      <c r="AH129" s="143" t="s">
        <v>753</v>
      </c>
      <c r="AI129" s="143" t="s">
        <v>843</v>
      </c>
      <c r="AJ129" s="143">
        <v>270</v>
      </c>
    </row>
    <row r="130" spans="1:45" x14ac:dyDescent="0.35">
      <c r="A130" s="143" t="s">
        <v>2843</v>
      </c>
      <c r="B130" s="143" t="s">
        <v>753</v>
      </c>
      <c r="C130" s="143" t="s">
        <v>842</v>
      </c>
      <c r="D130" s="143">
        <v>1099</v>
      </c>
      <c r="F130" s="137">
        <v>1</v>
      </c>
      <c r="G130" s="137">
        <v>1</v>
      </c>
      <c r="H130" s="137"/>
      <c r="I130" s="137"/>
      <c r="K130" s="143" t="s">
        <v>2843</v>
      </c>
      <c r="L130" s="143" t="s">
        <v>753</v>
      </c>
      <c r="M130" s="143" t="s">
        <v>842</v>
      </c>
      <c r="N130" s="143">
        <v>1099</v>
      </c>
      <c r="O130" s="137">
        <v>0.4</v>
      </c>
      <c r="Q130" s="137">
        <v>1</v>
      </c>
      <c r="R130" s="137" t="s">
        <v>2486</v>
      </c>
      <c r="T130" s="137" t="s">
        <v>2838</v>
      </c>
      <c r="U130" s="137" t="s">
        <v>2838</v>
      </c>
      <c r="W130" s="143" t="s">
        <v>2843</v>
      </c>
      <c r="X130" s="143" t="s">
        <v>753</v>
      </c>
      <c r="Y130" s="143" t="s">
        <v>842</v>
      </c>
      <c r="Z130" s="143">
        <v>1099</v>
      </c>
      <c r="AG130" s="143" t="s">
        <v>2843</v>
      </c>
      <c r="AH130" s="143" t="s">
        <v>753</v>
      </c>
      <c r="AI130" s="143" t="s">
        <v>842</v>
      </c>
      <c r="AJ130" s="143">
        <v>1099</v>
      </c>
    </row>
    <row r="131" spans="1:45" x14ac:dyDescent="0.35">
      <c r="A131" s="143" t="s">
        <v>2843</v>
      </c>
      <c r="B131" s="143" t="s">
        <v>753</v>
      </c>
      <c r="C131" s="143" t="s">
        <v>841</v>
      </c>
      <c r="D131" s="143">
        <v>1229</v>
      </c>
      <c r="F131" s="137">
        <v>0</v>
      </c>
      <c r="G131" s="137">
        <v>1</v>
      </c>
      <c r="H131" s="137"/>
      <c r="I131" s="137"/>
      <c r="K131" s="143" t="s">
        <v>2843</v>
      </c>
      <c r="L131" s="143" t="s">
        <v>753</v>
      </c>
      <c r="M131" s="143" t="s">
        <v>841</v>
      </c>
      <c r="N131" s="143">
        <v>1229</v>
      </c>
      <c r="O131" s="137">
        <v>0.4</v>
      </c>
      <c r="Q131" s="137">
        <v>1</v>
      </c>
      <c r="R131" s="137" t="s">
        <v>2486</v>
      </c>
      <c r="T131" s="137" t="s">
        <v>2838</v>
      </c>
      <c r="U131" s="137" t="s">
        <v>2838</v>
      </c>
      <c r="W131" s="143" t="s">
        <v>2843</v>
      </c>
      <c r="X131" s="143" t="s">
        <v>753</v>
      </c>
      <c r="Y131" s="143" t="s">
        <v>841</v>
      </c>
      <c r="Z131" s="143">
        <v>1229</v>
      </c>
      <c r="AG131" s="143" t="s">
        <v>2843</v>
      </c>
      <c r="AH131" s="143" t="s">
        <v>753</v>
      </c>
      <c r="AI131" s="143" t="s">
        <v>841</v>
      </c>
      <c r="AJ131" s="143">
        <v>1229</v>
      </c>
    </row>
    <row r="132" spans="1:45" x14ac:dyDescent="0.35">
      <c r="A132" s="143" t="s">
        <v>2843</v>
      </c>
      <c r="B132" s="143" t="s">
        <v>753</v>
      </c>
      <c r="C132" s="143" t="s">
        <v>841</v>
      </c>
      <c r="D132" s="143">
        <v>1615</v>
      </c>
      <c r="F132" s="137">
        <v>1</v>
      </c>
      <c r="G132" s="137">
        <v>1</v>
      </c>
      <c r="H132" s="137"/>
      <c r="I132" s="137"/>
      <c r="K132" s="143" t="s">
        <v>2843</v>
      </c>
      <c r="L132" s="143" t="s">
        <v>753</v>
      </c>
      <c r="M132" s="143" t="s">
        <v>841</v>
      </c>
      <c r="N132" s="143">
        <v>1615</v>
      </c>
      <c r="O132" s="137">
        <v>0.4</v>
      </c>
      <c r="Q132" s="137">
        <v>1</v>
      </c>
      <c r="R132" s="137" t="s">
        <v>2486</v>
      </c>
      <c r="T132" s="137" t="s">
        <v>2838</v>
      </c>
      <c r="U132" s="137" t="s">
        <v>2838</v>
      </c>
      <c r="W132" s="143" t="s">
        <v>2843</v>
      </c>
      <c r="X132" s="143" t="s">
        <v>753</v>
      </c>
      <c r="Y132" s="143" t="s">
        <v>841</v>
      </c>
      <c r="Z132" s="143">
        <v>1615</v>
      </c>
      <c r="AG132" s="143" t="s">
        <v>2843</v>
      </c>
      <c r="AH132" s="143" t="s">
        <v>753</v>
      </c>
      <c r="AI132" s="143" t="s">
        <v>841</v>
      </c>
      <c r="AJ132" s="143">
        <v>1615</v>
      </c>
    </row>
    <row r="133" spans="1:45" x14ac:dyDescent="0.35">
      <c r="A133" s="143" t="s">
        <v>2843</v>
      </c>
      <c r="B133" s="143" t="s">
        <v>753</v>
      </c>
      <c r="C133" s="143" t="s">
        <v>841</v>
      </c>
      <c r="D133" s="143">
        <v>1625</v>
      </c>
      <c r="F133" s="137">
        <v>1</v>
      </c>
      <c r="G133" s="137">
        <v>1</v>
      </c>
      <c r="H133" s="137"/>
      <c r="I133" s="137"/>
      <c r="K133" s="143" t="s">
        <v>2843</v>
      </c>
      <c r="L133" s="143" t="s">
        <v>753</v>
      </c>
      <c r="M133" s="143" t="s">
        <v>841</v>
      </c>
      <c r="N133" s="143">
        <v>1625</v>
      </c>
      <c r="O133" s="137">
        <v>0.4</v>
      </c>
      <c r="Q133" s="137">
        <v>1</v>
      </c>
      <c r="R133" s="137" t="s">
        <v>2486</v>
      </c>
      <c r="T133" s="137" t="s">
        <v>2838</v>
      </c>
      <c r="U133" s="137" t="s">
        <v>2838</v>
      </c>
      <c r="W133" s="143" t="s">
        <v>2843</v>
      </c>
      <c r="X133" s="143" t="s">
        <v>753</v>
      </c>
      <c r="Y133" s="143" t="s">
        <v>841</v>
      </c>
      <c r="Z133" s="143">
        <v>1625</v>
      </c>
      <c r="AG133" s="143" t="s">
        <v>2843</v>
      </c>
      <c r="AH133" s="143" t="s">
        <v>753</v>
      </c>
      <c r="AI133" s="143" t="s">
        <v>841</v>
      </c>
      <c r="AJ133" s="143">
        <v>1625</v>
      </c>
    </row>
    <row r="134" spans="1:45" x14ac:dyDescent="0.35">
      <c r="A134" s="143" t="s">
        <v>2843</v>
      </c>
      <c r="B134" s="143" t="s">
        <v>753</v>
      </c>
      <c r="C134" s="143" t="s">
        <v>842</v>
      </c>
      <c r="D134" s="143">
        <v>2051</v>
      </c>
      <c r="F134" s="137">
        <v>1</v>
      </c>
      <c r="G134" s="137">
        <v>1</v>
      </c>
      <c r="H134" s="137"/>
      <c r="I134" s="137"/>
      <c r="K134" s="143" t="s">
        <v>2843</v>
      </c>
      <c r="L134" s="143" t="s">
        <v>753</v>
      </c>
      <c r="M134" s="143" t="s">
        <v>842</v>
      </c>
      <c r="N134" s="143">
        <v>2051</v>
      </c>
      <c r="O134" s="137">
        <v>0.4</v>
      </c>
      <c r="Q134" s="137">
        <v>1</v>
      </c>
      <c r="R134" s="137" t="s">
        <v>2486</v>
      </c>
      <c r="T134" s="137" t="s">
        <v>2838</v>
      </c>
      <c r="U134" s="137" t="s">
        <v>2838</v>
      </c>
      <c r="W134" s="143" t="s">
        <v>2843</v>
      </c>
      <c r="X134" s="143" t="s">
        <v>753</v>
      </c>
      <c r="Y134" s="143" t="s">
        <v>842</v>
      </c>
      <c r="Z134" s="143">
        <v>2051</v>
      </c>
      <c r="AG134" s="143" t="s">
        <v>2843</v>
      </c>
      <c r="AH134" s="143" t="s">
        <v>753</v>
      </c>
      <c r="AI134" s="143" t="s">
        <v>842</v>
      </c>
      <c r="AJ134" s="143">
        <v>2051</v>
      </c>
    </row>
    <row r="135" spans="1:45" x14ac:dyDescent="0.35">
      <c r="A135" s="143" t="s">
        <v>2843</v>
      </c>
      <c r="B135" s="143" t="s">
        <v>753</v>
      </c>
      <c r="C135" s="143" t="s">
        <v>842</v>
      </c>
      <c r="D135" s="143">
        <v>2449</v>
      </c>
      <c r="F135" s="137">
        <v>1</v>
      </c>
      <c r="G135" s="137">
        <v>1</v>
      </c>
      <c r="H135" s="137"/>
      <c r="I135" s="137"/>
      <c r="K135" s="143" t="s">
        <v>2843</v>
      </c>
      <c r="L135" s="143" t="s">
        <v>753</v>
      </c>
      <c r="M135" s="143" t="s">
        <v>842</v>
      </c>
      <c r="N135" s="143">
        <v>2449</v>
      </c>
      <c r="O135" s="137">
        <v>0.4</v>
      </c>
      <c r="Q135" s="137">
        <v>1</v>
      </c>
      <c r="R135" s="137" t="s">
        <v>2486</v>
      </c>
      <c r="T135" s="137" t="s">
        <v>2838</v>
      </c>
      <c r="U135" s="137" t="s">
        <v>2838</v>
      </c>
      <c r="W135" s="143" t="s">
        <v>2843</v>
      </c>
      <c r="X135" s="143" t="s">
        <v>753</v>
      </c>
      <c r="Y135" s="143" t="s">
        <v>842</v>
      </c>
      <c r="Z135" s="143">
        <v>2449</v>
      </c>
      <c r="AG135" s="143" t="s">
        <v>2843</v>
      </c>
      <c r="AH135" s="143" t="s">
        <v>753</v>
      </c>
      <c r="AI135" s="143" t="s">
        <v>842</v>
      </c>
      <c r="AJ135" s="143">
        <v>2449</v>
      </c>
    </row>
    <row r="136" spans="1:45" x14ac:dyDescent="0.35">
      <c r="A136" s="143" t="s">
        <v>2843</v>
      </c>
      <c r="B136" s="143" t="s">
        <v>753</v>
      </c>
      <c r="C136" s="143" t="s">
        <v>663</v>
      </c>
      <c r="D136" s="143">
        <v>2476</v>
      </c>
      <c r="F136" s="137">
        <v>1</v>
      </c>
      <c r="G136" s="137">
        <v>1</v>
      </c>
      <c r="H136" s="137"/>
      <c r="I136" s="137"/>
      <c r="K136" s="143" t="s">
        <v>2843</v>
      </c>
      <c r="L136" s="143" t="s">
        <v>753</v>
      </c>
      <c r="M136" s="143" t="s">
        <v>663</v>
      </c>
      <c r="N136" s="143">
        <v>2476</v>
      </c>
      <c r="O136" s="137">
        <v>0.38800000000000001</v>
      </c>
      <c r="Q136" s="137">
        <v>0.97</v>
      </c>
      <c r="R136" s="137" t="s">
        <v>2487</v>
      </c>
      <c r="T136" s="137" t="s">
        <v>2838</v>
      </c>
      <c r="U136" s="137" t="s">
        <v>2838</v>
      </c>
      <c r="W136" s="143" t="s">
        <v>2843</v>
      </c>
      <c r="X136" s="143" t="s">
        <v>753</v>
      </c>
      <c r="Y136" s="143" t="s">
        <v>663</v>
      </c>
      <c r="Z136" s="143">
        <v>2476</v>
      </c>
      <c r="AG136" s="143" t="s">
        <v>2843</v>
      </c>
      <c r="AH136" s="143" t="s">
        <v>753</v>
      </c>
      <c r="AI136" s="143" t="s">
        <v>663</v>
      </c>
      <c r="AJ136" s="143">
        <v>2476</v>
      </c>
    </row>
    <row r="137" spans="1:45" x14ac:dyDescent="0.35">
      <c r="A137" s="143" t="s">
        <v>2843</v>
      </c>
      <c r="B137" s="143" t="s">
        <v>753</v>
      </c>
      <c r="C137" s="143" t="s">
        <v>663</v>
      </c>
      <c r="D137" s="143">
        <v>3633</v>
      </c>
      <c r="F137" s="137">
        <v>0</v>
      </c>
      <c r="G137" s="137">
        <v>1</v>
      </c>
      <c r="H137" s="137"/>
      <c r="I137" s="137"/>
      <c r="K137" s="143" t="s">
        <v>2843</v>
      </c>
      <c r="L137" s="143" t="s">
        <v>753</v>
      </c>
      <c r="M137" s="143" t="s">
        <v>663</v>
      </c>
      <c r="N137" s="143">
        <v>3633</v>
      </c>
      <c r="O137" s="137">
        <v>0.4</v>
      </c>
      <c r="Q137" s="137">
        <v>1</v>
      </c>
      <c r="R137" s="137" t="s">
        <v>2486</v>
      </c>
      <c r="T137" s="137" t="s">
        <v>2838</v>
      </c>
      <c r="U137" s="137" t="s">
        <v>2838</v>
      </c>
      <c r="W137" s="143" t="s">
        <v>2843</v>
      </c>
      <c r="X137" s="143" t="s">
        <v>753</v>
      </c>
      <c r="Y137" s="143" t="s">
        <v>663</v>
      </c>
      <c r="Z137" s="143">
        <v>3633</v>
      </c>
      <c r="AG137" s="143" t="s">
        <v>2843</v>
      </c>
      <c r="AH137" s="143" t="s">
        <v>753</v>
      </c>
      <c r="AI137" s="143" t="s">
        <v>663</v>
      </c>
      <c r="AJ137" s="143">
        <v>3633</v>
      </c>
    </row>
    <row r="138" spans="1:45" x14ac:dyDescent="0.35">
      <c r="A138" s="143" t="s">
        <v>2843</v>
      </c>
      <c r="B138" s="143" t="s">
        <v>753</v>
      </c>
      <c r="C138" s="143" t="s">
        <v>663</v>
      </c>
      <c r="D138" s="143">
        <v>4314</v>
      </c>
      <c r="F138" s="137">
        <v>0.5</v>
      </c>
      <c r="G138" s="137">
        <v>0</v>
      </c>
      <c r="H138" s="137"/>
      <c r="I138" s="137"/>
      <c r="K138" s="143" t="s">
        <v>2843</v>
      </c>
      <c r="L138" s="143" t="s">
        <v>753</v>
      </c>
      <c r="M138" s="143" t="s">
        <v>663</v>
      </c>
      <c r="N138" s="143">
        <v>4314</v>
      </c>
      <c r="O138" s="137">
        <v>0.4</v>
      </c>
      <c r="Q138" s="137">
        <v>1</v>
      </c>
      <c r="R138" s="137" t="s">
        <v>2486</v>
      </c>
      <c r="T138" s="137" t="s">
        <v>2838</v>
      </c>
      <c r="U138" s="137" t="s">
        <v>2838</v>
      </c>
      <c r="W138" s="143" t="s">
        <v>2843</v>
      </c>
      <c r="X138" s="143" t="s">
        <v>753</v>
      </c>
      <c r="Y138" s="143" t="s">
        <v>663</v>
      </c>
      <c r="Z138" s="143">
        <v>4314</v>
      </c>
      <c r="AG138" s="143" t="s">
        <v>2843</v>
      </c>
      <c r="AH138" s="143" t="s">
        <v>753</v>
      </c>
      <c r="AI138" s="143" t="s">
        <v>663</v>
      </c>
      <c r="AJ138" s="143">
        <v>4314</v>
      </c>
    </row>
    <row r="139" spans="1:45" x14ac:dyDescent="0.35">
      <c r="A139" s="143" t="s">
        <v>2843</v>
      </c>
      <c r="B139" s="143" t="s">
        <v>753</v>
      </c>
      <c r="C139" s="143" t="s">
        <v>663</v>
      </c>
      <c r="D139" s="143">
        <v>4319</v>
      </c>
      <c r="F139" s="137">
        <v>0</v>
      </c>
      <c r="G139" s="137">
        <v>1</v>
      </c>
      <c r="H139" s="137"/>
      <c r="I139" s="137"/>
      <c r="K139" s="143" t="s">
        <v>2843</v>
      </c>
      <c r="L139" s="143" t="s">
        <v>753</v>
      </c>
      <c r="M139" s="143" t="s">
        <v>663</v>
      </c>
      <c r="N139" s="143">
        <v>4319</v>
      </c>
      <c r="O139" s="137">
        <v>0.4</v>
      </c>
      <c r="Q139" s="137">
        <v>1</v>
      </c>
      <c r="R139" s="137" t="s">
        <v>2486</v>
      </c>
      <c r="T139" s="137" t="s">
        <v>2838</v>
      </c>
      <c r="U139" s="137" t="s">
        <v>2838</v>
      </c>
      <c r="W139" s="143" t="s">
        <v>2843</v>
      </c>
      <c r="X139" s="143" t="s">
        <v>753</v>
      </c>
      <c r="Y139" s="143" t="s">
        <v>663</v>
      </c>
      <c r="Z139" s="143">
        <v>4319</v>
      </c>
      <c r="AG139" s="143" t="s">
        <v>2843</v>
      </c>
      <c r="AH139" s="143" t="s">
        <v>753</v>
      </c>
      <c r="AI139" s="143" t="s">
        <v>663</v>
      </c>
      <c r="AJ139" s="143">
        <v>4319</v>
      </c>
    </row>
    <row r="140" spans="1:45" x14ac:dyDescent="0.35">
      <c r="A140" s="143" t="s">
        <v>2843</v>
      </c>
      <c r="B140" s="143" t="s">
        <v>753</v>
      </c>
      <c r="C140" s="143" t="s">
        <v>663</v>
      </c>
      <c r="D140" s="143">
        <v>4320</v>
      </c>
      <c r="F140" s="137">
        <v>1</v>
      </c>
      <c r="G140" s="137">
        <v>1</v>
      </c>
      <c r="H140" s="137"/>
      <c r="I140" s="137"/>
      <c r="K140" s="143" t="s">
        <v>2843</v>
      </c>
      <c r="L140" s="143" t="s">
        <v>753</v>
      </c>
      <c r="M140" s="143" t="s">
        <v>663</v>
      </c>
      <c r="N140" s="143">
        <v>4320</v>
      </c>
      <c r="O140" s="137">
        <v>0.4</v>
      </c>
      <c r="Q140" s="137">
        <v>1</v>
      </c>
      <c r="R140" s="137" t="s">
        <v>2486</v>
      </c>
      <c r="T140" s="137" t="s">
        <v>2838</v>
      </c>
      <c r="U140" s="137" t="s">
        <v>2838</v>
      </c>
      <c r="W140" s="143" t="s">
        <v>2843</v>
      </c>
      <c r="X140" s="143" t="s">
        <v>753</v>
      </c>
      <c r="Y140" s="143" t="s">
        <v>663</v>
      </c>
      <c r="Z140" s="143">
        <v>4320</v>
      </c>
      <c r="AG140" s="143" t="s">
        <v>2843</v>
      </c>
      <c r="AH140" s="143" t="s">
        <v>753</v>
      </c>
      <c r="AI140" s="143" t="s">
        <v>663</v>
      </c>
      <c r="AJ140" s="143">
        <v>4320</v>
      </c>
    </row>
    <row r="141" spans="1:45" x14ac:dyDescent="0.35">
      <c r="A141" s="143" t="s">
        <v>2843</v>
      </c>
      <c r="B141" s="143" t="s">
        <v>753</v>
      </c>
      <c r="C141" s="143" t="s">
        <v>663</v>
      </c>
      <c r="D141" s="143">
        <v>4837</v>
      </c>
      <c r="F141" s="137">
        <v>1</v>
      </c>
      <c r="G141" s="137">
        <v>1</v>
      </c>
      <c r="H141" s="137"/>
      <c r="I141" s="137"/>
      <c r="K141" s="143" t="s">
        <v>2843</v>
      </c>
      <c r="L141" s="143" t="s">
        <v>753</v>
      </c>
      <c r="M141" s="143" t="s">
        <v>663</v>
      </c>
      <c r="N141" s="143">
        <v>4837</v>
      </c>
      <c r="O141" s="137">
        <v>0.4</v>
      </c>
      <c r="Q141" s="137">
        <v>1</v>
      </c>
      <c r="R141" s="137" t="s">
        <v>2486</v>
      </c>
      <c r="T141" s="137" t="s">
        <v>2838</v>
      </c>
      <c r="U141" s="137" t="s">
        <v>2838</v>
      </c>
      <c r="W141" s="143" t="s">
        <v>2843</v>
      </c>
      <c r="X141" s="143" t="s">
        <v>753</v>
      </c>
      <c r="Y141" s="143" t="s">
        <v>663</v>
      </c>
      <c r="Z141" s="143">
        <v>4837</v>
      </c>
      <c r="AG141" s="143" t="s">
        <v>2843</v>
      </c>
      <c r="AH141" s="143" t="s">
        <v>753</v>
      </c>
      <c r="AI141" s="143" t="s">
        <v>663</v>
      </c>
      <c r="AJ141" s="143">
        <v>4837</v>
      </c>
    </row>
    <row r="142" spans="1:45" x14ac:dyDescent="0.35">
      <c r="A142" s="143" t="s">
        <v>2844</v>
      </c>
      <c r="B142" s="143" t="s">
        <v>730</v>
      </c>
      <c r="C142" s="143" t="s">
        <v>842</v>
      </c>
      <c r="D142" s="143">
        <v>98</v>
      </c>
      <c r="E142" s="143">
        <v>2</v>
      </c>
      <c r="F142" s="137"/>
      <c r="G142" s="137"/>
      <c r="H142" s="137">
        <v>1</v>
      </c>
      <c r="I142" s="137">
        <v>0</v>
      </c>
      <c r="K142" s="143" t="s">
        <v>2844</v>
      </c>
      <c r="L142" s="143" t="s">
        <v>730</v>
      </c>
      <c r="M142" s="143" t="s">
        <v>842</v>
      </c>
      <c r="N142" s="143">
        <v>98</v>
      </c>
      <c r="O142" s="137">
        <v>0.4</v>
      </c>
      <c r="P142" s="137">
        <v>0.6</v>
      </c>
      <c r="Q142" s="137">
        <v>1</v>
      </c>
      <c r="R142" s="137" t="s">
        <v>2486</v>
      </c>
      <c r="S142" s="137">
        <v>0.42857139999999999</v>
      </c>
      <c r="T142" s="137" t="s">
        <v>2486</v>
      </c>
      <c r="U142" s="137" t="s">
        <v>2486</v>
      </c>
      <c r="W142" s="143" t="s">
        <v>2844</v>
      </c>
      <c r="X142" s="143" t="s">
        <v>730</v>
      </c>
      <c r="Y142" s="143" t="s">
        <v>842</v>
      </c>
      <c r="Z142" s="143">
        <v>98</v>
      </c>
      <c r="AA142" s="143">
        <v>0</v>
      </c>
      <c r="AD142" s="137">
        <v>0</v>
      </c>
      <c r="AE142" s="137">
        <v>0.14285709999999999</v>
      </c>
      <c r="AG142" s="143" t="s">
        <v>2844</v>
      </c>
      <c r="AH142" s="143" t="s">
        <v>730</v>
      </c>
      <c r="AI142" s="143" t="s">
        <v>842</v>
      </c>
      <c r="AJ142" s="143">
        <v>98</v>
      </c>
      <c r="AK142" s="143">
        <v>2</v>
      </c>
      <c r="AL142" s="156">
        <v>3.5</v>
      </c>
      <c r="AM142" s="156">
        <v>2.5</v>
      </c>
      <c r="AN142" s="156">
        <v>2.5</v>
      </c>
      <c r="AO142" s="156">
        <v>3</v>
      </c>
      <c r="AP142" s="156">
        <v>3</v>
      </c>
      <c r="AQ142" s="156">
        <v>2</v>
      </c>
      <c r="AR142" s="156">
        <v>3</v>
      </c>
      <c r="AS142" s="169">
        <v>2.714286</v>
      </c>
    </row>
    <row r="143" spans="1:45" x14ac:dyDescent="0.35">
      <c r="A143" s="143" t="s">
        <v>2844</v>
      </c>
      <c r="B143" s="143" t="s">
        <v>730</v>
      </c>
      <c r="C143" s="143" t="s">
        <v>842</v>
      </c>
      <c r="D143" s="143">
        <v>250</v>
      </c>
      <c r="E143" s="143">
        <v>2</v>
      </c>
      <c r="F143" s="137"/>
      <c r="G143" s="137"/>
      <c r="H143" s="137">
        <v>1</v>
      </c>
      <c r="I143" s="137">
        <v>0</v>
      </c>
      <c r="K143" s="143" t="s">
        <v>2844</v>
      </c>
      <c r="L143" s="143" t="s">
        <v>730</v>
      </c>
      <c r="M143" s="143" t="s">
        <v>842</v>
      </c>
      <c r="N143" s="143">
        <v>250</v>
      </c>
      <c r="O143" s="137">
        <v>0.4</v>
      </c>
      <c r="P143" s="137">
        <v>0.6</v>
      </c>
      <c r="Q143" s="137">
        <v>1</v>
      </c>
      <c r="R143" s="137" t="s">
        <v>2486</v>
      </c>
      <c r="S143" s="137">
        <v>0.3333333</v>
      </c>
      <c r="T143" s="137" t="s">
        <v>2486</v>
      </c>
      <c r="U143" s="137" t="s">
        <v>2486</v>
      </c>
      <c r="W143" s="143" t="s">
        <v>2844</v>
      </c>
      <c r="X143" s="143" t="s">
        <v>730</v>
      </c>
      <c r="Y143" s="143" t="s">
        <v>842</v>
      </c>
      <c r="Z143" s="143">
        <v>250</v>
      </c>
      <c r="AA143" s="143">
        <v>0</v>
      </c>
      <c r="AD143" s="137">
        <v>0</v>
      </c>
      <c r="AG143" s="143" t="s">
        <v>2844</v>
      </c>
      <c r="AH143" s="143" t="s">
        <v>730</v>
      </c>
      <c r="AI143" s="143" t="s">
        <v>842</v>
      </c>
      <c r="AJ143" s="143">
        <v>250</v>
      </c>
      <c r="AK143" s="143">
        <v>2</v>
      </c>
      <c r="AL143" s="156">
        <v>2</v>
      </c>
      <c r="AM143" s="156">
        <v>3</v>
      </c>
      <c r="AN143" s="156">
        <v>3</v>
      </c>
      <c r="AO143" s="156">
        <v>3</v>
      </c>
      <c r="AP143" s="156">
        <v>3</v>
      </c>
      <c r="AQ143" s="156">
        <v>2.5</v>
      </c>
      <c r="AR143" s="156">
        <v>3</v>
      </c>
      <c r="AS143" s="169">
        <v>2.9285709999999998</v>
      </c>
    </row>
    <row r="144" spans="1:45" x14ac:dyDescent="0.35">
      <c r="A144" s="143" t="s">
        <v>2844</v>
      </c>
      <c r="B144" s="143" t="s">
        <v>730</v>
      </c>
      <c r="C144" s="143" t="s">
        <v>841</v>
      </c>
      <c r="D144" s="143">
        <v>267</v>
      </c>
      <c r="E144" s="143">
        <v>3</v>
      </c>
      <c r="F144" s="137"/>
      <c r="G144" s="137"/>
      <c r="H144" s="137">
        <v>1</v>
      </c>
      <c r="I144" s="137">
        <v>0</v>
      </c>
      <c r="K144" s="143" t="s">
        <v>2844</v>
      </c>
      <c r="L144" s="143" t="s">
        <v>730</v>
      </c>
      <c r="M144" s="143" t="s">
        <v>841</v>
      </c>
      <c r="N144" s="143">
        <v>267</v>
      </c>
      <c r="O144" s="137">
        <v>0.4</v>
      </c>
      <c r="P144" s="137">
        <v>0.6</v>
      </c>
      <c r="Q144" s="137">
        <v>1</v>
      </c>
      <c r="R144" s="137" t="s">
        <v>2486</v>
      </c>
      <c r="S144" s="137">
        <v>0.44444440000000002</v>
      </c>
      <c r="T144" s="137" t="s">
        <v>2486</v>
      </c>
      <c r="U144" s="137" t="s">
        <v>2486</v>
      </c>
      <c r="W144" s="143" t="s">
        <v>2844</v>
      </c>
      <c r="X144" s="143" t="s">
        <v>730</v>
      </c>
      <c r="Y144" s="143" t="s">
        <v>841</v>
      </c>
      <c r="Z144" s="143">
        <v>267</v>
      </c>
      <c r="AA144" s="143">
        <v>0</v>
      </c>
      <c r="AD144" s="137">
        <v>0</v>
      </c>
      <c r="AG144" s="143" t="s">
        <v>2844</v>
      </c>
      <c r="AH144" s="143" t="s">
        <v>730</v>
      </c>
      <c r="AI144" s="143" t="s">
        <v>841</v>
      </c>
      <c r="AJ144" s="143">
        <v>267</v>
      </c>
      <c r="AK144" s="143">
        <v>3</v>
      </c>
      <c r="AL144" s="156">
        <v>2.3333332538604701</v>
      </c>
      <c r="AM144" s="156">
        <v>3</v>
      </c>
      <c r="AN144" s="156">
        <v>3</v>
      </c>
      <c r="AO144" s="156">
        <v>2.6666667461395299</v>
      </c>
      <c r="AP144" s="156">
        <v>4</v>
      </c>
      <c r="AQ144" s="156">
        <v>2.6666667461395299</v>
      </c>
      <c r="AR144" s="156">
        <v>3</v>
      </c>
      <c r="AS144" s="169">
        <v>3.1428569999999998</v>
      </c>
    </row>
    <row r="145" spans="1:45" x14ac:dyDescent="0.35">
      <c r="A145" s="143" t="s">
        <v>2844</v>
      </c>
      <c r="B145" s="143" t="s">
        <v>730</v>
      </c>
      <c r="C145" s="143" t="s">
        <v>843</v>
      </c>
      <c r="D145" s="143">
        <v>270</v>
      </c>
      <c r="E145" s="143">
        <v>8</v>
      </c>
      <c r="F145" s="137"/>
      <c r="G145" s="137"/>
      <c r="H145" s="137">
        <v>1</v>
      </c>
      <c r="I145" s="137">
        <v>0</v>
      </c>
      <c r="K145" s="143" t="s">
        <v>2844</v>
      </c>
      <c r="L145" s="143" t="s">
        <v>730</v>
      </c>
      <c r="M145" s="143" t="s">
        <v>843</v>
      </c>
      <c r="N145" s="143">
        <v>270</v>
      </c>
      <c r="O145" s="137">
        <v>0.4</v>
      </c>
      <c r="P145" s="137">
        <v>0.6</v>
      </c>
      <c r="Q145" s="137">
        <v>1</v>
      </c>
      <c r="R145" s="137" t="s">
        <v>2486</v>
      </c>
      <c r="S145" s="137">
        <v>0.3421053</v>
      </c>
      <c r="T145" s="137" t="s">
        <v>2486</v>
      </c>
      <c r="U145" s="137" t="s">
        <v>2486</v>
      </c>
      <c r="W145" s="143" t="s">
        <v>2844</v>
      </c>
      <c r="X145" s="143" t="s">
        <v>730</v>
      </c>
      <c r="Y145" s="143" t="s">
        <v>843</v>
      </c>
      <c r="Z145" s="143">
        <v>270</v>
      </c>
      <c r="AA145" s="143">
        <v>8</v>
      </c>
      <c r="AB145" s="137">
        <v>0.25</v>
      </c>
      <c r="AC145" s="137">
        <v>0</v>
      </c>
      <c r="AD145" s="137">
        <v>0</v>
      </c>
      <c r="AG145" s="143" t="s">
        <v>2844</v>
      </c>
      <c r="AH145" s="143" t="s">
        <v>730</v>
      </c>
      <c r="AI145" s="143" t="s">
        <v>843</v>
      </c>
      <c r="AJ145" s="143">
        <v>270</v>
      </c>
      <c r="AK145" s="143">
        <v>8</v>
      </c>
      <c r="AL145" s="156">
        <v>2.25</v>
      </c>
      <c r="AM145" s="156">
        <v>3.125</v>
      </c>
      <c r="AN145" s="156">
        <v>2.75</v>
      </c>
      <c r="AO145" s="156">
        <v>2.125</v>
      </c>
      <c r="AP145" s="156">
        <v>1.375</v>
      </c>
      <c r="AQ145" s="156">
        <v>1.75</v>
      </c>
      <c r="AR145" s="156">
        <v>2.875</v>
      </c>
      <c r="AS145" s="169">
        <v>2.3928569999999998</v>
      </c>
    </row>
    <row r="146" spans="1:45" x14ac:dyDescent="0.35">
      <c r="A146" s="143" t="s">
        <v>2844</v>
      </c>
      <c r="B146" s="143" t="s">
        <v>730</v>
      </c>
      <c r="C146" s="143" t="s">
        <v>842</v>
      </c>
      <c r="D146" s="143">
        <v>1099</v>
      </c>
      <c r="E146" s="143">
        <v>2</v>
      </c>
      <c r="F146" s="137"/>
      <c r="G146" s="137"/>
      <c r="H146" s="137">
        <v>1</v>
      </c>
      <c r="I146" s="137">
        <v>1</v>
      </c>
      <c r="K146" s="143" t="s">
        <v>2844</v>
      </c>
      <c r="L146" s="143" t="s">
        <v>730</v>
      </c>
      <c r="M146" s="143" t="s">
        <v>842</v>
      </c>
      <c r="N146" s="143">
        <v>1099</v>
      </c>
      <c r="O146" s="137">
        <v>0.4</v>
      </c>
      <c r="P146" s="137">
        <v>0.6</v>
      </c>
      <c r="Q146" s="137">
        <v>1</v>
      </c>
      <c r="R146" s="137" t="s">
        <v>2486</v>
      </c>
      <c r="S146" s="137">
        <v>0.5</v>
      </c>
      <c r="T146" s="137" t="s">
        <v>2486</v>
      </c>
      <c r="U146" s="137" t="s">
        <v>2486</v>
      </c>
      <c r="W146" s="143" t="s">
        <v>2844</v>
      </c>
      <c r="X146" s="143" t="s">
        <v>730</v>
      </c>
      <c r="Y146" s="143" t="s">
        <v>842</v>
      </c>
      <c r="Z146" s="143">
        <v>1099</v>
      </c>
      <c r="AA146" s="143">
        <v>0</v>
      </c>
      <c r="AD146" s="137">
        <v>0</v>
      </c>
      <c r="AG146" s="143" t="s">
        <v>2844</v>
      </c>
      <c r="AH146" s="143" t="s">
        <v>730</v>
      </c>
      <c r="AI146" s="143" t="s">
        <v>842</v>
      </c>
      <c r="AJ146" s="143">
        <v>1099</v>
      </c>
      <c r="AK146" s="143">
        <v>2</v>
      </c>
      <c r="AL146" s="156">
        <v>1</v>
      </c>
      <c r="AM146" s="156">
        <v>3</v>
      </c>
      <c r="AN146" s="156">
        <v>3</v>
      </c>
      <c r="AO146" s="156">
        <v>4</v>
      </c>
      <c r="AP146" s="156">
        <v>2</v>
      </c>
      <c r="AQ146" s="156">
        <v>1.5</v>
      </c>
      <c r="AR146" s="156">
        <v>3</v>
      </c>
      <c r="AS146" s="169">
        <v>2.9285709999999998</v>
      </c>
    </row>
    <row r="147" spans="1:45" x14ac:dyDescent="0.35">
      <c r="A147" s="143" t="s">
        <v>2844</v>
      </c>
      <c r="B147" s="143" t="s">
        <v>730</v>
      </c>
      <c r="C147" s="143" t="s">
        <v>841</v>
      </c>
      <c r="D147" s="143">
        <v>1229</v>
      </c>
      <c r="E147" s="143">
        <v>3</v>
      </c>
      <c r="F147" s="137"/>
      <c r="G147" s="137"/>
      <c r="H147" s="137">
        <v>1</v>
      </c>
      <c r="I147" s="137">
        <v>0</v>
      </c>
      <c r="K147" s="143" t="s">
        <v>2844</v>
      </c>
      <c r="L147" s="143" t="s">
        <v>730</v>
      </c>
      <c r="M147" s="143" t="s">
        <v>841</v>
      </c>
      <c r="N147" s="143">
        <v>1229</v>
      </c>
      <c r="O147" s="137">
        <v>0.4</v>
      </c>
      <c r="P147" s="137">
        <v>0.6</v>
      </c>
      <c r="Q147" s="137">
        <v>1</v>
      </c>
      <c r="R147" s="137" t="s">
        <v>2486</v>
      </c>
      <c r="S147" s="137">
        <v>0.3333333</v>
      </c>
      <c r="T147" s="137" t="s">
        <v>2486</v>
      </c>
      <c r="U147" s="137" t="s">
        <v>2486</v>
      </c>
      <c r="W147" s="143" t="s">
        <v>2844</v>
      </c>
      <c r="X147" s="143" t="s">
        <v>730</v>
      </c>
      <c r="Y147" s="143" t="s">
        <v>841</v>
      </c>
      <c r="Z147" s="143">
        <v>1229</v>
      </c>
      <c r="AA147" s="143">
        <v>0</v>
      </c>
      <c r="AD147" s="137">
        <v>0</v>
      </c>
      <c r="AE147" s="137">
        <v>8.3333299999999999E-2</v>
      </c>
      <c r="AG147" s="143" t="s">
        <v>2844</v>
      </c>
      <c r="AH147" s="143" t="s">
        <v>730</v>
      </c>
      <c r="AI147" s="143" t="s">
        <v>841</v>
      </c>
      <c r="AJ147" s="143">
        <v>1229</v>
      </c>
      <c r="AK147" s="143">
        <v>3</v>
      </c>
      <c r="AL147" s="156">
        <v>2</v>
      </c>
      <c r="AM147" s="156">
        <v>3</v>
      </c>
      <c r="AN147" s="156">
        <v>2.6666667461395299</v>
      </c>
      <c r="AO147" s="156">
        <v>2.3333332538604701</v>
      </c>
      <c r="AP147" s="156">
        <v>3</v>
      </c>
      <c r="AQ147" s="156">
        <v>2</v>
      </c>
      <c r="AR147" s="156">
        <v>3</v>
      </c>
      <c r="AS147" s="169">
        <v>2.714286</v>
      </c>
    </row>
    <row r="148" spans="1:45" x14ac:dyDescent="0.35">
      <c r="A148" s="143" t="s">
        <v>2844</v>
      </c>
      <c r="B148" s="143" t="s">
        <v>730</v>
      </c>
      <c r="C148" s="143" t="s">
        <v>841</v>
      </c>
      <c r="D148" s="143">
        <v>1615</v>
      </c>
      <c r="E148" s="143">
        <v>3</v>
      </c>
      <c r="F148" s="137"/>
      <c r="G148" s="137"/>
      <c r="H148" s="137">
        <v>1</v>
      </c>
      <c r="I148" s="137">
        <v>0</v>
      </c>
      <c r="K148" s="143" t="s">
        <v>2844</v>
      </c>
      <c r="L148" s="143" t="s">
        <v>730</v>
      </c>
      <c r="M148" s="143" t="s">
        <v>841</v>
      </c>
      <c r="N148" s="143">
        <v>1615</v>
      </c>
      <c r="O148" s="137">
        <v>0.4</v>
      </c>
      <c r="P148" s="137">
        <v>0.6</v>
      </c>
      <c r="Q148" s="137">
        <v>1</v>
      </c>
      <c r="R148" s="137" t="s">
        <v>2486</v>
      </c>
      <c r="S148" s="137">
        <v>0.4736842</v>
      </c>
      <c r="T148" s="137" t="s">
        <v>2486</v>
      </c>
      <c r="U148" s="137" t="s">
        <v>2486</v>
      </c>
      <c r="W148" s="143" t="s">
        <v>2844</v>
      </c>
      <c r="X148" s="143" t="s">
        <v>730</v>
      </c>
      <c r="Y148" s="143" t="s">
        <v>841</v>
      </c>
      <c r="Z148" s="143">
        <v>1615</v>
      </c>
      <c r="AA148" s="143">
        <v>0</v>
      </c>
      <c r="AD148" s="137">
        <v>0</v>
      </c>
      <c r="AG148" s="143" t="s">
        <v>2844</v>
      </c>
      <c r="AH148" s="143" t="s">
        <v>730</v>
      </c>
      <c r="AI148" s="143" t="s">
        <v>841</v>
      </c>
      <c r="AJ148" s="143">
        <v>1615</v>
      </c>
      <c r="AK148" s="143">
        <v>3</v>
      </c>
      <c r="AL148" s="156">
        <v>2</v>
      </c>
      <c r="AM148" s="156">
        <v>3</v>
      </c>
      <c r="AN148" s="156">
        <v>3</v>
      </c>
      <c r="AO148" s="156">
        <v>2.6666667461395299</v>
      </c>
      <c r="AP148" s="156">
        <v>2.6666667461395299</v>
      </c>
      <c r="AQ148" s="156">
        <v>2.6666667461395299</v>
      </c>
      <c r="AR148" s="156">
        <v>3</v>
      </c>
      <c r="AS148" s="169">
        <v>2.8571430000000002</v>
      </c>
    </row>
    <row r="149" spans="1:45" x14ac:dyDescent="0.35">
      <c r="A149" s="143" t="s">
        <v>2844</v>
      </c>
      <c r="B149" s="143" t="s">
        <v>730</v>
      </c>
      <c r="C149" s="143" t="s">
        <v>841</v>
      </c>
      <c r="D149" s="143">
        <v>1625</v>
      </c>
      <c r="E149" s="143">
        <v>3</v>
      </c>
      <c r="F149" s="137"/>
      <c r="G149" s="137"/>
      <c r="H149" s="137">
        <v>1</v>
      </c>
      <c r="I149" s="137">
        <v>0</v>
      </c>
      <c r="K149" s="143" t="s">
        <v>2844</v>
      </c>
      <c r="L149" s="143" t="s">
        <v>730</v>
      </c>
      <c r="M149" s="143" t="s">
        <v>841</v>
      </c>
      <c r="N149" s="143">
        <v>1625</v>
      </c>
      <c r="O149" s="137">
        <v>0.4</v>
      </c>
      <c r="P149" s="137">
        <v>0.6</v>
      </c>
      <c r="Q149" s="137">
        <v>1</v>
      </c>
      <c r="R149" s="137" t="s">
        <v>2486</v>
      </c>
      <c r="S149" s="137">
        <v>0.3333333</v>
      </c>
      <c r="T149" s="137" t="s">
        <v>2486</v>
      </c>
      <c r="U149" s="137" t="s">
        <v>2486</v>
      </c>
      <c r="W149" s="143" t="s">
        <v>2844</v>
      </c>
      <c r="X149" s="143" t="s">
        <v>730</v>
      </c>
      <c r="Y149" s="143" t="s">
        <v>841</v>
      </c>
      <c r="Z149" s="143">
        <v>1625</v>
      </c>
      <c r="AA149" s="143">
        <v>0</v>
      </c>
      <c r="AD149" s="137">
        <v>0</v>
      </c>
      <c r="AG149" s="143" t="s">
        <v>2844</v>
      </c>
      <c r="AH149" s="143" t="s">
        <v>730</v>
      </c>
      <c r="AI149" s="143" t="s">
        <v>841</v>
      </c>
      <c r="AJ149" s="143">
        <v>1625</v>
      </c>
      <c r="AK149" s="143">
        <v>3</v>
      </c>
      <c r="AL149" s="156">
        <v>2.3333332538604701</v>
      </c>
      <c r="AM149" s="156">
        <v>3</v>
      </c>
      <c r="AN149" s="156">
        <v>3.3333332538604701</v>
      </c>
      <c r="AO149" s="156">
        <v>3</v>
      </c>
      <c r="AP149" s="156">
        <v>3</v>
      </c>
      <c r="AQ149" s="156">
        <v>2.3333332538604701</v>
      </c>
      <c r="AR149" s="156">
        <v>3</v>
      </c>
      <c r="AS149" s="169">
        <v>2.9047619999999998</v>
      </c>
    </row>
    <row r="150" spans="1:45" x14ac:dyDescent="0.35">
      <c r="A150" s="143" t="s">
        <v>2844</v>
      </c>
      <c r="B150" s="143" t="s">
        <v>730</v>
      </c>
      <c r="C150" s="143" t="s">
        <v>842</v>
      </c>
      <c r="D150" s="143">
        <v>2051</v>
      </c>
      <c r="E150" s="143">
        <v>2</v>
      </c>
      <c r="F150" s="137"/>
      <c r="G150" s="137"/>
      <c r="H150" s="137">
        <v>1</v>
      </c>
      <c r="I150" s="137">
        <v>0.5</v>
      </c>
      <c r="K150" s="143" t="s">
        <v>2844</v>
      </c>
      <c r="L150" s="143" t="s">
        <v>730</v>
      </c>
      <c r="M150" s="143" t="s">
        <v>842</v>
      </c>
      <c r="N150" s="143">
        <v>2051</v>
      </c>
      <c r="O150" s="137">
        <v>0.4</v>
      </c>
      <c r="P150" s="137">
        <v>0.6</v>
      </c>
      <c r="Q150" s="137">
        <v>1</v>
      </c>
      <c r="R150" s="137" t="s">
        <v>2486</v>
      </c>
      <c r="S150" s="137">
        <v>0.3333333</v>
      </c>
      <c r="T150" s="137" t="s">
        <v>2486</v>
      </c>
      <c r="U150" s="137" t="s">
        <v>2486</v>
      </c>
      <c r="W150" s="143" t="s">
        <v>2844</v>
      </c>
      <c r="X150" s="143" t="s">
        <v>730</v>
      </c>
      <c r="Y150" s="143" t="s">
        <v>842</v>
      </c>
      <c r="Z150" s="143">
        <v>2051</v>
      </c>
      <c r="AA150" s="143">
        <v>0</v>
      </c>
      <c r="AD150" s="137">
        <v>0</v>
      </c>
      <c r="AG150" s="143" t="s">
        <v>2844</v>
      </c>
      <c r="AH150" s="143" t="s">
        <v>730</v>
      </c>
      <c r="AI150" s="143" t="s">
        <v>842</v>
      </c>
      <c r="AJ150" s="143">
        <v>2051</v>
      </c>
      <c r="AK150" s="143">
        <v>2</v>
      </c>
      <c r="AL150" s="156">
        <v>1.5</v>
      </c>
      <c r="AM150" s="156">
        <v>3</v>
      </c>
      <c r="AN150" s="156">
        <v>3</v>
      </c>
      <c r="AO150" s="156">
        <v>3</v>
      </c>
      <c r="AP150" s="156">
        <v>3</v>
      </c>
      <c r="AQ150" s="156">
        <v>1.5</v>
      </c>
      <c r="AR150" s="156">
        <v>2.5</v>
      </c>
      <c r="AS150" s="169">
        <v>2.785714</v>
      </c>
    </row>
    <row r="151" spans="1:45" x14ac:dyDescent="0.35">
      <c r="A151" s="143" t="s">
        <v>2844</v>
      </c>
      <c r="B151" s="143" t="s">
        <v>730</v>
      </c>
      <c r="C151" s="143" t="s">
        <v>842</v>
      </c>
      <c r="D151" s="143">
        <v>2449</v>
      </c>
      <c r="E151" s="143">
        <v>4</v>
      </c>
      <c r="F151" s="137"/>
      <c r="G151" s="137"/>
      <c r="H151" s="137">
        <v>1</v>
      </c>
      <c r="I151" s="137">
        <v>0</v>
      </c>
      <c r="K151" s="143" t="s">
        <v>2844</v>
      </c>
      <c r="L151" s="143" t="s">
        <v>730</v>
      </c>
      <c r="M151" s="143" t="s">
        <v>842</v>
      </c>
      <c r="N151" s="143">
        <v>2449</v>
      </c>
      <c r="O151" s="137">
        <v>0.4</v>
      </c>
      <c r="P151" s="137">
        <v>0.6</v>
      </c>
      <c r="Q151" s="137">
        <v>1</v>
      </c>
      <c r="R151" s="137" t="s">
        <v>2486</v>
      </c>
      <c r="S151" s="137">
        <v>0.3333333</v>
      </c>
      <c r="T151" s="137" t="s">
        <v>2486</v>
      </c>
      <c r="U151" s="137" t="s">
        <v>2486</v>
      </c>
      <c r="W151" s="143" t="s">
        <v>2844</v>
      </c>
      <c r="X151" s="143" t="s">
        <v>730</v>
      </c>
      <c r="Y151" s="143" t="s">
        <v>842</v>
      </c>
      <c r="Z151" s="143">
        <v>2449</v>
      </c>
      <c r="AA151" s="143">
        <v>0</v>
      </c>
      <c r="AD151" s="137">
        <v>0</v>
      </c>
      <c r="AG151" s="143" t="s">
        <v>2844</v>
      </c>
      <c r="AH151" s="143" t="s">
        <v>730</v>
      </c>
      <c r="AI151" s="143" t="s">
        <v>842</v>
      </c>
      <c r="AJ151" s="143">
        <v>2449</v>
      </c>
      <c r="AK151" s="143">
        <v>4</v>
      </c>
      <c r="AL151" s="156">
        <v>2</v>
      </c>
      <c r="AM151" s="156">
        <v>3</v>
      </c>
      <c r="AN151" s="156">
        <v>3</v>
      </c>
      <c r="AO151" s="156">
        <v>2.75</v>
      </c>
      <c r="AP151" s="156">
        <v>2.5</v>
      </c>
      <c r="AQ151" s="156">
        <v>2.75</v>
      </c>
      <c r="AR151" s="156">
        <v>3</v>
      </c>
      <c r="AS151" s="169">
        <v>2.8571430000000002</v>
      </c>
    </row>
    <row r="152" spans="1:45" x14ac:dyDescent="0.35">
      <c r="A152" s="143" t="s">
        <v>2844</v>
      </c>
      <c r="B152" s="143" t="s">
        <v>730</v>
      </c>
      <c r="C152" s="143" t="s">
        <v>663</v>
      </c>
      <c r="D152" s="143">
        <v>2476</v>
      </c>
      <c r="E152" s="143">
        <v>2</v>
      </c>
      <c r="F152" s="137"/>
      <c r="G152" s="137"/>
      <c r="H152" s="137">
        <v>1</v>
      </c>
      <c r="I152" s="137">
        <v>0</v>
      </c>
      <c r="K152" s="143" t="s">
        <v>2844</v>
      </c>
      <c r="L152" s="143" t="s">
        <v>730</v>
      </c>
      <c r="M152" s="143" t="s">
        <v>663</v>
      </c>
      <c r="N152" s="143">
        <v>2476</v>
      </c>
      <c r="O152" s="137">
        <v>0.4</v>
      </c>
      <c r="P152" s="137">
        <v>0.6</v>
      </c>
      <c r="Q152" s="137">
        <v>1</v>
      </c>
      <c r="R152" s="137" t="s">
        <v>2486</v>
      </c>
      <c r="S152" s="137">
        <v>0.66666669999999995</v>
      </c>
      <c r="T152" s="137" t="s">
        <v>2486</v>
      </c>
      <c r="U152" s="137" t="s">
        <v>2838</v>
      </c>
      <c r="W152" s="143" t="s">
        <v>2844</v>
      </c>
      <c r="X152" s="143" t="s">
        <v>730</v>
      </c>
      <c r="Y152" s="143" t="s">
        <v>663</v>
      </c>
      <c r="Z152" s="143">
        <v>2476</v>
      </c>
      <c r="AA152" s="143">
        <v>0</v>
      </c>
      <c r="AD152" s="137">
        <v>0</v>
      </c>
      <c r="AG152" s="143" t="s">
        <v>2844</v>
      </c>
      <c r="AH152" s="143" t="s">
        <v>730</v>
      </c>
      <c r="AI152" s="143" t="s">
        <v>663</v>
      </c>
      <c r="AJ152" s="143">
        <v>2476</v>
      </c>
      <c r="AK152" s="143">
        <v>2</v>
      </c>
      <c r="AL152" s="156">
        <v>2</v>
      </c>
      <c r="AM152" s="156">
        <v>3</v>
      </c>
      <c r="AN152" s="156">
        <v>2.5</v>
      </c>
      <c r="AO152" s="156">
        <v>2.5</v>
      </c>
      <c r="AP152" s="156">
        <v>3</v>
      </c>
      <c r="AQ152" s="156">
        <v>1</v>
      </c>
      <c r="AR152" s="156">
        <v>3</v>
      </c>
      <c r="AS152" s="169">
        <v>2.5714290000000002</v>
      </c>
    </row>
    <row r="153" spans="1:45" x14ac:dyDescent="0.35">
      <c r="A153" s="143" t="s">
        <v>2844</v>
      </c>
      <c r="B153" s="143" t="s">
        <v>730</v>
      </c>
      <c r="C153" s="143" t="s">
        <v>663</v>
      </c>
      <c r="D153" s="143">
        <v>3633</v>
      </c>
      <c r="E153" s="143">
        <v>2</v>
      </c>
      <c r="F153" s="137"/>
      <c r="G153" s="137"/>
      <c r="H153" s="137">
        <v>1</v>
      </c>
      <c r="I153" s="137">
        <v>0</v>
      </c>
      <c r="K153" s="143" t="s">
        <v>2844</v>
      </c>
      <c r="L153" s="143" t="s">
        <v>730</v>
      </c>
      <c r="M153" s="143" t="s">
        <v>663</v>
      </c>
      <c r="N153" s="143">
        <v>3633</v>
      </c>
      <c r="O153" s="137">
        <v>0.4</v>
      </c>
      <c r="P153" s="137">
        <v>0.6</v>
      </c>
      <c r="Q153" s="137">
        <v>1</v>
      </c>
      <c r="R153" s="137" t="s">
        <v>2486</v>
      </c>
      <c r="S153" s="137">
        <v>0.66666669999999995</v>
      </c>
      <c r="T153" s="137" t="s">
        <v>2486</v>
      </c>
      <c r="U153" s="137" t="s">
        <v>2838</v>
      </c>
      <c r="W153" s="143" t="s">
        <v>2844</v>
      </c>
      <c r="X153" s="143" t="s">
        <v>730</v>
      </c>
      <c r="Y153" s="143" t="s">
        <v>663</v>
      </c>
      <c r="Z153" s="143">
        <v>3633</v>
      </c>
      <c r="AA153" s="143">
        <v>0</v>
      </c>
      <c r="AD153" s="137">
        <v>0</v>
      </c>
      <c r="AG153" s="143" t="s">
        <v>2844</v>
      </c>
      <c r="AH153" s="143" t="s">
        <v>730</v>
      </c>
      <c r="AI153" s="143" t="s">
        <v>663</v>
      </c>
      <c r="AJ153" s="143">
        <v>3633</v>
      </c>
      <c r="AK153" s="143">
        <v>2</v>
      </c>
      <c r="AL153" s="156">
        <v>2</v>
      </c>
      <c r="AM153" s="156">
        <v>3</v>
      </c>
      <c r="AN153" s="156">
        <v>3</v>
      </c>
      <c r="AO153" s="156">
        <v>3</v>
      </c>
      <c r="AP153" s="156">
        <v>3</v>
      </c>
      <c r="AQ153" s="156">
        <v>2</v>
      </c>
      <c r="AR153" s="156">
        <v>3</v>
      </c>
      <c r="AS153" s="169">
        <v>2.8571430000000002</v>
      </c>
    </row>
    <row r="154" spans="1:45" x14ac:dyDescent="0.35">
      <c r="A154" s="143" t="s">
        <v>2844</v>
      </c>
      <c r="B154" s="143" t="s">
        <v>730</v>
      </c>
      <c r="C154" s="143" t="s">
        <v>663</v>
      </c>
      <c r="D154" s="143">
        <v>4314</v>
      </c>
      <c r="E154" s="143">
        <v>2</v>
      </c>
      <c r="F154" s="137"/>
      <c r="G154" s="137"/>
      <c r="H154" s="137">
        <v>0</v>
      </c>
      <c r="I154" s="137">
        <v>0</v>
      </c>
      <c r="K154" s="143" t="s">
        <v>2844</v>
      </c>
      <c r="L154" s="143" t="s">
        <v>730</v>
      </c>
      <c r="M154" s="143" t="s">
        <v>663</v>
      </c>
      <c r="N154" s="143">
        <v>4314</v>
      </c>
      <c r="O154" s="137">
        <v>0.4</v>
      </c>
      <c r="P154" s="137">
        <v>0.6</v>
      </c>
      <c r="Q154" s="137">
        <v>1</v>
      </c>
      <c r="R154" s="137" t="s">
        <v>2486</v>
      </c>
      <c r="S154" s="137">
        <v>0.66666669999999995</v>
      </c>
      <c r="T154" s="137" t="s">
        <v>2486</v>
      </c>
      <c r="U154" s="137" t="s">
        <v>2838</v>
      </c>
      <c r="W154" s="143" t="s">
        <v>2844</v>
      </c>
      <c r="X154" s="143" t="s">
        <v>730</v>
      </c>
      <c r="Y154" s="143" t="s">
        <v>663</v>
      </c>
      <c r="Z154" s="143">
        <v>4314</v>
      </c>
      <c r="AA154" s="143">
        <v>0</v>
      </c>
      <c r="AD154" s="137">
        <v>0</v>
      </c>
      <c r="AE154" s="137">
        <v>0.3333333</v>
      </c>
      <c r="AG154" s="143" t="s">
        <v>2844</v>
      </c>
      <c r="AH154" s="143" t="s">
        <v>730</v>
      </c>
      <c r="AI154" s="143" t="s">
        <v>663</v>
      </c>
      <c r="AJ154" s="143">
        <v>4314</v>
      </c>
      <c r="AK154" s="143">
        <v>2</v>
      </c>
      <c r="AL154" s="156">
        <v>2</v>
      </c>
      <c r="AM154" s="156">
        <v>3</v>
      </c>
      <c r="AN154" s="156">
        <v>2</v>
      </c>
      <c r="AO154" s="156">
        <v>2</v>
      </c>
      <c r="AP154" s="156">
        <v>2</v>
      </c>
      <c r="AQ154" s="156">
        <v>2.5</v>
      </c>
      <c r="AR154" s="156">
        <v>2.5</v>
      </c>
      <c r="AS154" s="169">
        <v>2.4285709999999998</v>
      </c>
    </row>
    <row r="155" spans="1:45" x14ac:dyDescent="0.35">
      <c r="A155" s="143" t="s">
        <v>2844</v>
      </c>
      <c r="B155" s="143" t="s">
        <v>730</v>
      </c>
      <c r="C155" s="143" t="s">
        <v>663</v>
      </c>
      <c r="D155" s="143">
        <v>4319</v>
      </c>
      <c r="E155" s="143">
        <v>2</v>
      </c>
      <c r="F155" s="137"/>
      <c r="G155" s="137"/>
      <c r="H155" s="137">
        <v>1</v>
      </c>
      <c r="I155" s="137">
        <v>0</v>
      </c>
      <c r="K155" s="143" t="s">
        <v>2844</v>
      </c>
      <c r="L155" s="143" t="s">
        <v>730</v>
      </c>
      <c r="M155" s="143" t="s">
        <v>663</v>
      </c>
      <c r="N155" s="143">
        <v>4319</v>
      </c>
      <c r="O155" s="137">
        <v>0.4</v>
      </c>
      <c r="P155" s="137">
        <v>0.6</v>
      </c>
      <c r="Q155" s="137">
        <v>1</v>
      </c>
      <c r="R155" s="137" t="s">
        <v>2486</v>
      </c>
      <c r="S155" s="137">
        <v>0.75</v>
      </c>
      <c r="T155" s="137" t="s">
        <v>2486</v>
      </c>
      <c r="U155" s="137" t="s">
        <v>2838</v>
      </c>
      <c r="W155" s="143" t="s">
        <v>2844</v>
      </c>
      <c r="X155" s="143" t="s">
        <v>730</v>
      </c>
      <c r="Y155" s="143" t="s">
        <v>663</v>
      </c>
      <c r="Z155" s="143">
        <v>4319</v>
      </c>
      <c r="AA155" s="143">
        <v>0</v>
      </c>
      <c r="AD155" s="137">
        <v>0</v>
      </c>
      <c r="AE155" s="137">
        <v>0.5</v>
      </c>
      <c r="AG155" s="143" t="s">
        <v>2844</v>
      </c>
      <c r="AH155" s="143" t="s">
        <v>730</v>
      </c>
      <c r="AI155" s="143" t="s">
        <v>663</v>
      </c>
      <c r="AJ155" s="143">
        <v>4319</v>
      </c>
      <c r="AK155" s="143">
        <v>2</v>
      </c>
      <c r="AL155" s="156">
        <v>1</v>
      </c>
      <c r="AM155" s="156">
        <v>3</v>
      </c>
      <c r="AN155" s="156">
        <v>3.5</v>
      </c>
      <c r="AO155" s="156">
        <v>3</v>
      </c>
      <c r="AP155" s="156">
        <v>3</v>
      </c>
      <c r="AQ155" s="156">
        <v>3</v>
      </c>
      <c r="AR155" s="156">
        <v>3</v>
      </c>
      <c r="AS155" s="169">
        <v>3.214286</v>
      </c>
    </row>
    <row r="156" spans="1:45" x14ac:dyDescent="0.35">
      <c r="A156" s="143" t="s">
        <v>2844</v>
      </c>
      <c r="B156" s="143" t="s">
        <v>730</v>
      </c>
      <c r="C156" s="143" t="s">
        <v>663</v>
      </c>
      <c r="D156" s="143">
        <v>4320</v>
      </c>
      <c r="E156" s="143">
        <v>2</v>
      </c>
      <c r="F156" s="137"/>
      <c r="G156" s="137"/>
      <c r="H156" s="137">
        <v>1</v>
      </c>
      <c r="I156" s="137">
        <v>0</v>
      </c>
      <c r="K156" s="143" t="s">
        <v>2844</v>
      </c>
      <c r="L156" s="143" t="s">
        <v>730</v>
      </c>
      <c r="M156" s="143" t="s">
        <v>663</v>
      </c>
      <c r="N156" s="143">
        <v>4320</v>
      </c>
      <c r="O156" s="137">
        <v>0.4</v>
      </c>
      <c r="P156" s="137">
        <v>0.6</v>
      </c>
      <c r="Q156" s="137">
        <v>1</v>
      </c>
      <c r="R156" s="137" t="s">
        <v>2486</v>
      </c>
      <c r="S156" s="137">
        <v>0.66666669999999995</v>
      </c>
      <c r="T156" s="137" t="s">
        <v>2486</v>
      </c>
      <c r="U156" s="137" t="s">
        <v>2838</v>
      </c>
      <c r="W156" s="143" t="s">
        <v>2844</v>
      </c>
      <c r="X156" s="143" t="s">
        <v>730</v>
      </c>
      <c r="Y156" s="143" t="s">
        <v>663</v>
      </c>
      <c r="Z156" s="143">
        <v>4320</v>
      </c>
      <c r="AA156" s="143">
        <v>0</v>
      </c>
      <c r="AD156" s="137">
        <v>0</v>
      </c>
      <c r="AG156" s="143" t="s">
        <v>2844</v>
      </c>
      <c r="AH156" s="143" t="s">
        <v>730</v>
      </c>
      <c r="AI156" s="143" t="s">
        <v>663</v>
      </c>
      <c r="AJ156" s="143">
        <v>4320</v>
      </c>
      <c r="AK156" s="143">
        <v>2</v>
      </c>
      <c r="AL156" s="156">
        <v>2</v>
      </c>
      <c r="AM156" s="156">
        <v>3</v>
      </c>
      <c r="AN156" s="156">
        <v>2</v>
      </c>
      <c r="AO156" s="156">
        <v>3</v>
      </c>
      <c r="AP156" s="156">
        <v>1</v>
      </c>
      <c r="AQ156" s="156">
        <v>2.5</v>
      </c>
      <c r="AR156" s="156">
        <v>3</v>
      </c>
      <c r="AS156" s="169">
        <v>2.5</v>
      </c>
    </row>
    <row r="157" spans="1:45" x14ac:dyDescent="0.35">
      <c r="A157" s="143" t="s">
        <v>2844</v>
      </c>
      <c r="B157" s="143" t="s">
        <v>730</v>
      </c>
      <c r="C157" s="143" t="s">
        <v>663</v>
      </c>
      <c r="D157" s="143">
        <v>4837</v>
      </c>
      <c r="E157" s="143">
        <v>2</v>
      </c>
      <c r="F157" s="137"/>
      <c r="G157" s="137"/>
      <c r="H157" s="137">
        <v>1</v>
      </c>
      <c r="I157" s="137">
        <v>0</v>
      </c>
      <c r="K157" s="143" t="s">
        <v>2844</v>
      </c>
      <c r="L157" s="143" t="s">
        <v>730</v>
      </c>
      <c r="M157" s="143" t="s">
        <v>663</v>
      </c>
      <c r="N157" s="143">
        <v>4837</v>
      </c>
      <c r="O157" s="137">
        <v>0.4</v>
      </c>
      <c r="P157" s="137">
        <v>0.6</v>
      </c>
      <c r="Q157" s="137">
        <v>1</v>
      </c>
      <c r="R157" s="137" t="s">
        <v>2486</v>
      </c>
      <c r="S157" s="137">
        <v>0.66666669999999995</v>
      </c>
      <c r="T157" s="137" t="s">
        <v>2486</v>
      </c>
      <c r="U157" s="137" t="s">
        <v>2838</v>
      </c>
      <c r="W157" s="143" t="s">
        <v>2844</v>
      </c>
      <c r="X157" s="143" t="s">
        <v>730</v>
      </c>
      <c r="Y157" s="143" t="s">
        <v>663</v>
      </c>
      <c r="Z157" s="143">
        <v>4837</v>
      </c>
      <c r="AA157" s="143">
        <v>0</v>
      </c>
      <c r="AD157" s="137">
        <v>0</v>
      </c>
      <c r="AG157" s="143" t="s">
        <v>2844</v>
      </c>
      <c r="AH157" s="143" t="s">
        <v>730</v>
      </c>
      <c r="AI157" s="143" t="s">
        <v>663</v>
      </c>
      <c r="AJ157" s="143">
        <v>4837</v>
      </c>
      <c r="AK157" s="143">
        <v>2</v>
      </c>
      <c r="AL157" s="156">
        <v>1</v>
      </c>
      <c r="AM157" s="156">
        <v>3</v>
      </c>
      <c r="AN157" s="156">
        <v>2</v>
      </c>
      <c r="AO157" s="156">
        <v>3.5</v>
      </c>
      <c r="AP157" s="156">
        <v>3</v>
      </c>
      <c r="AQ157" s="156">
        <v>2.5</v>
      </c>
      <c r="AR157" s="156">
        <v>3.5</v>
      </c>
      <c r="AS157" s="169">
        <v>3.0714290000000002</v>
      </c>
    </row>
    <row r="158" spans="1:45" x14ac:dyDescent="0.35">
      <c r="A158" s="143" t="s">
        <v>733</v>
      </c>
      <c r="B158" s="143" t="s">
        <v>734</v>
      </c>
      <c r="C158" s="143" t="s">
        <v>842</v>
      </c>
      <c r="D158" s="143">
        <v>1749</v>
      </c>
      <c r="E158" s="143">
        <v>2</v>
      </c>
      <c r="F158" s="137">
        <v>1</v>
      </c>
      <c r="G158" s="137">
        <v>1</v>
      </c>
      <c r="H158" s="137">
        <v>1</v>
      </c>
      <c r="I158" s="137">
        <v>0</v>
      </c>
      <c r="K158" s="143" t="s">
        <v>733</v>
      </c>
      <c r="L158" s="143" t="s">
        <v>734</v>
      </c>
      <c r="M158" s="143" t="s">
        <v>842</v>
      </c>
      <c r="N158" s="143">
        <v>1749</v>
      </c>
      <c r="O158" s="137">
        <v>0.36799999999999999</v>
      </c>
      <c r="P158" s="137">
        <v>0.6</v>
      </c>
      <c r="Q158" s="137">
        <v>0.96800010000000003</v>
      </c>
      <c r="R158" s="137" t="s">
        <v>2487</v>
      </c>
      <c r="S158" s="137">
        <v>0.5</v>
      </c>
      <c r="T158" s="137" t="s">
        <v>2486</v>
      </c>
      <c r="U158" s="137" t="s">
        <v>2486</v>
      </c>
      <c r="W158" s="143" t="s">
        <v>733</v>
      </c>
      <c r="X158" s="143" t="s">
        <v>734</v>
      </c>
      <c r="Y158" s="143" t="s">
        <v>842</v>
      </c>
      <c r="Z158" s="143">
        <v>1749</v>
      </c>
      <c r="AA158" s="143">
        <v>0</v>
      </c>
      <c r="AD158" s="137">
        <v>0</v>
      </c>
      <c r="AG158" s="143" t="s">
        <v>733</v>
      </c>
      <c r="AH158" s="143" t="s">
        <v>734</v>
      </c>
      <c r="AI158" s="143" t="s">
        <v>842</v>
      </c>
      <c r="AJ158" s="143">
        <v>1749</v>
      </c>
      <c r="AK158" s="143">
        <v>2</v>
      </c>
      <c r="AL158" s="156">
        <v>2</v>
      </c>
      <c r="AM158" s="156">
        <v>3</v>
      </c>
      <c r="AN158" s="156">
        <v>3</v>
      </c>
      <c r="AO158" s="156">
        <v>3</v>
      </c>
      <c r="AP158" s="156">
        <v>2.5</v>
      </c>
      <c r="AQ158" s="156">
        <v>2.5</v>
      </c>
      <c r="AR158" s="156">
        <v>3</v>
      </c>
      <c r="AS158" s="169">
        <v>2.8571430000000002</v>
      </c>
    </row>
    <row r="159" spans="1:45" x14ac:dyDescent="0.35">
      <c r="A159" s="143" t="s">
        <v>733</v>
      </c>
      <c r="B159" s="143" t="s">
        <v>734</v>
      </c>
      <c r="C159" s="143" t="s">
        <v>841</v>
      </c>
      <c r="D159" s="143">
        <v>1800</v>
      </c>
      <c r="E159" s="143">
        <v>3</v>
      </c>
      <c r="F159" s="137">
        <v>1</v>
      </c>
      <c r="G159" s="137">
        <v>1</v>
      </c>
      <c r="H159" s="137">
        <v>1</v>
      </c>
      <c r="I159" s="137">
        <v>0</v>
      </c>
      <c r="K159" s="143" t="s">
        <v>733</v>
      </c>
      <c r="L159" s="143" t="s">
        <v>734</v>
      </c>
      <c r="M159" s="143" t="s">
        <v>841</v>
      </c>
      <c r="N159" s="143">
        <v>1800</v>
      </c>
      <c r="O159" s="137">
        <v>0.4</v>
      </c>
      <c r="P159" s="137">
        <v>0.6</v>
      </c>
      <c r="Q159" s="137">
        <v>1</v>
      </c>
      <c r="R159" s="137" t="s">
        <v>2486</v>
      </c>
      <c r="S159" s="137">
        <v>0.44444440000000002</v>
      </c>
      <c r="T159" s="137" t="s">
        <v>2486</v>
      </c>
      <c r="U159" s="137" t="s">
        <v>2486</v>
      </c>
      <c r="W159" s="143" t="s">
        <v>733</v>
      </c>
      <c r="X159" s="143" t="s">
        <v>734</v>
      </c>
      <c r="Y159" s="143" t="s">
        <v>841</v>
      </c>
      <c r="Z159" s="143">
        <v>1800</v>
      </c>
      <c r="AA159" s="143">
        <v>0</v>
      </c>
      <c r="AD159" s="137">
        <v>0</v>
      </c>
      <c r="AG159" s="143" t="s">
        <v>733</v>
      </c>
      <c r="AH159" s="143" t="s">
        <v>734</v>
      </c>
      <c r="AI159" s="143" t="s">
        <v>841</v>
      </c>
      <c r="AJ159" s="143">
        <v>1800</v>
      </c>
      <c r="AK159" s="143">
        <v>3</v>
      </c>
      <c r="AL159" s="156">
        <v>2</v>
      </c>
      <c r="AM159" s="156">
        <v>3.6666667461395299</v>
      </c>
      <c r="AN159" s="156">
        <v>3.6666667461395299</v>
      </c>
      <c r="AO159" s="156">
        <v>3.6666667461395299</v>
      </c>
      <c r="AP159" s="156">
        <v>3</v>
      </c>
      <c r="AQ159" s="156">
        <v>3.3333332538604701</v>
      </c>
      <c r="AR159" s="156">
        <v>4</v>
      </c>
      <c r="AS159" s="169">
        <v>3.476191</v>
      </c>
    </row>
    <row r="160" spans="1:45" x14ac:dyDescent="0.35">
      <c r="A160" s="143" t="s">
        <v>733</v>
      </c>
      <c r="B160" s="143" t="s">
        <v>734</v>
      </c>
      <c r="C160" s="143" t="s">
        <v>842</v>
      </c>
      <c r="D160" s="143">
        <v>2066</v>
      </c>
      <c r="E160" s="143">
        <v>2</v>
      </c>
      <c r="F160" s="137">
        <v>1</v>
      </c>
      <c r="G160" s="137">
        <v>1</v>
      </c>
      <c r="H160" s="137">
        <v>1</v>
      </c>
      <c r="I160" s="137">
        <v>0</v>
      </c>
      <c r="K160" s="143" t="s">
        <v>733</v>
      </c>
      <c r="L160" s="143" t="s">
        <v>734</v>
      </c>
      <c r="M160" s="143" t="s">
        <v>842</v>
      </c>
      <c r="N160" s="143">
        <v>2066</v>
      </c>
      <c r="O160" s="137">
        <v>0.38666669999999997</v>
      </c>
      <c r="P160" s="137">
        <v>0.6</v>
      </c>
      <c r="Q160" s="137">
        <v>0.98666670000000001</v>
      </c>
      <c r="R160" s="137" t="s">
        <v>2487</v>
      </c>
      <c r="S160" s="137">
        <v>0.5</v>
      </c>
      <c r="T160" s="137" t="s">
        <v>2486</v>
      </c>
      <c r="U160" s="137" t="s">
        <v>2486</v>
      </c>
      <c r="W160" s="143" t="s">
        <v>733</v>
      </c>
      <c r="X160" s="143" t="s">
        <v>734</v>
      </c>
      <c r="Y160" s="143" t="s">
        <v>842</v>
      </c>
      <c r="Z160" s="143">
        <v>2066</v>
      </c>
      <c r="AA160" s="143">
        <v>0</v>
      </c>
      <c r="AD160" s="137">
        <v>0</v>
      </c>
      <c r="AG160" s="143" t="s">
        <v>733</v>
      </c>
      <c r="AH160" s="143" t="s">
        <v>734</v>
      </c>
      <c r="AI160" s="143" t="s">
        <v>842</v>
      </c>
      <c r="AJ160" s="143">
        <v>2066</v>
      </c>
      <c r="AK160" s="143">
        <v>2</v>
      </c>
      <c r="AL160" s="156">
        <v>2</v>
      </c>
      <c r="AM160" s="156">
        <v>3</v>
      </c>
      <c r="AN160" s="156">
        <v>4</v>
      </c>
      <c r="AO160" s="156">
        <v>3</v>
      </c>
      <c r="AP160" s="156">
        <v>3</v>
      </c>
      <c r="AQ160" s="156">
        <v>2.5</v>
      </c>
      <c r="AR160" s="156">
        <v>3</v>
      </c>
      <c r="AS160" s="169">
        <v>3.0714290000000002</v>
      </c>
    </row>
    <row r="161" spans="1:45" x14ac:dyDescent="0.35">
      <c r="A161" s="143" t="s">
        <v>733</v>
      </c>
      <c r="B161" s="143" t="s">
        <v>734</v>
      </c>
      <c r="C161" s="143" t="s">
        <v>842</v>
      </c>
      <c r="D161" s="143">
        <v>2176</v>
      </c>
      <c r="E161" s="143">
        <v>2</v>
      </c>
      <c r="F161" s="137">
        <v>1</v>
      </c>
      <c r="G161" s="137">
        <v>1</v>
      </c>
      <c r="H161" s="137">
        <v>1</v>
      </c>
      <c r="I161" s="137">
        <v>0</v>
      </c>
      <c r="K161" s="143" t="s">
        <v>733</v>
      </c>
      <c r="L161" s="143" t="s">
        <v>734</v>
      </c>
      <c r="M161" s="143" t="s">
        <v>842</v>
      </c>
      <c r="N161" s="143">
        <v>2176</v>
      </c>
      <c r="O161" s="137">
        <v>0.4</v>
      </c>
      <c r="P161" s="137">
        <v>0.6</v>
      </c>
      <c r="Q161" s="137">
        <v>1</v>
      </c>
      <c r="R161" s="137" t="s">
        <v>2486</v>
      </c>
      <c r="S161" s="137">
        <v>0.625</v>
      </c>
      <c r="T161" s="137" t="s">
        <v>2486</v>
      </c>
      <c r="U161" s="137" t="s">
        <v>2486</v>
      </c>
      <c r="W161" s="143" t="s">
        <v>733</v>
      </c>
      <c r="X161" s="143" t="s">
        <v>734</v>
      </c>
      <c r="Y161" s="143" t="s">
        <v>842</v>
      </c>
      <c r="Z161" s="143">
        <v>2176</v>
      </c>
      <c r="AA161" s="143">
        <v>0</v>
      </c>
      <c r="AD161" s="137">
        <v>0</v>
      </c>
      <c r="AG161" s="143" t="s">
        <v>733</v>
      </c>
      <c r="AH161" s="143" t="s">
        <v>734</v>
      </c>
      <c r="AI161" s="143" t="s">
        <v>842</v>
      </c>
      <c r="AJ161" s="143">
        <v>2176</v>
      </c>
      <c r="AK161" s="143">
        <v>2</v>
      </c>
      <c r="AL161" s="156">
        <v>2</v>
      </c>
      <c r="AM161" s="156">
        <v>3.5</v>
      </c>
      <c r="AN161" s="156">
        <v>3</v>
      </c>
      <c r="AO161" s="156">
        <v>3</v>
      </c>
      <c r="AP161" s="156">
        <v>3.5</v>
      </c>
      <c r="AQ161" s="156">
        <v>3.5</v>
      </c>
      <c r="AR161" s="156">
        <v>4</v>
      </c>
      <c r="AS161" s="169">
        <v>3.3571430000000002</v>
      </c>
    </row>
    <row r="162" spans="1:45" x14ac:dyDescent="0.35">
      <c r="A162" s="143" t="s">
        <v>733</v>
      </c>
      <c r="B162" s="143" t="s">
        <v>734</v>
      </c>
      <c r="C162" s="143" t="s">
        <v>843</v>
      </c>
      <c r="D162" s="143">
        <v>2178</v>
      </c>
      <c r="E162" s="143">
        <v>7</v>
      </c>
      <c r="F162" s="137">
        <v>1</v>
      </c>
      <c r="G162" s="137">
        <v>1</v>
      </c>
      <c r="H162" s="137">
        <v>1</v>
      </c>
      <c r="I162" s="137">
        <v>0</v>
      </c>
      <c r="K162" s="143" t="s">
        <v>733</v>
      </c>
      <c r="L162" s="143" t="s">
        <v>734</v>
      </c>
      <c r="M162" s="143" t="s">
        <v>843</v>
      </c>
      <c r="N162" s="143">
        <v>2178</v>
      </c>
      <c r="O162" s="137">
        <v>0.35</v>
      </c>
      <c r="P162" s="137">
        <v>0.52500000000000002</v>
      </c>
      <c r="Q162" s="137">
        <v>0.875</v>
      </c>
      <c r="R162" s="137" t="s">
        <v>2487</v>
      </c>
      <c r="S162" s="137">
        <v>0.52777779999999996</v>
      </c>
      <c r="T162" s="137" t="s">
        <v>2486</v>
      </c>
      <c r="U162" s="137" t="s">
        <v>2486</v>
      </c>
      <c r="W162" s="143" t="s">
        <v>733</v>
      </c>
      <c r="X162" s="143" t="s">
        <v>734</v>
      </c>
      <c r="Y162" s="143" t="s">
        <v>843</v>
      </c>
      <c r="Z162" s="143">
        <v>2178</v>
      </c>
      <c r="AA162" s="143">
        <v>7</v>
      </c>
      <c r="AB162" s="137">
        <v>0.14285709999999999</v>
      </c>
      <c r="AC162" s="137">
        <v>0.1666667</v>
      </c>
      <c r="AD162" s="137">
        <v>0</v>
      </c>
      <c r="AE162" s="137">
        <v>2.7777799999999998E-2</v>
      </c>
      <c r="AG162" s="143" t="s">
        <v>733</v>
      </c>
      <c r="AH162" s="143" t="s">
        <v>734</v>
      </c>
      <c r="AI162" s="143" t="s">
        <v>843</v>
      </c>
      <c r="AJ162" s="143">
        <v>2178</v>
      </c>
      <c r="AK162" s="143">
        <v>7</v>
      </c>
      <c r="AL162" s="156">
        <v>2.7142856121063201</v>
      </c>
      <c r="AM162" s="156">
        <v>3.7142856121063201</v>
      </c>
      <c r="AN162" s="156">
        <v>3.7142856121063201</v>
      </c>
      <c r="AO162" s="156">
        <v>3.57142853736877</v>
      </c>
      <c r="AP162" s="156">
        <v>3.8571429252624498</v>
      </c>
      <c r="AQ162" s="156">
        <v>3.2857143878936799</v>
      </c>
      <c r="AR162" s="156">
        <v>3.57142853736877</v>
      </c>
      <c r="AS162" s="169">
        <v>3.5510199999999998</v>
      </c>
    </row>
    <row r="163" spans="1:45" x14ac:dyDescent="0.35">
      <c r="A163" s="143" t="s">
        <v>733</v>
      </c>
      <c r="B163" s="143" t="s">
        <v>734</v>
      </c>
      <c r="C163" s="143" t="s">
        <v>663</v>
      </c>
      <c r="D163" s="143">
        <v>2219</v>
      </c>
      <c r="E163" s="143">
        <v>2</v>
      </c>
      <c r="F163" s="137">
        <v>0.5</v>
      </c>
      <c r="G163" s="137">
        <v>0.5</v>
      </c>
      <c r="H163" s="137">
        <v>0.5</v>
      </c>
      <c r="I163" s="137">
        <v>0</v>
      </c>
      <c r="K163" s="143" t="s">
        <v>733</v>
      </c>
      <c r="L163" s="143" t="s">
        <v>734</v>
      </c>
      <c r="M163" s="143" t="s">
        <v>663</v>
      </c>
      <c r="N163" s="143">
        <v>2219</v>
      </c>
      <c r="O163" s="137">
        <v>0.376</v>
      </c>
      <c r="P163" s="137">
        <v>0.6</v>
      </c>
      <c r="Q163" s="137">
        <v>0.97599999999999998</v>
      </c>
      <c r="R163" s="137" t="s">
        <v>2487</v>
      </c>
      <c r="S163" s="137">
        <v>0.75</v>
      </c>
      <c r="T163" s="137" t="s">
        <v>2486</v>
      </c>
      <c r="U163" s="137" t="s">
        <v>2838</v>
      </c>
      <c r="W163" s="143" t="s">
        <v>733</v>
      </c>
      <c r="X163" s="143" t="s">
        <v>734</v>
      </c>
      <c r="Y163" s="143" t="s">
        <v>663</v>
      </c>
      <c r="Z163" s="143">
        <v>2219</v>
      </c>
      <c r="AA163" s="143">
        <v>0</v>
      </c>
      <c r="AD163" s="137">
        <v>0</v>
      </c>
      <c r="AG163" s="143" t="s">
        <v>733</v>
      </c>
      <c r="AH163" s="143" t="s">
        <v>734</v>
      </c>
      <c r="AI163" s="143" t="s">
        <v>663</v>
      </c>
      <c r="AJ163" s="143">
        <v>2219</v>
      </c>
      <c r="AK163" s="143">
        <v>2</v>
      </c>
      <c r="AL163" s="156">
        <v>2.5</v>
      </c>
      <c r="AM163" s="156">
        <v>3</v>
      </c>
      <c r="AN163" s="156">
        <v>3</v>
      </c>
      <c r="AO163" s="156">
        <v>3</v>
      </c>
      <c r="AP163" s="156">
        <v>2</v>
      </c>
      <c r="AQ163" s="156">
        <v>3</v>
      </c>
      <c r="AR163" s="156">
        <v>3</v>
      </c>
      <c r="AS163" s="169">
        <v>2.785714</v>
      </c>
    </row>
    <row r="164" spans="1:45" x14ac:dyDescent="0.35">
      <c r="A164" s="143" t="s">
        <v>733</v>
      </c>
      <c r="B164" s="143" t="s">
        <v>734</v>
      </c>
      <c r="C164" s="143" t="s">
        <v>663</v>
      </c>
      <c r="D164" s="143">
        <v>2487</v>
      </c>
      <c r="E164" s="143">
        <v>2</v>
      </c>
      <c r="F164" s="137">
        <v>1</v>
      </c>
      <c r="G164" s="137">
        <v>1</v>
      </c>
      <c r="H164" s="137">
        <v>1</v>
      </c>
      <c r="I164" s="137">
        <v>0</v>
      </c>
      <c r="K164" s="143" t="s">
        <v>733</v>
      </c>
      <c r="L164" s="143" t="s">
        <v>734</v>
      </c>
      <c r="M164" s="143" t="s">
        <v>663</v>
      </c>
      <c r="N164" s="143">
        <v>2487</v>
      </c>
      <c r="O164" s="137">
        <v>0.39466669999999998</v>
      </c>
      <c r="P164" s="137">
        <v>0.6</v>
      </c>
      <c r="Q164" s="137">
        <v>0.99466670000000001</v>
      </c>
      <c r="R164" s="137" t="s">
        <v>2487</v>
      </c>
      <c r="S164" s="137">
        <v>0.66666669999999995</v>
      </c>
      <c r="T164" s="137" t="s">
        <v>2486</v>
      </c>
      <c r="U164" s="137" t="s">
        <v>2838</v>
      </c>
      <c r="W164" s="143" t="s">
        <v>733</v>
      </c>
      <c r="X164" s="143" t="s">
        <v>734</v>
      </c>
      <c r="Y164" s="143" t="s">
        <v>663</v>
      </c>
      <c r="Z164" s="143">
        <v>2487</v>
      </c>
      <c r="AA164" s="143">
        <v>0</v>
      </c>
      <c r="AD164" s="137">
        <v>0</v>
      </c>
      <c r="AG164" s="143" t="s">
        <v>733</v>
      </c>
      <c r="AH164" s="143" t="s">
        <v>734</v>
      </c>
      <c r="AI164" s="143" t="s">
        <v>663</v>
      </c>
      <c r="AJ164" s="143">
        <v>2487</v>
      </c>
      <c r="AK164" s="143">
        <v>2</v>
      </c>
      <c r="AL164" s="156">
        <v>2</v>
      </c>
      <c r="AM164" s="156">
        <v>3</v>
      </c>
      <c r="AN164" s="156">
        <v>3</v>
      </c>
      <c r="AO164" s="156">
        <v>3</v>
      </c>
      <c r="AP164" s="156">
        <v>2</v>
      </c>
      <c r="AQ164" s="156">
        <v>2.5</v>
      </c>
      <c r="AR164" s="156">
        <v>3</v>
      </c>
      <c r="AS164" s="169">
        <v>2.785714</v>
      </c>
    </row>
    <row r="165" spans="1:45" x14ac:dyDescent="0.35">
      <c r="A165" s="143" t="s">
        <v>733</v>
      </c>
      <c r="B165" s="143" t="s">
        <v>734</v>
      </c>
      <c r="C165" s="143" t="s">
        <v>663</v>
      </c>
      <c r="D165" s="143">
        <v>2762</v>
      </c>
      <c r="E165" s="143">
        <v>2</v>
      </c>
      <c r="F165" s="137">
        <v>1</v>
      </c>
      <c r="G165" s="137">
        <v>1</v>
      </c>
      <c r="H165" s="137">
        <v>1</v>
      </c>
      <c r="I165" s="137">
        <v>0</v>
      </c>
      <c r="K165" s="143" t="s">
        <v>733</v>
      </c>
      <c r="L165" s="143" t="s">
        <v>734</v>
      </c>
      <c r="M165" s="143" t="s">
        <v>663</v>
      </c>
      <c r="N165" s="143">
        <v>2762</v>
      </c>
      <c r="O165" s="137">
        <v>0.3973333</v>
      </c>
      <c r="P165" s="137">
        <v>0.6</v>
      </c>
      <c r="Q165" s="137">
        <v>0.99733329999999998</v>
      </c>
      <c r="R165" s="137" t="s">
        <v>2487</v>
      </c>
      <c r="S165" s="137">
        <v>0.66666669999999995</v>
      </c>
      <c r="T165" s="137" t="s">
        <v>2486</v>
      </c>
      <c r="U165" s="137" t="s">
        <v>2838</v>
      </c>
      <c r="W165" s="143" t="s">
        <v>733</v>
      </c>
      <c r="X165" s="143" t="s">
        <v>734</v>
      </c>
      <c r="Y165" s="143" t="s">
        <v>663</v>
      </c>
      <c r="Z165" s="143">
        <v>2762</v>
      </c>
      <c r="AA165" s="143">
        <v>0</v>
      </c>
      <c r="AD165" s="137">
        <v>0</v>
      </c>
      <c r="AG165" s="143" t="s">
        <v>733</v>
      </c>
      <c r="AH165" s="143" t="s">
        <v>734</v>
      </c>
      <c r="AI165" s="143" t="s">
        <v>663</v>
      </c>
      <c r="AJ165" s="143">
        <v>2762</v>
      </c>
      <c r="AK165" s="143">
        <v>2</v>
      </c>
      <c r="AL165" s="156">
        <v>2</v>
      </c>
      <c r="AM165" s="156">
        <v>3</v>
      </c>
      <c r="AN165" s="156">
        <v>3</v>
      </c>
      <c r="AO165" s="156">
        <v>3</v>
      </c>
      <c r="AP165" s="156">
        <v>1.5</v>
      </c>
      <c r="AQ165" s="156">
        <v>3.5</v>
      </c>
      <c r="AR165" s="156">
        <v>3.5</v>
      </c>
      <c r="AS165" s="169">
        <v>2.9285709999999998</v>
      </c>
    </row>
    <row r="166" spans="1:45" x14ac:dyDescent="0.35">
      <c r="A166" s="143" t="s">
        <v>733</v>
      </c>
      <c r="B166" s="143" t="s">
        <v>734</v>
      </c>
      <c r="C166" s="143" t="s">
        <v>663</v>
      </c>
      <c r="D166" s="143">
        <v>3299</v>
      </c>
      <c r="E166" s="143">
        <v>2</v>
      </c>
      <c r="F166" s="137">
        <v>1</v>
      </c>
      <c r="G166" s="137">
        <v>1</v>
      </c>
      <c r="H166" s="137">
        <v>1</v>
      </c>
      <c r="I166" s="137">
        <v>0</v>
      </c>
      <c r="K166" s="143" t="s">
        <v>733</v>
      </c>
      <c r="L166" s="143" t="s">
        <v>734</v>
      </c>
      <c r="M166" s="143" t="s">
        <v>663</v>
      </c>
      <c r="N166" s="143">
        <v>3299</v>
      </c>
      <c r="O166" s="137">
        <v>0.38133339999999999</v>
      </c>
      <c r="P166" s="137">
        <v>0.6</v>
      </c>
      <c r="Q166" s="137">
        <v>0.98133340000000002</v>
      </c>
      <c r="R166" s="137" t="s">
        <v>2487</v>
      </c>
      <c r="S166" s="137">
        <v>0.75</v>
      </c>
      <c r="T166" s="137" t="s">
        <v>2486</v>
      </c>
      <c r="U166" s="137" t="s">
        <v>2838</v>
      </c>
      <c r="W166" s="143" t="s">
        <v>733</v>
      </c>
      <c r="X166" s="143" t="s">
        <v>734</v>
      </c>
      <c r="Y166" s="143" t="s">
        <v>663</v>
      </c>
      <c r="Z166" s="143">
        <v>3299</v>
      </c>
      <c r="AA166" s="143">
        <v>0</v>
      </c>
      <c r="AD166" s="137">
        <v>0</v>
      </c>
      <c r="AG166" s="143" t="s">
        <v>733</v>
      </c>
      <c r="AH166" s="143" t="s">
        <v>734</v>
      </c>
      <c r="AI166" s="143" t="s">
        <v>663</v>
      </c>
      <c r="AJ166" s="143">
        <v>3299</v>
      </c>
      <c r="AK166" s="143">
        <v>2</v>
      </c>
      <c r="AL166" s="156">
        <v>2.5</v>
      </c>
      <c r="AM166" s="156">
        <v>3.5</v>
      </c>
      <c r="AN166" s="156">
        <v>3.5</v>
      </c>
      <c r="AO166" s="156">
        <v>3.5</v>
      </c>
      <c r="AP166" s="156">
        <v>1</v>
      </c>
      <c r="AQ166" s="156">
        <v>3</v>
      </c>
      <c r="AR166" s="156">
        <v>3.5</v>
      </c>
      <c r="AS166" s="169">
        <v>2.9285709999999998</v>
      </c>
    </row>
    <row r="167" spans="1:45" x14ac:dyDescent="0.35">
      <c r="A167" s="143" t="s">
        <v>733</v>
      </c>
      <c r="B167" s="143" t="s">
        <v>734</v>
      </c>
      <c r="C167" s="143" t="s">
        <v>663</v>
      </c>
      <c r="D167" s="143">
        <v>3982</v>
      </c>
      <c r="E167" s="143">
        <v>2</v>
      </c>
      <c r="F167" s="137">
        <v>1</v>
      </c>
      <c r="G167" s="137">
        <v>0.5</v>
      </c>
      <c r="H167" s="137">
        <v>1</v>
      </c>
      <c r="I167" s="137">
        <v>0</v>
      </c>
      <c r="K167" s="143" t="s">
        <v>733</v>
      </c>
      <c r="L167" s="143" t="s">
        <v>734</v>
      </c>
      <c r="M167" s="143" t="s">
        <v>663</v>
      </c>
      <c r="N167" s="143">
        <v>3982</v>
      </c>
      <c r="O167" s="137">
        <v>0.4</v>
      </c>
      <c r="P167" s="137">
        <v>0.6</v>
      </c>
      <c r="Q167" s="137">
        <v>1</v>
      </c>
      <c r="R167" s="137" t="s">
        <v>2486</v>
      </c>
      <c r="S167" s="137">
        <v>0.8</v>
      </c>
      <c r="T167" s="137" t="s">
        <v>2486</v>
      </c>
      <c r="U167" s="137" t="s">
        <v>2838</v>
      </c>
      <c r="W167" s="143" t="s">
        <v>733</v>
      </c>
      <c r="X167" s="143" t="s">
        <v>734</v>
      </c>
      <c r="Y167" s="143" t="s">
        <v>663</v>
      </c>
      <c r="Z167" s="143">
        <v>3982</v>
      </c>
      <c r="AA167" s="143">
        <v>0</v>
      </c>
      <c r="AD167" s="137">
        <v>0</v>
      </c>
      <c r="AG167" s="143" t="s">
        <v>733</v>
      </c>
      <c r="AH167" s="143" t="s">
        <v>734</v>
      </c>
      <c r="AI167" s="143" t="s">
        <v>663</v>
      </c>
      <c r="AJ167" s="143">
        <v>3982</v>
      </c>
      <c r="AK167" s="143">
        <v>2</v>
      </c>
      <c r="AL167" s="156">
        <v>2.5</v>
      </c>
      <c r="AM167" s="156">
        <v>3</v>
      </c>
      <c r="AN167" s="156">
        <v>3.5</v>
      </c>
      <c r="AO167" s="156">
        <v>3.5</v>
      </c>
      <c r="AP167" s="156">
        <v>1</v>
      </c>
      <c r="AQ167" s="156">
        <v>3</v>
      </c>
      <c r="AR167" s="156">
        <v>3</v>
      </c>
      <c r="AS167" s="169">
        <v>2.785714</v>
      </c>
    </row>
    <row r="168" spans="1:45" x14ac:dyDescent="0.35">
      <c r="A168" s="143" t="s">
        <v>733</v>
      </c>
      <c r="B168" s="143" t="s">
        <v>734</v>
      </c>
      <c r="C168" s="143" t="s">
        <v>663</v>
      </c>
      <c r="D168" s="143">
        <v>4246</v>
      </c>
      <c r="E168" s="143">
        <v>2</v>
      </c>
      <c r="F168" s="137">
        <v>1</v>
      </c>
      <c r="G168" s="137">
        <v>1</v>
      </c>
      <c r="H168" s="137">
        <v>1</v>
      </c>
      <c r="I168" s="137">
        <v>0</v>
      </c>
      <c r="K168" s="143" t="s">
        <v>733</v>
      </c>
      <c r="L168" s="143" t="s">
        <v>734</v>
      </c>
      <c r="M168" s="143" t="s">
        <v>663</v>
      </c>
      <c r="N168" s="143">
        <v>4246</v>
      </c>
      <c r="O168" s="137">
        <v>0.39466669999999998</v>
      </c>
      <c r="P168" s="137">
        <v>0.6</v>
      </c>
      <c r="Q168" s="137">
        <v>0.99466670000000001</v>
      </c>
      <c r="R168" s="137" t="s">
        <v>2487</v>
      </c>
      <c r="S168" s="137">
        <v>0.75</v>
      </c>
      <c r="T168" s="137" t="s">
        <v>2486</v>
      </c>
      <c r="U168" s="137" t="s">
        <v>2838</v>
      </c>
      <c r="W168" s="143" t="s">
        <v>733</v>
      </c>
      <c r="X168" s="143" t="s">
        <v>734</v>
      </c>
      <c r="Y168" s="143" t="s">
        <v>663</v>
      </c>
      <c r="Z168" s="143">
        <v>4246</v>
      </c>
      <c r="AA168" s="143">
        <v>0</v>
      </c>
      <c r="AD168" s="137">
        <v>0</v>
      </c>
      <c r="AG168" s="143" t="s">
        <v>733</v>
      </c>
      <c r="AH168" s="143" t="s">
        <v>734</v>
      </c>
      <c r="AI168" s="143" t="s">
        <v>663</v>
      </c>
      <c r="AJ168" s="143">
        <v>4246</v>
      </c>
      <c r="AK168" s="143">
        <v>2</v>
      </c>
      <c r="AL168" s="156">
        <v>2.5</v>
      </c>
      <c r="AM168" s="156">
        <v>3</v>
      </c>
      <c r="AN168" s="156">
        <v>3.5</v>
      </c>
      <c r="AO168" s="156">
        <v>3</v>
      </c>
      <c r="AP168" s="156">
        <v>3</v>
      </c>
      <c r="AQ168" s="156">
        <v>3</v>
      </c>
      <c r="AR168" s="156">
        <v>3</v>
      </c>
      <c r="AS168" s="169">
        <v>3</v>
      </c>
    </row>
    <row r="169" spans="1:45" x14ac:dyDescent="0.35">
      <c r="A169" s="143" t="s">
        <v>735</v>
      </c>
      <c r="B169" s="143" t="s">
        <v>736</v>
      </c>
      <c r="C169" s="143" t="s">
        <v>843</v>
      </c>
      <c r="D169" s="143">
        <v>692</v>
      </c>
      <c r="E169" s="143">
        <v>8</v>
      </c>
      <c r="F169" s="137">
        <v>1</v>
      </c>
      <c r="G169" s="137">
        <v>1</v>
      </c>
      <c r="H169" s="137">
        <v>1</v>
      </c>
      <c r="I169" s="137">
        <v>1</v>
      </c>
      <c r="K169" s="143" t="s">
        <v>735</v>
      </c>
      <c r="L169" s="143" t="s">
        <v>736</v>
      </c>
      <c r="M169" s="143" t="s">
        <v>843</v>
      </c>
      <c r="N169" s="143">
        <v>692</v>
      </c>
      <c r="O169" s="137">
        <v>0.4</v>
      </c>
      <c r="P169" s="137">
        <v>0.6</v>
      </c>
      <c r="Q169" s="137">
        <v>1</v>
      </c>
      <c r="R169" s="137" t="s">
        <v>2486</v>
      </c>
      <c r="S169" s="137">
        <v>0.35849059999999999</v>
      </c>
      <c r="T169" s="137" t="s">
        <v>2486</v>
      </c>
      <c r="U169" s="137" t="s">
        <v>2486</v>
      </c>
      <c r="W169" s="143" t="s">
        <v>735</v>
      </c>
      <c r="X169" s="143" t="s">
        <v>736</v>
      </c>
      <c r="Y169" s="143" t="s">
        <v>843</v>
      </c>
      <c r="Z169" s="143">
        <v>692</v>
      </c>
      <c r="AA169" s="143">
        <v>8</v>
      </c>
      <c r="AB169" s="137">
        <v>0</v>
      </c>
      <c r="AC169" s="137">
        <v>0</v>
      </c>
      <c r="AD169" s="137">
        <v>0</v>
      </c>
      <c r="AG169" s="143" t="s">
        <v>735</v>
      </c>
      <c r="AH169" s="143" t="s">
        <v>736</v>
      </c>
      <c r="AI169" s="143" t="s">
        <v>843</v>
      </c>
      <c r="AJ169" s="143">
        <v>692</v>
      </c>
      <c r="AK169" s="143">
        <v>8</v>
      </c>
      <c r="AL169" s="156">
        <v>2.25</v>
      </c>
      <c r="AM169" s="156">
        <v>2.875</v>
      </c>
      <c r="AN169" s="156">
        <v>2.375</v>
      </c>
      <c r="AO169" s="156">
        <v>1.875</v>
      </c>
      <c r="AP169" s="156">
        <v>2.75</v>
      </c>
      <c r="AQ169" s="156">
        <v>3</v>
      </c>
      <c r="AR169" s="156">
        <v>2.875</v>
      </c>
      <c r="AS169" s="169">
        <v>2.6428569999999998</v>
      </c>
    </row>
    <row r="170" spans="1:45" x14ac:dyDescent="0.35">
      <c r="A170" s="143" t="s">
        <v>735</v>
      </c>
      <c r="B170" s="143" t="s">
        <v>736</v>
      </c>
      <c r="C170" s="143" t="s">
        <v>842</v>
      </c>
      <c r="D170" s="143">
        <v>1797</v>
      </c>
      <c r="E170" s="143">
        <v>2</v>
      </c>
      <c r="F170" s="137">
        <v>1</v>
      </c>
      <c r="G170" s="137">
        <v>1</v>
      </c>
      <c r="H170" s="137">
        <v>1</v>
      </c>
      <c r="I170" s="137">
        <v>1</v>
      </c>
      <c r="K170" s="143" t="s">
        <v>735</v>
      </c>
      <c r="L170" s="143" t="s">
        <v>736</v>
      </c>
      <c r="M170" s="143" t="s">
        <v>842</v>
      </c>
      <c r="N170" s="143">
        <v>1797</v>
      </c>
      <c r="O170" s="137">
        <v>0.34933330000000001</v>
      </c>
      <c r="P170" s="137">
        <v>0.6</v>
      </c>
      <c r="Q170" s="137">
        <v>0.94933339999999999</v>
      </c>
      <c r="R170" s="137" t="s">
        <v>2487</v>
      </c>
      <c r="S170" s="137">
        <v>0.57142859999999995</v>
      </c>
      <c r="T170" s="137" t="s">
        <v>2486</v>
      </c>
      <c r="U170" s="137" t="s">
        <v>2486</v>
      </c>
      <c r="W170" s="143" t="s">
        <v>735</v>
      </c>
      <c r="X170" s="143" t="s">
        <v>736</v>
      </c>
      <c r="Y170" s="143" t="s">
        <v>842</v>
      </c>
      <c r="Z170" s="143">
        <v>1797</v>
      </c>
      <c r="AA170" s="143">
        <v>0</v>
      </c>
      <c r="AD170" s="137">
        <v>0</v>
      </c>
      <c r="AG170" s="143" t="s">
        <v>735</v>
      </c>
      <c r="AH170" s="143" t="s">
        <v>736</v>
      </c>
      <c r="AI170" s="143" t="s">
        <v>842</v>
      </c>
      <c r="AJ170" s="143">
        <v>1797</v>
      </c>
      <c r="AK170" s="143">
        <v>2</v>
      </c>
      <c r="AL170" s="156">
        <v>2.5</v>
      </c>
      <c r="AM170" s="156">
        <v>3</v>
      </c>
      <c r="AN170" s="156">
        <v>2</v>
      </c>
      <c r="AO170" s="156">
        <v>2</v>
      </c>
      <c r="AP170" s="156">
        <v>2</v>
      </c>
      <c r="AQ170" s="156">
        <v>3</v>
      </c>
      <c r="AR170" s="156">
        <v>3</v>
      </c>
      <c r="AS170" s="169">
        <v>2.5</v>
      </c>
    </row>
    <row r="171" spans="1:45" x14ac:dyDescent="0.35">
      <c r="A171" s="143" t="s">
        <v>735</v>
      </c>
      <c r="B171" s="143" t="s">
        <v>736</v>
      </c>
      <c r="C171" s="143" t="s">
        <v>841</v>
      </c>
      <c r="D171" s="143">
        <v>1850</v>
      </c>
      <c r="E171" s="143">
        <v>3</v>
      </c>
      <c r="F171" s="137">
        <v>1</v>
      </c>
      <c r="G171" s="137">
        <v>1</v>
      </c>
      <c r="H171" s="137">
        <v>1</v>
      </c>
      <c r="I171" s="137">
        <v>0.3333333</v>
      </c>
      <c r="K171" s="143" t="s">
        <v>735</v>
      </c>
      <c r="L171" s="143" t="s">
        <v>736</v>
      </c>
      <c r="M171" s="143" t="s">
        <v>841</v>
      </c>
      <c r="N171" s="143">
        <v>1850</v>
      </c>
      <c r="O171" s="137">
        <v>0.4</v>
      </c>
      <c r="P171" s="137">
        <v>0.6</v>
      </c>
      <c r="Q171" s="137">
        <v>1</v>
      </c>
      <c r="R171" s="137" t="s">
        <v>2486</v>
      </c>
      <c r="S171" s="137">
        <v>0.5</v>
      </c>
      <c r="T171" s="137" t="s">
        <v>2486</v>
      </c>
      <c r="U171" s="137" t="s">
        <v>2486</v>
      </c>
      <c r="W171" s="143" t="s">
        <v>735</v>
      </c>
      <c r="X171" s="143" t="s">
        <v>736</v>
      </c>
      <c r="Y171" s="143" t="s">
        <v>841</v>
      </c>
      <c r="Z171" s="143">
        <v>1850</v>
      </c>
      <c r="AA171" s="143">
        <v>0</v>
      </c>
      <c r="AD171" s="137">
        <v>0</v>
      </c>
      <c r="AG171" s="143" t="s">
        <v>735</v>
      </c>
      <c r="AH171" s="143" t="s">
        <v>736</v>
      </c>
      <c r="AI171" s="143" t="s">
        <v>841</v>
      </c>
      <c r="AJ171" s="143">
        <v>1850</v>
      </c>
      <c r="AK171" s="143">
        <v>3</v>
      </c>
      <c r="AL171" s="156">
        <v>2.3333332538604701</v>
      </c>
      <c r="AM171" s="156">
        <v>3</v>
      </c>
      <c r="AN171" s="156">
        <v>3</v>
      </c>
      <c r="AO171" s="156">
        <v>3</v>
      </c>
      <c r="AP171" s="156">
        <v>3</v>
      </c>
      <c r="AQ171" s="156">
        <v>3</v>
      </c>
      <c r="AR171" s="156">
        <v>3</v>
      </c>
      <c r="AS171" s="169">
        <v>2.9523809999999999</v>
      </c>
    </row>
    <row r="172" spans="1:45" x14ac:dyDescent="0.35">
      <c r="A172" s="143" t="s">
        <v>735</v>
      </c>
      <c r="B172" s="143" t="s">
        <v>736</v>
      </c>
      <c r="C172" s="143" t="s">
        <v>842</v>
      </c>
      <c r="D172" s="143">
        <v>1855</v>
      </c>
      <c r="E172" s="143">
        <v>2</v>
      </c>
      <c r="F172" s="137">
        <v>1</v>
      </c>
      <c r="G172" s="137">
        <v>1</v>
      </c>
      <c r="H172" s="137">
        <v>1</v>
      </c>
      <c r="I172" s="137">
        <v>1</v>
      </c>
      <c r="K172" s="143" t="s">
        <v>735</v>
      </c>
      <c r="L172" s="143" t="s">
        <v>736</v>
      </c>
      <c r="M172" s="143" t="s">
        <v>842</v>
      </c>
      <c r="N172" s="143">
        <v>1855</v>
      </c>
      <c r="O172" s="137">
        <v>0.4</v>
      </c>
      <c r="P172" s="137">
        <v>0.6</v>
      </c>
      <c r="Q172" s="137">
        <v>1</v>
      </c>
      <c r="R172" s="137" t="s">
        <v>2486</v>
      </c>
      <c r="S172" s="137">
        <v>0.5</v>
      </c>
      <c r="T172" s="137" t="s">
        <v>2486</v>
      </c>
      <c r="U172" s="137" t="s">
        <v>2486</v>
      </c>
      <c r="W172" s="143" t="s">
        <v>735</v>
      </c>
      <c r="X172" s="143" t="s">
        <v>736</v>
      </c>
      <c r="Y172" s="143" t="s">
        <v>842</v>
      </c>
      <c r="Z172" s="143">
        <v>1855</v>
      </c>
      <c r="AA172" s="143">
        <v>0</v>
      </c>
      <c r="AD172" s="137">
        <v>0</v>
      </c>
      <c r="AG172" s="143" t="s">
        <v>735</v>
      </c>
      <c r="AH172" s="143" t="s">
        <v>736</v>
      </c>
      <c r="AI172" s="143" t="s">
        <v>842</v>
      </c>
      <c r="AJ172" s="143">
        <v>1855</v>
      </c>
      <c r="AK172" s="143">
        <v>2</v>
      </c>
      <c r="AL172" s="156">
        <v>2</v>
      </c>
      <c r="AM172" s="156">
        <v>3</v>
      </c>
      <c r="AN172" s="156">
        <v>2.5</v>
      </c>
      <c r="AO172" s="156">
        <v>3</v>
      </c>
      <c r="AP172" s="156">
        <v>2</v>
      </c>
      <c r="AQ172" s="156">
        <v>3</v>
      </c>
      <c r="AR172" s="156">
        <v>3</v>
      </c>
      <c r="AS172" s="169">
        <v>2.785714</v>
      </c>
    </row>
    <row r="173" spans="1:45" x14ac:dyDescent="0.35">
      <c r="A173" s="143" t="s">
        <v>735</v>
      </c>
      <c r="B173" s="143" t="s">
        <v>736</v>
      </c>
      <c r="C173" s="143" t="s">
        <v>842</v>
      </c>
      <c r="D173" s="143">
        <v>1856</v>
      </c>
      <c r="E173" s="143">
        <v>2</v>
      </c>
      <c r="F173" s="137">
        <v>1</v>
      </c>
      <c r="G173" s="137">
        <v>1</v>
      </c>
      <c r="H173" s="137">
        <v>1</v>
      </c>
      <c r="I173" s="137">
        <v>1</v>
      </c>
      <c r="K173" s="143" t="s">
        <v>735</v>
      </c>
      <c r="L173" s="143" t="s">
        <v>736</v>
      </c>
      <c r="M173" s="143" t="s">
        <v>842</v>
      </c>
      <c r="N173" s="143">
        <v>1856</v>
      </c>
      <c r="O173" s="137">
        <v>0.4</v>
      </c>
      <c r="P173" s="137">
        <v>0.6</v>
      </c>
      <c r="Q173" s="137">
        <v>1</v>
      </c>
      <c r="R173" s="137" t="s">
        <v>2486</v>
      </c>
      <c r="S173" s="137">
        <v>0.4</v>
      </c>
      <c r="T173" s="137" t="s">
        <v>2486</v>
      </c>
      <c r="U173" s="137" t="s">
        <v>2486</v>
      </c>
      <c r="W173" s="143" t="s">
        <v>735</v>
      </c>
      <c r="X173" s="143" t="s">
        <v>736</v>
      </c>
      <c r="Y173" s="143" t="s">
        <v>842</v>
      </c>
      <c r="Z173" s="143">
        <v>1856</v>
      </c>
      <c r="AA173" s="143">
        <v>0</v>
      </c>
      <c r="AD173" s="137">
        <v>0</v>
      </c>
      <c r="AG173" s="143" t="s">
        <v>735</v>
      </c>
      <c r="AH173" s="143" t="s">
        <v>736</v>
      </c>
      <c r="AI173" s="143" t="s">
        <v>842</v>
      </c>
      <c r="AJ173" s="143">
        <v>1856</v>
      </c>
      <c r="AK173" s="143">
        <v>2</v>
      </c>
      <c r="AL173" s="156">
        <v>2</v>
      </c>
      <c r="AM173" s="156">
        <v>3</v>
      </c>
      <c r="AN173" s="156">
        <v>2</v>
      </c>
      <c r="AO173" s="156">
        <v>2</v>
      </c>
      <c r="AP173" s="156">
        <v>3</v>
      </c>
      <c r="AQ173" s="156">
        <v>3</v>
      </c>
      <c r="AR173" s="156">
        <v>3</v>
      </c>
      <c r="AS173" s="169">
        <v>2.714286</v>
      </c>
    </row>
    <row r="174" spans="1:45" x14ac:dyDescent="0.35">
      <c r="A174" s="143" t="s">
        <v>735</v>
      </c>
      <c r="B174" s="143" t="s">
        <v>736</v>
      </c>
      <c r="C174" s="143" t="s">
        <v>842</v>
      </c>
      <c r="D174" s="143">
        <v>3722</v>
      </c>
      <c r="E174" s="143">
        <v>2</v>
      </c>
      <c r="F174" s="137">
        <v>1</v>
      </c>
      <c r="G174" s="137">
        <v>1</v>
      </c>
      <c r="H174" s="137">
        <v>1</v>
      </c>
      <c r="I174" s="137">
        <v>1</v>
      </c>
      <c r="K174" s="143" t="s">
        <v>735</v>
      </c>
      <c r="L174" s="143" t="s">
        <v>736</v>
      </c>
      <c r="M174" s="143" t="s">
        <v>842</v>
      </c>
      <c r="N174" s="143">
        <v>3722</v>
      </c>
      <c r="O174" s="137">
        <v>0.34933330000000001</v>
      </c>
      <c r="P174" s="137">
        <v>0.6</v>
      </c>
      <c r="Q174" s="137">
        <v>0.94933339999999999</v>
      </c>
      <c r="R174" s="137" t="s">
        <v>2487</v>
      </c>
      <c r="S174" s="137">
        <v>0.5</v>
      </c>
      <c r="T174" s="137" t="s">
        <v>2486</v>
      </c>
      <c r="U174" s="137" t="s">
        <v>2486</v>
      </c>
      <c r="W174" s="143" t="s">
        <v>735</v>
      </c>
      <c r="X174" s="143" t="s">
        <v>736</v>
      </c>
      <c r="Y174" s="143" t="s">
        <v>842</v>
      </c>
      <c r="Z174" s="143">
        <v>3722</v>
      </c>
      <c r="AA174" s="143">
        <v>0</v>
      </c>
      <c r="AD174" s="137">
        <v>0</v>
      </c>
      <c r="AG174" s="143" t="s">
        <v>735</v>
      </c>
      <c r="AH174" s="143" t="s">
        <v>736</v>
      </c>
      <c r="AI174" s="143" t="s">
        <v>842</v>
      </c>
      <c r="AJ174" s="143">
        <v>3722</v>
      </c>
      <c r="AK174" s="143">
        <v>2</v>
      </c>
      <c r="AL174" s="156">
        <v>2</v>
      </c>
      <c r="AM174" s="156">
        <v>3</v>
      </c>
      <c r="AN174" s="156">
        <v>2</v>
      </c>
      <c r="AO174" s="156">
        <v>2.5</v>
      </c>
      <c r="AP174" s="156">
        <v>2.5</v>
      </c>
      <c r="AQ174" s="156">
        <v>3</v>
      </c>
      <c r="AR174" s="156">
        <v>3</v>
      </c>
      <c r="AS174" s="169">
        <v>2.714286</v>
      </c>
    </row>
    <row r="175" spans="1:45" x14ac:dyDescent="0.35">
      <c r="A175" s="143" t="s">
        <v>735</v>
      </c>
      <c r="B175" s="143" t="s">
        <v>736</v>
      </c>
      <c r="C175" s="143" t="s">
        <v>663</v>
      </c>
      <c r="D175" s="143">
        <v>3995</v>
      </c>
      <c r="E175" s="143">
        <v>2</v>
      </c>
      <c r="F175" s="137">
        <v>1</v>
      </c>
      <c r="G175" s="137">
        <v>1</v>
      </c>
      <c r="H175" s="137">
        <v>1</v>
      </c>
      <c r="I175" s="137">
        <v>1</v>
      </c>
      <c r="K175" s="143" t="s">
        <v>735</v>
      </c>
      <c r="L175" s="143" t="s">
        <v>736</v>
      </c>
      <c r="M175" s="143" t="s">
        <v>663</v>
      </c>
      <c r="N175" s="143">
        <v>3995</v>
      </c>
      <c r="O175" s="137">
        <v>0.4</v>
      </c>
      <c r="P175" s="137">
        <v>0.3</v>
      </c>
      <c r="Q175" s="137">
        <v>0.7</v>
      </c>
      <c r="R175" s="137" t="s">
        <v>2487</v>
      </c>
      <c r="S175" s="137">
        <v>0.6</v>
      </c>
      <c r="T175" s="137" t="s">
        <v>2487</v>
      </c>
      <c r="U175" s="137" t="s">
        <v>2838</v>
      </c>
      <c r="W175" s="143" t="s">
        <v>735</v>
      </c>
      <c r="X175" s="143" t="s">
        <v>736</v>
      </c>
      <c r="Y175" s="143" t="s">
        <v>663</v>
      </c>
      <c r="Z175" s="143">
        <v>3995</v>
      </c>
      <c r="AA175" s="143">
        <v>0</v>
      </c>
      <c r="AD175" s="137">
        <v>0</v>
      </c>
      <c r="AG175" s="143" t="s">
        <v>735</v>
      </c>
      <c r="AH175" s="143" t="s">
        <v>736</v>
      </c>
      <c r="AI175" s="143" t="s">
        <v>663</v>
      </c>
      <c r="AJ175" s="143">
        <v>3995</v>
      </c>
      <c r="AK175" s="143">
        <v>2</v>
      </c>
      <c r="AL175" s="156">
        <v>2</v>
      </c>
      <c r="AM175" s="156">
        <v>3</v>
      </c>
      <c r="AN175" s="156">
        <v>3</v>
      </c>
      <c r="AO175" s="156">
        <v>3</v>
      </c>
      <c r="AP175" s="156">
        <v>1.5</v>
      </c>
      <c r="AQ175" s="156">
        <v>3</v>
      </c>
      <c r="AR175" s="156">
        <v>3</v>
      </c>
      <c r="AS175" s="169">
        <v>2.785714</v>
      </c>
    </row>
    <row r="176" spans="1:45" x14ac:dyDescent="0.35">
      <c r="A176" s="143" t="s">
        <v>735</v>
      </c>
      <c r="B176" s="143" t="s">
        <v>736</v>
      </c>
      <c r="C176" s="143" t="s">
        <v>663</v>
      </c>
      <c r="D176" s="143">
        <v>4680</v>
      </c>
      <c r="E176" s="143">
        <v>2</v>
      </c>
      <c r="F176" s="137">
        <v>1</v>
      </c>
      <c r="G176" s="137">
        <v>1</v>
      </c>
      <c r="H176" s="137">
        <v>1</v>
      </c>
      <c r="I176" s="137">
        <v>0</v>
      </c>
      <c r="K176" s="143" t="s">
        <v>735</v>
      </c>
      <c r="L176" s="143" t="s">
        <v>736</v>
      </c>
      <c r="M176" s="143" t="s">
        <v>663</v>
      </c>
      <c r="N176" s="143">
        <v>4680</v>
      </c>
      <c r="O176" s="137">
        <v>0.4</v>
      </c>
      <c r="P176" s="137">
        <v>0.6</v>
      </c>
      <c r="Q176" s="137">
        <v>1</v>
      </c>
      <c r="R176" s="137" t="s">
        <v>2486</v>
      </c>
      <c r="S176" s="137">
        <v>0.6</v>
      </c>
      <c r="T176" s="137" t="s">
        <v>2486</v>
      </c>
      <c r="U176" s="137" t="s">
        <v>2838</v>
      </c>
      <c r="W176" s="143" t="s">
        <v>735</v>
      </c>
      <c r="X176" s="143" t="s">
        <v>736</v>
      </c>
      <c r="Y176" s="143" t="s">
        <v>663</v>
      </c>
      <c r="Z176" s="143">
        <v>4680</v>
      </c>
      <c r="AA176" s="143">
        <v>0</v>
      </c>
      <c r="AD176" s="137">
        <v>0</v>
      </c>
      <c r="AG176" s="143" t="s">
        <v>735</v>
      </c>
      <c r="AH176" s="143" t="s">
        <v>736</v>
      </c>
      <c r="AI176" s="143" t="s">
        <v>663</v>
      </c>
      <c r="AJ176" s="143">
        <v>4680</v>
      </c>
      <c r="AK176" s="143">
        <v>2</v>
      </c>
      <c r="AL176" s="156">
        <v>2</v>
      </c>
      <c r="AM176" s="156">
        <v>3</v>
      </c>
      <c r="AN176" s="156">
        <v>2.5</v>
      </c>
      <c r="AO176" s="156">
        <v>2.5</v>
      </c>
      <c r="AP176" s="156">
        <v>1</v>
      </c>
      <c r="AQ176" s="156">
        <v>2.5</v>
      </c>
      <c r="AR176" s="156">
        <v>3</v>
      </c>
      <c r="AS176" s="169">
        <v>2.5</v>
      </c>
    </row>
    <row r="177" spans="1:45" x14ac:dyDescent="0.35">
      <c r="A177" s="143" t="s">
        <v>735</v>
      </c>
      <c r="B177" s="143" t="s">
        <v>736</v>
      </c>
      <c r="C177" s="143" t="s">
        <v>663</v>
      </c>
      <c r="D177" s="143">
        <v>4690</v>
      </c>
      <c r="E177" s="143">
        <v>2</v>
      </c>
      <c r="F177" s="137">
        <v>1</v>
      </c>
      <c r="G177" s="137">
        <v>1</v>
      </c>
      <c r="H177" s="137">
        <v>1</v>
      </c>
      <c r="I177" s="137">
        <v>1</v>
      </c>
      <c r="K177" s="143" t="s">
        <v>735</v>
      </c>
      <c r="L177" s="143" t="s">
        <v>736</v>
      </c>
      <c r="M177" s="143" t="s">
        <v>663</v>
      </c>
      <c r="N177" s="143">
        <v>4690</v>
      </c>
      <c r="O177" s="137">
        <v>0.4</v>
      </c>
      <c r="P177" s="137">
        <v>0.6</v>
      </c>
      <c r="Q177" s="137">
        <v>1</v>
      </c>
      <c r="R177" s="137" t="s">
        <v>2486</v>
      </c>
      <c r="S177" s="137">
        <v>0.4</v>
      </c>
      <c r="T177" s="137" t="s">
        <v>2486</v>
      </c>
      <c r="U177" s="137" t="s">
        <v>2838</v>
      </c>
      <c r="W177" s="143" t="s">
        <v>735</v>
      </c>
      <c r="X177" s="143" t="s">
        <v>736</v>
      </c>
      <c r="Y177" s="143" t="s">
        <v>663</v>
      </c>
      <c r="Z177" s="143">
        <v>4690</v>
      </c>
      <c r="AA177" s="143">
        <v>0</v>
      </c>
      <c r="AD177" s="137">
        <v>0</v>
      </c>
      <c r="AG177" s="143" t="s">
        <v>735</v>
      </c>
      <c r="AH177" s="143" t="s">
        <v>736</v>
      </c>
      <c r="AI177" s="143" t="s">
        <v>663</v>
      </c>
      <c r="AJ177" s="143">
        <v>4690</v>
      </c>
      <c r="AK177" s="143">
        <v>2</v>
      </c>
      <c r="AL177" s="156">
        <v>2</v>
      </c>
      <c r="AM177" s="156">
        <v>3</v>
      </c>
      <c r="AN177" s="156">
        <v>2</v>
      </c>
      <c r="AO177" s="156">
        <v>2</v>
      </c>
      <c r="AP177" s="156">
        <v>2</v>
      </c>
      <c r="AQ177" s="156">
        <v>3</v>
      </c>
      <c r="AR177" s="156">
        <v>3</v>
      </c>
      <c r="AS177" s="169">
        <v>2.5714290000000002</v>
      </c>
    </row>
    <row r="178" spans="1:45" x14ac:dyDescent="0.35">
      <c r="A178" s="143" t="s">
        <v>735</v>
      </c>
      <c r="B178" s="143" t="s">
        <v>736</v>
      </c>
      <c r="C178" s="143" t="s">
        <v>663</v>
      </c>
      <c r="D178" s="143">
        <v>4694</v>
      </c>
      <c r="E178" s="143">
        <v>2</v>
      </c>
      <c r="F178" s="137">
        <v>1</v>
      </c>
      <c r="G178" s="137">
        <v>1</v>
      </c>
      <c r="H178" s="137">
        <v>1</v>
      </c>
      <c r="I178" s="137">
        <v>1</v>
      </c>
      <c r="K178" s="143" t="s">
        <v>735</v>
      </c>
      <c r="L178" s="143" t="s">
        <v>736</v>
      </c>
      <c r="M178" s="143" t="s">
        <v>663</v>
      </c>
      <c r="N178" s="143">
        <v>4694</v>
      </c>
      <c r="O178" s="137">
        <v>0.39466669999999998</v>
      </c>
      <c r="P178" s="137">
        <v>0.6</v>
      </c>
      <c r="Q178" s="137">
        <v>0.99466670000000001</v>
      </c>
      <c r="R178" s="137" t="s">
        <v>2487</v>
      </c>
      <c r="S178" s="137">
        <v>0.6</v>
      </c>
      <c r="T178" s="137" t="s">
        <v>2486</v>
      </c>
      <c r="U178" s="137" t="s">
        <v>2838</v>
      </c>
      <c r="W178" s="143" t="s">
        <v>735</v>
      </c>
      <c r="X178" s="143" t="s">
        <v>736</v>
      </c>
      <c r="Y178" s="143" t="s">
        <v>663</v>
      </c>
      <c r="Z178" s="143">
        <v>4694</v>
      </c>
      <c r="AA178" s="143">
        <v>0</v>
      </c>
      <c r="AD178" s="137">
        <v>0</v>
      </c>
      <c r="AG178" s="143" t="s">
        <v>735</v>
      </c>
      <c r="AH178" s="143" t="s">
        <v>736</v>
      </c>
      <c r="AI178" s="143" t="s">
        <v>663</v>
      </c>
      <c r="AJ178" s="143">
        <v>4694</v>
      </c>
      <c r="AK178" s="143">
        <v>2</v>
      </c>
      <c r="AL178" s="156">
        <v>2</v>
      </c>
      <c r="AM178" s="156">
        <v>3</v>
      </c>
      <c r="AN178" s="156">
        <v>2</v>
      </c>
      <c r="AO178" s="156">
        <v>2</v>
      </c>
      <c r="AP178" s="156">
        <v>2</v>
      </c>
      <c r="AQ178" s="156">
        <v>3</v>
      </c>
      <c r="AR178" s="156">
        <v>3</v>
      </c>
      <c r="AS178" s="169">
        <v>2.5714290000000002</v>
      </c>
    </row>
    <row r="179" spans="1:45" x14ac:dyDescent="0.35">
      <c r="A179" s="143" t="s">
        <v>735</v>
      </c>
      <c r="B179" s="143" t="s">
        <v>736</v>
      </c>
      <c r="C179" s="143" t="s">
        <v>663</v>
      </c>
      <c r="D179" s="143">
        <v>4698</v>
      </c>
      <c r="E179" s="143">
        <v>2</v>
      </c>
      <c r="F179" s="137">
        <v>1</v>
      </c>
      <c r="G179" s="137">
        <v>1</v>
      </c>
      <c r="H179" s="137">
        <v>1</v>
      </c>
      <c r="I179" s="137">
        <v>1</v>
      </c>
      <c r="K179" s="143" t="s">
        <v>735</v>
      </c>
      <c r="L179" s="143" t="s">
        <v>736</v>
      </c>
      <c r="M179" s="143" t="s">
        <v>663</v>
      </c>
      <c r="N179" s="143">
        <v>4698</v>
      </c>
      <c r="O179" s="137">
        <v>0.32800000000000001</v>
      </c>
      <c r="P179" s="137">
        <v>0.6</v>
      </c>
      <c r="Q179" s="137">
        <v>0.92800000000000005</v>
      </c>
      <c r="R179" s="137" t="s">
        <v>2487</v>
      </c>
      <c r="S179" s="137">
        <v>0.6</v>
      </c>
      <c r="T179" s="137" t="s">
        <v>2486</v>
      </c>
      <c r="U179" s="137" t="s">
        <v>2838</v>
      </c>
      <c r="W179" s="143" t="s">
        <v>735</v>
      </c>
      <c r="X179" s="143" t="s">
        <v>736</v>
      </c>
      <c r="Y179" s="143" t="s">
        <v>663</v>
      </c>
      <c r="Z179" s="143">
        <v>4698</v>
      </c>
      <c r="AA179" s="143">
        <v>0</v>
      </c>
      <c r="AD179" s="137">
        <v>0</v>
      </c>
      <c r="AG179" s="143" t="s">
        <v>735</v>
      </c>
      <c r="AH179" s="143" t="s">
        <v>736</v>
      </c>
      <c r="AI179" s="143" t="s">
        <v>663</v>
      </c>
      <c r="AJ179" s="143">
        <v>4698</v>
      </c>
      <c r="AK179" s="143">
        <v>2</v>
      </c>
      <c r="AL179" s="156">
        <v>2</v>
      </c>
      <c r="AM179" s="156">
        <v>3</v>
      </c>
      <c r="AN179" s="156">
        <v>2</v>
      </c>
      <c r="AO179" s="156">
        <v>2</v>
      </c>
      <c r="AP179" s="156">
        <v>2</v>
      </c>
      <c r="AQ179" s="156">
        <v>3</v>
      </c>
      <c r="AR179" s="156">
        <v>3</v>
      </c>
      <c r="AS179" s="169">
        <v>2.5714290000000002</v>
      </c>
    </row>
    <row r="180" spans="1:45" x14ac:dyDescent="0.35">
      <c r="A180" s="143" t="s">
        <v>735</v>
      </c>
      <c r="B180" s="143" t="s">
        <v>736</v>
      </c>
      <c r="C180" s="143" t="s">
        <v>663</v>
      </c>
      <c r="D180" s="143">
        <v>4701</v>
      </c>
      <c r="E180" s="143">
        <v>2</v>
      </c>
      <c r="F180" s="137">
        <v>1</v>
      </c>
      <c r="G180" s="137">
        <v>1</v>
      </c>
      <c r="H180" s="137">
        <v>1</v>
      </c>
      <c r="I180" s="137">
        <v>1</v>
      </c>
      <c r="K180" s="143" t="s">
        <v>735</v>
      </c>
      <c r="L180" s="143" t="s">
        <v>736</v>
      </c>
      <c r="M180" s="143" t="s">
        <v>663</v>
      </c>
      <c r="N180" s="143">
        <v>4701</v>
      </c>
      <c r="O180" s="137">
        <v>0.4</v>
      </c>
      <c r="P180" s="137">
        <v>0.6</v>
      </c>
      <c r="Q180" s="137">
        <v>1</v>
      </c>
      <c r="R180" s="137" t="s">
        <v>2486</v>
      </c>
      <c r="S180" s="137">
        <v>0.6</v>
      </c>
      <c r="T180" s="137" t="s">
        <v>2486</v>
      </c>
      <c r="U180" s="137" t="s">
        <v>2838</v>
      </c>
      <c r="W180" s="143" t="s">
        <v>735</v>
      </c>
      <c r="X180" s="143" t="s">
        <v>736</v>
      </c>
      <c r="Y180" s="143" t="s">
        <v>663</v>
      </c>
      <c r="Z180" s="143">
        <v>4701</v>
      </c>
      <c r="AA180" s="143">
        <v>0</v>
      </c>
      <c r="AD180" s="137">
        <v>0</v>
      </c>
      <c r="AG180" s="143" t="s">
        <v>735</v>
      </c>
      <c r="AH180" s="143" t="s">
        <v>736</v>
      </c>
      <c r="AI180" s="143" t="s">
        <v>663</v>
      </c>
      <c r="AJ180" s="143">
        <v>4701</v>
      </c>
      <c r="AK180" s="143">
        <v>2</v>
      </c>
      <c r="AL180" s="156">
        <v>1.5</v>
      </c>
      <c r="AM180" s="156">
        <v>3.5</v>
      </c>
      <c r="AN180" s="156">
        <v>3</v>
      </c>
      <c r="AO180" s="156">
        <v>3</v>
      </c>
      <c r="AP180" s="156">
        <v>2.5</v>
      </c>
      <c r="AQ180" s="156">
        <v>3</v>
      </c>
      <c r="AR180" s="156">
        <v>3.5</v>
      </c>
      <c r="AS180" s="169">
        <v>3.1428569999999998</v>
      </c>
    </row>
    <row r="181" spans="1:45" x14ac:dyDescent="0.35">
      <c r="A181" s="143" t="s">
        <v>737</v>
      </c>
      <c r="B181" s="143" t="s">
        <v>736</v>
      </c>
      <c r="C181" s="143" t="s">
        <v>841</v>
      </c>
      <c r="D181" s="143">
        <v>626</v>
      </c>
      <c r="E181" s="143">
        <v>3</v>
      </c>
      <c r="F181" s="137">
        <v>1</v>
      </c>
      <c r="G181" s="137">
        <v>1</v>
      </c>
      <c r="H181" s="137">
        <v>1</v>
      </c>
      <c r="I181" s="137">
        <v>1</v>
      </c>
      <c r="K181" s="143" t="s">
        <v>737</v>
      </c>
      <c r="L181" s="143" t="s">
        <v>736</v>
      </c>
      <c r="M181" s="143" t="s">
        <v>841</v>
      </c>
      <c r="N181" s="143">
        <v>626</v>
      </c>
      <c r="O181" s="137">
        <v>0.4</v>
      </c>
      <c r="P181" s="137">
        <v>0.6</v>
      </c>
      <c r="Q181" s="137">
        <v>1</v>
      </c>
      <c r="R181" s="137" t="s">
        <v>2486</v>
      </c>
      <c r="S181" s="137">
        <v>0.6875</v>
      </c>
      <c r="T181" s="137" t="s">
        <v>2486</v>
      </c>
      <c r="U181" s="137" t="s">
        <v>2486</v>
      </c>
      <c r="W181" s="143" t="s">
        <v>737</v>
      </c>
      <c r="X181" s="143" t="s">
        <v>736</v>
      </c>
      <c r="Y181" s="143" t="s">
        <v>841</v>
      </c>
      <c r="Z181" s="143">
        <v>626</v>
      </c>
      <c r="AA181" s="143">
        <v>0</v>
      </c>
      <c r="AD181" s="137">
        <v>0</v>
      </c>
      <c r="AE181" s="137">
        <v>6.25E-2</v>
      </c>
      <c r="AG181" s="143" t="s">
        <v>737</v>
      </c>
      <c r="AH181" s="143" t="s">
        <v>736</v>
      </c>
      <c r="AI181" s="143" t="s">
        <v>841</v>
      </c>
      <c r="AJ181" s="143">
        <v>626</v>
      </c>
      <c r="AK181" s="143">
        <v>3</v>
      </c>
      <c r="AL181" s="156">
        <v>2</v>
      </c>
      <c r="AM181" s="156">
        <v>3</v>
      </c>
      <c r="AN181" s="156">
        <v>3</v>
      </c>
      <c r="AO181" s="156">
        <v>2.6666667461395299</v>
      </c>
      <c r="AP181" s="156">
        <v>3</v>
      </c>
      <c r="AQ181" s="156">
        <v>3</v>
      </c>
      <c r="AR181" s="156">
        <v>3.3333332538604701</v>
      </c>
      <c r="AS181" s="169">
        <v>3</v>
      </c>
    </row>
    <row r="182" spans="1:45" x14ac:dyDescent="0.35">
      <c r="A182" s="143" t="s">
        <v>737</v>
      </c>
      <c r="B182" s="143" t="s">
        <v>736</v>
      </c>
      <c r="C182" s="143" t="s">
        <v>842</v>
      </c>
      <c r="D182" s="143">
        <v>634</v>
      </c>
      <c r="E182" s="143">
        <v>2</v>
      </c>
      <c r="F182" s="137">
        <v>1</v>
      </c>
      <c r="G182" s="137">
        <v>1</v>
      </c>
      <c r="H182" s="137">
        <v>1</v>
      </c>
      <c r="I182" s="137">
        <v>1</v>
      </c>
      <c r="K182" s="143" t="s">
        <v>737</v>
      </c>
      <c r="L182" s="143" t="s">
        <v>736</v>
      </c>
      <c r="M182" s="143" t="s">
        <v>842</v>
      </c>
      <c r="N182" s="143">
        <v>634</v>
      </c>
      <c r="O182" s="137">
        <v>0.4</v>
      </c>
      <c r="P182" s="137">
        <v>0.6</v>
      </c>
      <c r="Q182" s="137">
        <v>1</v>
      </c>
      <c r="R182" s="137" t="s">
        <v>2486</v>
      </c>
      <c r="S182" s="137">
        <v>0.66666669999999995</v>
      </c>
      <c r="T182" s="137" t="s">
        <v>2486</v>
      </c>
      <c r="U182" s="137" t="s">
        <v>2486</v>
      </c>
      <c r="W182" s="143" t="s">
        <v>737</v>
      </c>
      <c r="X182" s="143" t="s">
        <v>736</v>
      </c>
      <c r="Y182" s="143" t="s">
        <v>842</v>
      </c>
      <c r="Z182" s="143">
        <v>634</v>
      </c>
      <c r="AA182" s="143">
        <v>0</v>
      </c>
      <c r="AD182" s="137">
        <v>0</v>
      </c>
      <c r="AG182" s="143" t="s">
        <v>737</v>
      </c>
      <c r="AH182" s="143" t="s">
        <v>736</v>
      </c>
      <c r="AI182" s="143" t="s">
        <v>842</v>
      </c>
      <c r="AJ182" s="143">
        <v>634</v>
      </c>
      <c r="AK182" s="143">
        <v>2</v>
      </c>
      <c r="AL182" s="156">
        <v>2</v>
      </c>
      <c r="AM182" s="156">
        <v>3</v>
      </c>
      <c r="AN182" s="156">
        <v>2.5</v>
      </c>
      <c r="AO182" s="156">
        <v>3</v>
      </c>
      <c r="AP182" s="156">
        <v>1</v>
      </c>
      <c r="AQ182" s="156">
        <v>3</v>
      </c>
      <c r="AR182" s="156">
        <v>3</v>
      </c>
      <c r="AS182" s="169">
        <v>2.6428569999999998</v>
      </c>
    </row>
    <row r="183" spans="1:45" x14ac:dyDescent="0.35">
      <c r="A183" s="143" t="s">
        <v>737</v>
      </c>
      <c r="B183" s="143" t="s">
        <v>736</v>
      </c>
      <c r="C183" s="143" t="s">
        <v>841</v>
      </c>
      <c r="D183" s="143">
        <v>639</v>
      </c>
      <c r="E183" s="143">
        <v>3</v>
      </c>
      <c r="F183" s="137">
        <v>1</v>
      </c>
      <c r="G183" s="137">
        <v>1</v>
      </c>
      <c r="H183" s="137">
        <v>1</v>
      </c>
      <c r="I183" s="137">
        <v>1</v>
      </c>
      <c r="K183" s="143" t="s">
        <v>737</v>
      </c>
      <c r="L183" s="143" t="s">
        <v>736</v>
      </c>
      <c r="M183" s="143" t="s">
        <v>841</v>
      </c>
      <c r="N183" s="143">
        <v>639</v>
      </c>
      <c r="O183" s="137">
        <v>0.4</v>
      </c>
      <c r="P183" s="137">
        <v>0.6</v>
      </c>
      <c r="Q183" s="137">
        <v>1</v>
      </c>
      <c r="R183" s="137" t="s">
        <v>2486</v>
      </c>
      <c r="S183" s="137">
        <v>0.6</v>
      </c>
      <c r="T183" s="137" t="s">
        <v>2486</v>
      </c>
      <c r="U183" s="137" t="s">
        <v>2486</v>
      </c>
      <c r="W183" s="143" t="s">
        <v>737</v>
      </c>
      <c r="X183" s="143" t="s">
        <v>736</v>
      </c>
      <c r="Y183" s="143" t="s">
        <v>841</v>
      </c>
      <c r="Z183" s="143">
        <v>639</v>
      </c>
      <c r="AA183" s="143">
        <v>0</v>
      </c>
      <c r="AD183" s="137">
        <v>0</v>
      </c>
      <c r="AE183" s="137">
        <v>0.2</v>
      </c>
      <c r="AG183" s="143" t="s">
        <v>737</v>
      </c>
      <c r="AH183" s="143" t="s">
        <v>736</v>
      </c>
      <c r="AI183" s="143" t="s">
        <v>841</v>
      </c>
      <c r="AJ183" s="143">
        <v>639</v>
      </c>
      <c r="AK183" s="143">
        <v>3</v>
      </c>
      <c r="AL183" s="156">
        <v>2</v>
      </c>
      <c r="AM183" s="156">
        <v>3.3333332538604701</v>
      </c>
      <c r="AN183" s="156">
        <v>3.3333332538604701</v>
      </c>
      <c r="AO183" s="156">
        <v>3</v>
      </c>
      <c r="AP183" s="156">
        <v>3</v>
      </c>
      <c r="AQ183" s="156">
        <v>3</v>
      </c>
      <c r="AR183" s="156">
        <v>3</v>
      </c>
      <c r="AS183" s="169">
        <v>3.0952380000000002</v>
      </c>
    </row>
    <row r="184" spans="1:45" x14ac:dyDescent="0.35">
      <c r="A184" s="143" t="s">
        <v>737</v>
      </c>
      <c r="B184" s="143" t="s">
        <v>736</v>
      </c>
      <c r="C184" s="143" t="s">
        <v>843</v>
      </c>
      <c r="D184" s="143">
        <v>648</v>
      </c>
      <c r="E184" s="143">
        <v>8</v>
      </c>
      <c r="F184" s="137">
        <v>0.125</v>
      </c>
      <c r="G184" s="137">
        <v>0.125</v>
      </c>
      <c r="H184" s="137">
        <v>0.125</v>
      </c>
      <c r="I184" s="137">
        <v>1</v>
      </c>
      <c r="K184" s="143" t="s">
        <v>737</v>
      </c>
      <c r="L184" s="143" t="s">
        <v>736</v>
      </c>
      <c r="M184" s="143" t="s">
        <v>843</v>
      </c>
      <c r="N184" s="143">
        <v>648</v>
      </c>
      <c r="O184" s="137">
        <v>0.4</v>
      </c>
      <c r="P184" s="137">
        <v>0.6</v>
      </c>
      <c r="Q184" s="137">
        <v>1</v>
      </c>
      <c r="R184" s="137" t="s">
        <v>2486</v>
      </c>
      <c r="S184" s="137">
        <v>0.41860459999999999</v>
      </c>
      <c r="T184" s="137" t="s">
        <v>2486</v>
      </c>
      <c r="U184" s="137" t="s">
        <v>2486</v>
      </c>
      <c r="W184" s="143" t="s">
        <v>737</v>
      </c>
      <c r="X184" s="143" t="s">
        <v>736</v>
      </c>
      <c r="Y184" s="143" t="s">
        <v>843</v>
      </c>
      <c r="Z184" s="143">
        <v>648</v>
      </c>
      <c r="AA184" s="143">
        <v>8</v>
      </c>
      <c r="AB184" s="137">
        <v>0</v>
      </c>
      <c r="AC184" s="137">
        <v>0.125</v>
      </c>
      <c r="AD184" s="137">
        <v>0</v>
      </c>
      <c r="AE184" s="137">
        <v>0.1162791</v>
      </c>
      <c r="AG184" s="143" t="s">
        <v>737</v>
      </c>
      <c r="AH184" s="143" t="s">
        <v>736</v>
      </c>
      <c r="AI184" s="143" t="s">
        <v>843</v>
      </c>
      <c r="AJ184" s="143">
        <v>648</v>
      </c>
      <c r="AK184" s="143">
        <v>8</v>
      </c>
      <c r="AL184" s="156">
        <v>1.5</v>
      </c>
      <c r="AM184" s="156">
        <v>3.625</v>
      </c>
      <c r="AN184" s="156">
        <v>3.125</v>
      </c>
      <c r="AO184" s="156">
        <v>3.125</v>
      </c>
      <c r="AP184" s="156">
        <v>3.5</v>
      </c>
      <c r="AQ184" s="156">
        <v>1.75</v>
      </c>
      <c r="AR184" s="156">
        <v>3.625</v>
      </c>
      <c r="AS184" s="169">
        <v>3.1785709999999998</v>
      </c>
    </row>
    <row r="185" spans="1:45" x14ac:dyDescent="0.35">
      <c r="A185" s="143" t="s">
        <v>737</v>
      </c>
      <c r="B185" s="143" t="s">
        <v>736</v>
      </c>
      <c r="C185" s="143" t="s">
        <v>842</v>
      </c>
      <c r="D185" s="143">
        <v>650</v>
      </c>
      <c r="E185" s="143">
        <v>2</v>
      </c>
      <c r="F185" s="137">
        <v>1</v>
      </c>
      <c r="G185" s="137">
        <v>1</v>
      </c>
      <c r="H185" s="137">
        <v>0.5</v>
      </c>
      <c r="I185" s="137">
        <v>1</v>
      </c>
      <c r="K185" s="143" t="s">
        <v>737</v>
      </c>
      <c r="L185" s="143" t="s">
        <v>736</v>
      </c>
      <c r="M185" s="143" t="s">
        <v>842</v>
      </c>
      <c r="N185" s="143">
        <v>650</v>
      </c>
      <c r="O185" s="137">
        <v>0.4</v>
      </c>
      <c r="P185" s="137">
        <v>0.6</v>
      </c>
      <c r="Q185" s="137">
        <v>1</v>
      </c>
      <c r="R185" s="137" t="s">
        <v>2486</v>
      </c>
      <c r="S185" s="137">
        <v>0.57142859999999995</v>
      </c>
      <c r="T185" s="137" t="s">
        <v>2486</v>
      </c>
      <c r="U185" s="137" t="s">
        <v>2486</v>
      </c>
      <c r="W185" s="143" t="s">
        <v>737</v>
      </c>
      <c r="X185" s="143" t="s">
        <v>736</v>
      </c>
      <c r="Y185" s="143" t="s">
        <v>842</v>
      </c>
      <c r="Z185" s="143">
        <v>650</v>
      </c>
      <c r="AA185" s="143">
        <v>0</v>
      </c>
      <c r="AD185" s="137">
        <v>0</v>
      </c>
      <c r="AG185" s="143" t="s">
        <v>737</v>
      </c>
      <c r="AH185" s="143" t="s">
        <v>736</v>
      </c>
      <c r="AI185" s="143" t="s">
        <v>842</v>
      </c>
      <c r="AJ185" s="143">
        <v>650</v>
      </c>
      <c r="AK185" s="143">
        <v>2</v>
      </c>
      <c r="AL185" s="156">
        <v>3</v>
      </c>
      <c r="AM185" s="156">
        <v>3</v>
      </c>
      <c r="AN185" s="156">
        <v>3.5</v>
      </c>
      <c r="AO185" s="156">
        <v>3.5</v>
      </c>
      <c r="AP185" s="156">
        <v>1.5</v>
      </c>
      <c r="AQ185" s="156">
        <v>2.5</v>
      </c>
      <c r="AR185" s="156">
        <v>3.5</v>
      </c>
      <c r="AS185" s="169">
        <v>2.785714</v>
      </c>
    </row>
    <row r="186" spans="1:45" x14ac:dyDescent="0.35">
      <c r="A186" s="143" t="s">
        <v>737</v>
      </c>
      <c r="B186" s="143" t="s">
        <v>736</v>
      </c>
      <c r="C186" s="143" t="s">
        <v>842</v>
      </c>
      <c r="D186" s="143">
        <v>659</v>
      </c>
      <c r="E186" s="143">
        <v>2</v>
      </c>
      <c r="F186" s="137">
        <v>1</v>
      </c>
      <c r="G186" s="137">
        <v>0</v>
      </c>
      <c r="H186" s="137">
        <v>0</v>
      </c>
      <c r="I186" s="137">
        <v>1</v>
      </c>
      <c r="K186" s="143" t="s">
        <v>737</v>
      </c>
      <c r="L186" s="143" t="s">
        <v>736</v>
      </c>
      <c r="M186" s="143" t="s">
        <v>842</v>
      </c>
      <c r="N186" s="143">
        <v>659</v>
      </c>
      <c r="O186" s="137">
        <v>0.4</v>
      </c>
      <c r="P186" s="137">
        <v>0.6</v>
      </c>
      <c r="Q186" s="137">
        <v>1</v>
      </c>
      <c r="R186" s="137" t="s">
        <v>2486</v>
      </c>
      <c r="S186" s="137">
        <v>0.5</v>
      </c>
      <c r="T186" s="137" t="s">
        <v>2486</v>
      </c>
      <c r="U186" s="137" t="s">
        <v>2486</v>
      </c>
      <c r="W186" s="143" t="s">
        <v>737</v>
      </c>
      <c r="X186" s="143" t="s">
        <v>736</v>
      </c>
      <c r="Y186" s="143" t="s">
        <v>842</v>
      </c>
      <c r="Z186" s="143">
        <v>659</v>
      </c>
      <c r="AA186" s="143">
        <v>0</v>
      </c>
      <c r="AD186" s="137">
        <v>0</v>
      </c>
      <c r="AG186" s="143" t="s">
        <v>737</v>
      </c>
      <c r="AH186" s="143" t="s">
        <v>736</v>
      </c>
      <c r="AI186" s="143" t="s">
        <v>842</v>
      </c>
      <c r="AJ186" s="143">
        <v>659</v>
      </c>
      <c r="AK186" s="143">
        <v>2</v>
      </c>
      <c r="AL186" s="156">
        <v>2</v>
      </c>
      <c r="AM186" s="156">
        <v>4</v>
      </c>
      <c r="AN186" s="156">
        <v>4</v>
      </c>
      <c r="AO186" s="156">
        <v>3.5</v>
      </c>
      <c r="AP186" s="156">
        <v>3</v>
      </c>
      <c r="AQ186" s="156">
        <v>3.5</v>
      </c>
      <c r="AR186" s="156">
        <v>3.5</v>
      </c>
      <c r="AS186" s="169">
        <v>3.5</v>
      </c>
    </row>
    <row r="187" spans="1:45" x14ac:dyDescent="0.35">
      <c r="A187" s="143" t="s">
        <v>737</v>
      </c>
      <c r="B187" s="143" t="s">
        <v>736</v>
      </c>
      <c r="C187" s="143" t="s">
        <v>841</v>
      </c>
      <c r="D187" s="143">
        <v>666</v>
      </c>
      <c r="E187" s="143">
        <v>3</v>
      </c>
      <c r="F187" s="137">
        <v>1</v>
      </c>
      <c r="G187" s="137">
        <v>1</v>
      </c>
      <c r="H187" s="137">
        <v>1</v>
      </c>
      <c r="I187" s="137">
        <v>1</v>
      </c>
      <c r="K187" s="143" t="s">
        <v>737</v>
      </c>
      <c r="L187" s="143" t="s">
        <v>736</v>
      </c>
      <c r="M187" s="143" t="s">
        <v>841</v>
      </c>
      <c r="N187" s="143">
        <v>666</v>
      </c>
      <c r="O187" s="137">
        <v>0.4</v>
      </c>
      <c r="P187" s="137">
        <v>0.6</v>
      </c>
      <c r="Q187" s="137">
        <v>1</v>
      </c>
      <c r="R187" s="137" t="s">
        <v>2486</v>
      </c>
      <c r="S187" s="137">
        <v>0.55000000000000004</v>
      </c>
      <c r="T187" s="137" t="s">
        <v>2486</v>
      </c>
      <c r="U187" s="137" t="s">
        <v>2486</v>
      </c>
      <c r="W187" s="143" t="s">
        <v>737</v>
      </c>
      <c r="X187" s="143" t="s">
        <v>736</v>
      </c>
      <c r="Y187" s="143" t="s">
        <v>841</v>
      </c>
      <c r="Z187" s="143">
        <v>666</v>
      </c>
      <c r="AA187" s="143">
        <v>0</v>
      </c>
      <c r="AD187" s="137">
        <v>0</v>
      </c>
      <c r="AE187" s="137">
        <v>0.1</v>
      </c>
      <c r="AG187" s="143" t="s">
        <v>737</v>
      </c>
      <c r="AH187" s="143" t="s">
        <v>736</v>
      </c>
      <c r="AI187" s="143" t="s">
        <v>841</v>
      </c>
      <c r="AJ187" s="143">
        <v>666</v>
      </c>
      <c r="AK187" s="143">
        <v>3</v>
      </c>
      <c r="AL187" s="156">
        <v>2</v>
      </c>
      <c r="AM187" s="156">
        <v>3.3333332538604701</v>
      </c>
      <c r="AN187" s="156">
        <v>3</v>
      </c>
      <c r="AO187" s="156">
        <v>2.6666667461395299</v>
      </c>
      <c r="AP187" s="156">
        <v>3</v>
      </c>
      <c r="AQ187" s="156">
        <v>3</v>
      </c>
      <c r="AR187" s="156">
        <v>3</v>
      </c>
      <c r="AS187" s="169">
        <v>3</v>
      </c>
    </row>
    <row r="188" spans="1:45" x14ac:dyDescent="0.35">
      <c r="A188" s="143" t="s">
        <v>737</v>
      </c>
      <c r="B188" s="143" t="s">
        <v>736</v>
      </c>
      <c r="C188" s="143" t="s">
        <v>841</v>
      </c>
      <c r="D188" s="143">
        <v>1737</v>
      </c>
      <c r="E188" s="143">
        <v>3</v>
      </c>
      <c r="F188" s="137">
        <v>0</v>
      </c>
      <c r="G188" s="137">
        <v>0</v>
      </c>
      <c r="H188" s="137">
        <v>0</v>
      </c>
      <c r="I188" s="137">
        <v>1</v>
      </c>
      <c r="K188" s="143" t="s">
        <v>737</v>
      </c>
      <c r="L188" s="143" t="s">
        <v>736</v>
      </c>
      <c r="M188" s="143" t="s">
        <v>841</v>
      </c>
      <c r="N188" s="143">
        <v>1737</v>
      </c>
      <c r="O188" s="137">
        <v>0.4</v>
      </c>
      <c r="P188" s="137">
        <v>0.6</v>
      </c>
      <c r="Q188" s="137">
        <v>1</v>
      </c>
      <c r="R188" s="137" t="s">
        <v>2486</v>
      </c>
      <c r="S188" s="137">
        <v>0.66666669999999995</v>
      </c>
      <c r="T188" s="137" t="s">
        <v>2486</v>
      </c>
      <c r="U188" s="137" t="s">
        <v>2486</v>
      </c>
      <c r="W188" s="143" t="s">
        <v>737</v>
      </c>
      <c r="X188" s="143" t="s">
        <v>736</v>
      </c>
      <c r="Y188" s="143" t="s">
        <v>841</v>
      </c>
      <c r="Z188" s="143">
        <v>1737</v>
      </c>
      <c r="AA188" s="143">
        <v>0</v>
      </c>
      <c r="AD188" s="137">
        <v>0</v>
      </c>
      <c r="AG188" s="143" t="s">
        <v>737</v>
      </c>
      <c r="AH188" s="143" t="s">
        <v>736</v>
      </c>
      <c r="AI188" s="143" t="s">
        <v>841</v>
      </c>
      <c r="AJ188" s="143">
        <v>1737</v>
      </c>
      <c r="AK188" s="143">
        <v>3</v>
      </c>
      <c r="AL188" s="156">
        <v>2.3333332538604701</v>
      </c>
      <c r="AM188" s="156">
        <v>3.6666667461395299</v>
      </c>
      <c r="AN188" s="156">
        <v>4</v>
      </c>
      <c r="AO188" s="156">
        <v>3.3333332538604701</v>
      </c>
      <c r="AP188" s="156">
        <v>1.6666666269302399</v>
      </c>
      <c r="AQ188" s="156">
        <v>2.3333332538604701</v>
      </c>
      <c r="AR188" s="156">
        <v>3</v>
      </c>
      <c r="AS188" s="169">
        <v>2.9523809999999999</v>
      </c>
    </row>
    <row r="189" spans="1:45" x14ac:dyDescent="0.35">
      <c r="A189" s="143" t="s">
        <v>737</v>
      </c>
      <c r="B189" s="143" t="s">
        <v>736</v>
      </c>
      <c r="C189" s="143" t="s">
        <v>842</v>
      </c>
      <c r="D189" s="143">
        <v>1746</v>
      </c>
      <c r="E189" s="143">
        <v>2</v>
      </c>
      <c r="F189" s="137">
        <v>0</v>
      </c>
      <c r="G189" s="137">
        <v>1</v>
      </c>
      <c r="H189" s="137">
        <v>1</v>
      </c>
      <c r="I189" s="137">
        <v>1</v>
      </c>
      <c r="K189" s="143" t="s">
        <v>737</v>
      </c>
      <c r="L189" s="143" t="s">
        <v>736</v>
      </c>
      <c r="M189" s="143" t="s">
        <v>842</v>
      </c>
      <c r="N189" s="143">
        <v>1746</v>
      </c>
      <c r="O189" s="137">
        <v>0.31466670000000002</v>
      </c>
      <c r="P189" s="137">
        <v>0.6</v>
      </c>
      <c r="Q189" s="137">
        <v>0.91466670000000005</v>
      </c>
      <c r="R189" s="137" t="s">
        <v>2487</v>
      </c>
      <c r="S189" s="137">
        <v>0.57142859999999995</v>
      </c>
      <c r="T189" s="137" t="s">
        <v>2486</v>
      </c>
      <c r="U189" s="137" t="s">
        <v>2486</v>
      </c>
      <c r="W189" s="143" t="s">
        <v>737</v>
      </c>
      <c r="X189" s="143" t="s">
        <v>736</v>
      </c>
      <c r="Y189" s="143" t="s">
        <v>842</v>
      </c>
      <c r="Z189" s="143">
        <v>1746</v>
      </c>
      <c r="AA189" s="143">
        <v>0</v>
      </c>
      <c r="AD189" s="137">
        <v>0</v>
      </c>
      <c r="AG189" s="143" t="s">
        <v>737</v>
      </c>
      <c r="AH189" s="143" t="s">
        <v>736</v>
      </c>
      <c r="AI189" s="143" t="s">
        <v>842</v>
      </c>
      <c r="AJ189" s="143">
        <v>1746</v>
      </c>
      <c r="AK189" s="143">
        <v>2</v>
      </c>
      <c r="AL189" s="156">
        <v>2.5</v>
      </c>
      <c r="AM189" s="156">
        <v>3</v>
      </c>
      <c r="AN189" s="156">
        <v>3</v>
      </c>
      <c r="AO189" s="156">
        <v>3</v>
      </c>
      <c r="AP189" s="156">
        <v>3</v>
      </c>
      <c r="AQ189" s="156">
        <v>2.5</v>
      </c>
      <c r="AR189" s="156">
        <v>3</v>
      </c>
      <c r="AS189" s="169">
        <v>2.8571430000000002</v>
      </c>
    </row>
    <row r="190" spans="1:45" x14ac:dyDescent="0.35">
      <c r="A190" s="143" t="s">
        <v>737</v>
      </c>
      <c r="B190" s="143" t="s">
        <v>736</v>
      </c>
      <c r="C190" s="143" t="s">
        <v>663</v>
      </c>
      <c r="D190" s="143">
        <v>2026</v>
      </c>
      <c r="E190" s="143">
        <v>2</v>
      </c>
      <c r="F190" s="137">
        <v>1</v>
      </c>
      <c r="G190" s="137">
        <v>1</v>
      </c>
      <c r="H190" s="137">
        <v>1</v>
      </c>
      <c r="I190" s="137">
        <v>1</v>
      </c>
      <c r="K190" s="143" t="s">
        <v>737</v>
      </c>
      <c r="L190" s="143" t="s">
        <v>736</v>
      </c>
      <c r="M190" s="143" t="s">
        <v>663</v>
      </c>
      <c r="N190" s="143">
        <v>2026</v>
      </c>
      <c r="O190" s="137">
        <v>0.4</v>
      </c>
      <c r="P190" s="137">
        <v>0.6</v>
      </c>
      <c r="Q190" s="137">
        <v>1</v>
      </c>
      <c r="R190" s="137" t="s">
        <v>2486</v>
      </c>
      <c r="S190" s="137">
        <v>0.75</v>
      </c>
      <c r="T190" s="137" t="s">
        <v>2486</v>
      </c>
      <c r="U190" s="137" t="s">
        <v>2838</v>
      </c>
      <c r="W190" s="143" t="s">
        <v>737</v>
      </c>
      <c r="X190" s="143" t="s">
        <v>736</v>
      </c>
      <c r="Y190" s="143" t="s">
        <v>663</v>
      </c>
      <c r="Z190" s="143">
        <v>2026</v>
      </c>
      <c r="AA190" s="143">
        <v>0</v>
      </c>
      <c r="AD190" s="137">
        <v>0</v>
      </c>
      <c r="AG190" s="143" t="s">
        <v>737</v>
      </c>
      <c r="AH190" s="143" t="s">
        <v>736</v>
      </c>
      <c r="AI190" s="143" t="s">
        <v>663</v>
      </c>
      <c r="AJ190" s="143">
        <v>2026</v>
      </c>
      <c r="AK190" s="143">
        <v>2</v>
      </c>
      <c r="AL190" s="156">
        <v>2</v>
      </c>
      <c r="AM190" s="156">
        <v>3.5</v>
      </c>
      <c r="AN190" s="156">
        <v>3</v>
      </c>
      <c r="AO190" s="156">
        <v>4</v>
      </c>
      <c r="AP190" s="156">
        <v>3.5</v>
      </c>
      <c r="AQ190" s="156">
        <v>3</v>
      </c>
      <c r="AR190" s="156">
        <v>3.5</v>
      </c>
      <c r="AS190" s="169">
        <v>3.3571430000000002</v>
      </c>
    </row>
    <row r="191" spans="1:45" x14ac:dyDescent="0.35">
      <c r="A191" s="143" t="s">
        <v>737</v>
      </c>
      <c r="B191" s="143" t="s">
        <v>736</v>
      </c>
      <c r="C191" s="143" t="s">
        <v>842</v>
      </c>
      <c r="D191" s="143">
        <v>2181</v>
      </c>
      <c r="E191" s="143">
        <v>3</v>
      </c>
      <c r="F191" s="137">
        <v>1</v>
      </c>
      <c r="G191" s="137">
        <v>1</v>
      </c>
      <c r="H191" s="137">
        <v>1</v>
      </c>
      <c r="I191" s="137">
        <v>1</v>
      </c>
      <c r="K191" s="143" t="s">
        <v>737</v>
      </c>
      <c r="L191" s="143" t="s">
        <v>736</v>
      </c>
      <c r="M191" s="143" t="s">
        <v>842</v>
      </c>
      <c r="N191" s="143">
        <v>2181</v>
      </c>
      <c r="O191" s="137">
        <v>0.39466669999999998</v>
      </c>
      <c r="P191" s="137">
        <v>0.6</v>
      </c>
      <c r="Q191" s="137">
        <v>0.99466670000000001</v>
      </c>
      <c r="R191" s="137" t="s">
        <v>2487</v>
      </c>
      <c r="S191" s="137">
        <v>0.42857139999999999</v>
      </c>
      <c r="T191" s="137" t="s">
        <v>2486</v>
      </c>
      <c r="U191" s="137" t="s">
        <v>2486</v>
      </c>
      <c r="W191" s="143" t="s">
        <v>737</v>
      </c>
      <c r="X191" s="143" t="s">
        <v>736</v>
      </c>
      <c r="Y191" s="143" t="s">
        <v>842</v>
      </c>
      <c r="Z191" s="143">
        <v>2181</v>
      </c>
      <c r="AA191" s="143">
        <v>0</v>
      </c>
      <c r="AD191" s="137">
        <v>0</v>
      </c>
      <c r="AG191" s="143" t="s">
        <v>737</v>
      </c>
      <c r="AH191" s="143" t="s">
        <v>736</v>
      </c>
      <c r="AI191" s="143" t="s">
        <v>842</v>
      </c>
      <c r="AJ191" s="143">
        <v>2181</v>
      </c>
      <c r="AK191" s="143">
        <v>3</v>
      </c>
      <c r="AL191" s="156">
        <v>2</v>
      </c>
      <c r="AM191" s="156">
        <v>3.3333332538604701</v>
      </c>
      <c r="AN191" s="156">
        <v>2.6666667461395299</v>
      </c>
      <c r="AO191" s="156">
        <v>3</v>
      </c>
      <c r="AP191" s="156">
        <v>3.6666667461395299</v>
      </c>
      <c r="AQ191" s="156">
        <v>3</v>
      </c>
      <c r="AR191" s="156">
        <v>3</v>
      </c>
      <c r="AS191" s="169">
        <v>3.0952380000000002</v>
      </c>
    </row>
    <row r="192" spans="1:45" x14ac:dyDescent="0.35">
      <c r="A192" s="143" t="s">
        <v>737</v>
      </c>
      <c r="B192" s="143" t="s">
        <v>736</v>
      </c>
      <c r="C192" s="143" t="s">
        <v>663</v>
      </c>
      <c r="D192" s="143">
        <v>2472</v>
      </c>
      <c r="E192" s="143">
        <v>2</v>
      </c>
      <c r="F192" s="137">
        <v>0.5</v>
      </c>
      <c r="G192" s="137">
        <v>0.5</v>
      </c>
      <c r="H192" s="137">
        <v>0</v>
      </c>
      <c r="I192" s="137">
        <v>1</v>
      </c>
      <c r="K192" s="143" t="s">
        <v>737</v>
      </c>
      <c r="L192" s="143" t="s">
        <v>736</v>
      </c>
      <c r="M192" s="143" t="s">
        <v>663</v>
      </c>
      <c r="N192" s="143">
        <v>2472</v>
      </c>
      <c r="O192" s="137">
        <v>0.37866670000000002</v>
      </c>
      <c r="P192" s="137">
        <v>0.6</v>
      </c>
      <c r="Q192" s="137">
        <v>0.9786667</v>
      </c>
      <c r="R192" s="137" t="s">
        <v>2487</v>
      </c>
      <c r="S192" s="137">
        <v>0.75</v>
      </c>
      <c r="T192" s="137" t="s">
        <v>2486</v>
      </c>
      <c r="U192" s="137" t="s">
        <v>2838</v>
      </c>
      <c r="W192" s="143" t="s">
        <v>737</v>
      </c>
      <c r="X192" s="143" t="s">
        <v>736</v>
      </c>
      <c r="Y192" s="143" t="s">
        <v>663</v>
      </c>
      <c r="Z192" s="143">
        <v>2472</v>
      </c>
      <c r="AA192" s="143">
        <v>0</v>
      </c>
      <c r="AD192" s="137">
        <v>0</v>
      </c>
      <c r="AG192" s="143" t="s">
        <v>737</v>
      </c>
      <c r="AH192" s="143" t="s">
        <v>736</v>
      </c>
      <c r="AI192" s="143" t="s">
        <v>663</v>
      </c>
      <c r="AJ192" s="143">
        <v>2472</v>
      </c>
      <c r="AK192" s="143">
        <v>2</v>
      </c>
      <c r="AL192" s="156">
        <v>1</v>
      </c>
      <c r="AM192" s="156">
        <v>3.5</v>
      </c>
      <c r="AN192" s="156">
        <v>3</v>
      </c>
      <c r="AO192" s="156">
        <v>3</v>
      </c>
      <c r="AP192" s="156">
        <v>3</v>
      </c>
      <c r="AQ192" s="156">
        <v>2.5</v>
      </c>
      <c r="AR192" s="156">
        <v>4</v>
      </c>
      <c r="AS192" s="169">
        <v>3.285714</v>
      </c>
    </row>
    <row r="193" spans="1:45" x14ac:dyDescent="0.35">
      <c r="A193" s="143" t="s">
        <v>737</v>
      </c>
      <c r="B193" s="143" t="s">
        <v>736</v>
      </c>
      <c r="C193" s="143" t="s">
        <v>663</v>
      </c>
      <c r="D193" s="143">
        <v>4138</v>
      </c>
      <c r="E193" s="143">
        <v>2</v>
      </c>
      <c r="F193" s="137">
        <v>1</v>
      </c>
      <c r="G193" s="137">
        <v>1</v>
      </c>
      <c r="H193" s="137">
        <v>1</v>
      </c>
      <c r="I193" s="137">
        <v>1</v>
      </c>
      <c r="K193" s="143" t="s">
        <v>737</v>
      </c>
      <c r="L193" s="143" t="s">
        <v>736</v>
      </c>
      <c r="M193" s="143" t="s">
        <v>663</v>
      </c>
      <c r="N193" s="143">
        <v>4138</v>
      </c>
      <c r="O193" s="137">
        <v>0.4</v>
      </c>
      <c r="P193" s="137">
        <v>0.6</v>
      </c>
      <c r="Q193" s="137">
        <v>1</v>
      </c>
      <c r="R193" s="137" t="s">
        <v>2486</v>
      </c>
      <c r="S193" s="137">
        <v>0.75</v>
      </c>
      <c r="T193" s="137" t="s">
        <v>2486</v>
      </c>
      <c r="U193" s="137" t="s">
        <v>2838</v>
      </c>
      <c r="W193" s="143" t="s">
        <v>737</v>
      </c>
      <c r="X193" s="143" t="s">
        <v>736</v>
      </c>
      <c r="Y193" s="143" t="s">
        <v>663</v>
      </c>
      <c r="Z193" s="143">
        <v>4138</v>
      </c>
      <c r="AA193" s="143">
        <v>0</v>
      </c>
      <c r="AD193" s="137">
        <v>0</v>
      </c>
      <c r="AG193" s="143" t="s">
        <v>737</v>
      </c>
      <c r="AH193" s="143" t="s">
        <v>736</v>
      </c>
      <c r="AI193" s="143" t="s">
        <v>663</v>
      </c>
      <c r="AJ193" s="143">
        <v>4138</v>
      </c>
      <c r="AK193" s="143">
        <v>2</v>
      </c>
      <c r="AL193" s="156">
        <v>2</v>
      </c>
      <c r="AM193" s="156">
        <v>3.5</v>
      </c>
      <c r="AN193" s="156">
        <v>3</v>
      </c>
      <c r="AO193" s="156">
        <v>3</v>
      </c>
      <c r="AP193" s="156">
        <v>1</v>
      </c>
      <c r="AQ193" s="156">
        <v>3</v>
      </c>
      <c r="AR193" s="156">
        <v>3</v>
      </c>
      <c r="AS193" s="169">
        <v>2.785714</v>
      </c>
    </row>
    <row r="194" spans="1:45" x14ac:dyDescent="0.35">
      <c r="A194" s="143" t="s">
        <v>737</v>
      </c>
      <c r="B194" s="143" t="s">
        <v>736</v>
      </c>
      <c r="C194" s="143" t="s">
        <v>663</v>
      </c>
      <c r="D194" s="143">
        <v>4143</v>
      </c>
      <c r="E194" s="143">
        <v>2</v>
      </c>
      <c r="F194" s="137">
        <v>1</v>
      </c>
      <c r="G194" s="137">
        <v>1</v>
      </c>
      <c r="H194" s="137">
        <v>1</v>
      </c>
      <c r="I194" s="137">
        <v>1</v>
      </c>
      <c r="K194" s="143" t="s">
        <v>737</v>
      </c>
      <c r="L194" s="143" t="s">
        <v>736</v>
      </c>
      <c r="M194" s="143" t="s">
        <v>663</v>
      </c>
      <c r="N194" s="143">
        <v>4143</v>
      </c>
      <c r="O194" s="137">
        <v>0.3973333</v>
      </c>
      <c r="P194" s="137">
        <v>0.6</v>
      </c>
      <c r="Q194" s="137">
        <v>0.99733329999999998</v>
      </c>
      <c r="R194" s="137" t="s">
        <v>2487</v>
      </c>
      <c r="S194" s="137">
        <v>0.5</v>
      </c>
      <c r="T194" s="137" t="s">
        <v>2486</v>
      </c>
      <c r="U194" s="137" t="s">
        <v>2838</v>
      </c>
      <c r="W194" s="143" t="s">
        <v>737</v>
      </c>
      <c r="X194" s="143" t="s">
        <v>736</v>
      </c>
      <c r="Y194" s="143" t="s">
        <v>663</v>
      </c>
      <c r="Z194" s="143">
        <v>4143</v>
      </c>
      <c r="AA194" s="143">
        <v>0</v>
      </c>
      <c r="AD194" s="137">
        <v>0</v>
      </c>
      <c r="AG194" s="143" t="s">
        <v>737</v>
      </c>
      <c r="AH194" s="143" t="s">
        <v>736</v>
      </c>
      <c r="AI194" s="143" t="s">
        <v>663</v>
      </c>
      <c r="AJ194" s="143">
        <v>4143</v>
      </c>
      <c r="AK194" s="143">
        <v>2</v>
      </c>
      <c r="AL194" s="156">
        <v>2</v>
      </c>
      <c r="AM194" s="156">
        <v>3</v>
      </c>
      <c r="AN194" s="156">
        <v>3</v>
      </c>
      <c r="AO194" s="156">
        <v>3</v>
      </c>
      <c r="AP194" s="156">
        <v>3</v>
      </c>
      <c r="AQ194" s="156">
        <v>3</v>
      </c>
      <c r="AR194" s="156">
        <v>3</v>
      </c>
      <c r="AS194" s="169">
        <v>3</v>
      </c>
    </row>
    <row r="195" spans="1:45" x14ac:dyDescent="0.35">
      <c r="A195" s="143" t="s">
        <v>737</v>
      </c>
      <c r="B195" s="143" t="s">
        <v>736</v>
      </c>
      <c r="C195" s="143" t="s">
        <v>663</v>
      </c>
      <c r="D195" s="143">
        <v>4148</v>
      </c>
      <c r="E195" s="143">
        <v>2</v>
      </c>
      <c r="F195" s="137">
        <v>1</v>
      </c>
      <c r="G195" s="137">
        <v>1</v>
      </c>
      <c r="H195" s="137">
        <v>1</v>
      </c>
      <c r="I195" s="137">
        <v>1</v>
      </c>
      <c r="K195" s="143" t="s">
        <v>737</v>
      </c>
      <c r="L195" s="143" t="s">
        <v>736</v>
      </c>
      <c r="M195" s="143" t="s">
        <v>663</v>
      </c>
      <c r="N195" s="143">
        <v>4148</v>
      </c>
      <c r="O195" s="137">
        <v>0.4</v>
      </c>
      <c r="P195" s="137">
        <v>0.6</v>
      </c>
      <c r="Q195" s="137">
        <v>1</v>
      </c>
      <c r="R195" s="137" t="s">
        <v>2486</v>
      </c>
      <c r="S195" s="137">
        <v>0.5</v>
      </c>
      <c r="T195" s="137" t="s">
        <v>2486</v>
      </c>
      <c r="U195" s="137" t="s">
        <v>2838</v>
      </c>
      <c r="W195" s="143" t="s">
        <v>737</v>
      </c>
      <c r="X195" s="143" t="s">
        <v>736</v>
      </c>
      <c r="Y195" s="143" t="s">
        <v>663</v>
      </c>
      <c r="Z195" s="143">
        <v>4148</v>
      </c>
      <c r="AA195" s="143">
        <v>0</v>
      </c>
      <c r="AD195" s="137">
        <v>0</v>
      </c>
      <c r="AG195" s="143" t="s">
        <v>737</v>
      </c>
      <c r="AH195" s="143" t="s">
        <v>736</v>
      </c>
      <c r="AI195" s="143" t="s">
        <v>663</v>
      </c>
      <c r="AJ195" s="143">
        <v>4148</v>
      </c>
      <c r="AK195" s="143">
        <v>2</v>
      </c>
      <c r="AL195" s="156">
        <v>2</v>
      </c>
      <c r="AM195" s="156">
        <v>3.5</v>
      </c>
      <c r="AN195" s="156">
        <v>3</v>
      </c>
      <c r="AO195" s="156">
        <v>3</v>
      </c>
      <c r="AP195" s="156">
        <v>1</v>
      </c>
      <c r="AQ195" s="156">
        <v>3</v>
      </c>
      <c r="AR195" s="156">
        <v>3</v>
      </c>
      <c r="AS195" s="169">
        <v>2.785714</v>
      </c>
    </row>
    <row r="196" spans="1:45" x14ac:dyDescent="0.35">
      <c r="A196" s="143" t="s">
        <v>737</v>
      </c>
      <c r="B196" s="143" t="s">
        <v>736</v>
      </c>
      <c r="C196" s="143" t="s">
        <v>663</v>
      </c>
      <c r="D196" s="143">
        <v>4149</v>
      </c>
      <c r="E196" s="143">
        <v>2</v>
      </c>
      <c r="F196" s="137">
        <v>1</v>
      </c>
      <c r="G196" s="137">
        <v>1</v>
      </c>
      <c r="H196" s="137">
        <v>1</v>
      </c>
      <c r="I196" s="137">
        <v>1</v>
      </c>
      <c r="K196" s="143" t="s">
        <v>737</v>
      </c>
      <c r="L196" s="143" t="s">
        <v>736</v>
      </c>
      <c r="M196" s="143" t="s">
        <v>663</v>
      </c>
      <c r="N196" s="143">
        <v>4149</v>
      </c>
      <c r="O196" s="137">
        <v>0.4</v>
      </c>
      <c r="P196" s="137">
        <v>0.6</v>
      </c>
      <c r="Q196" s="137">
        <v>1</v>
      </c>
      <c r="R196" s="137" t="s">
        <v>2486</v>
      </c>
      <c r="S196" s="137">
        <v>0.5</v>
      </c>
      <c r="T196" s="137" t="s">
        <v>2486</v>
      </c>
      <c r="U196" s="137" t="s">
        <v>2838</v>
      </c>
      <c r="W196" s="143" t="s">
        <v>737</v>
      </c>
      <c r="X196" s="143" t="s">
        <v>736</v>
      </c>
      <c r="Y196" s="143" t="s">
        <v>663</v>
      </c>
      <c r="Z196" s="143">
        <v>4149</v>
      </c>
      <c r="AA196" s="143">
        <v>0</v>
      </c>
      <c r="AD196" s="137">
        <v>0</v>
      </c>
      <c r="AG196" s="143" t="s">
        <v>737</v>
      </c>
      <c r="AH196" s="143" t="s">
        <v>736</v>
      </c>
      <c r="AI196" s="143" t="s">
        <v>663</v>
      </c>
      <c r="AJ196" s="143">
        <v>4149</v>
      </c>
      <c r="AK196" s="143">
        <v>2</v>
      </c>
      <c r="AL196" s="156">
        <v>2</v>
      </c>
      <c r="AM196" s="156">
        <v>3</v>
      </c>
      <c r="AN196" s="156">
        <v>3</v>
      </c>
      <c r="AO196" s="156">
        <v>3</v>
      </c>
      <c r="AP196" s="156">
        <v>1.5</v>
      </c>
      <c r="AQ196" s="156">
        <v>3</v>
      </c>
      <c r="AR196" s="156">
        <v>3</v>
      </c>
      <c r="AS196" s="169">
        <v>2.785714</v>
      </c>
    </row>
    <row r="197" spans="1:45" x14ac:dyDescent="0.35">
      <c r="A197" s="143" t="s">
        <v>738</v>
      </c>
      <c r="B197" s="143" t="s">
        <v>722</v>
      </c>
      <c r="C197" s="143" t="s">
        <v>841</v>
      </c>
      <c r="D197" s="143">
        <v>587</v>
      </c>
      <c r="E197" s="143">
        <v>4</v>
      </c>
      <c r="F197" s="137">
        <v>1</v>
      </c>
      <c r="G197" s="137">
        <v>1</v>
      </c>
      <c r="H197" s="137">
        <v>1</v>
      </c>
      <c r="I197" s="137">
        <v>0.25</v>
      </c>
      <c r="K197" s="143" t="s">
        <v>738</v>
      </c>
      <c r="L197" s="143" t="s">
        <v>722</v>
      </c>
      <c r="M197" s="143" t="s">
        <v>841</v>
      </c>
      <c r="N197" s="143">
        <v>587</v>
      </c>
      <c r="O197" s="137">
        <v>0.4</v>
      </c>
      <c r="P197" s="137">
        <v>0.6</v>
      </c>
      <c r="Q197" s="137">
        <v>1</v>
      </c>
      <c r="R197" s="137" t="s">
        <v>2486</v>
      </c>
      <c r="S197" s="137">
        <v>0.46666669999999999</v>
      </c>
      <c r="T197" s="137" t="s">
        <v>2486</v>
      </c>
      <c r="U197" s="137" t="s">
        <v>2487</v>
      </c>
      <c r="W197" s="143" t="s">
        <v>738</v>
      </c>
      <c r="X197" s="143" t="s">
        <v>722</v>
      </c>
      <c r="Y197" s="143" t="s">
        <v>841</v>
      </c>
      <c r="Z197" s="143">
        <v>587</v>
      </c>
      <c r="AA197" s="143">
        <v>0</v>
      </c>
      <c r="AD197" s="137">
        <v>0</v>
      </c>
      <c r="AE197" s="137">
        <v>0.13333329999999999</v>
      </c>
      <c r="AG197" s="143" t="s">
        <v>738</v>
      </c>
      <c r="AH197" s="143" t="s">
        <v>722</v>
      </c>
      <c r="AI197" s="143" t="s">
        <v>841</v>
      </c>
      <c r="AJ197" s="143">
        <v>587</v>
      </c>
      <c r="AK197" s="143">
        <v>4</v>
      </c>
      <c r="AL197" s="156">
        <v>2</v>
      </c>
      <c r="AM197" s="156">
        <v>3.75</v>
      </c>
      <c r="AN197" s="156">
        <v>3.25</v>
      </c>
      <c r="AO197" s="156">
        <v>3.75</v>
      </c>
      <c r="AP197" s="156">
        <v>2.5</v>
      </c>
      <c r="AQ197" s="156">
        <v>3.25</v>
      </c>
      <c r="AR197" s="156">
        <v>3</v>
      </c>
      <c r="AS197" s="169">
        <v>3.3214290000000002</v>
      </c>
    </row>
    <row r="198" spans="1:45" x14ac:dyDescent="0.35">
      <c r="A198" s="143" t="s">
        <v>738</v>
      </c>
      <c r="B198" s="143" t="s">
        <v>722</v>
      </c>
      <c r="C198" s="143" t="s">
        <v>843</v>
      </c>
      <c r="D198" s="143">
        <v>590</v>
      </c>
      <c r="E198" s="143">
        <v>8</v>
      </c>
      <c r="F198" s="137">
        <v>1</v>
      </c>
      <c r="G198" s="137">
        <v>1</v>
      </c>
      <c r="H198" s="137">
        <v>1</v>
      </c>
      <c r="I198" s="137">
        <v>0</v>
      </c>
      <c r="K198" s="143" t="s">
        <v>738</v>
      </c>
      <c r="L198" s="143" t="s">
        <v>722</v>
      </c>
      <c r="M198" s="143" t="s">
        <v>843</v>
      </c>
      <c r="N198" s="143">
        <v>590</v>
      </c>
      <c r="O198" s="137">
        <v>0.4</v>
      </c>
      <c r="P198" s="137">
        <v>0.52500000000000002</v>
      </c>
      <c r="Q198" s="137">
        <v>0.92500009999999999</v>
      </c>
      <c r="R198" s="137" t="s">
        <v>2487</v>
      </c>
      <c r="S198" s="137">
        <v>0.4210526</v>
      </c>
      <c r="T198" s="137" t="s">
        <v>2486</v>
      </c>
      <c r="U198" s="137" t="s">
        <v>2487</v>
      </c>
      <c r="W198" s="143" t="s">
        <v>738</v>
      </c>
      <c r="X198" s="143" t="s">
        <v>722</v>
      </c>
      <c r="Y198" s="143" t="s">
        <v>843</v>
      </c>
      <c r="Z198" s="143">
        <v>590</v>
      </c>
      <c r="AA198" s="143">
        <v>8</v>
      </c>
      <c r="AB198" s="137">
        <v>0.25</v>
      </c>
      <c r="AC198" s="137">
        <v>0.83333330000000005</v>
      </c>
      <c r="AD198" s="137">
        <v>0</v>
      </c>
      <c r="AE198" s="137">
        <v>0.5</v>
      </c>
      <c r="AG198" s="143" t="s">
        <v>738</v>
      </c>
      <c r="AH198" s="143" t="s">
        <v>722</v>
      </c>
      <c r="AI198" s="143" t="s">
        <v>843</v>
      </c>
      <c r="AJ198" s="143">
        <v>590</v>
      </c>
      <c r="AK198" s="143">
        <v>8</v>
      </c>
      <c r="AL198" s="156">
        <v>2.25</v>
      </c>
      <c r="AM198" s="156">
        <v>3.25</v>
      </c>
      <c r="AN198" s="156">
        <v>3.375</v>
      </c>
      <c r="AO198" s="156">
        <v>3.25</v>
      </c>
      <c r="AP198" s="156">
        <v>2.625</v>
      </c>
      <c r="AQ198" s="156">
        <v>3.25</v>
      </c>
      <c r="AR198" s="156">
        <v>3.25</v>
      </c>
      <c r="AS198" s="169">
        <v>3.1071430000000002</v>
      </c>
    </row>
    <row r="199" spans="1:45" x14ac:dyDescent="0.35">
      <c r="A199" s="143" t="s">
        <v>738</v>
      </c>
      <c r="B199" s="143" t="s">
        <v>722</v>
      </c>
      <c r="C199" s="143" t="s">
        <v>842</v>
      </c>
      <c r="D199" s="143">
        <v>594</v>
      </c>
      <c r="E199" s="143">
        <v>2</v>
      </c>
      <c r="F199" s="137">
        <v>1</v>
      </c>
      <c r="G199" s="137">
        <v>1</v>
      </c>
      <c r="H199" s="137">
        <v>1</v>
      </c>
      <c r="I199" s="137">
        <v>0</v>
      </c>
      <c r="K199" s="143" t="s">
        <v>738</v>
      </c>
      <c r="L199" s="143" t="s">
        <v>722</v>
      </c>
      <c r="M199" s="143" t="s">
        <v>842</v>
      </c>
      <c r="N199" s="143">
        <v>594</v>
      </c>
      <c r="O199" s="137">
        <v>0.4</v>
      </c>
      <c r="P199" s="137">
        <v>0.6</v>
      </c>
      <c r="Q199" s="137">
        <v>1</v>
      </c>
      <c r="R199" s="137" t="s">
        <v>2486</v>
      </c>
      <c r="S199" s="137">
        <v>0.5</v>
      </c>
      <c r="T199" s="137" t="s">
        <v>2486</v>
      </c>
      <c r="U199" s="137" t="s">
        <v>2486</v>
      </c>
      <c r="W199" s="143" t="s">
        <v>738</v>
      </c>
      <c r="X199" s="143" t="s">
        <v>722</v>
      </c>
      <c r="Y199" s="143" t="s">
        <v>842</v>
      </c>
      <c r="Z199" s="143">
        <v>594</v>
      </c>
      <c r="AA199" s="143">
        <v>0</v>
      </c>
      <c r="AD199" s="137">
        <v>0</v>
      </c>
      <c r="AE199" s="137">
        <v>0.5</v>
      </c>
      <c r="AG199" s="143" t="s">
        <v>738</v>
      </c>
      <c r="AH199" s="143" t="s">
        <v>722</v>
      </c>
      <c r="AI199" s="143" t="s">
        <v>842</v>
      </c>
      <c r="AJ199" s="143">
        <v>594</v>
      </c>
      <c r="AK199" s="143">
        <v>2</v>
      </c>
      <c r="AL199" s="156">
        <v>1</v>
      </c>
      <c r="AM199" s="156">
        <v>4</v>
      </c>
      <c r="AN199" s="156">
        <v>3</v>
      </c>
      <c r="AO199" s="156">
        <v>3</v>
      </c>
      <c r="AP199" s="156">
        <v>3</v>
      </c>
      <c r="AQ199" s="156">
        <v>3.5</v>
      </c>
      <c r="AR199" s="156">
        <v>3.5</v>
      </c>
      <c r="AS199" s="169">
        <v>3.4285709999999998</v>
      </c>
    </row>
    <row r="200" spans="1:45" x14ac:dyDescent="0.35">
      <c r="A200" s="143" t="s">
        <v>738</v>
      </c>
      <c r="B200" s="143" t="s">
        <v>722</v>
      </c>
      <c r="C200" s="143" t="s">
        <v>842</v>
      </c>
      <c r="D200" s="143">
        <v>1558</v>
      </c>
      <c r="E200" s="143">
        <v>2</v>
      </c>
      <c r="F200" s="137">
        <v>1</v>
      </c>
      <c r="G200" s="137">
        <v>1</v>
      </c>
      <c r="H200" s="137">
        <v>1</v>
      </c>
      <c r="I200" s="137">
        <v>0</v>
      </c>
      <c r="K200" s="143" t="s">
        <v>738</v>
      </c>
      <c r="L200" s="143" t="s">
        <v>722</v>
      </c>
      <c r="M200" s="143" t="s">
        <v>842</v>
      </c>
      <c r="N200" s="143">
        <v>1558</v>
      </c>
      <c r="O200" s="137">
        <v>0.39466669999999998</v>
      </c>
      <c r="P200" s="137">
        <v>0.6</v>
      </c>
      <c r="Q200" s="137">
        <v>0.99466670000000001</v>
      </c>
      <c r="R200" s="137" t="s">
        <v>2487</v>
      </c>
      <c r="S200" s="137">
        <v>0.57142859999999995</v>
      </c>
      <c r="T200" s="137" t="s">
        <v>2486</v>
      </c>
      <c r="U200" s="137" t="s">
        <v>2486</v>
      </c>
      <c r="W200" s="143" t="s">
        <v>738</v>
      </c>
      <c r="X200" s="143" t="s">
        <v>722</v>
      </c>
      <c r="Y200" s="143" t="s">
        <v>842</v>
      </c>
      <c r="Z200" s="143">
        <v>1558</v>
      </c>
      <c r="AA200" s="143">
        <v>0</v>
      </c>
      <c r="AD200" s="137">
        <v>0</v>
      </c>
      <c r="AE200" s="137">
        <v>0.28571429999999998</v>
      </c>
      <c r="AG200" s="143" t="s">
        <v>738</v>
      </c>
      <c r="AH200" s="143" t="s">
        <v>722</v>
      </c>
      <c r="AI200" s="143" t="s">
        <v>842</v>
      </c>
      <c r="AJ200" s="143">
        <v>1558</v>
      </c>
      <c r="AK200" s="143">
        <v>2</v>
      </c>
      <c r="AL200" s="156">
        <v>3</v>
      </c>
      <c r="AM200" s="156">
        <v>3</v>
      </c>
      <c r="AN200" s="156">
        <v>3</v>
      </c>
      <c r="AO200" s="156">
        <v>3</v>
      </c>
      <c r="AP200" s="156">
        <v>3</v>
      </c>
      <c r="AQ200" s="156">
        <v>2.5</v>
      </c>
      <c r="AR200" s="156">
        <v>3</v>
      </c>
      <c r="AS200" s="169">
        <v>2.785714</v>
      </c>
    </row>
    <row r="201" spans="1:45" x14ac:dyDescent="0.35">
      <c r="A201" s="143" t="s">
        <v>738</v>
      </c>
      <c r="B201" s="143" t="s">
        <v>722</v>
      </c>
      <c r="C201" s="143" t="s">
        <v>842</v>
      </c>
      <c r="D201" s="143">
        <v>2034</v>
      </c>
      <c r="E201" s="143">
        <v>2</v>
      </c>
      <c r="F201" s="137">
        <v>1</v>
      </c>
      <c r="G201" s="137">
        <v>1</v>
      </c>
      <c r="H201" s="137">
        <v>1</v>
      </c>
      <c r="I201" s="137">
        <v>0</v>
      </c>
      <c r="K201" s="143" t="s">
        <v>738</v>
      </c>
      <c r="L201" s="143" t="s">
        <v>722</v>
      </c>
      <c r="M201" s="143" t="s">
        <v>842</v>
      </c>
      <c r="N201" s="143">
        <v>2034</v>
      </c>
      <c r="O201" s="137">
        <v>0.39200000000000002</v>
      </c>
      <c r="P201" s="137">
        <v>0.6</v>
      </c>
      <c r="Q201" s="137">
        <v>0.99199999999999999</v>
      </c>
      <c r="R201" s="137" t="s">
        <v>2487</v>
      </c>
      <c r="S201" s="137">
        <v>0.57142859999999995</v>
      </c>
      <c r="T201" s="137" t="s">
        <v>2486</v>
      </c>
      <c r="U201" s="137" t="s">
        <v>2486</v>
      </c>
      <c r="W201" s="143" t="s">
        <v>738</v>
      </c>
      <c r="X201" s="143" t="s">
        <v>722</v>
      </c>
      <c r="Y201" s="143" t="s">
        <v>842</v>
      </c>
      <c r="Z201" s="143">
        <v>2034</v>
      </c>
      <c r="AA201" s="143">
        <v>0</v>
      </c>
      <c r="AD201" s="137">
        <v>0</v>
      </c>
      <c r="AE201" s="137">
        <v>0.28571429999999998</v>
      </c>
      <c r="AG201" s="143" t="s">
        <v>738</v>
      </c>
      <c r="AH201" s="143" t="s">
        <v>722</v>
      </c>
      <c r="AI201" s="143" t="s">
        <v>842</v>
      </c>
      <c r="AJ201" s="143">
        <v>2034</v>
      </c>
      <c r="AK201" s="143">
        <v>2</v>
      </c>
      <c r="AL201" s="156">
        <v>3</v>
      </c>
      <c r="AM201" s="156">
        <v>3</v>
      </c>
      <c r="AN201" s="156">
        <v>3</v>
      </c>
      <c r="AO201" s="156">
        <v>3</v>
      </c>
      <c r="AP201" s="156">
        <v>3</v>
      </c>
      <c r="AQ201" s="156">
        <v>3</v>
      </c>
      <c r="AR201" s="156">
        <v>3</v>
      </c>
      <c r="AS201" s="169">
        <v>2.8571430000000002</v>
      </c>
    </row>
    <row r="202" spans="1:45" x14ac:dyDescent="0.35">
      <c r="A202" s="143" t="s">
        <v>738</v>
      </c>
      <c r="B202" s="143" t="s">
        <v>722</v>
      </c>
      <c r="C202" s="143" t="s">
        <v>663</v>
      </c>
      <c r="D202" s="143">
        <v>2591</v>
      </c>
      <c r="E202" s="143">
        <v>2</v>
      </c>
      <c r="F202" s="137">
        <v>1</v>
      </c>
      <c r="G202" s="137">
        <v>1</v>
      </c>
      <c r="H202" s="137">
        <v>1</v>
      </c>
      <c r="I202" s="137">
        <v>0</v>
      </c>
      <c r="K202" s="143" t="s">
        <v>738</v>
      </c>
      <c r="L202" s="143" t="s">
        <v>722</v>
      </c>
      <c r="M202" s="143" t="s">
        <v>663</v>
      </c>
      <c r="N202" s="143">
        <v>2591</v>
      </c>
      <c r="O202" s="137">
        <v>0.4</v>
      </c>
      <c r="P202" s="137">
        <v>0.6</v>
      </c>
      <c r="Q202" s="137">
        <v>1</v>
      </c>
      <c r="R202" s="137" t="s">
        <v>2486</v>
      </c>
      <c r="S202" s="137">
        <v>0.6</v>
      </c>
      <c r="T202" s="137" t="s">
        <v>2486</v>
      </c>
      <c r="U202" s="137" t="s">
        <v>2838</v>
      </c>
      <c r="W202" s="143" t="s">
        <v>738</v>
      </c>
      <c r="X202" s="143" t="s">
        <v>722</v>
      </c>
      <c r="Y202" s="143" t="s">
        <v>663</v>
      </c>
      <c r="Z202" s="143">
        <v>2591</v>
      </c>
      <c r="AA202" s="143">
        <v>0</v>
      </c>
      <c r="AD202" s="137">
        <v>0</v>
      </c>
      <c r="AE202" s="137">
        <v>0.4</v>
      </c>
      <c r="AG202" s="143" t="s">
        <v>738</v>
      </c>
      <c r="AH202" s="143" t="s">
        <v>722</v>
      </c>
      <c r="AI202" s="143" t="s">
        <v>663</v>
      </c>
      <c r="AJ202" s="143">
        <v>2591</v>
      </c>
      <c r="AK202" s="143">
        <v>2</v>
      </c>
      <c r="AL202" s="156">
        <v>1.5</v>
      </c>
      <c r="AM202" s="156">
        <v>3.5</v>
      </c>
      <c r="AN202" s="156">
        <v>3</v>
      </c>
      <c r="AO202" s="156">
        <v>3</v>
      </c>
      <c r="AP202" s="156">
        <v>3.5</v>
      </c>
      <c r="AQ202" s="156">
        <v>3</v>
      </c>
      <c r="AR202" s="156">
        <v>3</v>
      </c>
      <c r="AS202" s="169">
        <v>3.214286</v>
      </c>
    </row>
    <row r="203" spans="1:45" x14ac:dyDescent="0.35">
      <c r="A203" s="143" t="s">
        <v>738</v>
      </c>
      <c r="B203" s="143" t="s">
        <v>722</v>
      </c>
      <c r="C203" s="143" t="s">
        <v>842</v>
      </c>
      <c r="D203" s="143">
        <v>2990</v>
      </c>
      <c r="E203" s="143">
        <v>2</v>
      </c>
      <c r="F203" s="137">
        <v>1</v>
      </c>
      <c r="G203" s="137">
        <v>1</v>
      </c>
      <c r="H203" s="137">
        <v>1</v>
      </c>
      <c r="I203" s="137">
        <v>0</v>
      </c>
      <c r="K203" s="143" t="s">
        <v>738</v>
      </c>
      <c r="L203" s="143" t="s">
        <v>722</v>
      </c>
      <c r="M203" s="143" t="s">
        <v>842</v>
      </c>
      <c r="N203" s="143">
        <v>2990</v>
      </c>
      <c r="O203" s="137">
        <v>0.4</v>
      </c>
      <c r="P203" s="137">
        <v>0.6</v>
      </c>
      <c r="Q203" s="137">
        <v>1</v>
      </c>
      <c r="R203" s="137" t="s">
        <v>2486</v>
      </c>
      <c r="S203" s="137">
        <v>0.5</v>
      </c>
      <c r="T203" s="137" t="s">
        <v>2486</v>
      </c>
      <c r="U203" s="137" t="s">
        <v>2486</v>
      </c>
      <c r="W203" s="143" t="s">
        <v>738</v>
      </c>
      <c r="X203" s="143" t="s">
        <v>722</v>
      </c>
      <c r="Y203" s="143" t="s">
        <v>842</v>
      </c>
      <c r="Z203" s="143">
        <v>2990</v>
      </c>
      <c r="AA203" s="143">
        <v>0</v>
      </c>
      <c r="AD203" s="137">
        <v>0</v>
      </c>
      <c r="AE203" s="137">
        <v>0.3333333</v>
      </c>
      <c r="AG203" s="143" t="s">
        <v>738</v>
      </c>
      <c r="AH203" s="143" t="s">
        <v>722</v>
      </c>
      <c r="AI203" s="143" t="s">
        <v>842</v>
      </c>
      <c r="AJ203" s="143">
        <v>2990</v>
      </c>
      <c r="AK203" s="143">
        <v>2</v>
      </c>
      <c r="AL203" s="156">
        <v>1.5</v>
      </c>
      <c r="AM203" s="156">
        <v>3.5</v>
      </c>
      <c r="AN203" s="156">
        <v>3.5</v>
      </c>
      <c r="AO203" s="156">
        <v>3</v>
      </c>
      <c r="AP203" s="156">
        <v>4</v>
      </c>
      <c r="AQ203" s="156">
        <v>4</v>
      </c>
      <c r="AR203" s="156">
        <v>3.5</v>
      </c>
      <c r="AS203" s="169">
        <v>3.5714290000000002</v>
      </c>
    </row>
    <row r="204" spans="1:45" x14ac:dyDescent="0.35">
      <c r="A204" s="143" t="s">
        <v>738</v>
      </c>
      <c r="B204" s="143" t="s">
        <v>722</v>
      </c>
      <c r="C204" s="143" t="s">
        <v>663</v>
      </c>
      <c r="D204" s="143">
        <v>4366</v>
      </c>
      <c r="E204" s="143">
        <v>2</v>
      </c>
      <c r="F204" s="137">
        <v>1</v>
      </c>
      <c r="G204" s="137">
        <v>1</v>
      </c>
      <c r="H204" s="137">
        <v>1</v>
      </c>
      <c r="I204" s="137">
        <v>0</v>
      </c>
      <c r="K204" s="143" t="s">
        <v>738</v>
      </c>
      <c r="L204" s="143" t="s">
        <v>722</v>
      </c>
      <c r="M204" s="143" t="s">
        <v>663</v>
      </c>
      <c r="N204" s="143">
        <v>4366</v>
      </c>
      <c r="O204" s="137">
        <v>0.4</v>
      </c>
      <c r="P204" s="137">
        <v>0.6</v>
      </c>
      <c r="Q204" s="137">
        <v>1</v>
      </c>
      <c r="R204" s="137" t="s">
        <v>2486</v>
      </c>
      <c r="S204" s="137">
        <v>0.5</v>
      </c>
      <c r="T204" s="137" t="s">
        <v>2486</v>
      </c>
      <c r="U204" s="137" t="s">
        <v>2838</v>
      </c>
      <c r="W204" s="143" t="s">
        <v>738</v>
      </c>
      <c r="X204" s="143" t="s">
        <v>722</v>
      </c>
      <c r="Y204" s="143" t="s">
        <v>663</v>
      </c>
      <c r="Z204" s="143">
        <v>4366</v>
      </c>
      <c r="AA204" s="143">
        <v>0</v>
      </c>
      <c r="AD204" s="137">
        <v>0</v>
      </c>
      <c r="AE204" s="137">
        <v>0.5</v>
      </c>
      <c r="AG204" s="143" t="s">
        <v>738</v>
      </c>
      <c r="AH204" s="143" t="s">
        <v>722</v>
      </c>
      <c r="AI204" s="143" t="s">
        <v>663</v>
      </c>
      <c r="AJ204" s="143">
        <v>4366</v>
      </c>
      <c r="AK204" s="143">
        <v>2</v>
      </c>
      <c r="AL204" s="156">
        <v>1</v>
      </c>
      <c r="AM204" s="156">
        <v>4</v>
      </c>
      <c r="AN204" s="156">
        <v>3.5</v>
      </c>
      <c r="AO204" s="156">
        <v>3</v>
      </c>
      <c r="AP204" s="156">
        <v>3</v>
      </c>
      <c r="AQ204" s="156">
        <v>3.5</v>
      </c>
      <c r="AR204" s="156">
        <v>3</v>
      </c>
      <c r="AS204" s="169">
        <v>3.4285709999999998</v>
      </c>
    </row>
    <row r="205" spans="1:45" x14ac:dyDescent="0.35">
      <c r="A205" s="143" t="s">
        <v>738</v>
      </c>
      <c r="B205" s="143" t="s">
        <v>722</v>
      </c>
      <c r="C205" s="143" t="s">
        <v>663</v>
      </c>
      <c r="D205" s="143">
        <v>4367</v>
      </c>
      <c r="E205" s="143">
        <v>2</v>
      </c>
      <c r="F205" s="137">
        <v>1</v>
      </c>
      <c r="G205" s="137">
        <v>1</v>
      </c>
      <c r="H205" s="137">
        <v>1</v>
      </c>
      <c r="I205" s="137">
        <v>0</v>
      </c>
      <c r="K205" s="143" t="s">
        <v>738</v>
      </c>
      <c r="L205" s="143" t="s">
        <v>722</v>
      </c>
      <c r="M205" s="143" t="s">
        <v>663</v>
      </c>
      <c r="N205" s="143">
        <v>4367</v>
      </c>
      <c r="O205" s="137">
        <v>0.3333333</v>
      </c>
      <c r="P205" s="137">
        <v>0.6</v>
      </c>
      <c r="Q205" s="137">
        <v>0.93333339999999998</v>
      </c>
      <c r="R205" s="137" t="s">
        <v>2487</v>
      </c>
      <c r="S205" s="137">
        <v>0.6</v>
      </c>
      <c r="T205" s="137" t="s">
        <v>2486</v>
      </c>
      <c r="U205" s="137" t="s">
        <v>2838</v>
      </c>
      <c r="W205" s="143" t="s">
        <v>738</v>
      </c>
      <c r="X205" s="143" t="s">
        <v>722</v>
      </c>
      <c r="Y205" s="143" t="s">
        <v>663</v>
      </c>
      <c r="Z205" s="143">
        <v>4367</v>
      </c>
      <c r="AA205" s="143">
        <v>0</v>
      </c>
      <c r="AD205" s="137">
        <v>0</v>
      </c>
      <c r="AE205" s="137">
        <v>0.4</v>
      </c>
      <c r="AG205" s="143" t="s">
        <v>738</v>
      </c>
      <c r="AH205" s="143" t="s">
        <v>722</v>
      </c>
      <c r="AI205" s="143" t="s">
        <v>663</v>
      </c>
      <c r="AJ205" s="143">
        <v>4367</v>
      </c>
      <c r="AK205" s="143">
        <v>2</v>
      </c>
      <c r="AL205" s="156">
        <v>1.5</v>
      </c>
      <c r="AM205" s="156">
        <v>3</v>
      </c>
      <c r="AN205" s="156">
        <v>3.5</v>
      </c>
      <c r="AO205" s="156">
        <v>3.5</v>
      </c>
      <c r="AP205" s="156">
        <v>2.5</v>
      </c>
      <c r="AQ205" s="156">
        <v>3</v>
      </c>
      <c r="AR205" s="156">
        <v>3</v>
      </c>
      <c r="AS205" s="169">
        <v>3.1428569999999998</v>
      </c>
    </row>
    <row r="206" spans="1:45" x14ac:dyDescent="0.35">
      <c r="A206" s="143" t="s">
        <v>738</v>
      </c>
      <c r="B206" s="143" t="s">
        <v>722</v>
      </c>
      <c r="C206" s="143" t="s">
        <v>663</v>
      </c>
      <c r="D206" s="143">
        <v>4369</v>
      </c>
      <c r="E206" s="143">
        <v>2</v>
      </c>
      <c r="F206" s="137">
        <v>1</v>
      </c>
      <c r="G206" s="137">
        <v>1</v>
      </c>
      <c r="H206" s="137">
        <v>1</v>
      </c>
      <c r="I206" s="137">
        <v>0</v>
      </c>
      <c r="K206" s="143" t="s">
        <v>738</v>
      </c>
      <c r="L206" s="143" t="s">
        <v>722</v>
      </c>
      <c r="M206" s="143" t="s">
        <v>663</v>
      </c>
      <c r="N206" s="143">
        <v>4369</v>
      </c>
      <c r="O206" s="137">
        <v>0.4</v>
      </c>
      <c r="P206" s="137">
        <v>0.6</v>
      </c>
      <c r="Q206" s="137">
        <v>1</v>
      </c>
      <c r="R206" s="137" t="s">
        <v>2486</v>
      </c>
      <c r="S206" s="137">
        <v>0.5</v>
      </c>
      <c r="T206" s="137" t="s">
        <v>2486</v>
      </c>
      <c r="U206" s="137" t="s">
        <v>2838</v>
      </c>
      <c r="W206" s="143" t="s">
        <v>738</v>
      </c>
      <c r="X206" s="143" t="s">
        <v>722</v>
      </c>
      <c r="Y206" s="143" t="s">
        <v>663</v>
      </c>
      <c r="Z206" s="143">
        <v>4369</v>
      </c>
      <c r="AA206" s="143">
        <v>0</v>
      </c>
      <c r="AD206" s="137">
        <v>0</v>
      </c>
      <c r="AE206" s="137">
        <v>0.5</v>
      </c>
      <c r="AG206" s="143" t="s">
        <v>738</v>
      </c>
      <c r="AH206" s="143" t="s">
        <v>722</v>
      </c>
      <c r="AI206" s="143" t="s">
        <v>663</v>
      </c>
      <c r="AJ206" s="143">
        <v>4369</v>
      </c>
      <c r="AK206" s="143">
        <v>2</v>
      </c>
      <c r="AL206" s="156">
        <v>1</v>
      </c>
      <c r="AM206" s="156">
        <v>4</v>
      </c>
      <c r="AN206" s="156">
        <v>3.5</v>
      </c>
      <c r="AO206" s="156">
        <v>3.5</v>
      </c>
      <c r="AP206" s="156">
        <v>2</v>
      </c>
      <c r="AQ206" s="156">
        <v>3</v>
      </c>
      <c r="AR206" s="156">
        <v>3</v>
      </c>
      <c r="AS206" s="169">
        <v>3.285714</v>
      </c>
    </row>
    <row r="207" spans="1:45" x14ac:dyDescent="0.35">
      <c r="A207" s="143" t="s">
        <v>738</v>
      </c>
      <c r="B207" s="143" t="s">
        <v>722</v>
      </c>
      <c r="C207" s="143" t="s">
        <v>663</v>
      </c>
      <c r="D207" s="143">
        <v>4449</v>
      </c>
      <c r="E207" s="143">
        <v>2</v>
      </c>
      <c r="F207" s="137">
        <v>1</v>
      </c>
      <c r="G207" s="137">
        <v>1</v>
      </c>
      <c r="H207" s="137">
        <v>1</v>
      </c>
      <c r="I207" s="137">
        <v>0</v>
      </c>
      <c r="K207" s="143" t="s">
        <v>738</v>
      </c>
      <c r="L207" s="143" t="s">
        <v>722</v>
      </c>
      <c r="M207" s="143" t="s">
        <v>663</v>
      </c>
      <c r="N207" s="143">
        <v>4449</v>
      </c>
      <c r="O207" s="137">
        <v>0.4</v>
      </c>
      <c r="P207" s="137">
        <v>0.6</v>
      </c>
      <c r="Q207" s="137">
        <v>1</v>
      </c>
      <c r="R207" s="137" t="s">
        <v>2486</v>
      </c>
      <c r="S207" s="137">
        <v>0.75</v>
      </c>
      <c r="T207" s="137" t="s">
        <v>2486</v>
      </c>
      <c r="U207" s="137" t="s">
        <v>2838</v>
      </c>
      <c r="W207" s="143" t="s">
        <v>738</v>
      </c>
      <c r="X207" s="143" t="s">
        <v>722</v>
      </c>
      <c r="Y207" s="143" t="s">
        <v>663</v>
      </c>
      <c r="Z207" s="143">
        <v>4449</v>
      </c>
      <c r="AA207" s="143">
        <v>0</v>
      </c>
      <c r="AD207" s="137">
        <v>0</v>
      </c>
      <c r="AE207" s="137">
        <v>0.75</v>
      </c>
      <c r="AG207" s="143" t="s">
        <v>738</v>
      </c>
      <c r="AH207" s="143" t="s">
        <v>722</v>
      </c>
      <c r="AI207" s="143" t="s">
        <v>663</v>
      </c>
      <c r="AJ207" s="143">
        <v>4449</v>
      </c>
      <c r="AK207" s="143">
        <v>2</v>
      </c>
      <c r="AL207" s="156">
        <v>2</v>
      </c>
      <c r="AM207" s="156">
        <v>3</v>
      </c>
      <c r="AN207" s="156">
        <v>3</v>
      </c>
      <c r="AO207" s="156">
        <v>3</v>
      </c>
      <c r="AP207" s="156">
        <v>2</v>
      </c>
      <c r="AQ207" s="156">
        <v>3</v>
      </c>
      <c r="AR207" s="156">
        <v>3</v>
      </c>
      <c r="AS207" s="169">
        <v>2.8571430000000002</v>
      </c>
    </row>
    <row r="208" spans="1:45" x14ac:dyDescent="0.35">
      <c r="A208" s="143" t="s">
        <v>739</v>
      </c>
      <c r="B208" s="143" t="s">
        <v>720</v>
      </c>
      <c r="C208" s="143" t="s">
        <v>842</v>
      </c>
      <c r="D208" s="143">
        <v>2</v>
      </c>
      <c r="E208" s="143">
        <v>2</v>
      </c>
      <c r="F208" s="137">
        <v>1</v>
      </c>
      <c r="G208" s="137">
        <v>1</v>
      </c>
      <c r="H208" s="137">
        <v>1</v>
      </c>
      <c r="I208" s="137">
        <v>0</v>
      </c>
      <c r="K208" s="143" t="s">
        <v>739</v>
      </c>
      <c r="L208" s="143" t="s">
        <v>720</v>
      </c>
      <c r="M208" s="143" t="s">
        <v>842</v>
      </c>
      <c r="N208" s="143">
        <v>2</v>
      </c>
      <c r="O208" s="137">
        <v>0.4</v>
      </c>
      <c r="P208" s="137">
        <v>0</v>
      </c>
      <c r="Q208" s="137">
        <v>0.4</v>
      </c>
      <c r="R208" s="137" t="s">
        <v>2487</v>
      </c>
      <c r="S208" s="137">
        <v>0.5</v>
      </c>
      <c r="T208" s="137" t="s">
        <v>2487</v>
      </c>
      <c r="U208" s="137" t="s">
        <v>2486</v>
      </c>
      <c r="W208" s="143" t="s">
        <v>739</v>
      </c>
      <c r="X208" s="143" t="s">
        <v>720</v>
      </c>
      <c r="Y208" s="143" t="s">
        <v>842</v>
      </c>
      <c r="Z208" s="143">
        <v>2</v>
      </c>
      <c r="AA208" s="143">
        <v>0</v>
      </c>
      <c r="AD208" s="137">
        <v>0</v>
      </c>
      <c r="AG208" s="143" t="s">
        <v>739</v>
      </c>
      <c r="AH208" s="143" t="s">
        <v>720</v>
      </c>
      <c r="AI208" s="143" t="s">
        <v>842</v>
      </c>
      <c r="AJ208" s="143">
        <v>2</v>
      </c>
      <c r="AK208" s="143">
        <v>2</v>
      </c>
      <c r="AL208" s="156">
        <v>2</v>
      </c>
      <c r="AM208" s="156">
        <v>3.5</v>
      </c>
      <c r="AN208" s="156">
        <v>3.5</v>
      </c>
      <c r="AO208" s="156">
        <v>3.5</v>
      </c>
      <c r="AP208" s="156">
        <v>1.5</v>
      </c>
      <c r="AQ208" s="156">
        <v>3.5</v>
      </c>
      <c r="AR208" s="156">
        <v>3.5</v>
      </c>
      <c r="AS208" s="169">
        <v>3.1428569999999998</v>
      </c>
    </row>
    <row r="209" spans="1:45" x14ac:dyDescent="0.35">
      <c r="A209" s="143" t="s">
        <v>739</v>
      </c>
      <c r="B209" s="143" t="s">
        <v>720</v>
      </c>
      <c r="C209" s="143" t="s">
        <v>842</v>
      </c>
      <c r="D209" s="143">
        <v>9</v>
      </c>
      <c r="E209" s="143">
        <v>2</v>
      </c>
      <c r="F209" s="137">
        <v>1</v>
      </c>
      <c r="G209" s="137">
        <v>1</v>
      </c>
      <c r="H209" s="137">
        <v>1</v>
      </c>
      <c r="I209" s="137">
        <v>0</v>
      </c>
      <c r="K209" s="143" t="s">
        <v>739</v>
      </c>
      <c r="L209" s="143" t="s">
        <v>720</v>
      </c>
      <c r="M209" s="143" t="s">
        <v>842</v>
      </c>
      <c r="N209" s="143">
        <v>9</v>
      </c>
      <c r="O209" s="137">
        <v>0.4</v>
      </c>
      <c r="P209" s="137">
        <v>0.6</v>
      </c>
      <c r="Q209" s="137">
        <v>1</v>
      </c>
      <c r="R209" s="137" t="s">
        <v>2486</v>
      </c>
      <c r="S209" s="137">
        <v>0.625</v>
      </c>
      <c r="T209" s="137" t="s">
        <v>2486</v>
      </c>
      <c r="U209" s="137" t="s">
        <v>2486</v>
      </c>
      <c r="W209" s="143" t="s">
        <v>739</v>
      </c>
      <c r="X209" s="143" t="s">
        <v>720</v>
      </c>
      <c r="Y209" s="143" t="s">
        <v>842</v>
      </c>
      <c r="Z209" s="143">
        <v>9</v>
      </c>
      <c r="AA209" s="143">
        <v>0</v>
      </c>
      <c r="AD209" s="137">
        <v>0</v>
      </c>
      <c r="AG209" s="143" t="s">
        <v>739</v>
      </c>
      <c r="AH209" s="143" t="s">
        <v>720</v>
      </c>
      <c r="AI209" s="143" t="s">
        <v>842</v>
      </c>
      <c r="AJ209" s="143">
        <v>9</v>
      </c>
      <c r="AK209" s="143">
        <v>2</v>
      </c>
      <c r="AL209" s="156">
        <v>2</v>
      </c>
      <c r="AM209" s="156">
        <v>3.5</v>
      </c>
      <c r="AN209" s="156">
        <v>3</v>
      </c>
      <c r="AO209" s="156">
        <v>3</v>
      </c>
      <c r="AP209" s="156">
        <v>3</v>
      </c>
      <c r="AQ209" s="156">
        <v>3</v>
      </c>
      <c r="AR209" s="156">
        <v>3.5</v>
      </c>
      <c r="AS209" s="169">
        <v>3.1428569999999998</v>
      </c>
    </row>
    <row r="210" spans="1:45" x14ac:dyDescent="0.35">
      <c r="A210" s="143" t="s">
        <v>739</v>
      </c>
      <c r="B210" s="143" t="s">
        <v>720</v>
      </c>
      <c r="C210" s="143" t="s">
        <v>843</v>
      </c>
      <c r="D210" s="143">
        <v>40</v>
      </c>
      <c r="E210" s="143">
        <v>8</v>
      </c>
      <c r="F210" s="137">
        <v>1</v>
      </c>
      <c r="G210" s="137">
        <v>1</v>
      </c>
      <c r="H210" s="137">
        <v>1</v>
      </c>
      <c r="I210" s="137">
        <v>0</v>
      </c>
      <c r="K210" s="143" t="s">
        <v>739</v>
      </c>
      <c r="L210" s="143" t="s">
        <v>720</v>
      </c>
      <c r="M210" s="143" t="s">
        <v>843</v>
      </c>
      <c r="N210" s="143">
        <v>40</v>
      </c>
      <c r="O210" s="137">
        <v>0.35</v>
      </c>
      <c r="P210" s="137">
        <v>0.52500000000000002</v>
      </c>
      <c r="Q210" s="137">
        <v>0.875</v>
      </c>
      <c r="R210" s="137" t="s">
        <v>2487</v>
      </c>
      <c r="S210" s="137">
        <v>0.43243239999999999</v>
      </c>
      <c r="T210" s="137" t="s">
        <v>2486</v>
      </c>
      <c r="U210" s="137" t="s">
        <v>2486</v>
      </c>
      <c r="W210" s="143" t="s">
        <v>739</v>
      </c>
      <c r="X210" s="143" t="s">
        <v>720</v>
      </c>
      <c r="Y210" s="143" t="s">
        <v>843</v>
      </c>
      <c r="Z210" s="143">
        <v>40</v>
      </c>
      <c r="AA210" s="143">
        <v>8</v>
      </c>
      <c r="AB210" s="137">
        <v>0.25</v>
      </c>
      <c r="AC210" s="137">
        <v>0</v>
      </c>
      <c r="AD210" s="137">
        <v>0</v>
      </c>
      <c r="AG210" s="143" t="s">
        <v>739</v>
      </c>
      <c r="AH210" s="143" t="s">
        <v>720</v>
      </c>
      <c r="AI210" s="143" t="s">
        <v>843</v>
      </c>
      <c r="AJ210" s="143">
        <v>40</v>
      </c>
      <c r="AK210" s="143">
        <v>8</v>
      </c>
      <c r="AL210" s="156">
        <v>2.75</v>
      </c>
      <c r="AM210" s="156">
        <v>3.125</v>
      </c>
      <c r="AN210" s="156">
        <v>3</v>
      </c>
      <c r="AO210" s="156">
        <v>2.75</v>
      </c>
      <c r="AP210" s="156">
        <v>2.875</v>
      </c>
      <c r="AQ210" s="156">
        <v>2.625</v>
      </c>
      <c r="AR210" s="156">
        <v>2.875</v>
      </c>
      <c r="AS210" s="169">
        <v>2.839286</v>
      </c>
    </row>
    <row r="211" spans="1:45" x14ac:dyDescent="0.35">
      <c r="A211" s="143" t="s">
        <v>739</v>
      </c>
      <c r="B211" s="143" t="s">
        <v>720</v>
      </c>
      <c r="C211" s="143" t="s">
        <v>842</v>
      </c>
      <c r="D211" s="143">
        <v>1104</v>
      </c>
      <c r="E211" s="143">
        <v>2</v>
      </c>
      <c r="F211" s="137">
        <v>1</v>
      </c>
      <c r="G211" s="137">
        <v>1</v>
      </c>
      <c r="H211" s="137">
        <v>1</v>
      </c>
      <c r="I211" s="137">
        <v>0</v>
      </c>
      <c r="K211" s="143" t="s">
        <v>739</v>
      </c>
      <c r="L211" s="143" t="s">
        <v>720</v>
      </c>
      <c r="M211" s="143" t="s">
        <v>842</v>
      </c>
      <c r="N211" s="143">
        <v>1104</v>
      </c>
      <c r="O211" s="137">
        <v>0.4</v>
      </c>
      <c r="P211" s="137">
        <v>0.6</v>
      </c>
      <c r="Q211" s="137">
        <v>1</v>
      </c>
      <c r="R211" s="137" t="s">
        <v>2486</v>
      </c>
      <c r="S211" s="137">
        <v>0.5</v>
      </c>
      <c r="T211" s="137" t="s">
        <v>2486</v>
      </c>
      <c r="U211" s="137" t="s">
        <v>2486</v>
      </c>
      <c r="W211" s="143" t="s">
        <v>739</v>
      </c>
      <c r="X211" s="143" t="s">
        <v>720</v>
      </c>
      <c r="Y211" s="143" t="s">
        <v>842</v>
      </c>
      <c r="Z211" s="143">
        <v>1104</v>
      </c>
      <c r="AA211" s="143">
        <v>0</v>
      </c>
      <c r="AD211" s="137">
        <v>0</v>
      </c>
      <c r="AG211" s="143" t="s">
        <v>739</v>
      </c>
      <c r="AH211" s="143" t="s">
        <v>720</v>
      </c>
      <c r="AI211" s="143" t="s">
        <v>842</v>
      </c>
      <c r="AJ211" s="143">
        <v>1104</v>
      </c>
      <c r="AK211" s="143">
        <v>2</v>
      </c>
      <c r="AL211" s="156">
        <v>2.5</v>
      </c>
      <c r="AM211" s="156">
        <v>4</v>
      </c>
      <c r="AN211" s="156">
        <v>3</v>
      </c>
      <c r="AO211" s="156">
        <v>4</v>
      </c>
      <c r="AP211" s="156">
        <v>2</v>
      </c>
      <c r="AQ211" s="156">
        <v>3.5</v>
      </c>
      <c r="AR211" s="156">
        <v>3.5</v>
      </c>
      <c r="AS211" s="169">
        <v>3.214286</v>
      </c>
    </row>
    <row r="212" spans="1:45" x14ac:dyDescent="0.35">
      <c r="A212" s="143" t="s">
        <v>739</v>
      </c>
      <c r="B212" s="143" t="s">
        <v>720</v>
      </c>
      <c r="C212" s="143" t="s">
        <v>841</v>
      </c>
      <c r="D212" s="143">
        <v>1671</v>
      </c>
      <c r="E212" s="143">
        <v>3</v>
      </c>
      <c r="F212" s="137">
        <v>1</v>
      </c>
      <c r="G212" s="137">
        <v>1</v>
      </c>
      <c r="H212" s="137">
        <v>1</v>
      </c>
      <c r="I212" s="137">
        <v>0</v>
      </c>
      <c r="K212" s="143" t="s">
        <v>739</v>
      </c>
      <c r="L212" s="143" t="s">
        <v>720</v>
      </c>
      <c r="M212" s="143" t="s">
        <v>841</v>
      </c>
      <c r="N212" s="143">
        <v>1671</v>
      </c>
      <c r="O212" s="137">
        <v>0.4</v>
      </c>
      <c r="P212" s="137">
        <v>0.6</v>
      </c>
      <c r="Q212" s="137">
        <v>1</v>
      </c>
      <c r="R212" s="137" t="s">
        <v>2486</v>
      </c>
      <c r="S212" s="137">
        <v>0.6</v>
      </c>
      <c r="T212" s="137" t="s">
        <v>2486</v>
      </c>
      <c r="U212" s="137" t="s">
        <v>2486</v>
      </c>
      <c r="W212" s="143" t="s">
        <v>739</v>
      </c>
      <c r="X212" s="143" t="s">
        <v>720</v>
      </c>
      <c r="Y212" s="143" t="s">
        <v>841</v>
      </c>
      <c r="Z212" s="143">
        <v>1671</v>
      </c>
      <c r="AA212" s="143">
        <v>0</v>
      </c>
      <c r="AD212" s="137">
        <v>0</v>
      </c>
      <c r="AG212" s="143" t="s">
        <v>739</v>
      </c>
      <c r="AH212" s="143" t="s">
        <v>720</v>
      </c>
      <c r="AI212" s="143" t="s">
        <v>841</v>
      </c>
      <c r="AJ212" s="143">
        <v>1671</v>
      </c>
      <c r="AK212" s="143">
        <v>3</v>
      </c>
      <c r="AL212" s="156">
        <v>2.3333332538604701</v>
      </c>
      <c r="AM212" s="156">
        <v>3</v>
      </c>
      <c r="AN212" s="156">
        <v>3</v>
      </c>
      <c r="AO212" s="156">
        <v>3</v>
      </c>
      <c r="AP212" s="156">
        <v>3</v>
      </c>
      <c r="AQ212" s="156">
        <v>3</v>
      </c>
      <c r="AR212" s="156">
        <v>3</v>
      </c>
      <c r="AS212" s="169">
        <v>2.9523809999999999</v>
      </c>
    </row>
    <row r="213" spans="1:45" x14ac:dyDescent="0.35">
      <c r="A213" s="143" t="s">
        <v>739</v>
      </c>
      <c r="B213" s="143" t="s">
        <v>720</v>
      </c>
      <c r="C213" s="143" t="s">
        <v>842</v>
      </c>
      <c r="D213" s="143">
        <v>1714</v>
      </c>
      <c r="E213" s="143">
        <v>2</v>
      </c>
      <c r="F213" s="137">
        <v>1</v>
      </c>
      <c r="G213" s="137">
        <v>1</v>
      </c>
      <c r="H213" s="137">
        <v>1</v>
      </c>
      <c r="I213" s="137">
        <v>0</v>
      </c>
      <c r="K213" s="143" t="s">
        <v>739</v>
      </c>
      <c r="L213" s="143" t="s">
        <v>720</v>
      </c>
      <c r="M213" s="143" t="s">
        <v>842</v>
      </c>
      <c r="N213" s="143">
        <v>1714</v>
      </c>
      <c r="O213" s="137">
        <v>0.39466669999999998</v>
      </c>
      <c r="P213" s="137">
        <v>0.6</v>
      </c>
      <c r="Q213" s="137">
        <v>0.99466670000000001</v>
      </c>
      <c r="R213" s="137" t="s">
        <v>2487</v>
      </c>
      <c r="S213" s="137">
        <v>0.5</v>
      </c>
      <c r="T213" s="137" t="s">
        <v>2486</v>
      </c>
      <c r="U213" s="137" t="s">
        <v>2487</v>
      </c>
      <c r="W213" s="143" t="s">
        <v>739</v>
      </c>
      <c r="X213" s="143" t="s">
        <v>720</v>
      </c>
      <c r="Y213" s="143" t="s">
        <v>842</v>
      </c>
      <c r="Z213" s="143">
        <v>1714</v>
      </c>
      <c r="AA213" s="143">
        <v>0</v>
      </c>
      <c r="AD213" s="137">
        <v>0</v>
      </c>
      <c r="AG213" s="143" t="s">
        <v>739</v>
      </c>
      <c r="AH213" s="143" t="s">
        <v>720</v>
      </c>
      <c r="AI213" s="143" t="s">
        <v>842</v>
      </c>
      <c r="AJ213" s="143">
        <v>1714</v>
      </c>
      <c r="AK213" s="143">
        <v>2</v>
      </c>
      <c r="AL213" s="156">
        <v>2.5</v>
      </c>
      <c r="AM213" s="156">
        <v>3</v>
      </c>
      <c r="AN213" s="156">
        <v>3</v>
      </c>
      <c r="AO213" s="156">
        <v>3</v>
      </c>
      <c r="AP213" s="156">
        <v>3</v>
      </c>
      <c r="AQ213" s="156">
        <v>3</v>
      </c>
      <c r="AR213" s="156">
        <v>3</v>
      </c>
      <c r="AS213" s="169">
        <v>2.9285709999999998</v>
      </c>
    </row>
    <row r="214" spans="1:45" x14ac:dyDescent="0.35">
      <c r="A214" s="143" t="s">
        <v>739</v>
      </c>
      <c r="B214" s="143" t="s">
        <v>720</v>
      </c>
      <c r="C214" s="143" t="s">
        <v>842</v>
      </c>
      <c r="D214" s="143">
        <v>1743</v>
      </c>
      <c r="E214" s="143">
        <v>2</v>
      </c>
      <c r="F214" s="137">
        <v>1</v>
      </c>
      <c r="G214" s="137">
        <v>1</v>
      </c>
      <c r="H214" s="137">
        <v>1</v>
      </c>
      <c r="I214" s="137">
        <v>0</v>
      </c>
      <c r="K214" s="143" t="s">
        <v>739</v>
      </c>
      <c r="L214" s="143" t="s">
        <v>720</v>
      </c>
      <c r="M214" s="143" t="s">
        <v>842</v>
      </c>
      <c r="N214" s="143">
        <v>1743</v>
      </c>
      <c r="O214" s="137">
        <v>0.3973333</v>
      </c>
      <c r="P214" s="137">
        <v>0.6</v>
      </c>
      <c r="Q214" s="137">
        <v>0.99733329999999998</v>
      </c>
      <c r="R214" s="137" t="s">
        <v>2487</v>
      </c>
      <c r="S214" s="137">
        <v>0.5</v>
      </c>
      <c r="T214" s="137" t="s">
        <v>2486</v>
      </c>
      <c r="U214" s="137" t="s">
        <v>2486</v>
      </c>
      <c r="W214" s="143" t="s">
        <v>739</v>
      </c>
      <c r="X214" s="143" t="s">
        <v>720</v>
      </c>
      <c r="Y214" s="143" t="s">
        <v>842</v>
      </c>
      <c r="Z214" s="143">
        <v>1743</v>
      </c>
      <c r="AA214" s="143">
        <v>0</v>
      </c>
      <c r="AD214" s="137">
        <v>0</v>
      </c>
      <c r="AG214" s="143" t="s">
        <v>739</v>
      </c>
      <c r="AH214" s="143" t="s">
        <v>720</v>
      </c>
      <c r="AI214" s="143" t="s">
        <v>842</v>
      </c>
      <c r="AJ214" s="143">
        <v>1743</v>
      </c>
      <c r="AK214" s="143">
        <v>2</v>
      </c>
      <c r="AL214" s="156">
        <v>2.5</v>
      </c>
      <c r="AM214" s="156">
        <v>3</v>
      </c>
      <c r="AN214" s="156">
        <v>3</v>
      </c>
      <c r="AO214" s="156">
        <v>3</v>
      </c>
      <c r="AP214" s="156">
        <v>3</v>
      </c>
      <c r="AQ214" s="156">
        <v>3</v>
      </c>
      <c r="AR214" s="156">
        <v>3</v>
      </c>
      <c r="AS214" s="169">
        <v>2.9285709999999998</v>
      </c>
    </row>
    <row r="215" spans="1:45" x14ac:dyDescent="0.35">
      <c r="A215" s="143" t="s">
        <v>739</v>
      </c>
      <c r="B215" s="143" t="s">
        <v>720</v>
      </c>
      <c r="C215" s="143" t="s">
        <v>841</v>
      </c>
      <c r="D215" s="143">
        <v>2150</v>
      </c>
      <c r="E215" s="143">
        <v>3</v>
      </c>
      <c r="F215" s="137">
        <v>1</v>
      </c>
      <c r="G215" s="137">
        <v>1</v>
      </c>
      <c r="H215" s="137">
        <v>1</v>
      </c>
      <c r="I215" s="137">
        <v>0</v>
      </c>
      <c r="K215" s="143" t="s">
        <v>739</v>
      </c>
      <c r="L215" s="143" t="s">
        <v>720</v>
      </c>
      <c r="M215" s="143" t="s">
        <v>841</v>
      </c>
      <c r="N215" s="143">
        <v>2150</v>
      </c>
      <c r="O215" s="137">
        <v>0.4</v>
      </c>
      <c r="P215" s="137">
        <v>0.6</v>
      </c>
      <c r="Q215" s="137">
        <v>1</v>
      </c>
      <c r="R215" s="137" t="s">
        <v>2486</v>
      </c>
      <c r="S215" s="137">
        <v>0.5</v>
      </c>
      <c r="T215" s="137" t="s">
        <v>2486</v>
      </c>
      <c r="U215" s="137" t="s">
        <v>2486</v>
      </c>
      <c r="W215" s="143" t="s">
        <v>739</v>
      </c>
      <c r="X215" s="143" t="s">
        <v>720</v>
      </c>
      <c r="Y215" s="143" t="s">
        <v>841</v>
      </c>
      <c r="Z215" s="143">
        <v>2150</v>
      </c>
      <c r="AA215" s="143">
        <v>0</v>
      </c>
      <c r="AD215" s="137">
        <v>0</v>
      </c>
      <c r="AG215" s="143" t="s">
        <v>739</v>
      </c>
      <c r="AH215" s="143" t="s">
        <v>720</v>
      </c>
      <c r="AI215" s="143" t="s">
        <v>841</v>
      </c>
      <c r="AJ215" s="143">
        <v>2150</v>
      </c>
      <c r="AK215" s="143">
        <v>3</v>
      </c>
      <c r="AL215" s="156">
        <v>2</v>
      </c>
      <c r="AM215" s="156">
        <v>3</v>
      </c>
      <c r="AN215" s="156">
        <v>3.3333332538604701</v>
      </c>
      <c r="AO215" s="156">
        <v>3.3333332538604701</v>
      </c>
      <c r="AP215" s="156">
        <v>1.3333333730697601</v>
      </c>
      <c r="AQ215" s="156">
        <v>2</v>
      </c>
      <c r="AR215" s="156">
        <v>2.6666667461395299</v>
      </c>
      <c r="AS215" s="169">
        <v>2.6666669999999999</v>
      </c>
    </row>
    <row r="216" spans="1:45" x14ac:dyDescent="0.35">
      <c r="A216" s="143" t="s">
        <v>739</v>
      </c>
      <c r="B216" s="143" t="s">
        <v>720</v>
      </c>
      <c r="C216" s="143" t="s">
        <v>842</v>
      </c>
      <c r="D216" s="143">
        <v>2153</v>
      </c>
      <c r="E216" s="143">
        <v>2</v>
      </c>
      <c r="F216" s="137">
        <v>1</v>
      </c>
      <c r="G216" s="137">
        <v>1</v>
      </c>
      <c r="H216" s="137">
        <v>1</v>
      </c>
      <c r="I216" s="137">
        <v>0</v>
      </c>
      <c r="K216" s="143" t="s">
        <v>739</v>
      </c>
      <c r="L216" s="143" t="s">
        <v>720</v>
      </c>
      <c r="M216" s="143" t="s">
        <v>842</v>
      </c>
      <c r="N216" s="143">
        <v>2153</v>
      </c>
      <c r="O216" s="137">
        <v>0.4</v>
      </c>
      <c r="P216" s="137">
        <v>0.6</v>
      </c>
      <c r="Q216" s="137">
        <v>1</v>
      </c>
      <c r="R216" s="137" t="s">
        <v>2486</v>
      </c>
      <c r="S216" s="137">
        <v>0.57142859999999995</v>
      </c>
      <c r="T216" s="137" t="s">
        <v>2486</v>
      </c>
      <c r="U216" s="137" t="s">
        <v>2486</v>
      </c>
      <c r="W216" s="143" t="s">
        <v>739</v>
      </c>
      <c r="X216" s="143" t="s">
        <v>720</v>
      </c>
      <c r="Y216" s="143" t="s">
        <v>842</v>
      </c>
      <c r="Z216" s="143">
        <v>2153</v>
      </c>
      <c r="AA216" s="143">
        <v>0</v>
      </c>
      <c r="AD216" s="137">
        <v>0</v>
      </c>
      <c r="AG216" s="143" t="s">
        <v>739</v>
      </c>
      <c r="AH216" s="143" t="s">
        <v>720</v>
      </c>
      <c r="AI216" s="143" t="s">
        <v>842</v>
      </c>
      <c r="AJ216" s="143">
        <v>2153</v>
      </c>
      <c r="AK216" s="143">
        <v>2</v>
      </c>
      <c r="AL216" s="156">
        <v>2</v>
      </c>
      <c r="AM216" s="156">
        <v>3</v>
      </c>
      <c r="AN216" s="156">
        <v>3</v>
      </c>
      <c r="AO216" s="156">
        <v>3</v>
      </c>
      <c r="AP216" s="156">
        <v>3</v>
      </c>
      <c r="AQ216" s="156">
        <v>3</v>
      </c>
      <c r="AR216" s="156">
        <v>3</v>
      </c>
      <c r="AS216" s="169">
        <v>3</v>
      </c>
    </row>
    <row r="217" spans="1:45" x14ac:dyDescent="0.35">
      <c r="A217" s="143" t="s">
        <v>739</v>
      </c>
      <c r="B217" s="143" t="s">
        <v>720</v>
      </c>
      <c r="C217" s="143" t="s">
        <v>663</v>
      </c>
      <c r="D217" s="143">
        <v>2746</v>
      </c>
      <c r="E217" s="143">
        <v>2</v>
      </c>
      <c r="F217" s="137">
        <v>1</v>
      </c>
      <c r="G217" s="137">
        <v>1</v>
      </c>
      <c r="H217" s="137">
        <v>1</v>
      </c>
      <c r="I217" s="137">
        <v>0</v>
      </c>
      <c r="K217" s="143" t="s">
        <v>739</v>
      </c>
      <c r="L217" s="143" t="s">
        <v>720</v>
      </c>
      <c r="M217" s="143" t="s">
        <v>663</v>
      </c>
      <c r="N217" s="143">
        <v>2746</v>
      </c>
      <c r="O217" s="137">
        <v>0.25600000000000001</v>
      </c>
      <c r="P217" s="137">
        <v>0.6</v>
      </c>
      <c r="Q217" s="137">
        <v>0.85600010000000004</v>
      </c>
      <c r="R217" s="137" t="s">
        <v>2487</v>
      </c>
      <c r="T217" s="137" t="s">
        <v>2486</v>
      </c>
      <c r="U217" s="137" t="s">
        <v>2838</v>
      </c>
      <c r="W217" s="143" t="s">
        <v>739</v>
      </c>
      <c r="X217" s="143" t="s">
        <v>720</v>
      </c>
      <c r="Y217" s="143" t="s">
        <v>663</v>
      </c>
      <c r="Z217" s="143">
        <v>2746</v>
      </c>
      <c r="AA217" s="143">
        <v>0</v>
      </c>
      <c r="AD217" s="137">
        <v>0</v>
      </c>
      <c r="AG217" s="143" t="s">
        <v>739</v>
      </c>
      <c r="AH217" s="143" t="s">
        <v>720</v>
      </c>
      <c r="AI217" s="143" t="s">
        <v>663</v>
      </c>
      <c r="AJ217" s="143">
        <v>2746</v>
      </c>
      <c r="AK217" s="143">
        <v>2</v>
      </c>
      <c r="AL217" s="156">
        <v>1.5</v>
      </c>
      <c r="AM217" s="156">
        <v>3.5</v>
      </c>
      <c r="AN217" s="156">
        <v>4</v>
      </c>
      <c r="AO217" s="156">
        <v>3.5</v>
      </c>
      <c r="AP217" s="156">
        <v>2.5</v>
      </c>
      <c r="AQ217" s="156">
        <v>3.5</v>
      </c>
      <c r="AR217" s="156">
        <v>4</v>
      </c>
      <c r="AS217" s="169">
        <v>3.5</v>
      </c>
    </row>
    <row r="218" spans="1:45" x14ac:dyDescent="0.35">
      <c r="A218" s="143" t="s">
        <v>739</v>
      </c>
      <c r="B218" s="143" t="s">
        <v>720</v>
      </c>
      <c r="C218" s="143" t="s">
        <v>663</v>
      </c>
      <c r="D218" s="143">
        <v>4161</v>
      </c>
      <c r="E218" s="143">
        <v>2</v>
      </c>
      <c r="F218" s="137">
        <v>1</v>
      </c>
      <c r="G218" s="137">
        <v>1</v>
      </c>
      <c r="H218" s="137">
        <v>1</v>
      </c>
      <c r="I218" s="137">
        <v>0</v>
      </c>
      <c r="K218" s="143" t="s">
        <v>739</v>
      </c>
      <c r="L218" s="143" t="s">
        <v>720</v>
      </c>
      <c r="M218" s="143" t="s">
        <v>663</v>
      </c>
      <c r="N218" s="143">
        <v>4161</v>
      </c>
      <c r="O218" s="137">
        <v>0.4</v>
      </c>
      <c r="P218" s="137">
        <v>0.6</v>
      </c>
      <c r="Q218" s="137">
        <v>1</v>
      </c>
      <c r="R218" s="137" t="s">
        <v>2486</v>
      </c>
      <c r="S218" s="137">
        <v>0.66666669999999995</v>
      </c>
      <c r="T218" s="137" t="s">
        <v>2486</v>
      </c>
      <c r="U218" s="137" t="s">
        <v>2838</v>
      </c>
      <c r="W218" s="143" t="s">
        <v>739</v>
      </c>
      <c r="X218" s="143" t="s">
        <v>720</v>
      </c>
      <c r="Y218" s="143" t="s">
        <v>663</v>
      </c>
      <c r="Z218" s="143">
        <v>4161</v>
      </c>
      <c r="AA218" s="143">
        <v>0</v>
      </c>
      <c r="AD218" s="137">
        <v>0</v>
      </c>
      <c r="AE218" s="137">
        <v>0.3333333</v>
      </c>
      <c r="AG218" s="143" t="s">
        <v>739</v>
      </c>
      <c r="AH218" s="143" t="s">
        <v>720</v>
      </c>
      <c r="AI218" s="143" t="s">
        <v>663</v>
      </c>
      <c r="AJ218" s="143">
        <v>4161</v>
      </c>
      <c r="AK218" s="143">
        <v>2</v>
      </c>
      <c r="AL218" s="156">
        <v>2.5</v>
      </c>
      <c r="AM218" s="156">
        <v>3</v>
      </c>
      <c r="AN218" s="156">
        <v>3</v>
      </c>
      <c r="AO218" s="156">
        <v>3</v>
      </c>
      <c r="AP218" s="156">
        <v>3</v>
      </c>
      <c r="AQ218" s="156">
        <v>3</v>
      </c>
      <c r="AR218" s="156">
        <v>3</v>
      </c>
      <c r="AS218" s="169">
        <v>2.9285709999999998</v>
      </c>
    </row>
    <row r="219" spans="1:45" x14ac:dyDescent="0.35">
      <c r="A219" s="143" t="s">
        <v>2845</v>
      </c>
      <c r="B219" s="143" t="s">
        <v>734</v>
      </c>
      <c r="C219" s="143" t="s">
        <v>841</v>
      </c>
      <c r="D219" s="143">
        <v>747</v>
      </c>
      <c r="F219" s="137">
        <v>0.66666669999999995</v>
      </c>
      <c r="G219" s="137">
        <v>0.66666669999999995</v>
      </c>
      <c r="H219" s="137"/>
      <c r="I219" s="137"/>
      <c r="K219" s="143" t="s">
        <v>2845</v>
      </c>
      <c r="L219" s="143" t="s">
        <v>734</v>
      </c>
      <c r="M219" s="143" t="s">
        <v>841</v>
      </c>
      <c r="N219" s="143">
        <v>747</v>
      </c>
      <c r="O219" s="137">
        <v>0.26666669999999998</v>
      </c>
      <c r="Q219" s="137">
        <v>0.66666669999999995</v>
      </c>
      <c r="R219" s="137" t="s">
        <v>2487</v>
      </c>
      <c r="T219" s="137" t="s">
        <v>2838</v>
      </c>
      <c r="U219" s="137" t="s">
        <v>2838</v>
      </c>
      <c r="W219" s="143" t="s">
        <v>2845</v>
      </c>
      <c r="X219" s="143" t="s">
        <v>734</v>
      </c>
      <c r="Y219" s="143" t="s">
        <v>841</v>
      </c>
      <c r="Z219" s="143">
        <v>747</v>
      </c>
      <c r="AG219" s="143" t="s">
        <v>2845</v>
      </c>
      <c r="AH219" s="143" t="s">
        <v>734</v>
      </c>
      <c r="AI219" s="143" t="s">
        <v>841</v>
      </c>
      <c r="AJ219" s="143">
        <v>747</v>
      </c>
    </row>
    <row r="220" spans="1:45" x14ac:dyDescent="0.35">
      <c r="A220" s="143" t="s">
        <v>2845</v>
      </c>
      <c r="B220" s="143" t="s">
        <v>734</v>
      </c>
      <c r="C220" s="143" t="s">
        <v>843</v>
      </c>
      <c r="D220" s="143">
        <v>751</v>
      </c>
      <c r="F220" s="137">
        <v>1</v>
      </c>
      <c r="G220" s="137">
        <v>1</v>
      </c>
      <c r="H220" s="137"/>
      <c r="I220" s="137"/>
      <c r="K220" s="143" t="s">
        <v>2845</v>
      </c>
      <c r="L220" s="143" t="s">
        <v>734</v>
      </c>
      <c r="M220" s="143" t="s">
        <v>843</v>
      </c>
      <c r="N220" s="143">
        <v>751</v>
      </c>
      <c r="O220" s="137">
        <v>0.39400000000000002</v>
      </c>
      <c r="Q220" s="137">
        <v>0.98499999999999999</v>
      </c>
      <c r="R220" s="137" t="s">
        <v>2487</v>
      </c>
      <c r="T220" s="137" t="s">
        <v>2838</v>
      </c>
      <c r="U220" s="137" t="s">
        <v>2838</v>
      </c>
      <c r="W220" s="143" t="s">
        <v>2845</v>
      </c>
      <c r="X220" s="143" t="s">
        <v>734</v>
      </c>
      <c r="Y220" s="143" t="s">
        <v>843</v>
      </c>
      <c r="Z220" s="143">
        <v>751</v>
      </c>
      <c r="AG220" s="143" t="s">
        <v>2845</v>
      </c>
      <c r="AH220" s="143" t="s">
        <v>734</v>
      </c>
      <c r="AI220" s="143" t="s">
        <v>843</v>
      </c>
      <c r="AJ220" s="143">
        <v>751</v>
      </c>
    </row>
    <row r="221" spans="1:45" x14ac:dyDescent="0.35">
      <c r="A221" s="143" t="s">
        <v>2845</v>
      </c>
      <c r="B221" s="143" t="s">
        <v>734</v>
      </c>
      <c r="C221" s="143" t="s">
        <v>842</v>
      </c>
      <c r="D221" s="143">
        <v>2092</v>
      </c>
      <c r="F221" s="137">
        <v>1</v>
      </c>
      <c r="G221" s="137">
        <v>1</v>
      </c>
      <c r="H221" s="137"/>
      <c r="I221" s="137"/>
      <c r="K221" s="143" t="s">
        <v>2845</v>
      </c>
      <c r="L221" s="143" t="s">
        <v>734</v>
      </c>
      <c r="M221" s="143" t="s">
        <v>842</v>
      </c>
      <c r="N221" s="143">
        <v>2092</v>
      </c>
      <c r="O221" s="137">
        <v>0.39600000000000002</v>
      </c>
      <c r="Q221" s="137">
        <v>0.99</v>
      </c>
      <c r="R221" s="137" t="s">
        <v>2487</v>
      </c>
      <c r="T221" s="137" t="s">
        <v>2838</v>
      </c>
      <c r="U221" s="137" t="s">
        <v>2838</v>
      </c>
      <c r="W221" s="143" t="s">
        <v>2845</v>
      </c>
      <c r="X221" s="143" t="s">
        <v>734</v>
      </c>
      <c r="Y221" s="143" t="s">
        <v>842</v>
      </c>
      <c r="Z221" s="143">
        <v>2092</v>
      </c>
      <c r="AG221" s="143" t="s">
        <v>2845</v>
      </c>
      <c r="AH221" s="143" t="s">
        <v>734</v>
      </c>
      <c r="AI221" s="143" t="s">
        <v>842</v>
      </c>
      <c r="AJ221" s="143">
        <v>2092</v>
      </c>
    </row>
    <row r="222" spans="1:45" x14ac:dyDescent="0.35">
      <c r="A222" s="143" t="s">
        <v>2845</v>
      </c>
      <c r="B222" s="143" t="s">
        <v>734</v>
      </c>
      <c r="C222" s="143" t="s">
        <v>842</v>
      </c>
      <c r="D222" s="143">
        <v>2093</v>
      </c>
      <c r="F222" s="137">
        <v>1</v>
      </c>
      <c r="G222" s="137">
        <v>1</v>
      </c>
      <c r="H222" s="137"/>
      <c r="I222" s="137"/>
      <c r="K222" s="143" t="s">
        <v>2845</v>
      </c>
      <c r="L222" s="143" t="s">
        <v>734</v>
      </c>
      <c r="M222" s="143" t="s">
        <v>842</v>
      </c>
      <c r="N222" s="143">
        <v>2093</v>
      </c>
      <c r="O222" s="137">
        <v>0.4</v>
      </c>
      <c r="Q222" s="137">
        <v>1</v>
      </c>
      <c r="R222" s="137" t="s">
        <v>2486</v>
      </c>
      <c r="T222" s="137" t="s">
        <v>2838</v>
      </c>
      <c r="U222" s="137" t="s">
        <v>2838</v>
      </c>
      <c r="W222" s="143" t="s">
        <v>2845</v>
      </c>
      <c r="X222" s="143" t="s">
        <v>734</v>
      </c>
      <c r="Y222" s="143" t="s">
        <v>842</v>
      </c>
      <c r="Z222" s="143">
        <v>2093</v>
      </c>
      <c r="AG222" s="143" t="s">
        <v>2845</v>
      </c>
      <c r="AH222" s="143" t="s">
        <v>734</v>
      </c>
      <c r="AI222" s="143" t="s">
        <v>842</v>
      </c>
      <c r="AJ222" s="143">
        <v>2093</v>
      </c>
    </row>
    <row r="223" spans="1:45" x14ac:dyDescent="0.35">
      <c r="A223" s="143" t="s">
        <v>2845</v>
      </c>
      <c r="B223" s="143" t="s">
        <v>734</v>
      </c>
      <c r="C223" s="143" t="s">
        <v>841</v>
      </c>
      <c r="D223" s="143">
        <v>2185</v>
      </c>
      <c r="F223" s="137">
        <v>1</v>
      </c>
      <c r="G223" s="137">
        <v>1</v>
      </c>
      <c r="H223" s="137"/>
      <c r="I223" s="137"/>
      <c r="K223" s="143" t="s">
        <v>2845</v>
      </c>
      <c r="L223" s="143" t="s">
        <v>734</v>
      </c>
      <c r="M223" s="143" t="s">
        <v>841</v>
      </c>
      <c r="N223" s="143">
        <v>2185</v>
      </c>
      <c r="O223" s="137">
        <v>0.4</v>
      </c>
      <c r="Q223" s="137">
        <v>1</v>
      </c>
      <c r="R223" s="137" t="s">
        <v>2486</v>
      </c>
      <c r="T223" s="137" t="s">
        <v>2838</v>
      </c>
      <c r="U223" s="137" t="s">
        <v>2838</v>
      </c>
      <c r="W223" s="143" t="s">
        <v>2845</v>
      </c>
      <c r="X223" s="143" t="s">
        <v>734</v>
      </c>
      <c r="Y223" s="143" t="s">
        <v>841</v>
      </c>
      <c r="Z223" s="143">
        <v>2185</v>
      </c>
      <c r="AG223" s="143" t="s">
        <v>2845</v>
      </c>
      <c r="AH223" s="143" t="s">
        <v>734</v>
      </c>
      <c r="AI223" s="143" t="s">
        <v>841</v>
      </c>
      <c r="AJ223" s="143">
        <v>2185</v>
      </c>
    </row>
    <row r="224" spans="1:45" x14ac:dyDescent="0.35">
      <c r="A224" s="143" t="s">
        <v>2845</v>
      </c>
      <c r="B224" s="143" t="s">
        <v>734</v>
      </c>
      <c r="C224" s="143" t="s">
        <v>841</v>
      </c>
      <c r="D224" s="143">
        <v>2544</v>
      </c>
      <c r="F224" s="137">
        <v>1</v>
      </c>
      <c r="G224" s="137">
        <v>1</v>
      </c>
      <c r="H224" s="137"/>
      <c r="I224" s="137"/>
      <c r="K224" s="143" t="s">
        <v>2845</v>
      </c>
      <c r="L224" s="143" t="s">
        <v>734</v>
      </c>
      <c r="M224" s="143" t="s">
        <v>841</v>
      </c>
      <c r="N224" s="143">
        <v>2544</v>
      </c>
      <c r="O224" s="137">
        <v>0.4</v>
      </c>
      <c r="Q224" s="137">
        <v>1</v>
      </c>
      <c r="R224" s="137" t="s">
        <v>2486</v>
      </c>
      <c r="T224" s="137" t="s">
        <v>2838</v>
      </c>
      <c r="U224" s="137" t="s">
        <v>2838</v>
      </c>
      <c r="W224" s="143" t="s">
        <v>2845</v>
      </c>
      <c r="X224" s="143" t="s">
        <v>734</v>
      </c>
      <c r="Y224" s="143" t="s">
        <v>841</v>
      </c>
      <c r="Z224" s="143">
        <v>2544</v>
      </c>
      <c r="AG224" s="143" t="s">
        <v>2845</v>
      </c>
      <c r="AH224" s="143" t="s">
        <v>734</v>
      </c>
      <c r="AI224" s="143" t="s">
        <v>841</v>
      </c>
      <c r="AJ224" s="143">
        <v>2544</v>
      </c>
    </row>
    <row r="225" spans="1:45" x14ac:dyDescent="0.35">
      <c r="A225" s="143" t="s">
        <v>2845</v>
      </c>
      <c r="B225" s="143" t="s">
        <v>734</v>
      </c>
      <c r="C225" s="143" t="s">
        <v>663</v>
      </c>
      <c r="D225" s="143">
        <v>3639</v>
      </c>
      <c r="F225" s="137">
        <v>1</v>
      </c>
      <c r="G225" s="137">
        <v>1</v>
      </c>
      <c r="H225" s="137"/>
      <c r="I225" s="137"/>
      <c r="K225" s="143" t="s">
        <v>2845</v>
      </c>
      <c r="L225" s="143" t="s">
        <v>734</v>
      </c>
      <c r="M225" s="143" t="s">
        <v>663</v>
      </c>
      <c r="N225" s="143">
        <v>3639</v>
      </c>
      <c r="O225" s="137">
        <v>0.4</v>
      </c>
      <c r="Q225" s="137">
        <v>1</v>
      </c>
      <c r="R225" s="137" t="s">
        <v>2486</v>
      </c>
      <c r="T225" s="137" t="s">
        <v>2838</v>
      </c>
      <c r="U225" s="137" t="s">
        <v>2838</v>
      </c>
      <c r="W225" s="143" t="s">
        <v>2845</v>
      </c>
      <c r="X225" s="143" t="s">
        <v>734</v>
      </c>
      <c r="Y225" s="143" t="s">
        <v>663</v>
      </c>
      <c r="Z225" s="143">
        <v>3639</v>
      </c>
      <c r="AG225" s="143" t="s">
        <v>2845</v>
      </c>
      <c r="AH225" s="143" t="s">
        <v>734</v>
      </c>
      <c r="AI225" s="143" t="s">
        <v>663</v>
      </c>
      <c r="AJ225" s="143">
        <v>3639</v>
      </c>
    </row>
    <row r="226" spans="1:45" x14ac:dyDescent="0.35">
      <c r="A226" s="143" t="s">
        <v>2845</v>
      </c>
      <c r="B226" s="143" t="s">
        <v>734</v>
      </c>
      <c r="C226" s="143" t="s">
        <v>663</v>
      </c>
      <c r="D226" s="143">
        <v>4249</v>
      </c>
      <c r="F226" s="137">
        <v>1</v>
      </c>
      <c r="G226" s="137">
        <v>1</v>
      </c>
      <c r="H226" s="137"/>
      <c r="I226" s="137"/>
      <c r="K226" s="143" t="s">
        <v>2845</v>
      </c>
      <c r="L226" s="143" t="s">
        <v>734</v>
      </c>
      <c r="M226" s="143" t="s">
        <v>663</v>
      </c>
      <c r="N226" s="143">
        <v>4249</v>
      </c>
      <c r="O226" s="137">
        <v>0.4</v>
      </c>
      <c r="Q226" s="137">
        <v>1</v>
      </c>
      <c r="R226" s="137" t="s">
        <v>2486</v>
      </c>
      <c r="T226" s="137" t="s">
        <v>2838</v>
      </c>
      <c r="U226" s="137" t="s">
        <v>2838</v>
      </c>
      <c r="W226" s="143" t="s">
        <v>2845</v>
      </c>
      <c r="X226" s="143" t="s">
        <v>734</v>
      </c>
      <c r="Y226" s="143" t="s">
        <v>663</v>
      </c>
      <c r="Z226" s="143">
        <v>4249</v>
      </c>
      <c r="AG226" s="143" t="s">
        <v>2845</v>
      </c>
      <c r="AH226" s="143" t="s">
        <v>734</v>
      </c>
      <c r="AI226" s="143" t="s">
        <v>663</v>
      </c>
      <c r="AJ226" s="143">
        <v>4249</v>
      </c>
    </row>
    <row r="227" spans="1:45" x14ac:dyDescent="0.35">
      <c r="A227" s="143" t="s">
        <v>2845</v>
      </c>
      <c r="B227" s="143" t="s">
        <v>734</v>
      </c>
      <c r="C227" s="143" t="s">
        <v>663</v>
      </c>
      <c r="D227" s="143">
        <v>4641</v>
      </c>
      <c r="F227" s="137">
        <v>1</v>
      </c>
      <c r="G227" s="137">
        <v>1</v>
      </c>
      <c r="H227" s="137"/>
      <c r="I227" s="137"/>
      <c r="K227" s="143" t="s">
        <v>2845</v>
      </c>
      <c r="L227" s="143" t="s">
        <v>734</v>
      </c>
      <c r="M227" s="143" t="s">
        <v>663</v>
      </c>
      <c r="N227" s="143">
        <v>4641</v>
      </c>
      <c r="O227" s="137">
        <v>0.4</v>
      </c>
      <c r="Q227" s="137">
        <v>1</v>
      </c>
      <c r="R227" s="137" t="s">
        <v>2486</v>
      </c>
      <c r="T227" s="137" t="s">
        <v>2838</v>
      </c>
      <c r="U227" s="137" t="s">
        <v>2838</v>
      </c>
      <c r="W227" s="143" t="s">
        <v>2845</v>
      </c>
      <c r="X227" s="143" t="s">
        <v>734</v>
      </c>
      <c r="Y227" s="143" t="s">
        <v>663</v>
      </c>
      <c r="Z227" s="143">
        <v>4641</v>
      </c>
      <c r="AG227" s="143" t="s">
        <v>2845</v>
      </c>
      <c r="AH227" s="143" t="s">
        <v>734</v>
      </c>
      <c r="AI227" s="143" t="s">
        <v>663</v>
      </c>
      <c r="AJ227" s="143">
        <v>4641</v>
      </c>
    </row>
    <row r="228" spans="1:45" x14ac:dyDescent="0.35">
      <c r="A228" s="143" t="s">
        <v>2845</v>
      </c>
      <c r="B228" s="143" t="s">
        <v>734</v>
      </c>
      <c r="C228" s="143" t="s">
        <v>663</v>
      </c>
      <c r="D228" s="143">
        <v>4642</v>
      </c>
      <c r="F228" s="137">
        <v>1</v>
      </c>
      <c r="G228" s="137">
        <v>1</v>
      </c>
      <c r="H228" s="137"/>
      <c r="I228" s="137"/>
      <c r="K228" s="143" t="s">
        <v>2845</v>
      </c>
      <c r="L228" s="143" t="s">
        <v>734</v>
      </c>
      <c r="M228" s="143" t="s">
        <v>663</v>
      </c>
      <c r="N228" s="143">
        <v>4642</v>
      </c>
      <c r="O228" s="137">
        <v>0.34399999999999997</v>
      </c>
      <c r="Q228" s="137">
        <v>0.86</v>
      </c>
      <c r="R228" s="137" t="s">
        <v>2487</v>
      </c>
      <c r="T228" s="137" t="s">
        <v>2838</v>
      </c>
      <c r="U228" s="137" t="s">
        <v>2838</v>
      </c>
      <c r="W228" s="143" t="s">
        <v>2845</v>
      </c>
      <c r="X228" s="143" t="s">
        <v>734</v>
      </c>
      <c r="Y228" s="143" t="s">
        <v>663</v>
      </c>
      <c r="Z228" s="143">
        <v>4642</v>
      </c>
      <c r="AG228" s="143" t="s">
        <v>2845</v>
      </c>
      <c r="AH228" s="143" t="s">
        <v>734</v>
      </c>
      <c r="AI228" s="143" t="s">
        <v>663</v>
      </c>
      <c r="AJ228" s="143">
        <v>4642</v>
      </c>
    </row>
    <row r="229" spans="1:45" x14ac:dyDescent="0.35">
      <c r="A229" s="143" t="s">
        <v>2845</v>
      </c>
      <c r="B229" s="143" t="s">
        <v>734</v>
      </c>
      <c r="C229" s="143" t="s">
        <v>663</v>
      </c>
      <c r="D229" s="143">
        <v>4645</v>
      </c>
      <c r="F229" s="137">
        <v>0.5</v>
      </c>
      <c r="G229" s="137">
        <v>0.5</v>
      </c>
      <c r="H229" s="137"/>
      <c r="I229" s="137"/>
      <c r="K229" s="143" t="s">
        <v>2845</v>
      </c>
      <c r="L229" s="143" t="s">
        <v>734</v>
      </c>
      <c r="M229" s="143" t="s">
        <v>663</v>
      </c>
      <c r="N229" s="143">
        <v>4645</v>
      </c>
      <c r="O229" s="137">
        <v>0.39600000000000002</v>
      </c>
      <c r="Q229" s="137">
        <v>0.99</v>
      </c>
      <c r="R229" s="137" t="s">
        <v>2487</v>
      </c>
      <c r="T229" s="137" t="s">
        <v>2838</v>
      </c>
      <c r="U229" s="137" t="s">
        <v>2838</v>
      </c>
      <c r="W229" s="143" t="s">
        <v>2845</v>
      </c>
      <c r="X229" s="143" t="s">
        <v>734</v>
      </c>
      <c r="Y229" s="143" t="s">
        <v>663</v>
      </c>
      <c r="Z229" s="143">
        <v>4645</v>
      </c>
      <c r="AG229" s="143" t="s">
        <v>2845</v>
      </c>
      <c r="AH229" s="143" t="s">
        <v>734</v>
      </c>
      <c r="AI229" s="143" t="s">
        <v>663</v>
      </c>
      <c r="AJ229" s="143">
        <v>4645</v>
      </c>
    </row>
    <row r="230" spans="1:45" x14ac:dyDescent="0.35">
      <c r="A230" s="143" t="s">
        <v>2845</v>
      </c>
      <c r="B230" s="143" t="s">
        <v>734</v>
      </c>
      <c r="C230" s="143" t="s">
        <v>663</v>
      </c>
      <c r="D230" s="143">
        <v>4729</v>
      </c>
      <c r="F230" s="137">
        <v>1</v>
      </c>
      <c r="G230" s="137">
        <v>1</v>
      </c>
      <c r="H230" s="137"/>
      <c r="I230" s="137"/>
      <c r="K230" s="143" t="s">
        <v>2845</v>
      </c>
      <c r="L230" s="143" t="s">
        <v>734</v>
      </c>
      <c r="M230" s="143" t="s">
        <v>663</v>
      </c>
      <c r="N230" s="143">
        <v>4729</v>
      </c>
      <c r="O230" s="137">
        <v>0.4</v>
      </c>
      <c r="Q230" s="137">
        <v>1</v>
      </c>
      <c r="R230" s="137" t="s">
        <v>2486</v>
      </c>
      <c r="T230" s="137" t="s">
        <v>2838</v>
      </c>
      <c r="U230" s="137" t="s">
        <v>2838</v>
      </c>
      <c r="W230" s="143" t="s">
        <v>2845</v>
      </c>
      <c r="X230" s="143" t="s">
        <v>734</v>
      </c>
      <c r="Y230" s="143" t="s">
        <v>663</v>
      </c>
      <c r="Z230" s="143">
        <v>4729</v>
      </c>
      <c r="AG230" s="143" t="s">
        <v>2845</v>
      </c>
      <c r="AH230" s="143" t="s">
        <v>734</v>
      </c>
      <c r="AI230" s="143" t="s">
        <v>663</v>
      </c>
      <c r="AJ230" s="143">
        <v>4729</v>
      </c>
    </row>
    <row r="231" spans="1:45" x14ac:dyDescent="0.35">
      <c r="A231" s="143" t="s">
        <v>2845</v>
      </c>
      <c r="B231" s="143" t="s">
        <v>734</v>
      </c>
      <c r="C231" s="143" t="s">
        <v>663</v>
      </c>
      <c r="D231" s="143">
        <v>6868</v>
      </c>
      <c r="F231" s="137">
        <v>1</v>
      </c>
      <c r="G231" s="137">
        <v>1</v>
      </c>
      <c r="H231" s="137"/>
      <c r="I231" s="137"/>
      <c r="K231" s="143" t="s">
        <v>2845</v>
      </c>
      <c r="L231" s="143" t="s">
        <v>734</v>
      </c>
      <c r="M231" s="143" t="s">
        <v>663</v>
      </c>
      <c r="N231" s="143">
        <v>6868</v>
      </c>
      <c r="O231" s="137">
        <v>0.4</v>
      </c>
      <c r="Q231" s="137">
        <v>1</v>
      </c>
      <c r="R231" s="137" t="s">
        <v>2486</v>
      </c>
      <c r="T231" s="137" t="s">
        <v>2838</v>
      </c>
      <c r="U231" s="137" t="s">
        <v>2838</v>
      </c>
      <c r="W231" s="143" t="s">
        <v>2845</v>
      </c>
      <c r="X231" s="143" t="s">
        <v>734</v>
      </c>
      <c r="Y231" s="143" t="s">
        <v>663</v>
      </c>
      <c r="Z231" s="143">
        <v>6868</v>
      </c>
      <c r="AG231" s="143" t="s">
        <v>2845</v>
      </c>
      <c r="AH231" s="143" t="s">
        <v>734</v>
      </c>
      <c r="AI231" s="143" t="s">
        <v>663</v>
      </c>
      <c r="AJ231" s="143">
        <v>6868</v>
      </c>
    </row>
    <row r="232" spans="1:45" x14ac:dyDescent="0.35">
      <c r="A232" s="143" t="s">
        <v>2845</v>
      </c>
      <c r="B232" s="143" t="s">
        <v>734</v>
      </c>
      <c r="C232" s="143" t="s">
        <v>842</v>
      </c>
      <c r="D232" s="143">
        <v>10315</v>
      </c>
      <c r="F232" s="137">
        <v>1</v>
      </c>
      <c r="G232" s="137">
        <v>1</v>
      </c>
      <c r="H232" s="137"/>
      <c r="I232" s="137"/>
      <c r="K232" s="143" t="s">
        <v>2845</v>
      </c>
      <c r="L232" s="143" t="s">
        <v>734</v>
      </c>
      <c r="M232" s="143" t="s">
        <v>842</v>
      </c>
      <c r="N232" s="143">
        <v>10315</v>
      </c>
      <c r="O232" s="137">
        <v>0.39600000000000002</v>
      </c>
      <c r="Q232" s="137">
        <v>0.99</v>
      </c>
      <c r="R232" s="137" t="s">
        <v>2487</v>
      </c>
      <c r="T232" s="137" t="s">
        <v>2838</v>
      </c>
      <c r="U232" s="137" t="s">
        <v>2838</v>
      </c>
      <c r="W232" s="143" t="s">
        <v>2845</v>
      </c>
      <c r="X232" s="143" t="s">
        <v>734</v>
      </c>
      <c r="Y232" s="143" t="s">
        <v>842</v>
      </c>
      <c r="Z232" s="143">
        <v>10315</v>
      </c>
      <c r="AG232" s="143" t="s">
        <v>2845</v>
      </c>
      <c r="AH232" s="143" t="s">
        <v>734</v>
      </c>
      <c r="AI232" s="143" t="s">
        <v>842</v>
      </c>
      <c r="AJ232" s="143">
        <v>10315</v>
      </c>
    </row>
    <row r="233" spans="1:45" x14ac:dyDescent="0.35">
      <c r="A233" s="143" t="s">
        <v>2845</v>
      </c>
      <c r="B233" s="143" t="s">
        <v>734</v>
      </c>
      <c r="C233" s="143" t="s">
        <v>842</v>
      </c>
      <c r="D233" s="143">
        <v>10317</v>
      </c>
      <c r="F233" s="137">
        <v>1</v>
      </c>
      <c r="G233" s="137">
        <v>1</v>
      </c>
      <c r="H233" s="137"/>
      <c r="I233" s="137"/>
      <c r="K233" s="143" t="s">
        <v>2845</v>
      </c>
      <c r="L233" s="143" t="s">
        <v>734</v>
      </c>
      <c r="M233" s="143" t="s">
        <v>842</v>
      </c>
      <c r="N233" s="143">
        <v>10317</v>
      </c>
      <c r="O233" s="137">
        <v>0.4</v>
      </c>
      <c r="Q233" s="137">
        <v>1</v>
      </c>
      <c r="R233" s="137" t="s">
        <v>2486</v>
      </c>
      <c r="T233" s="137" t="s">
        <v>2838</v>
      </c>
      <c r="U233" s="137" t="s">
        <v>2838</v>
      </c>
      <c r="W233" s="143" t="s">
        <v>2845</v>
      </c>
      <c r="X233" s="143" t="s">
        <v>734</v>
      </c>
      <c r="Y233" s="143" t="s">
        <v>842</v>
      </c>
      <c r="Z233" s="143">
        <v>10317</v>
      </c>
      <c r="AG233" s="143" t="s">
        <v>2845</v>
      </c>
      <c r="AH233" s="143" t="s">
        <v>734</v>
      </c>
      <c r="AI233" s="143" t="s">
        <v>842</v>
      </c>
      <c r="AJ233" s="143">
        <v>10317</v>
      </c>
    </row>
    <row r="234" spans="1:45" x14ac:dyDescent="0.35">
      <c r="A234" s="143" t="s">
        <v>2845</v>
      </c>
      <c r="B234" s="143" t="s">
        <v>734</v>
      </c>
      <c r="C234" s="143" t="s">
        <v>663</v>
      </c>
      <c r="D234" s="143">
        <v>10324</v>
      </c>
      <c r="F234" s="137">
        <v>1</v>
      </c>
      <c r="G234" s="137">
        <v>1</v>
      </c>
      <c r="H234" s="137"/>
      <c r="I234" s="137"/>
      <c r="K234" s="143" t="s">
        <v>2845</v>
      </c>
      <c r="L234" s="143" t="s">
        <v>734</v>
      </c>
      <c r="M234" s="143" t="s">
        <v>663</v>
      </c>
      <c r="N234" s="143">
        <v>10324</v>
      </c>
      <c r="O234" s="137">
        <v>0.4</v>
      </c>
      <c r="Q234" s="137">
        <v>1</v>
      </c>
      <c r="R234" s="137" t="s">
        <v>2486</v>
      </c>
      <c r="T234" s="137" t="s">
        <v>2838</v>
      </c>
      <c r="U234" s="137" t="s">
        <v>2838</v>
      </c>
      <c r="W234" s="143" t="s">
        <v>2845</v>
      </c>
      <c r="X234" s="143" t="s">
        <v>734</v>
      </c>
      <c r="Y234" s="143" t="s">
        <v>663</v>
      </c>
      <c r="Z234" s="143">
        <v>10324</v>
      </c>
      <c r="AG234" s="143" t="s">
        <v>2845</v>
      </c>
      <c r="AH234" s="143" t="s">
        <v>734</v>
      </c>
      <c r="AI234" s="143" t="s">
        <v>663</v>
      </c>
      <c r="AJ234" s="143">
        <v>10324</v>
      </c>
    </row>
    <row r="235" spans="1:45" x14ac:dyDescent="0.35">
      <c r="A235" s="143" t="s">
        <v>2846</v>
      </c>
      <c r="B235" s="143" t="s">
        <v>730</v>
      </c>
      <c r="C235" s="143" t="s">
        <v>841</v>
      </c>
      <c r="D235" s="143">
        <v>747</v>
      </c>
      <c r="E235" s="143">
        <v>3</v>
      </c>
      <c r="F235" s="137"/>
      <c r="G235" s="137"/>
      <c r="H235" s="137">
        <v>0.66666669999999995</v>
      </c>
      <c r="I235" s="137">
        <v>0</v>
      </c>
      <c r="K235" s="143" t="s">
        <v>2846</v>
      </c>
      <c r="L235" s="143" t="s">
        <v>730</v>
      </c>
      <c r="M235" s="143" t="s">
        <v>841</v>
      </c>
      <c r="N235" s="143">
        <v>747</v>
      </c>
      <c r="O235" s="137">
        <v>0.34133330000000001</v>
      </c>
      <c r="P235" s="137">
        <v>0.6</v>
      </c>
      <c r="Q235" s="137">
        <v>0.94133339999999999</v>
      </c>
      <c r="R235" s="137" t="s">
        <v>2487</v>
      </c>
      <c r="S235" s="137">
        <v>0.5</v>
      </c>
      <c r="T235" s="137" t="s">
        <v>2486</v>
      </c>
      <c r="U235" s="137" t="s">
        <v>2486</v>
      </c>
      <c r="W235" s="143" t="s">
        <v>2846</v>
      </c>
      <c r="X235" s="143" t="s">
        <v>730</v>
      </c>
      <c r="Y235" s="143" t="s">
        <v>841</v>
      </c>
      <c r="Z235" s="143">
        <v>747</v>
      </c>
      <c r="AA235" s="143">
        <v>0</v>
      </c>
      <c r="AD235" s="137">
        <v>0</v>
      </c>
      <c r="AG235" s="143" t="s">
        <v>2846</v>
      </c>
      <c r="AH235" s="143" t="s">
        <v>730</v>
      </c>
      <c r="AI235" s="143" t="s">
        <v>841</v>
      </c>
      <c r="AJ235" s="143">
        <v>747</v>
      </c>
      <c r="AK235" s="143">
        <v>3</v>
      </c>
      <c r="AL235" s="156">
        <v>2</v>
      </c>
      <c r="AM235" s="156">
        <v>3</v>
      </c>
      <c r="AN235" s="156">
        <v>3</v>
      </c>
      <c r="AO235" s="156">
        <v>3</v>
      </c>
      <c r="AP235" s="156">
        <v>3</v>
      </c>
      <c r="AQ235" s="156">
        <v>3</v>
      </c>
      <c r="AR235" s="156">
        <v>4</v>
      </c>
      <c r="AS235" s="169">
        <v>3.1428569999999998</v>
      </c>
    </row>
    <row r="236" spans="1:45" x14ac:dyDescent="0.35">
      <c r="A236" s="143" t="s">
        <v>2846</v>
      </c>
      <c r="B236" s="143" t="s">
        <v>730</v>
      </c>
      <c r="C236" s="143" t="s">
        <v>843</v>
      </c>
      <c r="D236" s="143">
        <v>751</v>
      </c>
      <c r="E236" s="143">
        <v>8</v>
      </c>
      <c r="F236" s="137"/>
      <c r="G236" s="137"/>
      <c r="H236" s="137">
        <v>1</v>
      </c>
      <c r="I236" s="137">
        <v>0</v>
      </c>
      <c r="K236" s="143" t="s">
        <v>2846</v>
      </c>
      <c r="L236" s="143" t="s">
        <v>730</v>
      </c>
      <c r="M236" s="143" t="s">
        <v>843</v>
      </c>
      <c r="N236" s="143">
        <v>751</v>
      </c>
      <c r="O236" s="137">
        <v>0.4</v>
      </c>
      <c r="P236" s="137">
        <v>0.6</v>
      </c>
      <c r="Q236" s="137">
        <v>1</v>
      </c>
      <c r="R236" s="137" t="s">
        <v>2486</v>
      </c>
      <c r="S236" s="137">
        <v>0.29729729999999999</v>
      </c>
      <c r="T236" s="137" t="s">
        <v>2486</v>
      </c>
      <c r="U236" s="137" t="s">
        <v>2486</v>
      </c>
      <c r="W236" s="143" t="s">
        <v>2846</v>
      </c>
      <c r="X236" s="143" t="s">
        <v>730</v>
      </c>
      <c r="Y236" s="143" t="s">
        <v>843</v>
      </c>
      <c r="Z236" s="143">
        <v>751</v>
      </c>
      <c r="AA236" s="143">
        <v>8</v>
      </c>
      <c r="AB236" s="137">
        <v>0</v>
      </c>
      <c r="AC236" s="137">
        <v>0</v>
      </c>
      <c r="AD236" s="137">
        <v>0</v>
      </c>
      <c r="AG236" s="143" t="s">
        <v>2846</v>
      </c>
      <c r="AH236" s="143" t="s">
        <v>730</v>
      </c>
      <c r="AI236" s="143" t="s">
        <v>843</v>
      </c>
      <c r="AJ236" s="143">
        <v>751</v>
      </c>
      <c r="AK236" s="143">
        <v>8</v>
      </c>
      <c r="AL236" s="156">
        <v>2</v>
      </c>
      <c r="AM236" s="156">
        <v>3.125</v>
      </c>
      <c r="AN236" s="156">
        <v>3</v>
      </c>
      <c r="AO236" s="156">
        <v>2.75</v>
      </c>
      <c r="AP236" s="156">
        <v>2.75</v>
      </c>
      <c r="AQ236" s="156">
        <v>2.75</v>
      </c>
      <c r="AR236" s="156">
        <v>3.5</v>
      </c>
      <c r="AS236" s="169">
        <v>2.9821430000000002</v>
      </c>
    </row>
    <row r="237" spans="1:45" x14ac:dyDescent="0.35">
      <c r="A237" s="143" t="s">
        <v>2846</v>
      </c>
      <c r="B237" s="143" t="s">
        <v>730</v>
      </c>
      <c r="C237" s="143" t="s">
        <v>842</v>
      </c>
      <c r="D237" s="143">
        <v>2092</v>
      </c>
      <c r="E237" s="143">
        <v>2</v>
      </c>
      <c r="F237" s="137"/>
      <c r="G237" s="137"/>
      <c r="H237" s="137">
        <v>1</v>
      </c>
      <c r="I237" s="137">
        <v>1</v>
      </c>
      <c r="K237" s="143" t="s">
        <v>2846</v>
      </c>
      <c r="L237" s="143" t="s">
        <v>730</v>
      </c>
      <c r="M237" s="143" t="s">
        <v>842</v>
      </c>
      <c r="N237" s="143">
        <v>2092</v>
      </c>
      <c r="O237" s="137">
        <v>0.4</v>
      </c>
      <c r="P237" s="137">
        <v>0.6</v>
      </c>
      <c r="Q237" s="137">
        <v>1</v>
      </c>
      <c r="R237" s="137" t="s">
        <v>2486</v>
      </c>
      <c r="S237" s="137">
        <v>0.5</v>
      </c>
      <c r="T237" s="137" t="s">
        <v>2486</v>
      </c>
      <c r="U237" s="137" t="s">
        <v>2486</v>
      </c>
      <c r="W237" s="143" t="s">
        <v>2846</v>
      </c>
      <c r="X237" s="143" t="s">
        <v>730</v>
      </c>
      <c r="Y237" s="143" t="s">
        <v>842</v>
      </c>
      <c r="Z237" s="143">
        <v>2092</v>
      </c>
      <c r="AA237" s="143">
        <v>0</v>
      </c>
      <c r="AD237" s="137">
        <v>0</v>
      </c>
      <c r="AG237" s="143" t="s">
        <v>2846</v>
      </c>
      <c r="AH237" s="143" t="s">
        <v>730</v>
      </c>
      <c r="AI237" s="143" t="s">
        <v>842</v>
      </c>
      <c r="AJ237" s="143">
        <v>2092</v>
      </c>
      <c r="AK237" s="143">
        <v>2</v>
      </c>
      <c r="AL237" s="156">
        <v>1</v>
      </c>
      <c r="AM237" s="156">
        <v>3.5</v>
      </c>
      <c r="AN237" s="156">
        <v>3</v>
      </c>
      <c r="AO237" s="156">
        <v>3</v>
      </c>
      <c r="AP237" s="156">
        <v>3.5</v>
      </c>
      <c r="AQ237" s="156">
        <v>3.5</v>
      </c>
      <c r="AR237" s="156">
        <v>3</v>
      </c>
      <c r="AS237" s="169">
        <v>3.3571430000000002</v>
      </c>
    </row>
    <row r="238" spans="1:45" x14ac:dyDescent="0.35">
      <c r="A238" s="143" t="s">
        <v>2846</v>
      </c>
      <c r="B238" s="143" t="s">
        <v>730</v>
      </c>
      <c r="C238" s="143" t="s">
        <v>842</v>
      </c>
      <c r="D238" s="143">
        <v>2093</v>
      </c>
      <c r="E238" s="143">
        <v>2</v>
      </c>
      <c r="F238" s="137"/>
      <c r="G238" s="137"/>
      <c r="H238" s="137">
        <v>1</v>
      </c>
      <c r="I238" s="137">
        <v>0</v>
      </c>
      <c r="K238" s="143" t="s">
        <v>2846</v>
      </c>
      <c r="L238" s="143" t="s">
        <v>730</v>
      </c>
      <c r="M238" s="143" t="s">
        <v>842</v>
      </c>
      <c r="N238" s="143">
        <v>2093</v>
      </c>
      <c r="O238" s="137">
        <v>0.39200000000000002</v>
      </c>
      <c r="P238" s="137">
        <v>0.6</v>
      </c>
      <c r="Q238" s="137">
        <v>0.99199999999999999</v>
      </c>
      <c r="R238" s="137" t="s">
        <v>2487</v>
      </c>
      <c r="S238" s="137">
        <v>0.25</v>
      </c>
      <c r="T238" s="137" t="s">
        <v>2486</v>
      </c>
      <c r="U238" s="137" t="s">
        <v>2486</v>
      </c>
      <c r="W238" s="143" t="s">
        <v>2846</v>
      </c>
      <c r="X238" s="143" t="s">
        <v>730</v>
      </c>
      <c r="Y238" s="143" t="s">
        <v>842</v>
      </c>
      <c r="Z238" s="143">
        <v>2093</v>
      </c>
      <c r="AA238" s="143">
        <v>0</v>
      </c>
      <c r="AD238" s="137">
        <v>0</v>
      </c>
      <c r="AG238" s="143" t="s">
        <v>2846</v>
      </c>
      <c r="AH238" s="143" t="s">
        <v>730</v>
      </c>
      <c r="AI238" s="143" t="s">
        <v>842</v>
      </c>
      <c r="AJ238" s="143">
        <v>2093</v>
      </c>
      <c r="AK238" s="143">
        <v>2</v>
      </c>
      <c r="AL238" s="156">
        <v>2</v>
      </c>
      <c r="AM238" s="156">
        <v>3</v>
      </c>
      <c r="AN238" s="156">
        <v>3</v>
      </c>
      <c r="AO238" s="156">
        <v>3</v>
      </c>
      <c r="AP238" s="156">
        <v>4</v>
      </c>
      <c r="AQ238" s="156">
        <v>3.5</v>
      </c>
      <c r="AR238" s="156">
        <v>3</v>
      </c>
      <c r="AS238" s="169">
        <v>3.214286</v>
      </c>
    </row>
    <row r="239" spans="1:45" x14ac:dyDescent="0.35">
      <c r="A239" s="143" t="s">
        <v>2846</v>
      </c>
      <c r="B239" s="143" t="s">
        <v>730</v>
      </c>
      <c r="C239" s="143" t="s">
        <v>841</v>
      </c>
      <c r="D239" s="143">
        <v>2185</v>
      </c>
      <c r="E239" s="143">
        <v>3</v>
      </c>
      <c r="F239" s="137"/>
      <c r="G239" s="137"/>
      <c r="H239" s="137">
        <v>1</v>
      </c>
      <c r="I239" s="137">
        <v>1</v>
      </c>
      <c r="K239" s="143" t="s">
        <v>2846</v>
      </c>
      <c r="L239" s="143" t="s">
        <v>730</v>
      </c>
      <c r="M239" s="143" t="s">
        <v>841</v>
      </c>
      <c r="N239" s="143">
        <v>2185</v>
      </c>
      <c r="O239" s="137">
        <v>0.4</v>
      </c>
      <c r="P239" s="137">
        <v>0.6</v>
      </c>
      <c r="Q239" s="137">
        <v>1</v>
      </c>
      <c r="R239" s="137" t="s">
        <v>2486</v>
      </c>
      <c r="S239" s="137">
        <v>0.45454549999999999</v>
      </c>
      <c r="T239" s="137" t="s">
        <v>2486</v>
      </c>
      <c r="U239" s="137" t="s">
        <v>2486</v>
      </c>
      <c r="W239" s="143" t="s">
        <v>2846</v>
      </c>
      <c r="X239" s="143" t="s">
        <v>730</v>
      </c>
      <c r="Y239" s="143" t="s">
        <v>841</v>
      </c>
      <c r="Z239" s="143">
        <v>2185</v>
      </c>
      <c r="AA239" s="143">
        <v>0</v>
      </c>
      <c r="AD239" s="137">
        <v>0</v>
      </c>
      <c r="AE239" s="137">
        <v>9.0909100000000007E-2</v>
      </c>
      <c r="AG239" s="143" t="s">
        <v>2846</v>
      </c>
      <c r="AH239" s="143" t="s">
        <v>730</v>
      </c>
      <c r="AI239" s="143" t="s">
        <v>841</v>
      </c>
      <c r="AJ239" s="143">
        <v>2185</v>
      </c>
      <c r="AK239" s="143">
        <v>3</v>
      </c>
      <c r="AL239" s="156">
        <v>2</v>
      </c>
      <c r="AM239" s="156">
        <v>3</v>
      </c>
      <c r="AN239" s="156">
        <v>3</v>
      </c>
      <c r="AO239" s="156">
        <v>3</v>
      </c>
      <c r="AP239" s="156">
        <v>3.6666667461395299</v>
      </c>
      <c r="AQ239" s="156">
        <v>3</v>
      </c>
      <c r="AR239" s="156">
        <v>3.3333332538604701</v>
      </c>
      <c r="AS239" s="169">
        <v>3.1428569999999998</v>
      </c>
    </row>
    <row r="240" spans="1:45" x14ac:dyDescent="0.35">
      <c r="A240" s="143" t="s">
        <v>2846</v>
      </c>
      <c r="B240" s="143" t="s">
        <v>730</v>
      </c>
      <c r="C240" s="143" t="s">
        <v>841</v>
      </c>
      <c r="D240" s="143">
        <v>2544</v>
      </c>
      <c r="E240" s="143">
        <v>3</v>
      </c>
      <c r="F240" s="137"/>
      <c r="G240" s="137"/>
      <c r="H240" s="137">
        <v>1</v>
      </c>
      <c r="I240" s="137">
        <v>0</v>
      </c>
      <c r="K240" s="143" t="s">
        <v>2846</v>
      </c>
      <c r="L240" s="143" t="s">
        <v>730</v>
      </c>
      <c r="M240" s="143" t="s">
        <v>841</v>
      </c>
      <c r="N240" s="143">
        <v>2544</v>
      </c>
      <c r="O240" s="137">
        <v>0.4</v>
      </c>
      <c r="P240" s="137">
        <v>0.6</v>
      </c>
      <c r="Q240" s="137">
        <v>1</v>
      </c>
      <c r="R240" s="137" t="s">
        <v>2486</v>
      </c>
      <c r="S240" s="137">
        <v>0.125</v>
      </c>
      <c r="T240" s="137" t="s">
        <v>2486</v>
      </c>
      <c r="U240" s="137" t="s">
        <v>2486</v>
      </c>
      <c r="W240" s="143" t="s">
        <v>2846</v>
      </c>
      <c r="X240" s="143" t="s">
        <v>730</v>
      </c>
      <c r="Y240" s="143" t="s">
        <v>841</v>
      </c>
      <c r="Z240" s="143">
        <v>2544</v>
      </c>
      <c r="AA240" s="143">
        <v>0</v>
      </c>
      <c r="AD240" s="137">
        <v>0</v>
      </c>
      <c r="AG240" s="143" t="s">
        <v>2846</v>
      </c>
      <c r="AH240" s="143" t="s">
        <v>730</v>
      </c>
      <c r="AI240" s="143" t="s">
        <v>841</v>
      </c>
      <c r="AJ240" s="143">
        <v>2544</v>
      </c>
      <c r="AK240" s="143">
        <v>3</v>
      </c>
      <c r="AL240" s="156">
        <v>2</v>
      </c>
      <c r="AM240" s="156">
        <v>3</v>
      </c>
      <c r="AN240" s="156">
        <v>3</v>
      </c>
      <c r="AO240" s="156">
        <v>3</v>
      </c>
      <c r="AP240" s="156">
        <v>2.3333332538604701</v>
      </c>
      <c r="AQ240" s="156">
        <v>3</v>
      </c>
      <c r="AR240" s="156">
        <v>4</v>
      </c>
      <c r="AS240" s="169">
        <v>3.0476190000000001</v>
      </c>
    </row>
    <row r="241" spans="1:45" x14ac:dyDescent="0.35">
      <c r="A241" s="143" t="s">
        <v>2846</v>
      </c>
      <c r="B241" s="143" t="s">
        <v>730</v>
      </c>
      <c r="C241" s="143" t="s">
        <v>663</v>
      </c>
      <c r="D241" s="143">
        <v>3639</v>
      </c>
      <c r="E241" s="143">
        <v>2</v>
      </c>
      <c r="F241" s="137"/>
      <c r="G241" s="137"/>
      <c r="H241" s="137">
        <v>1</v>
      </c>
      <c r="I241" s="137">
        <v>0</v>
      </c>
      <c r="K241" s="143" t="s">
        <v>2846</v>
      </c>
      <c r="L241" s="143" t="s">
        <v>730</v>
      </c>
      <c r="M241" s="143" t="s">
        <v>663</v>
      </c>
      <c r="N241" s="143">
        <v>3639</v>
      </c>
      <c r="O241" s="137">
        <v>0.4</v>
      </c>
      <c r="P241" s="137">
        <v>0.6</v>
      </c>
      <c r="Q241" s="137">
        <v>1</v>
      </c>
      <c r="R241" s="137" t="s">
        <v>2486</v>
      </c>
      <c r="S241" s="137">
        <v>0.6</v>
      </c>
      <c r="T241" s="137" t="s">
        <v>2486</v>
      </c>
      <c r="U241" s="137" t="s">
        <v>2838</v>
      </c>
      <c r="W241" s="143" t="s">
        <v>2846</v>
      </c>
      <c r="X241" s="143" t="s">
        <v>730</v>
      </c>
      <c r="Y241" s="143" t="s">
        <v>663</v>
      </c>
      <c r="Z241" s="143">
        <v>3639</v>
      </c>
      <c r="AA241" s="143">
        <v>0</v>
      </c>
      <c r="AD241" s="137">
        <v>0</v>
      </c>
      <c r="AG241" s="143" t="s">
        <v>2846</v>
      </c>
      <c r="AH241" s="143" t="s">
        <v>730</v>
      </c>
      <c r="AI241" s="143" t="s">
        <v>663</v>
      </c>
      <c r="AJ241" s="143">
        <v>3639</v>
      </c>
      <c r="AK241" s="143">
        <v>2</v>
      </c>
      <c r="AL241" s="156">
        <v>2</v>
      </c>
      <c r="AM241" s="156">
        <v>3</v>
      </c>
      <c r="AN241" s="156">
        <v>2.5</v>
      </c>
      <c r="AO241" s="156">
        <v>3</v>
      </c>
      <c r="AP241" s="156">
        <v>2</v>
      </c>
      <c r="AQ241" s="156">
        <v>3</v>
      </c>
      <c r="AR241" s="156">
        <v>3</v>
      </c>
      <c r="AS241" s="169">
        <v>2.785714</v>
      </c>
    </row>
    <row r="242" spans="1:45" x14ac:dyDescent="0.35">
      <c r="A242" s="143" t="s">
        <v>2846</v>
      </c>
      <c r="B242" s="143" t="s">
        <v>730</v>
      </c>
      <c r="C242" s="143" t="s">
        <v>663</v>
      </c>
      <c r="D242" s="143">
        <v>4249</v>
      </c>
      <c r="E242" s="143">
        <v>2</v>
      </c>
      <c r="F242" s="137"/>
      <c r="G242" s="137"/>
      <c r="H242" s="137">
        <v>1</v>
      </c>
      <c r="I242" s="137">
        <v>1</v>
      </c>
      <c r="K242" s="143" t="s">
        <v>2846</v>
      </c>
      <c r="L242" s="143" t="s">
        <v>730</v>
      </c>
      <c r="M242" s="143" t="s">
        <v>663</v>
      </c>
      <c r="N242" s="143">
        <v>4249</v>
      </c>
      <c r="O242" s="137">
        <v>0.4</v>
      </c>
      <c r="P242" s="137">
        <v>0.6</v>
      </c>
      <c r="Q242" s="137">
        <v>1</v>
      </c>
      <c r="R242" s="137" t="s">
        <v>2486</v>
      </c>
      <c r="S242" s="137">
        <v>0.5</v>
      </c>
      <c r="T242" s="137" t="s">
        <v>2486</v>
      </c>
      <c r="U242" s="137" t="s">
        <v>2838</v>
      </c>
      <c r="W242" s="143" t="s">
        <v>2846</v>
      </c>
      <c r="X242" s="143" t="s">
        <v>730</v>
      </c>
      <c r="Y242" s="143" t="s">
        <v>663</v>
      </c>
      <c r="Z242" s="143">
        <v>4249</v>
      </c>
      <c r="AA242" s="143">
        <v>0</v>
      </c>
      <c r="AD242" s="137">
        <v>0</v>
      </c>
      <c r="AG242" s="143" t="s">
        <v>2846</v>
      </c>
      <c r="AH242" s="143" t="s">
        <v>730</v>
      </c>
      <c r="AI242" s="143" t="s">
        <v>663</v>
      </c>
      <c r="AJ242" s="143">
        <v>4249</v>
      </c>
      <c r="AK242" s="143">
        <v>2</v>
      </c>
      <c r="AL242" s="156">
        <v>1</v>
      </c>
      <c r="AM242" s="156">
        <v>4</v>
      </c>
      <c r="AN242" s="156">
        <v>3</v>
      </c>
      <c r="AO242" s="156">
        <v>3</v>
      </c>
      <c r="AP242" s="156">
        <v>1.5</v>
      </c>
      <c r="AQ242" s="156">
        <v>3</v>
      </c>
      <c r="AR242" s="156">
        <v>3.5</v>
      </c>
      <c r="AS242" s="169">
        <v>3.1428569999999998</v>
      </c>
    </row>
    <row r="243" spans="1:45" x14ac:dyDescent="0.35">
      <c r="A243" s="143" t="s">
        <v>2846</v>
      </c>
      <c r="B243" s="143" t="s">
        <v>730</v>
      </c>
      <c r="C243" s="143" t="s">
        <v>663</v>
      </c>
      <c r="D243" s="143">
        <v>4641</v>
      </c>
      <c r="E243" s="143">
        <v>2</v>
      </c>
      <c r="F243" s="137"/>
      <c r="G243" s="137"/>
      <c r="H243" s="137">
        <v>1</v>
      </c>
      <c r="I243" s="137">
        <v>1</v>
      </c>
      <c r="K243" s="143" t="s">
        <v>2846</v>
      </c>
      <c r="L243" s="143" t="s">
        <v>730</v>
      </c>
      <c r="M243" s="143" t="s">
        <v>663</v>
      </c>
      <c r="N243" s="143">
        <v>4641</v>
      </c>
      <c r="O243" s="137">
        <v>0.4</v>
      </c>
      <c r="P243" s="137">
        <v>0.6</v>
      </c>
      <c r="Q243" s="137">
        <v>1</v>
      </c>
      <c r="R243" s="137" t="s">
        <v>2486</v>
      </c>
      <c r="S243" s="137">
        <v>0.6</v>
      </c>
      <c r="T243" s="137" t="s">
        <v>2486</v>
      </c>
      <c r="U243" s="137" t="s">
        <v>2838</v>
      </c>
      <c r="W243" s="143" t="s">
        <v>2846</v>
      </c>
      <c r="X243" s="143" t="s">
        <v>730</v>
      </c>
      <c r="Y243" s="143" t="s">
        <v>663</v>
      </c>
      <c r="Z243" s="143">
        <v>4641</v>
      </c>
      <c r="AA243" s="143">
        <v>0</v>
      </c>
      <c r="AD243" s="137">
        <v>0</v>
      </c>
      <c r="AG243" s="143" t="s">
        <v>2846</v>
      </c>
      <c r="AH243" s="143" t="s">
        <v>730</v>
      </c>
      <c r="AI243" s="143" t="s">
        <v>663</v>
      </c>
      <c r="AJ243" s="143">
        <v>4641</v>
      </c>
      <c r="AK243" s="143">
        <v>2</v>
      </c>
      <c r="AL243" s="156">
        <v>2</v>
      </c>
      <c r="AM243" s="156">
        <v>3</v>
      </c>
      <c r="AN243" s="156">
        <v>3</v>
      </c>
      <c r="AO243" s="156">
        <v>3</v>
      </c>
      <c r="AP243" s="156">
        <v>2.5</v>
      </c>
      <c r="AQ243" s="156">
        <v>2.5</v>
      </c>
      <c r="AR243" s="156">
        <v>3</v>
      </c>
      <c r="AS243" s="169">
        <v>2.8571430000000002</v>
      </c>
    </row>
    <row r="244" spans="1:45" x14ac:dyDescent="0.35">
      <c r="A244" s="143" t="s">
        <v>2846</v>
      </c>
      <c r="B244" s="143" t="s">
        <v>730</v>
      </c>
      <c r="C244" s="143" t="s">
        <v>663</v>
      </c>
      <c r="D244" s="143">
        <v>4642</v>
      </c>
      <c r="E244" s="143">
        <v>2</v>
      </c>
      <c r="F244" s="137"/>
      <c r="G244" s="137"/>
      <c r="H244" s="137">
        <v>1</v>
      </c>
      <c r="I244" s="137">
        <v>1</v>
      </c>
      <c r="K244" s="143" t="s">
        <v>2846</v>
      </c>
      <c r="L244" s="143" t="s">
        <v>730</v>
      </c>
      <c r="M244" s="143" t="s">
        <v>663</v>
      </c>
      <c r="N244" s="143">
        <v>4642</v>
      </c>
      <c r="O244" s="137">
        <v>0.4</v>
      </c>
      <c r="P244" s="137">
        <v>0.6</v>
      </c>
      <c r="Q244" s="137">
        <v>1</v>
      </c>
      <c r="R244" s="137" t="s">
        <v>2486</v>
      </c>
      <c r="S244" s="137">
        <v>0.6</v>
      </c>
      <c r="T244" s="137" t="s">
        <v>2486</v>
      </c>
      <c r="U244" s="137" t="s">
        <v>2838</v>
      </c>
      <c r="W244" s="143" t="s">
        <v>2846</v>
      </c>
      <c r="X244" s="143" t="s">
        <v>730</v>
      </c>
      <c r="Y244" s="143" t="s">
        <v>663</v>
      </c>
      <c r="Z244" s="143">
        <v>4642</v>
      </c>
      <c r="AA244" s="143">
        <v>0</v>
      </c>
      <c r="AD244" s="137">
        <v>0</v>
      </c>
      <c r="AG244" s="143" t="s">
        <v>2846</v>
      </c>
      <c r="AH244" s="143" t="s">
        <v>730</v>
      </c>
      <c r="AI244" s="143" t="s">
        <v>663</v>
      </c>
      <c r="AJ244" s="143">
        <v>4642</v>
      </c>
      <c r="AK244" s="143">
        <v>2</v>
      </c>
      <c r="AL244" s="156">
        <v>1</v>
      </c>
      <c r="AM244" s="156">
        <v>2</v>
      </c>
      <c r="AN244" s="156">
        <v>2.5</v>
      </c>
      <c r="AO244" s="156">
        <v>2.5</v>
      </c>
      <c r="AP244" s="156">
        <v>3</v>
      </c>
      <c r="AQ244" s="156">
        <v>3</v>
      </c>
      <c r="AR244" s="156">
        <v>4</v>
      </c>
      <c r="AS244" s="169">
        <v>3</v>
      </c>
    </row>
    <row r="245" spans="1:45" x14ac:dyDescent="0.35">
      <c r="A245" s="143" t="s">
        <v>2846</v>
      </c>
      <c r="B245" s="143" t="s">
        <v>730</v>
      </c>
      <c r="C245" s="143" t="s">
        <v>663</v>
      </c>
      <c r="D245" s="143">
        <v>4645</v>
      </c>
      <c r="E245" s="143">
        <v>2</v>
      </c>
      <c r="F245" s="137"/>
      <c r="G245" s="137"/>
      <c r="H245" s="137">
        <v>0.5</v>
      </c>
      <c r="I245" s="137">
        <v>1</v>
      </c>
      <c r="K245" s="143" t="s">
        <v>2846</v>
      </c>
      <c r="L245" s="143" t="s">
        <v>730</v>
      </c>
      <c r="M245" s="143" t="s">
        <v>663</v>
      </c>
      <c r="N245" s="143">
        <v>4645</v>
      </c>
      <c r="O245" s="137">
        <v>0.4</v>
      </c>
      <c r="P245" s="137">
        <v>0.6</v>
      </c>
      <c r="Q245" s="137">
        <v>1</v>
      </c>
      <c r="R245" s="137" t="s">
        <v>2486</v>
      </c>
      <c r="S245" s="137">
        <v>0.6</v>
      </c>
      <c r="T245" s="137" t="s">
        <v>2486</v>
      </c>
      <c r="U245" s="137" t="s">
        <v>2838</v>
      </c>
      <c r="W245" s="143" t="s">
        <v>2846</v>
      </c>
      <c r="X245" s="143" t="s">
        <v>730</v>
      </c>
      <c r="Y245" s="143" t="s">
        <v>663</v>
      </c>
      <c r="Z245" s="143">
        <v>4645</v>
      </c>
      <c r="AA245" s="143">
        <v>0</v>
      </c>
      <c r="AD245" s="137">
        <v>0</v>
      </c>
      <c r="AG245" s="143" t="s">
        <v>2846</v>
      </c>
      <c r="AH245" s="143" t="s">
        <v>730</v>
      </c>
      <c r="AI245" s="143" t="s">
        <v>663</v>
      </c>
      <c r="AJ245" s="143">
        <v>4645</v>
      </c>
      <c r="AK245" s="143">
        <v>2</v>
      </c>
      <c r="AL245" s="156">
        <v>2</v>
      </c>
      <c r="AM245" s="156">
        <v>3</v>
      </c>
      <c r="AN245" s="156">
        <v>2.5</v>
      </c>
      <c r="AO245" s="156">
        <v>3</v>
      </c>
      <c r="AP245" s="156">
        <v>3</v>
      </c>
      <c r="AQ245" s="156">
        <v>3</v>
      </c>
      <c r="AR245" s="156">
        <v>4</v>
      </c>
      <c r="AS245" s="169">
        <v>3.0714290000000002</v>
      </c>
    </row>
    <row r="246" spans="1:45" x14ac:dyDescent="0.35">
      <c r="A246" s="143" t="s">
        <v>2846</v>
      </c>
      <c r="B246" s="143" t="s">
        <v>730</v>
      </c>
      <c r="C246" s="143" t="s">
        <v>663</v>
      </c>
      <c r="D246" s="143">
        <v>4729</v>
      </c>
      <c r="E246" s="143">
        <v>2</v>
      </c>
      <c r="F246" s="137"/>
      <c r="G246" s="137"/>
      <c r="H246" s="137">
        <v>1</v>
      </c>
      <c r="I246" s="137">
        <v>1</v>
      </c>
      <c r="K246" s="143" t="s">
        <v>2846</v>
      </c>
      <c r="L246" s="143" t="s">
        <v>730</v>
      </c>
      <c r="M246" s="143" t="s">
        <v>663</v>
      </c>
      <c r="N246" s="143">
        <v>4729</v>
      </c>
      <c r="O246" s="137">
        <v>0.4</v>
      </c>
      <c r="P246" s="137">
        <v>0.6</v>
      </c>
      <c r="Q246" s="137">
        <v>1</v>
      </c>
      <c r="R246" s="137" t="s">
        <v>2486</v>
      </c>
      <c r="S246" s="137">
        <v>0.6</v>
      </c>
      <c r="T246" s="137" t="s">
        <v>2486</v>
      </c>
      <c r="U246" s="137" t="s">
        <v>2838</v>
      </c>
      <c r="W246" s="143" t="s">
        <v>2846</v>
      </c>
      <c r="X246" s="143" t="s">
        <v>730</v>
      </c>
      <c r="Y246" s="143" t="s">
        <v>663</v>
      </c>
      <c r="Z246" s="143">
        <v>4729</v>
      </c>
      <c r="AA246" s="143">
        <v>0</v>
      </c>
      <c r="AD246" s="137">
        <v>0</v>
      </c>
      <c r="AG246" s="143" t="s">
        <v>2846</v>
      </c>
      <c r="AH246" s="143" t="s">
        <v>730</v>
      </c>
      <c r="AI246" s="143" t="s">
        <v>663</v>
      </c>
      <c r="AJ246" s="143">
        <v>4729</v>
      </c>
      <c r="AK246" s="143">
        <v>2</v>
      </c>
      <c r="AL246" s="156">
        <v>1.5</v>
      </c>
      <c r="AM246" s="156">
        <v>3</v>
      </c>
      <c r="AN246" s="156">
        <v>3</v>
      </c>
      <c r="AO246" s="156">
        <v>3</v>
      </c>
      <c r="AP246" s="156">
        <v>3.5</v>
      </c>
      <c r="AQ246" s="156">
        <v>3.5</v>
      </c>
      <c r="AR246" s="156">
        <v>3.5</v>
      </c>
      <c r="AS246" s="169">
        <v>3.285714</v>
      </c>
    </row>
    <row r="247" spans="1:45" x14ac:dyDescent="0.35">
      <c r="A247" s="143" t="s">
        <v>2846</v>
      </c>
      <c r="B247" s="143" t="s">
        <v>730</v>
      </c>
      <c r="C247" s="143" t="s">
        <v>663</v>
      </c>
      <c r="D247" s="143">
        <v>6868</v>
      </c>
      <c r="E247" s="143">
        <v>2</v>
      </c>
      <c r="F247" s="137"/>
      <c r="G247" s="137"/>
      <c r="H247" s="137">
        <v>1</v>
      </c>
      <c r="I247" s="137">
        <v>1</v>
      </c>
      <c r="K247" s="143" t="s">
        <v>2846</v>
      </c>
      <c r="L247" s="143" t="s">
        <v>730</v>
      </c>
      <c r="M247" s="143" t="s">
        <v>663</v>
      </c>
      <c r="N247" s="143">
        <v>6868</v>
      </c>
      <c r="O247" s="137">
        <v>0.23200000000000001</v>
      </c>
      <c r="P247" s="137">
        <v>0.3</v>
      </c>
      <c r="Q247" s="137">
        <v>0.53200000000000003</v>
      </c>
      <c r="R247" s="137" t="s">
        <v>2487</v>
      </c>
      <c r="S247" s="137">
        <v>0.5</v>
      </c>
      <c r="T247" s="137" t="s">
        <v>2487</v>
      </c>
      <c r="U247" s="137" t="s">
        <v>2838</v>
      </c>
      <c r="W247" s="143" t="s">
        <v>2846</v>
      </c>
      <c r="X247" s="143" t="s">
        <v>730</v>
      </c>
      <c r="Y247" s="143" t="s">
        <v>663</v>
      </c>
      <c r="Z247" s="143">
        <v>6868</v>
      </c>
      <c r="AA247" s="143">
        <v>0</v>
      </c>
      <c r="AD247" s="137">
        <v>0</v>
      </c>
      <c r="AG247" s="143" t="s">
        <v>2846</v>
      </c>
      <c r="AH247" s="143" t="s">
        <v>730</v>
      </c>
      <c r="AI247" s="143" t="s">
        <v>663</v>
      </c>
      <c r="AJ247" s="143">
        <v>6868</v>
      </c>
      <c r="AK247" s="143">
        <v>2</v>
      </c>
      <c r="AL247" s="156">
        <v>2</v>
      </c>
      <c r="AM247" s="156">
        <v>3.5</v>
      </c>
      <c r="AN247" s="156">
        <v>3</v>
      </c>
      <c r="AO247" s="156">
        <v>3</v>
      </c>
      <c r="AP247" s="156">
        <v>2.5</v>
      </c>
      <c r="AQ247" s="156">
        <v>3</v>
      </c>
      <c r="AR247" s="156">
        <v>3.5</v>
      </c>
      <c r="AS247" s="169">
        <v>3.0714290000000002</v>
      </c>
    </row>
    <row r="248" spans="1:45" x14ac:dyDescent="0.35">
      <c r="A248" s="143" t="s">
        <v>2846</v>
      </c>
      <c r="B248" s="143" t="s">
        <v>730</v>
      </c>
      <c r="C248" s="143" t="s">
        <v>842</v>
      </c>
      <c r="D248" s="143">
        <v>10315</v>
      </c>
      <c r="E248" s="143">
        <v>2</v>
      </c>
      <c r="F248" s="137"/>
      <c r="G248" s="137"/>
      <c r="H248" s="137">
        <v>1</v>
      </c>
      <c r="I248" s="137">
        <v>0</v>
      </c>
      <c r="K248" s="143" t="s">
        <v>2846</v>
      </c>
      <c r="L248" s="143" t="s">
        <v>730</v>
      </c>
      <c r="M248" s="143" t="s">
        <v>842</v>
      </c>
      <c r="N248" s="143">
        <v>10315</v>
      </c>
      <c r="O248" s="137">
        <v>0.4</v>
      </c>
      <c r="P248" s="137">
        <v>0.6</v>
      </c>
      <c r="Q248" s="137">
        <v>1</v>
      </c>
      <c r="R248" s="137" t="s">
        <v>2486</v>
      </c>
      <c r="S248" s="137">
        <v>0.5</v>
      </c>
      <c r="T248" s="137" t="s">
        <v>2486</v>
      </c>
      <c r="U248" s="137" t="s">
        <v>2486</v>
      </c>
      <c r="W248" s="143" t="s">
        <v>2846</v>
      </c>
      <c r="X248" s="143" t="s">
        <v>730</v>
      </c>
      <c r="Y248" s="143" t="s">
        <v>842</v>
      </c>
      <c r="Z248" s="143">
        <v>10315</v>
      </c>
      <c r="AA248" s="143">
        <v>0</v>
      </c>
      <c r="AD248" s="137">
        <v>0</v>
      </c>
      <c r="AG248" s="143" t="s">
        <v>2846</v>
      </c>
      <c r="AH248" s="143" t="s">
        <v>730</v>
      </c>
      <c r="AI248" s="143" t="s">
        <v>842</v>
      </c>
      <c r="AJ248" s="143">
        <v>10315</v>
      </c>
      <c r="AK248" s="143">
        <v>2</v>
      </c>
      <c r="AL248" s="156">
        <v>2</v>
      </c>
      <c r="AM248" s="156">
        <v>3</v>
      </c>
      <c r="AN248" s="156">
        <v>2</v>
      </c>
      <c r="AO248" s="156">
        <v>2.5</v>
      </c>
      <c r="AP248" s="156">
        <v>2</v>
      </c>
      <c r="AQ248" s="156">
        <v>3</v>
      </c>
      <c r="AR248" s="156">
        <v>3</v>
      </c>
      <c r="AS248" s="169">
        <v>2.6428569999999998</v>
      </c>
    </row>
    <row r="249" spans="1:45" x14ac:dyDescent="0.35">
      <c r="A249" s="143" t="s">
        <v>2846</v>
      </c>
      <c r="B249" s="143" t="s">
        <v>730</v>
      </c>
      <c r="C249" s="143" t="s">
        <v>842</v>
      </c>
      <c r="D249" s="143">
        <v>10317</v>
      </c>
      <c r="E249" s="143">
        <v>2</v>
      </c>
      <c r="F249" s="137"/>
      <c r="G249" s="137"/>
      <c r="H249" s="137">
        <v>1</v>
      </c>
      <c r="I249" s="137">
        <v>1</v>
      </c>
      <c r="K249" s="143" t="s">
        <v>2846</v>
      </c>
      <c r="L249" s="143" t="s">
        <v>730</v>
      </c>
      <c r="M249" s="143" t="s">
        <v>842</v>
      </c>
      <c r="N249" s="143">
        <v>10317</v>
      </c>
      <c r="O249" s="137">
        <v>0.4</v>
      </c>
      <c r="P249" s="137">
        <v>0.6</v>
      </c>
      <c r="Q249" s="137">
        <v>1</v>
      </c>
      <c r="R249" s="137" t="s">
        <v>2486</v>
      </c>
      <c r="S249" s="137">
        <v>0.6</v>
      </c>
      <c r="T249" s="137" t="s">
        <v>2486</v>
      </c>
      <c r="U249" s="137" t="s">
        <v>2486</v>
      </c>
      <c r="W249" s="143" t="s">
        <v>2846</v>
      </c>
      <c r="X249" s="143" t="s">
        <v>730</v>
      </c>
      <c r="Y249" s="143" t="s">
        <v>842</v>
      </c>
      <c r="Z249" s="143">
        <v>10317</v>
      </c>
      <c r="AA249" s="143">
        <v>0</v>
      </c>
      <c r="AD249" s="137">
        <v>0</v>
      </c>
      <c r="AG249" s="143" t="s">
        <v>2846</v>
      </c>
      <c r="AH249" s="143" t="s">
        <v>730</v>
      </c>
      <c r="AI249" s="143" t="s">
        <v>842</v>
      </c>
      <c r="AJ249" s="143">
        <v>10317</v>
      </c>
      <c r="AK249" s="143">
        <v>2</v>
      </c>
      <c r="AL249" s="156">
        <v>2.5</v>
      </c>
      <c r="AM249" s="156">
        <v>3</v>
      </c>
      <c r="AN249" s="156">
        <v>2.5</v>
      </c>
      <c r="AO249" s="156">
        <v>3</v>
      </c>
      <c r="AP249" s="156">
        <v>1.5</v>
      </c>
      <c r="AQ249" s="156">
        <v>3</v>
      </c>
      <c r="AR249" s="156">
        <v>3</v>
      </c>
      <c r="AS249" s="169">
        <v>2.6428569999999998</v>
      </c>
    </row>
    <row r="250" spans="1:45" x14ac:dyDescent="0.35">
      <c r="A250" s="143" t="s">
        <v>2846</v>
      </c>
      <c r="B250" s="143" t="s">
        <v>730</v>
      </c>
      <c r="C250" s="143" t="s">
        <v>663</v>
      </c>
      <c r="D250" s="143">
        <v>10324</v>
      </c>
      <c r="E250" s="143">
        <v>2</v>
      </c>
      <c r="F250" s="137"/>
      <c r="G250" s="137"/>
      <c r="H250" s="137">
        <v>1</v>
      </c>
      <c r="I250" s="137">
        <v>0</v>
      </c>
      <c r="K250" s="143" t="s">
        <v>2846</v>
      </c>
      <c r="L250" s="143" t="s">
        <v>730</v>
      </c>
      <c r="M250" s="143" t="s">
        <v>663</v>
      </c>
      <c r="N250" s="143">
        <v>10324</v>
      </c>
      <c r="O250" s="137">
        <v>0.4</v>
      </c>
      <c r="P250" s="137">
        <v>0.6</v>
      </c>
      <c r="Q250" s="137">
        <v>1</v>
      </c>
      <c r="R250" s="137" t="s">
        <v>2486</v>
      </c>
      <c r="S250" s="137">
        <v>0.6</v>
      </c>
      <c r="T250" s="137" t="s">
        <v>2486</v>
      </c>
      <c r="U250" s="137" t="s">
        <v>2838</v>
      </c>
      <c r="W250" s="143" t="s">
        <v>2846</v>
      </c>
      <c r="X250" s="143" t="s">
        <v>730</v>
      </c>
      <c r="Y250" s="143" t="s">
        <v>663</v>
      </c>
      <c r="Z250" s="143">
        <v>10324</v>
      </c>
      <c r="AA250" s="143">
        <v>0</v>
      </c>
      <c r="AD250" s="137">
        <v>0</v>
      </c>
      <c r="AG250" s="143" t="s">
        <v>2846</v>
      </c>
      <c r="AH250" s="143" t="s">
        <v>730</v>
      </c>
      <c r="AI250" s="143" t="s">
        <v>663</v>
      </c>
      <c r="AJ250" s="143">
        <v>10324</v>
      </c>
      <c r="AK250" s="143">
        <v>2</v>
      </c>
      <c r="AL250" s="156">
        <v>2</v>
      </c>
      <c r="AM250" s="156">
        <v>3</v>
      </c>
      <c r="AN250" s="156">
        <v>3</v>
      </c>
      <c r="AO250" s="156">
        <v>2</v>
      </c>
      <c r="AP250" s="156">
        <v>1.5</v>
      </c>
      <c r="AQ250" s="156">
        <v>3</v>
      </c>
      <c r="AR250" s="156">
        <v>3.5</v>
      </c>
      <c r="AS250" s="169">
        <v>2.714286</v>
      </c>
    </row>
    <row r="251" spans="1:45" x14ac:dyDescent="0.35">
      <c r="A251" s="143" t="s">
        <v>741</v>
      </c>
      <c r="B251" s="143" t="s">
        <v>736</v>
      </c>
      <c r="C251" s="143" t="s">
        <v>2452</v>
      </c>
      <c r="D251" s="143">
        <v>50</v>
      </c>
      <c r="E251" s="143">
        <v>20</v>
      </c>
      <c r="F251" s="137">
        <v>1</v>
      </c>
      <c r="G251" s="137">
        <v>1</v>
      </c>
      <c r="H251" s="137">
        <v>1</v>
      </c>
      <c r="I251" s="137">
        <v>1</v>
      </c>
      <c r="K251" s="143" t="s">
        <v>741</v>
      </c>
      <c r="L251" s="143" t="s">
        <v>736</v>
      </c>
      <c r="M251" s="143" t="s">
        <v>2452</v>
      </c>
      <c r="N251" s="143">
        <v>50</v>
      </c>
      <c r="O251" s="137">
        <v>0.38899470000000003</v>
      </c>
      <c r="P251" s="137">
        <v>0.58095240000000004</v>
      </c>
      <c r="Q251" s="137">
        <v>0.96994709999999995</v>
      </c>
      <c r="R251" s="137" t="s">
        <v>2486</v>
      </c>
      <c r="S251" s="137">
        <v>0.40707959999999999</v>
      </c>
      <c r="T251" s="137" t="s">
        <v>2486</v>
      </c>
      <c r="U251" s="137" t="s">
        <v>2838</v>
      </c>
      <c r="W251" s="143" t="s">
        <v>741</v>
      </c>
      <c r="X251" s="143" t="s">
        <v>736</v>
      </c>
      <c r="Y251" s="143" t="s">
        <v>2452</v>
      </c>
      <c r="Z251" s="143">
        <v>50</v>
      </c>
      <c r="AA251" s="143">
        <v>20</v>
      </c>
      <c r="AB251" s="137">
        <v>0.55000000000000004</v>
      </c>
      <c r="AC251" s="137">
        <v>0.3333333</v>
      </c>
      <c r="AD251" s="137">
        <v>0</v>
      </c>
      <c r="AE251" s="137">
        <v>0.2477876</v>
      </c>
      <c r="AG251" s="143" t="s">
        <v>741</v>
      </c>
      <c r="AH251" s="143" t="s">
        <v>736</v>
      </c>
      <c r="AI251" s="143" t="s">
        <v>2452</v>
      </c>
      <c r="AJ251" s="143">
        <v>50</v>
      </c>
      <c r="AK251" s="143">
        <v>20</v>
      </c>
      <c r="AL251" s="156">
        <v>2.3499999046325701</v>
      </c>
      <c r="AM251" s="156">
        <v>2.9500000476837198</v>
      </c>
      <c r="AN251" s="156">
        <v>3.1500000953674299</v>
      </c>
      <c r="AO251" s="156">
        <v>3.25</v>
      </c>
      <c r="AP251" s="156">
        <v>3.5999999046325701</v>
      </c>
      <c r="AQ251" s="156">
        <v>2.7000000476837198</v>
      </c>
      <c r="AR251" s="156">
        <v>3.2000000476837198</v>
      </c>
      <c r="AS251" s="169">
        <v>3.157143</v>
      </c>
    </row>
    <row r="252" spans="1:45" x14ac:dyDescent="0.35">
      <c r="A252" s="143" t="s">
        <v>741</v>
      </c>
      <c r="B252" s="143" t="s">
        <v>736</v>
      </c>
      <c r="C252" s="143" t="s">
        <v>841</v>
      </c>
      <c r="D252" s="143">
        <v>58</v>
      </c>
      <c r="E252" s="143">
        <v>3</v>
      </c>
      <c r="F252" s="137">
        <v>1</v>
      </c>
      <c r="G252" s="137">
        <v>1</v>
      </c>
      <c r="H252" s="137">
        <v>1</v>
      </c>
      <c r="I252" s="137">
        <v>1</v>
      </c>
      <c r="K252" s="143" t="s">
        <v>741</v>
      </c>
      <c r="L252" s="143" t="s">
        <v>736</v>
      </c>
      <c r="M252" s="143" t="s">
        <v>841</v>
      </c>
      <c r="N252" s="143">
        <v>58</v>
      </c>
      <c r="O252" s="137">
        <v>0.4</v>
      </c>
      <c r="P252" s="137">
        <v>0.6</v>
      </c>
      <c r="Q252" s="137">
        <v>1</v>
      </c>
      <c r="R252" s="137" t="s">
        <v>2486</v>
      </c>
      <c r="S252" s="137">
        <v>0.4166667</v>
      </c>
      <c r="T252" s="137" t="s">
        <v>2486</v>
      </c>
      <c r="U252" s="137" t="s">
        <v>2486</v>
      </c>
      <c r="W252" s="143" t="s">
        <v>741</v>
      </c>
      <c r="X252" s="143" t="s">
        <v>736</v>
      </c>
      <c r="Y252" s="143" t="s">
        <v>841</v>
      </c>
      <c r="Z252" s="143">
        <v>58</v>
      </c>
      <c r="AA252" s="143">
        <v>0</v>
      </c>
      <c r="AD252" s="137">
        <v>0</v>
      </c>
      <c r="AE252" s="137">
        <v>0.25</v>
      </c>
      <c r="AG252" s="143" t="s">
        <v>741</v>
      </c>
      <c r="AH252" s="143" t="s">
        <v>736</v>
      </c>
      <c r="AI252" s="143" t="s">
        <v>841</v>
      </c>
      <c r="AJ252" s="143">
        <v>58</v>
      </c>
      <c r="AK252" s="143">
        <v>3</v>
      </c>
      <c r="AL252" s="156">
        <v>1</v>
      </c>
      <c r="AM252" s="156">
        <v>3.3333332538604701</v>
      </c>
      <c r="AN252" s="156">
        <v>3</v>
      </c>
      <c r="AO252" s="156">
        <v>3.6666667461395299</v>
      </c>
      <c r="AP252" s="156">
        <v>4</v>
      </c>
      <c r="AQ252" s="156">
        <v>3</v>
      </c>
      <c r="AR252" s="156">
        <v>3.3333332538604701</v>
      </c>
      <c r="AS252" s="169">
        <v>3.476191</v>
      </c>
    </row>
    <row r="253" spans="1:45" x14ac:dyDescent="0.35">
      <c r="A253" s="143" t="s">
        <v>741</v>
      </c>
      <c r="B253" s="143" t="s">
        <v>736</v>
      </c>
      <c r="C253" s="143" t="s">
        <v>842</v>
      </c>
      <c r="D253" s="143">
        <v>1025</v>
      </c>
      <c r="E253" s="143">
        <v>2</v>
      </c>
      <c r="F253" s="137">
        <v>0.5</v>
      </c>
      <c r="G253" s="137">
        <v>0.5</v>
      </c>
      <c r="H253" s="137">
        <v>0.5</v>
      </c>
      <c r="I253" s="137">
        <v>1</v>
      </c>
      <c r="K253" s="143" t="s">
        <v>741</v>
      </c>
      <c r="L253" s="143" t="s">
        <v>736</v>
      </c>
      <c r="M253" s="143" t="s">
        <v>842</v>
      </c>
      <c r="N253" s="143">
        <v>1025</v>
      </c>
      <c r="O253" s="137">
        <v>0.4</v>
      </c>
      <c r="P253" s="137">
        <v>0</v>
      </c>
      <c r="Q253" s="137">
        <v>0.4</v>
      </c>
      <c r="R253" s="137" t="s">
        <v>2487</v>
      </c>
      <c r="S253" s="137">
        <v>0.375</v>
      </c>
      <c r="T253" s="137" t="s">
        <v>2487</v>
      </c>
      <c r="U253" s="137" t="s">
        <v>2486</v>
      </c>
      <c r="W253" s="143" t="s">
        <v>741</v>
      </c>
      <c r="X253" s="143" t="s">
        <v>736</v>
      </c>
      <c r="Y253" s="143" t="s">
        <v>842</v>
      </c>
      <c r="Z253" s="143">
        <v>1025</v>
      </c>
      <c r="AA253" s="143">
        <v>0</v>
      </c>
      <c r="AD253" s="137">
        <v>0</v>
      </c>
      <c r="AG253" s="143" t="s">
        <v>741</v>
      </c>
      <c r="AH253" s="143" t="s">
        <v>736</v>
      </c>
      <c r="AI253" s="143" t="s">
        <v>842</v>
      </c>
      <c r="AJ253" s="143">
        <v>1025</v>
      </c>
      <c r="AK253" s="143">
        <v>2</v>
      </c>
      <c r="AL253" s="156">
        <v>3.5</v>
      </c>
      <c r="AM253" s="156">
        <v>4</v>
      </c>
      <c r="AN253" s="156">
        <v>2</v>
      </c>
      <c r="AO253" s="156">
        <v>1</v>
      </c>
      <c r="AP253" s="156">
        <v>2</v>
      </c>
      <c r="AQ253" s="156">
        <v>2.5</v>
      </c>
      <c r="AR253" s="156">
        <v>2.5</v>
      </c>
      <c r="AS253" s="169">
        <v>2.4285709999999998</v>
      </c>
    </row>
    <row r="254" spans="1:45" x14ac:dyDescent="0.35">
      <c r="A254" s="143" t="s">
        <v>741</v>
      </c>
      <c r="B254" s="143" t="s">
        <v>736</v>
      </c>
      <c r="C254" s="143" t="s">
        <v>841</v>
      </c>
      <c r="D254" s="143">
        <v>1545</v>
      </c>
      <c r="E254" s="143">
        <v>3</v>
      </c>
      <c r="F254" s="137">
        <v>1</v>
      </c>
      <c r="G254" s="137">
        <v>1</v>
      </c>
      <c r="H254" s="137">
        <v>1</v>
      </c>
      <c r="I254" s="137">
        <v>1</v>
      </c>
      <c r="K254" s="143" t="s">
        <v>741</v>
      </c>
      <c r="L254" s="143" t="s">
        <v>736</v>
      </c>
      <c r="M254" s="143" t="s">
        <v>841</v>
      </c>
      <c r="N254" s="143">
        <v>1545</v>
      </c>
      <c r="O254" s="137">
        <v>0.4</v>
      </c>
      <c r="P254" s="137">
        <v>0.6</v>
      </c>
      <c r="Q254" s="137">
        <v>1</v>
      </c>
      <c r="R254" s="137" t="s">
        <v>2486</v>
      </c>
      <c r="S254" s="137">
        <v>0.57142859999999995</v>
      </c>
      <c r="T254" s="137" t="s">
        <v>2486</v>
      </c>
      <c r="U254" s="137" t="s">
        <v>2486</v>
      </c>
      <c r="W254" s="143" t="s">
        <v>741</v>
      </c>
      <c r="X254" s="143" t="s">
        <v>736</v>
      </c>
      <c r="Y254" s="143" t="s">
        <v>841</v>
      </c>
      <c r="Z254" s="143">
        <v>1545</v>
      </c>
      <c r="AA254" s="143">
        <v>0</v>
      </c>
      <c r="AD254" s="137">
        <v>0</v>
      </c>
      <c r="AE254" s="137">
        <v>0.35714289999999999</v>
      </c>
      <c r="AG254" s="143" t="s">
        <v>741</v>
      </c>
      <c r="AH254" s="143" t="s">
        <v>736</v>
      </c>
      <c r="AI254" s="143" t="s">
        <v>841</v>
      </c>
      <c r="AJ254" s="143">
        <v>1545</v>
      </c>
      <c r="AK254" s="143">
        <v>3</v>
      </c>
      <c r="AL254" s="156">
        <v>2</v>
      </c>
      <c r="AM254" s="156">
        <v>3.3333332538604701</v>
      </c>
      <c r="AN254" s="156">
        <v>3.3333332538604701</v>
      </c>
      <c r="AO254" s="156">
        <v>3</v>
      </c>
      <c r="AP254" s="156">
        <v>3</v>
      </c>
      <c r="AQ254" s="156">
        <v>3</v>
      </c>
      <c r="AR254" s="156">
        <v>3.3333332538604701</v>
      </c>
      <c r="AS254" s="169">
        <v>3.1428569999999998</v>
      </c>
    </row>
    <row r="255" spans="1:45" x14ac:dyDescent="0.35">
      <c r="A255" s="143" t="s">
        <v>741</v>
      </c>
      <c r="B255" s="143" t="s">
        <v>736</v>
      </c>
      <c r="C255" s="143" t="s">
        <v>842</v>
      </c>
      <c r="D255" s="143">
        <v>1548</v>
      </c>
      <c r="E255" s="143">
        <v>2</v>
      </c>
      <c r="F255" s="137">
        <v>1</v>
      </c>
      <c r="G255" s="137">
        <v>1</v>
      </c>
      <c r="H255" s="137">
        <v>1</v>
      </c>
      <c r="I255" s="137">
        <v>1</v>
      </c>
      <c r="K255" s="143" t="s">
        <v>741</v>
      </c>
      <c r="L255" s="143" t="s">
        <v>736</v>
      </c>
      <c r="M255" s="143" t="s">
        <v>842</v>
      </c>
      <c r="N255" s="143">
        <v>1548</v>
      </c>
      <c r="O255" s="137">
        <v>0.4</v>
      </c>
      <c r="P255" s="137">
        <v>0</v>
      </c>
      <c r="Q255" s="137">
        <v>0.4</v>
      </c>
      <c r="R255" s="137" t="s">
        <v>2487</v>
      </c>
      <c r="S255" s="137">
        <v>0.375</v>
      </c>
      <c r="T255" s="137" t="s">
        <v>2486</v>
      </c>
      <c r="U255" s="137" t="s">
        <v>2486</v>
      </c>
      <c r="W255" s="143" t="s">
        <v>741</v>
      </c>
      <c r="X255" s="143" t="s">
        <v>736</v>
      </c>
      <c r="Y255" s="143" t="s">
        <v>842</v>
      </c>
      <c r="Z255" s="143">
        <v>1548</v>
      </c>
      <c r="AA255" s="143">
        <v>0</v>
      </c>
      <c r="AD255" s="137">
        <v>0</v>
      </c>
      <c r="AE255" s="137">
        <v>0.125</v>
      </c>
      <c r="AG255" s="143" t="s">
        <v>741</v>
      </c>
      <c r="AH255" s="143" t="s">
        <v>736</v>
      </c>
      <c r="AI255" s="143" t="s">
        <v>842</v>
      </c>
      <c r="AJ255" s="143">
        <v>1548</v>
      </c>
      <c r="AK255" s="143">
        <v>2</v>
      </c>
      <c r="AL255" s="156">
        <v>1.5</v>
      </c>
      <c r="AM255" s="156">
        <v>3.5</v>
      </c>
      <c r="AN255" s="156">
        <v>2.5</v>
      </c>
      <c r="AO255" s="156">
        <v>2</v>
      </c>
      <c r="AP255" s="156">
        <v>2.5</v>
      </c>
      <c r="AQ255" s="156">
        <v>3</v>
      </c>
      <c r="AR255" s="156">
        <v>3.5</v>
      </c>
      <c r="AS255" s="169">
        <v>2.9285709999999998</v>
      </c>
    </row>
    <row r="256" spans="1:45" x14ac:dyDescent="0.35">
      <c r="A256" s="143" t="s">
        <v>741</v>
      </c>
      <c r="B256" s="143" t="s">
        <v>736</v>
      </c>
      <c r="C256" s="143" t="s">
        <v>842</v>
      </c>
      <c r="D256" s="143">
        <v>1961</v>
      </c>
      <c r="E256" s="143">
        <v>2</v>
      </c>
      <c r="F256" s="137">
        <v>1</v>
      </c>
      <c r="G256" s="137">
        <v>1</v>
      </c>
      <c r="H256" s="137">
        <v>1</v>
      </c>
      <c r="I256" s="137">
        <v>1</v>
      </c>
      <c r="K256" s="143" t="s">
        <v>741</v>
      </c>
      <c r="L256" s="143" t="s">
        <v>736</v>
      </c>
      <c r="M256" s="143" t="s">
        <v>842</v>
      </c>
      <c r="N256" s="143">
        <v>1961</v>
      </c>
      <c r="O256" s="137">
        <v>0.4</v>
      </c>
      <c r="P256" s="137">
        <v>0.6</v>
      </c>
      <c r="Q256" s="137">
        <v>1</v>
      </c>
      <c r="R256" s="137" t="s">
        <v>2486</v>
      </c>
      <c r="S256" s="137">
        <v>0.375</v>
      </c>
      <c r="T256" s="137" t="s">
        <v>2486</v>
      </c>
      <c r="U256" s="137" t="s">
        <v>2486</v>
      </c>
      <c r="W256" s="143" t="s">
        <v>741</v>
      </c>
      <c r="X256" s="143" t="s">
        <v>736</v>
      </c>
      <c r="Y256" s="143" t="s">
        <v>842</v>
      </c>
      <c r="Z256" s="143">
        <v>1961</v>
      </c>
      <c r="AA256" s="143">
        <v>0</v>
      </c>
      <c r="AD256" s="137">
        <v>0</v>
      </c>
      <c r="AE256" s="137">
        <v>0.25</v>
      </c>
      <c r="AG256" s="143" t="s">
        <v>741</v>
      </c>
      <c r="AH256" s="143" t="s">
        <v>736</v>
      </c>
      <c r="AI256" s="143" t="s">
        <v>842</v>
      </c>
      <c r="AJ256" s="143">
        <v>1961</v>
      </c>
      <c r="AK256" s="143">
        <v>2</v>
      </c>
      <c r="AL256" s="156">
        <v>1</v>
      </c>
      <c r="AM256" s="156">
        <v>3</v>
      </c>
      <c r="AN256" s="156">
        <v>3.5</v>
      </c>
      <c r="AO256" s="156">
        <v>2.5</v>
      </c>
      <c r="AP256" s="156">
        <v>3</v>
      </c>
      <c r="AQ256" s="156">
        <v>3</v>
      </c>
      <c r="AR256" s="156">
        <v>3.5</v>
      </c>
      <c r="AS256" s="169">
        <v>3.214286</v>
      </c>
    </row>
    <row r="257" spans="1:45" x14ac:dyDescent="0.35">
      <c r="A257" s="143" t="s">
        <v>741</v>
      </c>
      <c r="B257" s="143" t="s">
        <v>736</v>
      </c>
      <c r="C257" s="143" t="s">
        <v>842</v>
      </c>
      <c r="D257" s="143">
        <v>1962</v>
      </c>
      <c r="E257" s="143">
        <v>2</v>
      </c>
      <c r="F257" s="137">
        <v>1</v>
      </c>
      <c r="G257" s="137">
        <v>1</v>
      </c>
      <c r="H257" s="137">
        <v>1</v>
      </c>
      <c r="I257" s="137">
        <v>1</v>
      </c>
      <c r="K257" s="143" t="s">
        <v>741</v>
      </c>
      <c r="L257" s="143" t="s">
        <v>736</v>
      </c>
      <c r="M257" s="143" t="s">
        <v>842</v>
      </c>
      <c r="N257" s="143">
        <v>1962</v>
      </c>
      <c r="O257" s="137">
        <v>0.4</v>
      </c>
      <c r="P257" s="137">
        <v>0.6</v>
      </c>
      <c r="Q257" s="137">
        <v>1</v>
      </c>
      <c r="R257" s="137" t="s">
        <v>2486</v>
      </c>
      <c r="S257" s="137">
        <v>0.375</v>
      </c>
      <c r="T257" s="137" t="s">
        <v>2486</v>
      </c>
      <c r="U257" s="137" t="s">
        <v>2486</v>
      </c>
      <c r="W257" s="143" t="s">
        <v>741</v>
      </c>
      <c r="X257" s="143" t="s">
        <v>736</v>
      </c>
      <c r="Y257" s="143" t="s">
        <v>842</v>
      </c>
      <c r="Z257" s="143">
        <v>1962</v>
      </c>
      <c r="AA257" s="143">
        <v>0</v>
      </c>
      <c r="AD257" s="137">
        <v>0</v>
      </c>
      <c r="AG257" s="143" t="s">
        <v>741</v>
      </c>
      <c r="AH257" s="143" t="s">
        <v>736</v>
      </c>
      <c r="AI257" s="143" t="s">
        <v>842</v>
      </c>
      <c r="AJ257" s="143">
        <v>1962</v>
      </c>
      <c r="AK257" s="143">
        <v>2</v>
      </c>
      <c r="AL257" s="156">
        <v>2.5</v>
      </c>
      <c r="AM257" s="156">
        <v>3.5</v>
      </c>
      <c r="AN257" s="156">
        <v>3.5</v>
      </c>
      <c r="AO257" s="156">
        <v>3</v>
      </c>
      <c r="AP257" s="156">
        <v>3.5</v>
      </c>
      <c r="AQ257" s="156">
        <v>2.5</v>
      </c>
      <c r="AR257" s="156">
        <v>4</v>
      </c>
      <c r="AS257" s="169">
        <v>3.214286</v>
      </c>
    </row>
    <row r="258" spans="1:45" x14ac:dyDescent="0.35">
      <c r="A258" s="143" t="s">
        <v>741</v>
      </c>
      <c r="B258" s="143" t="s">
        <v>736</v>
      </c>
      <c r="C258" s="143" t="s">
        <v>663</v>
      </c>
      <c r="D258" s="143">
        <v>2292</v>
      </c>
      <c r="E258" s="143">
        <v>2</v>
      </c>
      <c r="F258" s="137">
        <v>1</v>
      </c>
      <c r="G258" s="137">
        <v>1</v>
      </c>
      <c r="H258" s="137">
        <v>1</v>
      </c>
      <c r="I258" s="137">
        <v>1</v>
      </c>
      <c r="K258" s="143" t="s">
        <v>741</v>
      </c>
      <c r="L258" s="143" t="s">
        <v>736</v>
      </c>
      <c r="M258" s="143" t="s">
        <v>663</v>
      </c>
      <c r="N258" s="143">
        <v>2292</v>
      </c>
      <c r="O258" s="137">
        <v>0.3973333</v>
      </c>
      <c r="P258" s="137">
        <v>0.6</v>
      </c>
      <c r="Q258" s="137">
        <v>0.99733329999999998</v>
      </c>
      <c r="R258" s="137" t="s">
        <v>2487</v>
      </c>
      <c r="S258" s="137">
        <v>0.75</v>
      </c>
      <c r="T258" s="137" t="s">
        <v>2486</v>
      </c>
      <c r="U258" s="137" t="s">
        <v>2838</v>
      </c>
      <c r="W258" s="143" t="s">
        <v>741</v>
      </c>
      <c r="X258" s="143" t="s">
        <v>736</v>
      </c>
      <c r="Y258" s="143" t="s">
        <v>663</v>
      </c>
      <c r="Z258" s="143">
        <v>2292</v>
      </c>
      <c r="AA258" s="143">
        <v>0</v>
      </c>
      <c r="AD258" s="137">
        <v>0</v>
      </c>
      <c r="AE258" s="137">
        <v>1.75</v>
      </c>
      <c r="AG258" s="143" t="s">
        <v>741</v>
      </c>
      <c r="AH258" s="143" t="s">
        <v>736</v>
      </c>
      <c r="AI258" s="143" t="s">
        <v>663</v>
      </c>
      <c r="AJ258" s="143">
        <v>2292</v>
      </c>
      <c r="AK258" s="143">
        <v>2</v>
      </c>
      <c r="AL258" s="156">
        <v>2.5</v>
      </c>
      <c r="AM258" s="156">
        <v>3</v>
      </c>
      <c r="AN258" s="156">
        <v>3.5</v>
      </c>
      <c r="AO258" s="156">
        <v>3</v>
      </c>
      <c r="AP258" s="156">
        <v>4</v>
      </c>
      <c r="AQ258" s="156">
        <v>3</v>
      </c>
      <c r="AR258" s="156">
        <v>3</v>
      </c>
      <c r="AS258" s="169">
        <v>3.1428569999999998</v>
      </c>
    </row>
    <row r="259" spans="1:45" x14ac:dyDescent="0.35">
      <c r="A259" s="143" t="s">
        <v>741</v>
      </c>
      <c r="B259" s="143" t="s">
        <v>736</v>
      </c>
      <c r="C259" s="143" t="s">
        <v>663</v>
      </c>
      <c r="D259" s="143">
        <v>2298</v>
      </c>
      <c r="E259" s="143">
        <v>2</v>
      </c>
      <c r="F259" s="137">
        <v>1</v>
      </c>
      <c r="G259" s="137">
        <v>1</v>
      </c>
      <c r="H259" s="137">
        <v>1</v>
      </c>
      <c r="I259" s="137">
        <v>1</v>
      </c>
      <c r="K259" s="143" t="s">
        <v>741</v>
      </c>
      <c r="L259" s="143" t="s">
        <v>736</v>
      </c>
      <c r="M259" s="143" t="s">
        <v>663</v>
      </c>
      <c r="N259" s="143">
        <v>2298</v>
      </c>
      <c r="O259" s="137">
        <v>0.4</v>
      </c>
      <c r="P259" s="137">
        <v>0.6</v>
      </c>
      <c r="Q259" s="137">
        <v>1</v>
      </c>
      <c r="R259" s="137" t="s">
        <v>2486</v>
      </c>
      <c r="S259" s="137">
        <v>0.66666669999999995</v>
      </c>
      <c r="T259" s="137" t="s">
        <v>2486</v>
      </c>
      <c r="U259" s="137" t="s">
        <v>2838</v>
      </c>
      <c r="W259" s="143" t="s">
        <v>741</v>
      </c>
      <c r="X259" s="143" t="s">
        <v>736</v>
      </c>
      <c r="Y259" s="143" t="s">
        <v>663</v>
      </c>
      <c r="Z259" s="143">
        <v>2298</v>
      </c>
      <c r="AA259" s="143">
        <v>0</v>
      </c>
      <c r="AD259" s="137">
        <v>0</v>
      </c>
      <c r="AE259" s="137">
        <v>0.3333333</v>
      </c>
      <c r="AG259" s="143" t="s">
        <v>741</v>
      </c>
      <c r="AH259" s="143" t="s">
        <v>736</v>
      </c>
      <c r="AI259" s="143" t="s">
        <v>663</v>
      </c>
      <c r="AJ259" s="143">
        <v>2298</v>
      </c>
      <c r="AK259" s="143">
        <v>2</v>
      </c>
      <c r="AL259" s="156">
        <v>1.5</v>
      </c>
      <c r="AM259" s="156">
        <v>3.5</v>
      </c>
      <c r="AN259" s="156">
        <v>3</v>
      </c>
      <c r="AO259" s="156">
        <v>3.5</v>
      </c>
      <c r="AP259" s="156">
        <v>3.5</v>
      </c>
      <c r="AQ259" s="156">
        <v>3</v>
      </c>
      <c r="AR259" s="156">
        <v>3</v>
      </c>
      <c r="AS259" s="169">
        <v>3.285714</v>
      </c>
    </row>
    <row r="260" spans="1:45" x14ac:dyDescent="0.35">
      <c r="A260" s="143" t="s">
        <v>741</v>
      </c>
      <c r="B260" s="143" t="s">
        <v>736</v>
      </c>
      <c r="C260" s="143" t="s">
        <v>663</v>
      </c>
      <c r="D260" s="143">
        <v>3033</v>
      </c>
      <c r="E260" s="143">
        <v>2</v>
      </c>
      <c r="F260" s="137">
        <v>1</v>
      </c>
      <c r="G260" s="137">
        <v>1</v>
      </c>
      <c r="H260" s="137">
        <v>1</v>
      </c>
      <c r="I260" s="137">
        <v>1</v>
      </c>
      <c r="K260" s="143" t="s">
        <v>741</v>
      </c>
      <c r="L260" s="143" t="s">
        <v>736</v>
      </c>
      <c r="M260" s="143" t="s">
        <v>663</v>
      </c>
      <c r="N260" s="143">
        <v>3033</v>
      </c>
      <c r="O260" s="137">
        <v>0.4</v>
      </c>
      <c r="P260" s="137">
        <v>0.6</v>
      </c>
      <c r="Q260" s="137">
        <v>1</v>
      </c>
      <c r="R260" s="137" t="s">
        <v>2486</v>
      </c>
      <c r="S260" s="137">
        <v>0.75</v>
      </c>
      <c r="T260" s="137" t="s">
        <v>2486</v>
      </c>
      <c r="U260" s="137" t="s">
        <v>2838</v>
      </c>
      <c r="W260" s="143" t="s">
        <v>741</v>
      </c>
      <c r="X260" s="143" t="s">
        <v>736</v>
      </c>
      <c r="Y260" s="143" t="s">
        <v>663</v>
      </c>
      <c r="Z260" s="143">
        <v>3033</v>
      </c>
      <c r="AA260" s="143">
        <v>0</v>
      </c>
      <c r="AD260" s="137">
        <v>0</v>
      </c>
      <c r="AG260" s="143" t="s">
        <v>741</v>
      </c>
      <c r="AH260" s="143" t="s">
        <v>736</v>
      </c>
      <c r="AI260" s="143" t="s">
        <v>663</v>
      </c>
      <c r="AJ260" s="143">
        <v>3033</v>
      </c>
      <c r="AK260" s="143">
        <v>2</v>
      </c>
      <c r="AL260" s="156">
        <v>2</v>
      </c>
      <c r="AM260" s="156">
        <v>3</v>
      </c>
      <c r="AN260" s="156">
        <v>1.5</v>
      </c>
      <c r="AO260" s="156">
        <v>2</v>
      </c>
      <c r="AP260" s="156">
        <v>3</v>
      </c>
      <c r="AQ260" s="156">
        <v>3</v>
      </c>
      <c r="AR260" s="156">
        <v>3</v>
      </c>
      <c r="AS260" s="169">
        <v>2.6428569999999998</v>
      </c>
    </row>
    <row r="261" spans="1:45" x14ac:dyDescent="0.35">
      <c r="A261" s="143" t="s">
        <v>741</v>
      </c>
      <c r="B261" s="143" t="s">
        <v>736</v>
      </c>
      <c r="C261" s="143" t="s">
        <v>663</v>
      </c>
      <c r="D261" s="143">
        <v>3135</v>
      </c>
      <c r="E261" s="143">
        <v>2</v>
      </c>
      <c r="F261" s="137">
        <v>1</v>
      </c>
      <c r="G261" s="137">
        <v>1</v>
      </c>
      <c r="H261" s="137">
        <v>1</v>
      </c>
      <c r="I261" s="137">
        <v>1</v>
      </c>
      <c r="K261" s="143" t="s">
        <v>741</v>
      </c>
      <c r="L261" s="143" t="s">
        <v>736</v>
      </c>
      <c r="M261" s="143" t="s">
        <v>663</v>
      </c>
      <c r="N261" s="143">
        <v>3135</v>
      </c>
      <c r="O261" s="137">
        <v>0.4</v>
      </c>
      <c r="P261" s="137">
        <v>0.6</v>
      </c>
      <c r="Q261" s="137">
        <v>1</v>
      </c>
      <c r="R261" s="137" t="s">
        <v>2486</v>
      </c>
      <c r="S261" s="137">
        <v>0.66666669999999995</v>
      </c>
      <c r="T261" s="137" t="s">
        <v>2486</v>
      </c>
      <c r="U261" s="137" t="s">
        <v>2838</v>
      </c>
      <c r="W261" s="143" t="s">
        <v>741</v>
      </c>
      <c r="X261" s="143" t="s">
        <v>736</v>
      </c>
      <c r="Y261" s="143" t="s">
        <v>663</v>
      </c>
      <c r="Z261" s="143">
        <v>3135</v>
      </c>
      <c r="AA261" s="143">
        <v>0</v>
      </c>
      <c r="AD261" s="137">
        <v>0</v>
      </c>
      <c r="AE261" s="137">
        <v>0.66666669999999995</v>
      </c>
      <c r="AG261" s="143" t="s">
        <v>741</v>
      </c>
      <c r="AH261" s="143" t="s">
        <v>736</v>
      </c>
      <c r="AI261" s="143" t="s">
        <v>663</v>
      </c>
      <c r="AJ261" s="143">
        <v>3135</v>
      </c>
      <c r="AK261" s="143">
        <v>2</v>
      </c>
      <c r="AL261" s="156">
        <v>1.5</v>
      </c>
      <c r="AM261" s="156">
        <v>3</v>
      </c>
      <c r="AN261" s="156">
        <v>3.5</v>
      </c>
      <c r="AO261" s="156">
        <v>3.5</v>
      </c>
      <c r="AP261" s="156">
        <v>4</v>
      </c>
      <c r="AQ261" s="156">
        <v>3</v>
      </c>
      <c r="AR261" s="156">
        <v>3.5</v>
      </c>
      <c r="AS261" s="169">
        <v>3.4285709999999998</v>
      </c>
    </row>
    <row r="262" spans="1:45" x14ac:dyDescent="0.35">
      <c r="A262" s="143" t="s">
        <v>742</v>
      </c>
      <c r="B262" s="143" t="s">
        <v>743</v>
      </c>
      <c r="C262" s="143" t="s">
        <v>2452</v>
      </c>
      <c r="D262" s="143">
        <v>682</v>
      </c>
      <c r="E262" s="143">
        <v>20</v>
      </c>
      <c r="F262" s="137">
        <v>1</v>
      </c>
      <c r="G262" s="137">
        <v>1</v>
      </c>
      <c r="H262" s="137">
        <v>1</v>
      </c>
      <c r="I262" s="137">
        <v>0</v>
      </c>
      <c r="K262" s="143" t="s">
        <v>742</v>
      </c>
      <c r="L262" s="143" t="s">
        <v>743</v>
      </c>
      <c r="M262" s="143" t="s">
        <v>2452</v>
      </c>
      <c r="N262" s="143">
        <v>682</v>
      </c>
      <c r="O262" s="137">
        <v>0.35276190000000002</v>
      </c>
      <c r="P262" s="137">
        <v>0.50476189999999999</v>
      </c>
      <c r="Q262" s="137">
        <v>0.85752390000000001</v>
      </c>
      <c r="R262" s="137" t="s">
        <v>2487</v>
      </c>
      <c r="S262" s="137">
        <v>0.3125</v>
      </c>
      <c r="T262" s="137" t="s">
        <v>2486</v>
      </c>
      <c r="U262" s="137" t="s">
        <v>2838</v>
      </c>
      <c r="W262" s="143" t="s">
        <v>742</v>
      </c>
      <c r="X262" s="143" t="s">
        <v>743</v>
      </c>
      <c r="Y262" s="143" t="s">
        <v>2452</v>
      </c>
      <c r="Z262" s="143">
        <v>682</v>
      </c>
      <c r="AA262" s="143">
        <v>20</v>
      </c>
      <c r="AB262" s="137">
        <v>0.25</v>
      </c>
      <c r="AC262" s="137">
        <v>0</v>
      </c>
      <c r="AD262" s="137">
        <v>0</v>
      </c>
      <c r="AE262" s="137">
        <v>0.125</v>
      </c>
      <c r="AG262" s="143" t="s">
        <v>742</v>
      </c>
      <c r="AH262" s="143" t="s">
        <v>743</v>
      </c>
      <c r="AI262" s="143" t="s">
        <v>2452</v>
      </c>
      <c r="AJ262" s="143">
        <v>682</v>
      </c>
      <c r="AK262" s="143">
        <v>20</v>
      </c>
      <c r="AL262" s="156">
        <v>1.8500000238418599</v>
      </c>
      <c r="AM262" s="156">
        <v>3.4500000476837198</v>
      </c>
      <c r="AN262" s="156">
        <v>3.9000000953674299</v>
      </c>
      <c r="AO262" s="156">
        <v>2.75</v>
      </c>
      <c r="AP262" s="156">
        <v>3.4000000953674299</v>
      </c>
      <c r="AQ262" s="156">
        <v>3.5499999523162802</v>
      </c>
      <c r="AR262" s="156">
        <v>3.7999999523162802</v>
      </c>
      <c r="AS262" s="169">
        <v>3.45</v>
      </c>
    </row>
    <row r="263" spans="1:45" x14ac:dyDescent="0.35">
      <c r="A263" s="143" t="s">
        <v>742</v>
      </c>
      <c r="B263" s="143" t="s">
        <v>743</v>
      </c>
      <c r="C263" s="143" t="s">
        <v>841</v>
      </c>
      <c r="D263" s="143">
        <v>864</v>
      </c>
      <c r="E263" s="143">
        <v>3</v>
      </c>
      <c r="F263" s="137">
        <v>1</v>
      </c>
      <c r="G263" s="137">
        <v>1</v>
      </c>
      <c r="H263" s="137">
        <v>1</v>
      </c>
      <c r="I263" s="137">
        <v>0</v>
      </c>
      <c r="K263" s="143" t="s">
        <v>742</v>
      </c>
      <c r="L263" s="143" t="s">
        <v>743</v>
      </c>
      <c r="M263" s="143" t="s">
        <v>841</v>
      </c>
      <c r="N263" s="143">
        <v>864</v>
      </c>
      <c r="O263" s="137">
        <v>0.4</v>
      </c>
      <c r="P263" s="137">
        <v>0.6</v>
      </c>
      <c r="Q263" s="137">
        <v>1</v>
      </c>
      <c r="R263" s="137" t="s">
        <v>2486</v>
      </c>
      <c r="S263" s="137">
        <v>0.4</v>
      </c>
      <c r="T263" s="137" t="s">
        <v>2486</v>
      </c>
      <c r="U263" s="137" t="s">
        <v>2486</v>
      </c>
      <c r="W263" s="143" t="s">
        <v>742</v>
      </c>
      <c r="X263" s="143" t="s">
        <v>743</v>
      </c>
      <c r="Y263" s="143" t="s">
        <v>841</v>
      </c>
      <c r="Z263" s="143">
        <v>864</v>
      </c>
      <c r="AA263" s="143">
        <v>0</v>
      </c>
      <c r="AD263" s="137">
        <v>0</v>
      </c>
      <c r="AG263" s="143" t="s">
        <v>742</v>
      </c>
      <c r="AH263" s="143" t="s">
        <v>743</v>
      </c>
      <c r="AI263" s="143" t="s">
        <v>841</v>
      </c>
      <c r="AJ263" s="143">
        <v>864</v>
      </c>
      <c r="AK263" s="143">
        <v>3</v>
      </c>
      <c r="AL263" s="156">
        <v>1.3333333730697601</v>
      </c>
      <c r="AM263" s="156">
        <v>3.6666667461395299</v>
      </c>
      <c r="AN263" s="156">
        <v>3.6666667461395299</v>
      </c>
      <c r="AO263" s="156">
        <v>4</v>
      </c>
      <c r="AP263" s="156">
        <v>3.6666667461395299</v>
      </c>
      <c r="AQ263" s="156">
        <v>4</v>
      </c>
      <c r="AR263" s="156">
        <v>4</v>
      </c>
      <c r="AS263" s="169">
        <v>3.8095240000000001</v>
      </c>
    </row>
    <row r="264" spans="1:45" x14ac:dyDescent="0.35">
      <c r="A264" s="143" t="s">
        <v>742</v>
      </c>
      <c r="B264" s="143" t="s">
        <v>743</v>
      </c>
      <c r="C264" s="143" t="s">
        <v>841</v>
      </c>
      <c r="D264" s="143">
        <v>867</v>
      </c>
      <c r="E264" s="143">
        <v>3</v>
      </c>
      <c r="F264" s="137">
        <v>1</v>
      </c>
      <c r="G264" s="137">
        <v>1</v>
      </c>
      <c r="H264" s="137">
        <v>1</v>
      </c>
      <c r="I264" s="137">
        <v>0</v>
      </c>
      <c r="K264" s="143" t="s">
        <v>742</v>
      </c>
      <c r="L264" s="143" t="s">
        <v>743</v>
      </c>
      <c r="M264" s="143" t="s">
        <v>841</v>
      </c>
      <c r="N264" s="143">
        <v>867</v>
      </c>
      <c r="O264" s="137">
        <v>0.4</v>
      </c>
      <c r="P264" s="137">
        <v>0.6</v>
      </c>
      <c r="Q264" s="137">
        <v>1</v>
      </c>
      <c r="R264" s="137" t="s">
        <v>2486</v>
      </c>
      <c r="S264" s="137">
        <v>0.3333333</v>
      </c>
      <c r="T264" s="137" t="s">
        <v>2486</v>
      </c>
      <c r="U264" s="137" t="s">
        <v>2486</v>
      </c>
      <c r="W264" s="143" t="s">
        <v>742</v>
      </c>
      <c r="X264" s="143" t="s">
        <v>743</v>
      </c>
      <c r="Y264" s="143" t="s">
        <v>841</v>
      </c>
      <c r="Z264" s="143">
        <v>867</v>
      </c>
      <c r="AA264" s="143">
        <v>0</v>
      </c>
      <c r="AD264" s="137">
        <v>0</v>
      </c>
      <c r="AG264" s="143" t="s">
        <v>742</v>
      </c>
      <c r="AH264" s="143" t="s">
        <v>743</v>
      </c>
      <c r="AI264" s="143" t="s">
        <v>841</v>
      </c>
      <c r="AJ264" s="143">
        <v>867</v>
      </c>
      <c r="AK264" s="143">
        <v>3</v>
      </c>
      <c r="AL264" s="156">
        <v>2</v>
      </c>
      <c r="AM264" s="156">
        <v>3</v>
      </c>
      <c r="AN264" s="156">
        <v>3</v>
      </c>
      <c r="AO264" s="156">
        <v>3</v>
      </c>
      <c r="AP264" s="156">
        <v>1</v>
      </c>
      <c r="AQ264" s="156">
        <v>3</v>
      </c>
      <c r="AR264" s="156">
        <v>3.3333332538604701</v>
      </c>
      <c r="AS264" s="169">
        <v>2.7619050000000001</v>
      </c>
    </row>
    <row r="265" spans="1:45" x14ac:dyDescent="0.35">
      <c r="A265" s="143" t="s">
        <v>742</v>
      </c>
      <c r="B265" s="143" t="s">
        <v>743</v>
      </c>
      <c r="C265" s="143" t="s">
        <v>841</v>
      </c>
      <c r="D265" s="143">
        <v>870</v>
      </c>
      <c r="E265" s="143">
        <v>3</v>
      </c>
      <c r="F265" s="137">
        <v>1</v>
      </c>
      <c r="G265" s="137">
        <v>1</v>
      </c>
      <c r="H265" s="137">
        <v>1</v>
      </c>
      <c r="I265" s="137">
        <v>0</v>
      </c>
      <c r="K265" s="143" t="s">
        <v>742</v>
      </c>
      <c r="L265" s="143" t="s">
        <v>743</v>
      </c>
      <c r="M265" s="143" t="s">
        <v>841</v>
      </c>
      <c r="N265" s="143">
        <v>870</v>
      </c>
      <c r="O265" s="137">
        <v>0.4</v>
      </c>
      <c r="P265" s="137">
        <v>0.6</v>
      </c>
      <c r="Q265" s="137">
        <v>1</v>
      </c>
      <c r="R265" s="137" t="s">
        <v>2486</v>
      </c>
      <c r="S265" s="137">
        <v>0.52941179999999999</v>
      </c>
      <c r="T265" s="137" t="s">
        <v>2486</v>
      </c>
      <c r="U265" s="137" t="s">
        <v>2486</v>
      </c>
      <c r="W265" s="143" t="s">
        <v>742</v>
      </c>
      <c r="X265" s="143" t="s">
        <v>743</v>
      </c>
      <c r="Y265" s="143" t="s">
        <v>841</v>
      </c>
      <c r="Z265" s="143">
        <v>870</v>
      </c>
      <c r="AA265" s="143">
        <v>0</v>
      </c>
      <c r="AD265" s="137">
        <v>0</v>
      </c>
      <c r="AE265" s="137">
        <v>0.23529410000000001</v>
      </c>
      <c r="AG265" s="143" t="s">
        <v>742</v>
      </c>
      <c r="AH265" s="143" t="s">
        <v>743</v>
      </c>
      <c r="AI265" s="143" t="s">
        <v>841</v>
      </c>
      <c r="AJ265" s="143">
        <v>870</v>
      </c>
      <c r="AK265" s="143">
        <v>3</v>
      </c>
      <c r="AL265" s="156">
        <v>2.3333332538604701</v>
      </c>
      <c r="AM265" s="156">
        <v>4</v>
      </c>
      <c r="AN265" s="156">
        <v>4</v>
      </c>
      <c r="AO265" s="156">
        <v>3</v>
      </c>
      <c r="AP265" s="156">
        <v>1.6666666269302399</v>
      </c>
      <c r="AQ265" s="156">
        <v>3</v>
      </c>
      <c r="AR265" s="156">
        <v>3.3333332538604701</v>
      </c>
      <c r="AS265" s="169">
        <v>3.2380949999999999</v>
      </c>
    </row>
    <row r="266" spans="1:45" x14ac:dyDescent="0.35">
      <c r="A266" s="143" t="s">
        <v>742</v>
      </c>
      <c r="B266" s="143" t="s">
        <v>743</v>
      </c>
      <c r="C266" s="143" t="s">
        <v>842</v>
      </c>
      <c r="D266" s="143">
        <v>2131</v>
      </c>
      <c r="E266" s="143">
        <v>2</v>
      </c>
      <c r="F266" s="137">
        <v>1</v>
      </c>
      <c r="G266" s="137">
        <v>1</v>
      </c>
      <c r="H266" s="137">
        <v>1</v>
      </c>
      <c r="I266" s="137">
        <v>0</v>
      </c>
      <c r="K266" s="143" t="s">
        <v>742</v>
      </c>
      <c r="L266" s="143" t="s">
        <v>743</v>
      </c>
      <c r="M266" s="143" t="s">
        <v>842</v>
      </c>
      <c r="N266" s="143">
        <v>2131</v>
      </c>
      <c r="O266" s="137">
        <v>0.4</v>
      </c>
      <c r="P266" s="137">
        <v>0.6</v>
      </c>
      <c r="Q266" s="137">
        <v>1</v>
      </c>
      <c r="R266" s="137" t="s">
        <v>2486</v>
      </c>
      <c r="S266" s="137">
        <v>0.28571429999999998</v>
      </c>
      <c r="T266" s="137" t="s">
        <v>2486</v>
      </c>
      <c r="U266" s="137" t="s">
        <v>2486</v>
      </c>
      <c r="W266" s="143" t="s">
        <v>742</v>
      </c>
      <c r="X266" s="143" t="s">
        <v>743</v>
      </c>
      <c r="Y266" s="143" t="s">
        <v>842</v>
      </c>
      <c r="Z266" s="143">
        <v>2131</v>
      </c>
      <c r="AA266" s="143">
        <v>0</v>
      </c>
      <c r="AD266" s="137">
        <v>0</v>
      </c>
      <c r="AG266" s="143" t="s">
        <v>742</v>
      </c>
      <c r="AH266" s="143" t="s">
        <v>743</v>
      </c>
      <c r="AI266" s="143" t="s">
        <v>842</v>
      </c>
      <c r="AJ266" s="143">
        <v>2131</v>
      </c>
      <c r="AK266" s="143">
        <v>2</v>
      </c>
      <c r="AL266" s="156">
        <v>2</v>
      </c>
      <c r="AM266" s="156">
        <v>3</v>
      </c>
      <c r="AN266" s="156">
        <v>3.5</v>
      </c>
      <c r="AO266" s="156">
        <v>3</v>
      </c>
      <c r="AP266" s="156">
        <v>2</v>
      </c>
      <c r="AQ266" s="156">
        <v>3</v>
      </c>
      <c r="AR266" s="156">
        <v>3</v>
      </c>
      <c r="AS266" s="169">
        <v>2.9285709999999998</v>
      </c>
    </row>
    <row r="267" spans="1:45" x14ac:dyDescent="0.35">
      <c r="A267" s="143" t="s">
        <v>742</v>
      </c>
      <c r="B267" s="143" t="s">
        <v>743</v>
      </c>
      <c r="C267" s="143" t="s">
        <v>842</v>
      </c>
      <c r="D267" s="143">
        <v>2136</v>
      </c>
      <c r="E267" s="143">
        <v>2</v>
      </c>
      <c r="F267" s="137">
        <v>1</v>
      </c>
      <c r="G267" s="137">
        <v>1</v>
      </c>
      <c r="H267" s="137">
        <v>1</v>
      </c>
      <c r="I267" s="137">
        <v>0</v>
      </c>
      <c r="K267" s="143" t="s">
        <v>742</v>
      </c>
      <c r="L267" s="143" t="s">
        <v>743</v>
      </c>
      <c r="M267" s="143" t="s">
        <v>842</v>
      </c>
      <c r="N267" s="143">
        <v>2136</v>
      </c>
      <c r="O267" s="137">
        <v>0.4</v>
      </c>
      <c r="P267" s="137">
        <v>0.6</v>
      </c>
      <c r="Q267" s="137">
        <v>1</v>
      </c>
      <c r="R267" s="137" t="s">
        <v>2486</v>
      </c>
      <c r="S267" s="137">
        <v>0.375</v>
      </c>
      <c r="T267" s="137" t="s">
        <v>2486</v>
      </c>
      <c r="U267" s="137" t="s">
        <v>2486</v>
      </c>
      <c r="W267" s="143" t="s">
        <v>742</v>
      </c>
      <c r="X267" s="143" t="s">
        <v>743</v>
      </c>
      <c r="Y267" s="143" t="s">
        <v>842</v>
      </c>
      <c r="Z267" s="143">
        <v>2136</v>
      </c>
      <c r="AA267" s="143">
        <v>0</v>
      </c>
      <c r="AD267" s="137">
        <v>0</v>
      </c>
      <c r="AG267" s="143" t="s">
        <v>742</v>
      </c>
      <c r="AH267" s="143" t="s">
        <v>743</v>
      </c>
      <c r="AI267" s="143" t="s">
        <v>842</v>
      </c>
      <c r="AJ267" s="143">
        <v>2136</v>
      </c>
      <c r="AK267" s="143">
        <v>2</v>
      </c>
      <c r="AL267" s="156">
        <v>1.5</v>
      </c>
      <c r="AM267" s="156">
        <v>3.5</v>
      </c>
      <c r="AN267" s="156">
        <v>4</v>
      </c>
      <c r="AO267" s="156">
        <v>3.5</v>
      </c>
      <c r="AP267" s="156">
        <v>3.5</v>
      </c>
      <c r="AQ267" s="156">
        <v>3.5</v>
      </c>
      <c r="AR267" s="156">
        <v>4</v>
      </c>
      <c r="AS267" s="169">
        <v>3.6428569999999998</v>
      </c>
    </row>
    <row r="268" spans="1:45" x14ac:dyDescent="0.35">
      <c r="A268" s="143" t="s">
        <v>742</v>
      </c>
      <c r="B268" s="143" t="s">
        <v>743</v>
      </c>
      <c r="C268" s="143" t="s">
        <v>663</v>
      </c>
      <c r="D268" s="143">
        <v>2978</v>
      </c>
      <c r="E268" s="143">
        <v>2</v>
      </c>
      <c r="F268" s="137">
        <v>1</v>
      </c>
      <c r="G268" s="137">
        <v>1</v>
      </c>
      <c r="H268" s="137">
        <v>1</v>
      </c>
      <c r="I268" s="137">
        <v>0</v>
      </c>
      <c r="K268" s="143" t="s">
        <v>742</v>
      </c>
      <c r="L268" s="143" t="s">
        <v>743</v>
      </c>
      <c r="M268" s="143" t="s">
        <v>663</v>
      </c>
      <c r="N268" s="143">
        <v>2978</v>
      </c>
      <c r="O268" s="137">
        <v>0.3973333</v>
      </c>
      <c r="P268" s="137">
        <v>0.6</v>
      </c>
      <c r="Q268" s="137">
        <v>0.99733329999999998</v>
      </c>
      <c r="R268" s="137" t="s">
        <v>2487</v>
      </c>
      <c r="S268" s="137">
        <v>0.6</v>
      </c>
      <c r="T268" s="137" t="s">
        <v>2486</v>
      </c>
      <c r="U268" s="137" t="s">
        <v>2838</v>
      </c>
      <c r="W268" s="143" t="s">
        <v>742</v>
      </c>
      <c r="X268" s="143" t="s">
        <v>743</v>
      </c>
      <c r="Y268" s="143" t="s">
        <v>663</v>
      </c>
      <c r="Z268" s="143">
        <v>2978</v>
      </c>
      <c r="AA268" s="143">
        <v>0</v>
      </c>
      <c r="AD268" s="137">
        <v>0</v>
      </c>
      <c r="AE268" s="137">
        <v>0.2</v>
      </c>
      <c r="AG268" s="143" t="s">
        <v>742</v>
      </c>
      <c r="AH268" s="143" t="s">
        <v>743</v>
      </c>
      <c r="AI268" s="143" t="s">
        <v>663</v>
      </c>
      <c r="AJ268" s="143">
        <v>2978</v>
      </c>
      <c r="AK268" s="143">
        <v>2</v>
      </c>
      <c r="AL268" s="156">
        <v>1.5</v>
      </c>
      <c r="AM268" s="156">
        <v>4</v>
      </c>
      <c r="AN268" s="156">
        <v>3.5</v>
      </c>
      <c r="AO268" s="156">
        <v>3</v>
      </c>
      <c r="AP268" s="156">
        <v>1</v>
      </c>
      <c r="AQ268" s="156">
        <v>4</v>
      </c>
      <c r="AR268" s="156">
        <v>3.5</v>
      </c>
      <c r="AS268" s="169">
        <v>3.214286</v>
      </c>
    </row>
    <row r="269" spans="1:45" x14ac:dyDescent="0.35">
      <c r="A269" s="143" t="s">
        <v>742</v>
      </c>
      <c r="B269" s="143" t="s">
        <v>743</v>
      </c>
      <c r="C269" s="143" t="s">
        <v>663</v>
      </c>
      <c r="D269" s="143">
        <v>4395</v>
      </c>
      <c r="E269" s="143">
        <v>2</v>
      </c>
      <c r="F269" s="137">
        <v>1</v>
      </c>
      <c r="G269" s="137">
        <v>1</v>
      </c>
      <c r="H269" s="137">
        <v>1</v>
      </c>
      <c r="I269" s="137">
        <v>0</v>
      </c>
      <c r="K269" s="143" t="s">
        <v>742</v>
      </c>
      <c r="L269" s="143" t="s">
        <v>743</v>
      </c>
      <c r="M269" s="143" t="s">
        <v>663</v>
      </c>
      <c r="N269" s="143">
        <v>4395</v>
      </c>
      <c r="O269" s="137">
        <v>0.4</v>
      </c>
      <c r="P269" s="137">
        <v>0.6</v>
      </c>
      <c r="Q269" s="137">
        <v>1</v>
      </c>
      <c r="R269" s="137" t="s">
        <v>2486</v>
      </c>
      <c r="S269" s="137">
        <v>0.6</v>
      </c>
      <c r="T269" s="137" t="s">
        <v>2486</v>
      </c>
      <c r="U269" s="137" t="s">
        <v>2838</v>
      </c>
      <c r="W269" s="143" t="s">
        <v>742</v>
      </c>
      <c r="X269" s="143" t="s">
        <v>743</v>
      </c>
      <c r="Y269" s="143" t="s">
        <v>663</v>
      </c>
      <c r="Z269" s="143">
        <v>4395</v>
      </c>
      <c r="AA269" s="143">
        <v>0</v>
      </c>
      <c r="AD269" s="137">
        <v>0</v>
      </c>
      <c r="AE269" s="137">
        <v>0.4</v>
      </c>
      <c r="AG269" s="143" t="s">
        <v>742</v>
      </c>
      <c r="AH269" s="143" t="s">
        <v>743</v>
      </c>
      <c r="AI269" s="143" t="s">
        <v>663</v>
      </c>
      <c r="AJ269" s="143">
        <v>4395</v>
      </c>
      <c r="AK269" s="143">
        <v>2</v>
      </c>
      <c r="AL269" s="156">
        <v>1.5</v>
      </c>
      <c r="AM269" s="156">
        <v>3.5</v>
      </c>
      <c r="AN269" s="156">
        <v>4</v>
      </c>
      <c r="AO269" s="156">
        <v>3.5</v>
      </c>
      <c r="AP269" s="156">
        <v>4</v>
      </c>
      <c r="AQ269" s="156">
        <v>4</v>
      </c>
      <c r="AR269" s="156">
        <v>4</v>
      </c>
      <c r="AS269" s="169">
        <v>3.785714</v>
      </c>
    </row>
    <row r="270" spans="1:45" x14ac:dyDescent="0.35">
      <c r="A270" s="143" t="s">
        <v>742</v>
      </c>
      <c r="B270" s="143" t="s">
        <v>743</v>
      </c>
      <c r="C270" s="143" t="s">
        <v>663</v>
      </c>
      <c r="D270" s="143">
        <v>4396</v>
      </c>
      <c r="E270" s="143">
        <v>2</v>
      </c>
      <c r="F270" s="137">
        <v>1</v>
      </c>
      <c r="G270" s="137">
        <v>1</v>
      </c>
      <c r="H270" s="137">
        <v>1</v>
      </c>
      <c r="I270" s="137">
        <v>0</v>
      </c>
      <c r="K270" s="143" t="s">
        <v>742</v>
      </c>
      <c r="L270" s="143" t="s">
        <v>743</v>
      </c>
      <c r="M270" s="143" t="s">
        <v>663</v>
      </c>
      <c r="N270" s="143">
        <v>4396</v>
      </c>
      <c r="O270" s="137">
        <v>0.4</v>
      </c>
      <c r="P270" s="137">
        <v>0.6</v>
      </c>
      <c r="Q270" s="137">
        <v>1</v>
      </c>
      <c r="R270" s="137" t="s">
        <v>2486</v>
      </c>
      <c r="S270" s="137">
        <v>0.6</v>
      </c>
      <c r="T270" s="137" t="s">
        <v>2486</v>
      </c>
      <c r="U270" s="137" t="s">
        <v>2838</v>
      </c>
      <c r="W270" s="143" t="s">
        <v>742</v>
      </c>
      <c r="X270" s="143" t="s">
        <v>743</v>
      </c>
      <c r="Y270" s="143" t="s">
        <v>663</v>
      </c>
      <c r="Z270" s="143">
        <v>4396</v>
      </c>
      <c r="AA270" s="143">
        <v>0</v>
      </c>
      <c r="AD270" s="137">
        <v>0</v>
      </c>
      <c r="AE270" s="137">
        <v>0.2</v>
      </c>
      <c r="AG270" s="143" t="s">
        <v>742</v>
      </c>
      <c r="AH270" s="143" t="s">
        <v>743</v>
      </c>
      <c r="AI270" s="143" t="s">
        <v>663</v>
      </c>
      <c r="AJ270" s="143">
        <v>4396</v>
      </c>
      <c r="AK270" s="143">
        <v>2</v>
      </c>
      <c r="AL270" s="156">
        <v>1.5</v>
      </c>
      <c r="AM270" s="156">
        <v>3.5</v>
      </c>
      <c r="AN270" s="156">
        <v>3.5</v>
      </c>
      <c r="AO270" s="156">
        <v>3</v>
      </c>
      <c r="AP270" s="156">
        <v>3.5</v>
      </c>
      <c r="AQ270" s="156">
        <v>3</v>
      </c>
      <c r="AR270" s="156">
        <v>4</v>
      </c>
      <c r="AS270" s="169">
        <v>3.4285709999999998</v>
      </c>
    </row>
    <row r="271" spans="1:45" x14ac:dyDescent="0.35">
      <c r="A271" s="143" t="s">
        <v>742</v>
      </c>
      <c r="B271" s="143" t="s">
        <v>743</v>
      </c>
      <c r="C271" s="143" t="s">
        <v>663</v>
      </c>
      <c r="D271" s="143">
        <v>4399</v>
      </c>
      <c r="E271" s="143">
        <v>2</v>
      </c>
      <c r="F271" s="137">
        <v>1</v>
      </c>
      <c r="G271" s="137">
        <v>1</v>
      </c>
      <c r="H271" s="137">
        <v>1</v>
      </c>
      <c r="I271" s="137">
        <v>0</v>
      </c>
      <c r="K271" s="143" t="s">
        <v>742</v>
      </c>
      <c r="L271" s="143" t="s">
        <v>743</v>
      </c>
      <c r="M271" s="143" t="s">
        <v>663</v>
      </c>
      <c r="N271" s="143">
        <v>4399</v>
      </c>
      <c r="O271" s="137">
        <v>0.4</v>
      </c>
      <c r="P271" s="137">
        <v>0.6</v>
      </c>
      <c r="Q271" s="137">
        <v>1</v>
      </c>
      <c r="R271" s="137" t="s">
        <v>2486</v>
      </c>
      <c r="S271" s="137">
        <v>0.3333333</v>
      </c>
      <c r="T271" s="137" t="s">
        <v>2486</v>
      </c>
      <c r="U271" s="137" t="s">
        <v>2838</v>
      </c>
      <c r="W271" s="143" t="s">
        <v>742</v>
      </c>
      <c r="X271" s="143" t="s">
        <v>743</v>
      </c>
      <c r="Y271" s="143" t="s">
        <v>663</v>
      </c>
      <c r="Z271" s="143">
        <v>4399</v>
      </c>
      <c r="AA271" s="143">
        <v>0</v>
      </c>
      <c r="AD271" s="137">
        <v>0</v>
      </c>
      <c r="AE271" s="137">
        <v>0.3333333</v>
      </c>
      <c r="AG271" s="143" t="s">
        <v>742</v>
      </c>
      <c r="AH271" s="143" t="s">
        <v>743</v>
      </c>
      <c r="AI271" s="143" t="s">
        <v>663</v>
      </c>
      <c r="AJ271" s="143">
        <v>4399</v>
      </c>
      <c r="AK271" s="143">
        <v>2</v>
      </c>
      <c r="AL271" s="156">
        <v>1.5</v>
      </c>
      <c r="AM271" s="156">
        <v>4</v>
      </c>
      <c r="AN271" s="156">
        <v>3</v>
      </c>
      <c r="AO271" s="156">
        <v>3.5</v>
      </c>
      <c r="AP271" s="156">
        <v>1.5</v>
      </c>
      <c r="AQ271" s="156">
        <v>4</v>
      </c>
      <c r="AR271" s="156">
        <v>4</v>
      </c>
      <c r="AS271" s="169">
        <v>3.3571430000000002</v>
      </c>
    </row>
    <row r="272" spans="1:45" x14ac:dyDescent="0.35">
      <c r="A272" s="143" t="s">
        <v>742</v>
      </c>
      <c r="B272" s="143" t="s">
        <v>743</v>
      </c>
      <c r="C272" s="143" t="s">
        <v>663</v>
      </c>
      <c r="D272" s="143">
        <v>4402</v>
      </c>
      <c r="E272" s="143">
        <v>2</v>
      </c>
      <c r="F272" s="137">
        <v>1</v>
      </c>
      <c r="G272" s="137">
        <v>1</v>
      </c>
      <c r="H272" s="137">
        <v>1</v>
      </c>
      <c r="I272" s="137">
        <v>0</v>
      </c>
      <c r="K272" s="143" t="s">
        <v>742</v>
      </c>
      <c r="L272" s="143" t="s">
        <v>743</v>
      </c>
      <c r="M272" s="143" t="s">
        <v>663</v>
      </c>
      <c r="N272" s="143">
        <v>4402</v>
      </c>
      <c r="O272" s="137">
        <v>0.3973333</v>
      </c>
      <c r="P272" s="137">
        <v>0.6</v>
      </c>
      <c r="Q272" s="137">
        <v>0.99733329999999998</v>
      </c>
      <c r="R272" s="137" t="s">
        <v>2487</v>
      </c>
      <c r="S272" s="137">
        <v>0.5</v>
      </c>
      <c r="T272" s="137" t="s">
        <v>2486</v>
      </c>
      <c r="U272" s="137" t="s">
        <v>2838</v>
      </c>
      <c r="W272" s="143" t="s">
        <v>742</v>
      </c>
      <c r="X272" s="143" t="s">
        <v>743</v>
      </c>
      <c r="Y272" s="143" t="s">
        <v>663</v>
      </c>
      <c r="Z272" s="143">
        <v>4402</v>
      </c>
      <c r="AA272" s="143">
        <v>0</v>
      </c>
      <c r="AD272" s="137">
        <v>0</v>
      </c>
      <c r="AG272" s="143" t="s">
        <v>742</v>
      </c>
      <c r="AH272" s="143" t="s">
        <v>743</v>
      </c>
      <c r="AI272" s="143" t="s">
        <v>663</v>
      </c>
      <c r="AJ272" s="143">
        <v>4402</v>
      </c>
      <c r="AK272" s="143">
        <v>2</v>
      </c>
      <c r="AL272" s="156">
        <v>2.5</v>
      </c>
      <c r="AM272" s="156">
        <v>3</v>
      </c>
      <c r="AN272" s="156">
        <v>3</v>
      </c>
      <c r="AO272" s="156">
        <v>3</v>
      </c>
      <c r="AP272" s="156">
        <v>1</v>
      </c>
      <c r="AQ272" s="156">
        <v>3.5</v>
      </c>
      <c r="AR272" s="156">
        <v>3</v>
      </c>
      <c r="AS272" s="169">
        <v>2.714286</v>
      </c>
    </row>
    <row r="273" spans="1:45" x14ac:dyDescent="0.35">
      <c r="A273" s="143" t="s">
        <v>744</v>
      </c>
      <c r="B273" s="143" t="s">
        <v>743</v>
      </c>
      <c r="C273" s="143" t="s">
        <v>841</v>
      </c>
      <c r="D273" s="143">
        <v>396</v>
      </c>
      <c r="E273" s="143">
        <v>3</v>
      </c>
      <c r="F273" s="137">
        <v>1</v>
      </c>
      <c r="G273" s="137">
        <v>1</v>
      </c>
      <c r="H273" s="137">
        <v>1</v>
      </c>
      <c r="I273" s="137">
        <v>0</v>
      </c>
      <c r="K273" s="143" t="s">
        <v>744</v>
      </c>
      <c r="L273" s="143" t="s">
        <v>743</v>
      </c>
      <c r="M273" s="143" t="s">
        <v>841</v>
      </c>
      <c r="N273" s="143">
        <v>396</v>
      </c>
      <c r="O273" s="137">
        <v>0.39822220000000003</v>
      </c>
      <c r="P273" s="137">
        <v>0.6</v>
      </c>
      <c r="Q273" s="137">
        <v>0.99822219999999995</v>
      </c>
      <c r="R273" s="137" t="s">
        <v>2487</v>
      </c>
      <c r="S273" s="137">
        <v>0.46153850000000002</v>
      </c>
      <c r="T273" s="137" t="s">
        <v>2486</v>
      </c>
      <c r="U273" s="137" t="s">
        <v>2486</v>
      </c>
      <c r="W273" s="143" t="s">
        <v>744</v>
      </c>
      <c r="X273" s="143" t="s">
        <v>743</v>
      </c>
      <c r="Y273" s="143" t="s">
        <v>841</v>
      </c>
      <c r="Z273" s="143">
        <v>396</v>
      </c>
      <c r="AA273" s="143">
        <v>0</v>
      </c>
      <c r="AD273" s="137">
        <v>0</v>
      </c>
      <c r="AG273" s="143" t="s">
        <v>744</v>
      </c>
      <c r="AH273" s="143" t="s">
        <v>743</v>
      </c>
      <c r="AI273" s="143" t="s">
        <v>841</v>
      </c>
      <c r="AJ273" s="143">
        <v>396</v>
      </c>
      <c r="AK273" s="143">
        <v>3</v>
      </c>
      <c r="AL273" s="156">
        <v>1</v>
      </c>
      <c r="AM273" s="156">
        <v>3.6666667461395299</v>
      </c>
      <c r="AN273" s="156">
        <v>3.3333332538604701</v>
      </c>
      <c r="AO273" s="156">
        <v>3</v>
      </c>
      <c r="AP273" s="156">
        <v>3.3333332538604701</v>
      </c>
      <c r="AQ273" s="156">
        <v>4</v>
      </c>
      <c r="AR273" s="156">
        <v>4</v>
      </c>
      <c r="AS273" s="169">
        <v>3.6190479999999998</v>
      </c>
    </row>
    <row r="274" spans="1:45" x14ac:dyDescent="0.35">
      <c r="A274" s="143" t="s">
        <v>744</v>
      </c>
      <c r="B274" s="143" t="s">
        <v>743</v>
      </c>
      <c r="C274" s="143" t="s">
        <v>843</v>
      </c>
      <c r="D274" s="143">
        <v>1590</v>
      </c>
      <c r="E274" s="143">
        <v>8</v>
      </c>
      <c r="F274" s="137">
        <v>1</v>
      </c>
      <c r="G274" s="137">
        <v>1</v>
      </c>
      <c r="H274" s="137">
        <v>1</v>
      </c>
      <c r="I274" s="137">
        <v>0</v>
      </c>
      <c r="K274" s="143" t="s">
        <v>744</v>
      </c>
      <c r="L274" s="143" t="s">
        <v>743</v>
      </c>
      <c r="M274" s="143" t="s">
        <v>843</v>
      </c>
      <c r="N274" s="143">
        <v>1590</v>
      </c>
      <c r="O274" s="137">
        <v>0.39600000000000002</v>
      </c>
      <c r="P274" s="137">
        <v>0.6</v>
      </c>
      <c r="Q274" s="137">
        <v>0.99600010000000005</v>
      </c>
      <c r="R274" s="137" t="s">
        <v>2487</v>
      </c>
      <c r="S274" s="137">
        <v>0.41935480000000003</v>
      </c>
      <c r="T274" s="137" t="s">
        <v>2486</v>
      </c>
      <c r="U274" s="137" t="s">
        <v>2486</v>
      </c>
      <c r="W274" s="143" t="s">
        <v>744</v>
      </c>
      <c r="X274" s="143" t="s">
        <v>743</v>
      </c>
      <c r="Y274" s="143" t="s">
        <v>843</v>
      </c>
      <c r="Z274" s="143">
        <v>1590</v>
      </c>
      <c r="AA274" s="143">
        <v>8</v>
      </c>
      <c r="AB274" s="137">
        <v>0.125</v>
      </c>
      <c r="AC274" s="137">
        <v>0</v>
      </c>
      <c r="AD274" s="137">
        <v>0</v>
      </c>
      <c r="AG274" s="143" t="s">
        <v>744</v>
      </c>
      <c r="AH274" s="143" t="s">
        <v>743</v>
      </c>
      <c r="AI274" s="143" t="s">
        <v>843</v>
      </c>
      <c r="AJ274" s="143">
        <v>1590</v>
      </c>
      <c r="AK274" s="143">
        <v>8</v>
      </c>
      <c r="AL274" s="156">
        <v>1</v>
      </c>
      <c r="AM274" s="156">
        <v>3.875</v>
      </c>
      <c r="AN274" s="156">
        <v>3.625</v>
      </c>
      <c r="AO274" s="156">
        <v>3</v>
      </c>
      <c r="AP274" s="156">
        <v>3.5</v>
      </c>
      <c r="AQ274" s="156">
        <v>3.75</v>
      </c>
      <c r="AR274" s="156">
        <v>3.5</v>
      </c>
      <c r="AS274" s="169">
        <v>3.6071430000000002</v>
      </c>
    </row>
    <row r="275" spans="1:45" x14ac:dyDescent="0.35">
      <c r="A275" s="143" t="s">
        <v>744</v>
      </c>
      <c r="B275" s="143" t="s">
        <v>743</v>
      </c>
      <c r="C275" s="143" t="s">
        <v>842</v>
      </c>
      <c r="D275" s="143">
        <v>1891</v>
      </c>
      <c r="E275" s="143">
        <v>2</v>
      </c>
      <c r="F275" s="137">
        <v>1</v>
      </c>
      <c r="G275" s="137">
        <v>1</v>
      </c>
      <c r="H275" s="137">
        <v>1</v>
      </c>
      <c r="I275" s="137">
        <v>0</v>
      </c>
      <c r="K275" s="143" t="s">
        <v>744</v>
      </c>
      <c r="L275" s="143" t="s">
        <v>743</v>
      </c>
      <c r="M275" s="143" t="s">
        <v>842</v>
      </c>
      <c r="N275" s="143">
        <v>1891</v>
      </c>
      <c r="O275" s="137">
        <v>0.4</v>
      </c>
      <c r="P275" s="137">
        <v>0.6</v>
      </c>
      <c r="Q275" s="137">
        <v>1</v>
      </c>
      <c r="R275" s="137" t="s">
        <v>2486</v>
      </c>
      <c r="S275" s="137">
        <v>0.5</v>
      </c>
      <c r="T275" s="137" t="s">
        <v>2486</v>
      </c>
      <c r="U275" s="137" t="s">
        <v>2486</v>
      </c>
      <c r="W275" s="143" t="s">
        <v>744</v>
      </c>
      <c r="X275" s="143" t="s">
        <v>743</v>
      </c>
      <c r="Y275" s="143" t="s">
        <v>842</v>
      </c>
      <c r="Z275" s="143">
        <v>1891</v>
      </c>
      <c r="AA275" s="143">
        <v>0</v>
      </c>
      <c r="AD275" s="137">
        <v>0</v>
      </c>
      <c r="AE275" s="137">
        <v>0.1666667</v>
      </c>
      <c r="AG275" s="143" t="s">
        <v>744</v>
      </c>
      <c r="AH275" s="143" t="s">
        <v>743</v>
      </c>
      <c r="AI275" s="143" t="s">
        <v>842</v>
      </c>
      <c r="AJ275" s="143">
        <v>1891</v>
      </c>
      <c r="AK275" s="143">
        <v>2</v>
      </c>
      <c r="AL275" s="156">
        <v>1.5</v>
      </c>
      <c r="AM275" s="156">
        <v>3.5</v>
      </c>
      <c r="AN275" s="156">
        <v>3</v>
      </c>
      <c r="AO275" s="156">
        <v>3</v>
      </c>
      <c r="AP275" s="156">
        <v>4</v>
      </c>
      <c r="AQ275" s="156">
        <v>3.5</v>
      </c>
      <c r="AR275" s="156">
        <v>3.5</v>
      </c>
      <c r="AS275" s="169">
        <v>3.4285709999999998</v>
      </c>
    </row>
    <row r="276" spans="1:45" x14ac:dyDescent="0.35">
      <c r="A276" s="143" t="s">
        <v>744</v>
      </c>
      <c r="B276" s="143" t="s">
        <v>743</v>
      </c>
      <c r="C276" s="143" t="s">
        <v>842</v>
      </c>
      <c r="D276" s="143">
        <v>1945</v>
      </c>
      <c r="E276" s="143">
        <v>2</v>
      </c>
      <c r="F276" s="137">
        <v>1</v>
      </c>
      <c r="G276" s="137">
        <v>1</v>
      </c>
      <c r="H276" s="137">
        <v>1</v>
      </c>
      <c r="I276" s="137">
        <v>0</v>
      </c>
      <c r="K276" s="143" t="s">
        <v>744</v>
      </c>
      <c r="L276" s="143" t="s">
        <v>743</v>
      </c>
      <c r="M276" s="143" t="s">
        <v>842</v>
      </c>
      <c r="N276" s="143">
        <v>1945</v>
      </c>
      <c r="O276" s="137">
        <v>0.4</v>
      </c>
      <c r="P276" s="137">
        <v>0.6</v>
      </c>
      <c r="Q276" s="137">
        <v>1</v>
      </c>
      <c r="R276" s="137" t="s">
        <v>2486</v>
      </c>
      <c r="S276" s="137">
        <v>0.3333333</v>
      </c>
      <c r="T276" s="137" t="s">
        <v>2486</v>
      </c>
      <c r="U276" s="137" t="s">
        <v>2486</v>
      </c>
      <c r="W276" s="143" t="s">
        <v>744</v>
      </c>
      <c r="X276" s="143" t="s">
        <v>743</v>
      </c>
      <c r="Y276" s="143" t="s">
        <v>842</v>
      </c>
      <c r="Z276" s="143">
        <v>1945</v>
      </c>
      <c r="AA276" s="143">
        <v>0</v>
      </c>
      <c r="AD276" s="137">
        <v>0</v>
      </c>
      <c r="AG276" s="143" t="s">
        <v>744</v>
      </c>
      <c r="AH276" s="143" t="s">
        <v>743</v>
      </c>
      <c r="AI276" s="143" t="s">
        <v>842</v>
      </c>
      <c r="AJ276" s="143">
        <v>1945</v>
      </c>
      <c r="AK276" s="143">
        <v>2</v>
      </c>
      <c r="AL276" s="156">
        <v>1</v>
      </c>
      <c r="AM276" s="156">
        <v>3.5</v>
      </c>
      <c r="AN276" s="156">
        <v>3.5</v>
      </c>
      <c r="AO276" s="156">
        <v>3</v>
      </c>
      <c r="AP276" s="156">
        <v>4</v>
      </c>
      <c r="AQ276" s="156">
        <v>4</v>
      </c>
      <c r="AR276" s="156">
        <v>4</v>
      </c>
      <c r="AS276" s="169">
        <v>3.714286</v>
      </c>
    </row>
    <row r="277" spans="1:45" x14ac:dyDescent="0.35">
      <c r="A277" s="143" t="s">
        <v>744</v>
      </c>
      <c r="B277" s="143" t="s">
        <v>743</v>
      </c>
      <c r="C277" s="143" t="s">
        <v>842</v>
      </c>
      <c r="D277" s="143">
        <v>2022</v>
      </c>
      <c r="E277" s="143">
        <v>2</v>
      </c>
      <c r="F277" s="137">
        <v>1</v>
      </c>
      <c r="G277" s="137">
        <v>1</v>
      </c>
      <c r="H277" s="137">
        <v>1</v>
      </c>
      <c r="I277" s="137">
        <v>0</v>
      </c>
      <c r="K277" s="143" t="s">
        <v>744</v>
      </c>
      <c r="L277" s="143" t="s">
        <v>743</v>
      </c>
      <c r="M277" s="143" t="s">
        <v>842</v>
      </c>
      <c r="N277" s="143">
        <v>2022</v>
      </c>
      <c r="O277" s="137">
        <v>0.4</v>
      </c>
      <c r="P277" s="137">
        <v>0.6</v>
      </c>
      <c r="Q277" s="137">
        <v>1</v>
      </c>
      <c r="R277" s="137" t="s">
        <v>2486</v>
      </c>
      <c r="S277" s="137">
        <v>0.5</v>
      </c>
      <c r="T277" s="137" t="s">
        <v>2486</v>
      </c>
      <c r="U277" s="137" t="s">
        <v>2486</v>
      </c>
      <c r="W277" s="143" t="s">
        <v>744</v>
      </c>
      <c r="X277" s="143" t="s">
        <v>743</v>
      </c>
      <c r="Y277" s="143" t="s">
        <v>842</v>
      </c>
      <c r="Z277" s="143">
        <v>2022</v>
      </c>
      <c r="AA277" s="143">
        <v>0</v>
      </c>
      <c r="AD277" s="137">
        <v>0</v>
      </c>
      <c r="AG277" s="143" t="s">
        <v>744</v>
      </c>
      <c r="AH277" s="143" t="s">
        <v>743</v>
      </c>
      <c r="AI277" s="143" t="s">
        <v>842</v>
      </c>
      <c r="AJ277" s="143">
        <v>2022</v>
      </c>
      <c r="AK277" s="143">
        <v>2</v>
      </c>
      <c r="AL277" s="156">
        <v>1.5</v>
      </c>
      <c r="AM277" s="156">
        <v>4</v>
      </c>
      <c r="AN277" s="156">
        <v>4</v>
      </c>
      <c r="AO277" s="156">
        <v>3.5</v>
      </c>
      <c r="AP277" s="156">
        <v>1</v>
      </c>
      <c r="AQ277" s="156">
        <v>3</v>
      </c>
      <c r="AR277" s="156">
        <v>3.5</v>
      </c>
      <c r="AS277" s="169">
        <v>3.214286</v>
      </c>
    </row>
    <row r="278" spans="1:45" x14ac:dyDescent="0.35">
      <c r="A278" s="143" t="s">
        <v>744</v>
      </c>
      <c r="B278" s="143" t="s">
        <v>743</v>
      </c>
      <c r="C278" s="143" t="s">
        <v>663</v>
      </c>
      <c r="D278" s="143">
        <v>2023</v>
      </c>
      <c r="E278" s="143">
        <v>2</v>
      </c>
      <c r="F278" s="137">
        <v>1</v>
      </c>
      <c r="G278" s="137">
        <v>1</v>
      </c>
      <c r="H278" s="137">
        <v>1</v>
      </c>
      <c r="I278" s="137">
        <v>1</v>
      </c>
      <c r="K278" s="143" t="s">
        <v>744</v>
      </c>
      <c r="L278" s="143" t="s">
        <v>743</v>
      </c>
      <c r="M278" s="143" t="s">
        <v>663</v>
      </c>
      <c r="N278" s="143">
        <v>2023</v>
      </c>
      <c r="O278" s="137">
        <v>0.4</v>
      </c>
      <c r="P278" s="137">
        <v>0.6</v>
      </c>
      <c r="Q278" s="137">
        <v>1</v>
      </c>
      <c r="R278" s="137" t="s">
        <v>2486</v>
      </c>
      <c r="S278" s="137">
        <v>0.5</v>
      </c>
      <c r="T278" s="137" t="s">
        <v>2486</v>
      </c>
      <c r="U278" s="137" t="s">
        <v>2838</v>
      </c>
      <c r="W278" s="143" t="s">
        <v>744</v>
      </c>
      <c r="X278" s="143" t="s">
        <v>743</v>
      </c>
      <c r="Y278" s="143" t="s">
        <v>663</v>
      </c>
      <c r="Z278" s="143">
        <v>2023</v>
      </c>
      <c r="AA278" s="143">
        <v>0</v>
      </c>
      <c r="AD278" s="137">
        <v>0</v>
      </c>
      <c r="AG278" s="143" t="s">
        <v>744</v>
      </c>
      <c r="AH278" s="143" t="s">
        <v>743</v>
      </c>
      <c r="AI278" s="143" t="s">
        <v>663</v>
      </c>
      <c r="AJ278" s="143">
        <v>2023</v>
      </c>
      <c r="AK278" s="143">
        <v>2</v>
      </c>
      <c r="AL278" s="156">
        <v>2</v>
      </c>
      <c r="AM278" s="156">
        <v>3.5</v>
      </c>
      <c r="AN278" s="156">
        <v>3.5</v>
      </c>
      <c r="AO278" s="156">
        <v>4</v>
      </c>
      <c r="AP278" s="156">
        <v>3.5</v>
      </c>
      <c r="AQ278" s="156">
        <v>4</v>
      </c>
      <c r="AR278" s="156">
        <v>4</v>
      </c>
      <c r="AS278" s="169">
        <v>3.6428569999999998</v>
      </c>
    </row>
    <row r="279" spans="1:45" x14ac:dyDescent="0.35">
      <c r="A279" s="143" t="s">
        <v>744</v>
      </c>
      <c r="B279" s="143" t="s">
        <v>743</v>
      </c>
      <c r="C279" s="143" t="s">
        <v>663</v>
      </c>
      <c r="D279" s="143">
        <v>2708</v>
      </c>
      <c r="E279" s="143">
        <v>2</v>
      </c>
      <c r="F279" s="137">
        <v>1</v>
      </c>
      <c r="G279" s="137">
        <v>1</v>
      </c>
      <c r="H279" s="137">
        <v>1</v>
      </c>
      <c r="I279" s="137">
        <v>0</v>
      </c>
      <c r="K279" s="143" t="s">
        <v>744</v>
      </c>
      <c r="L279" s="143" t="s">
        <v>743</v>
      </c>
      <c r="M279" s="143" t="s">
        <v>663</v>
      </c>
      <c r="N279" s="143">
        <v>2708</v>
      </c>
      <c r="O279" s="137">
        <v>0.4</v>
      </c>
      <c r="P279" s="137">
        <v>0.6</v>
      </c>
      <c r="Q279" s="137">
        <v>1</v>
      </c>
      <c r="R279" s="137" t="s">
        <v>2486</v>
      </c>
      <c r="S279" s="137">
        <v>0.4</v>
      </c>
      <c r="T279" s="137" t="s">
        <v>2486</v>
      </c>
      <c r="U279" s="137" t="s">
        <v>2838</v>
      </c>
      <c r="W279" s="143" t="s">
        <v>744</v>
      </c>
      <c r="X279" s="143" t="s">
        <v>743</v>
      </c>
      <c r="Y279" s="143" t="s">
        <v>663</v>
      </c>
      <c r="Z279" s="143">
        <v>2708</v>
      </c>
      <c r="AA279" s="143">
        <v>0</v>
      </c>
      <c r="AD279" s="137">
        <v>0</v>
      </c>
      <c r="AG279" s="143" t="s">
        <v>744</v>
      </c>
      <c r="AH279" s="143" t="s">
        <v>743</v>
      </c>
      <c r="AI279" s="143" t="s">
        <v>663</v>
      </c>
      <c r="AJ279" s="143">
        <v>2708</v>
      </c>
      <c r="AK279" s="143">
        <v>2</v>
      </c>
      <c r="AL279" s="156">
        <v>1.5</v>
      </c>
      <c r="AM279" s="156">
        <v>3.5</v>
      </c>
      <c r="AN279" s="156">
        <v>3.5</v>
      </c>
      <c r="AO279" s="156">
        <v>3</v>
      </c>
      <c r="AP279" s="156">
        <v>3</v>
      </c>
      <c r="AQ279" s="156">
        <v>3.5</v>
      </c>
      <c r="AR279" s="156">
        <v>3</v>
      </c>
      <c r="AS279" s="169">
        <v>3.285714</v>
      </c>
    </row>
    <row r="280" spans="1:45" x14ac:dyDescent="0.35">
      <c r="A280" s="143" t="s">
        <v>744</v>
      </c>
      <c r="B280" s="143" t="s">
        <v>743</v>
      </c>
      <c r="C280" s="143" t="s">
        <v>663</v>
      </c>
      <c r="D280" s="143">
        <v>3171</v>
      </c>
      <c r="E280" s="143">
        <v>2</v>
      </c>
      <c r="F280" s="137">
        <v>1</v>
      </c>
      <c r="G280" s="137">
        <v>1</v>
      </c>
      <c r="H280" s="137">
        <v>1</v>
      </c>
      <c r="I280" s="137">
        <v>0.5</v>
      </c>
      <c r="K280" s="143" t="s">
        <v>744</v>
      </c>
      <c r="L280" s="143" t="s">
        <v>743</v>
      </c>
      <c r="M280" s="143" t="s">
        <v>663</v>
      </c>
      <c r="N280" s="143">
        <v>3171</v>
      </c>
      <c r="O280" s="137">
        <v>0.4</v>
      </c>
      <c r="P280" s="137">
        <v>0.6</v>
      </c>
      <c r="Q280" s="137">
        <v>1</v>
      </c>
      <c r="R280" s="137" t="s">
        <v>2486</v>
      </c>
      <c r="S280" s="137">
        <v>0.4</v>
      </c>
      <c r="T280" s="137" t="s">
        <v>2486</v>
      </c>
      <c r="U280" s="137" t="s">
        <v>2838</v>
      </c>
      <c r="W280" s="143" t="s">
        <v>744</v>
      </c>
      <c r="X280" s="143" t="s">
        <v>743</v>
      </c>
      <c r="Y280" s="143" t="s">
        <v>663</v>
      </c>
      <c r="Z280" s="143">
        <v>3171</v>
      </c>
      <c r="AA280" s="143">
        <v>0</v>
      </c>
      <c r="AD280" s="137">
        <v>0</v>
      </c>
      <c r="AG280" s="143" t="s">
        <v>744</v>
      </c>
      <c r="AH280" s="143" t="s">
        <v>743</v>
      </c>
      <c r="AI280" s="143" t="s">
        <v>663</v>
      </c>
      <c r="AJ280" s="143">
        <v>3171</v>
      </c>
      <c r="AK280" s="143">
        <v>2</v>
      </c>
      <c r="AL280" s="156">
        <v>1</v>
      </c>
      <c r="AM280" s="156">
        <v>4</v>
      </c>
      <c r="AN280" s="156">
        <v>3.5</v>
      </c>
      <c r="AO280" s="156">
        <v>3</v>
      </c>
      <c r="AP280" s="156">
        <v>1</v>
      </c>
      <c r="AQ280" s="156">
        <v>3.5</v>
      </c>
      <c r="AR280" s="156">
        <v>3.5</v>
      </c>
      <c r="AS280" s="169">
        <v>3.214286</v>
      </c>
    </row>
    <row r="281" spans="1:45" x14ac:dyDescent="0.35">
      <c r="A281" s="143" t="s">
        <v>744</v>
      </c>
      <c r="B281" s="143" t="s">
        <v>743</v>
      </c>
      <c r="C281" s="143" t="s">
        <v>663</v>
      </c>
      <c r="D281" s="143">
        <v>3172</v>
      </c>
      <c r="E281" s="143">
        <v>2</v>
      </c>
      <c r="F281" s="137">
        <v>1</v>
      </c>
      <c r="G281" s="137">
        <v>1</v>
      </c>
      <c r="H281" s="137">
        <v>1</v>
      </c>
      <c r="I281" s="137">
        <v>0</v>
      </c>
      <c r="K281" s="143" t="s">
        <v>744</v>
      </c>
      <c r="L281" s="143" t="s">
        <v>743</v>
      </c>
      <c r="M281" s="143" t="s">
        <v>663</v>
      </c>
      <c r="N281" s="143">
        <v>3172</v>
      </c>
      <c r="O281" s="137">
        <v>0.4</v>
      </c>
      <c r="P281" s="137">
        <v>0.6</v>
      </c>
      <c r="Q281" s="137">
        <v>1</v>
      </c>
      <c r="R281" s="137" t="s">
        <v>2486</v>
      </c>
      <c r="S281" s="137">
        <v>0.4</v>
      </c>
      <c r="T281" s="137" t="s">
        <v>2486</v>
      </c>
      <c r="U281" s="137" t="s">
        <v>2838</v>
      </c>
      <c r="W281" s="143" t="s">
        <v>744</v>
      </c>
      <c r="X281" s="143" t="s">
        <v>743</v>
      </c>
      <c r="Y281" s="143" t="s">
        <v>663</v>
      </c>
      <c r="Z281" s="143">
        <v>3172</v>
      </c>
      <c r="AA281" s="143">
        <v>0</v>
      </c>
      <c r="AD281" s="137">
        <v>0</v>
      </c>
      <c r="AG281" s="143" t="s">
        <v>744</v>
      </c>
      <c r="AH281" s="143" t="s">
        <v>743</v>
      </c>
      <c r="AI281" s="143" t="s">
        <v>663</v>
      </c>
      <c r="AJ281" s="143">
        <v>3172</v>
      </c>
      <c r="AK281" s="143">
        <v>2</v>
      </c>
      <c r="AL281" s="156">
        <v>1</v>
      </c>
      <c r="AM281" s="156">
        <v>4</v>
      </c>
      <c r="AN281" s="156">
        <v>3.5</v>
      </c>
      <c r="AO281" s="156">
        <v>3</v>
      </c>
      <c r="AP281" s="156">
        <v>3.5</v>
      </c>
      <c r="AQ281" s="156">
        <v>4</v>
      </c>
      <c r="AR281" s="156">
        <v>4</v>
      </c>
      <c r="AS281" s="169">
        <v>3.714286</v>
      </c>
    </row>
    <row r="282" spans="1:45" x14ac:dyDescent="0.35">
      <c r="A282" s="143" t="s">
        <v>744</v>
      </c>
      <c r="B282" s="143" t="s">
        <v>743</v>
      </c>
      <c r="C282" s="143" t="s">
        <v>663</v>
      </c>
      <c r="D282" s="143">
        <v>3298</v>
      </c>
      <c r="E282" s="143">
        <v>2</v>
      </c>
      <c r="F282" s="137">
        <v>1</v>
      </c>
      <c r="G282" s="137">
        <v>1</v>
      </c>
      <c r="H282" s="137">
        <v>1</v>
      </c>
      <c r="I282" s="137">
        <v>0</v>
      </c>
      <c r="K282" s="143" t="s">
        <v>744</v>
      </c>
      <c r="L282" s="143" t="s">
        <v>743</v>
      </c>
      <c r="M282" s="143" t="s">
        <v>663</v>
      </c>
      <c r="N282" s="143">
        <v>3298</v>
      </c>
      <c r="O282" s="137">
        <v>0.4</v>
      </c>
      <c r="P282" s="137">
        <v>0.6</v>
      </c>
      <c r="Q282" s="137">
        <v>1</v>
      </c>
      <c r="R282" s="137" t="s">
        <v>2486</v>
      </c>
      <c r="S282" s="137">
        <v>0.4</v>
      </c>
      <c r="T282" s="137" t="s">
        <v>2486</v>
      </c>
      <c r="U282" s="137" t="s">
        <v>2838</v>
      </c>
      <c r="W282" s="143" t="s">
        <v>744</v>
      </c>
      <c r="X282" s="143" t="s">
        <v>743</v>
      </c>
      <c r="Y282" s="143" t="s">
        <v>663</v>
      </c>
      <c r="Z282" s="143">
        <v>3298</v>
      </c>
      <c r="AA282" s="143">
        <v>0</v>
      </c>
      <c r="AD282" s="137">
        <v>0</v>
      </c>
      <c r="AG282" s="143" t="s">
        <v>744</v>
      </c>
      <c r="AH282" s="143" t="s">
        <v>743</v>
      </c>
      <c r="AI282" s="143" t="s">
        <v>663</v>
      </c>
      <c r="AJ282" s="143">
        <v>3298</v>
      </c>
      <c r="AK282" s="143">
        <v>2</v>
      </c>
      <c r="AL282" s="156">
        <v>1</v>
      </c>
      <c r="AM282" s="156">
        <v>4</v>
      </c>
      <c r="AN282" s="156">
        <v>3</v>
      </c>
      <c r="AO282" s="156">
        <v>2</v>
      </c>
      <c r="AP282" s="156">
        <v>1</v>
      </c>
      <c r="AQ282" s="156">
        <v>3</v>
      </c>
      <c r="AR282" s="156">
        <v>3</v>
      </c>
      <c r="AS282" s="169">
        <v>2.8571430000000002</v>
      </c>
    </row>
    <row r="283" spans="1:45" x14ac:dyDescent="0.35">
      <c r="A283" s="143" t="s">
        <v>744</v>
      </c>
      <c r="B283" s="143" t="s">
        <v>743</v>
      </c>
      <c r="C283" s="143" t="s">
        <v>663</v>
      </c>
      <c r="D283" s="143">
        <v>3300</v>
      </c>
      <c r="E283" s="143">
        <v>2</v>
      </c>
      <c r="F283" s="137">
        <v>1</v>
      </c>
      <c r="G283" s="137">
        <v>1</v>
      </c>
      <c r="H283" s="137">
        <v>1</v>
      </c>
      <c r="I283" s="137">
        <v>0</v>
      </c>
      <c r="K283" s="143" t="s">
        <v>744</v>
      </c>
      <c r="L283" s="143" t="s">
        <v>743</v>
      </c>
      <c r="M283" s="143" t="s">
        <v>663</v>
      </c>
      <c r="N283" s="143">
        <v>3300</v>
      </c>
      <c r="O283" s="137">
        <v>0.39466669999999998</v>
      </c>
      <c r="P283" s="137">
        <v>0.6</v>
      </c>
      <c r="Q283" s="137">
        <v>0.99466670000000001</v>
      </c>
      <c r="R283" s="137" t="s">
        <v>2487</v>
      </c>
      <c r="S283" s="137">
        <v>0.4</v>
      </c>
      <c r="T283" s="137" t="s">
        <v>2486</v>
      </c>
      <c r="U283" s="137" t="s">
        <v>2838</v>
      </c>
      <c r="W283" s="143" t="s">
        <v>744</v>
      </c>
      <c r="X283" s="143" t="s">
        <v>743</v>
      </c>
      <c r="Y283" s="143" t="s">
        <v>663</v>
      </c>
      <c r="Z283" s="143">
        <v>3300</v>
      </c>
      <c r="AA283" s="143">
        <v>0</v>
      </c>
      <c r="AD283" s="137">
        <v>0</v>
      </c>
      <c r="AG283" s="143" t="s">
        <v>744</v>
      </c>
      <c r="AH283" s="143" t="s">
        <v>743</v>
      </c>
      <c r="AI283" s="143" t="s">
        <v>663</v>
      </c>
      <c r="AJ283" s="143">
        <v>3300</v>
      </c>
      <c r="AK283" s="143">
        <v>2</v>
      </c>
      <c r="AL283" s="156">
        <v>1.5</v>
      </c>
      <c r="AM283" s="156">
        <v>3</v>
      </c>
      <c r="AN283" s="156">
        <v>3</v>
      </c>
      <c r="AO283" s="156">
        <v>2.5</v>
      </c>
      <c r="AP283" s="156">
        <v>1</v>
      </c>
      <c r="AQ283" s="156">
        <v>3</v>
      </c>
      <c r="AR283" s="156">
        <v>2.5</v>
      </c>
      <c r="AS283" s="169">
        <v>2.6428569999999998</v>
      </c>
    </row>
    <row r="284" spans="1:45" x14ac:dyDescent="0.35">
      <c r="A284" s="143" t="s">
        <v>745</v>
      </c>
      <c r="B284" s="143" t="s">
        <v>730</v>
      </c>
      <c r="C284" s="143" t="s">
        <v>841</v>
      </c>
      <c r="D284" s="143">
        <v>510</v>
      </c>
      <c r="E284" s="143">
        <v>3</v>
      </c>
      <c r="F284" s="137">
        <v>1</v>
      </c>
      <c r="G284" s="137">
        <v>1</v>
      </c>
      <c r="H284" s="137">
        <v>1</v>
      </c>
      <c r="I284" s="137">
        <v>0</v>
      </c>
      <c r="K284" s="143" t="s">
        <v>745</v>
      </c>
      <c r="L284" s="143" t="s">
        <v>730</v>
      </c>
      <c r="M284" s="143" t="s">
        <v>841</v>
      </c>
      <c r="N284" s="143">
        <v>510</v>
      </c>
      <c r="O284" s="137">
        <v>0.4</v>
      </c>
      <c r="P284" s="137">
        <v>0.6</v>
      </c>
      <c r="Q284" s="137">
        <v>1</v>
      </c>
      <c r="R284" s="137" t="s">
        <v>2486</v>
      </c>
      <c r="S284" s="137">
        <v>0.53846159999999998</v>
      </c>
      <c r="T284" s="137" t="s">
        <v>2486</v>
      </c>
      <c r="U284" s="137" t="s">
        <v>2486</v>
      </c>
      <c r="W284" s="143" t="s">
        <v>745</v>
      </c>
      <c r="X284" s="143" t="s">
        <v>730</v>
      </c>
      <c r="Y284" s="143" t="s">
        <v>841</v>
      </c>
      <c r="Z284" s="143">
        <v>510</v>
      </c>
      <c r="AA284" s="143">
        <v>0</v>
      </c>
      <c r="AD284" s="137">
        <v>0</v>
      </c>
      <c r="AE284" s="137">
        <v>0.30769229999999997</v>
      </c>
      <c r="AG284" s="143" t="s">
        <v>745</v>
      </c>
      <c r="AH284" s="143" t="s">
        <v>730</v>
      </c>
      <c r="AI284" s="143" t="s">
        <v>841</v>
      </c>
      <c r="AJ284" s="143">
        <v>510</v>
      </c>
      <c r="AK284" s="143">
        <v>3</v>
      </c>
      <c r="AL284" s="156">
        <v>2</v>
      </c>
      <c r="AM284" s="156">
        <v>4</v>
      </c>
      <c r="AN284" s="156">
        <v>3</v>
      </c>
      <c r="AO284" s="156">
        <v>3</v>
      </c>
      <c r="AP284" s="156">
        <v>2.3333332538604701</v>
      </c>
      <c r="AQ284" s="156">
        <v>3.3333332538604701</v>
      </c>
      <c r="AR284" s="156">
        <v>3.3333332538604701</v>
      </c>
      <c r="AS284" s="169">
        <v>3.1428569999999998</v>
      </c>
    </row>
    <row r="285" spans="1:45" x14ac:dyDescent="0.35">
      <c r="A285" s="143" t="s">
        <v>745</v>
      </c>
      <c r="B285" s="143" t="s">
        <v>730</v>
      </c>
      <c r="C285" s="143" t="s">
        <v>843</v>
      </c>
      <c r="D285" s="143">
        <v>518</v>
      </c>
      <c r="E285" s="143">
        <v>8</v>
      </c>
      <c r="F285" s="137">
        <v>1</v>
      </c>
      <c r="G285" s="137">
        <v>1</v>
      </c>
      <c r="H285" s="137">
        <v>1</v>
      </c>
      <c r="I285" s="137">
        <v>0</v>
      </c>
      <c r="K285" s="143" t="s">
        <v>745</v>
      </c>
      <c r="L285" s="143" t="s">
        <v>730</v>
      </c>
      <c r="M285" s="143" t="s">
        <v>843</v>
      </c>
      <c r="N285" s="143">
        <v>518</v>
      </c>
      <c r="O285" s="137">
        <v>0.4</v>
      </c>
      <c r="P285" s="137">
        <v>0.6</v>
      </c>
      <c r="Q285" s="137">
        <v>1</v>
      </c>
      <c r="R285" s="137" t="s">
        <v>2486</v>
      </c>
      <c r="S285" s="137">
        <v>0.4166667</v>
      </c>
      <c r="T285" s="137" t="s">
        <v>2486</v>
      </c>
      <c r="U285" s="137" t="s">
        <v>2486</v>
      </c>
      <c r="W285" s="143" t="s">
        <v>745</v>
      </c>
      <c r="X285" s="143" t="s">
        <v>730</v>
      </c>
      <c r="Y285" s="143" t="s">
        <v>843</v>
      </c>
      <c r="Z285" s="143">
        <v>518</v>
      </c>
      <c r="AA285" s="143">
        <v>8</v>
      </c>
      <c r="AB285" s="137">
        <v>0.125</v>
      </c>
      <c r="AC285" s="137">
        <v>0.14285709999999999</v>
      </c>
      <c r="AD285" s="137">
        <v>0</v>
      </c>
      <c r="AE285" s="137">
        <v>0.25</v>
      </c>
      <c r="AG285" s="143" t="s">
        <v>745</v>
      </c>
      <c r="AH285" s="143" t="s">
        <v>730</v>
      </c>
      <c r="AI285" s="143" t="s">
        <v>843</v>
      </c>
      <c r="AJ285" s="143">
        <v>518</v>
      </c>
      <c r="AK285" s="143">
        <v>8</v>
      </c>
      <c r="AL285" s="156">
        <v>2.25</v>
      </c>
      <c r="AM285" s="156">
        <v>3.875</v>
      </c>
      <c r="AN285" s="156">
        <v>3.5</v>
      </c>
      <c r="AO285" s="156">
        <v>3.125</v>
      </c>
      <c r="AP285" s="156">
        <v>3.375</v>
      </c>
      <c r="AQ285" s="156">
        <v>3.25</v>
      </c>
      <c r="AR285" s="156">
        <v>3.625</v>
      </c>
      <c r="AS285" s="169">
        <v>3.5178569999999998</v>
      </c>
    </row>
    <row r="286" spans="1:45" x14ac:dyDescent="0.35">
      <c r="A286" s="143" t="s">
        <v>745</v>
      </c>
      <c r="B286" s="143" t="s">
        <v>730</v>
      </c>
      <c r="C286" s="143" t="s">
        <v>842</v>
      </c>
      <c r="D286" s="143">
        <v>526</v>
      </c>
      <c r="E286" s="143">
        <v>2</v>
      </c>
      <c r="F286" s="137">
        <v>1</v>
      </c>
      <c r="G286" s="137">
        <v>1</v>
      </c>
      <c r="H286" s="137">
        <v>1</v>
      </c>
      <c r="I286" s="137">
        <v>0</v>
      </c>
      <c r="K286" s="143" t="s">
        <v>745</v>
      </c>
      <c r="L286" s="143" t="s">
        <v>730</v>
      </c>
      <c r="M286" s="143" t="s">
        <v>842</v>
      </c>
      <c r="N286" s="143">
        <v>526</v>
      </c>
      <c r="O286" s="137">
        <v>0.4</v>
      </c>
      <c r="P286" s="137">
        <v>0.6</v>
      </c>
      <c r="Q286" s="137">
        <v>1</v>
      </c>
      <c r="R286" s="137" t="s">
        <v>2486</v>
      </c>
      <c r="S286" s="137">
        <v>0.5</v>
      </c>
      <c r="T286" s="137" t="s">
        <v>2486</v>
      </c>
      <c r="U286" s="137" t="s">
        <v>2486</v>
      </c>
      <c r="W286" s="143" t="s">
        <v>745</v>
      </c>
      <c r="X286" s="143" t="s">
        <v>730</v>
      </c>
      <c r="Y286" s="143" t="s">
        <v>842</v>
      </c>
      <c r="Z286" s="143">
        <v>526</v>
      </c>
      <c r="AA286" s="143">
        <v>0</v>
      </c>
      <c r="AD286" s="137">
        <v>0</v>
      </c>
      <c r="AE286" s="137">
        <v>0.5</v>
      </c>
      <c r="AG286" s="143" t="s">
        <v>745</v>
      </c>
      <c r="AH286" s="143" t="s">
        <v>730</v>
      </c>
      <c r="AI286" s="143" t="s">
        <v>842</v>
      </c>
      <c r="AJ286" s="143">
        <v>526</v>
      </c>
      <c r="AK286" s="143">
        <v>2</v>
      </c>
      <c r="AL286" s="156">
        <v>1.5</v>
      </c>
      <c r="AM286" s="156">
        <v>4</v>
      </c>
      <c r="AN286" s="156">
        <v>3</v>
      </c>
      <c r="AO286" s="156">
        <v>3</v>
      </c>
      <c r="AP286" s="156">
        <v>3.5</v>
      </c>
      <c r="AQ286" s="156">
        <v>3.5</v>
      </c>
      <c r="AR286" s="156">
        <v>3</v>
      </c>
      <c r="AS286" s="169">
        <v>3.3571430000000002</v>
      </c>
    </row>
    <row r="287" spans="1:45" x14ac:dyDescent="0.35">
      <c r="A287" s="143" t="s">
        <v>745</v>
      </c>
      <c r="B287" s="143" t="s">
        <v>730</v>
      </c>
      <c r="C287" s="143" t="s">
        <v>841</v>
      </c>
      <c r="D287" s="143">
        <v>1155</v>
      </c>
      <c r="E287" s="143">
        <v>3</v>
      </c>
      <c r="F287" s="137">
        <v>1</v>
      </c>
      <c r="G287" s="137">
        <v>1</v>
      </c>
      <c r="H287" s="137">
        <v>1</v>
      </c>
      <c r="I287" s="137">
        <v>0</v>
      </c>
      <c r="K287" s="143" t="s">
        <v>745</v>
      </c>
      <c r="L287" s="143" t="s">
        <v>730</v>
      </c>
      <c r="M287" s="143" t="s">
        <v>841</v>
      </c>
      <c r="N287" s="143">
        <v>1155</v>
      </c>
      <c r="O287" s="137">
        <v>0.4</v>
      </c>
      <c r="P287" s="137">
        <v>0.6</v>
      </c>
      <c r="Q287" s="137">
        <v>1</v>
      </c>
      <c r="R287" s="137" t="s">
        <v>2486</v>
      </c>
      <c r="S287" s="137">
        <v>0.5</v>
      </c>
      <c r="T287" s="137" t="s">
        <v>2486</v>
      </c>
      <c r="U287" s="137" t="s">
        <v>2486</v>
      </c>
      <c r="W287" s="143" t="s">
        <v>745</v>
      </c>
      <c r="X287" s="143" t="s">
        <v>730</v>
      </c>
      <c r="Y287" s="143" t="s">
        <v>841</v>
      </c>
      <c r="Z287" s="143">
        <v>1155</v>
      </c>
      <c r="AA287" s="143">
        <v>0</v>
      </c>
      <c r="AD287" s="137">
        <v>0</v>
      </c>
      <c r="AE287" s="137">
        <v>0.3333333</v>
      </c>
      <c r="AG287" s="143" t="s">
        <v>745</v>
      </c>
      <c r="AH287" s="143" t="s">
        <v>730</v>
      </c>
      <c r="AI287" s="143" t="s">
        <v>841</v>
      </c>
      <c r="AJ287" s="143">
        <v>1155</v>
      </c>
      <c r="AK287" s="143">
        <v>3</v>
      </c>
      <c r="AL287" s="156">
        <v>1.3333333730697601</v>
      </c>
      <c r="AM287" s="156">
        <v>3.3333332538604701</v>
      </c>
      <c r="AN287" s="156">
        <v>3</v>
      </c>
      <c r="AO287" s="156">
        <v>3</v>
      </c>
      <c r="AP287" s="156">
        <v>2</v>
      </c>
      <c r="AQ287" s="156">
        <v>3</v>
      </c>
      <c r="AR287" s="156">
        <v>4</v>
      </c>
      <c r="AS287" s="169">
        <v>3.1428569999999998</v>
      </c>
    </row>
    <row r="288" spans="1:45" x14ac:dyDescent="0.35">
      <c r="A288" s="143" t="s">
        <v>745</v>
      </c>
      <c r="B288" s="143" t="s">
        <v>730</v>
      </c>
      <c r="C288" s="143" t="s">
        <v>842</v>
      </c>
      <c r="D288" s="143">
        <v>1938</v>
      </c>
      <c r="E288" s="143">
        <v>2</v>
      </c>
      <c r="F288" s="137">
        <v>1</v>
      </c>
      <c r="G288" s="137">
        <v>1</v>
      </c>
      <c r="H288" s="137">
        <v>1</v>
      </c>
      <c r="I288" s="137">
        <v>0</v>
      </c>
      <c r="K288" s="143" t="s">
        <v>745</v>
      </c>
      <c r="L288" s="143" t="s">
        <v>730</v>
      </c>
      <c r="M288" s="143" t="s">
        <v>842</v>
      </c>
      <c r="N288" s="143">
        <v>1938</v>
      </c>
      <c r="O288" s="137">
        <v>0.4</v>
      </c>
      <c r="P288" s="137">
        <v>0.6</v>
      </c>
      <c r="Q288" s="137">
        <v>1</v>
      </c>
      <c r="R288" s="137" t="s">
        <v>2486</v>
      </c>
      <c r="S288" s="137">
        <v>0.5</v>
      </c>
      <c r="T288" s="137" t="s">
        <v>2486</v>
      </c>
      <c r="U288" s="137" t="s">
        <v>2486</v>
      </c>
      <c r="W288" s="143" t="s">
        <v>745</v>
      </c>
      <c r="X288" s="143" t="s">
        <v>730</v>
      </c>
      <c r="Y288" s="143" t="s">
        <v>842</v>
      </c>
      <c r="Z288" s="143">
        <v>1938</v>
      </c>
      <c r="AA288" s="143">
        <v>0</v>
      </c>
      <c r="AD288" s="137">
        <v>0</v>
      </c>
      <c r="AE288" s="137">
        <v>0.5</v>
      </c>
      <c r="AG288" s="143" t="s">
        <v>745</v>
      </c>
      <c r="AH288" s="143" t="s">
        <v>730</v>
      </c>
      <c r="AI288" s="143" t="s">
        <v>842</v>
      </c>
      <c r="AJ288" s="143">
        <v>1938</v>
      </c>
      <c r="AK288" s="143">
        <v>2</v>
      </c>
      <c r="AL288" s="156">
        <v>1</v>
      </c>
      <c r="AM288" s="156">
        <v>4</v>
      </c>
      <c r="AN288" s="156">
        <v>3.5</v>
      </c>
      <c r="AO288" s="156">
        <v>3</v>
      </c>
      <c r="AP288" s="156">
        <v>3.5</v>
      </c>
      <c r="AQ288" s="156">
        <v>3.5</v>
      </c>
      <c r="AR288" s="156">
        <v>4</v>
      </c>
      <c r="AS288" s="169">
        <v>3.6428569999999998</v>
      </c>
    </row>
    <row r="289" spans="1:45" x14ac:dyDescent="0.35">
      <c r="A289" s="143" t="s">
        <v>745</v>
      </c>
      <c r="B289" s="143" t="s">
        <v>730</v>
      </c>
      <c r="C289" s="143" t="s">
        <v>842</v>
      </c>
      <c r="D289" s="143">
        <v>1941</v>
      </c>
      <c r="E289" s="143">
        <v>2</v>
      </c>
      <c r="F289" s="137">
        <v>1</v>
      </c>
      <c r="G289" s="137">
        <v>1</v>
      </c>
      <c r="H289" s="137">
        <v>1</v>
      </c>
      <c r="I289" s="137">
        <v>0</v>
      </c>
      <c r="K289" s="143" t="s">
        <v>745</v>
      </c>
      <c r="L289" s="143" t="s">
        <v>730</v>
      </c>
      <c r="M289" s="143" t="s">
        <v>842</v>
      </c>
      <c r="N289" s="143">
        <v>1941</v>
      </c>
      <c r="O289" s="137">
        <v>0.4</v>
      </c>
      <c r="P289" s="137">
        <v>0.6</v>
      </c>
      <c r="Q289" s="137">
        <v>1</v>
      </c>
      <c r="R289" s="137" t="s">
        <v>2486</v>
      </c>
      <c r="S289" s="137">
        <v>0.4</v>
      </c>
      <c r="T289" s="137" t="s">
        <v>2486</v>
      </c>
      <c r="U289" s="137" t="s">
        <v>2486</v>
      </c>
      <c r="W289" s="143" t="s">
        <v>745</v>
      </c>
      <c r="X289" s="143" t="s">
        <v>730</v>
      </c>
      <c r="Y289" s="143" t="s">
        <v>842</v>
      </c>
      <c r="Z289" s="143">
        <v>1941</v>
      </c>
      <c r="AA289" s="143">
        <v>0</v>
      </c>
      <c r="AD289" s="137">
        <v>0</v>
      </c>
      <c r="AE289" s="137">
        <v>0.4</v>
      </c>
      <c r="AG289" s="143" t="s">
        <v>745</v>
      </c>
      <c r="AH289" s="143" t="s">
        <v>730</v>
      </c>
      <c r="AI289" s="143" t="s">
        <v>842</v>
      </c>
      <c r="AJ289" s="143">
        <v>1941</v>
      </c>
      <c r="AK289" s="143">
        <v>2</v>
      </c>
      <c r="AL289" s="156">
        <v>1</v>
      </c>
      <c r="AM289" s="156">
        <v>3.5</v>
      </c>
      <c r="AN289" s="156">
        <v>3</v>
      </c>
      <c r="AO289" s="156">
        <v>3.5</v>
      </c>
      <c r="AP289" s="156">
        <v>2</v>
      </c>
      <c r="AQ289" s="156">
        <v>3</v>
      </c>
      <c r="AR289" s="156">
        <v>4</v>
      </c>
      <c r="AS289" s="169">
        <v>3.285714</v>
      </c>
    </row>
    <row r="290" spans="1:45" x14ac:dyDescent="0.35">
      <c r="A290" s="143" t="s">
        <v>745</v>
      </c>
      <c r="B290" s="143" t="s">
        <v>730</v>
      </c>
      <c r="C290" s="143" t="s">
        <v>842</v>
      </c>
      <c r="D290" s="143">
        <v>1999</v>
      </c>
      <c r="E290" s="143">
        <v>2</v>
      </c>
      <c r="F290" s="137">
        <v>1</v>
      </c>
      <c r="G290" s="137">
        <v>1</v>
      </c>
      <c r="H290" s="137">
        <v>1</v>
      </c>
      <c r="I290" s="137">
        <v>0.5</v>
      </c>
      <c r="K290" s="143" t="s">
        <v>745</v>
      </c>
      <c r="L290" s="143" t="s">
        <v>730</v>
      </c>
      <c r="M290" s="143" t="s">
        <v>842</v>
      </c>
      <c r="N290" s="143">
        <v>1999</v>
      </c>
      <c r="O290" s="137">
        <v>0.4</v>
      </c>
      <c r="P290" s="137">
        <v>0.6</v>
      </c>
      <c r="Q290" s="137">
        <v>1</v>
      </c>
      <c r="R290" s="137" t="s">
        <v>2486</v>
      </c>
      <c r="S290" s="137">
        <v>0.5</v>
      </c>
      <c r="T290" s="137" t="s">
        <v>2486</v>
      </c>
      <c r="U290" s="137" t="s">
        <v>2486</v>
      </c>
      <c r="W290" s="143" t="s">
        <v>745</v>
      </c>
      <c r="X290" s="143" t="s">
        <v>730</v>
      </c>
      <c r="Y290" s="143" t="s">
        <v>842</v>
      </c>
      <c r="Z290" s="143">
        <v>1999</v>
      </c>
      <c r="AA290" s="143">
        <v>0</v>
      </c>
      <c r="AD290" s="137">
        <v>0</v>
      </c>
      <c r="AE290" s="137">
        <v>0.3333333</v>
      </c>
      <c r="AG290" s="143" t="s">
        <v>745</v>
      </c>
      <c r="AH290" s="143" t="s">
        <v>730</v>
      </c>
      <c r="AI290" s="143" t="s">
        <v>842</v>
      </c>
      <c r="AJ290" s="143">
        <v>1999</v>
      </c>
      <c r="AK290" s="143">
        <v>2</v>
      </c>
      <c r="AL290" s="156">
        <v>1</v>
      </c>
      <c r="AM290" s="156">
        <v>2</v>
      </c>
      <c r="AN290" s="156">
        <v>3</v>
      </c>
      <c r="AO290" s="156">
        <v>3</v>
      </c>
      <c r="AP290" s="156">
        <v>3</v>
      </c>
      <c r="AQ290" s="156">
        <v>3.5</v>
      </c>
      <c r="AR290" s="156">
        <v>4</v>
      </c>
      <c r="AS290" s="169">
        <v>3.214286</v>
      </c>
    </row>
    <row r="291" spans="1:45" x14ac:dyDescent="0.35">
      <c r="A291" s="143" t="s">
        <v>745</v>
      </c>
      <c r="B291" s="143" t="s">
        <v>730</v>
      </c>
      <c r="C291" s="143" t="s">
        <v>663</v>
      </c>
      <c r="D291" s="143">
        <v>2515</v>
      </c>
      <c r="E291" s="143">
        <v>2</v>
      </c>
      <c r="F291" s="137">
        <v>1</v>
      </c>
      <c r="G291" s="137">
        <v>1</v>
      </c>
      <c r="H291" s="137">
        <v>1</v>
      </c>
      <c r="I291" s="137">
        <v>0</v>
      </c>
      <c r="K291" s="143" t="s">
        <v>745</v>
      </c>
      <c r="L291" s="143" t="s">
        <v>730</v>
      </c>
      <c r="M291" s="143" t="s">
        <v>663</v>
      </c>
      <c r="N291" s="143">
        <v>2515</v>
      </c>
      <c r="O291" s="137">
        <v>0.4</v>
      </c>
      <c r="P291" s="137">
        <v>0.6</v>
      </c>
      <c r="Q291" s="137">
        <v>1</v>
      </c>
      <c r="R291" s="137" t="s">
        <v>2486</v>
      </c>
      <c r="S291" s="137">
        <v>0.66666669999999995</v>
      </c>
      <c r="T291" s="137" t="s">
        <v>2486</v>
      </c>
      <c r="U291" s="137" t="s">
        <v>2838</v>
      </c>
      <c r="W291" s="143" t="s">
        <v>745</v>
      </c>
      <c r="X291" s="143" t="s">
        <v>730</v>
      </c>
      <c r="Y291" s="143" t="s">
        <v>663</v>
      </c>
      <c r="Z291" s="143">
        <v>2515</v>
      </c>
      <c r="AA291" s="143">
        <v>0</v>
      </c>
      <c r="AD291" s="137">
        <v>0</v>
      </c>
      <c r="AE291" s="137">
        <v>0.66666669999999995</v>
      </c>
      <c r="AG291" s="143" t="s">
        <v>745</v>
      </c>
      <c r="AH291" s="143" t="s">
        <v>730</v>
      </c>
      <c r="AI291" s="143" t="s">
        <v>663</v>
      </c>
      <c r="AJ291" s="143">
        <v>2515</v>
      </c>
      <c r="AK291" s="143">
        <v>2</v>
      </c>
      <c r="AL291" s="156">
        <v>1</v>
      </c>
      <c r="AM291" s="156">
        <v>4</v>
      </c>
      <c r="AN291" s="156">
        <v>3</v>
      </c>
      <c r="AO291" s="156">
        <v>3</v>
      </c>
      <c r="AP291" s="156">
        <v>1.5</v>
      </c>
      <c r="AQ291" s="156">
        <v>3</v>
      </c>
      <c r="AR291" s="156">
        <v>4</v>
      </c>
      <c r="AS291" s="169">
        <v>3.214286</v>
      </c>
    </row>
    <row r="292" spans="1:45" x14ac:dyDescent="0.35">
      <c r="A292" s="143" t="s">
        <v>745</v>
      </c>
      <c r="B292" s="143" t="s">
        <v>730</v>
      </c>
      <c r="C292" s="143" t="s">
        <v>663</v>
      </c>
      <c r="D292" s="143">
        <v>2650</v>
      </c>
      <c r="E292" s="143">
        <v>2</v>
      </c>
      <c r="F292" s="137">
        <v>1</v>
      </c>
      <c r="G292" s="137">
        <v>1</v>
      </c>
      <c r="H292" s="137">
        <v>1</v>
      </c>
      <c r="I292" s="137">
        <v>0</v>
      </c>
      <c r="K292" s="143" t="s">
        <v>745</v>
      </c>
      <c r="L292" s="143" t="s">
        <v>730</v>
      </c>
      <c r="M292" s="143" t="s">
        <v>663</v>
      </c>
      <c r="N292" s="143">
        <v>2650</v>
      </c>
      <c r="O292" s="137">
        <v>0.38133339999999999</v>
      </c>
      <c r="P292" s="137">
        <v>0.6</v>
      </c>
      <c r="Q292" s="137">
        <v>0.98133340000000002</v>
      </c>
      <c r="R292" s="137" t="s">
        <v>2487</v>
      </c>
      <c r="S292" s="137">
        <v>0.66666669999999995</v>
      </c>
      <c r="T292" s="137" t="s">
        <v>2486</v>
      </c>
      <c r="U292" s="137" t="s">
        <v>2838</v>
      </c>
      <c r="W292" s="143" t="s">
        <v>745</v>
      </c>
      <c r="X292" s="143" t="s">
        <v>730</v>
      </c>
      <c r="Y292" s="143" t="s">
        <v>663</v>
      </c>
      <c r="Z292" s="143">
        <v>2650</v>
      </c>
      <c r="AA292" s="143">
        <v>0</v>
      </c>
      <c r="AD292" s="137">
        <v>0</v>
      </c>
      <c r="AE292" s="137">
        <v>0.3333333</v>
      </c>
      <c r="AG292" s="143" t="s">
        <v>745</v>
      </c>
      <c r="AH292" s="143" t="s">
        <v>730</v>
      </c>
      <c r="AI292" s="143" t="s">
        <v>663</v>
      </c>
      <c r="AJ292" s="143">
        <v>2650</v>
      </c>
      <c r="AK292" s="143">
        <v>2</v>
      </c>
      <c r="AL292" s="156">
        <v>1</v>
      </c>
      <c r="AM292" s="156">
        <v>3</v>
      </c>
      <c r="AN292" s="156">
        <v>3.5</v>
      </c>
      <c r="AO292" s="156">
        <v>3.5</v>
      </c>
      <c r="AP292" s="156">
        <v>2</v>
      </c>
      <c r="AQ292" s="156">
        <v>3</v>
      </c>
      <c r="AR292" s="156">
        <v>4</v>
      </c>
      <c r="AS292" s="169">
        <v>3.285714</v>
      </c>
    </row>
    <row r="293" spans="1:45" x14ac:dyDescent="0.35">
      <c r="A293" s="143" t="s">
        <v>745</v>
      </c>
      <c r="B293" s="143" t="s">
        <v>730</v>
      </c>
      <c r="C293" s="143" t="s">
        <v>663</v>
      </c>
      <c r="D293" s="143">
        <v>2835</v>
      </c>
      <c r="E293" s="143">
        <v>2</v>
      </c>
      <c r="F293" s="137">
        <v>1</v>
      </c>
      <c r="G293" s="137">
        <v>1</v>
      </c>
      <c r="H293" s="137">
        <v>1</v>
      </c>
      <c r="I293" s="137">
        <v>0</v>
      </c>
      <c r="K293" s="143" t="s">
        <v>745</v>
      </c>
      <c r="L293" s="143" t="s">
        <v>730</v>
      </c>
      <c r="M293" s="143" t="s">
        <v>663</v>
      </c>
      <c r="N293" s="143">
        <v>2835</v>
      </c>
      <c r="O293" s="137">
        <v>0.3973333</v>
      </c>
      <c r="P293" s="137">
        <v>0.6</v>
      </c>
      <c r="Q293" s="137">
        <v>0.99733329999999998</v>
      </c>
      <c r="R293" s="137" t="s">
        <v>2487</v>
      </c>
      <c r="S293" s="137">
        <v>0.75</v>
      </c>
      <c r="T293" s="137" t="s">
        <v>2486</v>
      </c>
      <c r="U293" s="137" t="s">
        <v>2838</v>
      </c>
      <c r="W293" s="143" t="s">
        <v>745</v>
      </c>
      <c r="X293" s="143" t="s">
        <v>730</v>
      </c>
      <c r="Y293" s="143" t="s">
        <v>663</v>
      </c>
      <c r="Z293" s="143">
        <v>2835</v>
      </c>
      <c r="AA293" s="143">
        <v>0</v>
      </c>
      <c r="AD293" s="137">
        <v>0</v>
      </c>
      <c r="AE293" s="137">
        <v>0.25</v>
      </c>
      <c r="AG293" s="143" t="s">
        <v>745</v>
      </c>
      <c r="AH293" s="143" t="s">
        <v>730</v>
      </c>
      <c r="AI293" s="143" t="s">
        <v>663</v>
      </c>
      <c r="AJ293" s="143">
        <v>2835</v>
      </c>
      <c r="AK293" s="143">
        <v>2</v>
      </c>
      <c r="AL293" s="156">
        <v>1.5</v>
      </c>
      <c r="AM293" s="156">
        <v>4</v>
      </c>
      <c r="AN293" s="156">
        <v>3</v>
      </c>
      <c r="AO293" s="156">
        <v>3</v>
      </c>
      <c r="AP293" s="156">
        <v>3</v>
      </c>
      <c r="AQ293" s="156">
        <v>3.5</v>
      </c>
      <c r="AR293" s="156">
        <v>4</v>
      </c>
      <c r="AS293" s="169">
        <v>3.4285709999999998</v>
      </c>
    </row>
    <row r="294" spans="1:45" x14ac:dyDescent="0.35">
      <c r="A294" s="143" t="s">
        <v>745</v>
      </c>
      <c r="B294" s="143" t="s">
        <v>730</v>
      </c>
      <c r="C294" s="143" t="s">
        <v>663</v>
      </c>
      <c r="D294" s="143">
        <v>3062</v>
      </c>
      <c r="E294" s="143">
        <v>2</v>
      </c>
      <c r="F294" s="137">
        <v>1</v>
      </c>
      <c r="G294" s="137">
        <v>1</v>
      </c>
      <c r="H294" s="137">
        <v>1</v>
      </c>
      <c r="I294" s="137">
        <v>0</v>
      </c>
      <c r="K294" s="143" t="s">
        <v>745</v>
      </c>
      <c r="L294" s="143" t="s">
        <v>730</v>
      </c>
      <c r="M294" s="143" t="s">
        <v>663</v>
      </c>
      <c r="N294" s="143">
        <v>3062</v>
      </c>
      <c r="O294" s="137">
        <v>0.4</v>
      </c>
      <c r="P294" s="137">
        <v>0.6</v>
      </c>
      <c r="Q294" s="137">
        <v>1</v>
      </c>
      <c r="R294" s="137" t="s">
        <v>2486</v>
      </c>
      <c r="S294" s="137">
        <v>0.66666669999999995</v>
      </c>
      <c r="T294" s="137" t="s">
        <v>2486</v>
      </c>
      <c r="U294" s="137" t="s">
        <v>2838</v>
      </c>
      <c r="W294" s="143" t="s">
        <v>745</v>
      </c>
      <c r="X294" s="143" t="s">
        <v>730</v>
      </c>
      <c r="Y294" s="143" t="s">
        <v>663</v>
      </c>
      <c r="Z294" s="143">
        <v>3062</v>
      </c>
      <c r="AA294" s="143">
        <v>0</v>
      </c>
      <c r="AD294" s="137">
        <v>0</v>
      </c>
      <c r="AE294" s="137">
        <v>0.3333333</v>
      </c>
      <c r="AG294" s="143" t="s">
        <v>745</v>
      </c>
      <c r="AH294" s="143" t="s">
        <v>730</v>
      </c>
      <c r="AI294" s="143" t="s">
        <v>663</v>
      </c>
      <c r="AJ294" s="143">
        <v>3062</v>
      </c>
      <c r="AK294" s="143">
        <v>2</v>
      </c>
      <c r="AL294" s="156">
        <v>1.5</v>
      </c>
      <c r="AM294" s="156">
        <v>3</v>
      </c>
      <c r="AN294" s="156">
        <v>3</v>
      </c>
      <c r="AO294" s="156">
        <v>2</v>
      </c>
      <c r="AP294" s="156">
        <v>2</v>
      </c>
      <c r="AQ294" s="156">
        <v>4</v>
      </c>
      <c r="AR294" s="156">
        <v>3.5</v>
      </c>
      <c r="AS294" s="169">
        <v>3</v>
      </c>
    </row>
    <row r="295" spans="1:45" x14ac:dyDescent="0.35">
      <c r="A295" s="143" t="s">
        <v>746</v>
      </c>
      <c r="B295" s="143" t="s">
        <v>743</v>
      </c>
      <c r="C295" s="143" t="s">
        <v>2452</v>
      </c>
      <c r="D295" s="143">
        <v>356</v>
      </c>
      <c r="E295" s="143">
        <v>20</v>
      </c>
      <c r="F295" s="137">
        <v>1</v>
      </c>
      <c r="G295" s="137">
        <v>1</v>
      </c>
      <c r="H295" s="137">
        <v>1</v>
      </c>
      <c r="I295" s="137">
        <v>0.05</v>
      </c>
      <c r="K295" s="143" t="s">
        <v>746</v>
      </c>
      <c r="L295" s="143" t="s">
        <v>743</v>
      </c>
      <c r="M295" s="143" t="s">
        <v>2452</v>
      </c>
      <c r="N295" s="143">
        <v>356</v>
      </c>
      <c r="O295" s="137">
        <v>0.38899470000000003</v>
      </c>
      <c r="P295" s="137">
        <v>0.58095240000000004</v>
      </c>
      <c r="Q295" s="137">
        <v>0.96994709999999995</v>
      </c>
      <c r="R295" s="137" t="s">
        <v>2486</v>
      </c>
      <c r="S295" s="137">
        <v>0.41071429999999998</v>
      </c>
      <c r="T295" s="137" t="s">
        <v>2486</v>
      </c>
      <c r="U295" s="137" t="s">
        <v>2838</v>
      </c>
      <c r="W295" s="143" t="s">
        <v>746</v>
      </c>
      <c r="X295" s="143" t="s">
        <v>743</v>
      </c>
      <c r="Y295" s="143" t="s">
        <v>2452</v>
      </c>
      <c r="Z295" s="143">
        <v>356</v>
      </c>
      <c r="AA295" s="143">
        <v>20</v>
      </c>
      <c r="AB295" s="137">
        <v>0.2</v>
      </c>
      <c r="AC295" s="137">
        <v>6.25E-2</v>
      </c>
      <c r="AD295" s="137">
        <v>0</v>
      </c>
      <c r="AG295" s="143" t="s">
        <v>746</v>
      </c>
      <c r="AH295" s="143" t="s">
        <v>743</v>
      </c>
      <c r="AI295" s="143" t="s">
        <v>2452</v>
      </c>
      <c r="AJ295" s="143">
        <v>356</v>
      </c>
      <c r="AK295" s="143">
        <v>20</v>
      </c>
      <c r="AL295" s="156">
        <v>1.8500000238418599</v>
      </c>
      <c r="AM295" s="156">
        <v>3.9000000953674299</v>
      </c>
      <c r="AN295" s="156">
        <v>3.9000000953674299</v>
      </c>
      <c r="AO295" s="156">
        <v>3.4000000953674299</v>
      </c>
      <c r="AP295" s="156">
        <v>2.9000000953674299</v>
      </c>
      <c r="AQ295" s="156">
        <v>3.3499999046325701</v>
      </c>
      <c r="AR295" s="156">
        <v>3.25</v>
      </c>
      <c r="AS295" s="169">
        <v>3.4714290000000001</v>
      </c>
    </row>
    <row r="296" spans="1:45" x14ac:dyDescent="0.35">
      <c r="A296" s="143" t="s">
        <v>746</v>
      </c>
      <c r="B296" s="143" t="s">
        <v>743</v>
      </c>
      <c r="C296" s="143" t="s">
        <v>841</v>
      </c>
      <c r="D296" s="143">
        <v>364</v>
      </c>
      <c r="E296" s="143">
        <v>3</v>
      </c>
      <c r="F296" s="137">
        <v>1</v>
      </c>
      <c r="G296" s="137">
        <v>1</v>
      </c>
      <c r="H296" s="137">
        <v>1</v>
      </c>
      <c r="I296" s="137">
        <v>1</v>
      </c>
      <c r="K296" s="143" t="s">
        <v>746</v>
      </c>
      <c r="L296" s="143" t="s">
        <v>743</v>
      </c>
      <c r="M296" s="143" t="s">
        <v>841</v>
      </c>
      <c r="N296" s="143">
        <v>364</v>
      </c>
      <c r="O296" s="137">
        <v>0.4</v>
      </c>
      <c r="P296" s="137">
        <v>0.6</v>
      </c>
      <c r="Q296" s="137">
        <v>1</v>
      </c>
      <c r="R296" s="137" t="s">
        <v>2486</v>
      </c>
      <c r="S296" s="137">
        <v>0.46153850000000002</v>
      </c>
      <c r="T296" s="137" t="s">
        <v>2486</v>
      </c>
      <c r="U296" s="137" t="s">
        <v>2486</v>
      </c>
      <c r="W296" s="143" t="s">
        <v>746</v>
      </c>
      <c r="X296" s="143" t="s">
        <v>743</v>
      </c>
      <c r="Y296" s="143" t="s">
        <v>841</v>
      </c>
      <c r="Z296" s="143">
        <v>364</v>
      </c>
      <c r="AA296" s="143">
        <v>0</v>
      </c>
      <c r="AD296" s="137">
        <v>0</v>
      </c>
      <c r="AE296" s="137">
        <v>0.53846159999999998</v>
      </c>
      <c r="AG296" s="143" t="s">
        <v>746</v>
      </c>
      <c r="AH296" s="143" t="s">
        <v>743</v>
      </c>
      <c r="AI296" s="143" t="s">
        <v>841</v>
      </c>
      <c r="AJ296" s="143">
        <v>364</v>
      </c>
      <c r="AK296" s="143">
        <v>3</v>
      </c>
      <c r="AL296" s="156">
        <v>1.6666666269302399</v>
      </c>
      <c r="AM296" s="156">
        <v>3.6666667461395299</v>
      </c>
      <c r="AN296" s="156">
        <v>3.6666667461395299</v>
      </c>
      <c r="AO296" s="156">
        <v>3.3333332538604701</v>
      </c>
      <c r="AP296" s="156">
        <v>4</v>
      </c>
      <c r="AQ296" s="156">
        <v>3</v>
      </c>
      <c r="AR296" s="156">
        <v>3.6666667461395299</v>
      </c>
      <c r="AS296" s="169">
        <v>3.523809</v>
      </c>
    </row>
    <row r="297" spans="1:45" x14ac:dyDescent="0.35">
      <c r="A297" s="143" t="s">
        <v>746</v>
      </c>
      <c r="B297" s="143" t="s">
        <v>743</v>
      </c>
      <c r="C297" s="143" t="s">
        <v>841</v>
      </c>
      <c r="D297" s="143">
        <v>367</v>
      </c>
      <c r="E297" s="143">
        <v>3</v>
      </c>
      <c r="F297" s="137">
        <v>1</v>
      </c>
      <c r="G297" s="137">
        <v>1</v>
      </c>
      <c r="H297" s="137">
        <v>1</v>
      </c>
      <c r="I297" s="137">
        <v>0</v>
      </c>
      <c r="K297" s="143" t="s">
        <v>746</v>
      </c>
      <c r="L297" s="143" t="s">
        <v>743</v>
      </c>
      <c r="M297" s="143" t="s">
        <v>841</v>
      </c>
      <c r="N297" s="143">
        <v>367</v>
      </c>
      <c r="O297" s="137">
        <v>0.4</v>
      </c>
      <c r="P297" s="137">
        <v>0.6</v>
      </c>
      <c r="Q297" s="137">
        <v>1</v>
      </c>
      <c r="R297" s="137" t="s">
        <v>2486</v>
      </c>
      <c r="S297" s="137">
        <v>0.3157895</v>
      </c>
      <c r="T297" s="137" t="s">
        <v>2486</v>
      </c>
      <c r="U297" s="137" t="s">
        <v>2486</v>
      </c>
      <c r="W297" s="143" t="s">
        <v>746</v>
      </c>
      <c r="X297" s="143" t="s">
        <v>743</v>
      </c>
      <c r="Y297" s="143" t="s">
        <v>841</v>
      </c>
      <c r="Z297" s="143">
        <v>367</v>
      </c>
      <c r="AA297" s="143">
        <v>0</v>
      </c>
      <c r="AD297" s="137">
        <v>0</v>
      </c>
      <c r="AE297" s="137">
        <v>0.2631579</v>
      </c>
      <c r="AG297" s="143" t="s">
        <v>746</v>
      </c>
      <c r="AH297" s="143" t="s">
        <v>743</v>
      </c>
      <c r="AI297" s="143" t="s">
        <v>841</v>
      </c>
      <c r="AJ297" s="143">
        <v>367</v>
      </c>
      <c r="AK297" s="143">
        <v>3</v>
      </c>
      <c r="AL297" s="156">
        <v>1.3333333730697601</v>
      </c>
      <c r="AM297" s="156">
        <v>4</v>
      </c>
      <c r="AN297" s="156">
        <v>4</v>
      </c>
      <c r="AO297" s="156">
        <v>3.6666667461395299</v>
      </c>
      <c r="AP297" s="156">
        <v>3</v>
      </c>
      <c r="AQ297" s="156">
        <v>3.6666667461395299</v>
      </c>
      <c r="AR297" s="156">
        <v>3.6666667461395299</v>
      </c>
      <c r="AS297" s="169">
        <v>3.6666669999999999</v>
      </c>
    </row>
    <row r="298" spans="1:45" x14ac:dyDescent="0.35">
      <c r="A298" s="143" t="s">
        <v>746</v>
      </c>
      <c r="B298" s="143" t="s">
        <v>743</v>
      </c>
      <c r="C298" s="143" t="s">
        <v>842</v>
      </c>
      <c r="D298" s="143">
        <v>379</v>
      </c>
      <c r="E298" s="143">
        <v>2</v>
      </c>
      <c r="F298" s="137">
        <v>1</v>
      </c>
      <c r="G298" s="137">
        <v>1</v>
      </c>
      <c r="H298" s="137">
        <v>1</v>
      </c>
      <c r="I298" s="137">
        <v>0</v>
      </c>
      <c r="K298" s="143" t="s">
        <v>746</v>
      </c>
      <c r="L298" s="143" t="s">
        <v>743</v>
      </c>
      <c r="M298" s="143" t="s">
        <v>842</v>
      </c>
      <c r="N298" s="143">
        <v>379</v>
      </c>
      <c r="O298" s="137">
        <v>0.4</v>
      </c>
      <c r="P298" s="137">
        <v>0.6</v>
      </c>
      <c r="Q298" s="137">
        <v>1</v>
      </c>
      <c r="R298" s="137" t="s">
        <v>2486</v>
      </c>
      <c r="S298" s="137">
        <v>0.22222220000000001</v>
      </c>
      <c r="T298" s="137" t="s">
        <v>2486</v>
      </c>
      <c r="U298" s="137" t="s">
        <v>2486</v>
      </c>
      <c r="W298" s="143" t="s">
        <v>746</v>
      </c>
      <c r="X298" s="143" t="s">
        <v>743</v>
      </c>
      <c r="Y298" s="143" t="s">
        <v>842</v>
      </c>
      <c r="Z298" s="143">
        <v>379</v>
      </c>
      <c r="AA298" s="143">
        <v>0</v>
      </c>
      <c r="AD298" s="137">
        <v>0</v>
      </c>
      <c r="AE298" s="137">
        <v>0.3333333</v>
      </c>
      <c r="AG298" s="143" t="s">
        <v>746</v>
      </c>
      <c r="AH298" s="143" t="s">
        <v>743</v>
      </c>
      <c r="AI298" s="143" t="s">
        <v>842</v>
      </c>
      <c r="AJ298" s="143">
        <v>379</v>
      </c>
      <c r="AK298" s="143">
        <v>2</v>
      </c>
      <c r="AL298" s="156">
        <v>2.5</v>
      </c>
      <c r="AM298" s="156">
        <v>4</v>
      </c>
      <c r="AN298" s="156">
        <v>4</v>
      </c>
      <c r="AO298" s="156">
        <v>4</v>
      </c>
      <c r="AP298" s="156">
        <v>2.5</v>
      </c>
      <c r="AQ298" s="156">
        <v>4</v>
      </c>
      <c r="AR298" s="156">
        <v>4</v>
      </c>
      <c r="AS298" s="169">
        <v>3.785714</v>
      </c>
    </row>
    <row r="299" spans="1:45" x14ac:dyDescent="0.35">
      <c r="A299" s="143" t="s">
        <v>746</v>
      </c>
      <c r="B299" s="143" t="s">
        <v>743</v>
      </c>
      <c r="C299" s="143" t="s">
        <v>842</v>
      </c>
      <c r="D299" s="143">
        <v>1152</v>
      </c>
      <c r="E299" s="143">
        <v>2</v>
      </c>
      <c r="F299" s="137">
        <v>1</v>
      </c>
      <c r="G299" s="137">
        <v>1</v>
      </c>
      <c r="H299" s="137">
        <v>1</v>
      </c>
      <c r="I299" s="137">
        <v>0</v>
      </c>
      <c r="K299" s="143" t="s">
        <v>746</v>
      </c>
      <c r="L299" s="143" t="s">
        <v>743</v>
      </c>
      <c r="M299" s="143" t="s">
        <v>842</v>
      </c>
      <c r="N299" s="143">
        <v>1152</v>
      </c>
      <c r="O299" s="137">
        <v>0.4</v>
      </c>
      <c r="P299" s="137">
        <v>0.6</v>
      </c>
      <c r="Q299" s="137">
        <v>1</v>
      </c>
      <c r="R299" s="137" t="s">
        <v>2486</v>
      </c>
      <c r="S299" s="137">
        <v>0.3333333</v>
      </c>
      <c r="T299" s="137" t="s">
        <v>2486</v>
      </c>
      <c r="U299" s="137" t="s">
        <v>2486</v>
      </c>
      <c r="W299" s="143" t="s">
        <v>746</v>
      </c>
      <c r="X299" s="143" t="s">
        <v>743</v>
      </c>
      <c r="Y299" s="143" t="s">
        <v>842</v>
      </c>
      <c r="Z299" s="143">
        <v>1152</v>
      </c>
      <c r="AA299" s="143">
        <v>0</v>
      </c>
      <c r="AD299" s="137">
        <v>0</v>
      </c>
      <c r="AE299" s="137">
        <v>0.3333333</v>
      </c>
      <c r="AG299" s="143" t="s">
        <v>746</v>
      </c>
      <c r="AH299" s="143" t="s">
        <v>743</v>
      </c>
      <c r="AI299" s="143" t="s">
        <v>842</v>
      </c>
      <c r="AJ299" s="143">
        <v>1152</v>
      </c>
      <c r="AK299" s="143">
        <v>2</v>
      </c>
      <c r="AL299" s="156">
        <v>1.5</v>
      </c>
      <c r="AM299" s="156">
        <v>4</v>
      </c>
      <c r="AN299" s="156">
        <v>4</v>
      </c>
      <c r="AO299" s="156">
        <v>4</v>
      </c>
      <c r="AP299" s="156">
        <v>3.5</v>
      </c>
      <c r="AQ299" s="156">
        <v>4</v>
      </c>
      <c r="AR299" s="156">
        <v>4</v>
      </c>
      <c r="AS299" s="169">
        <v>3.8571430000000002</v>
      </c>
    </row>
    <row r="300" spans="1:45" x14ac:dyDescent="0.35">
      <c r="A300" s="143" t="s">
        <v>746</v>
      </c>
      <c r="B300" s="143" t="s">
        <v>743</v>
      </c>
      <c r="C300" s="143" t="s">
        <v>842</v>
      </c>
      <c r="D300" s="143">
        <v>2776</v>
      </c>
      <c r="E300" s="143">
        <v>2</v>
      </c>
      <c r="F300" s="137">
        <v>1</v>
      </c>
      <c r="G300" s="137">
        <v>1</v>
      </c>
      <c r="H300" s="137">
        <v>1</v>
      </c>
      <c r="I300" s="137">
        <v>0</v>
      </c>
      <c r="K300" s="143" t="s">
        <v>746</v>
      </c>
      <c r="L300" s="143" t="s">
        <v>743</v>
      </c>
      <c r="M300" s="143" t="s">
        <v>842</v>
      </c>
      <c r="N300" s="143">
        <v>2776</v>
      </c>
      <c r="O300" s="137">
        <v>0.4</v>
      </c>
      <c r="P300" s="137">
        <v>0.6</v>
      </c>
      <c r="Q300" s="137">
        <v>1</v>
      </c>
      <c r="R300" s="137" t="s">
        <v>2486</v>
      </c>
      <c r="S300" s="137">
        <v>0.5</v>
      </c>
      <c r="T300" s="137" t="s">
        <v>2486</v>
      </c>
      <c r="U300" s="137" t="s">
        <v>2486</v>
      </c>
      <c r="W300" s="143" t="s">
        <v>746</v>
      </c>
      <c r="X300" s="143" t="s">
        <v>743</v>
      </c>
      <c r="Y300" s="143" t="s">
        <v>842</v>
      </c>
      <c r="Z300" s="143">
        <v>2776</v>
      </c>
      <c r="AA300" s="143">
        <v>0</v>
      </c>
      <c r="AD300" s="137">
        <v>0</v>
      </c>
      <c r="AE300" s="137">
        <v>0.3333333</v>
      </c>
      <c r="AG300" s="143" t="s">
        <v>746</v>
      </c>
      <c r="AH300" s="143" t="s">
        <v>743</v>
      </c>
      <c r="AI300" s="143" t="s">
        <v>842</v>
      </c>
      <c r="AJ300" s="143">
        <v>2776</v>
      </c>
      <c r="AK300" s="143">
        <v>2</v>
      </c>
      <c r="AL300" s="156">
        <v>2.5</v>
      </c>
      <c r="AM300" s="156">
        <v>4</v>
      </c>
      <c r="AN300" s="156">
        <v>4</v>
      </c>
      <c r="AO300" s="156">
        <v>3.5</v>
      </c>
      <c r="AP300" s="156">
        <v>2.5</v>
      </c>
      <c r="AQ300" s="156">
        <v>4</v>
      </c>
      <c r="AR300" s="156">
        <v>3.5</v>
      </c>
      <c r="AS300" s="169">
        <v>3.6428569999999998</v>
      </c>
    </row>
    <row r="301" spans="1:45" x14ac:dyDescent="0.35">
      <c r="A301" s="143" t="s">
        <v>746</v>
      </c>
      <c r="B301" s="143" t="s">
        <v>743</v>
      </c>
      <c r="C301" s="143" t="s">
        <v>663</v>
      </c>
      <c r="D301" s="143">
        <v>2959</v>
      </c>
      <c r="E301" s="143">
        <v>2</v>
      </c>
      <c r="F301" s="137">
        <v>1</v>
      </c>
      <c r="G301" s="137">
        <v>1</v>
      </c>
      <c r="H301" s="137">
        <v>1</v>
      </c>
      <c r="I301" s="137">
        <v>0</v>
      </c>
      <c r="K301" s="143" t="s">
        <v>746</v>
      </c>
      <c r="L301" s="143" t="s">
        <v>743</v>
      </c>
      <c r="M301" s="143" t="s">
        <v>663</v>
      </c>
      <c r="N301" s="143">
        <v>2959</v>
      </c>
      <c r="O301" s="137">
        <v>0.4</v>
      </c>
      <c r="P301" s="137">
        <v>0.6</v>
      </c>
      <c r="Q301" s="137">
        <v>1</v>
      </c>
      <c r="R301" s="137" t="s">
        <v>2486</v>
      </c>
      <c r="S301" s="137">
        <v>0.5</v>
      </c>
      <c r="T301" s="137" t="s">
        <v>2486</v>
      </c>
      <c r="U301" s="137" t="s">
        <v>2838</v>
      </c>
      <c r="W301" s="143" t="s">
        <v>746</v>
      </c>
      <c r="X301" s="143" t="s">
        <v>743</v>
      </c>
      <c r="Y301" s="143" t="s">
        <v>663</v>
      </c>
      <c r="Z301" s="143">
        <v>2959</v>
      </c>
      <c r="AA301" s="143">
        <v>0</v>
      </c>
      <c r="AD301" s="137">
        <v>0</v>
      </c>
      <c r="AG301" s="143" t="s">
        <v>746</v>
      </c>
      <c r="AH301" s="143" t="s">
        <v>743</v>
      </c>
      <c r="AI301" s="143" t="s">
        <v>663</v>
      </c>
      <c r="AJ301" s="143">
        <v>2959</v>
      </c>
      <c r="AK301" s="143">
        <v>2</v>
      </c>
      <c r="AL301" s="156">
        <v>2</v>
      </c>
      <c r="AM301" s="156">
        <v>3</v>
      </c>
      <c r="AN301" s="156">
        <v>3.5</v>
      </c>
      <c r="AO301" s="156">
        <v>3</v>
      </c>
      <c r="AP301" s="156">
        <v>2</v>
      </c>
      <c r="AQ301" s="156">
        <v>3.5</v>
      </c>
      <c r="AR301" s="156">
        <v>3</v>
      </c>
      <c r="AS301" s="169">
        <v>3</v>
      </c>
    </row>
    <row r="302" spans="1:45" x14ac:dyDescent="0.35">
      <c r="A302" s="143" t="s">
        <v>746</v>
      </c>
      <c r="B302" s="143" t="s">
        <v>743</v>
      </c>
      <c r="C302" s="143" t="s">
        <v>663</v>
      </c>
      <c r="D302" s="143">
        <v>3078</v>
      </c>
      <c r="E302" s="143">
        <v>2</v>
      </c>
      <c r="F302" s="137">
        <v>1</v>
      </c>
      <c r="G302" s="137">
        <v>1</v>
      </c>
      <c r="H302" s="137">
        <v>1</v>
      </c>
      <c r="I302" s="137">
        <v>0</v>
      </c>
      <c r="K302" s="143" t="s">
        <v>746</v>
      </c>
      <c r="L302" s="143" t="s">
        <v>743</v>
      </c>
      <c r="M302" s="143" t="s">
        <v>663</v>
      </c>
      <c r="N302" s="143">
        <v>3078</v>
      </c>
      <c r="O302" s="137">
        <v>0.4</v>
      </c>
      <c r="P302" s="137">
        <v>0.6</v>
      </c>
      <c r="Q302" s="137">
        <v>1</v>
      </c>
      <c r="R302" s="137" t="s">
        <v>2486</v>
      </c>
      <c r="S302" s="137">
        <v>0.5</v>
      </c>
      <c r="T302" s="137" t="s">
        <v>2486</v>
      </c>
      <c r="U302" s="137" t="s">
        <v>2838</v>
      </c>
      <c r="W302" s="143" t="s">
        <v>746</v>
      </c>
      <c r="X302" s="143" t="s">
        <v>743</v>
      </c>
      <c r="Y302" s="143" t="s">
        <v>663</v>
      </c>
      <c r="Z302" s="143">
        <v>3078</v>
      </c>
      <c r="AA302" s="143">
        <v>0</v>
      </c>
      <c r="AD302" s="137">
        <v>0</v>
      </c>
      <c r="AG302" s="143" t="s">
        <v>746</v>
      </c>
      <c r="AH302" s="143" t="s">
        <v>743</v>
      </c>
      <c r="AI302" s="143" t="s">
        <v>663</v>
      </c>
      <c r="AJ302" s="143">
        <v>3078</v>
      </c>
      <c r="AK302" s="143">
        <v>2</v>
      </c>
      <c r="AL302" s="156">
        <v>2.5</v>
      </c>
      <c r="AM302" s="156">
        <v>3</v>
      </c>
      <c r="AN302" s="156">
        <v>3</v>
      </c>
      <c r="AO302" s="156">
        <v>2.5</v>
      </c>
      <c r="AP302" s="156">
        <v>3</v>
      </c>
      <c r="AQ302" s="156">
        <v>3</v>
      </c>
      <c r="AR302" s="156">
        <v>3</v>
      </c>
      <c r="AS302" s="169">
        <v>2.8571430000000002</v>
      </c>
    </row>
    <row r="303" spans="1:45" x14ac:dyDescent="0.35">
      <c r="A303" s="143" t="s">
        <v>746</v>
      </c>
      <c r="B303" s="143" t="s">
        <v>743</v>
      </c>
      <c r="C303" s="143" t="s">
        <v>663</v>
      </c>
      <c r="D303" s="143">
        <v>3817</v>
      </c>
      <c r="E303" s="143">
        <v>2</v>
      </c>
      <c r="F303" s="137">
        <v>1</v>
      </c>
      <c r="G303" s="137">
        <v>1</v>
      </c>
      <c r="H303" s="137">
        <v>1</v>
      </c>
      <c r="I303" s="137">
        <v>0</v>
      </c>
      <c r="K303" s="143" t="s">
        <v>746</v>
      </c>
      <c r="L303" s="143" t="s">
        <v>743</v>
      </c>
      <c r="M303" s="143" t="s">
        <v>663</v>
      </c>
      <c r="N303" s="143">
        <v>3817</v>
      </c>
      <c r="O303" s="137">
        <v>0.4</v>
      </c>
      <c r="P303" s="137">
        <v>0.6</v>
      </c>
      <c r="Q303" s="137">
        <v>1</v>
      </c>
      <c r="R303" s="137" t="s">
        <v>2486</v>
      </c>
      <c r="S303" s="137">
        <v>0.66666669999999995</v>
      </c>
      <c r="T303" s="137" t="s">
        <v>2486</v>
      </c>
      <c r="U303" s="137" t="s">
        <v>2838</v>
      </c>
      <c r="W303" s="143" t="s">
        <v>746</v>
      </c>
      <c r="X303" s="143" t="s">
        <v>743</v>
      </c>
      <c r="Y303" s="143" t="s">
        <v>663</v>
      </c>
      <c r="Z303" s="143">
        <v>3817</v>
      </c>
      <c r="AA303" s="143">
        <v>0</v>
      </c>
      <c r="AD303" s="137">
        <v>0</v>
      </c>
      <c r="AE303" s="137">
        <v>0.3333333</v>
      </c>
      <c r="AG303" s="143" t="s">
        <v>746</v>
      </c>
      <c r="AH303" s="143" t="s">
        <v>743</v>
      </c>
      <c r="AI303" s="143" t="s">
        <v>663</v>
      </c>
      <c r="AJ303" s="143">
        <v>3817</v>
      </c>
      <c r="AK303" s="143">
        <v>2</v>
      </c>
      <c r="AL303" s="156">
        <v>4</v>
      </c>
      <c r="AM303" s="156">
        <v>4</v>
      </c>
      <c r="AN303" s="156">
        <v>4</v>
      </c>
      <c r="AO303" s="156">
        <v>4</v>
      </c>
      <c r="AP303" s="156">
        <v>4</v>
      </c>
      <c r="AQ303" s="156">
        <v>4</v>
      </c>
      <c r="AR303" s="156">
        <v>4</v>
      </c>
      <c r="AS303" s="169">
        <v>4</v>
      </c>
    </row>
    <row r="304" spans="1:45" x14ac:dyDescent="0.35">
      <c r="A304" s="143" t="s">
        <v>746</v>
      </c>
      <c r="B304" s="143" t="s">
        <v>743</v>
      </c>
      <c r="C304" s="143" t="s">
        <v>663</v>
      </c>
      <c r="D304" s="143">
        <v>4002</v>
      </c>
      <c r="E304" s="143">
        <v>2</v>
      </c>
      <c r="F304" s="137">
        <v>1</v>
      </c>
      <c r="G304" s="137">
        <v>1</v>
      </c>
      <c r="H304" s="137">
        <v>1</v>
      </c>
      <c r="I304" s="137">
        <v>0</v>
      </c>
      <c r="K304" s="143" t="s">
        <v>746</v>
      </c>
      <c r="L304" s="143" t="s">
        <v>743</v>
      </c>
      <c r="M304" s="143" t="s">
        <v>663</v>
      </c>
      <c r="N304" s="143">
        <v>4002</v>
      </c>
      <c r="O304" s="137">
        <v>0</v>
      </c>
      <c r="P304" s="137">
        <v>0.6</v>
      </c>
      <c r="Q304" s="137">
        <v>0.6</v>
      </c>
      <c r="R304" s="137" t="s">
        <v>2487</v>
      </c>
      <c r="S304" s="137">
        <v>0.3333333</v>
      </c>
      <c r="T304" s="137" t="s">
        <v>2486</v>
      </c>
      <c r="U304" s="137" t="s">
        <v>2838</v>
      </c>
      <c r="W304" s="143" t="s">
        <v>746</v>
      </c>
      <c r="X304" s="143" t="s">
        <v>743</v>
      </c>
      <c r="Y304" s="143" t="s">
        <v>663</v>
      </c>
      <c r="Z304" s="143">
        <v>4002</v>
      </c>
      <c r="AA304" s="143">
        <v>0</v>
      </c>
      <c r="AD304" s="137">
        <v>0.3333333</v>
      </c>
      <c r="AE304" s="137">
        <v>0</v>
      </c>
      <c r="AG304" s="143" t="s">
        <v>746</v>
      </c>
      <c r="AH304" s="143" t="s">
        <v>743</v>
      </c>
      <c r="AI304" s="143" t="s">
        <v>663</v>
      </c>
      <c r="AJ304" s="143">
        <v>4002</v>
      </c>
      <c r="AK304" s="143">
        <v>2</v>
      </c>
      <c r="AL304" s="156">
        <v>2</v>
      </c>
      <c r="AM304" s="156">
        <v>3</v>
      </c>
      <c r="AN304" s="156">
        <v>3.5</v>
      </c>
      <c r="AO304" s="156">
        <v>3</v>
      </c>
      <c r="AP304" s="156">
        <v>2</v>
      </c>
      <c r="AQ304" s="156">
        <v>3</v>
      </c>
      <c r="AR304" s="156">
        <v>3</v>
      </c>
      <c r="AS304" s="169">
        <v>2.9285709999999998</v>
      </c>
    </row>
    <row r="305" spans="1:45" x14ac:dyDescent="0.35">
      <c r="A305" s="143" t="s">
        <v>746</v>
      </c>
      <c r="B305" s="143" t="s">
        <v>743</v>
      </c>
      <c r="C305" s="143" t="s">
        <v>663</v>
      </c>
      <c r="D305" s="143">
        <v>4012</v>
      </c>
      <c r="E305" s="143">
        <v>2</v>
      </c>
      <c r="F305" s="137">
        <v>1</v>
      </c>
      <c r="G305" s="137">
        <v>1</v>
      </c>
      <c r="H305" s="137">
        <v>1</v>
      </c>
      <c r="I305" s="137">
        <v>0</v>
      </c>
      <c r="K305" s="143" t="s">
        <v>746</v>
      </c>
      <c r="L305" s="143" t="s">
        <v>743</v>
      </c>
      <c r="M305" s="143" t="s">
        <v>663</v>
      </c>
      <c r="N305" s="143">
        <v>4012</v>
      </c>
      <c r="O305" s="137">
        <v>0.4</v>
      </c>
      <c r="P305" s="137">
        <v>0.6</v>
      </c>
      <c r="Q305" s="137">
        <v>1</v>
      </c>
      <c r="R305" s="137" t="s">
        <v>2486</v>
      </c>
      <c r="S305" s="137">
        <v>0.66666669999999995</v>
      </c>
      <c r="T305" s="137" t="s">
        <v>2486</v>
      </c>
      <c r="U305" s="137" t="s">
        <v>2838</v>
      </c>
      <c r="W305" s="143" t="s">
        <v>746</v>
      </c>
      <c r="X305" s="143" t="s">
        <v>743</v>
      </c>
      <c r="Y305" s="143" t="s">
        <v>663</v>
      </c>
      <c r="Z305" s="143">
        <v>4012</v>
      </c>
      <c r="AA305" s="143">
        <v>0</v>
      </c>
      <c r="AD305" s="137">
        <v>0</v>
      </c>
      <c r="AE305" s="137">
        <v>0.3333333</v>
      </c>
      <c r="AG305" s="143" t="s">
        <v>746</v>
      </c>
      <c r="AH305" s="143" t="s">
        <v>743</v>
      </c>
      <c r="AI305" s="143" t="s">
        <v>663</v>
      </c>
      <c r="AJ305" s="143">
        <v>4012</v>
      </c>
      <c r="AK305" s="143">
        <v>2</v>
      </c>
      <c r="AL305" s="156">
        <v>2</v>
      </c>
      <c r="AM305" s="156">
        <v>3</v>
      </c>
      <c r="AN305" s="156">
        <v>3.5</v>
      </c>
      <c r="AO305" s="156">
        <v>3</v>
      </c>
      <c r="AP305" s="156">
        <v>3</v>
      </c>
      <c r="AQ305" s="156">
        <v>3</v>
      </c>
      <c r="AR305" s="156">
        <v>3</v>
      </c>
      <c r="AS305" s="169">
        <v>3.0714290000000002</v>
      </c>
    </row>
    <row r="306" spans="1:45" x14ac:dyDescent="0.35">
      <c r="A306" s="143" t="s">
        <v>747</v>
      </c>
      <c r="B306" s="143" t="s">
        <v>748</v>
      </c>
      <c r="C306" s="143" t="s">
        <v>841</v>
      </c>
      <c r="D306" s="143">
        <v>233</v>
      </c>
      <c r="E306" s="143">
        <v>3</v>
      </c>
      <c r="F306" s="137">
        <v>1</v>
      </c>
      <c r="G306" s="137">
        <v>1</v>
      </c>
      <c r="H306" s="137">
        <v>1</v>
      </c>
      <c r="I306" s="137">
        <v>0</v>
      </c>
      <c r="K306" s="143" t="s">
        <v>747</v>
      </c>
      <c r="L306" s="143" t="s">
        <v>748</v>
      </c>
      <c r="M306" s="143" t="s">
        <v>841</v>
      </c>
      <c r="N306" s="143">
        <v>233</v>
      </c>
      <c r="O306" s="137">
        <v>0.4</v>
      </c>
      <c r="P306" s="137">
        <v>0.6</v>
      </c>
      <c r="Q306" s="137">
        <v>1</v>
      </c>
      <c r="R306" s="137" t="s">
        <v>2486</v>
      </c>
      <c r="S306" s="137">
        <v>0.42857139999999999</v>
      </c>
      <c r="T306" s="137" t="s">
        <v>2486</v>
      </c>
      <c r="U306" s="137" t="s">
        <v>2486</v>
      </c>
      <c r="W306" s="143" t="s">
        <v>747</v>
      </c>
      <c r="X306" s="143" t="s">
        <v>748</v>
      </c>
      <c r="Y306" s="143" t="s">
        <v>841</v>
      </c>
      <c r="Z306" s="143">
        <v>233</v>
      </c>
      <c r="AA306" s="143">
        <v>0</v>
      </c>
      <c r="AD306" s="137">
        <v>0</v>
      </c>
      <c r="AG306" s="143" t="s">
        <v>747</v>
      </c>
      <c r="AH306" s="143" t="s">
        <v>748</v>
      </c>
      <c r="AI306" s="143" t="s">
        <v>841</v>
      </c>
      <c r="AJ306" s="143">
        <v>233</v>
      </c>
      <c r="AK306" s="143">
        <v>3</v>
      </c>
      <c r="AL306" s="156">
        <v>2.3333332538604701</v>
      </c>
      <c r="AM306" s="156">
        <v>3.6666667461395299</v>
      </c>
      <c r="AN306" s="156">
        <v>3.6666667461395299</v>
      </c>
      <c r="AO306" s="156">
        <v>3.3333332538604701</v>
      </c>
      <c r="AP306" s="156">
        <v>3</v>
      </c>
      <c r="AQ306" s="156">
        <v>3</v>
      </c>
      <c r="AR306" s="156">
        <v>3.3333332538604701</v>
      </c>
      <c r="AS306" s="169">
        <v>3.2380949999999999</v>
      </c>
    </row>
    <row r="307" spans="1:45" x14ac:dyDescent="0.35">
      <c r="A307" s="143" t="s">
        <v>747</v>
      </c>
      <c r="B307" s="143" t="s">
        <v>748</v>
      </c>
      <c r="C307" s="143" t="s">
        <v>842</v>
      </c>
      <c r="D307" s="143">
        <v>234</v>
      </c>
      <c r="E307" s="143">
        <v>2</v>
      </c>
      <c r="F307" s="137">
        <v>1</v>
      </c>
      <c r="G307" s="137">
        <v>1</v>
      </c>
      <c r="H307" s="137">
        <v>1</v>
      </c>
      <c r="I307" s="137">
        <v>0</v>
      </c>
      <c r="K307" s="143" t="s">
        <v>747</v>
      </c>
      <c r="L307" s="143" t="s">
        <v>748</v>
      </c>
      <c r="M307" s="143" t="s">
        <v>842</v>
      </c>
      <c r="N307" s="143">
        <v>234</v>
      </c>
      <c r="O307" s="137">
        <v>0.3973333</v>
      </c>
      <c r="P307" s="137">
        <v>0.6</v>
      </c>
      <c r="Q307" s="137">
        <v>0.99733329999999998</v>
      </c>
      <c r="R307" s="137" t="s">
        <v>2487</v>
      </c>
      <c r="S307" s="137">
        <v>0.44444440000000002</v>
      </c>
      <c r="T307" s="137" t="s">
        <v>2486</v>
      </c>
      <c r="U307" s="137" t="s">
        <v>2486</v>
      </c>
      <c r="W307" s="143" t="s">
        <v>747</v>
      </c>
      <c r="X307" s="143" t="s">
        <v>748</v>
      </c>
      <c r="Y307" s="143" t="s">
        <v>842</v>
      </c>
      <c r="Z307" s="143">
        <v>234</v>
      </c>
      <c r="AA307" s="143">
        <v>0</v>
      </c>
      <c r="AD307" s="137">
        <v>0</v>
      </c>
      <c r="AG307" s="143" t="s">
        <v>747</v>
      </c>
      <c r="AH307" s="143" t="s">
        <v>748</v>
      </c>
      <c r="AI307" s="143" t="s">
        <v>842</v>
      </c>
      <c r="AJ307" s="143">
        <v>234</v>
      </c>
      <c r="AK307" s="143">
        <v>2</v>
      </c>
      <c r="AL307" s="156">
        <v>3.5</v>
      </c>
      <c r="AM307" s="156">
        <v>3</v>
      </c>
      <c r="AN307" s="156">
        <v>3.5</v>
      </c>
      <c r="AO307" s="156">
        <v>3.5</v>
      </c>
      <c r="AP307" s="156">
        <v>2.5</v>
      </c>
      <c r="AQ307" s="156">
        <v>4</v>
      </c>
      <c r="AR307" s="156">
        <v>3.5</v>
      </c>
      <c r="AS307" s="169">
        <v>3.285714</v>
      </c>
    </row>
    <row r="308" spans="1:45" x14ac:dyDescent="0.35">
      <c r="A308" s="143" t="s">
        <v>747</v>
      </c>
      <c r="B308" s="143" t="s">
        <v>748</v>
      </c>
      <c r="C308" s="143" t="s">
        <v>841</v>
      </c>
      <c r="D308" s="143">
        <v>236</v>
      </c>
      <c r="E308" s="143">
        <v>3</v>
      </c>
      <c r="F308" s="137">
        <v>1</v>
      </c>
      <c r="G308" s="137">
        <v>1</v>
      </c>
      <c r="H308" s="137">
        <v>1</v>
      </c>
      <c r="I308" s="137">
        <v>0</v>
      </c>
      <c r="K308" s="143" t="s">
        <v>747</v>
      </c>
      <c r="L308" s="143" t="s">
        <v>748</v>
      </c>
      <c r="M308" s="143" t="s">
        <v>841</v>
      </c>
      <c r="N308" s="143">
        <v>236</v>
      </c>
      <c r="O308" s="137">
        <v>0.4</v>
      </c>
      <c r="P308" s="137">
        <v>0.6</v>
      </c>
      <c r="Q308" s="137">
        <v>1</v>
      </c>
      <c r="R308" s="137" t="s">
        <v>2486</v>
      </c>
      <c r="S308" s="137">
        <v>0.42857139999999999</v>
      </c>
      <c r="T308" s="137" t="s">
        <v>2486</v>
      </c>
      <c r="U308" s="137" t="s">
        <v>2486</v>
      </c>
      <c r="W308" s="143" t="s">
        <v>747</v>
      </c>
      <c r="X308" s="143" t="s">
        <v>748</v>
      </c>
      <c r="Y308" s="143" t="s">
        <v>841</v>
      </c>
      <c r="Z308" s="143">
        <v>236</v>
      </c>
      <c r="AA308" s="143">
        <v>0</v>
      </c>
      <c r="AD308" s="137">
        <v>7.1428599999999995E-2</v>
      </c>
      <c r="AE308" s="137">
        <v>0</v>
      </c>
      <c r="AG308" s="143" t="s">
        <v>747</v>
      </c>
      <c r="AH308" s="143" t="s">
        <v>748</v>
      </c>
      <c r="AI308" s="143" t="s">
        <v>841</v>
      </c>
      <c r="AJ308" s="143">
        <v>236</v>
      </c>
      <c r="AK308" s="143">
        <v>3</v>
      </c>
      <c r="AL308" s="156">
        <v>3.6666667461395299</v>
      </c>
      <c r="AM308" s="156">
        <v>3.3333332538604701</v>
      </c>
      <c r="AN308" s="156">
        <v>4</v>
      </c>
      <c r="AO308" s="156">
        <v>3.3333332538604701</v>
      </c>
      <c r="AP308" s="156">
        <v>4</v>
      </c>
      <c r="AQ308" s="156">
        <v>3.3333332538604701</v>
      </c>
      <c r="AR308" s="156">
        <v>4</v>
      </c>
      <c r="AS308" s="169">
        <v>3.6190479999999998</v>
      </c>
    </row>
    <row r="309" spans="1:45" x14ac:dyDescent="0.35">
      <c r="A309" s="143" t="s">
        <v>747</v>
      </c>
      <c r="B309" s="143" t="s">
        <v>748</v>
      </c>
      <c r="C309" s="143" t="s">
        <v>843</v>
      </c>
      <c r="D309" s="143">
        <v>238</v>
      </c>
      <c r="E309" s="143">
        <v>8</v>
      </c>
      <c r="F309" s="137">
        <v>1</v>
      </c>
      <c r="G309" s="137">
        <v>1</v>
      </c>
      <c r="H309" s="137">
        <v>1</v>
      </c>
      <c r="I309" s="137">
        <v>0</v>
      </c>
      <c r="K309" s="143" t="s">
        <v>747</v>
      </c>
      <c r="L309" s="143" t="s">
        <v>748</v>
      </c>
      <c r="M309" s="143" t="s">
        <v>843</v>
      </c>
      <c r="N309" s="143">
        <v>238</v>
      </c>
      <c r="O309" s="137">
        <v>0.4</v>
      </c>
      <c r="P309" s="137">
        <v>0.6</v>
      </c>
      <c r="Q309" s="137">
        <v>1</v>
      </c>
      <c r="R309" s="137" t="s">
        <v>2486</v>
      </c>
      <c r="S309" s="137">
        <v>0.368421</v>
      </c>
      <c r="T309" s="137" t="s">
        <v>2486</v>
      </c>
      <c r="U309" s="137" t="s">
        <v>2487</v>
      </c>
      <c r="W309" s="143" t="s">
        <v>747</v>
      </c>
      <c r="X309" s="143" t="s">
        <v>748</v>
      </c>
      <c r="Y309" s="143" t="s">
        <v>843</v>
      </c>
      <c r="Z309" s="143">
        <v>238</v>
      </c>
      <c r="AA309" s="143">
        <v>8</v>
      </c>
      <c r="AB309" s="137">
        <v>0.25</v>
      </c>
      <c r="AC309" s="137">
        <v>0</v>
      </c>
      <c r="AD309" s="137">
        <v>0</v>
      </c>
      <c r="AE309" s="137">
        <v>5.2631600000000001E-2</v>
      </c>
      <c r="AG309" s="143" t="s">
        <v>747</v>
      </c>
      <c r="AH309" s="143" t="s">
        <v>748</v>
      </c>
      <c r="AI309" s="143" t="s">
        <v>843</v>
      </c>
      <c r="AJ309" s="143">
        <v>238</v>
      </c>
      <c r="AK309" s="143">
        <v>8</v>
      </c>
      <c r="AL309" s="156">
        <v>2.875</v>
      </c>
      <c r="AM309" s="156">
        <v>3.375</v>
      </c>
      <c r="AN309" s="156">
        <v>3.5</v>
      </c>
      <c r="AO309" s="156">
        <v>3.375</v>
      </c>
      <c r="AP309" s="156">
        <v>3.375</v>
      </c>
      <c r="AQ309" s="156">
        <v>3.375</v>
      </c>
      <c r="AR309" s="156">
        <v>3.625</v>
      </c>
      <c r="AS309" s="169">
        <v>3.410714</v>
      </c>
    </row>
    <row r="310" spans="1:45" x14ac:dyDescent="0.35">
      <c r="A310" s="143" t="s">
        <v>747</v>
      </c>
      <c r="B310" s="143" t="s">
        <v>748</v>
      </c>
      <c r="C310" s="143" t="s">
        <v>842</v>
      </c>
      <c r="D310" s="143">
        <v>240</v>
      </c>
      <c r="E310" s="143">
        <v>2</v>
      </c>
      <c r="F310" s="137">
        <v>1</v>
      </c>
      <c r="G310" s="137">
        <v>1</v>
      </c>
      <c r="H310" s="137">
        <v>1</v>
      </c>
      <c r="I310" s="137">
        <v>0</v>
      </c>
      <c r="K310" s="143" t="s">
        <v>747</v>
      </c>
      <c r="L310" s="143" t="s">
        <v>748</v>
      </c>
      <c r="M310" s="143" t="s">
        <v>842</v>
      </c>
      <c r="N310" s="143">
        <v>240</v>
      </c>
      <c r="O310" s="137">
        <v>0.4</v>
      </c>
      <c r="P310" s="137">
        <v>0.6</v>
      </c>
      <c r="Q310" s="137">
        <v>1</v>
      </c>
      <c r="R310" s="137" t="s">
        <v>2486</v>
      </c>
      <c r="S310" s="137">
        <v>0.42857139999999999</v>
      </c>
      <c r="T310" s="137" t="s">
        <v>2486</v>
      </c>
      <c r="U310" s="137" t="s">
        <v>2486</v>
      </c>
      <c r="W310" s="143" t="s">
        <v>747</v>
      </c>
      <c r="X310" s="143" t="s">
        <v>748</v>
      </c>
      <c r="Y310" s="143" t="s">
        <v>842</v>
      </c>
      <c r="Z310" s="143">
        <v>240</v>
      </c>
      <c r="AA310" s="143">
        <v>0</v>
      </c>
      <c r="AD310" s="137">
        <v>0</v>
      </c>
      <c r="AG310" s="143" t="s">
        <v>747</v>
      </c>
      <c r="AH310" s="143" t="s">
        <v>748</v>
      </c>
      <c r="AI310" s="143" t="s">
        <v>842</v>
      </c>
      <c r="AJ310" s="143">
        <v>240</v>
      </c>
      <c r="AK310" s="143">
        <v>2</v>
      </c>
      <c r="AL310" s="156">
        <v>3.5</v>
      </c>
      <c r="AM310" s="156">
        <v>3.5</v>
      </c>
      <c r="AN310" s="156">
        <v>4</v>
      </c>
      <c r="AO310" s="156">
        <v>4</v>
      </c>
      <c r="AP310" s="156">
        <v>3.5</v>
      </c>
      <c r="AQ310" s="156">
        <v>2.5</v>
      </c>
      <c r="AR310" s="156">
        <v>3.5</v>
      </c>
      <c r="AS310" s="169">
        <v>3.4285709999999998</v>
      </c>
    </row>
    <row r="311" spans="1:45" x14ac:dyDescent="0.35">
      <c r="A311" s="143" t="s">
        <v>747</v>
      </c>
      <c r="B311" s="143" t="s">
        <v>748</v>
      </c>
      <c r="C311" s="143" t="s">
        <v>842</v>
      </c>
      <c r="D311" s="143">
        <v>2071</v>
      </c>
      <c r="E311" s="143">
        <v>2</v>
      </c>
      <c r="F311" s="137">
        <v>1</v>
      </c>
      <c r="G311" s="137">
        <v>1</v>
      </c>
      <c r="H311" s="137">
        <v>1</v>
      </c>
      <c r="I311" s="137">
        <v>0</v>
      </c>
      <c r="K311" s="143" t="s">
        <v>747</v>
      </c>
      <c r="L311" s="143" t="s">
        <v>748</v>
      </c>
      <c r="M311" s="143" t="s">
        <v>842</v>
      </c>
      <c r="N311" s="143">
        <v>2071</v>
      </c>
      <c r="O311" s="137">
        <v>0.4</v>
      </c>
      <c r="P311" s="137">
        <v>0.6</v>
      </c>
      <c r="Q311" s="137">
        <v>1</v>
      </c>
      <c r="R311" s="137" t="s">
        <v>2486</v>
      </c>
      <c r="S311" s="137">
        <v>0.28571429999999998</v>
      </c>
      <c r="T311" s="137" t="s">
        <v>2486</v>
      </c>
      <c r="U311" s="137" t="s">
        <v>2487</v>
      </c>
      <c r="W311" s="143" t="s">
        <v>747</v>
      </c>
      <c r="X311" s="143" t="s">
        <v>748</v>
      </c>
      <c r="Y311" s="143" t="s">
        <v>842</v>
      </c>
      <c r="Z311" s="143">
        <v>2071</v>
      </c>
      <c r="AA311" s="143">
        <v>0</v>
      </c>
      <c r="AD311" s="137">
        <v>0</v>
      </c>
      <c r="AG311" s="143" t="s">
        <v>747</v>
      </c>
      <c r="AH311" s="143" t="s">
        <v>748</v>
      </c>
      <c r="AI311" s="143" t="s">
        <v>842</v>
      </c>
      <c r="AJ311" s="143">
        <v>2071</v>
      </c>
      <c r="AK311" s="143">
        <v>2</v>
      </c>
      <c r="AL311" s="156">
        <v>3.5</v>
      </c>
      <c r="AM311" s="156">
        <v>3.5</v>
      </c>
      <c r="AN311" s="156">
        <v>4</v>
      </c>
      <c r="AO311" s="156">
        <v>3.5</v>
      </c>
      <c r="AP311" s="156">
        <v>4</v>
      </c>
      <c r="AQ311" s="156">
        <v>3.5</v>
      </c>
      <c r="AR311" s="156">
        <v>4</v>
      </c>
      <c r="AS311" s="169">
        <v>3.6428569999999998</v>
      </c>
    </row>
    <row r="312" spans="1:45" x14ac:dyDescent="0.35">
      <c r="A312" s="143" t="s">
        <v>747</v>
      </c>
      <c r="B312" s="143" t="s">
        <v>748</v>
      </c>
      <c r="C312" s="143" t="s">
        <v>842</v>
      </c>
      <c r="D312" s="143">
        <v>2111</v>
      </c>
      <c r="E312" s="143">
        <v>2</v>
      </c>
      <c r="F312" s="137">
        <v>1</v>
      </c>
      <c r="G312" s="137">
        <v>1</v>
      </c>
      <c r="H312" s="137">
        <v>1</v>
      </c>
      <c r="I312" s="137">
        <v>0</v>
      </c>
      <c r="K312" s="143" t="s">
        <v>747</v>
      </c>
      <c r="L312" s="143" t="s">
        <v>748</v>
      </c>
      <c r="M312" s="143" t="s">
        <v>842</v>
      </c>
      <c r="N312" s="143">
        <v>2111</v>
      </c>
      <c r="O312" s="137">
        <v>0.4</v>
      </c>
      <c r="P312" s="137">
        <v>0.6</v>
      </c>
      <c r="Q312" s="137">
        <v>1</v>
      </c>
      <c r="R312" s="137" t="s">
        <v>2486</v>
      </c>
      <c r="S312" s="137">
        <v>0.3333333</v>
      </c>
      <c r="T312" s="137" t="s">
        <v>2486</v>
      </c>
      <c r="U312" s="137" t="s">
        <v>2486</v>
      </c>
      <c r="W312" s="143" t="s">
        <v>747</v>
      </c>
      <c r="X312" s="143" t="s">
        <v>748</v>
      </c>
      <c r="Y312" s="143" t="s">
        <v>842</v>
      </c>
      <c r="Z312" s="143">
        <v>2111</v>
      </c>
      <c r="AA312" s="143">
        <v>0</v>
      </c>
      <c r="AD312" s="137">
        <v>0</v>
      </c>
      <c r="AE312" s="137">
        <v>0.1666667</v>
      </c>
      <c r="AG312" s="143" t="s">
        <v>747</v>
      </c>
      <c r="AH312" s="143" t="s">
        <v>748</v>
      </c>
      <c r="AI312" s="143" t="s">
        <v>842</v>
      </c>
      <c r="AJ312" s="143">
        <v>2111</v>
      </c>
      <c r="AK312" s="143">
        <v>2</v>
      </c>
      <c r="AL312" s="156">
        <v>4</v>
      </c>
      <c r="AM312" s="156">
        <v>4</v>
      </c>
      <c r="AN312" s="156">
        <v>4</v>
      </c>
      <c r="AO312" s="156">
        <v>3.5</v>
      </c>
      <c r="AP312" s="156">
        <v>3</v>
      </c>
      <c r="AQ312" s="156">
        <v>4</v>
      </c>
      <c r="AR312" s="156">
        <v>4</v>
      </c>
      <c r="AS312" s="169">
        <v>3.785714</v>
      </c>
    </row>
    <row r="313" spans="1:45" x14ac:dyDescent="0.35">
      <c r="A313" s="143" t="s">
        <v>747</v>
      </c>
      <c r="B313" s="143" t="s">
        <v>748</v>
      </c>
      <c r="C313" s="143" t="s">
        <v>663</v>
      </c>
      <c r="D313" s="143">
        <v>2576</v>
      </c>
      <c r="E313" s="143">
        <v>2</v>
      </c>
      <c r="F313" s="137">
        <v>1</v>
      </c>
      <c r="G313" s="137">
        <v>1</v>
      </c>
      <c r="H313" s="137">
        <v>1</v>
      </c>
      <c r="I313" s="137">
        <v>0</v>
      </c>
      <c r="K313" s="143" t="s">
        <v>747</v>
      </c>
      <c r="L313" s="143" t="s">
        <v>748</v>
      </c>
      <c r="M313" s="143" t="s">
        <v>663</v>
      </c>
      <c r="N313" s="143">
        <v>2576</v>
      </c>
      <c r="O313" s="137">
        <v>0.4</v>
      </c>
      <c r="P313" s="137">
        <v>0.6</v>
      </c>
      <c r="Q313" s="137">
        <v>1</v>
      </c>
      <c r="R313" s="137" t="s">
        <v>2486</v>
      </c>
      <c r="S313" s="137">
        <v>0.5</v>
      </c>
      <c r="T313" s="137" t="s">
        <v>2486</v>
      </c>
      <c r="U313" s="137" t="s">
        <v>2838</v>
      </c>
      <c r="W313" s="143" t="s">
        <v>747</v>
      </c>
      <c r="X313" s="143" t="s">
        <v>748</v>
      </c>
      <c r="Y313" s="143" t="s">
        <v>663</v>
      </c>
      <c r="Z313" s="143">
        <v>2576</v>
      </c>
      <c r="AA313" s="143">
        <v>0</v>
      </c>
      <c r="AD313" s="137">
        <v>0</v>
      </c>
      <c r="AE313" s="137">
        <v>0.5</v>
      </c>
      <c r="AG313" s="143" t="s">
        <v>747</v>
      </c>
      <c r="AH313" s="143" t="s">
        <v>748</v>
      </c>
      <c r="AI313" s="143" t="s">
        <v>663</v>
      </c>
      <c r="AJ313" s="143">
        <v>2576</v>
      </c>
      <c r="AK313" s="143">
        <v>2</v>
      </c>
      <c r="AL313" s="156">
        <v>3</v>
      </c>
      <c r="AM313" s="156">
        <v>3</v>
      </c>
      <c r="AN313" s="156">
        <v>3.5</v>
      </c>
      <c r="AO313" s="156">
        <v>3.5</v>
      </c>
      <c r="AP313" s="156">
        <v>2.5</v>
      </c>
      <c r="AQ313" s="156">
        <v>3</v>
      </c>
      <c r="AR313" s="156">
        <v>3.5</v>
      </c>
      <c r="AS313" s="169">
        <v>3</v>
      </c>
    </row>
    <row r="314" spans="1:45" x14ac:dyDescent="0.35">
      <c r="A314" s="143" t="s">
        <v>747</v>
      </c>
      <c r="B314" s="143" t="s">
        <v>748</v>
      </c>
      <c r="C314" s="143" t="s">
        <v>663</v>
      </c>
      <c r="D314" s="143">
        <v>2802</v>
      </c>
      <c r="E314" s="143">
        <v>2</v>
      </c>
      <c r="F314" s="137">
        <v>1</v>
      </c>
      <c r="G314" s="137">
        <v>1</v>
      </c>
      <c r="H314" s="137">
        <v>1</v>
      </c>
      <c r="I314" s="137">
        <v>0</v>
      </c>
      <c r="K314" s="143" t="s">
        <v>747</v>
      </c>
      <c r="L314" s="143" t="s">
        <v>748</v>
      </c>
      <c r="M314" s="143" t="s">
        <v>663</v>
      </c>
      <c r="N314" s="143">
        <v>2802</v>
      </c>
      <c r="O314" s="137">
        <v>0.4</v>
      </c>
      <c r="P314" s="137">
        <v>0.6</v>
      </c>
      <c r="Q314" s="137">
        <v>1</v>
      </c>
      <c r="R314" s="137" t="s">
        <v>2486</v>
      </c>
      <c r="S314" s="137">
        <v>0.5</v>
      </c>
      <c r="T314" s="137" t="s">
        <v>2486</v>
      </c>
      <c r="U314" s="137" t="s">
        <v>2838</v>
      </c>
      <c r="W314" s="143" t="s">
        <v>747</v>
      </c>
      <c r="X314" s="143" t="s">
        <v>748</v>
      </c>
      <c r="Y314" s="143" t="s">
        <v>663</v>
      </c>
      <c r="Z314" s="143">
        <v>2802</v>
      </c>
      <c r="AA314" s="143">
        <v>0</v>
      </c>
      <c r="AD314" s="137">
        <v>0</v>
      </c>
      <c r="AG314" s="143" t="s">
        <v>747</v>
      </c>
      <c r="AH314" s="143" t="s">
        <v>748</v>
      </c>
      <c r="AI314" s="143" t="s">
        <v>663</v>
      </c>
      <c r="AJ314" s="143">
        <v>2802</v>
      </c>
      <c r="AK314" s="143">
        <v>2</v>
      </c>
      <c r="AL314" s="156">
        <v>3</v>
      </c>
      <c r="AM314" s="156">
        <v>3</v>
      </c>
      <c r="AN314" s="156">
        <v>3</v>
      </c>
      <c r="AO314" s="156">
        <v>3.5</v>
      </c>
      <c r="AP314" s="156">
        <v>2</v>
      </c>
      <c r="AQ314" s="156">
        <v>3.5</v>
      </c>
      <c r="AR314" s="156">
        <v>2.5</v>
      </c>
      <c r="AS314" s="169">
        <v>2.785714</v>
      </c>
    </row>
    <row r="315" spans="1:45" x14ac:dyDescent="0.35">
      <c r="A315" s="143" t="s">
        <v>747</v>
      </c>
      <c r="B315" s="143" t="s">
        <v>748</v>
      </c>
      <c r="C315" s="143" t="s">
        <v>842</v>
      </c>
      <c r="D315" s="143">
        <v>3807</v>
      </c>
      <c r="E315" s="143">
        <v>2</v>
      </c>
      <c r="F315" s="137">
        <v>1</v>
      </c>
      <c r="G315" s="137">
        <v>1</v>
      </c>
      <c r="H315" s="137">
        <v>1</v>
      </c>
      <c r="I315" s="137">
        <v>0</v>
      </c>
      <c r="K315" s="143" t="s">
        <v>747</v>
      </c>
      <c r="L315" s="143" t="s">
        <v>748</v>
      </c>
      <c r="M315" s="143" t="s">
        <v>842</v>
      </c>
      <c r="N315" s="143">
        <v>3807</v>
      </c>
      <c r="O315" s="137">
        <v>0.4</v>
      </c>
      <c r="P315" s="137">
        <v>0.6</v>
      </c>
      <c r="Q315" s="137">
        <v>1</v>
      </c>
      <c r="R315" s="137" t="s">
        <v>2486</v>
      </c>
      <c r="S315" s="137">
        <v>0.5</v>
      </c>
      <c r="T315" s="137" t="s">
        <v>2486</v>
      </c>
      <c r="U315" s="137" t="s">
        <v>2486</v>
      </c>
      <c r="W315" s="143" t="s">
        <v>747</v>
      </c>
      <c r="X315" s="143" t="s">
        <v>748</v>
      </c>
      <c r="Y315" s="143" t="s">
        <v>842</v>
      </c>
      <c r="Z315" s="143">
        <v>3807</v>
      </c>
      <c r="AA315" s="143">
        <v>0</v>
      </c>
      <c r="AD315" s="137">
        <v>0</v>
      </c>
      <c r="AG315" s="143" t="s">
        <v>747</v>
      </c>
      <c r="AH315" s="143" t="s">
        <v>748</v>
      </c>
      <c r="AI315" s="143" t="s">
        <v>842</v>
      </c>
      <c r="AJ315" s="143">
        <v>3807</v>
      </c>
      <c r="AK315" s="143">
        <v>2</v>
      </c>
      <c r="AL315" s="156">
        <v>3.5</v>
      </c>
      <c r="AM315" s="156">
        <v>3</v>
      </c>
      <c r="AN315" s="156">
        <v>2.5</v>
      </c>
      <c r="AO315" s="156">
        <v>2.5</v>
      </c>
      <c r="AP315" s="156">
        <v>3.5</v>
      </c>
      <c r="AQ315" s="156">
        <v>3</v>
      </c>
      <c r="AR315" s="156">
        <v>3.5</v>
      </c>
      <c r="AS315" s="169">
        <v>3</v>
      </c>
    </row>
    <row r="316" spans="1:45" x14ac:dyDescent="0.35">
      <c r="A316" s="143" t="s">
        <v>747</v>
      </c>
      <c r="B316" s="143" t="s">
        <v>748</v>
      </c>
      <c r="C316" s="143" t="s">
        <v>663</v>
      </c>
      <c r="D316" s="143">
        <v>3810</v>
      </c>
      <c r="E316" s="143">
        <v>2</v>
      </c>
      <c r="F316" s="137">
        <v>1</v>
      </c>
      <c r="G316" s="137">
        <v>1</v>
      </c>
      <c r="H316" s="137">
        <v>1</v>
      </c>
      <c r="I316" s="137">
        <v>0</v>
      </c>
      <c r="K316" s="143" t="s">
        <v>747</v>
      </c>
      <c r="L316" s="143" t="s">
        <v>748</v>
      </c>
      <c r="M316" s="143" t="s">
        <v>663</v>
      </c>
      <c r="N316" s="143">
        <v>3810</v>
      </c>
      <c r="O316" s="137">
        <v>0.4</v>
      </c>
      <c r="P316" s="137">
        <v>0.6</v>
      </c>
      <c r="Q316" s="137">
        <v>1</v>
      </c>
      <c r="R316" s="137" t="s">
        <v>2486</v>
      </c>
      <c r="S316" s="137">
        <v>0.5</v>
      </c>
      <c r="T316" s="137" t="s">
        <v>2486</v>
      </c>
      <c r="U316" s="137" t="s">
        <v>2838</v>
      </c>
      <c r="W316" s="143" t="s">
        <v>747</v>
      </c>
      <c r="X316" s="143" t="s">
        <v>748</v>
      </c>
      <c r="Y316" s="143" t="s">
        <v>663</v>
      </c>
      <c r="Z316" s="143">
        <v>3810</v>
      </c>
      <c r="AA316" s="143">
        <v>0</v>
      </c>
      <c r="AD316" s="137">
        <v>0</v>
      </c>
      <c r="AG316" s="143" t="s">
        <v>747</v>
      </c>
      <c r="AH316" s="143" t="s">
        <v>748</v>
      </c>
      <c r="AI316" s="143" t="s">
        <v>663</v>
      </c>
      <c r="AJ316" s="143">
        <v>3810</v>
      </c>
      <c r="AK316" s="143">
        <v>2</v>
      </c>
      <c r="AL316" s="156">
        <v>2.5</v>
      </c>
      <c r="AM316" s="156">
        <v>3</v>
      </c>
      <c r="AN316" s="156">
        <v>3.5</v>
      </c>
      <c r="AO316" s="156">
        <v>3</v>
      </c>
      <c r="AP316" s="156">
        <v>4</v>
      </c>
      <c r="AQ316" s="156">
        <v>3</v>
      </c>
      <c r="AR316" s="156">
        <v>3</v>
      </c>
      <c r="AS316" s="169">
        <v>3.1428569999999998</v>
      </c>
    </row>
    <row r="317" spans="1:45" x14ac:dyDescent="0.35">
      <c r="A317" s="143" t="s">
        <v>749</v>
      </c>
      <c r="B317" s="143" t="s">
        <v>730</v>
      </c>
      <c r="C317" s="143" t="s">
        <v>842</v>
      </c>
      <c r="D317" s="143">
        <v>313</v>
      </c>
      <c r="E317" s="143">
        <v>2</v>
      </c>
      <c r="F317" s="137">
        <v>1</v>
      </c>
      <c r="G317" s="137">
        <v>1</v>
      </c>
      <c r="H317" s="137">
        <v>1</v>
      </c>
      <c r="I317" s="137">
        <v>0</v>
      </c>
      <c r="K317" s="143" t="s">
        <v>749</v>
      </c>
      <c r="L317" s="143" t="s">
        <v>730</v>
      </c>
      <c r="M317" s="143" t="s">
        <v>842</v>
      </c>
      <c r="N317" s="143">
        <v>313</v>
      </c>
      <c r="O317" s="137">
        <v>0.4</v>
      </c>
      <c r="P317" s="137">
        <v>0.6</v>
      </c>
      <c r="Q317" s="137">
        <v>1</v>
      </c>
      <c r="R317" s="137" t="s">
        <v>2486</v>
      </c>
      <c r="S317" s="137">
        <v>0.375</v>
      </c>
      <c r="T317" s="137" t="s">
        <v>2486</v>
      </c>
      <c r="U317" s="137" t="s">
        <v>2486</v>
      </c>
      <c r="W317" s="143" t="s">
        <v>749</v>
      </c>
      <c r="X317" s="143" t="s">
        <v>730</v>
      </c>
      <c r="Y317" s="143" t="s">
        <v>842</v>
      </c>
      <c r="Z317" s="143">
        <v>313</v>
      </c>
      <c r="AA317" s="143">
        <v>0</v>
      </c>
      <c r="AD317" s="137">
        <v>0</v>
      </c>
      <c r="AG317" s="143" t="s">
        <v>749</v>
      </c>
      <c r="AH317" s="143" t="s">
        <v>730</v>
      </c>
      <c r="AI317" s="143" t="s">
        <v>842</v>
      </c>
      <c r="AJ317" s="143">
        <v>313</v>
      </c>
      <c r="AK317" s="143">
        <v>2</v>
      </c>
      <c r="AL317" s="156">
        <v>2.5</v>
      </c>
      <c r="AM317" s="156">
        <v>3.5</v>
      </c>
      <c r="AN317" s="156">
        <v>3</v>
      </c>
      <c r="AO317" s="156">
        <v>3</v>
      </c>
      <c r="AP317" s="156">
        <v>3</v>
      </c>
      <c r="AQ317" s="156">
        <v>3</v>
      </c>
      <c r="AR317" s="156">
        <v>3</v>
      </c>
      <c r="AS317" s="169">
        <v>3</v>
      </c>
    </row>
    <row r="318" spans="1:45" x14ac:dyDescent="0.35">
      <c r="A318" s="143" t="s">
        <v>749</v>
      </c>
      <c r="B318" s="143" t="s">
        <v>730</v>
      </c>
      <c r="C318" s="143" t="s">
        <v>842</v>
      </c>
      <c r="D318" s="143">
        <v>326</v>
      </c>
      <c r="E318" s="143">
        <v>2</v>
      </c>
      <c r="F318" s="137">
        <v>1</v>
      </c>
      <c r="G318" s="137">
        <v>1</v>
      </c>
      <c r="H318" s="137">
        <v>1</v>
      </c>
      <c r="I318" s="137">
        <v>0</v>
      </c>
      <c r="K318" s="143" t="s">
        <v>749</v>
      </c>
      <c r="L318" s="143" t="s">
        <v>730</v>
      </c>
      <c r="M318" s="143" t="s">
        <v>842</v>
      </c>
      <c r="N318" s="143">
        <v>326</v>
      </c>
      <c r="O318" s="137">
        <v>0.4</v>
      </c>
      <c r="P318" s="137">
        <v>0.6</v>
      </c>
      <c r="Q318" s="137">
        <v>1</v>
      </c>
      <c r="R318" s="137" t="s">
        <v>2486</v>
      </c>
      <c r="S318" s="137">
        <v>0.42857139999999999</v>
      </c>
      <c r="T318" s="137" t="s">
        <v>2486</v>
      </c>
      <c r="U318" s="137" t="s">
        <v>2486</v>
      </c>
      <c r="W318" s="143" t="s">
        <v>749</v>
      </c>
      <c r="X318" s="143" t="s">
        <v>730</v>
      </c>
      <c r="Y318" s="143" t="s">
        <v>842</v>
      </c>
      <c r="Z318" s="143">
        <v>326</v>
      </c>
      <c r="AA318" s="143">
        <v>0</v>
      </c>
      <c r="AD318" s="137">
        <v>0</v>
      </c>
      <c r="AG318" s="143" t="s">
        <v>749</v>
      </c>
      <c r="AH318" s="143" t="s">
        <v>730</v>
      </c>
      <c r="AI318" s="143" t="s">
        <v>842</v>
      </c>
      <c r="AJ318" s="143">
        <v>326</v>
      </c>
      <c r="AK318" s="143">
        <v>2</v>
      </c>
      <c r="AL318" s="156">
        <v>2</v>
      </c>
      <c r="AM318" s="156">
        <v>3.5</v>
      </c>
      <c r="AN318" s="156">
        <v>3.5</v>
      </c>
      <c r="AO318" s="156">
        <v>3</v>
      </c>
      <c r="AP318" s="156">
        <v>4</v>
      </c>
      <c r="AQ318" s="156">
        <v>3</v>
      </c>
      <c r="AR318" s="156">
        <v>3.5</v>
      </c>
      <c r="AS318" s="169">
        <v>3.3571430000000002</v>
      </c>
    </row>
    <row r="319" spans="1:45" x14ac:dyDescent="0.35">
      <c r="A319" s="143" t="s">
        <v>749</v>
      </c>
      <c r="B319" s="143" t="s">
        <v>730</v>
      </c>
      <c r="C319" s="143" t="s">
        <v>841</v>
      </c>
      <c r="D319" s="143">
        <v>350</v>
      </c>
      <c r="E319" s="143">
        <v>3</v>
      </c>
      <c r="F319" s="137">
        <v>1</v>
      </c>
      <c r="G319" s="137">
        <v>1</v>
      </c>
      <c r="H319" s="137">
        <v>1</v>
      </c>
      <c r="I319" s="137">
        <v>0</v>
      </c>
      <c r="K319" s="143" t="s">
        <v>749</v>
      </c>
      <c r="L319" s="143" t="s">
        <v>730</v>
      </c>
      <c r="M319" s="143" t="s">
        <v>841</v>
      </c>
      <c r="N319" s="143">
        <v>350</v>
      </c>
      <c r="O319" s="137">
        <v>0.4</v>
      </c>
      <c r="P319" s="137">
        <v>0.6</v>
      </c>
      <c r="Q319" s="137">
        <v>1</v>
      </c>
      <c r="R319" s="137" t="s">
        <v>2486</v>
      </c>
      <c r="S319" s="137">
        <v>0.53333339999999996</v>
      </c>
      <c r="T319" s="137" t="s">
        <v>2486</v>
      </c>
      <c r="U319" s="137" t="s">
        <v>2486</v>
      </c>
      <c r="W319" s="143" t="s">
        <v>749</v>
      </c>
      <c r="X319" s="143" t="s">
        <v>730</v>
      </c>
      <c r="Y319" s="143" t="s">
        <v>841</v>
      </c>
      <c r="Z319" s="143">
        <v>350</v>
      </c>
      <c r="AA319" s="143">
        <v>0</v>
      </c>
      <c r="AD319" s="137">
        <v>0</v>
      </c>
      <c r="AG319" s="143" t="s">
        <v>749</v>
      </c>
      <c r="AH319" s="143" t="s">
        <v>730</v>
      </c>
      <c r="AI319" s="143" t="s">
        <v>841</v>
      </c>
      <c r="AJ319" s="143">
        <v>350</v>
      </c>
      <c r="AK319" s="143">
        <v>3</v>
      </c>
      <c r="AL319" s="156">
        <v>2</v>
      </c>
      <c r="AM319" s="156">
        <v>3</v>
      </c>
      <c r="AN319" s="156">
        <v>3</v>
      </c>
      <c r="AO319" s="156">
        <v>2.6666667461395299</v>
      </c>
      <c r="AP319" s="156">
        <v>2.6666667461395299</v>
      </c>
      <c r="AQ319" s="156">
        <v>3</v>
      </c>
      <c r="AR319" s="156">
        <v>3.3333332538604701</v>
      </c>
      <c r="AS319" s="169">
        <v>2.9523809999999999</v>
      </c>
    </row>
    <row r="320" spans="1:45" x14ac:dyDescent="0.35">
      <c r="A320" s="143" t="s">
        <v>749</v>
      </c>
      <c r="B320" s="143" t="s">
        <v>730</v>
      </c>
      <c r="C320" s="143" t="s">
        <v>841</v>
      </c>
      <c r="D320" s="143">
        <v>2088</v>
      </c>
      <c r="E320" s="143">
        <v>3</v>
      </c>
      <c r="F320" s="137">
        <v>1</v>
      </c>
      <c r="G320" s="137">
        <v>1</v>
      </c>
      <c r="H320" s="137">
        <v>1</v>
      </c>
      <c r="I320" s="137">
        <v>0</v>
      </c>
      <c r="K320" s="143" t="s">
        <v>749</v>
      </c>
      <c r="L320" s="143" t="s">
        <v>730</v>
      </c>
      <c r="M320" s="143" t="s">
        <v>841</v>
      </c>
      <c r="N320" s="143">
        <v>2088</v>
      </c>
      <c r="O320" s="137">
        <v>0.4</v>
      </c>
      <c r="P320" s="137">
        <v>0.6</v>
      </c>
      <c r="Q320" s="137">
        <v>1</v>
      </c>
      <c r="R320" s="137" t="s">
        <v>2486</v>
      </c>
      <c r="S320" s="137">
        <v>0.4</v>
      </c>
      <c r="T320" s="137" t="s">
        <v>2486</v>
      </c>
      <c r="U320" s="137" t="s">
        <v>2486</v>
      </c>
      <c r="W320" s="143" t="s">
        <v>749</v>
      </c>
      <c r="X320" s="143" t="s">
        <v>730</v>
      </c>
      <c r="Y320" s="143" t="s">
        <v>841</v>
      </c>
      <c r="Z320" s="143">
        <v>2088</v>
      </c>
      <c r="AA320" s="143">
        <v>0</v>
      </c>
      <c r="AD320" s="137">
        <v>0</v>
      </c>
      <c r="AG320" s="143" t="s">
        <v>749</v>
      </c>
      <c r="AH320" s="143" t="s">
        <v>730</v>
      </c>
      <c r="AI320" s="143" t="s">
        <v>841</v>
      </c>
      <c r="AJ320" s="143">
        <v>2088</v>
      </c>
      <c r="AK320" s="143">
        <v>3</v>
      </c>
      <c r="AL320" s="156">
        <v>2.6666667461395299</v>
      </c>
      <c r="AM320" s="156">
        <v>3.3333332538604701</v>
      </c>
      <c r="AN320" s="156">
        <v>3</v>
      </c>
      <c r="AO320" s="156">
        <v>2.3333332538604701</v>
      </c>
      <c r="AP320" s="156">
        <v>3.3333332538604701</v>
      </c>
      <c r="AQ320" s="156">
        <v>3.6666667461395299</v>
      </c>
      <c r="AR320" s="156">
        <v>3.6666667461395299</v>
      </c>
      <c r="AS320" s="169">
        <v>3.2380949999999999</v>
      </c>
    </row>
    <row r="321" spans="1:45" x14ac:dyDescent="0.35">
      <c r="A321" s="143" t="s">
        <v>749</v>
      </c>
      <c r="B321" s="143" t="s">
        <v>730</v>
      </c>
      <c r="C321" s="143" t="s">
        <v>842</v>
      </c>
      <c r="D321" s="143">
        <v>2165</v>
      </c>
      <c r="E321" s="143">
        <v>2</v>
      </c>
      <c r="F321" s="137">
        <v>1</v>
      </c>
      <c r="G321" s="137">
        <v>1</v>
      </c>
      <c r="H321" s="137">
        <v>1</v>
      </c>
      <c r="I321" s="137">
        <v>0</v>
      </c>
      <c r="K321" s="143" t="s">
        <v>749</v>
      </c>
      <c r="L321" s="143" t="s">
        <v>730</v>
      </c>
      <c r="M321" s="143" t="s">
        <v>842</v>
      </c>
      <c r="N321" s="143">
        <v>2165</v>
      </c>
      <c r="O321" s="137">
        <v>0.4</v>
      </c>
      <c r="P321" s="137">
        <v>0.6</v>
      </c>
      <c r="Q321" s="137">
        <v>1</v>
      </c>
      <c r="R321" s="137" t="s">
        <v>2486</v>
      </c>
      <c r="S321" s="137">
        <v>0.3333333</v>
      </c>
      <c r="T321" s="137" t="s">
        <v>2486</v>
      </c>
      <c r="U321" s="137" t="s">
        <v>2486</v>
      </c>
      <c r="W321" s="143" t="s">
        <v>749</v>
      </c>
      <c r="X321" s="143" t="s">
        <v>730</v>
      </c>
      <c r="Y321" s="143" t="s">
        <v>842</v>
      </c>
      <c r="Z321" s="143">
        <v>2165</v>
      </c>
      <c r="AA321" s="143">
        <v>0</v>
      </c>
      <c r="AD321" s="137">
        <v>0</v>
      </c>
      <c r="AE321" s="137">
        <v>0.1666667</v>
      </c>
      <c r="AG321" s="143" t="s">
        <v>749</v>
      </c>
      <c r="AH321" s="143" t="s">
        <v>730</v>
      </c>
      <c r="AI321" s="143" t="s">
        <v>842</v>
      </c>
      <c r="AJ321" s="143">
        <v>2165</v>
      </c>
      <c r="AK321" s="143">
        <v>2</v>
      </c>
      <c r="AL321" s="156">
        <v>1.5</v>
      </c>
      <c r="AM321" s="156">
        <v>3</v>
      </c>
      <c r="AN321" s="156">
        <v>3</v>
      </c>
      <c r="AO321" s="156">
        <v>2.5</v>
      </c>
      <c r="AP321" s="156">
        <v>1</v>
      </c>
      <c r="AQ321" s="156">
        <v>3.5</v>
      </c>
      <c r="AR321" s="156">
        <v>3</v>
      </c>
      <c r="AS321" s="169">
        <v>2.785714</v>
      </c>
    </row>
    <row r="322" spans="1:45" x14ac:dyDescent="0.35">
      <c r="A322" s="143" t="s">
        <v>749</v>
      </c>
      <c r="B322" s="143" t="s">
        <v>730</v>
      </c>
      <c r="C322" s="143" t="s">
        <v>842</v>
      </c>
      <c r="D322" s="143">
        <v>2166</v>
      </c>
      <c r="E322" s="143">
        <v>2</v>
      </c>
      <c r="F322" s="137">
        <v>1</v>
      </c>
      <c r="G322" s="137">
        <v>1</v>
      </c>
      <c r="H322" s="137">
        <v>0.5</v>
      </c>
      <c r="I322" s="137">
        <v>0</v>
      </c>
      <c r="K322" s="143" t="s">
        <v>749</v>
      </c>
      <c r="L322" s="143" t="s">
        <v>730</v>
      </c>
      <c r="M322" s="143" t="s">
        <v>842</v>
      </c>
      <c r="N322" s="143">
        <v>2166</v>
      </c>
      <c r="O322" s="137">
        <v>0.4</v>
      </c>
      <c r="P322" s="137">
        <v>0.6</v>
      </c>
      <c r="Q322" s="137">
        <v>1</v>
      </c>
      <c r="R322" s="137" t="s">
        <v>2486</v>
      </c>
      <c r="S322" s="137">
        <v>0.3333333</v>
      </c>
      <c r="T322" s="137" t="s">
        <v>2486</v>
      </c>
      <c r="U322" s="137" t="s">
        <v>2486</v>
      </c>
      <c r="W322" s="143" t="s">
        <v>749</v>
      </c>
      <c r="X322" s="143" t="s">
        <v>730</v>
      </c>
      <c r="Y322" s="143" t="s">
        <v>842</v>
      </c>
      <c r="Z322" s="143">
        <v>2166</v>
      </c>
      <c r="AA322" s="143">
        <v>0</v>
      </c>
      <c r="AD322" s="137">
        <v>0</v>
      </c>
      <c r="AG322" s="143" t="s">
        <v>749</v>
      </c>
      <c r="AH322" s="143" t="s">
        <v>730</v>
      </c>
      <c r="AI322" s="143" t="s">
        <v>842</v>
      </c>
      <c r="AJ322" s="143">
        <v>2166</v>
      </c>
      <c r="AK322" s="143">
        <v>2</v>
      </c>
      <c r="AL322" s="156">
        <v>2</v>
      </c>
      <c r="AM322" s="156">
        <v>3.5</v>
      </c>
      <c r="AN322" s="156">
        <v>3</v>
      </c>
      <c r="AO322" s="156">
        <v>2</v>
      </c>
      <c r="AP322" s="156">
        <v>3</v>
      </c>
      <c r="AQ322" s="156">
        <v>2.5</v>
      </c>
      <c r="AR322" s="156">
        <v>3</v>
      </c>
      <c r="AS322" s="169">
        <v>2.8571430000000002</v>
      </c>
    </row>
    <row r="323" spans="1:45" x14ac:dyDescent="0.35">
      <c r="A323" s="143" t="s">
        <v>749</v>
      </c>
      <c r="B323" s="143" t="s">
        <v>730</v>
      </c>
      <c r="C323" s="143" t="s">
        <v>842</v>
      </c>
      <c r="D323" s="143">
        <v>2168</v>
      </c>
      <c r="E323" s="143">
        <v>2</v>
      </c>
      <c r="F323" s="137">
        <v>1</v>
      </c>
      <c r="G323" s="137">
        <v>1</v>
      </c>
      <c r="H323" s="137">
        <v>1</v>
      </c>
      <c r="I323" s="137">
        <v>0</v>
      </c>
      <c r="K323" s="143" t="s">
        <v>749</v>
      </c>
      <c r="L323" s="143" t="s">
        <v>730</v>
      </c>
      <c r="M323" s="143" t="s">
        <v>842</v>
      </c>
      <c r="N323" s="143">
        <v>2168</v>
      </c>
      <c r="O323" s="137">
        <v>0.4</v>
      </c>
      <c r="P323" s="137">
        <v>0.6</v>
      </c>
      <c r="Q323" s="137">
        <v>1</v>
      </c>
      <c r="R323" s="137" t="s">
        <v>2486</v>
      </c>
      <c r="S323" s="137">
        <v>0.42857139999999999</v>
      </c>
      <c r="T323" s="137" t="s">
        <v>2486</v>
      </c>
      <c r="U323" s="137" t="s">
        <v>2486</v>
      </c>
      <c r="W323" s="143" t="s">
        <v>749</v>
      </c>
      <c r="X323" s="143" t="s">
        <v>730</v>
      </c>
      <c r="Y323" s="143" t="s">
        <v>842</v>
      </c>
      <c r="Z323" s="143">
        <v>2168</v>
      </c>
      <c r="AA323" s="143">
        <v>0</v>
      </c>
      <c r="AD323" s="137">
        <v>0</v>
      </c>
      <c r="AG323" s="143" t="s">
        <v>749</v>
      </c>
      <c r="AH323" s="143" t="s">
        <v>730</v>
      </c>
      <c r="AI323" s="143" t="s">
        <v>842</v>
      </c>
      <c r="AJ323" s="143">
        <v>2168</v>
      </c>
      <c r="AK323" s="143">
        <v>2</v>
      </c>
      <c r="AL323" s="156">
        <v>2</v>
      </c>
      <c r="AM323" s="156">
        <v>3.5</v>
      </c>
      <c r="AN323" s="156">
        <v>3</v>
      </c>
      <c r="AO323" s="156">
        <v>3</v>
      </c>
      <c r="AP323" s="156">
        <v>3</v>
      </c>
      <c r="AQ323" s="156">
        <v>3</v>
      </c>
      <c r="AR323" s="156">
        <v>3</v>
      </c>
      <c r="AS323" s="169">
        <v>3.0714290000000002</v>
      </c>
    </row>
    <row r="324" spans="1:45" x14ac:dyDescent="0.35">
      <c r="A324" s="143" t="s">
        <v>749</v>
      </c>
      <c r="B324" s="143" t="s">
        <v>730</v>
      </c>
      <c r="C324" s="143" t="s">
        <v>842</v>
      </c>
      <c r="D324" s="143">
        <v>2172</v>
      </c>
      <c r="E324" s="143">
        <v>4</v>
      </c>
      <c r="F324" s="137">
        <v>1</v>
      </c>
      <c r="G324" s="137">
        <v>1</v>
      </c>
      <c r="H324" s="137">
        <v>1</v>
      </c>
      <c r="I324" s="137">
        <v>0</v>
      </c>
      <c r="K324" s="143" t="s">
        <v>749</v>
      </c>
      <c r="L324" s="143" t="s">
        <v>730</v>
      </c>
      <c r="M324" s="143" t="s">
        <v>842</v>
      </c>
      <c r="N324" s="143">
        <v>2172</v>
      </c>
      <c r="O324" s="137">
        <v>0.38933329999999999</v>
      </c>
      <c r="P324" s="137">
        <v>0.6</v>
      </c>
      <c r="Q324" s="137">
        <v>0.98933340000000003</v>
      </c>
      <c r="R324" s="137" t="s">
        <v>2487</v>
      </c>
      <c r="S324" s="137">
        <v>0.28571429999999998</v>
      </c>
      <c r="T324" s="137" t="s">
        <v>2486</v>
      </c>
      <c r="U324" s="137" t="s">
        <v>2486</v>
      </c>
      <c r="W324" s="143" t="s">
        <v>749</v>
      </c>
      <c r="X324" s="143" t="s">
        <v>730</v>
      </c>
      <c r="Y324" s="143" t="s">
        <v>842</v>
      </c>
      <c r="Z324" s="143">
        <v>2172</v>
      </c>
      <c r="AA324" s="143">
        <v>0</v>
      </c>
      <c r="AD324" s="137">
        <v>0</v>
      </c>
      <c r="AG324" s="143" t="s">
        <v>749</v>
      </c>
      <c r="AH324" s="143" t="s">
        <v>730</v>
      </c>
      <c r="AI324" s="143" t="s">
        <v>842</v>
      </c>
      <c r="AJ324" s="143">
        <v>2172</v>
      </c>
      <c r="AK324" s="143">
        <v>4</v>
      </c>
      <c r="AL324" s="156">
        <v>2</v>
      </c>
      <c r="AM324" s="156">
        <v>3</v>
      </c>
      <c r="AN324" s="156">
        <v>3</v>
      </c>
      <c r="AO324" s="156">
        <v>2.75</v>
      </c>
      <c r="AP324" s="156">
        <v>3</v>
      </c>
      <c r="AQ324" s="156">
        <v>3.25</v>
      </c>
      <c r="AR324" s="156">
        <v>2.75</v>
      </c>
      <c r="AS324" s="169">
        <v>2.964286</v>
      </c>
    </row>
    <row r="325" spans="1:45" x14ac:dyDescent="0.35">
      <c r="A325" s="143" t="s">
        <v>749</v>
      </c>
      <c r="B325" s="143" t="s">
        <v>730</v>
      </c>
      <c r="C325" s="143" t="s">
        <v>842</v>
      </c>
      <c r="D325" s="143">
        <v>2427</v>
      </c>
      <c r="E325" s="143">
        <v>2</v>
      </c>
      <c r="F325" s="137">
        <v>1</v>
      </c>
      <c r="G325" s="137">
        <v>1</v>
      </c>
      <c r="H325" s="137">
        <v>1</v>
      </c>
      <c r="I325" s="137">
        <v>0</v>
      </c>
      <c r="K325" s="143" t="s">
        <v>749</v>
      </c>
      <c r="L325" s="143" t="s">
        <v>730</v>
      </c>
      <c r="M325" s="143" t="s">
        <v>842</v>
      </c>
      <c r="N325" s="143">
        <v>2427</v>
      </c>
      <c r="O325" s="137">
        <v>0.4</v>
      </c>
      <c r="P325" s="137">
        <v>0.6</v>
      </c>
      <c r="Q325" s="137">
        <v>1</v>
      </c>
      <c r="R325" s="137" t="s">
        <v>2486</v>
      </c>
      <c r="S325" s="137">
        <v>0.42857139999999999</v>
      </c>
      <c r="T325" s="137" t="s">
        <v>2486</v>
      </c>
      <c r="U325" s="137" t="s">
        <v>2486</v>
      </c>
      <c r="W325" s="143" t="s">
        <v>749</v>
      </c>
      <c r="X325" s="143" t="s">
        <v>730</v>
      </c>
      <c r="Y325" s="143" t="s">
        <v>842</v>
      </c>
      <c r="Z325" s="143">
        <v>2427</v>
      </c>
      <c r="AA325" s="143">
        <v>0</v>
      </c>
      <c r="AD325" s="137">
        <v>0</v>
      </c>
      <c r="AG325" s="143" t="s">
        <v>749</v>
      </c>
      <c r="AH325" s="143" t="s">
        <v>730</v>
      </c>
      <c r="AI325" s="143" t="s">
        <v>842</v>
      </c>
      <c r="AJ325" s="143">
        <v>2427</v>
      </c>
      <c r="AK325" s="143">
        <v>2</v>
      </c>
      <c r="AL325" s="156">
        <v>2</v>
      </c>
      <c r="AM325" s="156">
        <v>3</v>
      </c>
      <c r="AN325" s="156">
        <v>3</v>
      </c>
      <c r="AO325" s="156">
        <v>2</v>
      </c>
      <c r="AP325" s="156">
        <v>3</v>
      </c>
      <c r="AQ325" s="156">
        <v>3</v>
      </c>
      <c r="AR325" s="156">
        <v>3</v>
      </c>
      <c r="AS325" s="169">
        <v>2.8571430000000002</v>
      </c>
    </row>
    <row r="326" spans="1:45" x14ac:dyDescent="0.35">
      <c r="A326" s="143" t="s">
        <v>749</v>
      </c>
      <c r="B326" s="143" t="s">
        <v>730</v>
      </c>
      <c r="C326" s="143" t="s">
        <v>663</v>
      </c>
      <c r="D326" s="143">
        <v>2428</v>
      </c>
      <c r="E326" s="143">
        <v>2</v>
      </c>
      <c r="F326" s="137">
        <v>1</v>
      </c>
      <c r="G326" s="137">
        <v>1</v>
      </c>
      <c r="H326" s="137">
        <v>1</v>
      </c>
      <c r="I326" s="137">
        <v>0</v>
      </c>
      <c r="K326" s="143" t="s">
        <v>749</v>
      </c>
      <c r="L326" s="143" t="s">
        <v>730</v>
      </c>
      <c r="M326" s="143" t="s">
        <v>663</v>
      </c>
      <c r="N326" s="143">
        <v>2428</v>
      </c>
      <c r="O326" s="137">
        <v>0.4</v>
      </c>
      <c r="P326" s="137">
        <v>0.6</v>
      </c>
      <c r="Q326" s="137">
        <v>1</v>
      </c>
      <c r="R326" s="137" t="s">
        <v>2486</v>
      </c>
      <c r="S326" s="137">
        <v>0.4</v>
      </c>
      <c r="T326" s="137" t="s">
        <v>2486</v>
      </c>
      <c r="U326" s="137" t="s">
        <v>2838</v>
      </c>
      <c r="W326" s="143" t="s">
        <v>749</v>
      </c>
      <c r="X326" s="143" t="s">
        <v>730</v>
      </c>
      <c r="Y326" s="143" t="s">
        <v>663</v>
      </c>
      <c r="Z326" s="143">
        <v>2428</v>
      </c>
      <c r="AA326" s="143">
        <v>0</v>
      </c>
      <c r="AD326" s="137">
        <v>0</v>
      </c>
      <c r="AG326" s="143" t="s">
        <v>749</v>
      </c>
      <c r="AH326" s="143" t="s">
        <v>730</v>
      </c>
      <c r="AI326" s="143" t="s">
        <v>663</v>
      </c>
      <c r="AJ326" s="143">
        <v>2428</v>
      </c>
      <c r="AK326" s="143">
        <v>2</v>
      </c>
      <c r="AL326" s="156">
        <v>2</v>
      </c>
      <c r="AM326" s="156">
        <v>3</v>
      </c>
      <c r="AN326" s="156">
        <v>3</v>
      </c>
      <c r="AO326" s="156">
        <v>3</v>
      </c>
      <c r="AP326" s="156">
        <v>2</v>
      </c>
      <c r="AQ326" s="156">
        <v>3.5</v>
      </c>
      <c r="AR326" s="156">
        <v>3</v>
      </c>
      <c r="AS326" s="169">
        <v>2.9285709999999998</v>
      </c>
    </row>
    <row r="327" spans="1:45" x14ac:dyDescent="0.35">
      <c r="A327" s="143" t="s">
        <v>749</v>
      </c>
      <c r="B327" s="143" t="s">
        <v>730</v>
      </c>
      <c r="C327" s="143" t="s">
        <v>842</v>
      </c>
      <c r="D327" s="143">
        <v>2666</v>
      </c>
      <c r="E327" s="143">
        <v>2</v>
      </c>
      <c r="F327" s="137">
        <v>1</v>
      </c>
      <c r="G327" s="137">
        <v>1</v>
      </c>
      <c r="H327" s="137">
        <v>1</v>
      </c>
      <c r="I327" s="137">
        <v>0</v>
      </c>
      <c r="K327" s="143" t="s">
        <v>749</v>
      </c>
      <c r="L327" s="143" t="s">
        <v>730</v>
      </c>
      <c r="M327" s="143" t="s">
        <v>842</v>
      </c>
      <c r="N327" s="143">
        <v>2666</v>
      </c>
      <c r="O327" s="137">
        <v>0.4</v>
      </c>
      <c r="P327" s="137">
        <v>0</v>
      </c>
      <c r="Q327" s="137">
        <v>0.4</v>
      </c>
      <c r="R327" s="137" t="s">
        <v>2487</v>
      </c>
      <c r="S327" s="137">
        <v>0.42857139999999999</v>
      </c>
      <c r="T327" s="137" t="s">
        <v>2487</v>
      </c>
      <c r="U327" s="137" t="s">
        <v>2486</v>
      </c>
      <c r="W327" s="143" t="s">
        <v>749</v>
      </c>
      <c r="X327" s="143" t="s">
        <v>730</v>
      </c>
      <c r="Y327" s="143" t="s">
        <v>842</v>
      </c>
      <c r="Z327" s="143">
        <v>2666</v>
      </c>
      <c r="AA327" s="143">
        <v>0</v>
      </c>
      <c r="AD327" s="137">
        <v>0</v>
      </c>
      <c r="AG327" s="143" t="s">
        <v>749</v>
      </c>
      <c r="AH327" s="143" t="s">
        <v>730</v>
      </c>
      <c r="AI327" s="143" t="s">
        <v>842</v>
      </c>
      <c r="AJ327" s="143">
        <v>2666</v>
      </c>
      <c r="AK327" s="143">
        <v>2</v>
      </c>
      <c r="AL327" s="156">
        <v>2</v>
      </c>
      <c r="AM327" s="156">
        <v>3</v>
      </c>
      <c r="AN327" s="156">
        <v>3</v>
      </c>
      <c r="AO327" s="156">
        <v>3.5</v>
      </c>
      <c r="AP327" s="156">
        <v>3.5</v>
      </c>
      <c r="AQ327" s="156">
        <v>3.5</v>
      </c>
      <c r="AR327" s="156">
        <v>4</v>
      </c>
      <c r="AS327" s="169">
        <v>3.3571430000000002</v>
      </c>
    </row>
    <row r="328" spans="1:45" x14ac:dyDescent="0.35">
      <c r="A328" s="143" t="s">
        <v>749</v>
      </c>
      <c r="B328" s="143" t="s">
        <v>730</v>
      </c>
      <c r="C328" s="143" t="s">
        <v>842</v>
      </c>
      <c r="D328" s="143">
        <v>2911</v>
      </c>
      <c r="E328" s="143">
        <v>2</v>
      </c>
      <c r="F328" s="137">
        <v>1</v>
      </c>
      <c r="G328" s="137">
        <v>1</v>
      </c>
      <c r="H328" s="137">
        <v>1</v>
      </c>
      <c r="I328" s="137">
        <v>0</v>
      </c>
      <c r="K328" s="143" t="s">
        <v>749</v>
      </c>
      <c r="L328" s="143" t="s">
        <v>730</v>
      </c>
      <c r="M328" s="143" t="s">
        <v>842</v>
      </c>
      <c r="N328" s="143">
        <v>2911</v>
      </c>
      <c r="O328" s="137">
        <v>0.39466669999999998</v>
      </c>
      <c r="P328" s="137">
        <v>0.6</v>
      </c>
      <c r="Q328" s="137">
        <v>0.99466670000000001</v>
      </c>
      <c r="R328" s="137" t="s">
        <v>2487</v>
      </c>
      <c r="S328" s="137">
        <v>0.3333333</v>
      </c>
      <c r="T328" s="137" t="s">
        <v>2486</v>
      </c>
      <c r="U328" s="137" t="s">
        <v>2486</v>
      </c>
      <c r="W328" s="143" t="s">
        <v>749</v>
      </c>
      <c r="X328" s="143" t="s">
        <v>730</v>
      </c>
      <c r="Y328" s="143" t="s">
        <v>842</v>
      </c>
      <c r="Z328" s="143">
        <v>2911</v>
      </c>
      <c r="AA328" s="143">
        <v>0</v>
      </c>
      <c r="AD328" s="137">
        <v>0</v>
      </c>
      <c r="AG328" s="143" t="s">
        <v>749</v>
      </c>
      <c r="AH328" s="143" t="s">
        <v>730</v>
      </c>
      <c r="AI328" s="143" t="s">
        <v>842</v>
      </c>
      <c r="AJ328" s="143">
        <v>2911</v>
      </c>
      <c r="AK328" s="143">
        <v>2</v>
      </c>
      <c r="AL328" s="156">
        <v>2</v>
      </c>
      <c r="AM328" s="156">
        <v>4</v>
      </c>
      <c r="AN328" s="156">
        <v>3.5</v>
      </c>
      <c r="AO328" s="156">
        <v>3</v>
      </c>
      <c r="AP328" s="156">
        <v>3.5</v>
      </c>
      <c r="AQ328" s="156">
        <v>3.5</v>
      </c>
      <c r="AR328" s="156">
        <v>3.5</v>
      </c>
      <c r="AS328" s="169">
        <v>3.4285709999999998</v>
      </c>
    </row>
    <row r="329" spans="1:45" x14ac:dyDescent="0.35">
      <c r="A329" s="143" t="s">
        <v>749</v>
      </c>
      <c r="B329" s="143" t="s">
        <v>730</v>
      </c>
      <c r="C329" s="143" t="s">
        <v>663</v>
      </c>
      <c r="D329" s="143">
        <v>3075</v>
      </c>
      <c r="E329" s="143">
        <v>2</v>
      </c>
      <c r="F329" s="137">
        <v>0</v>
      </c>
      <c r="G329" s="137">
        <v>1</v>
      </c>
      <c r="H329" s="137">
        <v>1</v>
      </c>
      <c r="I329" s="137">
        <v>0</v>
      </c>
      <c r="K329" s="143" t="s">
        <v>749</v>
      </c>
      <c r="L329" s="143" t="s">
        <v>730</v>
      </c>
      <c r="M329" s="143" t="s">
        <v>663</v>
      </c>
      <c r="N329" s="143">
        <v>3075</v>
      </c>
      <c r="O329" s="137">
        <v>0.37066670000000002</v>
      </c>
      <c r="P329" s="137">
        <v>0.6</v>
      </c>
      <c r="Q329" s="137">
        <v>0.97066669999999999</v>
      </c>
      <c r="R329" s="137" t="s">
        <v>2487</v>
      </c>
      <c r="S329" s="137">
        <v>0.5</v>
      </c>
      <c r="T329" s="137" t="s">
        <v>2486</v>
      </c>
      <c r="U329" s="137" t="s">
        <v>2838</v>
      </c>
      <c r="W329" s="143" t="s">
        <v>749</v>
      </c>
      <c r="X329" s="143" t="s">
        <v>730</v>
      </c>
      <c r="Y329" s="143" t="s">
        <v>663</v>
      </c>
      <c r="Z329" s="143">
        <v>3075</v>
      </c>
      <c r="AA329" s="143">
        <v>0</v>
      </c>
      <c r="AD329" s="137">
        <v>0</v>
      </c>
      <c r="AG329" s="143" t="s">
        <v>749</v>
      </c>
      <c r="AH329" s="143" t="s">
        <v>730</v>
      </c>
      <c r="AI329" s="143" t="s">
        <v>663</v>
      </c>
      <c r="AJ329" s="143">
        <v>3075</v>
      </c>
      <c r="AK329" s="143">
        <v>2</v>
      </c>
      <c r="AL329" s="156">
        <v>2.5</v>
      </c>
      <c r="AM329" s="156">
        <v>3.5</v>
      </c>
      <c r="AN329" s="156">
        <v>2.5</v>
      </c>
      <c r="AO329" s="156">
        <v>2.5</v>
      </c>
      <c r="AP329" s="156">
        <v>3</v>
      </c>
      <c r="AQ329" s="156">
        <v>3</v>
      </c>
      <c r="AR329" s="156">
        <v>3</v>
      </c>
      <c r="AS329" s="169">
        <v>2.8571430000000002</v>
      </c>
    </row>
    <row r="330" spans="1:45" x14ac:dyDescent="0.35">
      <c r="A330" s="143" t="s">
        <v>749</v>
      </c>
      <c r="B330" s="143" t="s">
        <v>730</v>
      </c>
      <c r="C330" s="143" t="s">
        <v>663</v>
      </c>
      <c r="D330" s="143">
        <v>3933</v>
      </c>
      <c r="E330" s="143">
        <v>2</v>
      </c>
      <c r="F330" s="137">
        <v>1</v>
      </c>
      <c r="G330" s="137">
        <v>1</v>
      </c>
      <c r="H330" s="137">
        <v>1</v>
      </c>
      <c r="I330" s="137">
        <v>0</v>
      </c>
      <c r="K330" s="143" t="s">
        <v>749</v>
      </c>
      <c r="L330" s="143" t="s">
        <v>730</v>
      </c>
      <c r="M330" s="143" t="s">
        <v>663</v>
      </c>
      <c r="N330" s="143">
        <v>3933</v>
      </c>
      <c r="O330" s="137">
        <v>0.4</v>
      </c>
      <c r="P330" s="137">
        <v>0.6</v>
      </c>
      <c r="Q330" s="137">
        <v>1</v>
      </c>
      <c r="R330" s="137" t="s">
        <v>2486</v>
      </c>
      <c r="S330" s="137">
        <v>0.4</v>
      </c>
      <c r="T330" s="137" t="s">
        <v>2486</v>
      </c>
      <c r="U330" s="137" t="s">
        <v>2838</v>
      </c>
      <c r="W330" s="143" t="s">
        <v>749</v>
      </c>
      <c r="X330" s="143" t="s">
        <v>730</v>
      </c>
      <c r="Y330" s="143" t="s">
        <v>663</v>
      </c>
      <c r="Z330" s="143">
        <v>3933</v>
      </c>
      <c r="AA330" s="143">
        <v>0</v>
      </c>
      <c r="AD330" s="137">
        <v>0</v>
      </c>
      <c r="AG330" s="143" t="s">
        <v>749</v>
      </c>
      <c r="AH330" s="143" t="s">
        <v>730</v>
      </c>
      <c r="AI330" s="143" t="s">
        <v>663</v>
      </c>
      <c r="AJ330" s="143">
        <v>3933</v>
      </c>
      <c r="AK330" s="143">
        <v>2</v>
      </c>
      <c r="AL330" s="156">
        <v>2</v>
      </c>
      <c r="AM330" s="156">
        <v>3</v>
      </c>
      <c r="AN330" s="156">
        <v>3</v>
      </c>
      <c r="AO330" s="156">
        <v>3</v>
      </c>
      <c r="AP330" s="156">
        <v>2</v>
      </c>
      <c r="AQ330" s="156">
        <v>3</v>
      </c>
      <c r="AR330" s="156">
        <v>3</v>
      </c>
      <c r="AS330" s="169">
        <v>2.8571430000000002</v>
      </c>
    </row>
    <row r="331" spans="1:45" x14ac:dyDescent="0.35">
      <c r="A331" s="143" t="s">
        <v>749</v>
      </c>
      <c r="B331" s="143" t="s">
        <v>730</v>
      </c>
      <c r="C331" s="143" t="s">
        <v>663</v>
      </c>
      <c r="D331" s="143">
        <v>4118</v>
      </c>
      <c r="E331" s="143">
        <v>2</v>
      </c>
      <c r="F331" s="137">
        <v>1</v>
      </c>
      <c r="G331" s="137">
        <v>1</v>
      </c>
      <c r="H331" s="137">
        <v>1</v>
      </c>
      <c r="I331" s="137">
        <v>0</v>
      </c>
      <c r="K331" s="143" t="s">
        <v>749</v>
      </c>
      <c r="L331" s="143" t="s">
        <v>730</v>
      </c>
      <c r="M331" s="143" t="s">
        <v>663</v>
      </c>
      <c r="N331" s="143">
        <v>4118</v>
      </c>
      <c r="O331" s="137">
        <v>0.38666669999999997</v>
      </c>
      <c r="P331" s="137">
        <v>0.6</v>
      </c>
      <c r="Q331" s="137">
        <v>0.98666670000000001</v>
      </c>
      <c r="R331" s="137" t="s">
        <v>2487</v>
      </c>
      <c r="S331" s="137">
        <v>0.5</v>
      </c>
      <c r="T331" s="137" t="s">
        <v>2486</v>
      </c>
      <c r="U331" s="137" t="s">
        <v>2838</v>
      </c>
      <c r="W331" s="143" t="s">
        <v>749</v>
      </c>
      <c r="X331" s="143" t="s">
        <v>730</v>
      </c>
      <c r="Y331" s="143" t="s">
        <v>663</v>
      </c>
      <c r="Z331" s="143">
        <v>4118</v>
      </c>
      <c r="AA331" s="143">
        <v>0</v>
      </c>
      <c r="AD331" s="137">
        <v>0</v>
      </c>
      <c r="AG331" s="143" t="s">
        <v>749</v>
      </c>
      <c r="AH331" s="143" t="s">
        <v>730</v>
      </c>
      <c r="AI331" s="143" t="s">
        <v>663</v>
      </c>
      <c r="AJ331" s="143">
        <v>4118</v>
      </c>
      <c r="AK331" s="143">
        <v>2</v>
      </c>
      <c r="AL331" s="156">
        <v>1.5</v>
      </c>
      <c r="AM331" s="156">
        <v>3</v>
      </c>
      <c r="AN331" s="156">
        <v>3</v>
      </c>
      <c r="AO331" s="156">
        <v>3</v>
      </c>
      <c r="AP331" s="156">
        <v>2</v>
      </c>
      <c r="AQ331" s="156">
        <v>3</v>
      </c>
      <c r="AR331" s="156">
        <v>3</v>
      </c>
      <c r="AS331" s="169">
        <v>2.9285709999999998</v>
      </c>
    </row>
    <row r="332" spans="1:45" x14ac:dyDescent="0.35">
      <c r="A332" s="143" t="s">
        <v>749</v>
      </c>
      <c r="B332" s="143" t="s">
        <v>730</v>
      </c>
      <c r="C332" s="143" t="s">
        <v>843</v>
      </c>
      <c r="D332" s="143">
        <v>10420</v>
      </c>
      <c r="E332" s="143">
        <v>8</v>
      </c>
      <c r="F332" s="137">
        <v>1</v>
      </c>
      <c r="G332" s="137">
        <v>1</v>
      </c>
      <c r="H332" s="137">
        <v>1</v>
      </c>
      <c r="I332" s="137">
        <v>0</v>
      </c>
      <c r="K332" s="143" t="s">
        <v>749</v>
      </c>
      <c r="L332" s="143" t="s">
        <v>730</v>
      </c>
      <c r="M332" s="143" t="s">
        <v>843</v>
      </c>
      <c r="N332" s="143">
        <v>10420</v>
      </c>
      <c r="O332" s="137">
        <v>0.38666669999999997</v>
      </c>
      <c r="P332" s="137">
        <v>0.52500000000000002</v>
      </c>
      <c r="Q332" s="137">
        <v>0.91166670000000005</v>
      </c>
      <c r="R332" s="137" t="s">
        <v>2487</v>
      </c>
      <c r="S332" s="137">
        <v>0.38888889999999998</v>
      </c>
      <c r="T332" s="137" t="s">
        <v>2486</v>
      </c>
      <c r="U332" s="137" t="s">
        <v>2486</v>
      </c>
      <c r="W332" s="143" t="s">
        <v>749</v>
      </c>
      <c r="X332" s="143" t="s">
        <v>730</v>
      </c>
      <c r="Y332" s="143" t="s">
        <v>843</v>
      </c>
      <c r="Z332" s="143">
        <v>10420</v>
      </c>
      <c r="AA332" s="143">
        <v>8</v>
      </c>
      <c r="AB332" s="137">
        <v>0</v>
      </c>
      <c r="AC332" s="137">
        <v>0</v>
      </c>
      <c r="AD332" s="137">
        <v>0</v>
      </c>
      <c r="AG332" s="143" t="s">
        <v>749</v>
      </c>
      <c r="AH332" s="143" t="s">
        <v>730</v>
      </c>
      <c r="AI332" s="143" t="s">
        <v>843</v>
      </c>
      <c r="AJ332" s="143">
        <v>10420</v>
      </c>
      <c r="AK332" s="143">
        <v>8</v>
      </c>
      <c r="AL332" s="156">
        <v>2.25</v>
      </c>
      <c r="AM332" s="156">
        <v>3.25</v>
      </c>
      <c r="AN332" s="156">
        <v>3.125</v>
      </c>
      <c r="AO332" s="156">
        <v>3</v>
      </c>
      <c r="AP332" s="156">
        <v>3</v>
      </c>
      <c r="AQ332" s="156">
        <v>3</v>
      </c>
      <c r="AR332" s="156">
        <v>3.375</v>
      </c>
      <c r="AS332" s="169">
        <v>3.0714290000000002</v>
      </c>
    </row>
    <row r="333" spans="1:45" x14ac:dyDescent="0.35">
      <c r="A333" s="143" t="s">
        <v>750</v>
      </c>
      <c r="B333" s="143" t="s">
        <v>751</v>
      </c>
      <c r="C333" s="143" t="s">
        <v>2452</v>
      </c>
      <c r="D333" s="143">
        <v>686</v>
      </c>
      <c r="E333" s="143">
        <v>20</v>
      </c>
      <c r="F333" s="137">
        <v>1</v>
      </c>
      <c r="G333" s="137">
        <v>1</v>
      </c>
      <c r="H333" s="137">
        <v>1</v>
      </c>
      <c r="I333" s="137">
        <v>0</v>
      </c>
      <c r="K333" s="143" t="s">
        <v>750</v>
      </c>
      <c r="L333" s="143" t="s">
        <v>751</v>
      </c>
      <c r="M333" s="143" t="s">
        <v>2452</v>
      </c>
      <c r="N333" s="143">
        <v>686</v>
      </c>
      <c r="O333" s="137">
        <v>0.35843390000000003</v>
      </c>
      <c r="P333" s="137">
        <v>0.54285720000000004</v>
      </c>
      <c r="Q333" s="137">
        <v>0.90129099999999995</v>
      </c>
      <c r="R333" s="137" t="s">
        <v>2487</v>
      </c>
      <c r="S333" s="137">
        <v>0.56989250000000002</v>
      </c>
      <c r="T333" s="137" t="s">
        <v>2486</v>
      </c>
      <c r="U333" s="137" t="s">
        <v>2838</v>
      </c>
      <c r="W333" s="143" t="s">
        <v>750</v>
      </c>
      <c r="X333" s="143" t="s">
        <v>751</v>
      </c>
      <c r="Y333" s="143" t="s">
        <v>2452</v>
      </c>
      <c r="Z333" s="143">
        <v>686</v>
      </c>
      <c r="AA333" s="143">
        <v>20</v>
      </c>
      <c r="AB333" s="137">
        <v>0.1</v>
      </c>
      <c r="AC333" s="137">
        <v>0</v>
      </c>
      <c r="AD333" s="137">
        <v>0</v>
      </c>
      <c r="AE333" s="137">
        <v>3.2258099999999998E-2</v>
      </c>
      <c r="AG333" s="143" t="s">
        <v>750</v>
      </c>
      <c r="AH333" s="143" t="s">
        <v>751</v>
      </c>
      <c r="AI333" s="143" t="s">
        <v>2452</v>
      </c>
      <c r="AJ333" s="143">
        <v>686</v>
      </c>
      <c r="AK333" s="143">
        <v>20</v>
      </c>
      <c r="AL333" s="156">
        <v>2.4000000953674299</v>
      </c>
      <c r="AM333" s="156">
        <v>3.0999999046325701</v>
      </c>
      <c r="AN333" s="156">
        <v>3.0499999523162802</v>
      </c>
      <c r="AO333" s="156">
        <v>2.75</v>
      </c>
      <c r="AP333" s="156">
        <v>1.1499999761581401</v>
      </c>
      <c r="AQ333" s="156">
        <v>2.6500000953674299</v>
      </c>
      <c r="AR333" s="156">
        <v>2.7000000476837198</v>
      </c>
      <c r="AS333" s="169">
        <v>2.592857</v>
      </c>
    </row>
    <row r="334" spans="1:45" x14ac:dyDescent="0.35">
      <c r="A334" s="143" t="s">
        <v>750</v>
      </c>
      <c r="B334" s="143" t="s">
        <v>751</v>
      </c>
      <c r="C334" s="143" t="s">
        <v>842</v>
      </c>
      <c r="D334" s="143">
        <v>687</v>
      </c>
      <c r="E334" s="143">
        <v>2</v>
      </c>
      <c r="F334" s="137">
        <v>1</v>
      </c>
      <c r="G334" s="137">
        <v>1</v>
      </c>
      <c r="H334" s="137">
        <v>1</v>
      </c>
      <c r="I334" s="137">
        <v>0.5</v>
      </c>
      <c r="K334" s="143" t="s">
        <v>750</v>
      </c>
      <c r="L334" s="143" t="s">
        <v>751</v>
      </c>
      <c r="M334" s="143" t="s">
        <v>842</v>
      </c>
      <c r="N334" s="143">
        <v>687</v>
      </c>
      <c r="O334" s="137">
        <v>0.4</v>
      </c>
      <c r="P334" s="137">
        <v>0.6</v>
      </c>
      <c r="Q334" s="137">
        <v>1</v>
      </c>
      <c r="R334" s="137" t="s">
        <v>2486</v>
      </c>
      <c r="S334" s="137">
        <v>0.5</v>
      </c>
      <c r="T334" s="137" t="s">
        <v>2486</v>
      </c>
      <c r="U334" s="137" t="s">
        <v>2486</v>
      </c>
      <c r="W334" s="143" t="s">
        <v>750</v>
      </c>
      <c r="X334" s="143" t="s">
        <v>751</v>
      </c>
      <c r="Y334" s="143" t="s">
        <v>842</v>
      </c>
      <c r="Z334" s="143">
        <v>687</v>
      </c>
      <c r="AA334" s="143">
        <v>0</v>
      </c>
      <c r="AD334" s="137">
        <v>0</v>
      </c>
      <c r="AE334" s="137">
        <v>0.25</v>
      </c>
      <c r="AG334" s="143" t="s">
        <v>750</v>
      </c>
      <c r="AH334" s="143" t="s">
        <v>751</v>
      </c>
      <c r="AI334" s="143" t="s">
        <v>842</v>
      </c>
      <c r="AJ334" s="143">
        <v>687</v>
      </c>
      <c r="AK334" s="143">
        <v>2</v>
      </c>
      <c r="AL334" s="156">
        <v>2</v>
      </c>
      <c r="AM334" s="156">
        <v>3.5</v>
      </c>
      <c r="AN334" s="156">
        <v>3</v>
      </c>
      <c r="AO334" s="156">
        <v>3</v>
      </c>
      <c r="AP334" s="156">
        <v>3</v>
      </c>
      <c r="AQ334" s="156">
        <v>3.5</v>
      </c>
      <c r="AR334" s="156">
        <v>4</v>
      </c>
      <c r="AS334" s="169">
        <v>3.285714</v>
      </c>
    </row>
    <row r="335" spans="1:45" x14ac:dyDescent="0.35">
      <c r="A335" s="143" t="s">
        <v>750</v>
      </c>
      <c r="B335" s="143" t="s">
        <v>751</v>
      </c>
      <c r="C335" s="143" t="s">
        <v>841</v>
      </c>
      <c r="D335" s="143">
        <v>1031</v>
      </c>
      <c r="E335" s="143">
        <v>3</v>
      </c>
      <c r="F335" s="137">
        <v>1</v>
      </c>
      <c r="G335" s="137">
        <v>1</v>
      </c>
      <c r="H335" s="137">
        <v>1</v>
      </c>
      <c r="I335" s="137">
        <v>0</v>
      </c>
      <c r="K335" s="143" t="s">
        <v>750</v>
      </c>
      <c r="L335" s="143" t="s">
        <v>751</v>
      </c>
      <c r="M335" s="143" t="s">
        <v>841</v>
      </c>
      <c r="N335" s="143">
        <v>1031</v>
      </c>
      <c r="O335" s="137">
        <v>0.4</v>
      </c>
      <c r="P335" s="137">
        <v>0.6</v>
      </c>
      <c r="Q335" s="137">
        <v>1</v>
      </c>
      <c r="R335" s="137" t="s">
        <v>2486</v>
      </c>
      <c r="S335" s="137">
        <v>0.42857139999999999</v>
      </c>
      <c r="T335" s="137" t="s">
        <v>2486</v>
      </c>
      <c r="U335" s="137" t="s">
        <v>2486</v>
      </c>
      <c r="W335" s="143" t="s">
        <v>750</v>
      </c>
      <c r="X335" s="143" t="s">
        <v>751</v>
      </c>
      <c r="Y335" s="143" t="s">
        <v>841</v>
      </c>
      <c r="Z335" s="143">
        <v>1031</v>
      </c>
      <c r="AA335" s="143">
        <v>0</v>
      </c>
      <c r="AD335" s="137">
        <v>0</v>
      </c>
      <c r="AE335" s="137">
        <v>7.1428599999999995E-2</v>
      </c>
      <c r="AG335" s="143" t="s">
        <v>750</v>
      </c>
      <c r="AH335" s="143" t="s">
        <v>751</v>
      </c>
      <c r="AI335" s="143" t="s">
        <v>841</v>
      </c>
      <c r="AJ335" s="143">
        <v>1031</v>
      </c>
      <c r="AK335" s="143">
        <v>3</v>
      </c>
      <c r="AL335" s="156">
        <v>2</v>
      </c>
      <c r="AM335" s="156">
        <v>3</v>
      </c>
      <c r="AN335" s="156">
        <v>3.3333332538604701</v>
      </c>
      <c r="AO335" s="156">
        <v>3.3333332538604701</v>
      </c>
      <c r="AP335" s="156">
        <v>3.3333332538604701</v>
      </c>
      <c r="AQ335" s="156">
        <v>3</v>
      </c>
      <c r="AR335" s="156">
        <v>4</v>
      </c>
      <c r="AS335" s="169">
        <v>3.285714</v>
      </c>
    </row>
    <row r="336" spans="1:45" x14ac:dyDescent="0.35">
      <c r="A336" s="143" t="s">
        <v>750</v>
      </c>
      <c r="B336" s="143" t="s">
        <v>751</v>
      </c>
      <c r="C336" s="143" t="s">
        <v>842</v>
      </c>
      <c r="D336" s="143">
        <v>1967</v>
      </c>
      <c r="E336" s="143">
        <v>2</v>
      </c>
      <c r="F336" s="137">
        <v>1</v>
      </c>
      <c r="G336" s="137">
        <v>1</v>
      </c>
      <c r="H336" s="137">
        <v>1</v>
      </c>
      <c r="I336" s="137">
        <v>0</v>
      </c>
      <c r="K336" s="143" t="s">
        <v>750</v>
      </c>
      <c r="L336" s="143" t="s">
        <v>751</v>
      </c>
      <c r="M336" s="143" t="s">
        <v>842</v>
      </c>
      <c r="N336" s="143">
        <v>1967</v>
      </c>
      <c r="O336" s="137">
        <v>0.4</v>
      </c>
      <c r="P336" s="137">
        <v>0.6</v>
      </c>
      <c r="Q336" s="137">
        <v>1</v>
      </c>
      <c r="R336" s="137" t="s">
        <v>2486</v>
      </c>
      <c r="S336" s="137">
        <v>0.5</v>
      </c>
      <c r="T336" s="137" t="s">
        <v>2486</v>
      </c>
      <c r="U336" s="137" t="s">
        <v>2486</v>
      </c>
      <c r="W336" s="143" t="s">
        <v>750</v>
      </c>
      <c r="X336" s="143" t="s">
        <v>751</v>
      </c>
      <c r="Y336" s="143" t="s">
        <v>842</v>
      </c>
      <c r="Z336" s="143">
        <v>1967</v>
      </c>
      <c r="AA336" s="143">
        <v>0</v>
      </c>
      <c r="AD336" s="137">
        <v>0</v>
      </c>
      <c r="AE336" s="137">
        <v>0.3333333</v>
      </c>
      <c r="AG336" s="143" t="s">
        <v>750</v>
      </c>
      <c r="AH336" s="143" t="s">
        <v>751</v>
      </c>
      <c r="AI336" s="143" t="s">
        <v>842</v>
      </c>
      <c r="AJ336" s="143">
        <v>1967</v>
      </c>
      <c r="AK336" s="143">
        <v>2</v>
      </c>
      <c r="AL336" s="156">
        <v>2</v>
      </c>
      <c r="AM336" s="156">
        <v>4</v>
      </c>
      <c r="AN336" s="156">
        <v>4</v>
      </c>
      <c r="AO336" s="156">
        <v>3.5</v>
      </c>
      <c r="AP336" s="156">
        <v>3.5</v>
      </c>
      <c r="AQ336" s="156">
        <v>3</v>
      </c>
      <c r="AR336" s="156">
        <v>3.5</v>
      </c>
      <c r="AS336" s="169">
        <v>3.5</v>
      </c>
    </row>
    <row r="337" spans="1:45" x14ac:dyDescent="0.35">
      <c r="A337" s="143" t="s">
        <v>750</v>
      </c>
      <c r="B337" s="143" t="s">
        <v>751</v>
      </c>
      <c r="C337" s="143" t="s">
        <v>841</v>
      </c>
      <c r="D337" s="143">
        <v>1968</v>
      </c>
      <c r="E337" s="143">
        <v>3</v>
      </c>
      <c r="F337" s="137">
        <v>1</v>
      </c>
      <c r="G337" s="137">
        <v>1</v>
      </c>
      <c r="H337" s="137">
        <v>1</v>
      </c>
      <c r="I337" s="137">
        <v>0</v>
      </c>
      <c r="K337" s="143" t="s">
        <v>750</v>
      </c>
      <c r="L337" s="143" t="s">
        <v>751</v>
      </c>
      <c r="M337" s="143" t="s">
        <v>841</v>
      </c>
      <c r="N337" s="143">
        <v>1968</v>
      </c>
      <c r="O337" s="137">
        <v>0.4</v>
      </c>
      <c r="P337" s="137">
        <v>0.6</v>
      </c>
      <c r="Q337" s="137">
        <v>1</v>
      </c>
      <c r="R337" s="137" t="s">
        <v>2486</v>
      </c>
      <c r="S337" s="137">
        <v>0.57142859999999995</v>
      </c>
      <c r="T337" s="137" t="s">
        <v>2486</v>
      </c>
      <c r="U337" s="137" t="s">
        <v>2486</v>
      </c>
      <c r="W337" s="143" t="s">
        <v>750</v>
      </c>
      <c r="X337" s="143" t="s">
        <v>751</v>
      </c>
      <c r="Y337" s="143" t="s">
        <v>841</v>
      </c>
      <c r="Z337" s="143">
        <v>1968</v>
      </c>
      <c r="AA337" s="143">
        <v>0</v>
      </c>
      <c r="AD337" s="137">
        <v>0</v>
      </c>
      <c r="AG337" s="143" t="s">
        <v>750</v>
      </c>
      <c r="AH337" s="143" t="s">
        <v>751</v>
      </c>
      <c r="AI337" s="143" t="s">
        <v>841</v>
      </c>
      <c r="AJ337" s="143">
        <v>1968</v>
      </c>
      <c r="AK337" s="143">
        <v>3</v>
      </c>
      <c r="AL337" s="156">
        <v>2</v>
      </c>
      <c r="AM337" s="156">
        <v>3</v>
      </c>
      <c r="AN337" s="156">
        <v>4</v>
      </c>
      <c r="AO337" s="156">
        <v>3</v>
      </c>
      <c r="AP337" s="156">
        <v>3</v>
      </c>
      <c r="AQ337" s="156">
        <v>3</v>
      </c>
      <c r="AR337" s="156">
        <v>4</v>
      </c>
      <c r="AS337" s="169">
        <v>3.285714</v>
      </c>
    </row>
    <row r="338" spans="1:45" x14ac:dyDescent="0.35">
      <c r="A338" s="143" t="s">
        <v>750</v>
      </c>
      <c r="B338" s="143" t="s">
        <v>751</v>
      </c>
      <c r="C338" s="143" t="s">
        <v>663</v>
      </c>
      <c r="D338" s="143">
        <v>2210</v>
      </c>
      <c r="E338" s="143">
        <v>2</v>
      </c>
      <c r="F338" s="137">
        <v>1</v>
      </c>
      <c r="G338" s="137">
        <v>1</v>
      </c>
      <c r="H338" s="137">
        <v>1</v>
      </c>
      <c r="I338" s="137">
        <v>0</v>
      </c>
      <c r="K338" s="143" t="s">
        <v>750</v>
      </c>
      <c r="L338" s="143" t="s">
        <v>751</v>
      </c>
      <c r="M338" s="143" t="s">
        <v>663</v>
      </c>
      <c r="N338" s="143">
        <v>2210</v>
      </c>
      <c r="O338" s="137">
        <v>0.4</v>
      </c>
      <c r="P338" s="137">
        <v>0.6</v>
      </c>
      <c r="Q338" s="137">
        <v>1</v>
      </c>
      <c r="R338" s="137" t="s">
        <v>2486</v>
      </c>
      <c r="S338" s="137">
        <v>0.75</v>
      </c>
      <c r="T338" s="137" t="s">
        <v>2486</v>
      </c>
      <c r="U338" s="137" t="s">
        <v>2838</v>
      </c>
      <c r="W338" s="143" t="s">
        <v>750</v>
      </c>
      <c r="X338" s="143" t="s">
        <v>751</v>
      </c>
      <c r="Y338" s="143" t="s">
        <v>663</v>
      </c>
      <c r="Z338" s="143">
        <v>2210</v>
      </c>
      <c r="AA338" s="143">
        <v>0</v>
      </c>
      <c r="AD338" s="137">
        <v>0</v>
      </c>
      <c r="AG338" s="143" t="s">
        <v>750</v>
      </c>
      <c r="AH338" s="143" t="s">
        <v>751</v>
      </c>
      <c r="AI338" s="143" t="s">
        <v>663</v>
      </c>
      <c r="AJ338" s="143">
        <v>2210</v>
      </c>
      <c r="AK338" s="143">
        <v>2</v>
      </c>
      <c r="AL338" s="156">
        <v>2</v>
      </c>
      <c r="AM338" s="156">
        <v>3</v>
      </c>
      <c r="AN338" s="156">
        <v>4</v>
      </c>
      <c r="AO338" s="156">
        <v>4</v>
      </c>
      <c r="AP338" s="156">
        <v>3.5</v>
      </c>
      <c r="AQ338" s="156">
        <v>3.5</v>
      </c>
      <c r="AR338" s="156">
        <v>4</v>
      </c>
      <c r="AS338" s="169">
        <v>3.5714290000000002</v>
      </c>
    </row>
    <row r="339" spans="1:45" x14ac:dyDescent="0.35">
      <c r="A339" s="143" t="s">
        <v>750</v>
      </c>
      <c r="B339" s="143" t="s">
        <v>751</v>
      </c>
      <c r="C339" s="143" t="s">
        <v>663</v>
      </c>
      <c r="D339" s="143">
        <v>2704</v>
      </c>
      <c r="E339" s="143">
        <v>4</v>
      </c>
      <c r="F339" s="137">
        <v>1</v>
      </c>
      <c r="G339" s="137">
        <v>1</v>
      </c>
      <c r="H339" s="137">
        <v>1</v>
      </c>
      <c r="I339" s="137">
        <v>0</v>
      </c>
      <c r="K339" s="143" t="s">
        <v>750</v>
      </c>
      <c r="L339" s="143" t="s">
        <v>751</v>
      </c>
      <c r="M339" s="143" t="s">
        <v>663</v>
      </c>
      <c r="N339" s="143">
        <v>2704</v>
      </c>
      <c r="O339" s="137">
        <v>0.4</v>
      </c>
      <c r="P339" s="137">
        <v>0.6</v>
      </c>
      <c r="Q339" s="137">
        <v>1</v>
      </c>
      <c r="R339" s="137" t="s">
        <v>2486</v>
      </c>
      <c r="S339" s="137">
        <v>0.8</v>
      </c>
      <c r="T339" s="137" t="s">
        <v>2486</v>
      </c>
      <c r="U339" s="137" t="s">
        <v>2838</v>
      </c>
      <c r="W339" s="143" t="s">
        <v>750</v>
      </c>
      <c r="X339" s="143" t="s">
        <v>751</v>
      </c>
      <c r="Y339" s="143" t="s">
        <v>663</v>
      </c>
      <c r="Z339" s="143">
        <v>2704</v>
      </c>
      <c r="AA339" s="143">
        <v>0</v>
      </c>
      <c r="AD339" s="137">
        <v>0</v>
      </c>
      <c r="AG339" s="143" t="s">
        <v>750</v>
      </c>
      <c r="AH339" s="143" t="s">
        <v>751</v>
      </c>
      <c r="AI339" s="143" t="s">
        <v>663</v>
      </c>
      <c r="AJ339" s="143">
        <v>2704</v>
      </c>
      <c r="AK339" s="143">
        <v>4</v>
      </c>
      <c r="AL339" s="156">
        <v>1.75</v>
      </c>
      <c r="AM339" s="156">
        <v>3.25</v>
      </c>
      <c r="AN339" s="156">
        <v>3.5</v>
      </c>
      <c r="AO339" s="156">
        <v>3</v>
      </c>
      <c r="AP339" s="156">
        <v>3.5</v>
      </c>
      <c r="AQ339" s="156">
        <v>3.25</v>
      </c>
      <c r="AR339" s="156">
        <v>3.5</v>
      </c>
      <c r="AS339" s="169">
        <v>3.3214290000000002</v>
      </c>
    </row>
    <row r="340" spans="1:45" x14ac:dyDescent="0.35">
      <c r="A340" s="143" t="s">
        <v>750</v>
      </c>
      <c r="B340" s="143" t="s">
        <v>751</v>
      </c>
      <c r="C340" s="143" t="s">
        <v>663</v>
      </c>
      <c r="D340" s="143">
        <v>2795</v>
      </c>
      <c r="E340" s="143">
        <v>2</v>
      </c>
      <c r="F340" s="137">
        <v>1</v>
      </c>
      <c r="G340" s="137">
        <v>1</v>
      </c>
      <c r="H340" s="137">
        <v>1</v>
      </c>
      <c r="I340" s="137">
        <v>0</v>
      </c>
      <c r="K340" s="143" t="s">
        <v>750</v>
      </c>
      <c r="L340" s="143" t="s">
        <v>751</v>
      </c>
      <c r="M340" s="143" t="s">
        <v>663</v>
      </c>
      <c r="N340" s="143">
        <v>2795</v>
      </c>
      <c r="O340" s="137">
        <v>0.4</v>
      </c>
      <c r="P340" s="137">
        <v>0.6</v>
      </c>
      <c r="Q340" s="137">
        <v>1</v>
      </c>
      <c r="R340" s="137" t="s">
        <v>2486</v>
      </c>
      <c r="S340" s="137">
        <v>0.75</v>
      </c>
      <c r="T340" s="137" t="s">
        <v>2486</v>
      </c>
      <c r="U340" s="137" t="s">
        <v>2838</v>
      </c>
      <c r="W340" s="143" t="s">
        <v>750</v>
      </c>
      <c r="X340" s="143" t="s">
        <v>751</v>
      </c>
      <c r="Y340" s="143" t="s">
        <v>663</v>
      </c>
      <c r="Z340" s="143">
        <v>2795</v>
      </c>
      <c r="AA340" s="143">
        <v>0</v>
      </c>
      <c r="AD340" s="137">
        <v>0</v>
      </c>
      <c r="AG340" s="143" t="s">
        <v>750</v>
      </c>
      <c r="AH340" s="143" t="s">
        <v>751</v>
      </c>
      <c r="AI340" s="143" t="s">
        <v>663</v>
      </c>
      <c r="AJ340" s="143">
        <v>2795</v>
      </c>
      <c r="AK340" s="143">
        <v>2</v>
      </c>
      <c r="AL340" s="156">
        <v>2</v>
      </c>
      <c r="AM340" s="156">
        <v>3</v>
      </c>
      <c r="AN340" s="156">
        <v>3</v>
      </c>
      <c r="AO340" s="156">
        <v>3</v>
      </c>
      <c r="AP340" s="156">
        <v>3</v>
      </c>
      <c r="AQ340" s="156">
        <v>3</v>
      </c>
      <c r="AR340" s="156">
        <v>3.5</v>
      </c>
      <c r="AS340" s="169">
        <v>3.0714290000000002</v>
      </c>
    </row>
    <row r="341" spans="1:45" x14ac:dyDescent="0.35">
      <c r="A341" s="143" t="s">
        <v>750</v>
      </c>
      <c r="B341" s="143" t="s">
        <v>751</v>
      </c>
      <c r="C341" s="143" t="s">
        <v>842</v>
      </c>
      <c r="D341" s="143">
        <v>3366</v>
      </c>
      <c r="E341" s="143">
        <v>2</v>
      </c>
      <c r="F341" s="137">
        <v>1</v>
      </c>
      <c r="G341" s="137">
        <v>1</v>
      </c>
      <c r="H341" s="137">
        <v>1</v>
      </c>
      <c r="I341" s="137">
        <v>0</v>
      </c>
      <c r="K341" s="143" t="s">
        <v>750</v>
      </c>
      <c r="L341" s="143" t="s">
        <v>751</v>
      </c>
      <c r="M341" s="143" t="s">
        <v>842</v>
      </c>
      <c r="N341" s="143">
        <v>3366</v>
      </c>
      <c r="O341" s="137">
        <v>0.4</v>
      </c>
      <c r="P341" s="137">
        <v>0.6</v>
      </c>
      <c r="Q341" s="137">
        <v>1</v>
      </c>
      <c r="R341" s="137" t="s">
        <v>2486</v>
      </c>
      <c r="S341" s="137">
        <v>0.5</v>
      </c>
      <c r="T341" s="137" t="s">
        <v>2486</v>
      </c>
      <c r="U341" s="137" t="s">
        <v>2486</v>
      </c>
      <c r="W341" s="143" t="s">
        <v>750</v>
      </c>
      <c r="X341" s="143" t="s">
        <v>751</v>
      </c>
      <c r="Y341" s="143" t="s">
        <v>842</v>
      </c>
      <c r="Z341" s="143">
        <v>3366</v>
      </c>
      <c r="AA341" s="143">
        <v>0</v>
      </c>
      <c r="AD341" s="137">
        <v>0</v>
      </c>
      <c r="AE341" s="137">
        <v>0.1666667</v>
      </c>
      <c r="AG341" s="143" t="s">
        <v>750</v>
      </c>
      <c r="AH341" s="143" t="s">
        <v>751</v>
      </c>
      <c r="AI341" s="143" t="s">
        <v>842</v>
      </c>
      <c r="AJ341" s="143">
        <v>3366</v>
      </c>
      <c r="AK341" s="143">
        <v>2</v>
      </c>
      <c r="AL341" s="156">
        <v>1</v>
      </c>
      <c r="AM341" s="156">
        <v>4</v>
      </c>
      <c r="AN341" s="156">
        <v>4</v>
      </c>
      <c r="AO341" s="156">
        <v>4</v>
      </c>
      <c r="AP341" s="156">
        <v>4</v>
      </c>
      <c r="AQ341" s="156">
        <v>4</v>
      </c>
      <c r="AR341" s="156">
        <v>3.5</v>
      </c>
      <c r="AS341" s="169">
        <v>3.9285709999999998</v>
      </c>
    </row>
    <row r="342" spans="1:45" x14ac:dyDescent="0.35">
      <c r="A342" s="143" t="s">
        <v>750</v>
      </c>
      <c r="B342" s="143" t="s">
        <v>751</v>
      </c>
      <c r="C342" s="143" t="s">
        <v>663</v>
      </c>
      <c r="D342" s="143">
        <v>3868</v>
      </c>
      <c r="E342" s="143">
        <v>2</v>
      </c>
      <c r="F342" s="137">
        <v>1</v>
      </c>
      <c r="G342" s="137">
        <v>1</v>
      </c>
      <c r="H342" s="137">
        <v>1</v>
      </c>
      <c r="I342" s="137">
        <v>0</v>
      </c>
      <c r="K342" s="143" t="s">
        <v>750</v>
      </c>
      <c r="L342" s="143" t="s">
        <v>751</v>
      </c>
      <c r="M342" s="143" t="s">
        <v>663</v>
      </c>
      <c r="N342" s="143">
        <v>3868</v>
      </c>
      <c r="O342" s="137">
        <v>0.4</v>
      </c>
      <c r="P342" s="137">
        <v>0.6</v>
      </c>
      <c r="Q342" s="137">
        <v>1</v>
      </c>
      <c r="R342" s="137" t="s">
        <v>2486</v>
      </c>
      <c r="S342" s="137">
        <v>0.6</v>
      </c>
      <c r="T342" s="137" t="s">
        <v>2486</v>
      </c>
      <c r="U342" s="137" t="s">
        <v>2838</v>
      </c>
      <c r="W342" s="143" t="s">
        <v>750</v>
      </c>
      <c r="X342" s="143" t="s">
        <v>751</v>
      </c>
      <c r="Y342" s="143" t="s">
        <v>663</v>
      </c>
      <c r="Z342" s="143">
        <v>3868</v>
      </c>
      <c r="AA342" s="143">
        <v>0</v>
      </c>
      <c r="AD342" s="137">
        <v>0</v>
      </c>
      <c r="AG342" s="143" t="s">
        <v>750</v>
      </c>
      <c r="AH342" s="143" t="s">
        <v>751</v>
      </c>
      <c r="AI342" s="143" t="s">
        <v>663</v>
      </c>
      <c r="AJ342" s="143">
        <v>3868</v>
      </c>
      <c r="AK342" s="143">
        <v>2</v>
      </c>
      <c r="AL342" s="156">
        <v>2</v>
      </c>
      <c r="AM342" s="156">
        <v>3.5</v>
      </c>
      <c r="AN342" s="156">
        <v>3</v>
      </c>
      <c r="AO342" s="156">
        <v>3.5</v>
      </c>
      <c r="AP342" s="156">
        <v>3</v>
      </c>
      <c r="AQ342" s="156">
        <v>3</v>
      </c>
      <c r="AR342" s="156">
        <v>4</v>
      </c>
      <c r="AS342" s="169">
        <v>3.285714</v>
      </c>
    </row>
    <row r="343" spans="1:45" x14ac:dyDescent="0.35">
      <c r="A343" s="143" t="s">
        <v>750</v>
      </c>
      <c r="B343" s="143" t="s">
        <v>751</v>
      </c>
      <c r="C343" s="143" t="s">
        <v>842</v>
      </c>
      <c r="D343" s="143">
        <v>3869</v>
      </c>
      <c r="E343" s="143">
        <v>2</v>
      </c>
      <c r="F343" s="137">
        <v>1</v>
      </c>
      <c r="G343" s="137">
        <v>1</v>
      </c>
      <c r="H343" s="137">
        <v>1</v>
      </c>
      <c r="I343" s="137">
        <v>0</v>
      </c>
      <c r="K343" s="143" t="s">
        <v>750</v>
      </c>
      <c r="L343" s="143" t="s">
        <v>751</v>
      </c>
      <c r="M343" s="143" t="s">
        <v>842</v>
      </c>
      <c r="N343" s="143">
        <v>3869</v>
      </c>
      <c r="O343" s="137">
        <v>0.4</v>
      </c>
      <c r="P343" s="137">
        <v>0.6</v>
      </c>
      <c r="Q343" s="137">
        <v>1</v>
      </c>
      <c r="R343" s="137" t="s">
        <v>2486</v>
      </c>
      <c r="S343" s="137">
        <v>0.5</v>
      </c>
      <c r="T343" s="137" t="s">
        <v>2486</v>
      </c>
      <c r="U343" s="137" t="s">
        <v>2486</v>
      </c>
      <c r="W343" s="143" t="s">
        <v>750</v>
      </c>
      <c r="X343" s="143" t="s">
        <v>751</v>
      </c>
      <c r="Y343" s="143" t="s">
        <v>842</v>
      </c>
      <c r="Z343" s="143">
        <v>3869</v>
      </c>
      <c r="AA343" s="143">
        <v>0</v>
      </c>
      <c r="AD343" s="137">
        <v>0</v>
      </c>
      <c r="AE343" s="137">
        <v>0.3333333</v>
      </c>
      <c r="AG343" s="143" t="s">
        <v>750</v>
      </c>
      <c r="AH343" s="143" t="s">
        <v>751</v>
      </c>
      <c r="AI343" s="143" t="s">
        <v>842</v>
      </c>
      <c r="AJ343" s="143">
        <v>3869</v>
      </c>
      <c r="AK343" s="143">
        <v>2</v>
      </c>
      <c r="AL343" s="156">
        <v>1</v>
      </c>
      <c r="AM343" s="156">
        <v>3.5</v>
      </c>
      <c r="AN343" s="156">
        <v>3.5</v>
      </c>
      <c r="AO343" s="156">
        <v>3</v>
      </c>
      <c r="AP343" s="156">
        <v>3</v>
      </c>
      <c r="AQ343" s="156">
        <v>3.5</v>
      </c>
      <c r="AR343" s="156">
        <v>3.5</v>
      </c>
      <c r="AS343" s="169">
        <v>3.4285709999999998</v>
      </c>
    </row>
    <row r="344" spans="1:45" x14ac:dyDescent="0.35">
      <c r="A344" s="143" t="s">
        <v>2866</v>
      </c>
      <c r="B344" s="143" t="s">
        <v>765</v>
      </c>
      <c r="C344" s="143" t="s">
        <v>843</v>
      </c>
      <c r="D344" s="143">
        <v>845</v>
      </c>
      <c r="F344" s="137">
        <v>1</v>
      </c>
      <c r="G344" s="137">
        <v>0.875</v>
      </c>
      <c r="H344" s="137"/>
      <c r="I344" s="137"/>
      <c r="K344" s="143" t="s">
        <v>2866</v>
      </c>
      <c r="L344" s="143" t="s">
        <v>765</v>
      </c>
      <c r="M344" s="143" t="s">
        <v>843</v>
      </c>
      <c r="N344" s="143">
        <v>845</v>
      </c>
      <c r="O344" s="137">
        <v>0.4</v>
      </c>
      <c r="Q344" s="137">
        <v>1</v>
      </c>
      <c r="R344" s="137" t="s">
        <v>2486</v>
      </c>
      <c r="T344" s="137" t="s">
        <v>2838</v>
      </c>
      <c r="U344" s="137" t="s">
        <v>2838</v>
      </c>
      <c r="W344" s="143" t="s">
        <v>2866</v>
      </c>
      <c r="X344" s="143" t="s">
        <v>765</v>
      </c>
      <c r="Y344" s="143" t="s">
        <v>843</v>
      </c>
      <c r="Z344" s="143">
        <v>845</v>
      </c>
      <c r="AG344" s="143" t="s">
        <v>2866</v>
      </c>
      <c r="AH344" s="143" t="s">
        <v>765</v>
      </c>
      <c r="AI344" s="143" t="s">
        <v>843</v>
      </c>
      <c r="AJ344" s="143">
        <v>845</v>
      </c>
    </row>
    <row r="345" spans="1:45" x14ac:dyDescent="0.35">
      <c r="A345" s="143" t="s">
        <v>2866</v>
      </c>
      <c r="B345" s="143" t="s">
        <v>765</v>
      </c>
      <c r="C345" s="143" t="s">
        <v>842</v>
      </c>
      <c r="D345" s="143">
        <v>848</v>
      </c>
      <c r="F345" s="137">
        <v>1</v>
      </c>
      <c r="G345" s="137">
        <v>1</v>
      </c>
      <c r="H345" s="137"/>
      <c r="I345" s="137"/>
      <c r="K345" s="143" t="s">
        <v>2866</v>
      </c>
      <c r="L345" s="143" t="s">
        <v>765</v>
      </c>
      <c r="M345" s="143" t="s">
        <v>842</v>
      </c>
      <c r="N345" s="143">
        <v>848</v>
      </c>
      <c r="O345" s="137">
        <v>0.4</v>
      </c>
      <c r="Q345" s="137">
        <v>1</v>
      </c>
      <c r="R345" s="137" t="s">
        <v>2486</v>
      </c>
      <c r="T345" s="137" t="s">
        <v>2838</v>
      </c>
      <c r="U345" s="137" t="s">
        <v>2838</v>
      </c>
      <c r="W345" s="143" t="s">
        <v>2866</v>
      </c>
      <c r="X345" s="143" t="s">
        <v>765</v>
      </c>
      <c r="Y345" s="143" t="s">
        <v>842</v>
      </c>
      <c r="Z345" s="143">
        <v>848</v>
      </c>
      <c r="AG345" s="143" t="s">
        <v>2866</v>
      </c>
      <c r="AH345" s="143" t="s">
        <v>765</v>
      </c>
      <c r="AI345" s="143" t="s">
        <v>842</v>
      </c>
      <c r="AJ345" s="143">
        <v>848</v>
      </c>
    </row>
    <row r="346" spans="1:45" x14ac:dyDescent="0.35">
      <c r="A346" s="143" t="s">
        <v>2866</v>
      </c>
      <c r="B346" s="143" t="s">
        <v>765</v>
      </c>
      <c r="C346" s="143" t="s">
        <v>841</v>
      </c>
      <c r="D346" s="143">
        <v>1578</v>
      </c>
      <c r="F346" s="137">
        <v>1</v>
      </c>
      <c r="G346" s="137">
        <v>1</v>
      </c>
      <c r="H346" s="137"/>
      <c r="I346" s="137"/>
      <c r="K346" s="143" t="s">
        <v>2866</v>
      </c>
      <c r="L346" s="143" t="s">
        <v>765</v>
      </c>
      <c r="M346" s="143" t="s">
        <v>841</v>
      </c>
      <c r="N346" s="143">
        <v>1578</v>
      </c>
      <c r="O346" s="137">
        <v>0.38933329999999999</v>
      </c>
      <c r="Q346" s="137">
        <v>0.97333340000000002</v>
      </c>
      <c r="R346" s="137" t="s">
        <v>2487</v>
      </c>
      <c r="T346" s="137" t="s">
        <v>2838</v>
      </c>
      <c r="U346" s="137" t="s">
        <v>2838</v>
      </c>
      <c r="W346" s="143" t="s">
        <v>2866</v>
      </c>
      <c r="X346" s="143" t="s">
        <v>765</v>
      </c>
      <c r="Y346" s="143" t="s">
        <v>841</v>
      </c>
      <c r="Z346" s="143">
        <v>1578</v>
      </c>
      <c r="AG346" s="143" t="s">
        <v>2866</v>
      </c>
      <c r="AH346" s="143" t="s">
        <v>765</v>
      </c>
      <c r="AI346" s="143" t="s">
        <v>841</v>
      </c>
      <c r="AJ346" s="143">
        <v>1578</v>
      </c>
    </row>
    <row r="347" spans="1:45" x14ac:dyDescent="0.35">
      <c r="A347" s="143" t="s">
        <v>2866</v>
      </c>
      <c r="B347" s="143" t="s">
        <v>765</v>
      </c>
      <c r="C347" s="143" t="s">
        <v>663</v>
      </c>
      <c r="D347" s="143">
        <v>2141</v>
      </c>
      <c r="F347" s="137">
        <v>1</v>
      </c>
      <c r="G347" s="137">
        <v>1</v>
      </c>
      <c r="H347" s="137"/>
      <c r="I347" s="137"/>
      <c r="K347" s="143" t="s">
        <v>2866</v>
      </c>
      <c r="L347" s="143" t="s">
        <v>765</v>
      </c>
      <c r="M347" s="143" t="s">
        <v>663</v>
      </c>
      <c r="N347" s="143">
        <v>2141</v>
      </c>
      <c r="O347" s="137">
        <v>0.4</v>
      </c>
      <c r="Q347" s="137">
        <v>1</v>
      </c>
      <c r="R347" s="137" t="s">
        <v>2486</v>
      </c>
      <c r="T347" s="137" t="s">
        <v>2838</v>
      </c>
      <c r="U347" s="137" t="s">
        <v>2838</v>
      </c>
      <c r="W347" s="143" t="s">
        <v>2866</v>
      </c>
      <c r="X347" s="143" t="s">
        <v>765</v>
      </c>
      <c r="Y347" s="143" t="s">
        <v>663</v>
      </c>
      <c r="Z347" s="143">
        <v>2141</v>
      </c>
      <c r="AG347" s="143" t="s">
        <v>2866</v>
      </c>
      <c r="AH347" s="143" t="s">
        <v>765</v>
      </c>
      <c r="AI347" s="143" t="s">
        <v>663</v>
      </c>
      <c r="AJ347" s="143">
        <v>2141</v>
      </c>
    </row>
    <row r="348" spans="1:45" x14ac:dyDescent="0.35">
      <c r="A348" s="143" t="s">
        <v>2866</v>
      </c>
      <c r="B348" s="143" t="s">
        <v>765</v>
      </c>
      <c r="C348" s="143" t="s">
        <v>842</v>
      </c>
      <c r="D348" s="143">
        <v>2143</v>
      </c>
      <c r="F348" s="137">
        <v>1</v>
      </c>
      <c r="G348" s="137">
        <v>1</v>
      </c>
      <c r="H348" s="137"/>
      <c r="I348" s="137"/>
      <c r="K348" s="143" t="s">
        <v>2866</v>
      </c>
      <c r="L348" s="143" t="s">
        <v>765</v>
      </c>
      <c r="M348" s="143" t="s">
        <v>842</v>
      </c>
      <c r="N348" s="143">
        <v>2143</v>
      </c>
      <c r="O348" s="137">
        <v>0.4</v>
      </c>
      <c r="Q348" s="137">
        <v>1</v>
      </c>
      <c r="R348" s="137" t="s">
        <v>2486</v>
      </c>
      <c r="T348" s="137" t="s">
        <v>2838</v>
      </c>
      <c r="U348" s="137" t="s">
        <v>2838</v>
      </c>
      <c r="W348" s="143" t="s">
        <v>2866</v>
      </c>
      <c r="X348" s="143" t="s">
        <v>765</v>
      </c>
      <c r="Y348" s="143" t="s">
        <v>842</v>
      </c>
      <c r="Z348" s="143">
        <v>2143</v>
      </c>
      <c r="AG348" s="143" t="s">
        <v>2866</v>
      </c>
      <c r="AH348" s="143" t="s">
        <v>765</v>
      </c>
      <c r="AI348" s="143" t="s">
        <v>842</v>
      </c>
      <c r="AJ348" s="143">
        <v>2143</v>
      </c>
    </row>
    <row r="349" spans="1:45" x14ac:dyDescent="0.35">
      <c r="A349" s="143" t="s">
        <v>2866</v>
      </c>
      <c r="B349" s="143" t="s">
        <v>765</v>
      </c>
      <c r="C349" s="143" t="s">
        <v>663</v>
      </c>
      <c r="D349" s="143">
        <v>2695</v>
      </c>
      <c r="F349" s="137">
        <v>1</v>
      </c>
      <c r="G349" s="137">
        <v>1</v>
      </c>
      <c r="H349" s="137"/>
      <c r="I349" s="137"/>
      <c r="K349" s="143" t="s">
        <v>2866</v>
      </c>
      <c r="L349" s="143" t="s">
        <v>765</v>
      </c>
      <c r="M349" s="143" t="s">
        <v>663</v>
      </c>
      <c r="N349" s="143">
        <v>2695</v>
      </c>
      <c r="O349" s="137">
        <v>0.4</v>
      </c>
      <c r="Q349" s="137">
        <v>1</v>
      </c>
      <c r="R349" s="137" t="s">
        <v>2486</v>
      </c>
      <c r="T349" s="137" t="s">
        <v>2838</v>
      </c>
      <c r="U349" s="137" t="s">
        <v>2838</v>
      </c>
      <c r="W349" s="143" t="s">
        <v>2866</v>
      </c>
      <c r="X349" s="143" t="s">
        <v>765</v>
      </c>
      <c r="Y349" s="143" t="s">
        <v>663</v>
      </c>
      <c r="Z349" s="143">
        <v>2695</v>
      </c>
      <c r="AG349" s="143" t="s">
        <v>2866</v>
      </c>
      <c r="AH349" s="143" t="s">
        <v>765</v>
      </c>
      <c r="AI349" s="143" t="s">
        <v>663</v>
      </c>
      <c r="AJ349" s="143">
        <v>2695</v>
      </c>
    </row>
    <row r="350" spans="1:45" x14ac:dyDescent="0.35">
      <c r="A350" s="143" t="s">
        <v>2866</v>
      </c>
      <c r="B350" s="143" t="s">
        <v>765</v>
      </c>
      <c r="C350" s="143" t="s">
        <v>663</v>
      </c>
      <c r="D350" s="143">
        <v>2696</v>
      </c>
      <c r="F350" s="137">
        <v>1</v>
      </c>
      <c r="G350" s="137">
        <v>1</v>
      </c>
      <c r="H350" s="137"/>
      <c r="I350" s="137"/>
      <c r="K350" s="143" t="s">
        <v>2866</v>
      </c>
      <c r="L350" s="143" t="s">
        <v>765</v>
      </c>
      <c r="M350" s="143" t="s">
        <v>663</v>
      </c>
      <c r="N350" s="143">
        <v>2696</v>
      </c>
      <c r="O350" s="137">
        <v>0.4</v>
      </c>
      <c r="Q350" s="137">
        <v>1</v>
      </c>
      <c r="R350" s="137" t="s">
        <v>2486</v>
      </c>
      <c r="T350" s="137" t="s">
        <v>2838</v>
      </c>
      <c r="U350" s="137" t="s">
        <v>2838</v>
      </c>
      <c r="W350" s="143" t="s">
        <v>2866</v>
      </c>
      <c r="X350" s="143" t="s">
        <v>765</v>
      </c>
      <c r="Y350" s="143" t="s">
        <v>663</v>
      </c>
      <c r="Z350" s="143">
        <v>2696</v>
      </c>
      <c r="AG350" s="143" t="s">
        <v>2866</v>
      </c>
      <c r="AH350" s="143" t="s">
        <v>765</v>
      </c>
      <c r="AI350" s="143" t="s">
        <v>663</v>
      </c>
      <c r="AJ350" s="143">
        <v>2696</v>
      </c>
    </row>
    <row r="351" spans="1:45" x14ac:dyDescent="0.35">
      <c r="A351" s="143" t="s">
        <v>2866</v>
      </c>
      <c r="B351" s="143" t="s">
        <v>765</v>
      </c>
      <c r="C351" s="143" t="s">
        <v>663</v>
      </c>
      <c r="D351" s="143">
        <v>2697</v>
      </c>
      <c r="F351" s="137">
        <v>1</v>
      </c>
      <c r="G351" s="137">
        <v>1</v>
      </c>
      <c r="H351" s="137"/>
      <c r="I351" s="137"/>
      <c r="K351" s="143" t="s">
        <v>2866</v>
      </c>
      <c r="L351" s="143" t="s">
        <v>765</v>
      </c>
      <c r="M351" s="143" t="s">
        <v>663</v>
      </c>
      <c r="N351" s="143">
        <v>2697</v>
      </c>
      <c r="O351" s="137">
        <v>0.4</v>
      </c>
      <c r="Q351" s="137">
        <v>1</v>
      </c>
      <c r="R351" s="137" t="s">
        <v>2486</v>
      </c>
      <c r="T351" s="137" t="s">
        <v>2838</v>
      </c>
      <c r="U351" s="137" t="s">
        <v>2838</v>
      </c>
      <c r="W351" s="143" t="s">
        <v>2866</v>
      </c>
      <c r="X351" s="143" t="s">
        <v>765</v>
      </c>
      <c r="Y351" s="143" t="s">
        <v>663</v>
      </c>
      <c r="Z351" s="143">
        <v>2697</v>
      </c>
      <c r="AG351" s="143" t="s">
        <v>2866</v>
      </c>
      <c r="AH351" s="143" t="s">
        <v>765</v>
      </c>
      <c r="AI351" s="143" t="s">
        <v>663</v>
      </c>
      <c r="AJ351" s="143">
        <v>2697</v>
      </c>
    </row>
    <row r="352" spans="1:45" x14ac:dyDescent="0.35">
      <c r="A352" s="143" t="s">
        <v>2866</v>
      </c>
      <c r="B352" s="143" t="s">
        <v>765</v>
      </c>
      <c r="C352" s="143" t="s">
        <v>663</v>
      </c>
      <c r="D352" s="143">
        <v>3222</v>
      </c>
      <c r="F352" s="137">
        <v>1</v>
      </c>
      <c r="G352" s="137">
        <v>1</v>
      </c>
      <c r="H352" s="137"/>
      <c r="I352" s="137"/>
      <c r="K352" s="143" t="s">
        <v>2866</v>
      </c>
      <c r="L352" s="143" t="s">
        <v>765</v>
      </c>
      <c r="M352" s="143" t="s">
        <v>663</v>
      </c>
      <c r="N352" s="143">
        <v>3222</v>
      </c>
      <c r="O352" s="137">
        <v>0.4</v>
      </c>
      <c r="Q352" s="137">
        <v>1</v>
      </c>
      <c r="R352" s="137" t="s">
        <v>2486</v>
      </c>
      <c r="T352" s="137" t="s">
        <v>2838</v>
      </c>
      <c r="U352" s="137" t="s">
        <v>2838</v>
      </c>
      <c r="W352" s="143" t="s">
        <v>2866</v>
      </c>
      <c r="X352" s="143" t="s">
        <v>765</v>
      </c>
      <c r="Y352" s="143" t="s">
        <v>663</v>
      </c>
      <c r="Z352" s="143">
        <v>3222</v>
      </c>
      <c r="AG352" s="143" t="s">
        <v>2866</v>
      </c>
      <c r="AH352" s="143" t="s">
        <v>765</v>
      </c>
      <c r="AI352" s="143" t="s">
        <v>663</v>
      </c>
      <c r="AJ352" s="143">
        <v>3222</v>
      </c>
    </row>
    <row r="353" spans="1:45" x14ac:dyDescent="0.35">
      <c r="A353" s="143" t="s">
        <v>2866</v>
      </c>
      <c r="B353" s="143" t="s">
        <v>765</v>
      </c>
      <c r="C353" s="143" t="s">
        <v>663</v>
      </c>
      <c r="D353" s="143">
        <v>3488</v>
      </c>
      <c r="F353" s="137">
        <v>1</v>
      </c>
      <c r="G353" s="137">
        <v>1</v>
      </c>
      <c r="H353" s="137"/>
      <c r="I353" s="137"/>
      <c r="K353" s="143" t="s">
        <v>2866</v>
      </c>
      <c r="L353" s="143" t="s">
        <v>765</v>
      </c>
      <c r="M353" s="143" t="s">
        <v>663</v>
      </c>
      <c r="N353" s="143">
        <v>3488</v>
      </c>
      <c r="O353" s="137">
        <v>0.4</v>
      </c>
      <c r="Q353" s="137">
        <v>1</v>
      </c>
      <c r="R353" s="137" t="s">
        <v>2486</v>
      </c>
      <c r="T353" s="137" t="s">
        <v>2838</v>
      </c>
      <c r="U353" s="137" t="s">
        <v>2838</v>
      </c>
      <c r="W353" s="143" t="s">
        <v>2866</v>
      </c>
      <c r="X353" s="143" t="s">
        <v>765</v>
      </c>
      <c r="Y353" s="143" t="s">
        <v>663</v>
      </c>
      <c r="Z353" s="143">
        <v>3488</v>
      </c>
      <c r="AG353" s="143" t="s">
        <v>2866</v>
      </c>
      <c r="AH353" s="143" t="s">
        <v>765</v>
      </c>
      <c r="AI353" s="143" t="s">
        <v>663</v>
      </c>
      <c r="AJ353" s="143">
        <v>3488</v>
      </c>
    </row>
    <row r="354" spans="1:45" x14ac:dyDescent="0.35">
      <c r="A354" s="143" t="s">
        <v>2866</v>
      </c>
      <c r="B354" s="143" t="s">
        <v>765</v>
      </c>
      <c r="C354" s="143" t="s">
        <v>663</v>
      </c>
      <c r="D354" s="143">
        <v>3763</v>
      </c>
      <c r="F354" s="137">
        <v>1</v>
      </c>
      <c r="G354" s="137">
        <v>1</v>
      </c>
      <c r="H354" s="137"/>
      <c r="I354" s="137"/>
      <c r="K354" s="143" t="s">
        <v>2866</v>
      </c>
      <c r="L354" s="143" t="s">
        <v>765</v>
      </c>
      <c r="M354" s="143" t="s">
        <v>663</v>
      </c>
      <c r="N354" s="143">
        <v>3763</v>
      </c>
      <c r="O354" s="137">
        <v>0.3</v>
      </c>
      <c r="Q354" s="137">
        <v>0.75</v>
      </c>
      <c r="R354" s="137" t="s">
        <v>2487</v>
      </c>
      <c r="T354" s="137" t="s">
        <v>2838</v>
      </c>
      <c r="U354" s="137" t="s">
        <v>2838</v>
      </c>
      <c r="W354" s="143" t="s">
        <v>2866</v>
      </c>
      <c r="X354" s="143" t="s">
        <v>765</v>
      </c>
      <c r="Y354" s="143" t="s">
        <v>663</v>
      </c>
      <c r="Z354" s="143">
        <v>3763</v>
      </c>
      <c r="AG354" s="143" t="s">
        <v>2866</v>
      </c>
      <c r="AH354" s="143" t="s">
        <v>765</v>
      </c>
      <c r="AI354" s="143" t="s">
        <v>663</v>
      </c>
      <c r="AJ354" s="143">
        <v>3763</v>
      </c>
    </row>
    <row r="355" spans="1:45" x14ac:dyDescent="0.35">
      <c r="A355" s="143" t="s">
        <v>2867</v>
      </c>
      <c r="B355" s="143" t="s">
        <v>753</v>
      </c>
      <c r="C355" s="143" t="s">
        <v>843</v>
      </c>
      <c r="D355" s="143">
        <v>845</v>
      </c>
      <c r="E355" s="143">
        <v>8</v>
      </c>
      <c r="F355" s="137"/>
      <c r="G355" s="137"/>
      <c r="H355" s="137">
        <v>1</v>
      </c>
      <c r="I355" s="137">
        <v>0</v>
      </c>
      <c r="K355" s="143" t="s">
        <v>2867</v>
      </c>
      <c r="L355" s="143" t="s">
        <v>753</v>
      </c>
      <c r="M355" s="143" t="s">
        <v>843</v>
      </c>
      <c r="N355" s="143">
        <v>845</v>
      </c>
      <c r="O355" s="137">
        <v>0.36599999999999999</v>
      </c>
      <c r="P355" s="137">
        <v>0.45</v>
      </c>
      <c r="Q355" s="137">
        <v>0.81599999999999995</v>
      </c>
      <c r="R355" s="137" t="s">
        <v>2487</v>
      </c>
      <c r="S355" s="137">
        <v>0.38888889999999998</v>
      </c>
      <c r="T355" s="137" t="s">
        <v>2486</v>
      </c>
      <c r="U355" s="137" t="s">
        <v>2486</v>
      </c>
      <c r="W355" s="143" t="s">
        <v>2867</v>
      </c>
      <c r="X355" s="143" t="s">
        <v>753</v>
      </c>
      <c r="Y355" s="143" t="s">
        <v>843</v>
      </c>
      <c r="Z355" s="143">
        <v>845</v>
      </c>
      <c r="AA355" s="143">
        <v>8</v>
      </c>
      <c r="AB355" s="137">
        <v>0.375</v>
      </c>
      <c r="AC355" s="137">
        <v>0</v>
      </c>
      <c r="AD355" s="137">
        <v>0</v>
      </c>
      <c r="AE355" s="137">
        <v>0.13888890000000001</v>
      </c>
      <c r="AG355" s="143" t="s">
        <v>2867</v>
      </c>
      <c r="AH355" s="143" t="s">
        <v>753</v>
      </c>
      <c r="AI355" s="143" t="s">
        <v>843</v>
      </c>
      <c r="AJ355" s="143">
        <v>845</v>
      </c>
      <c r="AK355" s="143">
        <v>8</v>
      </c>
      <c r="AL355" s="156">
        <v>1.75</v>
      </c>
      <c r="AM355" s="156">
        <v>3.5</v>
      </c>
      <c r="AN355" s="156">
        <v>3.375</v>
      </c>
      <c r="AO355" s="156">
        <v>3.375</v>
      </c>
      <c r="AP355" s="156">
        <v>3.125</v>
      </c>
      <c r="AQ355" s="156">
        <v>3.25</v>
      </c>
      <c r="AR355" s="156">
        <v>3.625</v>
      </c>
      <c r="AS355" s="169">
        <v>3.3571430000000002</v>
      </c>
    </row>
    <row r="356" spans="1:45" x14ac:dyDescent="0.35">
      <c r="A356" s="143" t="s">
        <v>2867</v>
      </c>
      <c r="B356" s="143" t="s">
        <v>753</v>
      </c>
      <c r="C356" s="143" t="s">
        <v>842</v>
      </c>
      <c r="D356" s="143">
        <v>848</v>
      </c>
      <c r="E356" s="143">
        <v>2</v>
      </c>
      <c r="F356" s="137"/>
      <c r="G356" s="137"/>
      <c r="H356" s="137">
        <v>1</v>
      </c>
      <c r="I356" s="137">
        <v>0</v>
      </c>
      <c r="K356" s="143" t="s">
        <v>2867</v>
      </c>
      <c r="L356" s="143" t="s">
        <v>753</v>
      </c>
      <c r="M356" s="143" t="s">
        <v>842</v>
      </c>
      <c r="N356" s="143">
        <v>848</v>
      </c>
      <c r="O356" s="137">
        <v>0.4</v>
      </c>
      <c r="P356" s="137">
        <v>0.6</v>
      </c>
      <c r="Q356" s="137">
        <v>1</v>
      </c>
      <c r="R356" s="137" t="s">
        <v>2486</v>
      </c>
      <c r="S356" s="137">
        <v>0.3333333</v>
      </c>
      <c r="T356" s="137" t="s">
        <v>2486</v>
      </c>
      <c r="U356" s="137" t="s">
        <v>2486</v>
      </c>
      <c r="W356" s="143" t="s">
        <v>2867</v>
      </c>
      <c r="X356" s="143" t="s">
        <v>753</v>
      </c>
      <c r="Y356" s="143" t="s">
        <v>842</v>
      </c>
      <c r="Z356" s="143">
        <v>848</v>
      </c>
      <c r="AA356" s="143">
        <v>0</v>
      </c>
      <c r="AD356" s="137">
        <v>0</v>
      </c>
      <c r="AG356" s="143" t="s">
        <v>2867</v>
      </c>
      <c r="AH356" s="143" t="s">
        <v>753</v>
      </c>
      <c r="AI356" s="143" t="s">
        <v>842</v>
      </c>
      <c r="AJ356" s="143">
        <v>848</v>
      </c>
      <c r="AK356" s="143">
        <v>2</v>
      </c>
      <c r="AL356" s="156">
        <v>2</v>
      </c>
      <c r="AM356" s="156">
        <v>3</v>
      </c>
      <c r="AN356" s="156">
        <v>3</v>
      </c>
      <c r="AO356" s="156">
        <v>3</v>
      </c>
      <c r="AP356" s="156">
        <v>3</v>
      </c>
      <c r="AQ356" s="156">
        <v>3</v>
      </c>
      <c r="AR356" s="156">
        <v>3</v>
      </c>
      <c r="AS356" s="169">
        <v>3</v>
      </c>
    </row>
    <row r="357" spans="1:45" x14ac:dyDescent="0.35">
      <c r="A357" s="143" t="s">
        <v>2867</v>
      </c>
      <c r="B357" s="143" t="s">
        <v>753</v>
      </c>
      <c r="C357" s="143" t="s">
        <v>841</v>
      </c>
      <c r="D357" s="143">
        <v>1578</v>
      </c>
      <c r="E357" s="143">
        <v>3</v>
      </c>
      <c r="F357" s="137"/>
      <c r="G357" s="137"/>
      <c r="H357" s="137">
        <v>1</v>
      </c>
      <c r="I357" s="137">
        <v>0</v>
      </c>
      <c r="K357" s="143" t="s">
        <v>2867</v>
      </c>
      <c r="L357" s="143" t="s">
        <v>753</v>
      </c>
      <c r="M357" s="143" t="s">
        <v>841</v>
      </c>
      <c r="N357" s="143">
        <v>1578</v>
      </c>
      <c r="O357" s="137">
        <v>0.37866670000000002</v>
      </c>
      <c r="P357" s="137">
        <v>0.6</v>
      </c>
      <c r="Q357" s="137">
        <v>0.9786667</v>
      </c>
      <c r="R357" s="137" t="s">
        <v>2487</v>
      </c>
      <c r="S357" s="137">
        <v>0.4</v>
      </c>
      <c r="T357" s="137" t="s">
        <v>2486</v>
      </c>
      <c r="U357" s="137" t="s">
        <v>2486</v>
      </c>
      <c r="W357" s="143" t="s">
        <v>2867</v>
      </c>
      <c r="X357" s="143" t="s">
        <v>753</v>
      </c>
      <c r="Y357" s="143" t="s">
        <v>841</v>
      </c>
      <c r="Z357" s="143">
        <v>1578</v>
      </c>
      <c r="AA357" s="143">
        <v>0</v>
      </c>
      <c r="AD357" s="137">
        <v>0</v>
      </c>
      <c r="AE357" s="137">
        <v>0.2</v>
      </c>
      <c r="AG357" s="143" t="s">
        <v>2867</v>
      </c>
      <c r="AH357" s="143" t="s">
        <v>753</v>
      </c>
      <c r="AI357" s="143" t="s">
        <v>841</v>
      </c>
      <c r="AJ357" s="143">
        <v>1578</v>
      </c>
      <c r="AK357" s="143">
        <v>3</v>
      </c>
      <c r="AL357" s="156">
        <v>1</v>
      </c>
      <c r="AM357" s="156">
        <v>4</v>
      </c>
      <c r="AN357" s="156">
        <v>4</v>
      </c>
      <c r="AO357" s="156">
        <v>1</v>
      </c>
      <c r="AP357" s="156">
        <v>2</v>
      </c>
      <c r="AQ357" s="156">
        <v>4</v>
      </c>
      <c r="AR357" s="156">
        <v>4</v>
      </c>
      <c r="AS357" s="169">
        <v>3.285714</v>
      </c>
    </row>
    <row r="358" spans="1:45" x14ac:dyDescent="0.35">
      <c r="A358" s="143" t="s">
        <v>2867</v>
      </c>
      <c r="B358" s="143" t="s">
        <v>753</v>
      </c>
      <c r="C358" s="143" t="s">
        <v>663</v>
      </c>
      <c r="D358" s="143">
        <v>2141</v>
      </c>
      <c r="E358" s="143">
        <v>2</v>
      </c>
      <c r="F358" s="137"/>
      <c r="G358" s="137"/>
      <c r="H358" s="137">
        <v>1</v>
      </c>
      <c r="I358" s="137">
        <v>0</v>
      </c>
      <c r="K358" s="143" t="s">
        <v>2867</v>
      </c>
      <c r="L358" s="143" t="s">
        <v>753</v>
      </c>
      <c r="M358" s="143" t="s">
        <v>663</v>
      </c>
      <c r="N358" s="143">
        <v>2141</v>
      </c>
      <c r="O358" s="137">
        <v>0.23200000000000001</v>
      </c>
      <c r="P358" s="137">
        <v>0.6</v>
      </c>
      <c r="Q358" s="137">
        <v>0.83199999999999996</v>
      </c>
      <c r="R358" s="137" t="s">
        <v>2487</v>
      </c>
      <c r="S358" s="137">
        <v>0.3333333</v>
      </c>
      <c r="T358" s="137" t="s">
        <v>2486</v>
      </c>
      <c r="U358" s="137" t="s">
        <v>2838</v>
      </c>
      <c r="W358" s="143" t="s">
        <v>2867</v>
      </c>
      <c r="X358" s="143" t="s">
        <v>753</v>
      </c>
      <c r="Y358" s="143" t="s">
        <v>663</v>
      </c>
      <c r="Z358" s="143">
        <v>2141</v>
      </c>
      <c r="AA358" s="143">
        <v>0</v>
      </c>
      <c r="AD358" s="137">
        <v>0</v>
      </c>
      <c r="AG358" s="143" t="s">
        <v>2867</v>
      </c>
      <c r="AH358" s="143" t="s">
        <v>753</v>
      </c>
      <c r="AI358" s="143" t="s">
        <v>663</v>
      </c>
      <c r="AJ358" s="143">
        <v>2141</v>
      </c>
      <c r="AK358" s="143">
        <v>2</v>
      </c>
      <c r="AL358" s="156">
        <v>2</v>
      </c>
      <c r="AM358" s="156">
        <v>4</v>
      </c>
      <c r="AN358" s="156">
        <v>3.5</v>
      </c>
      <c r="AO358" s="156">
        <v>3</v>
      </c>
      <c r="AP358" s="156">
        <v>2</v>
      </c>
      <c r="AQ358" s="156">
        <v>3</v>
      </c>
      <c r="AR358" s="156">
        <v>3</v>
      </c>
      <c r="AS358" s="169">
        <v>3.0714290000000002</v>
      </c>
    </row>
    <row r="359" spans="1:45" x14ac:dyDescent="0.35">
      <c r="A359" s="143" t="s">
        <v>2867</v>
      </c>
      <c r="B359" s="143" t="s">
        <v>753</v>
      </c>
      <c r="C359" s="143" t="s">
        <v>842</v>
      </c>
      <c r="D359" s="143">
        <v>2143</v>
      </c>
      <c r="E359" s="143">
        <v>2</v>
      </c>
      <c r="F359" s="137"/>
      <c r="G359" s="137"/>
      <c r="H359" s="137">
        <v>1</v>
      </c>
      <c r="I359" s="137">
        <v>0</v>
      </c>
      <c r="K359" s="143" t="s">
        <v>2867</v>
      </c>
      <c r="L359" s="143" t="s">
        <v>753</v>
      </c>
      <c r="M359" s="143" t="s">
        <v>842</v>
      </c>
      <c r="N359" s="143">
        <v>2143</v>
      </c>
      <c r="O359" s="137">
        <v>0.4</v>
      </c>
      <c r="P359" s="137">
        <v>0.6</v>
      </c>
      <c r="Q359" s="137">
        <v>1</v>
      </c>
      <c r="R359" s="137" t="s">
        <v>2486</v>
      </c>
      <c r="S359" s="137">
        <v>0.125</v>
      </c>
      <c r="T359" s="137" t="s">
        <v>2486</v>
      </c>
      <c r="U359" s="137" t="s">
        <v>2486</v>
      </c>
      <c r="W359" s="143" t="s">
        <v>2867</v>
      </c>
      <c r="X359" s="143" t="s">
        <v>753</v>
      </c>
      <c r="Y359" s="143" t="s">
        <v>842</v>
      </c>
      <c r="Z359" s="143">
        <v>2143</v>
      </c>
      <c r="AA359" s="143">
        <v>0</v>
      </c>
      <c r="AD359" s="137">
        <v>0</v>
      </c>
      <c r="AG359" s="143" t="s">
        <v>2867</v>
      </c>
      <c r="AH359" s="143" t="s">
        <v>753</v>
      </c>
      <c r="AI359" s="143" t="s">
        <v>842</v>
      </c>
      <c r="AJ359" s="143">
        <v>2143</v>
      </c>
      <c r="AK359" s="143">
        <v>2</v>
      </c>
      <c r="AL359" s="156">
        <v>2</v>
      </c>
      <c r="AM359" s="156">
        <v>3.5</v>
      </c>
      <c r="AN359" s="156">
        <v>3</v>
      </c>
      <c r="AO359" s="156">
        <v>3.5</v>
      </c>
      <c r="AP359" s="156">
        <v>3</v>
      </c>
      <c r="AQ359" s="156">
        <v>3.5</v>
      </c>
      <c r="AR359" s="156">
        <v>3.5</v>
      </c>
      <c r="AS359" s="169">
        <v>3.285714</v>
      </c>
    </row>
    <row r="360" spans="1:45" x14ac:dyDescent="0.35">
      <c r="A360" s="143" t="s">
        <v>2867</v>
      </c>
      <c r="B360" s="143" t="s">
        <v>753</v>
      </c>
      <c r="C360" s="143" t="s">
        <v>663</v>
      </c>
      <c r="D360" s="143">
        <v>2695</v>
      </c>
      <c r="E360" s="143">
        <v>2</v>
      </c>
      <c r="F360" s="137"/>
      <c r="G360" s="137"/>
      <c r="H360" s="137">
        <v>1</v>
      </c>
      <c r="I360" s="137">
        <v>0</v>
      </c>
      <c r="K360" s="143" t="s">
        <v>2867</v>
      </c>
      <c r="L360" s="143" t="s">
        <v>753</v>
      </c>
      <c r="M360" s="143" t="s">
        <v>663</v>
      </c>
      <c r="N360" s="143">
        <v>2695</v>
      </c>
      <c r="O360" s="137">
        <v>0.4</v>
      </c>
      <c r="P360" s="137">
        <v>0.6</v>
      </c>
      <c r="Q360" s="137">
        <v>1</v>
      </c>
      <c r="R360" s="137" t="s">
        <v>2486</v>
      </c>
      <c r="S360" s="137">
        <v>0.5</v>
      </c>
      <c r="T360" s="137" t="s">
        <v>2486</v>
      </c>
      <c r="U360" s="137" t="s">
        <v>2838</v>
      </c>
      <c r="W360" s="143" t="s">
        <v>2867</v>
      </c>
      <c r="X360" s="143" t="s">
        <v>753</v>
      </c>
      <c r="Y360" s="143" t="s">
        <v>663</v>
      </c>
      <c r="Z360" s="143">
        <v>2695</v>
      </c>
      <c r="AA360" s="143">
        <v>0</v>
      </c>
      <c r="AD360" s="137">
        <v>0.1666667</v>
      </c>
      <c r="AE360" s="137">
        <v>0</v>
      </c>
      <c r="AG360" s="143" t="s">
        <v>2867</v>
      </c>
      <c r="AH360" s="143" t="s">
        <v>753</v>
      </c>
      <c r="AI360" s="143" t="s">
        <v>663</v>
      </c>
      <c r="AJ360" s="143">
        <v>2695</v>
      </c>
      <c r="AK360" s="143">
        <v>2</v>
      </c>
      <c r="AL360" s="156">
        <v>2</v>
      </c>
      <c r="AM360" s="156">
        <v>3</v>
      </c>
      <c r="AN360" s="156">
        <v>3</v>
      </c>
      <c r="AO360" s="156">
        <v>3</v>
      </c>
      <c r="AP360" s="156">
        <v>3</v>
      </c>
      <c r="AQ360" s="156">
        <v>3</v>
      </c>
      <c r="AR360" s="156">
        <v>3</v>
      </c>
      <c r="AS360" s="169">
        <v>3</v>
      </c>
    </row>
    <row r="361" spans="1:45" x14ac:dyDescent="0.35">
      <c r="A361" s="143" t="s">
        <v>2867</v>
      </c>
      <c r="B361" s="143" t="s">
        <v>753</v>
      </c>
      <c r="C361" s="143" t="s">
        <v>663</v>
      </c>
      <c r="D361" s="143">
        <v>2696</v>
      </c>
      <c r="E361" s="143">
        <v>2</v>
      </c>
      <c r="F361" s="137"/>
      <c r="G361" s="137"/>
      <c r="H361" s="137">
        <v>1</v>
      </c>
      <c r="I361" s="137">
        <v>0</v>
      </c>
      <c r="K361" s="143" t="s">
        <v>2867</v>
      </c>
      <c r="L361" s="143" t="s">
        <v>753</v>
      </c>
      <c r="M361" s="143" t="s">
        <v>663</v>
      </c>
      <c r="N361" s="143">
        <v>2696</v>
      </c>
      <c r="O361" s="137">
        <v>0.4</v>
      </c>
      <c r="P361" s="137">
        <v>0.3</v>
      </c>
      <c r="Q361" s="137">
        <v>0.7</v>
      </c>
      <c r="R361" s="137" t="s">
        <v>2487</v>
      </c>
      <c r="S361" s="137">
        <v>0.4</v>
      </c>
      <c r="T361" s="137" t="s">
        <v>2486</v>
      </c>
      <c r="U361" s="137" t="s">
        <v>2838</v>
      </c>
      <c r="W361" s="143" t="s">
        <v>2867</v>
      </c>
      <c r="X361" s="143" t="s">
        <v>753</v>
      </c>
      <c r="Y361" s="143" t="s">
        <v>663</v>
      </c>
      <c r="Z361" s="143">
        <v>2696</v>
      </c>
      <c r="AA361" s="143">
        <v>0</v>
      </c>
      <c r="AD361" s="137">
        <v>0</v>
      </c>
      <c r="AG361" s="143" t="s">
        <v>2867</v>
      </c>
      <c r="AH361" s="143" t="s">
        <v>753</v>
      </c>
      <c r="AI361" s="143" t="s">
        <v>663</v>
      </c>
      <c r="AJ361" s="143">
        <v>2696</v>
      </c>
      <c r="AK361" s="143">
        <v>2</v>
      </c>
      <c r="AL361" s="156">
        <v>2</v>
      </c>
      <c r="AM361" s="156">
        <v>3</v>
      </c>
      <c r="AN361" s="156">
        <v>3</v>
      </c>
      <c r="AO361" s="156">
        <v>3</v>
      </c>
      <c r="AP361" s="156">
        <v>3</v>
      </c>
      <c r="AQ361" s="156">
        <v>3</v>
      </c>
      <c r="AR361" s="156">
        <v>3.5</v>
      </c>
      <c r="AS361" s="169">
        <v>3.0714290000000002</v>
      </c>
    </row>
    <row r="362" spans="1:45" x14ac:dyDescent="0.35">
      <c r="A362" s="143" t="s">
        <v>2867</v>
      </c>
      <c r="B362" s="143" t="s">
        <v>753</v>
      </c>
      <c r="C362" s="143" t="s">
        <v>663</v>
      </c>
      <c r="D362" s="143">
        <v>2697</v>
      </c>
      <c r="E362" s="143">
        <v>2</v>
      </c>
      <c r="F362" s="137"/>
      <c r="G362" s="137"/>
      <c r="H362" s="137">
        <v>1</v>
      </c>
      <c r="I362" s="137">
        <v>0</v>
      </c>
      <c r="K362" s="143" t="s">
        <v>2867</v>
      </c>
      <c r="L362" s="143" t="s">
        <v>753</v>
      </c>
      <c r="M362" s="143" t="s">
        <v>663</v>
      </c>
      <c r="N362" s="143">
        <v>2697</v>
      </c>
      <c r="O362" s="137">
        <v>0.4</v>
      </c>
      <c r="P362" s="137">
        <v>0.6</v>
      </c>
      <c r="Q362" s="137">
        <v>1</v>
      </c>
      <c r="R362" s="137" t="s">
        <v>2486</v>
      </c>
      <c r="S362" s="137">
        <v>0.4</v>
      </c>
      <c r="T362" s="137" t="s">
        <v>2486</v>
      </c>
      <c r="U362" s="137" t="s">
        <v>2838</v>
      </c>
      <c r="W362" s="143" t="s">
        <v>2867</v>
      </c>
      <c r="X362" s="143" t="s">
        <v>753</v>
      </c>
      <c r="Y362" s="143" t="s">
        <v>663</v>
      </c>
      <c r="Z362" s="143">
        <v>2697</v>
      </c>
      <c r="AA362" s="143">
        <v>0</v>
      </c>
      <c r="AD362" s="137">
        <v>0</v>
      </c>
      <c r="AG362" s="143" t="s">
        <v>2867</v>
      </c>
      <c r="AH362" s="143" t="s">
        <v>753</v>
      </c>
      <c r="AI362" s="143" t="s">
        <v>663</v>
      </c>
      <c r="AJ362" s="143">
        <v>2697</v>
      </c>
      <c r="AK362" s="143">
        <v>2</v>
      </c>
      <c r="AL362" s="156">
        <v>1</v>
      </c>
      <c r="AM362" s="156">
        <v>4</v>
      </c>
      <c r="AN362" s="156">
        <v>3</v>
      </c>
      <c r="AO362" s="156">
        <v>3</v>
      </c>
      <c r="AP362" s="156">
        <v>3</v>
      </c>
      <c r="AQ362" s="156">
        <v>3</v>
      </c>
      <c r="AR362" s="156">
        <v>3.5</v>
      </c>
      <c r="AS362" s="169">
        <v>3.3571430000000002</v>
      </c>
    </row>
    <row r="363" spans="1:45" x14ac:dyDescent="0.35">
      <c r="A363" s="143" t="s">
        <v>2867</v>
      </c>
      <c r="B363" s="143" t="s">
        <v>753</v>
      </c>
      <c r="C363" s="143" t="s">
        <v>663</v>
      </c>
      <c r="D363" s="143">
        <v>3222</v>
      </c>
      <c r="E363" s="143">
        <v>2</v>
      </c>
      <c r="F363" s="137"/>
      <c r="G363" s="137"/>
      <c r="H363" s="137">
        <v>1</v>
      </c>
      <c r="I363" s="137">
        <v>1</v>
      </c>
      <c r="K363" s="143" t="s">
        <v>2867</v>
      </c>
      <c r="L363" s="143" t="s">
        <v>753</v>
      </c>
      <c r="M363" s="143" t="s">
        <v>663</v>
      </c>
      <c r="N363" s="143">
        <v>3222</v>
      </c>
      <c r="O363" s="137">
        <v>0.4</v>
      </c>
      <c r="P363" s="137">
        <v>0.6</v>
      </c>
      <c r="Q363" s="137">
        <v>1</v>
      </c>
      <c r="R363" s="137" t="s">
        <v>2486</v>
      </c>
      <c r="S363" s="137">
        <v>0.5</v>
      </c>
      <c r="T363" s="137" t="s">
        <v>2486</v>
      </c>
      <c r="U363" s="137" t="s">
        <v>2838</v>
      </c>
      <c r="W363" s="143" t="s">
        <v>2867</v>
      </c>
      <c r="X363" s="143" t="s">
        <v>753</v>
      </c>
      <c r="Y363" s="143" t="s">
        <v>663</v>
      </c>
      <c r="Z363" s="143">
        <v>3222</v>
      </c>
      <c r="AA363" s="143">
        <v>0</v>
      </c>
      <c r="AD363" s="137">
        <v>0</v>
      </c>
      <c r="AG363" s="143" t="s">
        <v>2867</v>
      </c>
      <c r="AH363" s="143" t="s">
        <v>753</v>
      </c>
      <c r="AI363" s="143" t="s">
        <v>663</v>
      </c>
      <c r="AJ363" s="143">
        <v>3222</v>
      </c>
      <c r="AK363" s="143">
        <v>2</v>
      </c>
      <c r="AL363" s="156">
        <v>2</v>
      </c>
      <c r="AM363" s="156">
        <v>3</v>
      </c>
      <c r="AN363" s="156">
        <v>2.5</v>
      </c>
      <c r="AO363" s="156">
        <v>2.5</v>
      </c>
      <c r="AP363" s="156">
        <v>2.5</v>
      </c>
      <c r="AQ363" s="156">
        <v>2</v>
      </c>
      <c r="AR363" s="156">
        <v>3</v>
      </c>
      <c r="AS363" s="169">
        <v>2.6428569999999998</v>
      </c>
    </row>
    <row r="364" spans="1:45" x14ac:dyDescent="0.35">
      <c r="A364" s="143" t="s">
        <v>2867</v>
      </c>
      <c r="B364" s="143" t="s">
        <v>753</v>
      </c>
      <c r="C364" s="143" t="s">
        <v>663</v>
      </c>
      <c r="D364" s="143">
        <v>3488</v>
      </c>
      <c r="E364" s="143">
        <v>2</v>
      </c>
      <c r="F364" s="137"/>
      <c r="G364" s="137"/>
      <c r="H364" s="137">
        <v>1</v>
      </c>
      <c r="I364" s="137">
        <v>1</v>
      </c>
      <c r="K364" s="143" t="s">
        <v>2867</v>
      </c>
      <c r="L364" s="143" t="s">
        <v>753</v>
      </c>
      <c r="M364" s="143" t="s">
        <v>663</v>
      </c>
      <c r="N364" s="143">
        <v>3488</v>
      </c>
      <c r="O364" s="137">
        <v>0.4</v>
      </c>
      <c r="P364" s="137">
        <v>0.6</v>
      </c>
      <c r="Q364" s="137">
        <v>1</v>
      </c>
      <c r="R364" s="137" t="s">
        <v>2486</v>
      </c>
      <c r="S364" s="137">
        <v>0.4</v>
      </c>
      <c r="T364" s="137" t="s">
        <v>2486</v>
      </c>
      <c r="U364" s="137" t="s">
        <v>2838</v>
      </c>
      <c r="W364" s="143" t="s">
        <v>2867</v>
      </c>
      <c r="X364" s="143" t="s">
        <v>753</v>
      </c>
      <c r="Y364" s="143" t="s">
        <v>663</v>
      </c>
      <c r="Z364" s="143">
        <v>3488</v>
      </c>
      <c r="AA364" s="143">
        <v>0</v>
      </c>
      <c r="AD364" s="137">
        <v>0</v>
      </c>
      <c r="AE364" s="137">
        <v>0.2</v>
      </c>
      <c r="AG364" s="143" t="s">
        <v>2867</v>
      </c>
      <c r="AH364" s="143" t="s">
        <v>753</v>
      </c>
      <c r="AI364" s="143" t="s">
        <v>663</v>
      </c>
      <c r="AJ364" s="143">
        <v>3488</v>
      </c>
      <c r="AK364" s="143">
        <v>2</v>
      </c>
      <c r="AL364" s="156">
        <v>2</v>
      </c>
      <c r="AM364" s="156">
        <v>3</v>
      </c>
      <c r="AN364" s="156">
        <v>3</v>
      </c>
      <c r="AO364" s="156">
        <v>3</v>
      </c>
      <c r="AP364" s="156">
        <v>2</v>
      </c>
      <c r="AQ364" s="156">
        <v>2</v>
      </c>
      <c r="AR364" s="156">
        <v>3</v>
      </c>
      <c r="AS364" s="169">
        <v>2.714286</v>
      </c>
    </row>
    <row r="365" spans="1:45" x14ac:dyDescent="0.35">
      <c r="A365" s="143" t="s">
        <v>2867</v>
      </c>
      <c r="B365" s="143" t="s">
        <v>753</v>
      </c>
      <c r="C365" s="143" t="s">
        <v>663</v>
      </c>
      <c r="D365" s="143">
        <v>3763</v>
      </c>
      <c r="E365" s="143">
        <v>2</v>
      </c>
      <c r="F365" s="137"/>
      <c r="G365" s="137"/>
      <c r="H365" s="137">
        <v>1</v>
      </c>
      <c r="I365" s="137">
        <v>0.5</v>
      </c>
      <c r="K365" s="143" t="s">
        <v>2867</v>
      </c>
      <c r="L365" s="143" t="s">
        <v>753</v>
      </c>
      <c r="M365" s="143" t="s">
        <v>663</v>
      </c>
      <c r="N365" s="143">
        <v>3763</v>
      </c>
      <c r="O365" s="137">
        <v>0.4</v>
      </c>
      <c r="P365" s="137">
        <v>0.6</v>
      </c>
      <c r="Q365" s="137">
        <v>1</v>
      </c>
      <c r="R365" s="137" t="s">
        <v>2486</v>
      </c>
      <c r="S365" s="137">
        <v>0.4</v>
      </c>
      <c r="T365" s="137" t="s">
        <v>2486</v>
      </c>
      <c r="U365" s="137" t="s">
        <v>2838</v>
      </c>
      <c r="W365" s="143" t="s">
        <v>2867</v>
      </c>
      <c r="X365" s="143" t="s">
        <v>753</v>
      </c>
      <c r="Y365" s="143" t="s">
        <v>663</v>
      </c>
      <c r="Z365" s="143">
        <v>3763</v>
      </c>
      <c r="AA365" s="143">
        <v>0</v>
      </c>
      <c r="AD365" s="137">
        <v>0</v>
      </c>
      <c r="AE365" s="137">
        <v>0.4</v>
      </c>
      <c r="AG365" s="143" t="s">
        <v>2867</v>
      </c>
      <c r="AH365" s="143" t="s">
        <v>753</v>
      </c>
      <c r="AI365" s="143" t="s">
        <v>663</v>
      </c>
      <c r="AJ365" s="143">
        <v>3763</v>
      </c>
      <c r="AK365" s="143">
        <v>2</v>
      </c>
      <c r="AL365" s="156">
        <v>1</v>
      </c>
      <c r="AM365" s="156">
        <v>4</v>
      </c>
      <c r="AN365" s="156">
        <v>3.5</v>
      </c>
      <c r="AO365" s="156">
        <v>4</v>
      </c>
      <c r="AP365" s="156">
        <v>2.5</v>
      </c>
      <c r="AQ365" s="156">
        <v>4</v>
      </c>
      <c r="AR365" s="156">
        <v>4</v>
      </c>
      <c r="AS365" s="169">
        <v>3.714286</v>
      </c>
    </row>
    <row r="366" spans="1:45" x14ac:dyDescent="0.35">
      <c r="A366" s="143" t="s">
        <v>754</v>
      </c>
      <c r="B366" s="143" t="s">
        <v>736</v>
      </c>
      <c r="C366" s="143" t="s">
        <v>843</v>
      </c>
      <c r="D366" s="143">
        <v>815</v>
      </c>
      <c r="E366" s="143">
        <v>8</v>
      </c>
      <c r="F366" s="137">
        <v>1</v>
      </c>
      <c r="G366" s="137">
        <v>1</v>
      </c>
      <c r="H366" s="137">
        <v>1</v>
      </c>
      <c r="I366" s="137">
        <v>1</v>
      </c>
      <c r="K366" s="143" t="s">
        <v>754</v>
      </c>
      <c r="L366" s="143" t="s">
        <v>736</v>
      </c>
      <c r="M366" s="143" t="s">
        <v>843</v>
      </c>
      <c r="N366" s="143">
        <v>815</v>
      </c>
      <c r="O366" s="137">
        <v>0.4</v>
      </c>
      <c r="P366" s="137">
        <v>0.6</v>
      </c>
      <c r="Q366" s="137">
        <v>1</v>
      </c>
      <c r="R366" s="137" t="s">
        <v>2486</v>
      </c>
      <c r="S366" s="137">
        <v>0.3333333</v>
      </c>
      <c r="T366" s="137" t="s">
        <v>2486</v>
      </c>
      <c r="U366" s="137" t="s">
        <v>2486</v>
      </c>
      <c r="W366" s="143" t="s">
        <v>754</v>
      </c>
      <c r="X366" s="143" t="s">
        <v>736</v>
      </c>
      <c r="Y366" s="143" t="s">
        <v>843</v>
      </c>
      <c r="Z366" s="143">
        <v>815</v>
      </c>
      <c r="AA366" s="143">
        <v>8</v>
      </c>
      <c r="AB366" s="137">
        <v>0.375</v>
      </c>
      <c r="AC366" s="137">
        <v>0</v>
      </c>
      <c r="AD366" s="137">
        <v>0</v>
      </c>
      <c r="AE366" s="137">
        <v>8.3333299999999999E-2</v>
      </c>
      <c r="AG366" s="143" t="s">
        <v>754</v>
      </c>
      <c r="AH366" s="143" t="s">
        <v>736</v>
      </c>
      <c r="AI366" s="143" t="s">
        <v>843</v>
      </c>
      <c r="AJ366" s="143">
        <v>815</v>
      </c>
      <c r="AK366" s="143">
        <v>8</v>
      </c>
      <c r="AL366" s="156">
        <v>2.125</v>
      </c>
      <c r="AM366" s="156">
        <v>3</v>
      </c>
      <c r="AN366" s="156">
        <v>2.75</v>
      </c>
      <c r="AO366" s="156">
        <v>2.625</v>
      </c>
      <c r="AP366" s="156">
        <v>3</v>
      </c>
      <c r="AQ366" s="156">
        <v>3</v>
      </c>
      <c r="AR366" s="156">
        <v>3</v>
      </c>
      <c r="AS366" s="169">
        <v>2.8928569999999998</v>
      </c>
    </row>
    <row r="367" spans="1:45" x14ac:dyDescent="0.35">
      <c r="A367" s="143" t="s">
        <v>754</v>
      </c>
      <c r="B367" s="143" t="s">
        <v>736</v>
      </c>
      <c r="C367" s="143" t="s">
        <v>842</v>
      </c>
      <c r="D367" s="143">
        <v>826</v>
      </c>
      <c r="E367" s="143">
        <v>2</v>
      </c>
      <c r="F367" s="137">
        <v>1</v>
      </c>
      <c r="G367" s="137">
        <v>1</v>
      </c>
      <c r="H367" s="137">
        <v>1</v>
      </c>
      <c r="I367" s="137">
        <v>1</v>
      </c>
      <c r="K367" s="143" t="s">
        <v>754</v>
      </c>
      <c r="L367" s="143" t="s">
        <v>736</v>
      </c>
      <c r="M367" s="143" t="s">
        <v>842</v>
      </c>
      <c r="N367" s="143">
        <v>826</v>
      </c>
      <c r="O367" s="137">
        <v>0.4</v>
      </c>
      <c r="P367" s="137">
        <v>0.6</v>
      </c>
      <c r="Q367" s="137">
        <v>1</v>
      </c>
      <c r="R367" s="137" t="s">
        <v>2486</v>
      </c>
      <c r="S367" s="137">
        <v>0.5</v>
      </c>
      <c r="T367" s="137" t="s">
        <v>2486</v>
      </c>
      <c r="U367" s="137" t="s">
        <v>2486</v>
      </c>
      <c r="W367" s="143" t="s">
        <v>754</v>
      </c>
      <c r="X367" s="143" t="s">
        <v>736</v>
      </c>
      <c r="Y367" s="143" t="s">
        <v>842</v>
      </c>
      <c r="Z367" s="143">
        <v>826</v>
      </c>
      <c r="AA367" s="143">
        <v>0</v>
      </c>
      <c r="AD367" s="137">
        <v>0</v>
      </c>
      <c r="AE367" s="137">
        <v>0.25</v>
      </c>
      <c r="AG367" s="143" t="s">
        <v>754</v>
      </c>
      <c r="AH367" s="143" t="s">
        <v>736</v>
      </c>
      <c r="AI367" s="143" t="s">
        <v>842</v>
      </c>
      <c r="AJ367" s="143">
        <v>826</v>
      </c>
      <c r="AK367" s="143">
        <v>2</v>
      </c>
      <c r="AL367" s="156">
        <v>2</v>
      </c>
      <c r="AM367" s="156">
        <v>3</v>
      </c>
      <c r="AN367" s="156">
        <v>3</v>
      </c>
      <c r="AO367" s="156">
        <v>3</v>
      </c>
      <c r="AP367" s="156">
        <v>3</v>
      </c>
      <c r="AQ367" s="156">
        <v>3</v>
      </c>
      <c r="AR367" s="156">
        <v>2.5</v>
      </c>
      <c r="AS367" s="169">
        <v>2.9285709999999998</v>
      </c>
    </row>
    <row r="368" spans="1:45" x14ac:dyDescent="0.35">
      <c r="A368" s="143" t="s">
        <v>754</v>
      </c>
      <c r="B368" s="143" t="s">
        <v>736</v>
      </c>
      <c r="C368" s="143" t="s">
        <v>841</v>
      </c>
      <c r="D368" s="143">
        <v>840</v>
      </c>
      <c r="E368" s="143">
        <v>3</v>
      </c>
      <c r="F368" s="137">
        <v>1</v>
      </c>
      <c r="G368" s="137">
        <v>1</v>
      </c>
      <c r="H368" s="137">
        <v>1</v>
      </c>
      <c r="I368" s="137">
        <v>1</v>
      </c>
      <c r="K368" s="143" t="s">
        <v>754</v>
      </c>
      <c r="L368" s="143" t="s">
        <v>736</v>
      </c>
      <c r="M368" s="143" t="s">
        <v>841</v>
      </c>
      <c r="N368" s="143">
        <v>840</v>
      </c>
      <c r="O368" s="137">
        <v>0.4</v>
      </c>
      <c r="P368" s="137">
        <v>0.6</v>
      </c>
      <c r="Q368" s="137">
        <v>1</v>
      </c>
      <c r="R368" s="137" t="s">
        <v>2486</v>
      </c>
      <c r="S368" s="137">
        <v>0.5</v>
      </c>
      <c r="T368" s="137" t="s">
        <v>2486</v>
      </c>
      <c r="U368" s="137" t="s">
        <v>2486</v>
      </c>
      <c r="W368" s="143" t="s">
        <v>754</v>
      </c>
      <c r="X368" s="143" t="s">
        <v>736</v>
      </c>
      <c r="Y368" s="143" t="s">
        <v>841</v>
      </c>
      <c r="Z368" s="143">
        <v>840</v>
      </c>
      <c r="AA368" s="143">
        <v>0</v>
      </c>
      <c r="AD368" s="137">
        <v>0</v>
      </c>
      <c r="AE368" s="137">
        <v>0.1875</v>
      </c>
      <c r="AG368" s="143" t="s">
        <v>754</v>
      </c>
      <c r="AH368" s="143" t="s">
        <v>736</v>
      </c>
      <c r="AI368" s="143" t="s">
        <v>841</v>
      </c>
      <c r="AJ368" s="143">
        <v>840</v>
      </c>
      <c r="AK368" s="143">
        <v>3</v>
      </c>
      <c r="AL368" s="156">
        <v>2</v>
      </c>
      <c r="AM368" s="156">
        <v>3.3333332538604701</v>
      </c>
      <c r="AN368" s="156">
        <v>2.6666667461395299</v>
      </c>
      <c r="AO368" s="156">
        <v>2.6666667461395299</v>
      </c>
      <c r="AP368" s="156">
        <v>3</v>
      </c>
      <c r="AQ368" s="156">
        <v>3</v>
      </c>
      <c r="AR368" s="156">
        <v>3.3333332538604701</v>
      </c>
      <c r="AS368" s="169">
        <v>3</v>
      </c>
    </row>
    <row r="369" spans="1:45" x14ac:dyDescent="0.35">
      <c r="A369" s="143" t="s">
        <v>754</v>
      </c>
      <c r="B369" s="143" t="s">
        <v>736</v>
      </c>
      <c r="C369" s="143" t="s">
        <v>842</v>
      </c>
      <c r="D369" s="143">
        <v>1630</v>
      </c>
      <c r="E369" s="143">
        <v>2</v>
      </c>
      <c r="F369" s="137">
        <v>1</v>
      </c>
      <c r="G369" s="137">
        <v>1</v>
      </c>
      <c r="H369" s="137">
        <v>1</v>
      </c>
      <c r="I369" s="137">
        <v>1</v>
      </c>
      <c r="K369" s="143" t="s">
        <v>754</v>
      </c>
      <c r="L369" s="143" t="s">
        <v>736</v>
      </c>
      <c r="M369" s="143" t="s">
        <v>842</v>
      </c>
      <c r="N369" s="143">
        <v>1630</v>
      </c>
      <c r="O369" s="137">
        <v>0.4</v>
      </c>
      <c r="P369" s="137">
        <v>0.6</v>
      </c>
      <c r="Q369" s="137">
        <v>1</v>
      </c>
      <c r="R369" s="137" t="s">
        <v>2486</v>
      </c>
      <c r="S369" s="137">
        <v>0.375</v>
      </c>
      <c r="T369" s="137" t="s">
        <v>2486</v>
      </c>
      <c r="U369" s="137" t="s">
        <v>2486</v>
      </c>
      <c r="W369" s="143" t="s">
        <v>754</v>
      </c>
      <c r="X369" s="143" t="s">
        <v>736</v>
      </c>
      <c r="Y369" s="143" t="s">
        <v>842</v>
      </c>
      <c r="Z369" s="143">
        <v>1630</v>
      </c>
      <c r="AA369" s="143">
        <v>0</v>
      </c>
      <c r="AD369" s="137">
        <v>0</v>
      </c>
      <c r="AG369" s="143" t="s">
        <v>754</v>
      </c>
      <c r="AH369" s="143" t="s">
        <v>736</v>
      </c>
      <c r="AI369" s="143" t="s">
        <v>842</v>
      </c>
      <c r="AJ369" s="143">
        <v>1630</v>
      </c>
      <c r="AK369" s="143">
        <v>2</v>
      </c>
      <c r="AL369" s="156">
        <v>2</v>
      </c>
      <c r="AM369" s="156">
        <v>3</v>
      </c>
      <c r="AN369" s="156">
        <v>3</v>
      </c>
      <c r="AO369" s="156">
        <v>3</v>
      </c>
      <c r="AP369" s="156">
        <v>3</v>
      </c>
      <c r="AQ369" s="156">
        <v>3</v>
      </c>
      <c r="AR369" s="156">
        <v>2.5</v>
      </c>
      <c r="AS369" s="169">
        <v>2.9285709999999998</v>
      </c>
    </row>
    <row r="370" spans="1:45" x14ac:dyDescent="0.35">
      <c r="A370" s="143" t="s">
        <v>754</v>
      </c>
      <c r="B370" s="143" t="s">
        <v>736</v>
      </c>
      <c r="C370" s="143" t="s">
        <v>842</v>
      </c>
      <c r="D370" s="143">
        <v>1745</v>
      </c>
      <c r="E370" s="143">
        <v>2</v>
      </c>
      <c r="F370" s="137">
        <v>1</v>
      </c>
      <c r="G370" s="137">
        <v>1</v>
      </c>
      <c r="H370" s="137">
        <v>1</v>
      </c>
      <c r="I370" s="137">
        <v>1</v>
      </c>
      <c r="K370" s="143" t="s">
        <v>754</v>
      </c>
      <c r="L370" s="143" t="s">
        <v>736</v>
      </c>
      <c r="M370" s="143" t="s">
        <v>842</v>
      </c>
      <c r="N370" s="143">
        <v>1745</v>
      </c>
      <c r="O370" s="137">
        <v>0.38933329999999999</v>
      </c>
      <c r="P370" s="137">
        <v>0.3</v>
      </c>
      <c r="Q370" s="137">
        <v>0.68933330000000004</v>
      </c>
      <c r="R370" s="137" t="s">
        <v>2487</v>
      </c>
      <c r="S370" s="137">
        <v>0.44444440000000002</v>
      </c>
      <c r="T370" s="137" t="s">
        <v>2486</v>
      </c>
      <c r="U370" s="137" t="s">
        <v>2486</v>
      </c>
      <c r="W370" s="143" t="s">
        <v>754</v>
      </c>
      <c r="X370" s="143" t="s">
        <v>736</v>
      </c>
      <c r="Y370" s="143" t="s">
        <v>842</v>
      </c>
      <c r="Z370" s="143">
        <v>1745</v>
      </c>
      <c r="AA370" s="143">
        <v>0</v>
      </c>
      <c r="AD370" s="137">
        <v>0</v>
      </c>
      <c r="AG370" s="143" t="s">
        <v>754</v>
      </c>
      <c r="AH370" s="143" t="s">
        <v>736</v>
      </c>
      <c r="AI370" s="143" t="s">
        <v>842</v>
      </c>
      <c r="AJ370" s="143">
        <v>1745</v>
      </c>
      <c r="AK370" s="143">
        <v>2</v>
      </c>
      <c r="AL370" s="156">
        <v>2</v>
      </c>
      <c r="AM370" s="156">
        <v>3</v>
      </c>
      <c r="AN370" s="156">
        <v>3</v>
      </c>
      <c r="AO370" s="156">
        <v>3</v>
      </c>
      <c r="AP370" s="156">
        <v>3.5</v>
      </c>
      <c r="AQ370" s="156">
        <v>3</v>
      </c>
      <c r="AR370" s="156">
        <v>3.5</v>
      </c>
      <c r="AS370" s="169">
        <v>3.1428569999999998</v>
      </c>
    </row>
    <row r="371" spans="1:45" x14ac:dyDescent="0.35">
      <c r="A371" s="143" t="s">
        <v>754</v>
      </c>
      <c r="B371" s="143" t="s">
        <v>736</v>
      </c>
      <c r="C371" s="143" t="s">
        <v>841</v>
      </c>
      <c r="D371" s="143">
        <v>2188</v>
      </c>
      <c r="E371" s="143">
        <v>3</v>
      </c>
      <c r="F371" s="137">
        <v>1</v>
      </c>
      <c r="G371" s="137">
        <v>1</v>
      </c>
      <c r="H371" s="137">
        <v>1</v>
      </c>
      <c r="I371" s="137">
        <v>1</v>
      </c>
      <c r="K371" s="143" t="s">
        <v>754</v>
      </c>
      <c r="L371" s="143" t="s">
        <v>736</v>
      </c>
      <c r="M371" s="143" t="s">
        <v>841</v>
      </c>
      <c r="N371" s="143">
        <v>2188</v>
      </c>
      <c r="O371" s="137">
        <v>0.4</v>
      </c>
      <c r="P371" s="137">
        <v>0.6</v>
      </c>
      <c r="Q371" s="137">
        <v>1</v>
      </c>
      <c r="R371" s="137" t="s">
        <v>2486</v>
      </c>
      <c r="S371" s="137">
        <v>0.30769229999999997</v>
      </c>
      <c r="T371" s="137" t="s">
        <v>2486</v>
      </c>
      <c r="U371" s="137" t="s">
        <v>2486</v>
      </c>
      <c r="W371" s="143" t="s">
        <v>754</v>
      </c>
      <c r="X371" s="143" t="s">
        <v>736</v>
      </c>
      <c r="Y371" s="143" t="s">
        <v>841</v>
      </c>
      <c r="Z371" s="143">
        <v>2188</v>
      </c>
      <c r="AA371" s="143">
        <v>0</v>
      </c>
      <c r="AD371" s="137">
        <v>0</v>
      </c>
      <c r="AG371" s="143" t="s">
        <v>754</v>
      </c>
      <c r="AH371" s="143" t="s">
        <v>736</v>
      </c>
      <c r="AI371" s="143" t="s">
        <v>841</v>
      </c>
      <c r="AJ371" s="143">
        <v>2188</v>
      </c>
      <c r="AK371" s="143">
        <v>3</v>
      </c>
      <c r="AL371" s="156">
        <v>2</v>
      </c>
      <c r="AM371" s="156">
        <v>3</v>
      </c>
      <c r="AN371" s="156">
        <v>3.3333332538604701</v>
      </c>
      <c r="AO371" s="156">
        <v>3.3333332538604701</v>
      </c>
      <c r="AP371" s="156">
        <v>3.3333332538604701</v>
      </c>
      <c r="AQ371" s="156">
        <v>3</v>
      </c>
      <c r="AR371" s="156">
        <v>3</v>
      </c>
      <c r="AS371" s="169">
        <v>3.1428569999999998</v>
      </c>
    </row>
    <row r="372" spans="1:45" x14ac:dyDescent="0.35">
      <c r="A372" s="143" t="s">
        <v>754</v>
      </c>
      <c r="B372" s="143" t="s">
        <v>736</v>
      </c>
      <c r="C372" s="143" t="s">
        <v>663</v>
      </c>
      <c r="D372" s="143">
        <v>2748</v>
      </c>
      <c r="E372" s="143">
        <v>2</v>
      </c>
      <c r="F372" s="137">
        <v>1</v>
      </c>
      <c r="G372" s="137">
        <v>1</v>
      </c>
      <c r="H372" s="137">
        <v>1</v>
      </c>
      <c r="I372" s="137">
        <v>1</v>
      </c>
      <c r="K372" s="143" t="s">
        <v>754</v>
      </c>
      <c r="L372" s="143" t="s">
        <v>736</v>
      </c>
      <c r="M372" s="143" t="s">
        <v>663</v>
      </c>
      <c r="N372" s="143">
        <v>2748</v>
      </c>
      <c r="O372" s="137">
        <v>0.4</v>
      </c>
      <c r="P372" s="137">
        <v>0.6</v>
      </c>
      <c r="Q372" s="137">
        <v>1</v>
      </c>
      <c r="R372" s="137" t="s">
        <v>2486</v>
      </c>
      <c r="S372" s="137">
        <v>0.5</v>
      </c>
      <c r="T372" s="137" t="s">
        <v>2486</v>
      </c>
      <c r="U372" s="137" t="s">
        <v>2838</v>
      </c>
      <c r="W372" s="143" t="s">
        <v>754</v>
      </c>
      <c r="X372" s="143" t="s">
        <v>736</v>
      </c>
      <c r="Y372" s="143" t="s">
        <v>663</v>
      </c>
      <c r="Z372" s="143">
        <v>2748</v>
      </c>
      <c r="AA372" s="143">
        <v>0</v>
      </c>
      <c r="AD372" s="137">
        <v>0</v>
      </c>
      <c r="AE372" s="137">
        <v>0.25</v>
      </c>
      <c r="AG372" s="143" t="s">
        <v>754</v>
      </c>
      <c r="AH372" s="143" t="s">
        <v>736</v>
      </c>
      <c r="AI372" s="143" t="s">
        <v>663</v>
      </c>
      <c r="AJ372" s="143">
        <v>2748</v>
      </c>
      <c r="AK372" s="143">
        <v>2</v>
      </c>
      <c r="AL372" s="156">
        <v>2</v>
      </c>
      <c r="AM372" s="156">
        <v>3.5</v>
      </c>
      <c r="AN372" s="156">
        <v>3</v>
      </c>
      <c r="AO372" s="156">
        <v>3</v>
      </c>
      <c r="AP372" s="156">
        <v>3</v>
      </c>
      <c r="AQ372" s="156">
        <v>3</v>
      </c>
      <c r="AR372" s="156">
        <v>3</v>
      </c>
      <c r="AS372" s="169">
        <v>3.0714290000000002</v>
      </c>
    </row>
    <row r="373" spans="1:45" x14ac:dyDescent="0.35">
      <c r="A373" s="143" t="s">
        <v>754</v>
      </c>
      <c r="B373" s="143" t="s">
        <v>736</v>
      </c>
      <c r="C373" s="143" t="s">
        <v>663</v>
      </c>
      <c r="D373" s="143">
        <v>2750</v>
      </c>
      <c r="E373" s="143">
        <v>2</v>
      </c>
      <c r="F373" s="137">
        <v>1</v>
      </c>
      <c r="G373" s="137">
        <v>1</v>
      </c>
      <c r="H373" s="137">
        <v>1</v>
      </c>
      <c r="I373" s="137">
        <v>1</v>
      </c>
      <c r="K373" s="143" t="s">
        <v>754</v>
      </c>
      <c r="L373" s="143" t="s">
        <v>736</v>
      </c>
      <c r="M373" s="143" t="s">
        <v>663</v>
      </c>
      <c r="N373" s="143">
        <v>2750</v>
      </c>
      <c r="O373" s="137">
        <v>0.4</v>
      </c>
      <c r="P373" s="137">
        <v>0.6</v>
      </c>
      <c r="Q373" s="137">
        <v>1</v>
      </c>
      <c r="R373" s="137" t="s">
        <v>2486</v>
      </c>
      <c r="S373" s="137">
        <v>0.5</v>
      </c>
      <c r="T373" s="137" t="s">
        <v>2486</v>
      </c>
      <c r="U373" s="137" t="s">
        <v>2838</v>
      </c>
      <c r="W373" s="143" t="s">
        <v>754</v>
      </c>
      <c r="X373" s="143" t="s">
        <v>736</v>
      </c>
      <c r="Y373" s="143" t="s">
        <v>663</v>
      </c>
      <c r="Z373" s="143">
        <v>2750</v>
      </c>
      <c r="AA373" s="143">
        <v>0</v>
      </c>
      <c r="AD373" s="137">
        <v>0</v>
      </c>
      <c r="AG373" s="143" t="s">
        <v>754</v>
      </c>
      <c r="AH373" s="143" t="s">
        <v>736</v>
      </c>
      <c r="AI373" s="143" t="s">
        <v>663</v>
      </c>
      <c r="AJ373" s="143">
        <v>2750</v>
      </c>
      <c r="AK373" s="143">
        <v>2</v>
      </c>
      <c r="AL373" s="156">
        <v>2</v>
      </c>
      <c r="AM373" s="156">
        <v>3</v>
      </c>
      <c r="AN373" s="156">
        <v>3</v>
      </c>
      <c r="AO373" s="156">
        <v>3</v>
      </c>
      <c r="AP373" s="156">
        <v>3.5</v>
      </c>
      <c r="AQ373" s="156">
        <v>3</v>
      </c>
      <c r="AR373" s="156">
        <v>3</v>
      </c>
      <c r="AS373" s="169">
        <v>3.0714290000000002</v>
      </c>
    </row>
    <row r="374" spans="1:45" x14ac:dyDescent="0.35">
      <c r="A374" s="143" t="s">
        <v>754</v>
      </c>
      <c r="B374" s="143" t="s">
        <v>736</v>
      </c>
      <c r="C374" s="143" t="s">
        <v>663</v>
      </c>
      <c r="D374" s="143">
        <v>2751</v>
      </c>
      <c r="E374" s="143">
        <v>2</v>
      </c>
      <c r="F374" s="137">
        <v>1</v>
      </c>
      <c r="G374" s="137">
        <v>1</v>
      </c>
      <c r="H374" s="137">
        <v>1</v>
      </c>
      <c r="I374" s="137">
        <v>1</v>
      </c>
      <c r="K374" s="143" t="s">
        <v>754</v>
      </c>
      <c r="L374" s="143" t="s">
        <v>736</v>
      </c>
      <c r="M374" s="143" t="s">
        <v>663</v>
      </c>
      <c r="N374" s="143">
        <v>2751</v>
      </c>
      <c r="O374" s="137">
        <v>0.4</v>
      </c>
      <c r="P374" s="137">
        <v>0.6</v>
      </c>
      <c r="Q374" s="137">
        <v>1</v>
      </c>
      <c r="R374" s="137" t="s">
        <v>2486</v>
      </c>
      <c r="S374" s="137">
        <v>0.5</v>
      </c>
      <c r="T374" s="137" t="s">
        <v>2486</v>
      </c>
      <c r="U374" s="137" t="s">
        <v>2838</v>
      </c>
      <c r="W374" s="143" t="s">
        <v>754</v>
      </c>
      <c r="X374" s="143" t="s">
        <v>736</v>
      </c>
      <c r="Y374" s="143" t="s">
        <v>663</v>
      </c>
      <c r="Z374" s="143">
        <v>2751</v>
      </c>
      <c r="AA374" s="143">
        <v>0</v>
      </c>
      <c r="AD374" s="137">
        <v>0</v>
      </c>
      <c r="AE374" s="137">
        <v>0.25</v>
      </c>
      <c r="AG374" s="143" t="s">
        <v>754</v>
      </c>
      <c r="AH374" s="143" t="s">
        <v>736</v>
      </c>
      <c r="AI374" s="143" t="s">
        <v>663</v>
      </c>
      <c r="AJ374" s="143">
        <v>2751</v>
      </c>
      <c r="AK374" s="143">
        <v>2</v>
      </c>
      <c r="AL374" s="156">
        <v>2</v>
      </c>
      <c r="AM374" s="156">
        <v>3</v>
      </c>
      <c r="AN374" s="156">
        <v>3</v>
      </c>
      <c r="AO374" s="156">
        <v>3</v>
      </c>
      <c r="AP374" s="156">
        <v>3</v>
      </c>
      <c r="AQ374" s="156">
        <v>3</v>
      </c>
      <c r="AR374" s="156">
        <v>3</v>
      </c>
      <c r="AS374" s="169">
        <v>3</v>
      </c>
    </row>
    <row r="375" spans="1:45" x14ac:dyDescent="0.35">
      <c r="A375" s="143" t="s">
        <v>754</v>
      </c>
      <c r="B375" s="143" t="s">
        <v>736</v>
      </c>
      <c r="C375" s="143" t="s">
        <v>663</v>
      </c>
      <c r="D375" s="143">
        <v>3705</v>
      </c>
      <c r="E375" s="143">
        <v>2</v>
      </c>
      <c r="F375" s="137">
        <v>1</v>
      </c>
      <c r="G375" s="137">
        <v>1</v>
      </c>
      <c r="H375" s="137">
        <v>1</v>
      </c>
      <c r="I375" s="137">
        <v>1</v>
      </c>
      <c r="K375" s="143" t="s">
        <v>754</v>
      </c>
      <c r="L375" s="143" t="s">
        <v>736</v>
      </c>
      <c r="M375" s="143" t="s">
        <v>663</v>
      </c>
      <c r="N375" s="143">
        <v>3705</v>
      </c>
      <c r="O375" s="137">
        <v>0.4</v>
      </c>
      <c r="P375" s="137">
        <v>0.6</v>
      </c>
      <c r="Q375" s="137">
        <v>1</v>
      </c>
      <c r="R375" s="137" t="s">
        <v>2486</v>
      </c>
      <c r="S375" s="137">
        <v>0.5</v>
      </c>
      <c r="T375" s="137" t="s">
        <v>2486</v>
      </c>
      <c r="U375" s="137" t="s">
        <v>2838</v>
      </c>
      <c r="W375" s="143" t="s">
        <v>754</v>
      </c>
      <c r="X375" s="143" t="s">
        <v>736</v>
      </c>
      <c r="Y375" s="143" t="s">
        <v>663</v>
      </c>
      <c r="Z375" s="143">
        <v>3705</v>
      </c>
      <c r="AA375" s="143">
        <v>0</v>
      </c>
      <c r="AD375" s="137">
        <v>0.25</v>
      </c>
      <c r="AE375" s="137">
        <v>0</v>
      </c>
      <c r="AG375" s="143" t="s">
        <v>754</v>
      </c>
      <c r="AH375" s="143" t="s">
        <v>736</v>
      </c>
      <c r="AI375" s="143" t="s">
        <v>663</v>
      </c>
      <c r="AJ375" s="143">
        <v>3705</v>
      </c>
      <c r="AK375" s="143">
        <v>2</v>
      </c>
      <c r="AL375" s="156">
        <v>2</v>
      </c>
      <c r="AM375" s="156">
        <v>3</v>
      </c>
      <c r="AN375" s="156">
        <v>2.5</v>
      </c>
      <c r="AO375" s="156">
        <v>2.5</v>
      </c>
      <c r="AP375" s="156">
        <v>1.5</v>
      </c>
      <c r="AQ375" s="156">
        <v>3</v>
      </c>
      <c r="AR375" s="156">
        <v>3</v>
      </c>
      <c r="AS375" s="169">
        <v>2.6428569999999998</v>
      </c>
    </row>
    <row r="376" spans="1:45" x14ac:dyDescent="0.35">
      <c r="A376" s="143" t="s">
        <v>754</v>
      </c>
      <c r="B376" s="143" t="s">
        <v>736</v>
      </c>
      <c r="C376" s="143" t="s">
        <v>663</v>
      </c>
      <c r="D376" s="143">
        <v>4339</v>
      </c>
      <c r="E376" s="143">
        <v>2</v>
      </c>
      <c r="F376" s="137">
        <v>1</v>
      </c>
      <c r="G376" s="137">
        <v>1</v>
      </c>
      <c r="H376" s="137">
        <v>1</v>
      </c>
      <c r="I376" s="137">
        <v>1</v>
      </c>
      <c r="K376" s="143" t="s">
        <v>754</v>
      </c>
      <c r="L376" s="143" t="s">
        <v>736</v>
      </c>
      <c r="M376" s="143" t="s">
        <v>663</v>
      </c>
      <c r="N376" s="143">
        <v>4339</v>
      </c>
      <c r="O376" s="137">
        <v>0.4</v>
      </c>
      <c r="P376" s="137">
        <v>0.6</v>
      </c>
      <c r="Q376" s="137">
        <v>1</v>
      </c>
      <c r="R376" s="137" t="s">
        <v>2486</v>
      </c>
      <c r="S376" s="137">
        <v>0.5</v>
      </c>
      <c r="T376" s="137" t="s">
        <v>2486</v>
      </c>
      <c r="U376" s="137" t="s">
        <v>2838</v>
      </c>
      <c r="W376" s="143" t="s">
        <v>754</v>
      </c>
      <c r="X376" s="143" t="s">
        <v>736</v>
      </c>
      <c r="Y376" s="143" t="s">
        <v>663</v>
      </c>
      <c r="Z376" s="143">
        <v>4339</v>
      </c>
      <c r="AA376" s="143">
        <v>0</v>
      </c>
      <c r="AD376" s="137">
        <v>0</v>
      </c>
      <c r="AE376" s="137">
        <v>0.25</v>
      </c>
      <c r="AG376" s="143" t="s">
        <v>754</v>
      </c>
      <c r="AH376" s="143" t="s">
        <v>736</v>
      </c>
      <c r="AI376" s="143" t="s">
        <v>663</v>
      </c>
      <c r="AJ376" s="143">
        <v>4339</v>
      </c>
      <c r="AK376" s="143">
        <v>2</v>
      </c>
      <c r="AL376" s="156">
        <v>2</v>
      </c>
      <c r="AM376" s="156">
        <v>3</v>
      </c>
      <c r="AN376" s="156">
        <v>3</v>
      </c>
      <c r="AO376" s="156">
        <v>3</v>
      </c>
      <c r="AP376" s="156">
        <v>2</v>
      </c>
      <c r="AQ376" s="156">
        <v>3</v>
      </c>
      <c r="AR376" s="156">
        <v>3</v>
      </c>
      <c r="AS376" s="169">
        <v>2.8571430000000002</v>
      </c>
    </row>
    <row r="377" spans="1:45" x14ac:dyDescent="0.35">
      <c r="A377" s="143" t="s">
        <v>755</v>
      </c>
      <c r="B377" s="143" t="s">
        <v>753</v>
      </c>
      <c r="C377" s="143" t="s">
        <v>843</v>
      </c>
      <c r="D377" s="143">
        <v>293</v>
      </c>
      <c r="E377" s="143">
        <v>8</v>
      </c>
      <c r="F377" s="137">
        <v>1</v>
      </c>
      <c r="G377" s="137">
        <v>1</v>
      </c>
      <c r="H377" s="137">
        <v>1</v>
      </c>
      <c r="I377" s="137">
        <v>0</v>
      </c>
      <c r="K377" s="143" t="s">
        <v>755</v>
      </c>
      <c r="L377" s="143" t="s">
        <v>753</v>
      </c>
      <c r="M377" s="143" t="s">
        <v>843</v>
      </c>
      <c r="N377" s="143">
        <v>293</v>
      </c>
      <c r="O377" s="137">
        <v>0.4</v>
      </c>
      <c r="P377" s="137">
        <v>0.6</v>
      </c>
      <c r="Q377" s="137">
        <v>1</v>
      </c>
      <c r="R377" s="137" t="s">
        <v>2486</v>
      </c>
      <c r="S377" s="137">
        <v>0.37209300000000001</v>
      </c>
      <c r="T377" s="137" t="s">
        <v>2486</v>
      </c>
      <c r="U377" s="137" t="s">
        <v>2486</v>
      </c>
      <c r="W377" s="143" t="s">
        <v>755</v>
      </c>
      <c r="X377" s="143" t="s">
        <v>753</v>
      </c>
      <c r="Y377" s="143" t="s">
        <v>843</v>
      </c>
      <c r="Z377" s="143">
        <v>293</v>
      </c>
      <c r="AA377" s="143">
        <v>8</v>
      </c>
      <c r="AB377" s="137">
        <v>0.25</v>
      </c>
      <c r="AC377" s="137">
        <v>0</v>
      </c>
      <c r="AD377" s="137">
        <v>0</v>
      </c>
      <c r="AG377" s="143" t="s">
        <v>755</v>
      </c>
      <c r="AH377" s="143" t="s">
        <v>753</v>
      </c>
      <c r="AI377" s="143" t="s">
        <v>843</v>
      </c>
      <c r="AJ377" s="143">
        <v>293</v>
      </c>
      <c r="AK377" s="143">
        <v>8</v>
      </c>
      <c r="AL377" s="156">
        <v>1.875</v>
      </c>
      <c r="AM377" s="156">
        <v>3.375</v>
      </c>
      <c r="AN377" s="156">
        <v>2.875</v>
      </c>
      <c r="AO377" s="156">
        <v>2.875</v>
      </c>
      <c r="AP377" s="156">
        <v>1.75</v>
      </c>
      <c r="AQ377" s="156">
        <v>2.75</v>
      </c>
      <c r="AR377" s="156">
        <v>3.25</v>
      </c>
      <c r="AS377" s="169">
        <v>2.8571430000000002</v>
      </c>
    </row>
    <row r="378" spans="1:45" x14ac:dyDescent="0.35">
      <c r="A378" s="143" t="s">
        <v>755</v>
      </c>
      <c r="B378" s="143" t="s">
        <v>753</v>
      </c>
      <c r="C378" s="143" t="s">
        <v>841</v>
      </c>
      <c r="D378" s="143">
        <v>1518</v>
      </c>
      <c r="E378" s="143">
        <v>3</v>
      </c>
      <c r="F378" s="137">
        <v>1</v>
      </c>
      <c r="G378" s="137">
        <v>1</v>
      </c>
      <c r="H378" s="137">
        <v>1</v>
      </c>
      <c r="I378" s="137">
        <v>0</v>
      </c>
      <c r="K378" s="143" t="s">
        <v>755</v>
      </c>
      <c r="L378" s="143" t="s">
        <v>753</v>
      </c>
      <c r="M378" s="143" t="s">
        <v>841</v>
      </c>
      <c r="N378" s="143">
        <v>1518</v>
      </c>
      <c r="O378" s="137">
        <v>0.4</v>
      </c>
      <c r="P378" s="137">
        <v>0.6</v>
      </c>
      <c r="Q378" s="137">
        <v>1</v>
      </c>
      <c r="R378" s="137" t="s">
        <v>2486</v>
      </c>
      <c r="S378" s="137">
        <v>0.2142857</v>
      </c>
      <c r="T378" s="137" t="s">
        <v>2486</v>
      </c>
      <c r="U378" s="137" t="s">
        <v>2486</v>
      </c>
      <c r="W378" s="143" t="s">
        <v>755</v>
      </c>
      <c r="X378" s="143" t="s">
        <v>753</v>
      </c>
      <c r="Y378" s="143" t="s">
        <v>841</v>
      </c>
      <c r="Z378" s="143">
        <v>1518</v>
      </c>
      <c r="AA378" s="143">
        <v>0</v>
      </c>
      <c r="AD378" s="137">
        <v>0</v>
      </c>
      <c r="AG378" s="143" t="s">
        <v>755</v>
      </c>
      <c r="AH378" s="143" t="s">
        <v>753</v>
      </c>
      <c r="AI378" s="143" t="s">
        <v>841</v>
      </c>
      <c r="AJ378" s="143">
        <v>1518</v>
      </c>
      <c r="AK378" s="143">
        <v>3</v>
      </c>
      <c r="AL378" s="156">
        <v>3</v>
      </c>
      <c r="AM378" s="156">
        <v>3.3333332538604701</v>
      </c>
      <c r="AN378" s="156">
        <v>2.6666667461395299</v>
      </c>
      <c r="AO378" s="156">
        <v>3</v>
      </c>
      <c r="AP378" s="156">
        <v>1</v>
      </c>
      <c r="AQ378" s="156">
        <v>2</v>
      </c>
      <c r="AR378" s="156">
        <v>3</v>
      </c>
      <c r="AS378" s="169">
        <v>2.4285709999999998</v>
      </c>
    </row>
    <row r="379" spans="1:45" x14ac:dyDescent="0.35">
      <c r="A379" s="143" t="s">
        <v>755</v>
      </c>
      <c r="B379" s="143" t="s">
        <v>753</v>
      </c>
      <c r="C379" s="143" t="s">
        <v>842</v>
      </c>
      <c r="D379" s="143">
        <v>2028</v>
      </c>
      <c r="E379" s="143">
        <v>2</v>
      </c>
      <c r="F379" s="137">
        <v>1</v>
      </c>
      <c r="G379" s="137">
        <v>1</v>
      </c>
      <c r="H379" s="137">
        <v>1</v>
      </c>
      <c r="I379" s="137">
        <v>0</v>
      </c>
      <c r="K379" s="143" t="s">
        <v>755</v>
      </c>
      <c r="L379" s="143" t="s">
        <v>753</v>
      </c>
      <c r="M379" s="143" t="s">
        <v>842</v>
      </c>
      <c r="N379" s="143">
        <v>2028</v>
      </c>
      <c r="O379" s="137">
        <v>0.4</v>
      </c>
      <c r="P379" s="137">
        <v>0.6</v>
      </c>
      <c r="Q379" s="137">
        <v>1</v>
      </c>
      <c r="R379" s="137" t="s">
        <v>2486</v>
      </c>
      <c r="S379" s="137">
        <v>0.3333333</v>
      </c>
      <c r="T379" s="137" t="s">
        <v>2486</v>
      </c>
      <c r="U379" s="137" t="s">
        <v>2486</v>
      </c>
      <c r="W379" s="143" t="s">
        <v>755</v>
      </c>
      <c r="X379" s="143" t="s">
        <v>753</v>
      </c>
      <c r="Y379" s="143" t="s">
        <v>842</v>
      </c>
      <c r="Z379" s="143">
        <v>2028</v>
      </c>
      <c r="AA379" s="143">
        <v>0</v>
      </c>
      <c r="AD379" s="137">
        <v>0</v>
      </c>
      <c r="AG379" s="143" t="s">
        <v>755</v>
      </c>
      <c r="AH379" s="143" t="s">
        <v>753</v>
      </c>
      <c r="AI379" s="143" t="s">
        <v>842</v>
      </c>
      <c r="AJ379" s="143">
        <v>2028</v>
      </c>
      <c r="AK379" s="143">
        <v>2</v>
      </c>
      <c r="AL379" s="156">
        <v>3</v>
      </c>
      <c r="AM379" s="156">
        <v>3.5</v>
      </c>
      <c r="AN379" s="156">
        <v>3</v>
      </c>
      <c r="AO379" s="156">
        <v>3</v>
      </c>
      <c r="AP379" s="156">
        <v>3.5</v>
      </c>
      <c r="AQ379" s="156">
        <v>3</v>
      </c>
      <c r="AR379" s="156">
        <v>4</v>
      </c>
      <c r="AS379" s="169">
        <v>3.1428569999999998</v>
      </c>
    </row>
    <row r="380" spans="1:45" x14ac:dyDescent="0.35">
      <c r="A380" s="143" t="s">
        <v>755</v>
      </c>
      <c r="B380" s="143" t="s">
        <v>753</v>
      </c>
      <c r="C380" s="143" t="s">
        <v>842</v>
      </c>
      <c r="D380" s="143">
        <v>2082</v>
      </c>
      <c r="E380" s="143">
        <v>2</v>
      </c>
      <c r="F380" s="137">
        <v>1</v>
      </c>
      <c r="G380" s="137">
        <v>1</v>
      </c>
      <c r="H380" s="137">
        <v>1</v>
      </c>
      <c r="I380" s="137">
        <v>0</v>
      </c>
      <c r="K380" s="143" t="s">
        <v>755</v>
      </c>
      <c r="L380" s="143" t="s">
        <v>753</v>
      </c>
      <c r="M380" s="143" t="s">
        <v>842</v>
      </c>
      <c r="N380" s="143">
        <v>2082</v>
      </c>
      <c r="O380" s="137">
        <v>0.4</v>
      </c>
      <c r="P380" s="137">
        <v>0.3</v>
      </c>
      <c r="Q380" s="137">
        <v>0.7</v>
      </c>
      <c r="R380" s="137" t="s">
        <v>2487</v>
      </c>
      <c r="S380" s="137">
        <v>0.28571429999999998</v>
      </c>
      <c r="T380" s="137" t="s">
        <v>2486</v>
      </c>
      <c r="U380" s="137" t="s">
        <v>2486</v>
      </c>
      <c r="W380" s="143" t="s">
        <v>755</v>
      </c>
      <c r="X380" s="143" t="s">
        <v>753</v>
      </c>
      <c r="Y380" s="143" t="s">
        <v>842</v>
      </c>
      <c r="Z380" s="143">
        <v>2082</v>
      </c>
      <c r="AA380" s="143">
        <v>0</v>
      </c>
      <c r="AD380" s="137">
        <v>0</v>
      </c>
      <c r="AG380" s="143" t="s">
        <v>755</v>
      </c>
      <c r="AH380" s="143" t="s">
        <v>753</v>
      </c>
      <c r="AI380" s="143" t="s">
        <v>842</v>
      </c>
      <c r="AJ380" s="143">
        <v>2082</v>
      </c>
      <c r="AK380" s="143">
        <v>2</v>
      </c>
      <c r="AL380" s="156">
        <v>2.5</v>
      </c>
      <c r="AM380" s="156">
        <v>3.5</v>
      </c>
      <c r="AN380" s="156">
        <v>3</v>
      </c>
      <c r="AO380" s="156">
        <v>3</v>
      </c>
      <c r="AP380" s="156">
        <v>3.5</v>
      </c>
      <c r="AQ380" s="156">
        <v>2.5</v>
      </c>
      <c r="AR380" s="156">
        <v>3</v>
      </c>
      <c r="AS380" s="169">
        <v>3</v>
      </c>
    </row>
    <row r="381" spans="1:45" x14ac:dyDescent="0.35">
      <c r="A381" s="143" t="s">
        <v>755</v>
      </c>
      <c r="B381" s="143" t="s">
        <v>753</v>
      </c>
      <c r="C381" s="143" t="s">
        <v>842</v>
      </c>
      <c r="D381" s="143">
        <v>2192</v>
      </c>
      <c r="E381" s="143">
        <v>2</v>
      </c>
      <c r="F381" s="137">
        <v>0</v>
      </c>
      <c r="G381" s="137">
        <v>0</v>
      </c>
      <c r="H381" s="137">
        <v>0</v>
      </c>
      <c r="I381" s="137">
        <v>0</v>
      </c>
      <c r="K381" s="143" t="s">
        <v>755</v>
      </c>
      <c r="L381" s="143" t="s">
        <v>753</v>
      </c>
      <c r="M381" s="143" t="s">
        <v>842</v>
      </c>
      <c r="N381" s="143">
        <v>2192</v>
      </c>
      <c r="O381" s="137">
        <v>0.4</v>
      </c>
      <c r="P381" s="137">
        <v>0.6</v>
      </c>
      <c r="Q381" s="137">
        <v>1</v>
      </c>
      <c r="R381" s="137" t="s">
        <v>2486</v>
      </c>
      <c r="S381" s="137">
        <v>0.4</v>
      </c>
      <c r="T381" s="137" t="s">
        <v>2486</v>
      </c>
      <c r="U381" s="137" t="s">
        <v>2487</v>
      </c>
      <c r="W381" s="143" t="s">
        <v>755</v>
      </c>
      <c r="X381" s="143" t="s">
        <v>753</v>
      </c>
      <c r="Y381" s="143" t="s">
        <v>842</v>
      </c>
      <c r="Z381" s="143">
        <v>2192</v>
      </c>
      <c r="AA381" s="143">
        <v>0</v>
      </c>
      <c r="AD381" s="137">
        <v>0</v>
      </c>
      <c r="AE381" s="137">
        <v>0.1</v>
      </c>
      <c r="AG381" s="143" t="s">
        <v>755</v>
      </c>
      <c r="AH381" s="143" t="s">
        <v>753</v>
      </c>
      <c r="AI381" s="143" t="s">
        <v>842</v>
      </c>
      <c r="AJ381" s="143">
        <v>2192</v>
      </c>
      <c r="AK381" s="143">
        <v>2</v>
      </c>
      <c r="AL381" s="156">
        <v>3</v>
      </c>
      <c r="AM381" s="156">
        <v>3</v>
      </c>
      <c r="AN381" s="156">
        <v>2</v>
      </c>
      <c r="AO381" s="156">
        <v>2</v>
      </c>
      <c r="AP381" s="156">
        <v>3</v>
      </c>
      <c r="AQ381" s="156">
        <v>1</v>
      </c>
      <c r="AR381" s="156">
        <v>3</v>
      </c>
      <c r="AS381" s="169">
        <v>2.5</v>
      </c>
    </row>
    <row r="382" spans="1:45" x14ac:dyDescent="0.35">
      <c r="A382" s="143" t="s">
        <v>755</v>
      </c>
      <c r="B382" s="143" t="s">
        <v>753</v>
      </c>
      <c r="C382" s="143" t="s">
        <v>842</v>
      </c>
      <c r="D382" s="143">
        <v>2304</v>
      </c>
      <c r="E382" s="143">
        <v>2</v>
      </c>
      <c r="F382" s="137">
        <v>1</v>
      </c>
      <c r="G382" s="137">
        <v>1</v>
      </c>
      <c r="H382" s="137">
        <v>1</v>
      </c>
      <c r="I382" s="137">
        <v>0</v>
      </c>
      <c r="K382" s="143" t="s">
        <v>755</v>
      </c>
      <c r="L382" s="143" t="s">
        <v>753</v>
      </c>
      <c r="M382" s="143" t="s">
        <v>842</v>
      </c>
      <c r="N382" s="143">
        <v>2304</v>
      </c>
      <c r="O382" s="137">
        <v>0.4</v>
      </c>
      <c r="P382" s="137">
        <v>0.6</v>
      </c>
      <c r="Q382" s="137">
        <v>1</v>
      </c>
      <c r="R382" s="137" t="s">
        <v>2486</v>
      </c>
      <c r="S382" s="137">
        <v>0.25</v>
      </c>
      <c r="T382" s="137" t="s">
        <v>2486</v>
      </c>
      <c r="U382" s="137" t="s">
        <v>2486</v>
      </c>
      <c r="W382" s="143" t="s">
        <v>755</v>
      </c>
      <c r="X382" s="143" t="s">
        <v>753</v>
      </c>
      <c r="Y382" s="143" t="s">
        <v>842</v>
      </c>
      <c r="Z382" s="143">
        <v>2304</v>
      </c>
      <c r="AA382" s="143">
        <v>0</v>
      </c>
      <c r="AD382" s="137">
        <v>0</v>
      </c>
      <c r="AE382" s="137">
        <v>0.125</v>
      </c>
      <c r="AG382" s="143" t="s">
        <v>755</v>
      </c>
      <c r="AH382" s="143" t="s">
        <v>753</v>
      </c>
      <c r="AI382" s="143" t="s">
        <v>842</v>
      </c>
      <c r="AJ382" s="143">
        <v>2304</v>
      </c>
      <c r="AK382" s="143">
        <v>2</v>
      </c>
      <c r="AL382" s="156">
        <v>2.5</v>
      </c>
      <c r="AM382" s="156">
        <v>2.5</v>
      </c>
      <c r="AN382" s="156">
        <v>3</v>
      </c>
      <c r="AO382" s="156">
        <v>2.5</v>
      </c>
      <c r="AP382" s="156">
        <v>3</v>
      </c>
      <c r="AQ382" s="156">
        <v>2</v>
      </c>
      <c r="AR382" s="156">
        <v>2.5</v>
      </c>
      <c r="AS382" s="169">
        <v>2.5714290000000002</v>
      </c>
    </row>
    <row r="383" spans="1:45" x14ac:dyDescent="0.35">
      <c r="A383" s="143" t="s">
        <v>755</v>
      </c>
      <c r="B383" s="143" t="s">
        <v>753</v>
      </c>
      <c r="C383" s="143" t="s">
        <v>663</v>
      </c>
      <c r="D383" s="143">
        <v>2306</v>
      </c>
      <c r="E383" s="143">
        <v>2</v>
      </c>
      <c r="F383" s="137">
        <v>0.5</v>
      </c>
      <c r="G383" s="137">
        <v>0.5</v>
      </c>
      <c r="H383" s="137">
        <v>0.5</v>
      </c>
      <c r="I383" s="137">
        <v>0</v>
      </c>
      <c r="K383" s="143" t="s">
        <v>755</v>
      </c>
      <c r="L383" s="143" t="s">
        <v>753</v>
      </c>
      <c r="M383" s="143" t="s">
        <v>663</v>
      </c>
      <c r="N383" s="143">
        <v>2306</v>
      </c>
      <c r="O383" s="137">
        <v>0.4</v>
      </c>
      <c r="P383" s="137">
        <v>0.6</v>
      </c>
      <c r="Q383" s="137">
        <v>1</v>
      </c>
      <c r="R383" s="137" t="s">
        <v>2486</v>
      </c>
      <c r="S383" s="137">
        <v>0.4</v>
      </c>
      <c r="T383" s="137" t="s">
        <v>2486</v>
      </c>
      <c r="U383" s="137" t="s">
        <v>2838</v>
      </c>
      <c r="W383" s="143" t="s">
        <v>755</v>
      </c>
      <c r="X383" s="143" t="s">
        <v>753</v>
      </c>
      <c r="Y383" s="143" t="s">
        <v>663</v>
      </c>
      <c r="Z383" s="143">
        <v>2306</v>
      </c>
      <c r="AA383" s="143">
        <v>0</v>
      </c>
      <c r="AD383" s="137">
        <v>0</v>
      </c>
      <c r="AE383" s="137">
        <v>0.2</v>
      </c>
      <c r="AG383" s="143" t="s">
        <v>755</v>
      </c>
      <c r="AH383" s="143" t="s">
        <v>753</v>
      </c>
      <c r="AI383" s="143" t="s">
        <v>663</v>
      </c>
      <c r="AJ383" s="143">
        <v>2306</v>
      </c>
      <c r="AK383" s="143">
        <v>2</v>
      </c>
      <c r="AL383" s="156">
        <v>2</v>
      </c>
      <c r="AM383" s="156">
        <v>3</v>
      </c>
      <c r="AN383" s="156">
        <v>4</v>
      </c>
      <c r="AO383" s="156">
        <v>3.5</v>
      </c>
      <c r="AP383" s="156">
        <v>3</v>
      </c>
      <c r="AQ383" s="156">
        <v>2.5</v>
      </c>
      <c r="AR383" s="156">
        <v>3</v>
      </c>
      <c r="AS383" s="169">
        <v>3.1428569999999998</v>
      </c>
    </row>
    <row r="384" spans="1:45" x14ac:dyDescent="0.35">
      <c r="A384" s="143" t="s">
        <v>755</v>
      </c>
      <c r="B384" s="143" t="s">
        <v>753</v>
      </c>
      <c r="C384" s="143" t="s">
        <v>663</v>
      </c>
      <c r="D384" s="143">
        <v>2542</v>
      </c>
      <c r="E384" s="143">
        <v>2</v>
      </c>
      <c r="F384" s="137">
        <v>0</v>
      </c>
      <c r="G384" s="137">
        <v>0</v>
      </c>
      <c r="H384" s="137">
        <v>0</v>
      </c>
      <c r="I384" s="137">
        <v>0</v>
      </c>
      <c r="K384" s="143" t="s">
        <v>755</v>
      </c>
      <c r="L384" s="143" t="s">
        <v>753</v>
      </c>
      <c r="M384" s="143" t="s">
        <v>663</v>
      </c>
      <c r="N384" s="143">
        <v>2542</v>
      </c>
      <c r="O384" s="137">
        <v>0.4</v>
      </c>
      <c r="P384" s="137">
        <v>0.6</v>
      </c>
      <c r="Q384" s="137">
        <v>1</v>
      </c>
      <c r="R384" s="137" t="s">
        <v>2486</v>
      </c>
      <c r="S384" s="137">
        <v>0.6</v>
      </c>
      <c r="T384" s="137" t="s">
        <v>2486</v>
      </c>
      <c r="U384" s="137" t="s">
        <v>2838</v>
      </c>
      <c r="W384" s="143" t="s">
        <v>755</v>
      </c>
      <c r="X384" s="143" t="s">
        <v>753</v>
      </c>
      <c r="Y384" s="143" t="s">
        <v>663</v>
      </c>
      <c r="Z384" s="143">
        <v>2542</v>
      </c>
      <c r="AA384" s="143">
        <v>0</v>
      </c>
      <c r="AD384" s="137">
        <v>0</v>
      </c>
      <c r="AE384" s="137">
        <v>0.2</v>
      </c>
      <c r="AG384" s="143" t="s">
        <v>755</v>
      </c>
      <c r="AH384" s="143" t="s">
        <v>753</v>
      </c>
      <c r="AI384" s="143" t="s">
        <v>663</v>
      </c>
      <c r="AJ384" s="143">
        <v>2542</v>
      </c>
      <c r="AK384" s="143">
        <v>2</v>
      </c>
      <c r="AL384" s="156">
        <v>2</v>
      </c>
      <c r="AM384" s="156">
        <v>3</v>
      </c>
      <c r="AN384" s="156">
        <v>3</v>
      </c>
      <c r="AO384" s="156">
        <v>3</v>
      </c>
      <c r="AP384" s="156">
        <v>2</v>
      </c>
      <c r="AQ384" s="156">
        <v>2</v>
      </c>
      <c r="AR384" s="156">
        <v>3</v>
      </c>
      <c r="AS384" s="169">
        <v>2.714286</v>
      </c>
    </row>
    <row r="385" spans="1:45" x14ac:dyDescent="0.35">
      <c r="A385" s="143" t="s">
        <v>755</v>
      </c>
      <c r="B385" s="143" t="s">
        <v>753</v>
      </c>
      <c r="C385" s="143" t="s">
        <v>663</v>
      </c>
      <c r="D385" s="143">
        <v>3410</v>
      </c>
      <c r="E385" s="143">
        <v>2</v>
      </c>
      <c r="F385" s="137">
        <v>0</v>
      </c>
      <c r="G385" s="137">
        <v>0</v>
      </c>
      <c r="H385" s="137">
        <v>0</v>
      </c>
      <c r="I385" s="137">
        <v>0</v>
      </c>
      <c r="K385" s="143" t="s">
        <v>755</v>
      </c>
      <c r="L385" s="143" t="s">
        <v>753</v>
      </c>
      <c r="M385" s="143" t="s">
        <v>663</v>
      </c>
      <c r="N385" s="143">
        <v>3410</v>
      </c>
      <c r="O385" s="137">
        <v>0.4</v>
      </c>
      <c r="P385" s="137">
        <v>0.6</v>
      </c>
      <c r="Q385" s="137">
        <v>1</v>
      </c>
      <c r="R385" s="137" t="s">
        <v>2486</v>
      </c>
      <c r="S385" s="137">
        <v>0.4</v>
      </c>
      <c r="T385" s="137" t="s">
        <v>2486</v>
      </c>
      <c r="U385" s="137" t="s">
        <v>2838</v>
      </c>
      <c r="W385" s="143" t="s">
        <v>755</v>
      </c>
      <c r="X385" s="143" t="s">
        <v>753</v>
      </c>
      <c r="Y385" s="143" t="s">
        <v>663</v>
      </c>
      <c r="Z385" s="143">
        <v>3410</v>
      </c>
      <c r="AA385" s="143">
        <v>0</v>
      </c>
      <c r="AD385" s="137">
        <v>0</v>
      </c>
      <c r="AE385" s="137">
        <v>0.2</v>
      </c>
      <c r="AG385" s="143" t="s">
        <v>755</v>
      </c>
      <c r="AH385" s="143" t="s">
        <v>753</v>
      </c>
      <c r="AI385" s="143" t="s">
        <v>663</v>
      </c>
      <c r="AJ385" s="143">
        <v>3410</v>
      </c>
      <c r="AK385" s="143">
        <v>2</v>
      </c>
      <c r="AL385" s="156">
        <v>2</v>
      </c>
      <c r="AM385" s="156">
        <v>3</v>
      </c>
      <c r="AN385" s="156">
        <v>3</v>
      </c>
      <c r="AO385" s="156">
        <v>3</v>
      </c>
      <c r="AP385" s="156">
        <v>3</v>
      </c>
      <c r="AQ385" s="156">
        <v>1</v>
      </c>
      <c r="AR385" s="156">
        <v>3</v>
      </c>
      <c r="AS385" s="169">
        <v>2.714286</v>
      </c>
    </row>
    <row r="386" spans="1:45" x14ac:dyDescent="0.35">
      <c r="A386" s="143" t="s">
        <v>755</v>
      </c>
      <c r="B386" s="143" t="s">
        <v>753</v>
      </c>
      <c r="C386" s="143" t="s">
        <v>663</v>
      </c>
      <c r="D386" s="143">
        <v>3411</v>
      </c>
      <c r="E386" s="143">
        <v>2</v>
      </c>
      <c r="F386" s="137">
        <v>0.5</v>
      </c>
      <c r="G386" s="137">
        <v>0.5</v>
      </c>
      <c r="H386" s="137">
        <v>1</v>
      </c>
      <c r="I386" s="137">
        <v>0</v>
      </c>
      <c r="K386" s="143" t="s">
        <v>755</v>
      </c>
      <c r="L386" s="143" t="s">
        <v>753</v>
      </c>
      <c r="M386" s="143" t="s">
        <v>663</v>
      </c>
      <c r="N386" s="143">
        <v>3411</v>
      </c>
      <c r="O386" s="137">
        <v>0.3973333</v>
      </c>
      <c r="P386" s="137">
        <v>0.6</v>
      </c>
      <c r="Q386" s="137">
        <v>0.99733329999999998</v>
      </c>
      <c r="R386" s="137" t="s">
        <v>2487</v>
      </c>
      <c r="S386" s="137">
        <v>0.5</v>
      </c>
      <c r="T386" s="137" t="s">
        <v>2486</v>
      </c>
      <c r="U386" s="137" t="s">
        <v>2838</v>
      </c>
      <c r="W386" s="143" t="s">
        <v>755</v>
      </c>
      <c r="X386" s="143" t="s">
        <v>753</v>
      </c>
      <c r="Y386" s="143" t="s">
        <v>663</v>
      </c>
      <c r="Z386" s="143">
        <v>3411</v>
      </c>
      <c r="AA386" s="143">
        <v>0</v>
      </c>
      <c r="AD386" s="137">
        <v>0</v>
      </c>
      <c r="AG386" s="143" t="s">
        <v>755</v>
      </c>
      <c r="AH386" s="143" t="s">
        <v>753</v>
      </c>
      <c r="AI386" s="143" t="s">
        <v>663</v>
      </c>
      <c r="AJ386" s="143">
        <v>3411</v>
      </c>
      <c r="AK386" s="143">
        <v>2</v>
      </c>
      <c r="AL386" s="156">
        <v>3</v>
      </c>
      <c r="AM386" s="156">
        <v>3</v>
      </c>
      <c r="AN386" s="156">
        <v>2.5</v>
      </c>
      <c r="AO386" s="156">
        <v>2.5</v>
      </c>
      <c r="AP386" s="156">
        <v>3.5</v>
      </c>
      <c r="AQ386" s="156">
        <v>2</v>
      </c>
      <c r="AR386" s="156">
        <v>2.5</v>
      </c>
      <c r="AS386" s="169">
        <v>2.5714290000000002</v>
      </c>
    </row>
    <row r="387" spans="1:45" x14ac:dyDescent="0.35">
      <c r="A387" s="143" t="s">
        <v>755</v>
      </c>
      <c r="B387" s="143" t="s">
        <v>753</v>
      </c>
      <c r="C387" s="143" t="s">
        <v>663</v>
      </c>
      <c r="D387" s="143">
        <v>3702</v>
      </c>
      <c r="E387" s="143">
        <v>2</v>
      </c>
      <c r="F387" s="137">
        <v>1</v>
      </c>
      <c r="G387" s="137">
        <v>1</v>
      </c>
      <c r="H387" s="137">
        <v>1</v>
      </c>
      <c r="I387" s="137">
        <v>0</v>
      </c>
      <c r="K387" s="143" t="s">
        <v>755</v>
      </c>
      <c r="L387" s="143" t="s">
        <v>753</v>
      </c>
      <c r="M387" s="143" t="s">
        <v>663</v>
      </c>
      <c r="N387" s="143">
        <v>3702</v>
      </c>
      <c r="O387" s="137">
        <v>0.4</v>
      </c>
      <c r="P387" s="137">
        <v>0.6</v>
      </c>
      <c r="Q387" s="137">
        <v>1</v>
      </c>
      <c r="R387" s="137" t="s">
        <v>2486</v>
      </c>
      <c r="S387" s="137">
        <v>0.5</v>
      </c>
      <c r="T387" s="137" t="s">
        <v>2486</v>
      </c>
      <c r="U387" s="137" t="s">
        <v>2838</v>
      </c>
      <c r="W387" s="143" t="s">
        <v>755</v>
      </c>
      <c r="X387" s="143" t="s">
        <v>753</v>
      </c>
      <c r="Y387" s="143" t="s">
        <v>663</v>
      </c>
      <c r="Z387" s="143">
        <v>3702</v>
      </c>
      <c r="AA387" s="143">
        <v>0</v>
      </c>
      <c r="AD387" s="137">
        <v>0</v>
      </c>
      <c r="AG387" s="143" t="s">
        <v>755</v>
      </c>
      <c r="AH387" s="143" t="s">
        <v>753</v>
      </c>
      <c r="AI387" s="143" t="s">
        <v>663</v>
      </c>
      <c r="AJ387" s="143">
        <v>3702</v>
      </c>
      <c r="AK387" s="143">
        <v>2</v>
      </c>
      <c r="AL387" s="156">
        <v>3</v>
      </c>
      <c r="AM387" s="156">
        <v>3.5</v>
      </c>
      <c r="AN387" s="156">
        <v>3.5</v>
      </c>
      <c r="AO387" s="156">
        <v>2.5</v>
      </c>
      <c r="AP387" s="156">
        <v>3</v>
      </c>
      <c r="AQ387" s="156">
        <v>2</v>
      </c>
      <c r="AR387" s="156">
        <v>3</v>
      </c>
      <c r="AS387" s="169">
        <v>2.785714</v>
      </c>
    </row>
    <row r="388" spans="1:45" x14ac:dyDescent="0.35">
      <c r="A388" s="143" t="s">
        <v>2847</v>
      </c>
      <c r="B388" s="143" t="s">
        <v>751</v>
      </c>
      <c r="C388" s="143" t="s">
        <v>843</v>
      </c>
      <c r="D388" s="143">
        <v>21</v>
      </c>
      <c r="F388" s="137">
        <v>1</v>
      </c>
      <c r="G388" s="137">
        <v>1</v>
      </c>
      <c r="H388" s="137"/>
      <c r="I388" s="137"/>
      <c r="K388" s="143" t="s">
        <v>2847</v>
      </c>
      <c r="L388" s="143" t="s">
        <v>751</v>
      </c>
      <c r="M388" s="143" t="s">
        <v>843</v>
      </c>
      <c r="N388" s="143">
        <v>21</v>
      </c>
      <c r="O388" s="137">
        <v>0.4</v>
      </c>
      <c r="Q388" s="137">
        <v>1</v>
      </c>
      <c r="R388" s="137" t="s">
        <v>2486</v>
      </c>
      <c r="T388" s="137" t="s">
        <v>2838</v>
      </c>
      <c r="U388" s="137" t="s">
        <v>2838</v>
      </c>
      <c r="W388" s="143" t="s">
        <v>2847</v>
      </c>
      <c r="X388" s="143" t="s">
        <v>751</v>
      </c>
      <c r="Y388" s="143" t="s">
        <v>843</v>
      </c>
      <c r="Z388" s="143">
        <v>21</v>
      </c>
      <c r="AG388" s="143" t="s">
        <v>2847</v>
      </c>
      <c r="AH388" s="143" t="s">
        <v>751</v>
      </c>
      <c r="AI388" s="143" t="s">
        <v>843</v>
      </c>
      <c r="AJ388" s="143">
        <v>21</v>
      </c>
    </row>
    <row r="389" spans="1:45" x14ac:dyDescent="0.35">
      <c r="A389" s="143" t="s">
        <v>2847</v>
      </c>
      <c r="B389" s="143" t="s">
        <v>751</v>
      </c>
      <c r="C389" s="143" t="s">
        <v>842</v>
      </c>
      <c r="D389" s="143">
        <v>77</v>
      </c>
      <c r="F389" s="137">
        <v>1</v>
      </c>
      <c r="G389" s="137">
        <v>1</v>
      </c>
      <c r="H389" s="137"/>
      <c r="I389" s="137"/>
      <c r="K389" s="143" t="s">
        <v>2847</v>
      </c>
      <c r="L389" s="143" t="s">
        <v>751</v>
      </c>
      <c r="M389" s="143" t="s">
        <v>842</v>
      </c>
      <c r="N389" s="143">
        <v>77</v>
      </c>
      <c r="O389" s="137">
        <v>0.4</v>
      </c>
      <c r="Q389" s="137">
        <v>1</v>
      </c>
      <c r="R389" s="137" t="s">
        <v>2486</v>
      </c>
      <c r="T389" s="137" t="s">
        <v>2838</v>
      </c>
      <c r="U389" s="137" t="s">
        <v>2838</v>
      </c>
      <c r="W389" s="143" t="s">
        <v>2847</v>
      </c>
      <c r="X389" s="143" t="s">
        <v>751</v>
      </c>
      <c r="Y389" s="143" t="s">
        <v>842</v>
      </c>
      <c r="Z389" s="143">
        <v>77</v>
      </c>
      <c r="AG389" s="143" t="s">
        <v>2847</v>
      </c>
      <c r="AH389" s="143" t="s">
        <v>751</v>
      </c>
      <c r="AI389" s="143" t="s">
        <v>842</v>
      </c>
      <c r="AJ389" s="143">
        <v>77</v>
      </c>
    </row>
    <row r="390" spans="1:45" x14ac:dyDescent="0.35">
      <c r="A390" s="143" t="s">
        <v>2847</v>
      </c>
      <c r="B390" s="143" t="s">
        <v>751</v>
      </c>
      <c r="C390" s="143" t="s">
        <v>841</v>
      </c>
      <c r="D390" s="143">
        <v>78</v>
      </c>
      <c r="F390" s="137">
        <v>1</v>
      </c>
      <c r="G390" s="137">
        <v>1</v>
      </c>
      <c r="H390" s="137"/>
      <c r="I390" s="137"/>
      <c r="K390" s="143" t="s">
        <v>2847</v>
      </c>
      <c r="L390" s="143" t="s">
        <v>751</v>
      </c>
      <c r="M390" s="143" t="s">
        <v>841</v>
      </c>
      <c r="N390" s="143">
        <v>78</v>
      </c>
      <c r="O390" s="137">
        <v>0.4</v>
      </c>
      <c r="Q390" s="137">
        <v>1</v>
      </c>
      <c r="R390" s="137" t="s">
        <v>2486</v>
      </c>
      <c r="T390" s="137" t="s">
        <v>2838</v>
      </c>
      <c r="U390" s="137" t="s">
        <v>2838</v>
      </c>
      <c r="W390" s="143" t="s">
        <v>2847</v>
      </c>
      <c r="X390" s="143" t="s">
        <v>751</v>
      </c>
      <c r="Y390" s="143" t="s">
        <v>841</v>
      </c>
      <c r="Z390" s="143">
        <v>78</v>
      </c>
      <c r="AG390" s="143" t="s">
        <v>2847</v>
      </c>
      <c r="AH390" s="143" t="s">
        <v>751</v>
      </c>
      <c r="AI390" s="143" t="s">
        <v>841</v>
      </c>
      <c r="AJ390" s="143">
        <v>78</v>
      </c>
    </row>
    <row r="391" spans="1:45" x14ac:dyDescent="0.35">
      <c r="A391" s="143" t="s">
        <v>2847</v>
      </c>
      <c r="B391" s="143" t="s">
        <v>751</v>
      </c>
      <c r="C391" s="143" t="s">
        <v>842</v>
      </c>
      <c r="D391" s="143">
        <v>79</v>
      </c>
      <c r="F391" s="137">
        <v>1</v>
      </c>
      <c r="G391" s="137">
        <v>1</v>
      </c>
      <c r="H391" s="137"/>
      <c r="I391" s="137"/>
      <c r="K391" s="143" t="s">
        <v>2847</v>
      </c>
      <c r="L391" s="143" t="s">
        <v>751</v>
      </c>
      <c r="M391" s="143" t="s">
        <v>842</v>
      </c>
      <c r="N391" s="143">
        <v>79</v>
      </c>
      <c r="O391" s="137">
        <v>0.4</v>
      </c>
      <c r="Q391" s="137">
        <v>1</v>
      </c>
      <c r="R391" s="137" t="s">
        <v>2486</v>
      </c>
      <c r="T391" s="137" t="s">
        <v>2838</v>
      </c>
      <c r="U391" s="137" t="s">
        <v>2838</v>
      </c>
      <c r="W391" s="143" t="s">
        <v>2847</v>
      </c>
      <c r="X391" s="143" t="s">
        <v>751</v>
      </c>
      <c r="Y391" s="143" t="s">
        <v>842</v>
      </c>
      <c r="Z391" s="143">
        <v>79</v>
      </c>
      <c r="AG391" s="143" t="s">
        <v>2847</v>
      </c>
      <c r="AH391" s="143" t="s">
        <v>751</v>
      </c>
      <c r="AI391" s="143" t="s">
        <v>842</v>
      </c>
      <c r="AJ391" s="143">
        <v>79</v>
      </c>
    </row>
    <row r="392" spans="1:45" x14ac:dyDescent="0.35">
      <c r="A392" s="143" t="s">
        <v>2847</v>
      </c>
      <c r="B392" s="143" t="s">
        <v>751</v>
      </c>
      <c r="C392" s="143" t="s">
        <v>663</v>
      </c>
      <c r="D392" s="143">
        <v>2287</v>
      </c>
      <c r="F392" s="137">
        <v>0.5</v>
      </c>
      <c r="G392" s="137">
        <v>0.5</v>
      </c>
      <c r="H392" s="137"/>
      <c r="I392" s="137"/>
      <c r="K392" s="143" t="s">
        <v>2847</v>
      </c>
      <c r="L392" s="143" t="s">
        <v>751</v>
      </c>
      <c r="M392" s="143" t="s">
        <v>663</v>
      </c>
      <c r="N392" s="143">
        <v>2287</v>
      </c>
      <c r="O392" s="137">
        <v>0.4</v>
      </c>
      <c r="Q392" s="137">
        <v>1</v>
      </c>
      <c r="R392" s="137" t="s">
        <v>2486</v>
      </c>
      <c r="T392" s="137" t="s">
        <v>2838</v>
      </c>
      <c r="U392" s="137" t="s">
        <v>2838</v>
      </c>
      <c r="W392" s="143" t="s">
        <v>2847</v>
      </c>
      <c r="X392" s="143" t="s">
        <v>751</v>
      </c>
      <c r="Y392" s="143" t="s">
        <v>663</v>
      </c>
      <c r="Z392" s="143">
        <v>2287</v>
      </c>
      <c r="AG392" s="143" t="s">
        <v>2847</v>
      </c>
      <c r="AH392" s="143" t="s">
        <v>751</v>
      </c>
      <c r="AI392" s="143" t="s">
        <v>663</v>
      </c>
      <c r="AJ392" s="143">
        <v>2287</v>
      </c>
    </row>
    <row r="393" spans="1:45" x14ac:dyDescent="0.35">
      <c r="A393" s="143" t="s">
        <v>2847</v>
      </c>
      <c r="B393" s="143" t="s">
        <v>751</v>
      </c>
      <c r="C393" s="143" t="s">
        <v>663</v>
      </c>
      <c r="D393" s="143">
        <v>2289</v>
      </c>
      <c r="F393" s="137">
        <v>1</v>
      </c>
      <c r="G393" s="137">
        <v>1</v>
      </c>
      <c r="H393" s="137"/>
      <c r="I393" s="137"/>
      <c r="K393" s="143" t="s">
        <v>2847</v>
      </c>
      <c r="L393" s="143" t="s">
        <v>751</v>
      </c>
      <c r="M393" s="143" t="s">
        <v>663</v>
      </c>
      <c r="N393" s="143">
        <v>2289</v>
      </c>
      <c r="O393" s="137">
        <v>0.4</v>
      </c>
      <c r="Q393" s="137">
        <v>1</v>
      </c>
      <c r="R393" s="137" t="s">
        <v>2486</v>
      </c>
      <c r="T393" s="137" t="s">
        <v>2838</v>
      </c>
      <c r="U393" s="137" t="s">
        <v>2838</v>
      </c>
      <c r="W393" s="143" t="s">
        <v>2847</v>
      </c>
      <c r="X393" s="143" t="s">
        <v>751</v>
      </c>
      <c r="Y393" s="143" t="s">
        <v>663</v>
      </c>
      <c r="Z393" s="143">
        <v>2289</v>
      </c>
      <c r="AG393" s="143" t="s">
        <v>2847</v>
      </c>
      <c r="AH393" s="143" t="s">
        <v>751</v>
      </c>
      <c r="AI393" s="143" t="s">
        <v>663</v>
      </c>
      <c r="AJ393" s="143">
        <v>2289</v>
      </c>
    </row>
    <row r="394" spans="1:45" x14ac:dyDescent="0.35">
      <c r="A394" s="143" t="s">
        <v>2847</v>
      </c>
      <c r="B394" s="143" t="s">
        <v>751</v>
      </c>
      <c r="C394" s="143" t="s">
        <v>663</v>
      </c>
      <c r="D394" s="143">
        <v>2867</v>
      </c>
      <c r="F394" s="137">
        <v>1</v>
      </c>
      <c r="G394" s="137">
        <v>1</v>
      </c>
      <c r="H394" s="137"/>
      <c r="I394" s="137"/>
      <c r="K394" s="143" t="s">
        <v>2847</v>
      </c>
      <c r="L394" s="143" t="s">
        <v>751</v>
      </c>
      <c r="M394" s="143" t="s">
        <v>663</v>
      </c>
      <c r="N394" s="143">
        <v>2867</v>
      </c>
      <c r="O394" s="137">
        <v>0.4</v>
      </c>
      <c r="Q394" s="137">
        <v>1</v>
      </c>
      <c r="R394" s="137" t="s">
        <v>2486</v>
      </c>
      <c r="T394" s="137" t="s">
        <v>2838</v>
      </c>
      <c r="U394" s="137" t="s">
        <v>2838</v>
      </c>
      <c r="W394" s="143" t="s">
        <v>2847</v>
      </c>
      <c r="X394" s="143" t="s">
        <v>751</v>
      </c>
      <c r="Y394" s="143" t="s">
        <v>663</v>
      </c>
      <c r="Z394" s="143">
        <v>2867</v>
      </c>
      <c r="AG394" s="143" t="s">
        <v>2847</v>
      </c>
      <c r="AH394" s="143" t="s">
        <v>751</v>
      </c>
      <c r="AI394" s="143" t="s">
        <v>663</v>
      </c>
      <c r="AJ394" s="143">
        <v>2867</v>
      </c>
    </row>
    <row r="395" spans="1:45" x14ac:dyDescent="0.35">
      <c r="A395" s="143" t="s">
        <v>2847</v>
      </c>
      <c r="B395" s="143" t="s">
        <v>751</v>
      </c>
      <c r="C395" s="143" t="s">
        <v>663</v>
      </c>
      <c r="D395" s="143">
        <v>4658</v>
      </c>
      <c r="F395" s="137">
        <v>1</v>
      </c>
      <c r="G395" s="137">
        <v>1</v>
      </c>
      <c r="H395" s="137"/>
      <c r="I395" s="137"/>
      <c r="K395" s="143" t="s">
        <v>2847</v>
      </c>
      <c r="L395" s="143" t="s">
        <v>751</v>
      </c>
      <c r="M395" s="143" t="s">
        <v>663</v>
      </c>
      <c r="N395" s="143">
        <v>4658</v>
      </c>
      <c r="O395" s="137">
        <v>0.4</v>
      </c>
      <c r="Q395" s="137">
        <v>1</v>
      </c>
      <c r="R395" s="137" t="s">
        <v>2486</v>
      </c>
      <c r="T395" s="137" t="s">
        <v>2838</v>
      </c>
      <c r="U395" s="137" t="s">
        <v>2838</v>
      </c>
      <c r="W395" s="143" t="s">
        <v>2847</v>
      </c>
      <c r="X395" s="143" t="s">
        <v>751</v>
      </c>
      <c r="Y395" s="143" t="s">
        <v>663</v>
      </c>
      <c r="Z395" s="143">
        <v>4658</v>
      </c>
      <c r="AG395" s="143" t="s">
        <v>2847</v>
      </c>
      <c r="AH395" s="143" t="s">
        <v>751</v>
      </c>
      <c r="AI395" s="143" t="s">
        <v>663</v>
      </c>
      <c r="AJ395" s="143">
        <v>4658</v>
      </c>
    </row>
    <row r="396" spans="1:45" x14ac:dyDescent="0.35">
      <c r="A396" s="143" t="s">
        <v>2847</v>
      </c>
      <c r="B396" s="143" t="s">
        <v>751</v>
      </c>
      <c r="C396" s="143" t="s">
        <v>663</v>
      </c>
      <c r="D396" s="143">
        <v>4660</v>
      </c>
      <c r="F396" s="137">
        <v>1</v>
      </c>
      <c r="G396" s="137">
        <v>1</v>
      </c>
      <c r="H396" s="137"/>
      <c r="I396" s="137"/>
      <c r="K396" s="143" t="s">
        <v>2847</v>
      </c>
      <c r="L396" s="143" t="s">
        <v>751</v>
      </c>
      <c r="M396" s="143" t="s">
        <v>663</v>
      </c>
      <c r="N396" s="143">
        <v>4660</v>
      </c>
      <c r="O396" s="137">
        <v>0.4</v>
      </c>
      <c r="Q396" s="137">
        <v>1</v>
      </c>
      <c r="R396" s="137" t="s">
        <v>2486</v>
      </c>
      <c r="T396" s="137" t="s">
        <v>2838</v>
      </c>
      <c r="U396" s="137" t="s">
        <v>2838</v>
      </c>
      <c r="W396" s="143" t="s">
        <v>2847</v>
      </c>
      <c r="X396" s="143" t="s">
        <v>751</v>
      </c>
      <c r="Y396" s="143" t="s">
        <v>663</v>
      </c>
      <c r="Z396" s="143">
        <v>4660</v>
      </c>
      <c r="AG396" s="143" t="s">
        <v>2847</v>
      </c>
      <c r="AH396" s="143" t="s">
        <v>751</v>
      </c>
      <c r="AI396" s="143" t="s">
        <v>663</v>
      </c>
      <c r="AJ396" s="143">
        <v>4660</v>
      </c>
    </row>
    <row r="397" spans="1:45" x14ac:dyDescent="0.35">
      <c r="A397" s="143" t="s">
        <v>2847</v>
      </c>
      <c r="B397" s="143" t="s">
        <v>751</v>
      </c>
      <c r="C397" s="143" t="s">
        <v>663</v>
      </c>
      <c r="D397" s="143">
        <v>4661</v>
      </c>
      <c r="F397" s="137">
        <v>0.5</v>
      </c>
      <c r="G397" s="137">
        <v>0.5</v>
      </c>
      <c r="H397" s="137"/>
      <c r="I397" s="137"/>
      <c r="K397" s="143" t="s">
        <v>2847</v>
      </c>
      <c r="L397" s="143" t="s">
        <v>751</v>
      </c>
      <c r="M397" s="143" t="s">
        <v>663</v>
      </c>
      <c r="N397" s="143">
        <v>4661</v>
      </c>
      <c r="O397" s="137">
        <v>0.4</v>
      </c>
      <c r="Q397" s="137">
        <v>1</v>
      </c>
      <c r="R397" s="137" t="s">
        <v>2486</v>
      </c>
      <c r="T397" s="137" t="s">
        <v>2838</v>
      </c>
      <c r="U397" s="137" t="s">
        <v>2838</v>
      </c>
      <c r="W397" s="143" t="s">
        <v>2847</v>
      </c>
      <c r="X397" s="143" t="s">
        <v>751</v>
      </c>
      <c r="Y397" s="143" t="s">
        <v>663</v>
      </c>
      <c r="Z397" s="143">
        <v>4661</v>
      </c>
      <c r="AG397" s="143" t="s">
        <v>2847</v>
      </c>
      <c r="AH397" s="143" t="s">
        <v>751</v>
      </c>
      <c r="AI397" s="143" t="s">
        <v>663</v>
      </c>
      <c r="AJ397" s="143">
        <v>4661</v>
      </c>
    </row>
    <row r="398" spans="1:45" x14ac:dyDescent="0.35">
      <c r="A398" s="143" t="s">
        <v>2847</v>
      </c>
      <c r="B398" s="143" t="s">
        <v>751</v>
      </c>
      <c r="C398" s="143" t="s">
        <v>663</v>
      </c>
      <c r="D398" s="143">
        <v>4663</v>
      </c>
      <c r="F398" s="137">
        <v>1</v>
      </c>
      <c r="G398" s="137">
        <v>0.5</v>
      </c>
      <c r="H398" s="137"/>
      <c r="I398" s="137"/>
      <c r="K398" s="143" t="s">
        <v>2847</v>
      </c>
      <c r="L398" s="143" t="s">
        <v>751</v>
      </c>
      <c r="M398" s="143" t="s">
        <v>663</v>
      </c>
      <c r="N398" s="143">
        <v>4663</v>
      </c>
      <c r="O398" s="137">
        <v>0.4</v>
      </c>
      <c r="Q398" s="137">
        <v>1</v>
      </c>
      <c r="R398" s="137" t="s">
        <v>2486</v>
      </c>
      <c r="T398" s="137" t="s">
        <v>2838</v>
      </c>
      <c r="U398" s="137" t="s">
        <v>2838</v>
      </c>
      <c r="W398" s="143" t="s">
        <v>2847</v>
      </c>
      <c r="X398" s="143" t="s">
        <v>751</v>
      </c>
      <c r="Y398" s="143" t="s">
        <v>663</v>
      </c>
      <c r="Z398" s="143">
        <v>4663</v>
      </c>
      <c r="AG398" s="143" t="s">
        <v>2847</v>
      </c>
      <c r="AH398" s="143" t="s">
        <v>751</v>
      </c>
      <c r="AI398" s="143" t="s">
        <v>663</v>
      </c>
      <c r="AJ398" s="143">
        <v>4663</v>
      </c>
    </row>
    <row r="399" spans="1:45" x14ac:dyDescent="0.35">
      <c r="A399" s="143" t="s">
        <v>2848</v>
      </c>
      <c r="B399" s="143" t="s">
        <v>728</v>
      </c>
      <c r="C399" s="143" t="s">
        <v>843</v>
      </c>
      <c r="D399" s="143">
        <v>21</v>
      </c>
      <c r="E399" s="143">
        <v>8</v>
      </c>
      <c r="F399" s="137"/>
      <c r="G399" s="137"/>
      <c r="H399" s="137">
        <v>1</v>
      </c>
      <c r="I399" s="137">
        <v>1</v>
      </c>
      <c r="K399" s="143" t="s">
        <v>2848</v>
      </c>
      <c r="L399" s="143" t="s">
        <v>728</v>
      </c>
      <c r="M399" s="143" t="s">
        <v>843</v>
      </c>
      <c r="N399" s="143">
        <v>21</v>
      </c>
      <c r="O399" s="137">
        <v>0.4</v>
      </c>
      <c r="P399" s="137">
        <v>0.6</v>
      </c>
      <c r="Q399" s="137">
        <v>1</v>
      </c>
      <c r="R399" s="137" t="s">
        <v>2486</v>
      </c>
      <c r="S399" s="137">
        <v>0.24444440000000001</v>
      </c>
      <c r="T399" s="137" t="s">
        <v>2486</v>
      </c>
      <c r="U399" s="137" t="s">
        <v>2486</v>
      </c>
      <c r="W399" s="143" t="s">
        <v>2848</v>
      </c>
      <c r="X399" s="143" t="s">
        <v>728</v>
      </c>
      <c r="Y399" s="143" t="s">
        <v>843</v>
      </c>
      <c r="Z399" s="143">
        <v>21</v>
      </c>
      <c r="AA399" s="143">
        <v>8</v>
      </c>
      <c r="AB399" s="137">
        <v>0.375</v>
      </c>
      <c r="AC399" s="137">
        <v>0</v>
      </c>
      <c r="AD399" s="137">
        <v>0</v>
      </c>
      <c r="AG399" s="143" t="s">
        <v>2848</v>
      </c>
      <c r="AH399" s="143" t="s">
        <v>728</v>
      </c>
      <c r="AI399" s="143" t="s">
        <v>843</v>
      </c>
      <c r="AJ399" s="143">
        <v>21</v>
      </c>
      <c r="AK399" s="143">
        <v>8</v>
      </c>
      <c r="AL399" s="156">
        <v>2.125</v>
      </c>
      <c r="AM399" s="156">
        <v>3.375</v>
      </c>
      <c r="AN399" s="156">
        <v>3.25</v>
      </c>
      <c r="AO399" s="156">
        <v>3.125</v>
      </c>
      <c r="AP399" s="156">
        <v>3</v>
      </c>
      <c r="AQ399" s="156">
        <v>3.25</v>
      </c>
      <c r="AR399" s="156">
        <v>3</v>
      </c>
      <c r="AS399" s="169">
        <v>3.125</v>
      </c>
    </row>
    <row r="400" spans="1:45" x14ac:dyDescent="0.35">
      <c r="A400" s="143" t="s">
        <v>2848</v>
      </c>
      <c r="B400" s="143" t="s">
        <v>728</v>
      </c>
      <c r="C400" s="143" t="s">
        <v>842</v>
      </c>
      <c r="D400" s="143">
        <v>77</v>
      </c>
      <c r="E400" s="143">
        <v>2</v>
      </c>
      <c r="F400" s="137"/>
      <c r="G400" s="137"/>
      <c r="H400" s="137">
        <v>1</v>
      </c>
      <c r="I400" s="137">
        <v>1</v>
      </c>
      <c r="K400" s="143" t="s">
        <v>2848</v>
      </c>
      <c r="L400" s="143" t="s">
        <v>728</v>
      </c>
      <c r="M400" s="143" t="s">
        <v>842</v>
      </c>
      <c r="N400" s="143">
        <v>77</v>
      </c>
      <c r="O400" s="137">
        <v>0.4</v>
      </c>
      <c r="P400" s="137">
        <v>0.6</v>
      </c>
      <c r="Q400" s="137">
        <v>1</v>
      </c>
      <c r="R400" s="137" t="s">
        <v>2486</v>
      </c>
      <c r="S400" s="137">
        <v>0.42857139999999999</v>
      </c>
      <c r="T400" s="137" t="s">
        <v>2486</v>
      </c>
      <c r="U400" s="137" t="s">
        <v>2487</v>
      </c>
      <c r="W400" s="143" t="s">
        <v>2848</v>
      </c>
      <c r="X400" s="143" t="s">
        <v>728</v>
      </c>
      <c r="Y400" s="143" t="s">
        <v>842</v>
      </c>
      <c r="Z400" s="143">
        <v>77</v>
      </c>
      <c r="AA400" s="143">
        <v>0</v>
      </c>
      <c r="AD400" s="137">
        <v>0.14285709999999999</v>
      </c>
      <c r="AE400" s="137">
        <v>0</v>
      </c>
      <c r="AG400" s="143" t="s">
        <v>2848</v>
      </c>
      <c r="AH400" s="143" t="s">
        <v>728</v>
      </c>
      <c r="AI400" s="143" t="s">
        <v>842</v>
      </c>
      <c r="AJ400" s="143">
        <v>77</v>
      </c>
      <c r="AK400" s="143">
        <v>2</v>
      </c>
      <c r="AL400" s="156">
        <v>2</v>
      </c>
      <c r="AM400" s="156">
        <v>3</v>
      </c>
      <c r="AN400" s="156">
        <v>3</v>
      </c>
      <c r="AO400" s="156">
        <v>3</v>
      </c>
      <c r="AP400" s="156">
        <v>3</v>
      </c>
      <c r="AQ400" s="156">
        <v>3</v>
      </c>
      <c r="AR400" s="156">
        <v>3</v>
      </c>
      <c r="AS400" s="169">
        <v>3</v>
      </c>
    </row>
    <row r="401" spans="1:45" x14ac:dyDescent="0.35">
      <c r="A401" s="143" t="s">
        <v>2848</v>
      </c>
      <c r="B401" s="143" t="s">
        <v>728</v>
      </c>
      <c r="C401" s="143" t="s">
        <v>841</v>
      </c>
      <c r="D401" s="143">
        <v>78</v>
      </c>
      <c r="E401" s="143">
        <v>3</v>
      </c>
      <c r="F401" s="137"/>
      <c r="G401" s="137"/>
      <c r="H401" s="137">
        <v>1</v>
      </c>
      <c r="I401" s="137">
        <v>1</v>
      </c>
      <c r="K401" s="143" t="s">
        <v>2848</v>
      </c>
      <c r="L401" s="143" t="s">
        <v>728</v>
      </c>
      <c r="M401" s="143" t="s">
        <v>841</v>
      </c>
      <c r="N401" s="143">
        <v>78</v>
      </c>
      <c r="O401" s="137">
        <v>0.4</v>
      </c>
      <c r="P401" s="137">
        <v>0.6</v>
      </c>
      <c r="Q401" s="137">
        <v>1</v>
      </c>
      <c r="R401" s="137" t="s">
        <v>2486</v>
      </c>
      <c r="S401" s="137">
        <v>0.3333333</v>
      </c>
      <c r="T401" s="137" t="s">
        <v>2486</v>
      </c>
      <c r="U401" s="137" t="s">
        <v>2486</v>
      </c>
      <c r="W401" s="143" t="s">
        <v>2848</v>
      </c>
      <c r="X401" s="143" t="s">
        <v>728</v>
      </c>
      <c r="Y401" s="143" t="s">
        <v>841</v>
      </c>
      <c r="Z401" s="143">
        <v>78</v>
      </c>
      <c r="AA401" s="143">
        <v>0</v>
      </c>
      <c r="AD401" s="137">
        <v>0</v>
      </c>
      <c r="AG401" s="143" t="s">
        <v>2848</v>
      </c>
      <c r="AH401" s="143" t="s">
        <v>728</v>
      </c>
      <c r="AI401" s="143" t="s">
        <v>841</v>
      </c>
      <c r="AJ401" s="143">
        <v>78</v>
      </c>
      <c r="AK401" s="143">
        <v>3</v>
      </c>
      <c r="AL401" s="156">
        <v>3</v>
      </c>
      <c r="AM401" s="156">
        <v>3.3333332538604701</v>
      </c>
      <c r="AN401" s="156">
        <v>3</v>
      </c>
      <c r="AO401" s="156">
        <v>2.6666667461395299</v>
      </c>
      <c r="AP401" s="156">
        <v>4</v>
      </c>
      <c r="AQ401" s="156">
        <v>3</v>
      </c>
      <c r="AR401" s="156">
        <v>3.6666667461395299</v>
      </c>
      <c r="AS401" s="169">
        <v>3.2380949999999999</v>
      </c>
    </row>
    <row r="402" spans="1:45" x14ac:dyDescent="0.35">
      <c r="A402" s="143" t="s">
        <v>2848</v>
      </c>
      <c r="B402" s="143" t="s">
        <v>728</v>
      </c>
      <c r="C402" s="143" t="s">
        <v>842</v>
      </c>
      <c r="D402" s="143">
        <v>79</v>
      </c>
      <c r="E402" s="143">
        <v>2</v>
      </c>
      <c r="F402" s="137"/>
      <c r="G402" s="137"/>
      <c r="H402" s="137">
        <v>1</v>
      </c>
      <c r="I402" s="137">
        <v>1</v>
      </c>
      <c r="K402" s="143" t="s">
        <v>2848</v>
      </c>
      <c r="L402" s="143" t="s">
        <v>728</v>
      </c>
      <c r="M402" s="143" t="s">
        <v>842</v>
      </c>
      <c r="N402" s="143">
        <v>79</v>
      </c>
      <c r="O402" s="137">
        <v>0.4</v>
      </c>
      <c r="P402" s="137">
        <v>0.6</v>
      </c>
      <c r="Q402" s="137">
        <v>1</v>
      </c>
      <c r="R402" s="137" t="s">
        <v>2486</v>
      </c>
      <c r="S402" s="137">
        <v>0.5</v>
      </c>
      <c r="T402" s="137" t="s">
        <v>2486</v>
      </c>
      <c r="U402" s="137" t="s">
        <v>2486</v>
      </c>
      <c r="W402" s="143" t="s">
        <v>2848</v>
      </c>
      <c r="X402" s="143" t="s">
        <v>728</v>
      </c>
      <c r="Y402" s="143" t="s">
        <v>842</v>
      </c>
      <c r="Z402" s="143">
        <v>79</v>
      </c>
      <c r="AA402" s="143">
        <v>0</v>
      </c>
      <c r="AD402" s="137">
        <v>0</v>
      </c>
      <c r="AE402" s="137">
        <v>2.75</v>
      </c>
      <c r="AG402" s="143" t="s">
        <v>2848</v>
      </c>
      <c r="AH402" s="143" t="s">
        <v>728</v>
      </c>
      <c r="AI402" s="143" t="s">
        <v>842</v>
      </c>
      <c r="AJ402" s="143">
        <v>79</v>
      </c>
      <c r="AK402" s="143">
        <v>2</v>
      </c>
      <c r="AL402" s="156">
        <v>2</v>
      </c>
      <c r="AM402" s="156">
        <v>3.5</v>
      </c>
      <c r="AN402" s="156">
        <v>3</v>
      </c>
      <c r="AO402" s="156">
        <v>3</v>
      </c>
      <c r="AP402" s="156">
        <v>3</v>
      </c>
      <c r="AQ402" s="156">
        <v>3</v>
      </c>
      <c r="AR402" s="156">
        <v>3</v>
      </c>
      <c r="AS402" s="169">
        <v>3.0714290000000002</v>
      </c>
    </row>
    <row r="403" spans="1:45" x14ac:dyDescent="0.35">
      <c r="A403" s="143" t="s">
        <v>2848</v>
      </c>
      <c r="B403" s="143" t="s">
        <v>728</v>
      </c>
      <c r="C403" s="143" t="s">
        <v>663</v>
      </c>
      <c r="D403" s="143">
        <v>2287</v>
      </c>
      <c r="E403" s="143">
        <v>2</v>
      </c>
      <c r="F403" s="137"/>
      <c r="G403" s="137"/>
      <c r="H403" s="137">
        <v>0.5</v>
      </c>
      <c r="I403" s="137">
        <v>1</v>
      </c>
      <c r="K403" s="143" t="s">
        <v>2848</v>
      </c>
      <c r="L403" s="143" t="s">
        <v>728</v>
      </c>
      <c r="M403" s="143" t="s">
        <v>663</v>
      </c>
      <c r="N403" s="143">
        <v>2287</v>
      </c>
      <c r="O403" s="137">
        <v>0.4</v>
      </c>
      <c r="P403" s="137">
        <v>0.6</v>
      </c>
      <c r="Q403" s="137">
        <v>1</v>
      </c>
      <c r="R403" s="137" t="s">
        <v>2486</v>
      </c>
      <c r="S403" s="137">
        <v>0.66666669999999995</v>
      </c>
      <c r="T403" s="137" t="s">
        <v>2486</v>
      </c>
      <c r="U403" s="137" t="s">
        <v>2838</v>
      </c>
      <c r="W403" s="143" t="s">
        <v>2848</v>
      </c>
      <c r="X403" s="143" t="s">
        <v>728</v>
      </c>
      <c r="Y403" s="143" t="s">
        <v>663</v>
      </c>
      <c r="Z403" s="143">
        <v>2287</v>
      </c>
      <c r="AA403" s="143">
        <v>0</v>
      </c>
      <c r="AD403" s="137">
        <v>0</v>
      </c>
      <c r="AG403" s="143" t="s">
        <v>2848</v>
      </c>
      <c r="AH403" s="143" t="s">
        <v>728</v>
      </c>
      <c r="AI403" s="143" t="s">
        <v>663</v>
      </c>
      <c r="AJ403" s="143">
        <v>2287</v>
      </c>
      <c r="AK403" s="143">
        <v>2</v>
      </c>
      <c r="AL403" s="156">
        <v>2</v>
      </c>
      <c r="AM403" s="156">
        <v>3.5</v>
      </c>
      <c r="AN403" s="156">
        <v>3</v>
      </c>
      <c r="AO403" s="156">
        <v>3.5</v>
      </c>
      <c r="AP403" s="156">
        <v>4</v>
      </c>
      <c r="AQ403" s="156">
        <v>3.5</v>
      </c>
      <c r="AR403" s="156">
        <v>3.5</v>
      </c>
      <c r="AS403" s="169">
        <v>3.4285709999999998</v>
      </c>
    </row>
    <row r="404" spans="1:45" x14ac:dyDescent="0.35">
      <c r="A404" s="143" t="s">
        <v>2848</v>
      </c>
      <c r="B404" s="143" t="s">
        <v>728</v>
      </c>
      <c r="C404" s="143" t="s">
        <v>663</v>
      </c>
      <c r="D404" s="143">
        <v>2289</v>
      </c>
      <c r="E404" s="143">
        <v>2</v>
      </c>
      <c r="F404" s="137"/>
      <c r="G404" s="137"/>
      <c r="H404" s="137">
        <v>1</v>
      </c>
      <c r="I404" s="137">
        <v>1</v>
      </c>
      <c r="K404" s="143" t="s">
        <v>2848</v>
      </c>
      <c r="L404" s="143" t="s">
        <v>728</v>
      </c>
      <c r="M404" s="143" t="s">
        <v>663</v>
      </c>
      <c r="N404" s="143">
        <v>2289</v>
      </c>
      <c r="O404" s="137">
        <v>0.39200000000000002</v>
      </c>
      <c r="P404" s="137">
        <v>0.6</v>
      </c>
      <c r="Q404" s="137">
        <v>0.99199999999999999</v>
      </c>
      <c r="R404" s="137" t="s">
        <v>2487</v>
      </c>
      <c r="S404" s="137">
        <v>0.5</v>
      </c>
      <c r="T404" s="137" t="s">
        <v>2486</v>
      </c>
      <c r="U404" s="137" t="s">
        <v>2838</v>
      </c>
      <c r="W404" s="143" t="s">
        <v>2848</v>
      </c>
      <c r="X404" s="143" t="s">
        <v>728</v>
      </c>
      <c r="Y404" s="143" t="s">
        <v>663</v>
      </c>
      <c r="Z404" s="143">
        <v>2289</v>
      </c>
      <c r="AA404" s="143">
        <v>0</v>
      </c>
      <c r="AD404" s="137">
        <v>0.25</v>
      </c>
      <c r="AE404" s="137">
        <v>0</v>
      </c>
      <c r="AG404" s="143" t="s">
        <v>2848</v>
      </c>
      <c r="AH404" s="143" t="s">
        <v>728</v>
      </c>
      <c r="AI404" s="143" t="s">
        <v>663</v>
      </c>
      <c r="AJ404" s="143">
        <v>2289</v>
      </c>
      <c r="AK404" s="143">
        <v>2</v>
      </c>
      <c r="AL404" s="156">
        <v>2</v>
      </c>
      <c r="AM404" s="156">
        <v>3</v>
      </c>
      <c r="AN404" s="156">
        <v>3.5</v>
      </c>
      <c r="AO404" s="156">
        <v>3</v>
      </c>
      <c r="AP404" s="156">
        <v>4</v>
      </c>
      <c r="AQ404" s="156">
        <v>4</v>
      </c>
      <c r="AR404" s="156">
        <v>4</v>
      </c>
      <c r="AS404" s="169">
        <v>3.5</v>
      </c>
    </row>
    <row r="405" spans="1:45" x14ac:dyDescent="0.35">
      <c r="A405" s="143" t="s">
        <v>2848</v>
      </c>
      <c r="B405" s="143" t="s">
        <v>728</v>
      </c>
      <c r="C405" s="143" t="s">
        <v>663</v>
      </c>
      <c r="D405" s="143">
        <v>2867</v>
      </c>
      <c r="E405" s="143">
        <v>2</v>
      </c>
      <c r="F405" s="137"/>
      <c r="G405" s="137"/>
      <c r="H405" s="137">
        <v>1</v>
      </c>
      <c r="I405" s="137">
        <v>1</v>
      </c>
      <c r="K405" s="143" t="s">
        <v>2848</v>
      </c>
      <c r="L405" s="143" t="s">
        <v>728</v>
      </c>
      <c r="M405" s="143" t="s">
        <v>663</v>
      </c>
      <c r="N405" s="143">
        <v>2867</v>
      </c>
      <c r="O405" s="137">
        <v>0.4</v>
      </c>
      <c r="P405" s="137">
        <v>0.6</v>
      </c>
      <c r="Q405" s="137">
        <v>1</v>
      </c>
      <c r="R405" s="137" t="s">
        <v>2486</v>
      </c>
      <c r="S405" s="137">
        <v>0.66666669999999995</v>
      </c>
      <c r="T405" s="137" t="s">
        <v>2486</v>
      </c>
      <c r="U405" s="137" t="s">
        <v>2838</v>
      </c>
      <c r="W405" s="143" t="s">
        <v>2848</v>
      </c>
      <c r="X405" s="143" t="s">
        <v>728</v>
      </c>
      <c r="Y405" s="143" t="s">
        <v>663</v>
      </c>
      <c r="Z405" s="143">
        <v>2867</v>
      </c>
      <c r="AA405" s="143">
        <v>0</v>
      </c>
      <c r="AD405" s="137">
        <v>0</v>
      </c>
      <c r="AE405" s="137">
        <v>0.1666667</v>
      </c>
      <c r="AG405" s="143" t="s">
        <v>2848</v>
      </c>
      <c r="AH405" s="143" t="s">
        <v>728</v>
      </c>
      <c r="AI405" s="143" t="s">
        <v>663</v>
      </c>
      <c r="AJ405" s="143">
        <v>2867</v>
      </c>
      <c r="AK405" s="143">
        <v>2</v>
      </c>
      <c r="AL405" s="156">
        <v>3</v>
      </c>
      <c r="AM405" s="156">
        <v>4</v>
      </c>
      <c r="AN405" s="156">
        <v>4</v>
      </c>
      <c r="AO405" s="156">
        <v>3</v>
      </c>
      <c r="AP405" s="156">
        <v>4</v>
      </c>
      <c r="AQ405" s="156">
        <v>3</v>
      </c>
      <c r="AR405" s="156">
        <v>3</v>
      </c>
      <c r="AS405" s="169">
        <v>3.285714</v>
      </c>
    </row>
    <row r="406" spans="1:45" x14ac:dyDescent="0.35">
      <c r="A406" s="143" t="s">
        <v>2848</v>
      </c>
      <c r="B406" s="143" t="s">
        <v>728</v>
      </c>
      <c r="C406" s="143" t="s">
        <v>663</v>
      </c>
      <c r="D406" s="143">
        <v>4658</v>
      </c>
      <c r="E406" s="143">
        <v>2</v>
      </c>
      <c r="F406" s="137"/>
      <c r="G406" s="137"/>
      <c r="H406" s="137">
        <v>1</v>
      </c>
      <c r="I406" s="137">
        <v>1</v>
      </c>
      <c r="K406" s="143" t="s">
        <v>2848</v>
      </c>
      <c r="L406" s="143" t="s">
        <v>728</v>
      </c>
      <c r="M406" s="143" t="s">
        <v>663</v>
      </c>
      <c r="N406" s="143">
        <v>4658</v>
      </c>
      <c r="O406" s="137">
        <v>0.4</v>
      </c>
      <c r="P406" s="137">
        <v>0.6</v>
      </c>
      <c r="Q406" s="137">
        <v>1</v>
      </c>
      <c r="R406" s="137" t="s">
        <v>2486</v>
      </c>
      <c r="S406" s="137">
        <v>0.66666669999999995</v>
      </c>
      <c r="T406" s="137" t="s">
        <v>2486</v>
      </c>
      <c r="U406" s="137" t="s">
        <v>2838</v>
      </c>
      <c r="W406" s="143" t="s">
        <v>2848</v>
      </c>
      <c r="X406" s="143" t="s">
        <v>728</v>
      </c>
      <c r="Y406" s="143" t="s">
        <v>663</v>
      </c>
      <c r="Z406" s="143">
        <v>4658</v>
      </c>
      <c r="AA406" s="143">
        <v>0</v>
      </c>
      <c r="AD406" s="137">
        <v>0</v>
      </c>
      <c r="AG406" s="143" t="s">
        <v>2848</v>
      </c>
      <c r="AH406" s="143" t="s">
        <v>728</v>
      </c>
      <c r="AI406" s="143" t="s">
        <v>663</v>
      </c>
      <c r="AJ406" s="143">
        <v>4658</v>
      </c>
      <c r="AK406" s="143">
        <v>2</v>
      </c>
      <c r="AL406" s="156">
        <v>3</v>
      </c>
      <c r="AM406" s="156">
        <v>3.5</v>
      </c>
      <c r="AN406" s="156">
        <v>3.5</v>
      </c>
      <c r="AO406" s="156">
        <v>3</v>
      </c>
      <c r="AP406" s="156">
        <v>1.5</v>
      </c>
      <c r="AQ406" s="156">
        <v>3</v>
      </c>
      <c r="AR406" s="156">
        <v>3</v>
      </c>
      <c r="AS406" s="169">
        <v>3</v>
      </c>
    </row>
    <row r="407" spans="1:45" x14ac:dyDescent="0.35">
      <c r="A407" s="143" t="s">
        <v>2848</v>
      </c>
      <c r="B407" s="143" t="s">
        <v>728</v>
      </c>
      <c r="C407" s="143" t="s">
        <v>663</v>
      </c>
      <c r="D407" s="143">
        <v>4660</v>
      </c>
      <c r="E407" s="143">
        <v>2</v>
      </c>
      <c r="F407" s="137"/>
      <c r="G407" s="137"/>
      <c r="H407" s="137">
        <v>1</v>
      </c>
      <c r="I407" s="137">
        <v>1</v>
      </c>
      <c r="K407" s="143" t="s">
        <v>2848</v>
      </c>
      <c r="L407" s="143" t="s">
        <v>728</v>
      </c>
      <c r="M407" s="143" t="s">
        <v>663</v>
      </c>
      <c r="N407" s="143">
        <v>4660</v>
      </c>
      <c r="O407" s="137">
        <v>0.4</v>
      </c>
      <c r="P407" s="137">
        <v>0.6</v>
      </c>
      <c r="Q407" s="137">
        <v>1</v>
      </c>
      <c r="R407" s="137" t="s">
        <v>2486</v>
      </c>
      <c r="S407" s="137">
        <v>0.5</v>
      </c>
      <c r="T407" s="137" t="s">
        <v>2486</v>
      </c>
      <c r="U407" s="137" t="s">
        <v>2838</v>
      </c>
      <c r="W407" s="143" t="s">
        <v>2848</v>
      </c>
      <c r="X407" s="143" t="s">
        <v>728</v>
      </c>
      <c r="Y407" s="143" t="s">
        <v>663</v>
      </c>
      <c r="Z407" s="143">
        <v>4660</v>
      </c>
      <c r="AA407" s="143">
        <v>0</v>
      </c>
      <c r="AD407" s="137">
        <v>0.5</v>
      </c>
      <c r="AE407" s="137">
        <v>0</v>
      </c>
      <c r="AG407" s="143" t="s">
        <v>2848</v>
      </c>
      <c r="AH407" s="143" t="s">
        <v>728</v>
      </c>
      <c r="AI407" s="143" t="s">
        <v>663</v>
      </c>
      <c r="AJ407" s="143">
        <v>4660</v>
      </c>
      <c r="AK407" s="143">
        <v>2</v>
      </c>
      <c r="AL407" s="156">
        <v>3</v>
      </c>
      <c r="AM407" s="156">
        <v>3.5</v>
      </c>
      <c r="AN407" s="156">
        <v>2.5</v>
      </c>
      <c r="AO407" s="156">
        <v>3</v>
      </c>
      <c r="AP407" s="156">
        <v>2</v>
      </c>
      <c r="AQ407" s="156">
        <v>3.5</v>
      </c>
      <c r="AR407" s="156">
        <v>3.5</v>
      </c>
      <c r="AS407" s="169">
        <v>2.8571430000000002</v>
      </c>
    </row>
    <row r="408" spans="1:45" x14ac:dyDescent="0.35">
      <c r="A408" s="143" t="s">
        <v>2848</v>
      </c>
      <c r="B408" s="143" t="s">
        <v>728</v>
      </c>
      <c r="C408" s="143" t="s">
        <v>663</v>
      </c>
      <c r="D408" s="143">
        <v>4661</v>
      </c>
      <c r="E408" s="143">
        <v>2</v>
      </c>
      <c r="F408" s="137"/>
      <c r="G408" s="137"/>
      <c r="H408" s="137">
        <v>0.5</v>
      </c>
      <c r="I408" s="137">
        <v>1</v>
      </c>
      <c r="K408" s="143" t="s">
        <v>2848</v>
      </c>
      <c r="L408" s="143" t="s">
        <v>728</v>
      </c>
      <c r="M408" s="143" t="s">
        <v>663</v>
      </c>
      <c r="N408" s="143">
        <v>4661</v>
      </c>
      <c r="O408" s="137">
        <v>0.4</v>
      </c>
      <c r="P408" s="137">
        <v>0.6</v>
      </c>
      <c r="Q408" s="137">
        <v>1</v>
      </c>
      <c r="R408" s="137" t="s">
        <v>2486</v>
      </c>
      <c r="S408" s="137">
        <v>0.5</v>
      </c>
      <c r="T408" s="137" t="s">
        <v>2486</v>
      </c>
      <c r="U408" s="137" t="s">
        <v>2838</v>
      </c>
      <c r="W408" s="143" t="s">
        <v>2848</v>
      </c>
      <c r="X408" s="143" t="s">
        <v>728</v>
      </c>
      <c r="Y408" s="143" t="s">
        <v>663</v>
      </c>
      <c r="Z408" s="143">
        <v>4661</v>
      </c>
      <c r="AA408" s="143">
        <v>0</v>
      </c>
      <c r="AD408" s="137">
        <v>0</v>
      </c>
      <c r="AG408" s="143" t="s">
        <v>2848</v>
      </c>
      <c r="AH408" s="143" t="s">
        <v>728</v>
      </c>
      <c r="AI408" s="143" t="s">
        <v>663</v>
      </c>
      <c r="AJ408" s="143">
        <v>4661</v>
      </c>
      <c r="AK408" s="143">
        <v>2</v>
      </c>
      <c r="AL408" s="156">
        <v>1.5</v>
      </c>
      <c r="AM408" s="156">
        <v>4</v>
      </c>
      <c r="AN408" s="156">
        <v>3</v>
      </c>
      <c r="AO408" s="156">
        <v>3.5</v>
      </c>
      <c r="AP408" s="156">
        <v>2</v>
      </c>
      <c r="AQ408" s="156">
        <v>2.5</v>
      </c>
      <c r="AR408" s="156">
        <v>3.5</v>
      </c>
      <c r="AS408" s="169">
        <v>3.1428569999999998</v>
      </c>
    </row>
    <row r="409" spans="1:45" x14ac:dyDescent="0.35">
      <c r="A409" s="143" t="s">
        <v>2848</v>
      </c>
      <c r="B409" s="143" t="s">
        <v>728</v>
      </c>
      <c r="C409" s="143" t="s">
        <v>663</v>
      </c>
      <c r="D409" s="143">
        <v>4663</v>
      </c>
      <c r="E409" s="143">
        <v>2</v>
      </c>
      <c r="F409" s="137"/>
      <c r="G409" s="137"/>
      <c r="H409" s="137">
        <v>0.5</v>
      </c>
      <c r="I409" s="137">
        <v>1</v>
      </c>
      <c r="K409" s="143" t="s">
        <v>2848</v>
      </c>
      <c r="L409" s="143" t="s">
        <v>728</v>
      </c>
      <c r="M409" s="143" t="s">
        <v>663</v>
      </c>
      <c r="N409" s="143">
        <v>4663</v>
      </c>
      <c r="O409" s="137">
        <v>0.4</v>
      </c>
      <c r="P409" s="137">
        <v>0.6</v>
      </c>
      <c r="Q409" s="137">
        <v>1</v>
      </c>
      <c r="R409" s="137" t="s">
        <v>2486</v>
      </c>
      <c r="S409" s="137">
        <v>0.66666669999999995</v>
      </c>
      <c r="T409" s="137" t="s">
        <v>2486</v>
      </c>
      <c r="U409" s="137" t="s">
        <v>2838</v>
      </c>
      <c r="W409" s="143" t="s">
        <v>2848</v>
      </c>
      <c r="X409" s="143" t="s">
        <v>728</v>
      </c>
      <c r="Y409" s="143" t="s">
        <v>663</v>
      </c>
      <c r="Z409" s="143">
        <v>4663</v>
      </c>
      <c r="AA409" s="143">
        <v>0</v>
      </c>
      <c r="AD409" s="137">
        <v>0.3333333</v>
      </c>
      <c r="AE409" s="137">
        <v>0</v>
      </c>
      <c r="AG409" s="143" t="s">
        <v>2848</v>
      </c>
      <c r="AH409" s="143" t="s">
        <v>728</v>
      </c>
      <c r="AI409" s="143" t="s">
        <v>663</v>
      </c>
      <c r="AJ409" s="143">
        <v>4663</v>
      </c>
      <c r="AK409" s="143">
        <v>2</v>
      </c>
      <c r="AL409" s="156">
        <v>1</v>
      </c>
      <c r="AM409" s="156">
        <v>4</v>
      </c>
      <c r="AN409" s="156">
        <v>3</v>
      </c>
      <c r="AO409" s="156">
        <v>3.5</v>
      </c>
      <c r="AP409" s="156">
        <v>1</v>
      </c>
      <c r="AQ409" s="156">
        <v>3</v>
      </c>
      <c r="AR409" s="156">
        <v>3</v>
      </c>
      <c r="AS409" s="169">
        <v>3.0714290000000002</v>
      </c>
    </row>
    <row r="410" spans="1:45" x14ac:dyDescent="0.35">
      <c r="A410" s="143" t="s">
        <v>2849</v>
      </c>
      <c r="B410" s="143" t="s">
        <v>748</v>
      </c>
      <c r="C410" s="143" t="s">
        <v>842</v>
      </c>
      <c r="D410" s="143">
        <v>19</v>
      </c>
      <c r="F410" s="137">
        <v>1</v>
      </c>
      <c r="G410" s="137">
        <v>1</v>
      </c>
      <c r="H410" s="137"/>
      <c r="I410" s="137"/>
      <c r="K410" s="143" t="s">
        <v>2849</v>
      </c>
      <c r="L410" s="143" t="s">
        <v>748</v>
      </c>
      <c r="M410" s="143" t="s">
        <v>842</v>
      </c>
      <c r="N410" s="143">
        <v>19</v>
      </c>
      <c r="O410" s="137">
        <v>0.4</v>
      </c>
      <c r="Q410" s="137">
        <v>1</v>
      </c>
      <c r="R410" s="137" t="s">
        <v>2486</v>
      </c>
      <c r="T410" s="137" t="s">
        <v>2838</v>
      </c>
      <c r="U410" s="137" t="s">
        <v>2838</v>
      </c>
      <c r="W410" s="143" t="s">
        <v>2849</v>
      </c>
      <c r="X410" s="143" t="s">
        <v>748</v>
      </c>
      <c r="Y410" s="143" t="s">
        <v>842</v>
      </c>
      <c r="Z410" s="143">
        <v>19</v>
      </c>
      <c r="AG410" s="143" t="s">
        <v>2849</v>
      </c>
      <c r="AH410" s="143" t="s">
        <v>748</v>
      </c>
      <c r="AI410" s="143" t="s">
        <v>842</v>
      </c>
      <c r="AJ410" s="143">
        <v>19</v>
      </c>
    </row>
    <row r="411" spans="1:45" x14ac:dyDescent="0.35">
      <c r="A411" s="143" t="s">
        <v>2849</v>
      </c>
      <c r="B411" s="143" t="s">
        <v>748</v>
      </c>
      <c r="C411" s="143" t="s">
        <v>2452</v>
      </c>
      <c r="D411" s="143">
        <v>61</v>
      </c>
      <c r="F411" s="137">
        <v>0.6</v>
      </c>
      <c r="G411" s="137">
        <v>0.55000000000000004</v>
      </c>
      <c r="H411" s="137"/>
      <c r="I411" s="137"/>
      <c r="K411" s="143" t="s">
        <v>2849</v>
      </c>
      <c r="L411" s="143" t="s">
        <v>748</v>
      </c>
      <c r="M411" s="143" t="s">
        <v>2452</v>
      </c>
      <c r="N411" s="143">
        <v>61</v>
      </c>
      <c r="O411" s="137">
        <v>0.35911110000000002</v>
      </c>
      <c r="Q411" s="137">
        <v>0.89777779999999996</v>
      </c>
      <c r="R411" s="137" t="s">
        <v>2487</v>
      </c>
      <c r="T411" s="137" t="s">
        <v>2838</v>
      </c>
      <c r="U411" s="137" t="s">
        <v>2838</v>
      </c>
      <c r="W411" s="143" t="s">
        <v>2849</v>
      </c>
      <c r="X411" s="143" t="s">
        <v>748</v>
      </c>
      <c r="Y411" s="143" t="s">
        <v>2452</v>
      </c>
      <c r="Z411" s="143">
        <v>61</v>
      </c>
      <c r="AG411" s="143" t="s">
        <v>2849</v>
      </c>
      <c r="AH411" s="143" t="s">
        <v>748</v>
      </c>
      <c r="AI411" s="143" t="s">
        <v>2452</v>
      </c>
      <c r="AJ411" s="143">
        <v>61</v>
      </c>
    </row>
    <row r="412" spans="1:45" x14ac:dyDescent="0.35">
      <c r="A412" s="143" t="s">
        <v>2849</v>
      </c>
      <c r="B412" s="143" t="s">
        <v>748</v>
      </c>
      <c r="C412" s="143" t="s">
        <v>842</v>
      </c>
      <c r="D412" s="143">
        <v>1108</v>
      </c>
      <c r="F412" s="137">
        <v>1</v>
      </c>
      <c r="G412" s="137">
        <v>1</v>
      </c>
      <c r="H412" s="137"/>
      <c r="I412" s="137"/>
      <c r="K412" s="143" t="s">
        <v>2849</v>
      </c>
      <c r="L412" s="143" t="s">
        <v>748</v>
      </c>
      <c r="M412" s="143" t="s">
        <v>842</v>
      </c>
      <c r="N412" s="143">
        <v>1108</v>
      </c>
      <c r="O412" s="137">
        <v>0.4</v>
      </c>
      <c r="Q412" s="137">
        <v>1</v>
      </c>
      <c r="R412" s="137" t="s">
        <v>2486</v>
      </c>
      <c r="T412" s="137" t="s">
        <v>2838</v>
      </c>
      <c r="U412" s="137" t="s">
        <v>2838</v>
      </c>
      <c r="W412" s="143" t="s">
        <v>2849</v>
      </c>
      <c r="X412" s="143" t="s">
        <v>748</v>
      </c>
      <c r="Y412" s="143" t="s">
        <v>842</v>
      </c>
      <c r="Z412" s="143">
        <v>1108</v>
      </c>
      <c r="AG412" s="143" t="s">
        <v>2849</v>
      </c>
      <c r="AH412" s="143" t="s">
        <v>748</v>
      </c>
      <c r="AI412" s="143" t="s">
        <v>842</v>
      </c>
      <c r="AJ412" s="143">
        <v>1108</v>
      </c>
    </row>
    <row r="413" spans="1:45" x14ac:dyDescent="0.35">
      <c r="A413" s="143" t="s">
        <v>2849</v>
      </c>
      <c r="B413" s="143" t="s">
        <v>748</v>
      </c>
      <c r="C413" s="143" t="s">
        <v>842</v>
      </c>
      <c r="D413" s="143">
        <v>1645</v>
      </c>
      <c r="F413" s="137">
        <v>0.5</v>
      </c>
      <c r="G413" s="137">
        <v>0.5</v>
      </c>
      <c r="H413" s="137"/>
      <c r="I413" s="137"/>
      <c r="K413" s="143" t="s">
        <v>2849</v>
      </c>
      <c r="L413" s="143" t="s">
        <v>748</v>
      </c>
      <c r="M413" s="143" t="s">
        <v>842</v>
      </c>
      <c r="N413" s="143">
        <v>1645</v>
      </c>
      <c r="O413" s="137">
        <v>0.4</v>
      </c>
      <c r="Q413" s="137">
        <v>1</v>
      </c>
      <c r="R413" s="137" t="s">
        <v>2486</v>
      </c>
      <c r="T413" s="137" t="s">
        <v>2838</v>
      </c>
      <c r="U413" s="137" t="s">
        <v>2838</v>
      </c>
      <c r="W413" s="143" t="s">
        <v>2849</v>
      </c>
      <c r="X413" s="143" t="s">
        <v>748</v>
      </c>
      <c r="Y413" s="143" t="s">
        <v>842</v>
      </c>
      <c r="Z413" s="143">
        <v>1645</v>
      </c>
      <c r="AG413" s="143" t="s">
        <v>2849</v>
      </c>
      <c r="AH413" s="143" t="s">
        <v>748</v>
      </c>
      <c r="AI413" s="143" t="s">
        <v>842</v>
      </c>
      <c r="AJ413" s="143">
        <v>1645</v>
      </c>
    </row>
    <row r="414" spans="1:45" x14ac:dyDescent="0.35">
      <c r="A414" s="143" t="s">
        <v>2849</v>
      </c>
      <c r="B414" s="143" t="s">
        <v>748</v>
      </c>
      <c r="C414" s="143" t="s">
        <v>842</v>
      </c>
      <c r="D414" s="143">
        <v>1956</v>
      </c>
      <c r="F414" s="137">
        <v>0.5</v>
      </c>
      <c r="G414" s="137">
        <v>0.5</v>
      </c>
      <c r="H414" s="137"/>
      <c r="I414" s="137"/>
      <c r="K414" s="143" t="s">
        <v>2849</v>
      </c>
      <c r="L414" s="143" t="s">
        <v>748</v>
      </c>
      <c r="M414" s="143" t="s">
        <v>842</v>
      </c>
      <c r="N414" s="143">
        <v>1956</v>
      </c>
      <c r="O414" s="137">
        <v>0.4</v>
      </c>
      <c r="Q414" s="137">
        <v>1</v>
      </c>
      <c r="R414" s="137" t="s">
        <v>2486</v>
      </c>
      <c r="T414" s="137" t="s">
        <v>2838</v>
      </c>
      <c r="U414" s="137" t="s">
        <v>2838</v>
      </c>
      <c r="W414" s="143" t="s">
        <v>2849</v>
      </c>
      <c r="X414" s="143" t="s">
        <v>748</v>
      </c>
      <c r="Y414" s="143" t="s">
        <v>842</v>
      </c>
      <c r="Z414" s="143">
        <v>1956</v>
      </c>
      <c r="AG414" s="143" t="s">
        <v>2849</v>
      </c>
      <c r="AH414" s="143" t="s">
        <v>748</v>
      </c>
      <c r="AI414" s="143" t="s">
        <v>842</v>
      </c>
      <c r="AJ414" s="143">
        <v>1956</v>
      </c>
    </row>
    <row r="415" spans="1:45" x14ac:dyDescent="0.35">
      <c r="A415" s="143" t="s">
        <v>2849</v>
      </c>
      <c r="B415" s="143" t="s">
        <v>748</v>
      </c>
      <c r="C415" s="143" t="s">
        <v>663</v>
      </c>
      <c r="D415" s="143">
        <v>2336</v>
      </c>
      <c r="F415" s="137">
        <v>0.5</v>
      </c>
      <c r="G415" s="137">
        <v>0.5</v>
      </c>
      <c r="H415" s="137"/>
      <c r="I415" s="137"/>
      <c r="K415" s="143" t="s">
        <v>2849</v>
      </c>
      <c r="L415" s="143" t="s">
        <v>748</v>
      </c>
      <c r="M415" s="143" t="s">
        <v>663</v>
      </c>
      <c r="N415" s="143">
        <v>2336</v>
      </c>
      <c r="O415" s="137">
        <v>0.39600000000000002</v>
      </c>
      <c r="Q415" s="137">
        <v>0.99</v>
      </c>
      <c r="R415" s="137" t="s">
        <v>2487</v>
      </c>
      <c r="T415" s="137" t="s">
        <v>2838</v>
      </c>
      <c r="U415" s="137" t="s">
        <v>2838</v>
      </c>
      <c r="W415" s="143" t="s">
        <v>2849</v>
      </c>
      <c r="X415" s="143" t="s">
        <v>748</v>
      </c>
      <c r="Y415" s="143" t="s">
        <v>663</v>
      </c>
      <c r="Z415" s="143">
        <v>2336</v>
      </c>
      <c r="AG415" s="143" t="s">
        <v>2849</v>
      </c>
      <c r="AH415" s="143" t="s">
        <v>748</v>
      </c>
      <c r="AI415" s="143" t="s">
        <v>663</v>
      </c>
      <c r="AJ415" s="143">
        <v>2336</v>
      </c>
    </row>
    <row r="416" spans="1:45" x14ac:dyDescent="0.35">
      <c r="A416" s="143" t="s">
        <v>2849</v>
      </c>
      <c r="B416" s="143" t="s">
        <v>748</v>
      </c>
      <c r="C416" s="143" t="s">
        <v>842</v>
      </c>
      <c r="D416" s="143">
        <v>2346</v>
      </c>
      <c r="F416" s="137">
        <v>0.5</v>
      </c>
      <c r="G416" s="137">
        <v>0.5</v>
      </c>
      <c r="H416" s="137"/>
      <c r="I416" s="137"/>
      <c r="K416" s="143" t="s">
        <v>2849</v>
      </c>
      <c r="L416" s="143" t="s">
        <v>748</v>
      </c>
      <c r="M416" s="143" t="s">
        <v>842</v>
      </c>
      <c r="N416" s="143">
        <v>2346</v>
      </c>
      <c r="O416" s="137">
        <v>0.4</v>
      </c>
      <c r="Q416" s="137">
        <v>1</v>
      </c>
      <c r="R416" s="137" t="s">
        <v>2486</v>
      </c>
      <c r="T416" s="137" t="s">
        <v>2838</v>
      </c>
      <c r="U416" s="137" t="s">
        <v>2838</v>
      </c>
      <c r="W416" s="143" t="s">
        <v>2849</v>
      </c>
      <c r="X416" s="143" t="s">
        <v>748</v>
      </c>
      <c r="Y416" s="143" t="s">
        <v>842</v>
      </c>
      <c r="Z416" s="143">
        <v>2346</v>
      </c>
      <c r="AG416" s="143" t="s">
        <v>2849</v>
      </c>
      <c r="AH416" s="143" t="s">
        <v>748</v>
      </c>
      <c r="AI416" s="143" t="s">
        <v>842</v>
      </c>
      <c r="AJ416" s="143">
        <v>2346</v>
      </c>
    </row>
    <row r="417" spans="1:45" x14ac:dyDescent="0.35">
      <c r="A417" s="143" t="s">
        <v>2849</v>
      </c>
      <c r="B417" s="143" t="s">
        <v>748</v>
      </c>
      <c r="C417" s="143" t="s">
        <v>663</v>
      </c>
      <c r="D417" s="143">
        <v>2771</v>
      </c>
      <c r="F417" s="137">
        <v>1</v>
      </c>
      <c r="G417" s="137">
        <v>1</v>
      </c>
      <c r="H417" s="137"/>
      <c r="I417" s="137"/>
      <c r="K417" s="143" t="s">
        <v>2849</v>
      </c>
      <c r="L417" s="143" t="s">
        <v>748</v>
      </c>
      <c r="M417" s="143" t="s">
        <v>663</v>
      </c>
      <c r="N417" s="143">
        <v>2771</v>
      </c>
      <c r="O417" s="137">
        <v>0.4</v>
      </c>
      <c r="Q417" s="137">
        <v>1</v>
      </c>
      <c r="R417" s="137" t="s">
        <v>2486</v>
      </c>
      <c r="T417" s="137" t="s">
        <v>2838</v>
      </c>
      <c r="U417" s="137" t="s">
        <v>2838</v>
      </c>
      <c r="W417" s="143" t="s">
        <v>2849</v>
      </c>
      <c r="X417" s="143" t="s">
        <v>748</v>
      </c>
      <c r="Y417" s="143" t="s">
        <v>663</v>
      </c>
      <c r="Z417" s="143">
        <v>2771</v>
      </c>
      <c r="AG417" s="143" t="s">
        <v>2849</v>
      </c>
      <c r="AH417" s="143" t="s">
        <v>748</v>
      </c>
      <c r="AI417" s="143" t="s">
        <v>663</v>
      </c>
      <c r="AJ417" s="143">
        <v>2771</v>
      </c>
    </row>
    <row r="418" spans="1:45" x14ac:dyDescent="0.35">
      <c r="A418" s="143" t="s">
        <v>2849</v>
      </c>
      <c r="B418" s="143" t="s">
        <v>748</v>
      </c>
      <c r="C418" s="143" t="s">
        <v>663</v>
      </c>
      <c r="D418" s="143">
        <v>3434</v>
      </c>
      <c r="F418" s="137">
        <v>1</v>
      </c>
      <c r="G418" s="137">
        <v>1</v>
      </c>
      <c r="H418" s="137"/>
      <c r="I418" s="137"/>
      <c r="K418" s="143" t="s">
        <v>2849</v>
      </c>
      <c r="L418" s="143" t="s">
        <v>748</v>
      </c>
      <c r="M418" s="143" t="s">
        <v>663</v>
      </c>
      <c r="N418" s="143">
        <v>3434</v>
      </c>
      <c r="O418" s="137">
        <v>0.4</v>
      </c>
      <c r="Q418" s="137">
        <v>1</v>
      </c>
      <c r="R418" s="137" t="s">
        <v>2486</v>
      </c>
      <c r="T418" s="137" t="s">
        <v>2838</v>
      </c>
      <c r="U418" s="137" t="s">
        <v>2838</v>
      </c>
      <c r="W418" s="143" t="s">
        <v>2849</v>
      </c>
      <c r="X418" s="143" t="s">
        <v>748</v>
      </c>
      <c r="Y418" s="143" t="s">
        <v>663</v>
      </c>
      <c r="Z418" s="143">
        <v>3434</v>
      </c>
      <c r="AG418" s="143" t="s">
        <v>2849</v>
      </c>
      <c r="AH418" s="143" t="s">
        <v>748</v>
      </c>
      <c r="AI418" s="143" t="s">
        <v>663</v>
      </c>
      <c r="AJ418" s="143">
        <v>3434</v>
      </c>
    </row>
    <row r="419" spans="1:45" x14ac:dyDescent="0.35">
      <c r="A419" s="143" t="s">
        <v>2849</v>
      </c>
      <c r="B419" s="143" t="s">
        <v>748</v>
      </c>
      <c r="C419" s="143" t="s">
        <v>663</v>
      </c>
      <c r="D419" s="143">
        <v>4801</v>
      </c>
      <c r="F419" s="137">
        <v>1</v>
      </c>
      <c r="G419" s="137">
        <v>1</v>
      </c>
      <c r="H419" s="137"/>
      <c r="I419" s="137"/>
      <c r="K419" s="143" t="s">
        <v>2849</v>
      </c>
      <c r="L419" s="143" t="s">
        <v>748</v>
      </c>
      <c r="M419" s="143" t="s">
        <v>663</v>
      </c>
      <c r="N419" s="143">
        <v>4801</v>
      </c>
      <c r="O419" s="137">
        <v>0.4</v>
      </c>
      <c r="Q419" s="137">
        <v>1</v>
      </c>
      <c r="R419" s="137" t="s">
        <v>2486</v>
      </c>
      <c r="T419" s="137" t="s">
        <v>2838</v>
      </c>
      <c r="U419" s="137" t="s">
        <v>2838</v>
      </c>
      <c r="W419" s="143" t="s">
        <v>2849</v>
      </c>
      <c r="X419" s="143" t="s">
        <v>748</v>
      </c>
      <c r="Y419" s="143" t="s">
        <v>663</v>
      </c>
      <c r="Z419" s="143">
        <v>4801</v>
      </c>
      <c r="AG419" s="143" t="s">
        <v>2849</v>
      </c>
      <c r="AH419" s="143" t="s">
        <v>748</v>
      </c>
      <c r="AI419" s="143" t="s">
        <v>663</v>
      </c>
      <c r="AJ419" s="143">
        <v>4801</v>
      </c>
    </row>
    <row r="420" spans="1:45" x14ac:dyDescent="0.35">
      <c r="A420" s="143" t="s">
        <v>2849</v>
      </c>
      <c r="B420" s="143" t="s">
        <v>748</v>
      </c>
      <c r="C420" s="143" t="s">
        <v>663</v>
      </c>
      <c r="D420" s="143">
        <v>4805</v>
      </c>
      <c r="F420" s="137">
        <v>1</v>
      </c>
      <c r="G420" s="137">
        <v>1</v>
      </c>
      <c r="H420" s="137"/>
      <c r="I420" s="137"/>
      <c r="K420" s="143" t="s">
        <v>2849</v>
      </c>
      <c r="L420" s="143" t="s">
        <v>748</v>
      </c>
      <c r="M420" s="143" t="s">
        <v>663</v>
      </c>
      <c r="N420" s="143">
        <v>4805</v>
      </c>
      <c r="O420" s="137">
        <v>0.4</v>
      </c>
      <c r="Q420" s="137">
        <v>1</v>
      </c>
      <c r="R420" s="137" t="s">
        <v>2486</v>
      </c>
      <c r="T420" s="137" t="s">
        <v>2838</v>
      </c>
      <c r="U420" s="137" t="s">
        <v>2838</v>
      </c>
      <c r="W420" s="143" t="s">
        <v>2849</v>
      </c>
      <c r="X420" s="143" t="s">
        <v>748</v>
      </c>
      <c r="Y420" s="143" t="s">
        <v>663</v>
      </c>
      <c r="Z420" s="143">
        <v>4805</v>
      </c>
      <c r="AG420" s="143" t="s">
        <v>2849</v>
      </c>
      <c r="AH420" s="143" t="s">
        <v>748</v>
      </c>
      <c r="AI420" s="143" t="s">
        <v>663</v>
      </c>
      <c r="AJ420" s="143">
        <v>4805</v>
      </c>
    </row>
    <row r="421" spans="1:45" x14ac:dyDescent="0.35">
      <c r="A421" s="143" t="s">
        <v>2850</v>
      </c>
      <c r="B421" s="143" t="s">
        <v>730</v>
      </c>
      <c r="C421" s="143" t="s">
        <v>842</v>
      </c>
      <c r="D421" s="143">
        <v>19</v>
      </c>
      <c r="E421" s="143">
        <v>2</v>
      </c>
      <c r="F421" s="137"/>
      <c r="G421" s="137"/>
      <c r="H421" s="137">
        <v>1</v>
      </c>
      <c r="I421" s="137">
        <v>1</v>
      </c>
      <c r="K421" s="143" t="s">
        <v>2850</v>
      </c>
      <c r="L421" s="143" t="s">
        <v>730</v>
      </c>
      <c r="M421" s="143" t="s">
        <v>842</v>
      </c>
      <c r="N421" s="143">
        <v>19</v>
      </c>
      <c r="O421" s="137">
        <v>0.4</v>
      </c>
      <c r="P421" s="137">
        <v>0.6</v>
      </c>
      <c r="Q421" s="137">
        <v>1</v>
      </c>
      <c r="R421" s="137" t="s">
        <v>2486</v>
      </c>
      <c r="S421" s="137">
        <v>0.57142859999999995</v>
      </c>
      <c r="T421" s="137" t="s">
        <v>2486</v>
      </c>
      <c r="U421" s="137" t="s">
        <v>2486</v>
      </c>
      <c r="W421" s="143" t="s">
        <v>2850</v>
      </c>
      <c r="X421" s="143" t="s">
        <v>730</v>
      </c>
      <c r="Y421" s="143" t="s">
        <v>842</v>
      </c>
      <c r="Z421" s="143">
        <v>19</v>
      </c>
      <c r="AA421" s="143">
        <v>0</v>
      </c>
      <c r="AD421" s="137">
        <v>0</v>
      </c>
      <c r="AE421" s="137">
        <v>0.14285709999999999</v>
      </c>
      <c r="AG421" s="143" t="s">
        <v>2850</v>
      </c>
      <c r="AH421" s="143" t="s">
        <v>730</v>
      </c>
      <c r="AI421" s="143" t="s">
        <v>842</v>
      </c>
      <c r="AJ421" s="143">
        <v>19</v>
      </c>
      <c r="AK421" s="143">
        <v>2</v>
      </c>
      <c r="AL421" s="156">
        <v>1.5</v>
      </c>
      <c r="AM421" s="156">
        <v>2.5</v>
      </c>
      <c r="AN421" s="156">
        <v>3</v>
      </c>
      <c r="AO421" s="156">
        <v>3.5</v>
      </c>
      <c r="AP421" s="156">
        <v>2</v>
      </c>
      <c r="AQ421" s="156">
        <v>2.5</v>
      </c>
      <c r="AR421" s="156">
        <v>3</v>
      </c>
      <c r="AS421" s="169">
        <v>2.8571430000000002</v>
      </c>
    </row>
    <row r="422" spans="1:45" x14ac:dyDescent="0.35">
      <c r="A422" s="143" t="s">
        <v>2850</v>
      </c>
      <c r="B422" s="143" t="s">
        <v>730</v>
      </c>
      <c r="C422" s="143" t="s">
        <v>2452</v>
      </c>
      <c r="D422" s="143">
        <v>61</v>
      </c>
      <c r="E422" s="143">
        <v>20</v>
      </c>
      <c r="F422" s="137"/>
      <c r="G422" s="137"/>
      <c r="H422" s="137">
        <v>0.6</v>
      </c>
      <c r="I422" s="137">
        <v>1</v>
      </c>
      <c r="K422" s="143" t="s">
        <v>2850</v>
      </c>
      <c r="L422" s="143" t="s">
        <v>730</v>
      </c>
      <c r="M422" s="143" t="s">
        <v>2452</v>
      </c>
      <c r="N422" s="143">
        <v>61</v>
      </c>
      <c r="O422" s="137">
        <v>0.35961910000000002</v>
      </c>
      <c r="P422" s="137">
        <v>0.53333339999999996</v>
      </c>
      <c r="Q422" s="137">
        <v>0.89295239999999998</v>
      </c>
      <c r="R422" s="137" t="s">
        <v>2487</v>
      </c>
      <c r="S422" s="137">
        <v>0.63309349999999998</v>
      </c>
      <c r="T422" s="137" t="s">
        <v>2486</v>
      </c>
      <c r="U422" s="137" t="s">
        <v>2838</v>
      </c>
      <c r="W422" s="143" t="s">
        <v>2850</v>
      </c>
      <c r="X422" s="143" t="s">
        <v>730</v>
      </c>
      <c r="Y422" s="143" t="s">
        <v>2452</v>
      </c>
      <c r="Z422" s="143">
        <v>61</v>
      </c>
      <c r="AA422" s="143">
        <v>20</v>
      </c>
      <c r="AB422" s="137">
        <v>0.05</v>
      </c>
      <c r="AC422" s="137">
        <v>0</v>
      </c>
      <c r="AD422" s="137">
        <v>0</v>
      </c>
      <c r="AG422" s="143" t="s">
        <v>2850</v>
      </c>
      <c r="AH422" s="143" t="s">
        <v>730</v>
      </c>
      <c r="AI422" s="143" t="s">
        <v>2452</v>
      </c>
      <c r="AJ422" s="143">
        <v>61</v>
      </c>
      <c r="AK422" s="143">
        <v>20</v>
      </c>
      <c r="AL422" s="156">
        <v>3.7000000476837198</v>
      </c>
      <c r="AM422" s="156">
        <v>2.8499999046325701</v>
      </c>
      <c r="AN422" s="156">
        <v>2.2000000476837198</v>
      </c>
      <c r="AO422" s="156">
        <v>1.8500000238418599</v>
      </c>
      <c r="AP422" s="156">
        <v>2.0999999046325701</v>
      </c>
      <c r="AQ422" s="156">
        <v>1.70000004768372</v>
      </c>
      <c r="AR422" s="156">
        <v>3.0499999523162802</v>
      </c>
      <c r="AS422" s="169">
        <v>2.4714290000000001</v>
      </c>
    </row>
    <row r="423" spans="1:45" x14ac:dyDescent="0.35">
      <c r="A423" s="143" t="s">
        <v>2850</v>
      </c>
      <c r="B423" s="143" t="s">
        <v>730</v>
      </c>
      <c r="C423" s="143" t="s">
        <v>842</v>
      </c>
      <c r="D423" s="143">
        <v>1108</v>
      </c>
      <c r="E423" s="143">
        <v>2</v>
      </c>
      <c r="F423" s="137"/>
      <c r="G423" s="137"/>
      <c r="H423" s="137">
        <v>1</v>
      </c>
      <c r="I423" s="137">
        <v>1</v>
      </c>
      <c r="K423" s="143" t="s">
        <v>2850</v>
      </c>
      <c r="L423" s="143" t="s">
        <v>730</v>
      </c>
      <c r="M423" s="143" t="s">
        <v>842</v>
      </c>
      <c r="N423" s="143">
        <v>1108</v>
      </c>
      <c r="O423" s="137">
        <v>0.4</v>
      </c>
      <c r="P423" s="137">
        <v>0.6</v>
      </c>
      <c r="Q423" s="137">
        <v>1</v>
      </c>
      <c r="R423" s="137" t="s">
        <v>2486</v>
      </c>
      <c r="S423" s="137">
        <v>0.28571429999999998</v>
      </c>
      <c r="T423" s="137" t="s">
        <v>2486</v>
      </c>
      <c r="U423" s="137" t="s">
        <v>2486</v>
      </c>
      <c r="W423" s="143" t="s">
        <v>2850</v>
      </c>
      <c r="X423" s="143" t="s">
        <v>730</v>
      </c>
      <c r="Y423" s="143" t="s">
        <v>842</v>
      </c>
      <c r="Z423" s="143">
        <v>1108</v>
      </c>
      <c r="AA423" s="143">
        <v>0</v>
      </c>
      <c r="AD423" s="137">
        <v>0</v>
      </c>
      <c r="AG423" s="143" t="s">
        <v>2850</v>
      </c>
      <c r="AH423" s="143" t="s">
        <v>730</v>
      </c>
      <c r="AI423" s="143" t="s">
        <v>842</v>
      </c>
      <c r="AJ423" s="143">
        <v>1108</v>
      </c>
      <c r="AK423" s="143">
        <v>2</v>
      </c>
      <c r="AL423" s="156">
        <v>1</v>
      </c>
      <c r="AM423" s="156">
        <v>4</v>
      </c>
      <c r="AN423" s="156">
        <v>4</v>
      </c>
      <c r="AO423" s="156">
        <v>3.5</v>
      </c>
      <c r="AP423" s="156">
        <v>2</v>
      </c>
      <c r="AQ423" s="156">
        <v>3</v>
      </c>
      <c r="AR423" s="156">
        <v>3.5</v>
      </c>
      <c r="AS423" s="169">
        <v>3.4285709999999998</v>
      </c>
    </row>
    <row r="424" spans="1:45" x14ac:dyDescent="0.35">
      <c r="A424" s="143" t="s">
        <v>2850</v>
      </c>
      <c r="B424" s="143" t="s">
        <v>730</v>
      </c>
      <c r="C424" s="143" t="s">
        <v>842</v>
      </c>
      <c r="D424" s="143">
        <v>1645</v>
      </c>
      <c r="E424" s="143">
        <v>2</v>
      </c>
      <c r="F424" s="137"/>
      <c r="G424" s="137"/>
      <c r="H424" s="137">
        <v>0.5</v>
      </c>
      <c r="I424" s="137">
        <v>1</v>
      </c>
      <c r="K424" s="143" t="s">
        <v>2850</v>
      </c>
      <c r="L424" s="143" t="s">
        <v>730</v>
      </c>
      <c r="M424" s="143" t="s">
        <v>842</v>
      </c>
      <c r="N424" s="143">
        <v>1645</v>
      </c>
      <c r="O424" s="137">
        <v>0.4</v>
      </c>
      <c r="P424" s="137">
        <v>0.6</v>
      </c>
      <c r="Q424" s="137">
        <v>1</v>
      </c>
      <c r="R424" s="137" t="s">
        <v>2486</v>
      </c>
      <c r="S424" s="137">
        <v>0.375</v>
      </c>
      <c r="T424" s="137" t="s">
        <v>2486</v>
      </c>
      <c r="U424" s="137" t="s">
        <v>2486</v>
      </c>
      <c r="W424" s="143" t="s">
        <v>2850</v>
      </c>
      <c r="X424" s="143" t="s">
        <v>730</v>
      </c>
      <c r="Y424" s="143" t="s">
        <v>842</v>
      </c>
      <c r="Z424" s="143">
        <v>1645</v>
      </c>
      <c r="AA424" s="143">
        <v>0</v>
      </c>
      <c r="AD424" s="137">
        <v>0</v>
      </c>
      <c r="AG424" s="143" t="s">
        <v>2850</v>
      </c>
      <c r="AH424" s="143" t="s">
        <v>730</v>
      </c>
      <c r="AI424" s="143" t="s">
        <v>842</v>
      </c>
      <c r="AJ424" s="143">
        <v>1645</v>
      </c>
      <c r="AK424" s="143">
        <v>2</v>
      </c>
      <c r="AL424" s="156">
        <v>2</v>
      </c>
      <c r="AM424" s="156">
        <v>3</v>
      </c>
      <c r="AN424" s="156">
        <v>2</v>
      </c>
      <c r="AO424" s="156">
        <v>2.5</v>
      </c>
      <c r="AP424" s="156">
        <v>1.5</v>
      </c>
      <c r="AQ424" s="156">
        <v>2</v>
      </c>
      <c r="AR424" s="156">
        <v>3</v>
      </c>
      <c r="AS424" s="169">
        <v>2.4285709999999998</v>
      </c>
    </row>
    <row r="425" spans="1:45" x14ac:dyDescent="0.35">
      <c r="A425" s="143" t="s">
        <v>2850</v>
      </c>
      <c r="B425" s="143" t="s">
        <v>730</v>
      </c>
      <c r="C425" s="143" t="s">
        <v>842</v>
      </c>
      <c r="D425" s="143">
        <v>1956</v>
      </c>
      <c r="E425" s="143">
        <v>2</v>
      </c>
      <c r="F425" s="137"/>
      <c r="G425" s="137"/>
      <c r="H425" s="137">
        <v>0.5</v>
      </c>
      <c r="I425" s="137">
        <v>1</v>
      </c>
      <c r="K425" s="143" t="s">
        <v>2850</v>
      </c>
      <c r="L425" s="143" t="s">
        <v>730</v>
      </c>
      <c r="M425" s="143" t="s">
        <v>842</v>
      </c>
      <c r="N425" s="143">
        <v>1956</v>
      </c>
      <c r="O425" s="137">
        <v>0.4</v>
      </c>
      <c r="P425" s="137">
        <v>0.6</v>
      </c>
      <c r="Q425" s="137">
        <v>1</v>
      </c>
      <c r="R425" s="137" t="s">
        <v>2486</v>
      </c>
      <c r="S425" s="137">
        <v>0.2</v>
      </c>
      <c r="T425" s="137" t="s">
        <v>2486</v>
      </c>
      <c r="U425" s="137" t="s">
        <v>2486</v>
      </c>
      <c r="W425" s="143" t="s">
        <v>2850</v>
      </c>
      <c r="X425" s="143" t="s">
        <v>730</v>
      </c>
      <c r="Y425" s="143" t="s">
        <v>842</v>
      </c>
      <c r="Z425" s="143">
        <v>1956</v>
      </c>
      <c r="AA425" s="143">
        <v>0</v>
      </c>
      <c r="AD425" s="137">
        <v>0</v>
      </c>
      <c r="AG425" s="143" t="s">
        <v>2850</v>
      </c>
      <c r="AH425" s="143" t="s">
        <v>730</v>
      </c>
      <c r="AI425" s="143" t="s">
        <v>842</v>
      </c>
      <c r="AJ425" s="143">
        <v>1956</v>
      </c>
      <c r="AK425" s="143">
        <v>2</v>
      </c>
      <c r="AL425" s="156">
        <v>2.5</v>
      </c>
      <c r="AM425" s="156">
        <v>2.5</v>
      </c>
      <c r="AN425" s="156">
        <v>3</v>
      </c>
      <c r="AO425" s="156">
        <v>3</v>
      </c>
      <c r="AP425" s="156">
        <v>1.5</v>
      </c>
      <c r="AQ425" s="156">
        <v>2.5</v>
      </c>
      <c r="AR425" s="156">
        <v>3</v>
      </c>
      <c r="AS425" s="169">
        <v>2.5714290000000002</v>
      </c>
    </row>
    <row r="426" spans="1:45" x14ac:dyDescent="0.35">
      <c r="A426" s="143" t="s">
        <v>2850</v>
      </c>
      <c r="B426" s="143" t="s">
        <v>730</v>
      </c>
      <c r="C426" s="143" t="s">
        <v>663</v>
      </c>
      <c r="D426" s="143">
        <v>2336</v>
      </c>
      <c r="E426" s="143">
        <v>2</v>
      </c>
      <c r="F426" s="137"/>
      <c r="G426" s="137"/>
      <c r="H426" s="137">
        <v>0.5</v>
      </c>
      <c r="I426" s="137">
        <v>1</v>
      </c>
      <c r="K426" s="143" t="s">
        <v>2850</v>
      </c>
      <c r="L426" s="143" t="s">
        <v>730</v>
      </c>
      <c r="M426" s="143" t="s">
        <v>663</v>
      </c>
      <c r="N426" s="143">
        <v>2336</v>
      </c>
      <c r="O426" s="137">
        <v>0.4</v>
      </c>
      <c r="P426" s="137">
        <v>0.6</v>
      </c>
      <c r="Q426" s="137">
        <v>1</v>
      </c>
      <c r="R426" s="137" t="s">
        <v>2486</v>
      </c>
      <c r="S426" s="137">
        <v>0.66666669999999995</v>
      </c>
      <c r="T426" s="137" t="s">
        <v>2486</v>
      </c>
      <c r="U426" s="137" t="s">
        <v>2838</v>
      </c>
      <c r="W426" s="143" t="s">
        <v>2850</v>
      </c>
      <c r="X426" s="143" t="s">
        <v>730</v>
      </c>
      <c r="Y426" s="143" t="s">
        <v>663</v>
      </c>
      <c r="Z426" s="143">
        <v>2336</v>
      </c>
      <c r="AA426" s="143">
        <v>0</v>
      </c>
      <c r="AD426" s="137">
        <v>0</v>
      </c>
      <c r="AG426" s="143" t="s">
        <v>2850</v>
      </c>
      <c r="AH426" s="143" t="s">
        <v>730</v>
      </c>
      <c r="AI426" s="143" t="s">
        <v>663</v>
      </c>
      <c r="AJ426" s="143">
        <v>2336</v>
      </c>
      <c r="AK426" s="143">
        <v>2</v>
      </c>
      <c r="AL426" s="156">
        <v>1.5</v>
      </c>
      <c r="AM426" s="156">
        <v>3.5</v>
      </c>
      <c r="AN426" s="156">
        <v>3.5</v>
      </c>
      <c r="AO426" s="156">
        <v>4</v>
      </c>
      <c r="AP426" s="156">
        <v>1</v>
      </c>
      <c r="AQ426" s="156">
        <v>3</v>
      </c>
      <c r="AR426" s="156">
        <v>3.5</v>
      </c>
      <c r="AS426" s="169">
        <v>3.1428569999999998</v>
      </c>
    </row>
    <row r="427" spans="1:45" x14ac:dyDescent="0.35">
      <c r="A427" s="143" t="s">
        <v>2850</v>
      </c>
      <c r="B427" s="143" t="s">
        <v>730</v>
      </c>
      <c r="C427" s="143" t="s">
        <v>842</v>
      </c>
      <c r="D427" s="143">
        <v>2346</v>
      </c>
      <c r="E427" s="143">
        <v>2</v>
      </c>
      <c r="F427" s="137"/>
      <c r="G427" s="137"/>
      <c r="H427" s="137">
        <v>1</v>
      </c>
      <c r="I427" s="137">
        <v>1</v>
      </c>
      <c r="K427" s="143" t="s">
        <v>2850</v>
      </c>
      <c r="L427" s="143" t="s">
        <v>730</v>
      </c>
      <c r="M427" s="143" t="s">
        <v>842</v>
      </c>
      <c r="N427" s="143">
        <v>2346</v>
      </c>
      <c r="O427" s="137">
        <v>0.4</v>
      </c>
      <c r="P427" s="137">
        <v>0.6</v>
      </c>
      <c r="Q427" s="137">
        <v>1</v>
      </c>
      <c r="R427" s="137" t="s">
        <v>2486</v>
      </c>
      <c r="S427" s="137">
        <v>0.28571429999999998</v>
      </c>
      <c r="T427" s="137" t="s">
        <v>2486</v>
      </c>
      <c r="U427" s="137" t="s">
        <v>2486</v>
      </c>
      <c r="W427" s="143" t="s">
        <v>2850</v>
      </c>
      <c r="X427" s="143" t="s">
        <v>730</v>
      </c>
      <c r="Y427" s="143" t="s">
        <v>842</v>
      </c>
      <c r="Z427" s="143">
        <v>2346</v>
      </c>
      <c r="AA427" s="143">
        <v>0</v>
      </c>
      <c r="AD427" s="137">
        <v>0</v>
      </c>
      <c r="AG427" s="143" t="s">
        <v>2850</v>
      </c>
      <c r="AH427" s="143" t="s">
        <v>730</v>
      </c>
      <c r="AI427" s="143" t="s">
        <v>842</v>
      </c>
      <c r="AJ427" s="143">
        <v>2346</v>
      </c>
      <c r="AK427" s="143">
        <v>2</v>
      </c>
      <c r="AL427" s="156">
        <v>1.5</v>
      </c>
      <c r="AM427" s="156">
        <v>3</v>
      </c>
      <c r="AN427" s="156">
        <v>1</v>
      </c>
      <c r="AO427" s="156">
        <v>1.5</v>
      </c>
      <c r="AP427" s="156">
        <v>3</v>
      </c>
      <c r="AQ427" s="156">
        <v>1.5</v>
      </c>
      <c r="AR427" s="156">
        <v>3</v>
      </c>
      <c r="AS427" s="169">
        <v>2.3571430000000002</v>
      </c>
    </row>
    <row r="428" spans="1:45" x14ac:dyDescent="0.35">
      <c r="A428" s="143" t="s">
        <v>2850</v>
      </c>
      <c r="B428" s="143" t="s">
        <v>730</v>
      </c>
      <c r="C428" s="143" t="s">
        <v>663</v>
      </c>
      <c r="D428" s="143">
        <v>2771</v>
      </c>
      <c r="E428" s="143">
        <v>2</v>
      </c>
      <c r="F428" s="137"/>
      <c r="G428" s="137"/>
      <c r="H428" s="137">
        <v>1</v>
      </c>
      <c r="I428" s="137">
        <v>1</v>
      </c>
      <c r="K428" s="143" t="s">
        <v>2850</v>
      </c>
      <c r="L428" s="143" t="s">
        <v>730</v>
      </c>
      <c r="M428" s="143" t="s">
        <v>663</v>
      </c>
      <c r="N428" s="143">
        <v>2771</v>
      </c>
      <c r="O428" s="137">
        <v>0</v>
      </c>
      <c r="P428" s="137">
        <v>0.6</v>
      </c>
      <c r="Q428" s="137">
        <v>0.6</v>
      </c>
      <c r="R428" s="137" t="s">
        <v>2487</v>
      </c>
      <c r="S428" s="137">
        <v>0.66666669999999995</v>
      </c>
      <c r="T428" s="137" t="s">
        <v>2486</v>
      </c>
      <c r="U428" s="137" t="s">
        <v>2838</v>
      </c>
      <c r="W428" s="143" t="s">
        <v>2850</v>
      </c>
      <c r="X428" s="143" t="s">
        <v>730</v>
      </c>
      <c r="Y428" s="143" t="s">
        <v>663</v>
      </c>
      <c r="Z428" s="143">
        <v>2771</v>
      </c>
      <c r="AA428" s="143">
        <v>0</v>
      </c>
      <c r="AD428" s="137">
        <v>0</v>
      </c>
      <c r="AG428" s="143" t="s">
        <v>2850</v>
      </c>
      <c r="AH428" s="143" t="s">
        <v>730</v>
      </c>
      <c r="AI428" s="143" t="s">
        <v>663</v>
      </c>
      <c r="AJ428" s="143">
        <v>2771</v>
      </c>
      <c r="AK428" s="143">
        <v>2</v>
      </c>
      <c r="AL428" s="156">
        <v>2</v>
      </c>
      <c r="AM428" s="156">
        <v>3</v>
      </c>
      <c r="AN428" s="156">
        <v>1</v>
      </c>
      <c r="AO428" s="156">
        <v>2</v>
      </c>
      <c r="AP428" s="156">
        <v>1</v>
      </c>
      <c r="AQ428" s="156">
        <v>2</v>
      </c>
      <c r="AR428" s="156">
        <v>2.5</v>
      </c>
      <c r="AS428" s="169">
        <v>2.0714290000000002</v>
      </c>
    </row>
    <row r="429" spans="1:45" x14ac:dyDescent="0.35">
      <c r="A429" s="143" t="s">
        <v>2850</v>
      </c>
      <c r="B429" s="143" t="s">
        <v>730</v>
      </c>
      <c r="C429" s="143" t="s">
        <v>663</v>
      </c>
      <c r="D429" s="143">
        <v>3434</v>
      </c>
      <c r="E429" s="143">
        <v>2</v>
      </c>
      <c r="F429" s="137"/>
      <c r="G429" s="137"/>
      <c r="H429" s="137">
        <v>1</v>
      </c>
      <c r="I429" s="137">
        <v>1</v>
      </c>
      <c r="K429" s="143" t="s">
        <v>2850</v>
      </c>
      <c r="L429" s="143" t="s">
        <v>730</v>
      </c>
      <c r="M429" s="143" t="s">
        <v>663</v>
      </c>
      <c r="N429" s="143">
        <v>3434</v>
      </c>
      <c r="O429" s="137">
        <v>0.4</v>
      </c>
      <c r="P429" s="137">
        <v>0.6</v>
      </c>
      <c r="Q429" s="137">
        <v>1</v>
      </c>
      <c r="R429" s="137" t="s">
        <v>2486</v>
      </c>
      <c r="S429" s="137">
        <v>0.5</v>
      </c>
      <c r="T429" s="137" t="s">
        <v>2486</v>
      </c>
      <c r="U429" s="137" t="s">
        <v>2838</v>
      </c>
      <c r="W429" s="143" t="s">
        <v>2850</v>
      </c>
      <c r="X429" s="143" t="s">
        <v>730</v>
      </c>
      <c r="Y429" s="143" t="s">
        <v>663</v>
      </c>
      <c r="Z429" s="143">
        <v>3434</v>
      </c>
      <c r="AA429" s="143">
        <v>0</v>
      </c>
      <c r="AD429" s="137">
        <v>0</v>
      </c>
      <c r="AG429" s="143" t="s">
        <v>2850</v>
      </c>
      <c r="AH429" s="143" t="s">
        <v>730</v>
      </c>
      <c r="AI429" s="143" t="s">
        <v>663</v>
      </c>
      <c r="AJ429" s="143">
        <v>3434</v>
      </c>
      <c r="AK429" s="143">
        <v>2</v>
      </c>
      <c r="AL429" s="156">
        <v>2.5</v>
      </c>
      <c r="AM429" s="156">
        <v>1.5</v>
      </c>
      <c r="AN429" s="156">
        <v>2</v>
      </c>
      <c r="AO429" s="156">
        <v>2</v>
      </c>
      <c r="AP429" s="156">
        <v>2.5</v>
      </c>
      <c r="AQ429" s="156">
        <v>1.5</v>
      </c>
      <c r="AR429" s="156">
        <v>3</v>
      </c>
      <c r="AS429" s="169">
        <v>2.1428569999999998</v>
      </c>
    </row>
    <row r="430" spans="1:45" x14ac:dyDescent="0.35">
      <c r="A430" s="143" t="s">
        <v>2850</v>
      </c>
      <c r="B430" s="143" t="s">
        <v>730</v>
      </c>
      <c r="C430" s="143" t="s">
        <v>663</v>
      </c>
      <c r="D430" s="143">
        <v>4801</v>
      </c>
      <c r="E430" s="143">
        <v>2</v>
      </c>
      <c r="F430" s="137"/>
      <c r="G430" s="137"/>
      <c r="H430" s="137">
        <v>1</v>
      </c>
      <c r="I430" s="137">
        <v>1</v>
      </c>
      <c r="K430" s="143" t="s">
        <v>2850</v>
      </c>
      <c r="L430" s="143" t="s">
        <v>730</v>
      </c>
      <c r="M430" s="143" t="s">
        <v>663</v>
      </c>
      <c r="N430" s="143">
        <v>4801</v>
      </c>
      <c r="O430" s="137">
        <v>0.4</v>
      </c>
      <c r="P430" s="137">
        <v>0.6</v>
      </c>
      <c r="Q430" s="137">
        <v>1</v>
      </c>
      <c r="R430" s="137" t="s">
        <v>2486</v>
      </c>
      <c r="S430" s="137">
        <v>0.6</v>
      </c>
      <c r="T430" s="137" t="s">
        <v>2486</v>
      </c>
      <c r="U430" s="137" t="s">
        <v>2838</v>
      </c>
      <c r="W430" s="143" t="s">
        <v>2850</v>
      </c>
      <c r="X430" s="143" t="s">
        <v>730</v>
      </c>
      <c r="Y430" s="143" t="s">
        <v>663</v>
      </c>
      <c r="Z430" s="143">
        <v>4801</v>
      </c>
      <c r="AA430" s="143">
        <v>0</v>
      </c>
      <c r="AD430" s="137">
        <v>0</v>
      </c>
      <c r="AE430" s="137">
        <v>0.2</v>
      </c>
      <c r="AG430" s="143" t="s">
        <v>2850</v>
      </c>
      <c r="AH430" s="143" t="s">
        <v>730</v>
      </c>
      <c r="AI430" s="143" t="s">
        <v>663</v>
      </c>
      <c r="AJ430" s="143">
        <v>4801</v>
      </c>
      <c r="AK430" s="143">
        <v>2</v>
      </c>
      <c r="AL430" s="156">
        <v>4</v>
      </c>
      <c r="AM430" s="156">
        <v>1</v>
      </c>
      <c r="AN430" s="156">
        <v>2.5</v>
      </c>
      <c r="AO430" s="156">
        <v>3.5</v>
      </c>
      <c r="AP430" s="156">
        <v>3.5</v>
      </c>
      <c r="AQ430" s="156">
        <v>1</v>
      </c>
      <c r="AR430" s="156">
        <v>3</v>
      </c>
      <c r="AS430" s="169">
        <v>2.6428569999999998</v>
      </c>
    </row>
    <row r="431" spans="1:45" x14ac:dyDescent="0.35">
      <c r="A431" s="143" t="s">
        <v>2850</v>
      </c>
      <c r="B431" s="143" t="s">
        <v>730</v>
      </c>
      <c r="C431" s="143" t="s">
        <v>663</v>
      </c>
      <c r="D431" s="143">
        <v>4805</v>
      </c>
      <c r="E431" s="143">
        <v>2</v>
      </c>
      <c r="F431" s="137"/>
      <c r="G431" s="137"/>
      <c r="H431" s="137">
        <v>1</v>
      </c>
      <c r="I431" s="137">
        <v>1</v>
      </c>
      <c r="K431" s="143" t="s">
        <v>2850</v>
      </c>
      <c r="L431" s="143" t="s">
        <v>730</v>
      </c>
      <c r="M431" s="143" t="s">
        <v>663</v>
      </c>
      <c r="N431" s="143">
        <v>4805</v>
      </c>
      <c r="O431" s="137">
        <v>0.4</v>
      </c>
      <c r="P431" s="137">
        <v>0.6</v>
      </c>
      <c r="Q431" s="137">
        <v>1</v>
      </c>
      <c r="R431" s="137" t="s">
        <v>2486</v>
      </c>
      <c r="S431" s="137">
        <v>0.5</v>
      </c>
      <c r="T431" s="137" t="s">
        <v>2486</v>
      </c>
      <c r="U431" s="137" t="s">
        <v>2838</v>
      </c>
      <c r="W431" s="143" t="s">
        <v>2850</v>
      </c>
      <c r="X431" s="143" t="s">
        <v>730</v>
      </c>
      <c r="Y431" s="143" t="s">
        <v>663</v>
      </c>
      <c r="Z431" s="143">
        <v>4805</v>
      </c>
      <c r="AA431" s="143">
        <v>0</v>
      </c>
      <c r="AD431" s="137">
        <v>0</v>
      </c>
      <c r="AG431" s="143" t="s">
        <v>2850</v>
      </c>
      <c r="AH431" s="143" t="s">
        <v>730</v>
      </c>
      <c r="AI431" s="143" t="s">
        <v>663</v>
      </c>
      <c r="AJ431" s="143">
        <v>4805</v>
      </c>
      <c r="AK431" s="143">
        <v>2</v>
      </c>
      <c r="AL431" s="156">
        <v>1.5</v>
      </c>
      <c r="AM431" s="156">
        <v>3</v>
      </c>
      <c r="AN431" s="156">
        <v>2.5</v>
      </c>
      <c r="AO431" s="156">
        <v>3.5</v>
      </c>
      <c r="AP431" s="156">
        <v>1</v>
      </c>
      <c r="AQ431" s="156">
        <v>2.5</v>
      </c>
      <c r="AR431" s="156">
        <v>3</v>
      </c>
      <c r="AS431" s="169">
        <v>2.714286</v>
      </c>
    </row>
    <row r="432" spans="1:45" x14ac:dyDescent="0.35">
      <c r="A432" s="143" t="s">
        <v>758</v>
      </c>
      <c r="B432" s="143" t="s">
        <v>759</v>
      </c>
      <c r="C432" s="143" t="s">
        <v>843</v>
      </c>
      <c r="D432" s="143">
        <v>536</v>
      </c>
      <c r="E432" s="143">
        <v>8</v>
      </c>
      <c r="F432" s="137">
        <v>1</v>
      </c>
      <c r="G432" s="137">
        <v>1</v>
      </c>
      <c r="H432" s="137">
        <v>1</v>
      </c>
      <c r="I432" s="137">
        <v>0</v>
      </c>
      <c r="K432" s="143" t="s">
        <v>758</v>
      </c>
      <c r="L432" s="143" t="s">
        <v>759</v>
      </c>
      <c r="M432" s="143" t="s">
        <v>843</v>
      </c>
      <c r="N432" s="143">
        <v>536</v>
      </c>
      <c r="O432" s="137">
        <v>0.4</v>
      </c>
      <c r="P432" s="137">
        <v>0.6</v>
      </c>
      <c r="Q432" s="137">
        <v>1</v>
      </c>
      <c r="R432" s="137" t="s">
        <v>2486</v>
      </c>
      <c r="S432" s="137">
        <v>0.42857139999999999</v>
      </c>
      <c r="T432" s="137" t="s">
        <v>2486</v>
      </c>
      <c r="U432" s="137" t="s">
        <v>2486</v>
      </c>
      <c r="W432" s="143" t="s">
        <v>758</v>
      </c>
      <c r="X432" s="143" t="s">
        <v>759</v>
      </c>
      <c r="Y432" s="143" t="s">
        <v>843</v>
      </c>
      <c r="Z432" s="143">
        <v>536</v>
      </c>
      <c r="AA432" s="143">
        <v>8</v>
      </c>
      <c r="AB432" s="137">
        <v>0</v>
      </c>
      <c r="AC432" s="137">
        <v>0</v>
      </c>
      <c r="AD432" s="137">
        <v>0</v>
      </c>
      <c r="AG432" s="143" t="s">
        <v>758</v>
      </c>
      <c r="AH432" s="143" t="s">
        <v>759</v>
      </c>
      <c r="AI432" s="143" t="s">
        <v>843</v>
      </c>
      <c r="AJ432" s="143">
        <v>536</v>
      </c>
      <c r="AK432" s="143">
        <v>8</v>
      </c>
      <c r="AL432" s="156">
        <v>2.25</v>
      </c>
      <c r="AM432" s="156">
        <v>3</v>
      </c>
      <c r="AN432" s="156">
        <v>3</v>
      </c>
      <c r="AO432" s="156">
        <v>3</v>
      </c>
      <c r="AP432" s="156">
        <v>1.375</v>
      </c>
      <c r="AQ432" s="156">
        <v>3.125</v>
      </c>
      <c r="AR432" s="156">
        <v>3.5</v>
      </c>
      <c r="AS432" s="169">
        <v>2.8214290000000002</v>
      </c>
    </row>
    <row r="433" spans="1:45" x14ac:dyDescent="0.35">
      <c r="A433" s="143" t="s">
        <v>758</v>
      </c>
      <c r="B433" s="143" t="s">
        <v>759</v>
      </c>
      <c r="C433" s="143" t="s">
        <v>841</v>
      </c>
      <c r="D433" s="143">
        <v>538</v>
      </c>
      <c r="E433" s="143">
        <v>3</v>
      </c>
      <c r="F433" s="137">
        <v>1</v>
      </c>
      <c r="G433" s="137">
        <v>1</v>
      </c>
      <c r="H433" s="137">
        <v>1</v>
      </c>
      <c r="I433" s="137">
        <v>0</v>
      </c>
      <c r="K433" s="143" t="s">
        <v>758</v>
      </c>
      <c r="L433" s="143" t="s">
        <v>759</v>
      </c>
      <c r="M433" s="143" t="s">
        <v>841</v>
      </c>
      <c r="N433" s="143">
        <v>538</v>
      </c>
      <c r="O433" s="137">
        <v>0.4</v>
      </c>
      <c r="P433" s="137">
        <v>0.6</v>
      </c>
      <c r="Q433" s="137">
        <v>1</v>
      </c>
      <c r="R433" s="137" t="s">
        <v>2486</v>
      </c>
      <c r="S433" s="137">
        <v>0.5</v>
      </c>
      <c r="T433" s="137" t="s">
        <v>2486</v>
      </c>
      <c r="U433" s="137" t="s">
        <v>2486</v>
      </c>
      <c r="W433" s="143" t="s">
        <v>758</v>
      </c>
      <c r="X433" s="143" t="s">
        <v>759</v>
      </c>
      <c r="Y433" s="143" t="s">
        <v>841</v>
      </c>
      <c r="Z433" s="143">
        <v>538</v>
      </c>
      <c r="AA433" s="143">
        <v>0</v>
      </c>
      <c r="AD433" s="137">
        <v>0</v>
      </c>
      <c r="AE433" s="137">
        <v>0.3333333</v>
      </c>
      <c r="AG433" s="143" t="s">
        <v>758</v>
      </c>
      <c r="AH433" s="143" t="s">
        <v>759</v>
      </c>
      <c r="AI433" s="143" t="s">
        <v>841</v>
      </c>
      <c r="AJ433" s="143">
        <v>538</v>
      </c>
      <c r="AK433" s="143">
        <v>3</v>
      </c>
      <c r="AL433" s="156">
        <v>2</v>
      </c>
      <c r="AM433" s="156">
        <v>3</v>
      </c>
      <c r="AN433" s="156">
        <v>3</v>
      </c>
      <c r="AO433" s="156">
        <v>2.6666667461395299</v>
      </c>
      <c r="AP433" s="156">
        <v>3</v>
      </c>
      <c r="AQ433" s="156">
        <v>3</v>
      </c>
      <c r="AR433" s="156">
        <v>3.3333332538604701</v>
      </c>
      <c r="AS433" s="169">
        <v>3</v>
      </c>
    </row>
    <row r="434" spans="1:45" x14ac:dyDescent="0.35">
      <c r="A434" s="143" t="s">
        <v>758</v>
      </c>
      <c r="B434" s="143" t="s">
        <v>759</v>
      </c>
      <c r="C434" s="143" t="s">
        <v>842</v>
      </c>
      <c r="D434" s="143">
        <v>1115</v>
      </c>
      <c r="E434" s="143">
        <v>2</v>
      </c>
      <c r="F434" s="137">
        <v>1</v>
      </c>
      <c r="G434" s="137">
        <v>1</v>
      </c>
      <c r="H434" s="137">
        <v>1</v>
      </c>
      <c r="I434" s="137">
        <v>0</v>
      </c>
      <c r="K434" s="143" t="s">
        <v>758</v>
      </c>
      <c r="L434" s="143" t="s">
        <v>759</v>
      </c>
      <c r="M434" s="143" t="s">
        <v>842</v>
      </c>
      <c r="N434" s="143">
        <v>1115</v>
      </c>
      <c r="O434" s="137">
        <v>0.4</v>
      </c>
      <c r="P434" s="137">
        <v>0.6</v>
      </c>
      <c r="Q434" s="137">
        <v>1</v>
      </c>
      <c r="R434" s="137" t="s">
        <v>2486</v>
      </c>
      <c r="S434" s="137">
        <v>0.57142859999999995</v>
      </c>
      <c r="T434" s="137" t="s">
        <v>2486</v>
      </c>
      <c r="U434" s="137" t="s">
        <v>2486</v>
      </c>
      <c r="W434" s="143" t="s">
        <v>758</v>
      </c>
      <c r="X434" s="143" t="s">
        <v>759</v>
      </c>
      <c r="Y434" s="143" t="s">
        <v>842</v>
      </c>
      <c r="Z434" s="143">
        <v>1115</v>
      </c>
      <c r="AA434" s="143">
        <v>0</v>
      </c>
      <c r="AD434" s="137">
        <v>0</v>
      </c>
      <c r="AG434" s="143" t="s">
        <v>758</v>
      </c>
      <c r="AH434" s="143" t="s">
        <v>759</v>
      </c>
      <c r="AI434" s="143" t="s">
        <v>842</v>
      </c>
      <c r="AJ434" s="143">
        <v>1115</v>
      </c>
      <c r="AK434" s="143">
        <v>2</v>
      </c>
      <c r="AL434" s="156">
        <v>2</v>
      </c>
      <c r="AM434" s="156">
        <v>4</v>
      </c>
      <c r="AN434" s="156">
        <v>3</v>
      </c>
      <c r="AO434" s="156">
        <v>3</v>
      </c>
      <c r="AP434" s="156">
        <v>1</v>
      </c>
      <c r="AQ434" s="156">
        <v>3</v>
      </c>
      <c r="AR434" s="156">
        <v>3</v>
      </c>
      <c r="AS434" s="169">
        <v>2.8571430000000002</v>
      </c>
    </row>
    <row r="435" spans="1:45" x14ac:dyDescent="0.35">
      <c r="A435" s="143" t="s">
        <v>758</v>
      </c>
      <c r="B435" s="143" t="s">
        <v>759</v>
      </c>
      <c r="C435" s="143" t="s">
        <v>842</v>
      </c>
      <c r="D435" s="143">
        <v>1885</v>
      </c>
      <c r="E435" s="143">
        <v>2</v>
      </c>
      <c r="F435" s="137">
        <v>1</v>
      </c>
      <c r="G435" s="137">
        <v>1</v>
      </c>
      <c r="H435" s="137">
        <v>1</v>
      </c>
      <c r="I435" s="137">
        <v>0</v>
      </c>
      <c r="K435" s="143" t="s">
        <v>758</v>
      </c>
      <c r="L435" s="143" t="s">
        <v>759</v>
      </c>
      <c r="M435" s="143" t="s">
        <v>842</v>
      </c>
      <c r="N435" s="143">
        <v>1885</v>
      </c>
      <c r="O435" s="137">
        <v>0.3973333</v>
      </c>
      <c r="P435" s="137">
        <v>0.6</v>
      </c>
      <c r="Q435" s="137">
        <v>0.99733329999999998</v>
      </c>
      <c r="R435" s="137" t="s">
        <v>2487</v>
      </c>
      <c r="S435" s="137">
        <v>0.5</v>
      </c>
      <c r="T435" s="137" t="s">
        <v>2486</v>
      </c>
      <c r="U435" s="137" t="s">
        <v>2486</v>
      </c>
      <c r="W435" s="143" t="s">
        <v>758</v>
      </c>
      <c r="X435" s="143" t="s">
        <v>759</v>
      </c>
      <c r="Y435" s="143" t="s">
        <v>842</v>
      </c>
      <c r="Z435" s="143">
        <v>1885</v>
      </c>
      <c r="AA435" s="143">
        <v>0</v>
      </c>
      <c r="AD435" s="137">
        <v>0</v>
      </c>
      <c r="AE435" s="137">
        <v>0.1666667</v>
      </c>
      <c r="AG435" s="143" t="s">
        <v>758</v>
      </c>
      <c r="AH435" s="143" t="s">
        <v>759</v>
      </c>
      <c r="AI435" s="143" t="s">
        <v>842</v>
      </c>
      <c r="AJ435" s="143">
        <v>1885</v>
      </c>
      <c r="AK435" s="143">
        <v>2</v>
      </c>
      <c r="AL435" s="156">
        <v>2</v>
      </c>
      <c r="AM435" s="156">
        <v>3</v>
      </c>
      <c r="AN435" s="156">
        <v>3</v>
      </c>
      <c r="AO435" s="156">
        <v>3</v>
      </c>
      <c r="AP435" s="156">
        <v>3</v>
      </c>
      <c r="AQ435" s="156">
        <v>3</v>
      </c>
      <c r="AR435" s="156">
        <v>3</v>
      </c>
      <c r="AS435" s="169">
        <v>3</v>
      </c>
    </row>
    <row r="436" spans="1:45" x14ac:dyDescent="0.35">
      <c r="A436" s="143" t="s">
        <v>758</v>
      </c>
      <c r="B436" s="143" t="s">
        <v>759</v>
      </c>
      <c r="C436" s="143" t="s">
        <v>842</v>
      </c>
      <c r="D436" s="143">
        <v>2055</v>
      </c>
      <c r="E436" s="143">
        <v>2</v>
      </c>
      <c r="F436" s="137">
        <v>1</v>
      </c>
      <c r="G436" s="137">
        <v>1</v>
      </c>
      <c r="H436" s="137">
        <v>1</v>
      </c>
      <c r="I436" s="137">
        <v>0</v>
      </c>
      <c r="K436" s="143" t="s">
        <v>758</v>
      </c>
      <c r="L436" s="143" t="s">
        <v>759</v>
      </c>
      <c r="M436" s="143" t="s">
        <v>842</v>
      </c>
      <c r="N436" s="143">
        <v>2055</v>
      </c>
      <c r="O436" s="137">
        <v>0.4</v>
      </c>
      <c r="P436" s="137">
        <v>0.6</v>
      </c>
      <c r="Q436" s="137">
        <v>1</v>
      </c>
      <c r="R436" s="137" t="s">
        <v>2486</v>
      </c>
      <c r="S436" s="137">
        <v>0.5</v>
      </c>
      <c r="T436" s="78" t="s">
        <v>2486</v>
      </c>
      <c r="U436" s="78" t="s">
        <v>2486</v>
      </c>
      <c r="W436" s="143" t="s">
        <v>758</v>
      </c>
      <c r="X436" s="143" t="s">
        <v>759</v>
      </c>
      <c r="Y436" s="143" t="s">
        <v>842</v>
      </c>
      <c r="Z436" s="143">
        <v>2055</v>
      </c>
      <c r="AA436" s="143">
        <v>0</v>
      </c>
      <c r="AD436" s="137">
        <v>0</v>
      </c>
      <c r="AG436" s="143" t="s">
        <v>758</v>
      </c>
      <c r="AH436" s="143" t="s">
        <v>759</v>
      </c>
      <c r="AI436" s="143" t="s">
        <v>842</v>
      </c>
      <c r="AJ436" s="143">
        <v>2055</v>
      </c>
      <c r="AK436" s="143">
        <v>2</v>
      </c>
      <c r="AL436" s="78">
        <v>2</v>
      </c>
      <c r="AM436" s="78">
        <v>3</v>
      </c>
      <c r="AN436" s="78">
        <v>3</v>
      </c>
      <c r="AO436" s="78">
        <v>3</v>
      </c>
      <c r="AP436" s="78">
        <v>3.5</v>
      </c>
      <c r="AQ436" s="78">
        <v>3</v>
      </c>
      <c r="AR436" s="78">
        <v>3.5</v>
      </c>
      <c r="AS436" s="169">
        <v>3.1428569999999998</v>
      </c>
    </row>
    <row r="437" spans="1:45" x14ac:dyDescent="0.35">
      <c r="A437" s="143" t="s">
        <v>758</v>
      </c>
      <c r="B437" s="143" t="s">
        <v>759</v>
      </c>
      <c r="C437" s="143" t="s">
        <v>842</v>
      </c>
      <c r="D437" s="143">
        <v>2057</v>
      </c>
      <c r="E437" s="143">
        <v>2</v>
      </c>
      <c r="F437" s="137">
        <v>1</v>
      </c>
      <c r="G437" s="137">
        <v>1</v>
      </c>
      <c r="H437" s="137">
        <v>1</v>
      </c>
      <c r="I437" s="137">
        <v>0</v>
      </c>
      <c r="K437" s="143" t="s">
        <v>758</v>
      </c>
      <c r="L437" s="143" t="s">
        <v>759</v>
      </c>
      <c r="M437" s="143" t="s">
        <v>842</v>
      </c>
      <c r="N437" s="143">
        <v>2057</v>
      </c>
      <c r="O437" s="137">
        <v>0.4</v>
      </c>
      <c r="P437" s="137">
        <v>0.6</v>
      </c>
      <c r="Q437" s="137">
        <v>1</v>
      </c>
      <c r="R437" s="137" t="s">
        <v>2486</v>
      </c>
      <c r="S437" s="137">
        <v>0.57142859999999995</v>
      </c>
      <c r="T437" s="78" t="s">
        <v>2486</v>
      </c>
      <c r="U437" s="78" t="s">
        <v>2486</v>
      </c>
      <c r="W437" s="143" t="s">
        <v>758</v>
      </c>
      <c r="X437" s="143" t="s">
        <v>759</v>
      </c>
      <c r="Y437" s="143" t="s">
        <v>842</v>
      </c>
      <c r="Z437" s="143">
        <v>2057</v>
      </c>
      <c r="AA437" s="143">
        <v>0</v>
      </c>
      <c r="AD437" s="137">
        <v>0</v>
      </c>
      <c r="AG437" s="143" t="s">
        <v>758</v>
      </c>
      <c r="AH437" s="143" t="s">
        <v>759</v>
      </c>
      <c r="AI437" s="143" t="s">
        <v>842</v>
      </c>
      <c r="AJ437" s="143">
        <v>2057</v>
      </c>
      <c r="AK437" s="143">
        <v>2</v>
      </c>
      <c r="AL437" s="78">
        <v>1</v>
      </c>
      <c r="AM437" s="78">
        <v>3.5</v>
      </c>
      <c r="AN437" s="78">
        <v>4</v>
      </c>
      <c r="AO437" s="78">
        <v>3.5</v>
      </c>
      <c r="AP437" s="78">
        <v>4</v>
      </c>
      <c r="AQ437" s="78">
        <v>4</v>
      </c>
      <c r="AR437" s="78">
        <v>4</v>
      </c>
      <c r="AS437" s="169">
        <v>3.8571430000000002</v>
      </c>
    </row>
    <row r="438" spans="1:45" x14ac:dyDescent="0.35">
      <c r="A438" s="143" t="s">
        <v>758</v>
      </c>
      <c r="B438" s="143" t="s">
        <v>759</v>
      </c>
      <c r="C438" s="143" t="s">
        <v>663</v>
      </c>
      <c r="D438" s="143">
        <v>2330</v>
      </c>
      <c r="E438" s="143">
        <v>2</v>
      </c>
      <c r="F438" s="137">
        <v>1</v>
      </c>
      <c r="G438" s="137">
        <v>1</v>
      </c>
      <c r="H438" s="137">
        <v>1</v>
      </c>
      <c r="I438" s="137">
        <v>0</v>
      </c>
      <c r="K438" s="143" t="s">
        <v>758</v>
      </c>
      <c r="L438" s="143" t="s">
        <v>759</v>
      </c>
      <c r="M438" s="143" t="s">
        <v>663</v>
      </c>
      <c r="N438" s="143">
        <v>2330</v>
      </c>
      <c r="O438" s="137">
        <v>0.4</v>
      </c>
      <c r="P438" s="137">
        <v>0.6</v>
      </c>
      <c r="Q438" s="137">
        <v>1</v>
      </c>
      <c r="R438" s="137" t="s">
        <v>2486</v>
      </c>
      <c r="S438" s="137">
        <v>0.5</v>
      </c>
      <c r="T438" s="78" t="s">
        <v>2486</v>
      </c>
      <c r="U438" s="78" t="s">
        <v>2838</v>
      </c>
      <c r="W438" s="143" t="s">
        <v>758</v>
      </c>
      <c r="X438" s="143" t="s">
        <v>759</v>
      </c>
      <c r="Y438" s="143" t="s">
        <v>663</v>
      </c>
      <c r="Z438" s="143">
        <v>2330</v>
      </c>
      <c r="AA438" s="143">
        <v>0</v>
      </c>
      <c r="AD438" s="137">
        <v>0</v>
      </c>
      <c r="AG438" s="143" t="s">
        <v>758</v>
      </c>
      <c r="AH438" s="143" t="s">
        <v>759</v>
      </c>
      <c r="AI438" s="143" t="s">
        <v>663</v>
      </c>
      <c r="AJ438" s="143">
        <v>2330</v>
      </c>
      <c r="AK438" s="143">
        <v>2</v>
      </c>
      <c r="AL438" s="156">
        <v>2</v>
      </c>
      <c r="AM438" s="156">
        <v>4</v>
      </c>
      <c r="AN438" s="156">
        <v>3.5</v>
      </c>
      <c r="AO438" s="156">
        <v>3</v>
      </c>
      <c r="AP438" s="156">
        <v>3</v>
      </c>
      <c r="AQ438" s="156">
        <v>3</v>
      </c>
      <c r="AR438" s="156">
        <v>3</v>
      </c>
      <c r="AS438" s="169">
        <v>3.214286</v>
      </c>
    </row>
    <row r="439" spans="1:45" x14ac:dyDescent="0.35">
      <c r="A439" s="143" t="s">
        <v>758</v>
      </c>
      <c r="B439" s="143" t="s">
        <v>759</v>
      </c>
      <c r="C439" s="143" t="s">
        <v>663</v>
      </c>
      <c r="D439" s="143">
        <v>2331</v>
      </c>
      <c r="E439" s="143">
        <v>2</v>
      </c>
      <c r="F439" s="137">
        <v>1</v>
      </c>
      <c r="G439" s="137">
        <v>1</v>
      </c>
      <c r="H439" s="137">
        <v>1</v>
      </c>
      <c r="I439" s="137">
        <v>0</v>
      </c>
      <c r="K439" s="143" t="s">
        <v>758</v>
      </c>
      <c r="L439" s="143" t="s">
        <v>759</v>
      </c>
      <c r="M439" s="143" t="s">
        <v>663</v>
      </c>
      <c r="N439" s="143">
        <v>2331</v>
      </c>
      <c r="O439" s="137">
        <v>0.4</v>
      </c>
      <c r="P439" s="137">
        <v>0.6</v>
      </c>
      <c r="Q439" s="137">
        <v>1</v>
      </c>
      <c r="R439" s="137" t="s">
        <v>2486</v>
      </c>
      <c r="S439" s="137">
        <v>0.66666669999999995</v>
      </c>
      <c r="T439" s="78" t="s">
        <v>2486</v>
      </c>
      <c r="U439" s="78" t="s">
        <v>2838</v>
      </c>
      <c r="W439" s="143" t="s">
        <v>758</v>
      </c>
      <c r="X439" s="143" t="s">
        <v>759</v>
      </c>
      <c r="Y439" s="143" t="s">
        <v>663</v>
      </c>
      <c r="Z439" s="143">
        <v>2331</v>
      </c>
      <c r="AA439" s="143">
        <v>0</v>
      </c>
      <c r="AD439" s="137">
        <v>0</v>
      </c>
      <c r="AG439" s="143" t="s">
        <v>758</v>
      </c>
      <c r="AH439" s="143" t="s">
        <v>759</v>
      </c>
      <c r="AI439" s="143" t="s">
        <v>663</v>
      </c>
      <c r="AJ439" s="143">
        <v>2331</v>
      </c>
      <c r="AK439" s="143">
        <v>2</v>
      </c>
      <c r="AL439" s="156">
        <v>2</v>
      </c>
      <c r="AM439" s="156">
        <v>3</v>
      </c>
      <c r="AN439" s="156">
        <v>3</v>
      </c>
      <c r="AO439" s="156">
        <v>3</v>
      </c>
      <c r="AP439" s="156">
        <v>3</v>
      </c>
      <c r="AQ439" s="156">
        <v>3</v>
      </c>
      <c r="AR439" s="156">
        <v>4</v>
      </c>
      <c r="AS439" s="169">
        <v>3.1428569999999998</v>
      </c>
    </row>
    <row r="440" spans="1:45" x14ac:dyDescent="0.35">
      <c r="A440" s="143" t="s">
        <v>758</v>
      </c>
      <c r="B440" s="143" t="s">
        <v>759</v>
      </c>
      <c r="C440" s="143" t="s">
        <v>663</v>
      </c>
      <c r="D440" s="143">
        <v>3186</v>
      </c>
      <c r="E440" s="143">
        <v>2</v>
      </c>
      <c r="F440" s="137">
        <v>1</v>
      </c>
      <c r="G440" s="137">
        <v>1</v>
      </c>
      <c r="H440" s="137">
        <v>1</v>
      </c>
      <c r="I440" s="137">
        <v>0</v>
      </c>
      <c r="K440" s="143" t="s">
        <v>758</v>
      </c>
      <c r="L440" s="143" t="s">
        <v>759</v>
      </c>
      <c r="M440" s="143" t="s">
        <v>663</v>
      </c>
      <c r="N440" s="143">
        <v>3186</v>
      </c>
      <c r="O440" s="137">
        <v>0.4</v>
      </c>
      <c r="P440" s="137">
        <v>0.6</v>
      </c>
      <c r="Q440" s="137">
        <v>1</v>
      </c>
      <c r="R440" s="137" t="s">
        <v>2486</v>
      </c>
      <c r="S440" s="137">
        <v>0.75</v>
      </c>
      <c r="T440" s="78" t="s">
        <v>2486</v>
      </c>
      <c r="U440" s="78" t="s">
        <v>2838</v>
      </c>
      <c r="W440" s="143" t="s">
        <v>758</v>
      </c>
      <c r="X440" s="143" t="s">
        <v>759</v>
      </c>
      <c r="Y440" s="143" t="s">
        <v>663</v>
      </c>
      <c r="Z440" s="143">
        <v>3186</v>
      </c>
      <c r="AA440" s="143">
        <v>0</v>
      </c>
      <c r="AD440" s="137">
        <v>0</v>
      </c>
      <c r="AG440" s="143" t="s">
        <v>758</v>
      </c>
      <c r="AH440" s="143" t="s">
        <v>759</v>
      </c>
      <c r="AI440" s="143" t="s">
        <v>663</v>
      </c>
      <c r="AJ440" s="143">
        <v>3186</v>
      </c>
      <c r="AK440" s="143">
        <v>2</v>
      </c>
      <c r="AL440" s="156">
        <v>1.5</v>
      </c>
      <c r="AM440" s="156">
        <v>3</v>
      </c>
      <c r="AN440" s="156">
        <v>3</v>
      </c>
      <c r="AO440" s="156">
        <v>3</v>
      </c>
      <c r="AP440" s="156">
        <v>3</v>
      </c>
      <c r="AQ440" s="156">
        <v>3</v>
      </c>
      <c r="AR440" s="156">
        <v>3.5</v>
      </c>
      <c r="AS440" s="169">
        <v>3.1428569999999998</v>
      </c>
    </row>
    <row r="441" spans="1:45" x14ac:dyDescent="0.35">
      <c r="A441" s="143" t="s">
        <v>758</v>
      </c>
      <c r="B441" s="143" t="s">
        <v>759</v>
      </c>
      <c r="C441" s="143" t="s">
        <v>663</v>
      </c>
      <c r="D441" s="143">
        <v>3385</v>
      </c>
      <c r="E441" s="143">
        <v>2</v>
      </c>
      <c r="F441" s="137">
        <v>1</v>
      </c>
      <c r="G441" s="137">
        <v>1</v>
      </c>
      <c r="H441" s="137">
        <v>1</v>
      </c>
      <c r="I441" s="137">
        <v>0</v>
      </c>
      <c r="K441" s="143" t="s">
        <v>758</v>
      </c>
      <c r="L441" s="143" t="s">
        <v>759</v>
      </c>
      <c r="M441" s="143" t="s">
        <v>663</v>
      </c>
      <c r="N441" s="143">
        <v>3385</v>
      </c>
      <c r="O441" s="137">
        <v>0.4</v>
      </c>
      <c r="P441" s="137">
        <v>0.6</v>
      </c>
      <c r="Q441" s="137">
        <v>1</v>
      </c>
      <c r="R441" s="137" t="s">
        <v>2486</v>
      </c>
      <c r="S441" s="137">
        <v>0.8</v>
      </c>
      <c r="T441" s="78" t="s">
        <v>2486</v>
      </c>
      <c r="U441" s="78" t="s">
        <v>2838</v>
      </c>
      <c r="W441" s="143" t="s">
        <v>758</v>
      </c>
      <c r="X441" s="143" t="s">
        <v>759</v>
      </c>
      <c r="Y441" s="143" t="s">
        <v>663</v>
      </c>
      <c r="Z441" s="143">
        <v>3385</v>
      </c>
      <c r="AA441" s="143">
        <v>0</v>
      </c>
      <c r="AD441" s="137">
        <v>0</v>
      </c>
      <c r="AG441" s="143" t="s">
        <v>758</v>
      </c>
      <c r="AH441" s="143" t="s">
        <v>759</v>
      </c>
      <c r="AI441" s="143" t="s">
        <v>663</v>
      </c>
      <c r="AJ441" s="143">
        <v>3385</v>
      </c>
      <c r="AK441" s="143">
        <v>2</v>
      </c>
      <c r="AL441" s="156">
        <v>1.5</v>
      </c>
      <c r="AM441" s="156">
        <v>3.5</v>
      </c>
      <c r="AN441" s="156">
        <v>3.5</v>
      </c>
      <c r="AO441" s="156">
        <v>4</v>
      </c>
      <c r="AP441" s="156">
        <v>3.5</v>
      </c>
      <c r="AQ441" s="156">
        <v>4</v>
      </c>
      <c r="AR441" s="156">
        <v>4</v>
      </c>
      <c r="AS441" s="169">
        <v>3.714286</v>
      </c>
    </row>
    <row r="442" spans="1:45" x14ac:dyDescent="0.35">
      <c r="A442" s="143" t="s">
        <v>758</v>
      </c>
      <c r="B442" s="143" t="s">
        <v>759</v>
      </c>
      <c r="C442" s="143" t="s">
        <v>663</v>
      </c>
      <c r="D442" s="143">
        <v>3386</v>
      </c>
      <c r="E442" s="143">
        <v>2</v>
      </c>
      <c r="F442" s="137">
        <v>1</v>
      </c>
      <c r="G442" s="137">
        <v>1</v>
      </c>
      <c r="H442" s="137">
        <v>1</v>
      </c>
      <c r="I442" s="137">
        <v>0</v>
      </c>
      <c r="K442" s="143" t="s">
        <v>758</v>
      </c>
      <c r="L442" s="143" t="s">
        <v>759</v>
      </c>
      <c r="M442" s="143" t="s">
        <v>663</v>
      </c>
      <c r="N442" s="143">
        <v>3386</v>
      </c>
      <c r="O442" s="137">
        <v>0.39466669999999998</v>
      </c>
      <c r="P442" s="137">
        <v>0.6</v>
      </c>
      <c r="Q442" s="137">
        <v>0.99466670000000001</v>
      </c>
      <c r="R442" s="137" t="s">
        <v>2487</v>
      </c>
      <c r="S442" s="137">
        <v>0.75</v>
      </c>
      <c r="T442" s="78" t="s">
        <v>2486</v>
      </c>
      <c r="U442" s="78" t="s">
        <v>2838</v>
      </c>
      <c r="W442" s="143" t="s">
        <v>758</v>
      </c>
      <c r="X442" s="143" t="s">
        <v>759</v>
      </c>
      <c r="Y442" s="143" t="s">
        <v>663</v>
      </c>
      <c r="Z442" s="143">
        <v>3386</v>
      </c>
      <c r="AA442" s="143">
        <v>0</v>
      </c>
      <c r="AD442" s="137">
        <v>0</v>
      </c>
      <c r="AG442" s="143" t="s">
        <v>758</v>
      </c>
      <c r="AH442" s="143" t="s">
        <v>759</v>
      </c>
      <c r="AI442" s="143" t="s">
        <v>663</v>
      </c>
      <c r="AJ442" s="143">
        <v>3386</v>
      </c>
      <c r="AK442" s="143">
        <v>2</v>
      </c>
      <c r="AL442" s="156">
        <v>2</v>
      </c>
      <c r="AM442" s="156">
        <v>3</v>
      </c>
      <c r="AN442" s="156">
        <v>3</v>
      </c>
      <c r="AO442" s="156">
        <v>3</v>
      </c>
      <c r="AP442" s="156">
        <v>1</v>
      </c>
      <c r="AQ442" s="156">
        <v>3</v>
      </c>
      <c r="AR442" s="156">
        <v>3.5</v>
      </c>
      <c r="AS442" s="169">
        <v>2.785714</v>
      </c>
    </row>
    <row r="443" spans="1:45" x14ac:dyDescent="0.35">
      <c r="A443" s="143" t="s">
        <v>760</v>
      </c>
      <c r="B443" s="143" t="s">
        <v>759</v>
      </c>
      <c r="C443" s="143" t="s">
        <v>843</v>
      </c>
      <c r="D443" s="143">
        <v>856</v>
      </c>
      <c r="E443" s="143">
        <v>8</v>
      </c>
      <c r="F443" s="137">
        <v>1</v>
      </c>
      <c r="G443" s="137">
        <v>1</v>
      </c>
      <c r="H443" s="137">
        <v>1</v>
      </c>
      <c r="I443" s="137">
        <v>0</v>
      </c>
      <c r="K443" s="143" t="s">
        <v>760</v>
      </c>
      <c r="L443" s="143" t="s">
        <v>759</v>
      </c>
      <c r="M443" s="143" t="s">
        <v>843</v>
      </c>
      <c r="N443" s="143">
        <v>856</v>
      </c>
      <c r="O443" s="137">
        <v>0.4</v>
      </c>
      <c r="P443" s="137">
        <v>0.6</v>
      </c>
      <c r="Q443" s="137">
        <v>1</v>
      </c>
      <c r="R443" s="137" t="s">
        <v>2486</v>
      </c>
      <c r="S443" s="137">
        <v>0.51219510000000001</v>
      </c>
      <c r="T443" s="78" t="s">
        <v>2486</v>
      </c>
      <c r="U443" s="78" t="s">
        <v>2486</v>
      </c>
      <c r="W443" s="143" t="s">
        <v>760</v>
      </c>
      <c r="X443" s="143" t="s">
        <v>759</v>
      </c>
      <c r="Y443" s="143" t="s">
        <v>843</v>
      </c>
      <c r="Z443" s="143">
        <v>856</v>
      </c>
      <c r="AA443" s="143">
        <v>8</v>
      </c>
      <c r="AB443" s="137">
        <v>0</v>
      </c>
      <c r="AC443" s="137">
        <v>0</v>
      </c>
      <c r="AD443" s="137">
        <v>0</v>
      </c>
      <c r="AG443" s="143" t="s">
        <v>760</v>
      </c>
      <c r="AH443" s="143" t="s">
        <v>759</v>
      </c>
      <c r="AI443" s="143" t="s">
        <v>843</v>
      </c>
      <c r="AJ443" s="143">
        <v>856</v>
      </c>
      <c r="AK443" s="143">
        <v>8</v>
      </c>
      <c r="AL443" s="156">
        <v>2.625</v>
      </c>
      <c r="AM443" s="156">
        <v>3.625</v>
      </c>
      <c r="AN443" s="156">
        <v>3.5</v>
      </c>
      <c r="AO443" s="156">
        <v>3.125</v>
      </c>
      <c r="AP443" s="156">
        <v>3</v>
      </c>
      <c r="AQ443" s="156">
        <v>3.375</v>
      </c>
      <c r="AR443" s="156">
        <v>3</v>
      </c>
      <c r="AS443" s="169">
        <v>3.1964290000000002</v>
      </c>
    </row>
    <row r="444" spans="1:45" x14ac:dyDescent="0.35">
      <c r="A444" s="143" t="s">
        <v>760</v>
      </c>
      <c r="B444" s="143" t="s">
        <v>759</v>
      </c>
      <c r="C444" s="143" t="s">
        <v>842</v>
      </c>
      <c r="D444" s="143">
        <v>1724</v>
      </c>
      <c r="E444" s="143">
        <v>2</v>
      </c>
      <c r="F444" s="137">
        <v>1</v>
      </c>
      <c r="G444" s="137">
        <v>1</v>
      </c>
      <c r="H444" s="137">
        <v>1</v>
      </c>
      <c r="I444" s="137">
        <v>0</v>
      </c>
      <c r="K444" s="143" t="s">
        <v>760</v>
      </c>
      <c r="L444" s="143" t="s">
        <v>759</v>
      </c>
      <c r="M444" s="143" t="s">
        <v>842</v>
      </c>
      <c r="N444" s="143">
        <v>1724</v>
      </c>
      <c r="O444" s="137">
        <v>0.4</v>
      </c>
      <c r="P444" s="137">
        <v>0.6</v>
      </c>
      <c r="Q444" s="137">
        <v>1</v>
      </c>
      <c r="R444" s="137" t="s">
        <v>2486</v>
      </c>
      <c r="S444" s="137">
        <v>0.57142859999999995</v>
      </c>
      <c r="T444" s="78" t="s">
        <v>2486</v>
      </c>
      <c r="U444" s="78" t="s">
        <v>2486</v>
      </c>
      <c r="W444" s="143" t="s">
        <v>760</v>
      </c>
      <c r="X444" s="143" t="s">
        <v>759</v>
      </c>
      <c r="Y444" s="143" t="s">
        <v>842</v>
      </c>
      <c r="Z444" s="143">
        <v>1724</v>
      </c>
      <c r="AA444" s="143">
        <v>0</v>
      </c>
      <c r="AD444" s="137">
        <v>0</v>
      </c>
      <c r="AE444" s="137">
        <v>0.14285709999999999</v>
      </c>
      <c r="AG444" s="143" t="s">
        <v>760</v>
      </c>
      <c r="AH444" s="143" t="s">
        <v>759</v>
      </c>
      <c r="AI444" s="143" t="s">
        <v>842</v>
      </c>
      <c r="AJ444" s="143">
        <v>1724</v>
      </c>
      <c r="AK444" s="143">
        <v>2</v>
      </c>
      <c r="AL444" s="156">
        <v>1.5</v>
      </c>
      <c r="AM444" s="156">
        <v>3</v>
      </c>
      <c r="AN444" s="156">
        <v>3</v>
      </c>
      <c r="AO444" s="156">
        <v>3</v>
      </c>
      <c r="AP444" s="156">
        <v>3</v>
      </c>
      <c r="AQ444" s="156">
        <v>3</v>
      </c>
      <c r="AR444" s="156">
        <v>3</v>
      </c>
      <c r="AS444" s="169">
        <v>3.0714290000000002</v>
      </c>
    </row>
    <row r="445" spans="1:45" x14ac:dyDescent="0.35">
      <c r="A445" s="143" t="s">
        <v>760</v>
      </c>
      <c r="B445" s="143" t="s">
        <v>759</v>
      </c>
      <c r="C445" s="143" t="s">
        <v>841</v>
      </c>
      <c r="D445" s="143">
        <v>1732</v>
      </c>
      <c r="E445" s="143">
        <v>3</v>
      </c>
      <c r="F445" s="137">
        <v>1</v>
      </c>
      <c r="G445" s="137">
        <v>1</v>
      </c>
      <c r="H445" s="137">
        <v>1</v>
      </c>
      <c r="I445" s="137">
        <v>0</v>
      </c>
      <c r="K445" s="143" t="s">
        <v>760</v>
      </c>
      <c r="L445" s="143" t="s">
        <v>759</v>
      </c>
      <c r="M445" s="143" t="s">
        <v>841</v>
      </c>
      <c r="N445" s="143">
        <v>1732</v>
      </c>
      <c r="O445" s="137">
        <v>0.4</v>
      </c>
      <c r="P445" s="137">
        <v>0.6</v>
      </c>
      <c r="Q445" s="137">
        <v>1</v>
      </c>
      <c r="R445" s="137" t="s">
        <v>2486</v>
      </c>
      <c r="S445" s="137">
        <v>0.5</v>
      </c>
      <c r="T445" s="78" t="s">
        <v>2486</v>
      </c>
      <c r="U445" s="78" t="s">
        <v>2486</v>
      </c>
      <c r="W445" s="143" t="s">
        <v>760</v>
      </c>
      <c r="X445" s="143" t="s">
        <v>759</v>
      </c>
      <c r="Y445" s="143" t="s">
        <v>841</v>
      </c>
      <c r="Z445" s="143">
        <v>1732</v>
      </c>
      <c r="AA445" s="143">
        <v>0</v>
      </c>
      <c r="AD445" s="137">
        <v>0</v>
      </c>
      <c r="AG445" s="143" t="s">
        <v>760</v>
      </c>
      <c r="AH445" s="143" t="s">
        <v>759</v>
      </c>
      <c r="AI445" s="143" t="s">
        <v>841</v>
      </c>
      <c r="AJ445" s="143">
        <v>1732</v>
      </c>
      <c r="AK445" s="143">
        <v>3</v>
      </c>
      <c r="AL445" s="156">
        <v>2</v>
      </c>
      <c r="AM445" s="156">
        <v>3.3333332538604701</v>
      </c>
      <c r="AN445" s="156">
        <v>3.3333332538604701</v>
      </c>
      <c r="AO445" s="156">
        <v>3.3333332538604701</v>
      </c>
      <c r="AP445" s="156">
        <v>3</v>
      </c>
      <c r="AQ445" s="156">
        <v>3.3333332538604701</v>
      </c>
      <c r="AR445" s="156">
        <v>3</v>
      </c>
      <c r="AS445" s="169">
        <v>3.1904759999999999</v>
      </c>
    </row>
    <row r="446" spans="1:45" x14ac:dyDescent="0.35">
      <c r="A446" s="143" t="s">
        <v>760</v>
      </c>
      <c r="B446" s="143" t="s">
        <v>759</v>
      </c>
      <c r="C446" s="143" t="s">
        <v>842</v>
      </c>
      <c r="D446" s="143">
        <v>1882</v>
      </c>
      <c r="E446" s="143">
        <v>2</v>
      </c>
      <c r="F446" s="137">
        <v>1</v>
      </c>
      <c r="G446" s="137">
        <v>1</v>
      </c>
      <c r="H446" s="137">
        <v>1</v>
      </c>
      <c r="I446" s="137">
        <v>0</v>
      </c>
      <c r="K446" s="143" t="s">
        <v>760</v>
      </c>
      <c r="L446" s="143" t="s">
        <v>759</v>
      </c>
      <c r="M446" s="143" t="s">
        <v>842</v>
      </c>
      <c r="N446" s="143">
        <v>1882</v>
      </c>
      <c r="O446" s="137">
        <v>0.4</v>
      </c>
      <c r="P446" s="137">
        <v>0.6</v>
      </c>
      <c r="Q446" s="137">
        <v>1</v>
      </c>
      <c r="R446" s="137" t="s">
        <v>2486</v>
      </c>
      <c r="S446" s="137">
        <v>0.42857139999999999</v>
      </c>
      <c r="T446" s="78" t="s">
        <v>2486</v>
      </c>
      <c r="U446" s="78" t="s">
        <v>2486</v>
      </c>
      <c r="W446" s="143" t="s">
        <v>760</v>
      </c>
      <c r="X446" s="143" t="s">
        <v>759</v>
      </c>
      <c r="Y446" s="143" t="s">
        <v>842</v>
      </c>
      <c r="Z446" s="143">
        <v>1882</v>
      </c>
      <c r="AA446" s="143">
        <v>0</v>
      </c>
      <c r="AD446" s="137">
        <v>0</v>
      </c>
      <c r="AG446" s="143" t="s">
        <v>760</v>
      </c>
      <c r="AH446" s="143" t="s">
        <v>759</v>
      </c>
      <c r="AI446" s="143" t="s">
        <v>842</v>
      </c>
      <c r="AJ446" s="143">
        <v>1882</v>
      </c>
      <c r="AK446" s="143">
        <v>2</v>
      </c>
      <c r="AL446" s="156">
        <v>2</v>
      </c>
      <c r="AM446" s="156">
        <v>3.5</v>
      </c>
      <c r="AN446" s="156">
        <v>3</v>
      </c>
      <c r="AO446" s="156">
        <v>3.5</v>
      </c>
      <c r="AP446" s="156">
        <v>3</v>
      </c>
      <c r="AQ446" s="156">
        <v>4</v>
      </c>
      <c r="AR446" s="156">
        <v>3</v>
      </c>
      <c r="AS446" s="169">
        <v>3.285714</v>
      </c>
    </row>
    <row r="447" spans="1:45" x14ac:dyDescent="0.35">
      <c r="A447" s="143" t="s">
        <v>760</v>
      </c>
      <c r="B447" s="143" t="s">
        <v>759</v>
      </c>
      <c r="C447" s="143" t="s">
        <v>842</v>
      </c>
      <c r="D447" s="143">
        <v>1897</v>
      </c>
      <c r="E447" s="143">
        <v>2</v>
      </c>
      <c r="F447" s="137">
        <v>1</v>
      </c>
      <c r="G447" s="137">
        <v>1</v>
      </c>
      <c r="H447" s="137">
        <v>1</v>
      </c>
      <c r="I447" s="137">
        <v>0</v>
      </c>
      <c r="K447" s="143" t="s">
        <v>760</v>
      </c>
      <c r="L447" s="143" t="s">
        <v>759</v>
      </c>
      <c r="M447" s="143" t="s">
        <v>842</v>
      </c>
      <c r="N447" s="143">
        <v>1897</v>
      </c>
      <c r="O447" s="137">
        <v>0.4</v>
      </c>
      <c r="P447" s="137">
        <v>0.6</v>
      </c>
      <c r="Q447" s="137">
        <v>1</v>
      </c>
      <c r="R447" s="137" t="s">
        <v>2486</v>
      </c>
      <c r="S447" s="137">
        <v>0.55555560000000004</v>
      </c>
      <c r="T447" s="78" t="s">
        <v>2486</v>
      </c>
      <c r="U447" s="78" t="s">
        <v>2486</v>
      </c>
      <c r="W447" s="143" t="s">
        <v>760</v>
      </c>
      <c r="X447" s="143" t="s">
        <v>759</v>
      </c>
      <c r="Y447" s="143" t="s">
        <v>842</v>
      </c>
      <c r="Z447" s="143">
        <v>1897</v>
      </c>
      <c r="AA447" s="143">
        <v>0</v>
      </c>
      <c r="AD447" s="137">
        <v>0</v>
      </c>
      <c r="AE447" s="137">
        <v>0.22222220000000001</v>
      </c>
      <c r="AG447" s="143" t="s">
        <v>760</v>
      </c>
      <c r="AH447" s="143" t="s">
        <v>759</v>
      </c>
      <c r="AI447" s="143" t="s">
        <v>842</v>
      </c>
      <c r="AJ447" s="143">
        <v>1897</v>
      </c>
      <c r="AK447" s="143">
        <v>2</v>
      </c>
      <c r="AL447" s="156">
        <v>2.5</v>
      </c>
      <c r="AM447" s="156">
        <v>3</v>
      </c>
      <c r="AN447" s="156">
        <v>3</v>
      </c>
      <c r="AO447" s="156">
        <v>2.5</v>
      </c>
      <c r="AP447" s="156">
        <v>3</v>
      </c>
      <c r="AQ447" s="156">
        <v>3</v>
      </c>
      <c r="AR447" s="156">
        <v>3</v>
      </c>
      <c r="AS447" s="169">
        <v>2.8571430000000002</v>
      </c>
    </row>
    <row r="448" spans="1:45" x14ac:dyDescent="0.35">
      <c r="A448" s="143" t="s">
        <v>760</v>
      </c>
      <c r="B448" s="143" t="s">
        <v>759</v>
      </c>
      <c r="C448" s="143" t="s">
        <v>663</v>
      </c>
      <c r="D448" s="143">
        <v>2242</v>
      </c>
      <c r="E448" s="143">
        <v>2</v>
      </c>
      <c r="F448" s="137">
        <v>1</v>
      </c>
      <c r="G448" s="137">
        <v>1</v>
      </c>
      <c r="H448" s="137">
        <v>1</v>
      </c>
      <c r="I448" s="137">
        <v>0</v>
      </c>
      <c r="K448" s="143" t="s">
        <v>760</v>
      </c>
      <c r="L448" s="143" t="s">
        <v>759</v>
      </c>
      <c r="M448" s="143" t="s">
        <v>663</v>
      </c>
      <c r="N448" s="143">
        <v>2242</v>
      </c>
      <c r="O448" s="137">
        <v>0.4</v>
      </c>
      <c r="P448" s="137">
        <v>0.6</v>
      </c>
      <c r="Q448" s="137">
        <v>1</v>
      </c>
      <c r="R448" s="137" t="s">
        <v>2486</v>
      </c>
      <c r="S448" s="137">
        <v>0.5</v>
      </c>
      <c r="T448" s="78" t="s">
        <v>2486</v>
      </c>
      <c r="U448" s="78" t="s">
        <v>2838</v>
      </c>
      <c r="W448" s="143" t="s">
        <v>760</v>
      </c>
      <c r="X448" s="143" t="s">
        <v>759</v>
      </c>
      <c r="Y448" s="143" t="s">
        <v>663</v>
      </c>
      <c r="Z448" s="143">
        <v>2242</v>
      </c>
      <c r="AA448" s="143">
        <v>0</v>
      </c>
      <c r="AD448" s="137">
        <v>0</v>
      </c>
      <c r="AG448" s="143" t="s">
        <v>760</v>
      </c>
      <c r="AH448" s="143" t="s">
        <v>759</v>
      </c>
      <c r="AI448" s="143" t="s">
        <v>663</v>
      </c>
      <c r="AJ448" s="143">
        <v>2242</v>
      </c>
      <c r="AK448" s="143">
        <v>2</v>
      </c>
      <c r="AL448" s="156">
        <v>2.5</v>
      </c>
      <c r="AM448" s="156">
        <v>4</v>
      </c>
      <c r="AN448" s="156">
        <v>4</v>
      </c>
      <c r="AO448" s="156">
        <v>4</v>
      </c>
      <c r="AP448" s="156">
        <v>3.5</v>
      </c>
      <c r="AQ448" s="156">
        <v>3.5</v>
      </c>
      <c r="AR448" s="156">
        <v>3.5</v>
      </c>
      <c r="AS448" s="169">
        <v>3.5714290000000002</v>
      </c>
    </row>
    <row r="449" spans="1:45" x14ac:dyDescent="0.35">
      <c r="A449" s="143" t="s">
        <v>760</v>
      </c>
      <c r="B449" s="143" t="s">
        <v>759</v>
      </c>
      <c r="C449" s="143" t="s">
        <v>663</v>
      </c>
      <c r="D449" s="143">
        <v>2248</v>
      </c>
      <c r="E449" s="143">
        <v>2</v>
      </c>
      <c r="F449" s="137">
        <v>1</v>
      </c>
      <c r="G449" s="137">
        <v>1</v>
      </c>
      <c r="H449" s="137">
        <v>1</v>
      </c>
      <c r="I449" s="137">
        <v>0</v>
      </c>
      <c r="K449" s="143" t="s">
        <v>760</v>
      </c>
      <c r="L449" s="143" t="s">
        <v>759</v>
      </c>
      <c r="M449" s="143" t="s">
        <v>663</v>
      </c>
      <c r="N449" s="143">
        <v>2248</v>
      </c>
      <c r="O449" s="137">
        <v>0.4</v>
      </c>
      <c r="P449" s="137">
        <v>0.6</v>
      </c>
      <c r="Q449" s="137">
        <v>1</v>
      </c>
      <c r="R449" s="137" t="s">
        <v>2486</v>
      </c>
      <c r="S449" s="137">
        <v>0.75</v>
      </c>
      <c r="T449" s="78" t="s">
        <v>2486</v>
      </c>
      <c r="U449" s="78" t="s">
        <v>2838</v>
      </c>
      <c r="W449" s="143" t="s">
        <v>760</v>
      </c>
      <c r="X449" s="143" t="s">
        <v>759</v>
      </c>
      <c r="Y449" s="143" t="s">
        <v>663</v>
      </c>
      <c r="Z449" s="143">
        <v>2248</v>
      </c>
      <c r="AA449" s="143">
        <v>0</v>
      </c>
      <c r="AD449" s="137">
        <v>0</v>
      </c>
      <c r="AE449" s="137">
        <v>0.5</v>
      </c>
      <c r="AG449" s="143" t="s">
        <v>760</v>
      </c>
      <c r="AH449" s="143" t="s">
        <v>759</v>
      </c>
      <c r="AI449" s="143" t="s">
        <v>663</v>
      </c>
      <c r="AJ449" s="143">
        <v>2248</v>
      </c>
      <c r="AK449" s="143">
        <v>2</v>
      </c>
      <c r="AL449" s="156">
        <v>2</v>
      </c>
      <c r="AM449" s="156">
        <v>3</v>
      </c>
      <c r="AN449" s="156">
        <v>3</v>
      </c>
      <c r="AO449" s="156">
        <v>3</v>
      </c>
      <c r="AP449" s="156">
        <v>3</v>
      </c>
      <c r="AQ449" s="156">
        <v>3</v>
      </c>
      <c r="AR449" s="156">
        <v>3</v>
      </c>
      <c r="AS449" s="169">
        <v>3</v>
      </c>
    </row>
    <row r="450" spans="1:45" x14ac:dyDescent="0.35">
      <c r="A450" s="143" t="s">
        <v>760</v>
      </c>
      <c r="B450" s="143" t="s">
        <v>759</v>
      </c>
      <c r="C450" s="143" t="s">
        <v>663</v>
      </c>
      <c r="D450" s="143">
        <v>2249</v>
      </c>
      <c r="E450" s="143">
        <v>2</v>
      </c>
      <c r="F450" s="137">
        <v>1</v>
      </c>
      <c r="G450" s="137">
        <v>1</v>
      </c>
      <c r="H450" s="137">
        <v>1</v>
      </c>
      <c r="I450" s="137">
        <v>0.5</v>
      </c>
      <c r="K450" s="143" t="s">
        <v>760</v>
      </c>
      <c r="L450" s="143" t="s">
        <v>759</v>
      </c>
      <c r="M450" s="143" t="s">
        <v>663</v>
      </c>
      <c r="N450" s="143">
        <v>2249</v>
      </c>
      <c r="O450" s="137">
        <v>0.30933329999999998</v>
      </c>
      <c r="P450" s="137">
        <v>0.6</v>
      </c>
      <c r="Q450" s="137">
        <v>0.90933330000000001</v>
      </c>
      <c r="R450" s="137" t="s">
        <v>2487</v>
      </c>
      <c r="S450" s="137">
        <v>0.5</v>
      </c>
      <c r="T450" s="78" t="s">
        <v>2486</v>
      </c>
      <c r="U450" s="78" t="s">
        <v>2838</v>
      </c>
      <c r="W450" s="143" t="s">
        <v>760</v>
      </c>
      <c r="X450" s="143" t="s">
        <v>759</v>
      </c>
      <c r="Y450" s="143" t="s">
        <v>663</v>
      </c>
      <c r="Z450" s="143">
        <v>2249</v>
      </c>
      <c r="AA450" s="143">
        <v>0</v>
      </c>
      <c r="AD450" s="137">
        <v>0</v>
      </c>
      <c r="AG450" s="143" t="s">
        <v>760</v>
      </c>
      <c r="AH450" s="143" t="s">
        <v>759</v>
      </c>
      <c r="AI450" s="143" t="s">
        <v>663</v>
      </c>
      <c r="AJ450" s="143">
        <v>2249</v>
      </c>
      <c r="AK450" s="143">
        <v>2</v>
      </c>
      <c r="AL450" s="156">
        <v>2.5</v>
      </c>
      <c r="AM450" s="156">
        <v>3</v>
      </c>
      <c r="AN450" s="156">
        <v>3</v>
      </c>
      <c r="AO450" s="156">
        <v>3.5</v>
      </c>
      <c r="AP450" s="156">
        <v>1</v>
      </c>
      <c r="AQ450" s="156">
        <v>3.5</v>
      </c>
      <c r="AR450" s="156">
        <v>3</v>
      </c>
      <c r="AS450" s="169">
        <v>2.785714</v>
      </c>
    </row>
    <row r="451" spans="1:45" x14ac:dyDescent="0.35">
      <c r="A451" s="143" t="s">
        <v>760</v>
      </c>
      <c r="B451" s="143" t="s">
        <v>759</v>
      </c>
      <c r="C451" s="143" t="s">
        <v>663</v>
      </c>
      <c r="D451" s="143">
        <v>3418</v>
      </c>
      <c r="E451" s="143">
        <v>2</v>
      </c>
      <c r="F451" s="137">
        <v>1</v>
      </c>
      <c r="G451" s="137">
        <v>1</v>
      </c>
      <c r="H451" s="137">
        <v>1</v>
      </c>
      <c r="I451" s="137">
        <v>0.5</v>
      </c>
      <c r="K451" s="143" t="s">
        <v>760</v>
      </c>
      <c r="L451" s="143" t="s">
        <v>759</v>
      </c>
      <c r="M451" s="143" t="s">
        <v>663</v>
      </c>
      <c r="N451" s="143">
        <v>3418</v>
      </c>
      <c r="O451" s="137">
        <v>0.3973333</v>
      </c>
      <c r="P451" s="137">
        <v>0.6</v>
      </c>
      <c r="Q451" s="137">
        <v>0.99733329999999998</v>
      </c>
      <c r="R451" s="137" t="s">
        <v>2487</v>
      </c>
      <c r="S451" s="137">
        <v>0.8</v>
      </c>
      <c r="T451" s="78" t="s">
        <v>2486</v>
      </c>
      <c r="U451" s="78" t="s">
        <v>2838</v>
      </c>
      <c r="W451" s="143" t="s">
        <v>760</v>
      </c>
      <c r="X451" s="143" t="s">
        <v>759</v>
      </c>
      <c r="Y451" s="143" t="s">
        <v>663</v>
      </c>
      <c r="Z451" s="143">
        <v>3418</v>
      </c>
      <c r="AA451" s="143">
        <v>0</v>
      </c>
      <c r="AD451" s="137">
        <v>0</v>
      </c>
      <c r="AG451" s="143" t="s">
        <v>760</v>
      </c>
      <c r="AH451" s="143" t="s">
        <v>759</v>
      </c>
      <c r="AI451" s="143" t="s">
        <v>663</v>
      </c>
      <c r="AJ451" s="143">
        <v>3418</v>
      </c>
      <c r="AK451" s="143">
        <v>2</v>
      </c>
      <c r="AL451" s="156">
        <v>2.5</v>
      </c>
      <c r="AM451" s="156">
        <v>3.5</v>
      </c>
      <c r="AN451" s="156">
        <v>3.5</v>
      </c>
      <c r="AO451" s="156">
        <v>3</v>
      </c>
      <c r="AP451" s="156">
        <v>1.5</v>
      </c>
      <c r="AQ451" s="156">
        <v>3.5</v>
      </c>
      <c r="AR451" s="156">
        <v>3</v>
      </c>
      <c r="AS451" s="169">
        <v>2.9285709999999998</v>
      </c>
    </row>
    <row r="452" spans="1:45" x14ac:dyDescent="0.35">
      <c r="A452" s="143" t="s">
        <v>760</v>
      </c>
      <c r="B452" s="143" t="s">
        <v>759</v>
      </c>
      <c r="C452" s="143" t="s">
        <v>663</v>
      </c>
      <c r="D452" s="143">
        <v>3839</v>
      </c>
      <c r="E452" s="143">
        <v>2</v>
      </c>
      <c r="F452" s="137">
        <v>1</v>
      </c>
      <c r="G452" s="137">
        <v>1</v>
      </c>
      <c r="H452" s="137">
        <v>1</v>
      </c>
      <c r="I452" s="137">
        <v>0</v>
      </c>
      <c r="K452" s="143" t="s">
        <v>760</v>
      </c>
      <c r="L452" s="143" t="s">
        <v>759</v>
      </c>
      <c r="M452" s="143" t="s">
        <v>663</v>
      </c>
      <c r="N452" s="143">
        <v>3839</v>
      </c>
      <c r="O452" s="137">
        <v>0.3973333</v>
      </c>
      <c r="P452" s="137">
        <v>0.6</v>
      </c>
      <c r="Q452" s="137">
        <v>0.99733329999999998</v>
      </c>
      <c r="R452" s="137" t="s">
        <v>2487</v>
      </c>
      <c r="S452" s="137">
        <v>0.8</v>
      </c>
      <c r="T452" s="78" t="s">
        <v>2486</v>
      </c>
      <c r="U452" s="78" t="s">
        <v>2838</v>
      </c>
      <c r="W452" s="143" t="s">
        <v>760</v>
      </c>
      <c r="X452" s="143" t="s">
        <v>759</v>
      </c>
      <c r="Y452" s="143" t="s">
        <v>663</v>
      </c>
      <c r="Z452" s="143">
        <v>3839</v>
      </c>
      <c r="AA452" s="143">
        <v>0</v>
      </c>
      <c r="AD452" s="137">
        <v>0</v>
      </c>
      <c r="AE452" s="137">
        <v>0.4</v>
      </c>
      <c r="AG452" s="143" t="s">
        <v>760</v>
      </c>
      <c r="AH452" s="143" t="s">
        <v>759</v>
      </c>
      <c r="AI452" s="143" t="s">
        <v>663</v>
      </c>
      <c r="AJ452" s="143">
        <v>3839</v>
      </c>
      <c r="AK452" s="143">
        <v>2</v>
      </c>
      <c r="AL452" s="156">
        <v>2</v>
      </c>
      <c r="AM452" s="156">
        <v>3</v>
      </c>
      <c r="AN452" s="156">
        <v>3</v>
      </c>
      <c r="AO452" s="156">
        <v>3</v>
      </c>
      <c r="AP452" s="156">
        <v>2</v>
      </c>
      <c r="AQ452" s="156">
        <v>3</v>
      </c>
      <c r="AR452" s="156">
        <v>3</v>
      </c>
      <c r="AS452" s="169">
        <v>2.8571430000000002</v>
      </c>
    </row>
    <row r="453" spans="1:45" x14ac:dyDescent="0.35">
      <c r="A453" s="143" t="s">
        <v>760</v>
      </c>
      <c r="B453" s="143" t="s">
        <v>759</v>
      </c>
      <c r="C453" s="143" t="s">
        <v>663</v>
      </c>
      <c r="D453" s="143">
        <v>3846</v>
      </c>
      <c r="E453" s="143">
        <v>2</v>
      </c>
      <c r="F453" s="137">
        <v>1</v>
      </c>
      <c r="G453" s="137">
        <v>1</v>
      </c>
      <c r="H453" s="137">
        <v>1</v>
      </c>
      <c r="I453" s="137">
        <v>0</v>
      </c>
      <c r="K453" s="143" t="s">
        <v>760</v>
      </c>
      <c r="L453" s="143" t="s">
        <v>759</v>
      </c>
      <c r="M453" s="143" t="s">
        <v>663</v>
      </c>
      <c r="N453" s="143">
        <v>3846</v>
      </c>
      <c r="O453" s="137">
        <v>0.4</v>
      </c>
      <c r="P453" s="137">
        <v>0.6</v>
      </c>
      <c r="Q453" s="137">
        <v>1</v>
      </c>
      <c r="R453" s="137" t="s">
        <v>2486</v>
      </c>
      <c r="S453" s="137">
        <v>0.75</v>
      </c>
      <c r="T453" s="78" t="s">
        <v>2486</v>
      </c>
      <c r="U453" s="78" t="s">
        <v>2838</v>
      </c>
      <c r="W453" s="143" t="s">
        <v>760</v>
      </c>
      <c r="X453" s="143" t="s">
        <v>759</v>
      </c>
      <c r="Y453" s="143" t="s">
        <v>663</v>
      </c>
      <c r="Z453" s="143">
        <v>3846</v>
      </c>
      <c r="AA453" s="143">
        <v>0</v>
      </c>
      <c r="AD453" s="137">
        <v>0</v>
      </c>
      <c r="AE453" s="137">
        <v>0.5</v>
      </c>
      <c r="AG453" s="143" t="s">
        <v>760</v>
      </c>
      <c r="AH453" s="143" t="s">
        <v>759</v>
      </c>
      <c r="AI453" s="143" t="s">
        <v>663</v>
      </c>
      <c r="AJ453" s="143">
        <v>3846</v>
      </c>
      <c r="AK453" s="143">
        <v>2</v>
      </c>
      <c r="AL453" s="156">
        <v>2</v>
      </c>
      <c r="AM453" s="156">
        <v>3</v>
      </c>
      <c r="AN453" s="156">
        <v>3</v>
      </c>
      <c r="AO453" s="156">
        <v>3</v>
      </c>
      <c r="AP453" s="156">
        <v>1.5</v>
      </c>
      <c r="AQ453" s="156">
        <v>3</v>
      </c>
      <c r="AR453" s="156">
        <v>3</v>
      </c>
      <c r="AS453" s="169">
        <v>2.785714</v>
      </c>
    </row>
    <row r="454" spans="1:45" x14ac:dyDescent="0.35">
      <c r="A454" s="143" t="s">
        <v>761</v>
      </c>
      <c r="B454" s="143" t="s">
        <v>720</v>
      </c>
      <c r="C454" s="143" t="s">
        <v>841</v>
      </c>
      <c r="D454" s="143">
        <v>427</v>
      </c>
      <c r="E454" s="143">
        <v>3</v>
      </c>
      <c r="F454" s="137">
        <v>1</v>
      </c>
      <c r="G454" s="137">
        <v>1</v>
      </c>
      <c r="H454" s="137">
        <v>1</v>
      </c>
      <c r="I454" s="137">
        <v>0</v>
      </c>
      <c r="K454" s="143" t="s">
        <v>761</v>
      </c>
      <c r="L454" s="143" t="s">
        <v>720</v>
      </c>
      <c r="M454" s="143" t="s">
        <v>841</v>
      </c>
      <c r="N454" s="143">
        <v>427</v>
      </c>
      <c r="O454" s="137">
        <v>0.4</v>
      </c>
      <c r="P454" s="137">
        <v>0.6</v>
      </c>
      <c r="Q454" s="137">
        <v>1</v>
      </c>
      <c r="R454" s="137" t="s">
        <v>2486</v>
      </c>
      <c r="S454" s="137">
        <v>0.53333339999999996</v>
      </c>
      <c r="T454" s="78" t="s">
        <v>2486</v>
      </c>
      <c r="U454" s="78" t="s">
        <v>2486</v>
      </c>
      <c r="W454" s="143" t="s">
        <v>761</v>
      </c>
      <c r="X454" s="143" t="s">
        <v>720</v>
      </c>
      <c r="Y454" s="143" t="s">
        <v>841</v>
      </c>
      <c r="Z454" s="143">
        <v>427</v>
      </c>
      <c r="AA454" s="143">
        <v>0</v>
      </c>
      <c r="AD454" s="137">
        <v>0</v>
      </c>
      <c r="AG454" s="143" t="s">
        <v>761</v>
      </c>
      <c r="AH454" s="143" t="s">
        <v>720</v>
      </c>
      <c r="AI454" s="143" t="s">
        <v>841</v>
      </c>
      <c r="AJ454" s="143">
        <v>427</v>
      </c>
      <c r="AK454" s="143">
        <v>3</v>
      </c>
      <c r="AL454" s="156">
        <v>1.3333333730697601</v>
      </c>
      <c r="AM454" s="156">
        <v>3.3333332538604701</v>
      </c>
      <c r="AN454" s="156">
        <v>3</v>
      </c>
      <c r="AO454" s="156">
        <v>2.6666667461395299</v>
      </c>
      <c r="AP454" s="156">
        <v>2.6666667461395299</v>
      </c>
      <c r="AQ454" s="156">
        <v>3</v>
      </c>
      <c r="AR454" s="156">
        <v>3</v>
      </c>
      <c r="AS454" s="169">
        <v>3.0476190000000001</v>
      </c>
    </row>
    <row r="455" spans="1:45" x14ac:dyDescent="0.35">
      <c r="A455" s="143" t="s">
        <v>761</v>
      </c>
      <c r="B455" s="143" t="s">
        <v>720</v>
      </c>
      <c r="C455" s="143" t="s">
        <v>843</v>
      </c>
      <c r="D455" s="143">
        <v>439</v>
      </c>
      <c r="E455" s="143">
        <v>8</v>
      </c>
      <c r="F455" s="137">
        <v>1</v>
      </c>
      <c r="G455" s="137">
        <v>1</v>
      </c>
      <c r="H455" s="137">
        <v>1</v>
      </c>
      <c r="I455" s="137">
        <v>0</v>
      </c>
      <c r="K455" s="143" t="s">
        <v>761</v>
      </c>
      <c r="L455" s="143" t="s">
        <v>720</v>
      </c>
      <c r="M455" s="143" t="s">
        <v>843</v>
      </c>
      <c r="N455" s="143">
        <v>439</v>
      </c>
      <c r="O455" s="137">
        <v>0.39866669999999998</v>
      </c>
      <c r="P455" s="137">
        <v>0.6</v>
      </c>
      <c r="Q455" s="137">
        <v>0.99866670000000002</v>
      </c>
      <c r="R455" s="137" t="s">
        <v>2487</v>
      </c>
      <c r="S455" s="137">
        <v>0.54761899999999997</v>
      </c>
      <c r="T455" s="78" t="s">
        <v>2486</v>
      </c>
      <c r="U455" s="78" t="s">
        <v>2486</v>
      </c>
      <c r="W455" s="143" t="s">
        <v>761</v>
      </c>
      <c r="X455" s="143" t="s">
        <v>720</v>
      </c>
      <c r="Y455" s="143" t="s">
        <v>843</v>
      </c>
      <c r="Z455" s="143">
        <v>439</v>
      </c>
      <c r="AA455" s="143">
        <v>8</v>
      </c>
      <c r="AB455" s="137">
        <v>0</v>
      </c>
      <c r="AC455" s="137">
        <v>0</v>
      </c>
      <c r="AD455" s="137">
        <v>0</v>
      </c>
      <c r="AG455" s="143" t="s">
        <v>761</v>
      </c>
      <c r="AH455" s="143" t="s">
        <v>720</v>
      </c>
      <c r="AI455" s="143" t="s">
        <v>843</v>
      </c>
      <c r="AJ455" s="143">
        <v>439</v>
      </c>
      <c r="AK455" s="143">
        <v>8</v>
      </c>
      <c r="AL455" s="156">
        <v>2.5</v>
      </c>
      <c r="AM455" s="156">
        <v>3.625</v>
      </c>
      <c r="AN455" s="156">
        <v>2.875</v>
      </c>
      <c r="AO455" s="156">
        <v>2.75</v>
      </c>
      <c r="AP455" s="156">
        <v>2</v>
      </c>
      <c r="AQ455" s="156">
        <v>3</v>
      </c>
      <c r="AR455" s="156">
        <v>3.75</v>
      </c>
      <c r="AS455" s="169">
        <v>2.9821430000000002</v>
      </c>
    </row>
    <row r="456" spans="1:45" x14ac:dyDescent="0.35">
      <c r="A456" s="143" t="s">
        <v>761</v>
      </c>
      <c r="B456" s="143" t="s">
        <v>720</v>
      </c>
      <c r="C456" s="143" t="s">
        <v>841</v>
      </c>
      <c r="D456" s="143">
        <v>1161</v>
      </c>
      <c r="E456" s="143">
        <v>3</v>
      </c>
      <c r="F456" s="137">
        <v>1</v>
      </c>
      <c r="G456" s="137">
        <v>1</v>
      </c>
      <c r="H456" s="137">
        <v>1</v>
      </c>
      <c r="I456" s="137">
        <v>0</v>
      </c>
      <c r="K456" s="143" t="s">
        <v>761</v>
      </c>
      <c r="L456" s="143" t="s">
        <v>720</v>
      </c>
      <c r="M456" s="143" t="s">
        <v>841</v>
      </c>
      <c r="N456" s="143">
        <v>1161</v>
      </c>
      <c r="O456" s="137">
        <v>0.4</v>
      </c>
      <c r="P456" s="137">
        <v>0.6</v>
      </c>
      <c r="Q456" s="137">
        <v>1</v>
      </c>
      <c r="R456" s="137" t="s">
        <v>2486</v>
      </c>
      <c r="S456" s="137">
        <v>0.53846159999999998</v>
      </c>
      <c r="T456" s="78" t="s">
        <v>2486</v>
      </c>
      <c r="U456" s="78" t="s">
        <v>2486</v>
      </c>
      <c r="W456" s="143" t="s">
        <v>761</v>
      </c>
      <c r="X456" s="143" t="s">
        <v>720</v>
      </c>
      <c r="Y456" s="143" t="s">
        <v>841</v>
      </c>
      <c r="Z456" s="143">
        <v>1161</v>
      </c>
      <c r="AA456" s="143">
        <v>0</v>
      </c>
      <c r="AD456" s="137">
        <v>0</v>
      </c>
      <c r="AG456" s="143" t="s">
        <v>761</v>
      </c>
      <c r="AH456" s="143" t="s">
        <v>720</v>
      </c>
      <c r="AI456" s="143" t="s">
        <v>841</v>
      </c>
      <c r="AJ456" s="143">
        <v>1161</v>
      </c>
      <c r="AK456" s="143">
        <v>3</v>
      </c>
      <c r="AL456" s="156">
        <v>2.3333332538604701</v>
      </c>
      <c r="AM456" s="156">
        <v>3.3333332538604701</v>
      </c>
      <c r="AN456" s="156">
        <v>3.3333332538604701</v>
      </c>
      <c r="AO456" s="156">
        <v>2.6666667461395299</v>
      </c>
      <c r="AP456" s="156">
        <v>3.3333332538604701</v>
      </c>
      <c r="AQ456" s="156">
        <v>1.6666666269302399</v>
      </c>
      <c r="AR456" s="156">
        <v>3</v>
      </c>
      <c r="AS456" s="169">
        <v>2.8571430000000002</v>
      </c>
    </row>
    <row r="457" spans="1:45" x14ac:dyDescent="0.35">
      <c r="A457" s="143" t="s">
        <v>761</v>
      </c>
      <c r="B457" s="143" t="s">
        <v>720</v>
      </c>
      <c r="C457" s="143" t="s">
        <v>842</v>
      </c>
      <c r="D457" s="143">
        <v>1685</v>
      </c>
      <c r="E457" s="143">
        <v>2</v>
      </c>
      <c r="F457" s="137">
        <v>1</v>
      </c>
      <c r="G457" s="137">
        <v>1</v>
      </c>
      <c r="H457" s="137">
        <v>1</v>
      </c>
      <c r="I457" s="137">
        <v>0</v>
      </c>
      <c r="K457" s="143" t="s">
        <v>761</v>
      </c>
      <c r="L457" s="143" t="s">
        <v>720</v>
      </c>
      <c r="M457" s="143" t="s">
        <v>842</v>
      </c>
      <c r="N457" s="143">
        <v>1685</v>
      </c>
      <c r="O457" s="137">
        <v>0.4</v>
      </c>
      <c r="P457" s="137">
        <v>0.6</v>
      </c>
      <c r="Q457" s="137">
        <v>1</v>
      </c>
      <c r="R457" s="137" t="s">
        <v>2486</v>
      </c>
      <c r="S457" s="137">
        <v>0.42857139999999999</v>
      </c>
      <c r="T457" s="78" t="s">
        <v>2486</v>
      </c>
      <c r="U457" s="78" t="s">
        <v>2486</v>
      </c>
      <c r="W457" s="143" t="s">
        <v>761</v>
      </c>
      <c r="X457" s="143" t="s">
        <v>720</v>
      </c>
      <c r="Y457" s="143" t="s">
        <v>842</v>
      </c>
      <c r="Z457" s="143">
        <v>1685</v>
      </c>
      <c r="AA457" s="143">
        <v>0</v>
      </c>
      <c r="AD457" s="137">
        <v>0</v>
      </c>
      <c r="AE457" s="137">
        <v>0.28571429999999998</v>
      </c>
      <c r="AG457" s="143" t="s">
        <v>761</v>
      </c>
      <c r="AH457" s="143" t="s">
        <v>720</v>
      </c>
      <c r="AI457" s="143" t="s">
        <v>842</v>
      </c>
      <c r="AJ457" s="143">
        <v>1685</v>
      </c>
      <c r="AK457" s="143">
        <v>2</v>
      </c>
      <c r="AL457" s="156">
        <v>2.5</v>
      </c>
      <c r="AM457" s="156">
        <v>3</v>
      </c>
      <c r="AN457" s="156">
        <v>3</v>
      </c>
      <c r="AO457" s="156">
        <v>3</v>
      </c>
      <c r="AP457" s="156">
        <v>2.5</v>
      </c>
      <c r="AQ457" s="156">
        <v>2</v>
      </c>
      <c r="AR457" s="156">
        <v>3</v>
      </c>
      <c r="AS457" s="169">
        <v>2.714286</v>
      </c>
    </row>
    <row r="458" spans="1:45" x14ac:dyDescent="0.35">
      <c r="A458" s="143" t="s">
        <v>761</v>
      </c>
      <c r="B458" s="143" t="s">
        <v>720</v>
      </c>
      <c r="C458" s="143" t="s">
        <v>842</v>
      </c>
      <c r="D458" s="143">
        <v>1697</v>
      </c>
      <c r="E458" s="143">
        <v>2</v>
      </c>
      <c r="F458" s="137">
        <v>1</v>
      </c>
      <c r="G458" s="137">
        <v>1</v>
      </c>
      <c r="H458" s="137">
        <v>1</v>
      </c>
      <c r="I458" s="137">
        <v>0</v>
      </c>
      <c r="K458" s="143" t="s">
        <v>761</v>
      </c>
      <c r="L458" s="143" t="s">
        <v>720</v>
      </c>
      <c r="M458" s="143" t="s">
        <v>842</v>
      </c>
      <c r="N458" s="143">
        <v>1697</v>
      </c>
      <c r="O458" s="137">
        <v>0.4</v>
      </c>
      <c r="P458" s="137">
        <v>0.6</v>
      </c>
      <c r="Q458" s="137">
        <v>1</v>
      </c>
      <c r="R458" s="137" t="s">
        <v>2486</v>
      </c>
      <c r="S458" s="137">
        <v>0.4</v>
      </c>
      <c r="T458" s="78" t="s">
        <v>2486</v>
      </c>
      <c r="U458" s="78" t="s">
        <v>2486</v>
      </c>
      <c r="W458" s="143" t="s">
        <v>761</v>
      </c>
      <c r="X458" s="143" t="s">
        <v>720</v>
      </c>
      <c r="Y458" s="143" t="s">
        <v>842</v>
      </c>
      <c r="Z458" s="143">
        <v>1697</v>
      </c>
      <c r="AA458" s="143">
        <v>0</v>
      </c>
      <c r="AD458" s="137">
        <v>0</v>
      </c>
      <c r="AE458" s="137">
        <v>0.4</v>
      </c>
      <c r="AG458" s="143" t="s">
        <v>761</v>
      </c>
      <c r="AH458" s="143" t="s">
        <v>720</v>
      </c>
      <c r="AI458" s="143" t="s">
        <v>842</v>
      </c>
      <c r="AJ458" s="143">
        <v>1697</v>
      </c>
      <c r="AK458" s="143">
        <v>2</v>
      </c>
      <c r="AL458" s="156">
        <v>2</v>
      </c>
      <c r="AM458" s="156">
        <v>3</v>
      </c>
      <c r="AN458" s="156">
        <v>3</v>
      </c>
      <c r="AO458" s="156">
        <v>3</v>
      </c>
      <c r="AP458" s="156">
        <v>3</v>
      </c>
      <c r="AQ458" s="156">
        <v>2.5</v>
      </c>
      <c r="AR458" s="156">
        <v>3</v>
      </c>
      <c r="AS458" s="169">
        <v>2.9285709999999998</v>
      </c>
    </row>
    <row r="459" spans="1:45" x14ac:dyDescent="0.35">
      <c r="A459" s="143" t="s">
        <v>761</v>
      </c>
      <c r="B459" s="143" t="s">
        <v>720</v>
      </c>
      <c r="C459" s="143" t="s">
        <v>842</v>
      </c>
      <c r="D459" s="143">
        <v>1707</v>
      </c>
      <c r="E459" s="143">
        <v>2</v>
      </c>
      <c r="F459" s="137">
        <v>1</v>
      </c>
      <c r="G459" s="137">
        <v>1</v>
      </c>
      <c r="H459" s="137">
        <v>1</v>
      </c>
      <c r="I459" s="137">
        <v>0</v>
      </c>
      <c r="K459" s="143" t="s">
        <v>761</v>
      </c>
      <c r="L459" s="143" t="s">
        <v>720</v>
      </c>
      <c r="M459" s="143" t="s">
        <v>842</v>
      </c>
      <c r="N459" s="143">
        <v>1707</v>
      </c>
      <c r="O459" s="137">
        <v>0.3973333</v>
      </c>
      <c r="P459" s="137">
        <v>0.6</v>
      </c>
      <c r="Q459" s="137">
        <v>0.99733329999999998</v>
      </c>
      <c r="R459" s="137" t="s">
        <v>2487</v>
      </c>
      <c r="S459" s="137">
        <v>0.5</v>
      </c>
      <c r="T459" s="78" t="s">
        <v>2486</v>
      </c>
      <c r="U459" s="78" t="s">
        <v>2486</v>
      </c>
      <c r="W459" s="143" t="s">
        <v>761</v>
      </c>
      <c r="X459" s="143" t="s">
        <v>720</v>
      </c>
      <c r="Y459" s="143" t="s">
        <v>842</v>
      </c>
      <c r="Z459" s="143">
        <v>1707</v>
      </c>
      <c r="AA459" s="143">
        <v>0</v>
      </c>
      <c r="AD459" s="137">
        <v>0</v>
      </c>
      <c r="AE459" s="137">
        <v>0.3333333</v>
      </c>
      <c r="AG459" s="143" t="s">
        <v>761</v>
      </c>
      <c r="AH459" s="143" t="s">
        <v>720</v>
      </c>
      <c r="AI459" s="143" t="s">
        <v>842</v>
      </c>
      <c r="AJ459" s="143">
        <v>1707</v>
      </c>
      <c r="AK459" s="143">
        <v>2</v>
      </c>
      <c r="AL459" s="156">
        <v>2</v>
      </c>
      <c r="AM459" s="156">
        <v>3</v>
      </c>
      <c r="AN459" s="156">
        <v>3</v>
      </c>
      <c r="AO459" s="156">
        <v>2</v>
      </c>
      <c r="AP459" s="156">
        <v>3</v>
      </c>
      <c r="AQ459" s="156">
        <v>2</v>
      </c>
      <c r="AR459" s="156">
        <v>3</v>
      </c>
      <c r="AS459" s="169">
        <v>2.714286</v>
      </c>
    </row>
    <row r="460" spans="1:45" x14ac:dyDescent="0.35">
      <c r="A460" s="143" t="s">
        <v>761</v>
      </c>
      <c r="B460" s="143" t="s">
        <v>720</v>
      </c>
      <c r="C460" s="143" t="s">
        <v>842</v>
      </c>
      <c r="D460" s="143">
        <v>1708</v>
      </c>
      <c r="E460" s="143">
        <v>2</v>
      </c>
      <c r="F460" s="137">
        <v>1</v>
      </c>
      <c r="G460" s="137">
        <v>1</v>
      </c>
      <c r="H460" s="137">
        <v>1</v>
      </c>
      <c r="I460" s="137">
        <v>0</v>
      </c>
      <c r="K460" s="143" t="s">
        <v>761</v>
      </c>
      <c r="L460" s="143" t="s">
        <v>720</v>
      </c>
      <c r="M460" s="143" t="s">
        <v>842</v>
      </c>
      <c r="N460" s="143">
        <v>1708</v>
      </c>
      <c r="O460" s="137">
        <v>0.4</v>
      </c>
      <c r="P460" s="137">
        <v>0.6</v>
      </c>
      <c r="Q460" s="137">
        <v>1</v>
      </c>
      <c r="R460" s="137" t="s">
        <v>2486</v>
      </c>
      <c r="S460" s="137">
        <v>0.5</v>
      </c>
      <c r="T460" s="78" t="s">
        <v>2486</v>
      </c>
      <c r="U460" s="78" t="s">
        <v>2487</v>
      </c>
      <c r="W460" s="143" t="s">
        <v>761</v>
      </c>
      <c r="X460" s="143" t="s">
        <v>720</v>
      </c>
      <c r="Y460" s="143" t="s">
        <v>842</v>
      </c>
      <c r="Z460" s="143">
        <v>1708</v>
      </c>
      <c r="AA460" s="143">
        <v>0</v>
      </c>
      <c r="AD460" s="137">
        <v>0</v>
      </c>
      <c r="AG460" s="143" t="s">
        <v>761</v>
      </c>
      <c r="AH460" s="143" t="s">
        <v>720</v>
      </c>
      <c r="AI460" s="143" t="s">
        <v>842</v>
      </c>
      <c r="AJ460" s="143">
        <v>1708</v>
      </c>
      <c r="AK460" s="143">
        <v>2</v>
      </c>
      <c r="AL460" s="156">
        <v>2</v>
      </c>
      <c r="AM460" s="156">
        <v>3</v>
      </c>
      <c r="AN460" s="156">
        <v>3</v>
      </c>
      <c r="AO460" s="156">
        <v>2</v>
      </c>
      <c r="AP460" s="156">
        <v>4</v>
      </c>
      <c r="AQ460" s="156">
        <v>3</v>
      </c>
      <c r="AR460" s="156">
        <v>3</v>
      </c>
      <c r="AS460" s="169">
        <v>3</v>
      </c>
    </row>
    <row r="461" spans="1:45" x14ac:dyDescent="0.35">
      <c r="A461" s="143" t="s">
        <v>761</v>
      </c>
      <c r="B461" s="143" t="s">
        <v>720</v>
      </c>
      <c r="C461" s="143" t="s">
        <v>663</v>
      </c>
      <c r="D461" s="143">
        <v>2387</v>
      </c>
      <c r="E461" s="143">
        <v>2</v>
      </c>
      <c r="F461" s="137">
        <v>1</v>
      </c>
      <c r="G461" s="137">
        <v>1</v>
      </c>
      <c r="H461" s="137">
        <v>1</v>
      </c>
      <c r="I461" s="137">
        <v>0</v>
      </c>
      <c r="K461" s="143" t="s">
        <v>761</v>
      </c>
      <c r="L461" s="143" t="s">
        <v>720</v>
      </c>
      <c r="M461" s="143" t="s">
        <v>663</v>
      </c>
      <c r="N461" s="143">
        <v>2387</v>
      </c>
      <c r="O461" s="137">
        <v>0.4</v>
      </c>
      <c r="P461" s="137">
        <v>0.6</v>
      </c>
      <c r="Q461" s="137">
        <v>1</v>
      </c>
      <c r="R461" s="137" t="s">
        <v>2486</v>
      </c>
      <c r="S461" s="137">
        <v>0.75</v>
      </c>
      <c r="T461" s="137" t="s">
        <v>2486</v>
      </c>
      <c r="U461" s="137" t="s">
        <v>2838</v>
      </c>
      <c r="W461" s="143" t="s">
        <v>761</v>
      </c>
      <c r="X461" s="143" t="s">
        <v>720</v>
      </c>
      <c r="Y461" s="143" t="s">
        <v>663</v>
      </c>
      <c r="Z461" s="143">
        <v>2387</v>
      </c>
      <c r="AA461" s="143">
        <v>0</v>
      </c>
      <c r="AD461" s="137">
        <v>0</v>
      </c>
      <c r="AE461" s="137">
        <v>0.5</v>
      </c>
      <c r="AG461" s="143" t="s">
        <v>761</v>
      </c>
      <c r="AH461" s="143" t="s">
        <v>720</v>
      </c>
      <c r="AI461" s="143" t="s">
        <v>663</v>
      </c>
      <c r="AJ461" s="143">
        <v>2387</v>
      </c>
      <c r="AK461" s="143">
        <v>2</v>
      </c>
      <c r="AL461" s="156">
        <v>1.5</v>
      </c>
      <c r="AM461" s="156">
        <v>3.5</v>
      </c>
      <c r="AN461" s="156">
        <v>3.5</v>
      </c>
      <c r="AO461" s="156">
        <v>4</v>
      </c>
      <c r="AP461" s="156">
        <v>1</v>
      </c>
      <c r="AQ461" s="156">
        <v>3</v>
      </c>
      <c r="AR461" s="156">
        <v>3.5</v>
      </c>
      <c r="AS461" s="169">
        <v>3.1428569999999998</v>
      </c>
    </row>
    <row r="462" spans="1:45" x14ac:dyDescent="0.35">
      <c r="A462" s="143" t="s">
        <v>761</v>
      </c>
      <c r="B462" s="143" t="s">
        <v>720</v>
      </c>
      <c r="C462" s="143" t="s">
        <v>663</v>
      </c>
      <c r="D462" s="143">
        <v>2533</v>
      </c>
      <c r="E462" s="143">
        <v>2</v>
      </c>
      <c r="F462" s="137">
        <v>1</v>
      </c>
      <c r="G462" s="137">
        <v>1</v>
      </c>
      <c r="H462" s="137">
        <v>1</v>
      </c>
      <c r="I462" s="137">
        <v>0</v>
      </c>
      <c r="K462" s="143" t="s">
        <v>761</v>
      </c>
      <c r="L462" s="143" t="s">
        <v>720</v>
      </c>
      <c r="M462" s="143" t="s">
        <v>663</v>
      </c>
      <c r="N462" s="143">
        <v>2533</v>
      </c>
      <c r="O462" s="137">
        <v>0.3973333</v>
      </c>
      <c r="P462" s="137">
        <v>0.6</v>
      </c>
      <c r="Q462" s="137">
        <v>0.99733329999999998</v>
      </c>
      <c r="R462" s="137" t="s">
        <v>2487</v>
      </c>
      <c r="S462" s="137">
        <v>0.5</v>
      </c>
      <c r="T462" s="137" t="s">
        <v>2486</v>
      </c>
      <c r="U462" s="137" t="s">
        <v>2838</v>
      </c>
      <c r="W462" s="143" t="s">
        <v>761</v>
      </c>
      <c r="X462" s="143" t="s">
        <v>720</v>
      </c>
      <c r="Y462" s="143" t="s">
        <v>663</v>
      </c>
      <c r="Z462" s="143">
        <v>2533</v>
      </c>
      <c r="AA462" s="143">
        <v>0</v>
      </c>
      <c r="AD462" s="137">
        <v>0</v>
      </c>
      <c r="AE462" s="137">
        <v>0.5</v>
      </c>
      <c r="AG462" s="143" t="s">
        <v>761</v>
      </c>
      <c r="AH462" s="143" t="s">
        <v>720</v>
      </c>
      <c r="AI462" s="143" t="s">
        <v>663</v>
      </c>
      <c r="AJ462" s="143">
        <v>2533</v>
      </c>
      <c r="AK462" s="143">
        <v>2</v>
      </c>
      <c r="AL462" s="156">
        <v>2.5</v>
      </c>
      <c r="AM462" s="156">
        <v>3</v>
      </c>
      <c r="AN462" s="156">
        <v>3</v>
      </c>
      <c r="AO462" s="156">
        <v>3</v>
      </c>
      <c r="AP462" s="156">
        <v>2</v>
      </c>
      <c r="AQ462" s="156">
        <v>3</v>
      </c>
      <c r="AR462" s="156">
        <v>3</v>
      </c>
      <c r="AS462" s="169">
        <v>2.785714</v>
      </c>
    </row>
    <row r="463" spans="1:45" x14ac:dyDescent="0.35">
      <c r="A463" s="143" t="s">
        <v>761</v>
      </c>
      <c r="B463" s="143" t="s">
        <v>720</v>
      </c>
      <c r="C463" s="143" t="s">
        <v>663</v>
      </c>
      <c r="D463" s="143">
        <v>4218</v>
      </c>
      <c r="E463" s="143">
        <v>2</v>
      </c>
      <c r="F463" s="137">
        <v>1</v>
      </c>
      <c r="G463" s="137">
        <v>1</v>
      </c>
      <c r="H463" s="137">
        <v>1</v>
      </c>
      <c r="I463" s="137">
        <v>0</v>
      </c>
      <c r="K463" s="143" t="s">
        <v>761</v>
      </c>
      <c r="L463" s="143" t="s">
        <v>720</v>
      </c>
      <c r="M463" s="143" t="s">
        <v>663</v>
      </c>
      <c r="N463" s="143">
        <v>4218</v>
      </c>
      <c r="O463" s="137">
        <v>0.4</v>
      </c>
      <c r="P463" s="137">
        <v>0.6</v>
      </c>
      <c r="Q463" s="137">
        <v>1</v>
      </c>
      <c r="R463" s="137" t="s">
        <v>2486</v>
      </c>
      <c r="S463" s="137">
        <v>0.6</v>
      </c>
      <c r="T463" s="137" t="s">
        <v>2486</v>
      </c>
      <c r="U463" s="137" t="s">
        <v>2838</v>
      </c>
      <c r="W463" s="143" t="s">
        <v>761</v>
      </c>
      <c r="X463" s="143" t="s">
        <v>720</v>
      </c>
      <c r="Y463" s="143" t="s">
        <v>663</v>
      </c>
      <c r="Z463" s="143">
        <v>4218</v>
      </c>
      <c r="AA463" s="143">
        <v>0</v>
      </c>
      <c r="AD463" s="137">
        <v>0</v>
      </c>
      <c r="AG463" s="143" t="s">
        <v>761</v>
      </c>
      <c r="AH463" s="143" t="s">
        <v>720</v>
      </c>
      <c r="AI463" s="143" t="s">
        <v>663</v>
      </c>
      <c r="AJ463" s="143">
        <v>4218</v>
      </c>
      <c r="AK463" s="143">
        <v>2</v>
      </c>
      <c r="AL463" s="156">
        <v>2.5</v>
      </c>
      <c r="AM463" s="156">
        <v>4</v>
      </c>
      <c r="AN463" s="156">
        <v>3</v>
      </c>
      <c r="AO463" s="156">
        <v>3</v>
      </c>
      <c r="AP463" s="156">
        <v>1</v>
      </c>
      <c r="AQ463" s="156">
        <v>3</v>
      </c>
      <c r="AR463" s="156">
        <v>3.5</v>
      </c>
      <c r="AS463" s="169">
        <v>2.8571430000000002</v>
      </c>
    </row>
    <row r="464" spans="1:45" x14ac:dyDescent="0.35">
      <c r="A464" s="143" t="s">
        <v>761</v>
      </c>
      <c r="B464" s="143" t="s">
        <v>720</v>
      </c>
      <c r="C464" s="143" t="s">
        <v>663</v>
      </c>
      <c r="D464" s="143">
        <v>4222</v>
      </c>
      <c r="E464" s="143">
        <v>2</v>
      </c>
      <c r="F464" s="137">
        <v>1</v>
      </c>
      <c r="G464" s="137">
        <v>1</v>
      </c>
      <c r="H464" s="137">
        <v>1</v>
      </c>
      <c r="I464" s="137">
        <v>0</v>
      </c>
      <c r="K464" s="143" t="s">
        <v>761</v>
      </c>
      <c r="L464" s="143" t="s">
        <v>720</v>
      </c>
      <c r="M464" s="143" t="s">
        <v>663</v>
      </c>
      <c r="N464" s="143">
        <v>4222</v>
      </c>
      <c r="O464" s="137">
        <v>0.4</v>
      </c>
      <c r="P464" s="137">
        <v>0.6</v>
      </c>
      <c r="Q464" s="137">
        <v>1</v>
      </c>
      <c r="R464" s="137" t="s">
        <v>2486</v>
      </c>
      <c r="S464" s="137">
        <v>0.66666669999999995</v>
      </c>
      <c r="T464" s="137" t="s">
        <v>2486</v>
      </c>
      <c r="U464" s="137" t="s">
        <v>2838</v>
      </c>
      <c r="W464" s="143" t="s">
        <v>761</v>
      </c>
      <c r="X464" s="143" t="s">
        <v>720</v>
      </c>
      <c r="Y464" s="143" t="s">
        <v>663</v>
      </c>
      <c r="Z464" s="143">
        <v>4222</v>
      </c>
      <c r="AA464" s="143">
        <v>0</v>
      </c>
      <c r="AD464" s="137">
        <v>0</v>
      </c>
      <c r="AG464" s="143" t="s">
        <v>761</v>
      </c>
      <c r="AH464" s="143" t="s">
        <v>720</v>
      </c>
      <c r="AI464" s="143" t="s">
        <v>663</v>
      </c>
      <c r="AJ464" s="143">
        <v>4222</v>
      </c>
      <c r="AK464" s="143">
        <v>2</v>
      </c>
      <c r="AL464" s="156">
        <v>2</v>
      </c>
      <c r="AM464" s="156">
        <v>3</v>
      </c>
      <c r="AN464" s="156">
        <v>3</v>
      </c>
      <c r="AO464" s="156">
        <v>3</v>
      </c>
      <c r="AP464" s="156">
        <v>3.5</v>
      </c>
      <c r="AQ464" s="156">
        <v>2.5</v>
      </c>
      <c r="AR464" s="156">
        <v>3.5</v>
      </c>
      <c r="AS464" s="169">
        <v>3.0714290000000002</v>
      </c>
    </row>
    <row r="465" spans="1:45" x14ac:dyDescent="0.35">
      <c r="A465" s="143" t="s">
        <v>762</v>
      </c>
      <c r="B465" s="143" t="s">
        <v>763</v>
      </c>
      <c r="C465" s="143" t="s">
        <v>843</v>
      </c>
      <c r="D465" s="143">
        <v>781</v>
      </c>
      <c r="E465" s="143">
        <v>8</v>
      </c>
      <c r="F465" s="137">
        <v>1</v>
      </c>
      <c r="G465" s="137">
        <v>1</v>
      </c>
      <c r="H465" s="137">
        <v>1</v>
      </c>
      <c r="I465" s="137">
        <v>0</v>
      </c>
      <c r="K465" s="143" t="s">
        <v>762</v>
      </c>
      <c r="L465" s="143" t="s">
        <v>763</v>
      </c>
      <c r="M465" s="143" t="s">
        <v>843</v>
      </c>
      <c r="N465" s="143">
        <v>781</v>
      </c>
      <c r="O465" s="137">
        <v>0.4</v>
      </c>
      <c r="P465" s="137">
        <v>0.6</v>
      </c>
      <c r="Q465" s="137">
        <v>1</v>
      </c>
      <c r="R465" s="137" t="s">
        <v>2486</v>
      </c>
      <c r="S465" s="137">
        <v>0.42424240000000002</v>
      </c>
      <c r="T465" s="137" t="s">
        <v>2486</v>
      </c>
      <c r="U465" s="137" t="s">
        <v>2486</v>
      </c>
      <c r="W465" s="143" t="s">
        <v>762</v>
      </c>
      <c r="X465" s="143" t="s">
        <v>763</v>
      </c>
      <c r="Y465" s="143" t="s">
        <v>843</v>
      </c>
      <c r="Z465" s="143">
        <v>781</v>
      </c>
      <c r="AA465" s="143">
        <v>8</v>
      </c>
      <c r="AB465" s="137">
        <v>0</v>
      </c>
      <c r="AC465" s="137">
        <v>0</v>
      </c>
      <c r="AD465" s="137">
        <v>0</v>
      </c>
      <c r="AG465" s="143" t="s">
        <v>762</v>
      </c>
      <c r="AH465" s="143" t="s">
        <v>763</v>
      </c>
      <c r="AI465" s="143" t="s">
        <v>843</v>
      </c>
      <c r="AJ465" s="143">
        <v>781</v>
      </c>
      <c r="AK465" s="143">
        <v>8</v>
      </c>
      <c r="AL465" s="156">
        <v>1.875</v>
      </c>
      <c r="AM465" s="156">
        <v>3.125</v>
      </c>
      <c r="AN465" s="156">
        <v>2.875</v>
      </c>
      <c r="AO465" s="156">
        <v>3.125</v>
      </c>
      <c r="AP465" s="156">
        <v>3.875</v>
      </c>
      <c r="AQ465" s="156">
        <v>3.75</v>
      </c>
      <c r="AR465" s="156">
        <v>3.75</v>
      </c>
      <c r="AS465" s="169">
        <v>3.375</v>
      </c>
    </row>
    <row r="466" spans="1:45" x14ac:dyDescent="0.35">
      <c r="A466" s="143" t="s">
        <v>762</v>
      </c>
      <c r="B466" s="143" t="s">
        <v>763</v>
      </c>
      <c r="C466" s="143" t="s">
        <v>842</v>
      </c>
      <c r="D466" s="143">
        <v>2479</v>
      </c>
      <c r="E466" s="143">
        <v>2</v>
      </c>
      <c r="F466" s="137">
        <v>1</v>
      </c>
      <c r="G466" s="137">
        <v>1</v>
      </c>
      <c r="H466" s="137">
        <v>1</v>
      </c>
      <c r="I466" s="137">
        <v>0</v>
      </c>
      <c r="K466" s="143" t="s">
        <v>762</v>
      </c>
      <c r="L466" s="143" t="s">
        <v>763</v>
      </c>
      <c r="M466" s="143" t="s">
        <v>842</v>
      </c>
      <c r="N466" s="143">
        <v>2479</v>
      </c>
      <c r="O466" s="137">
        <v>0.3973333</v>
      </c>
      <c r="P466" s="137">
        <v>0.6</v>
      </c>
      <c r="Q466" s="137">
        <v>0.99733329999999998</v>
      </c>
      <c r="R466" s="137" t="s">
        <v>2487</v>
      </c>
      <c r="S466" s="137">
        <v>0.57142859999999995</v>
      </c>
      <c r="T466" s="137" t="s">
        <v>2486</v>
      </c>
      <c r="U466" s="137" t="s">
        <v>2486</v>
      </c>
      <c r="W466" s="143" t="s">
        <v>762</v>
      </c>
      <c r="X466" s="143" t="s">
        <v>763</v>
      </c>
      <c r="Y466" s="143" t="s">
        <v>842</v>
      </c>
      <c r="Z466" s="143">
        <v>2479</v>
      </c>
      <c r="AA466" s="143">
        <v>0</v>
      </c>
      <c r="AD466" s="137">
        <v>0</v>
      </c>
      <c r="AE466" s="137">
        <v>0.14285709999999999</v>
      </c>
      <c r="AG466" s="143" t="s">
        <v>762</v>
      </c>
      <c r="AH466" s="143" t="s">
        <v>763</v>
      </c>
      <c r="AI466" s="143" t="s">
        <v>842</v>
      </c>
      <c r="AJ466" s="143">
        <v>2479</v>
      </c>
      <c r="AK466" s="143">
        <v>2</v>
      </c>
      <c r="AL466" s="156">
        <v>1.5</v>
      </c>
      <c r="AM466" s="156">
        <v>4</v>
      </c>
      <c r="AN466" s="156">
        <v>3</v>
      </c>
      <c r="AO466" s="156">
        <v>2</v>
      </c>
      <c r="AP466" s="156">
        <v>3.5</v>
      </c>
      <c r="AQ466" s="156">
        <v>3</v>
      </c>
      <c r="AR466" s="156">
        <v>3.5</v>
      </c>
      <c r="AS466" s="169">
        <v>3.214286</v>
      </c>
    </row>
    <row r="467" spans="1:45" x14ac:dyDescent="0.35">
      <c r="A467" s="143" t="s">
        <v>762</v>
      </c>
      <c r="B467" s="143" t="s">
        <v>763</v>
      </c>
      <c r="C467" s="143" t="s">
        <v>842</v>
      </c>
      <c r="D467" s="143">
        <v>2485</v>
      </c>
      <c r="E467" s="143">
        <v>4</v>
      </c>
      <c r="F467" s="137">
        <v>0.25</v>
      </c>
      <c r="G467" s="137">
        <v>0.25</v>
      </c>
      <c r="H467" s="137">
        <v>0.25</v>
      </c>
      <c r="I467" s="137">
        <v>0</v>
      </c>
      <c r="K467" s="143" t="s">
        <v>762</v>
      </c>
      <c r="L467" s="143" t="s">
        <v>763</v>
      </c>
      <c r="M467" s="143" t="s">
        <v>842</v>
      </c>
      <c r="N467" s="143">
        <v>2485</v>
      </c>
      <c r="O467" s="137">
        <v>0.4</v>
      </c>
      <c r="P467" s="137">
        <v>0.6</v>
      </c>
      <c r="Q467" s="137">
        <v>1</v>
      </c>
      <c r="R467" s="137" t="s">
        <v>2486</v>
      </c>
      <c r="S467" s="137">
        <v>0.5</v>
      </c>
      <c r="T467" s="137" t="s">
        <v>2486</v>
      </c>
      <c r="U467" s="137" t="s">
        <v>2486</v>
      </c>
      <c r="W467" s="143" t="s">
        <v>762</v>
      </c>
      <c r="X467" s="143" t="s">
        <v>763</v>
      </c>
      <c r="Y467" s="143" t="s">
        <v>842</v>
      </c>
      <c r="Z467" s="143">
        <v>2485</v>
      </c>
      <c r="AA467" s="143">
        <v>0</v>
      </c>
      <c r="AD467" s="137">
        <v>0</v>
      </c>
      <c r="AE467" s="137">
        <v>0.1666667</v>
      </c>
      <c r="AG467" s="143" t="s">
        <v>762</v>
      </c>
      <c r="AH467" s="143" t="s">
        <v>763</v>
      </c>
      <c r="AI467" s="143" t="s">
        <v>842</v>
      </c>
      <c r="AJ467" s="143">
        <v>2485</v>
      </c>
      <c r="AK467" s="143">
        <v>4</v>
      </c>
      <c r="AL467" s="156">
        <v>2.25</v>
      </c>
      <c r="AM467" s="156">
        <v>2.75</v>
      </c>
      <c r="AN467" s="156">
        <v>2.5</v>
      </c>
      <c r="AO467" s="156">
        <v>1.5</v>
      </c>
      <c r="AP467" s="156">
        <v>2.75</v>
      </c>
      <c r="AQ467" s="156">
        <v>2.25</v>
      </c>
      <c r="AR467" s="156">
        <v>2.25</v>
      </c>
      <c r="AS467" s="169">
        <v>2.3928569999999998</v>
      </c>
    </row>
    <row r="468" spans="1:45" x14ac:dyDescent="0.35">
      <c r="A468" s="143" t="s">
        <v>762</v>
      </c>
      <c r="B468" s="143" t="s">
        <v>763</v>
      </c>
      <c r="C468" s="143" t="s">
        <v>841</v>
      </c>
      <c r="D468" s="143">
        <v>2684</v>
      </c>
      <c r="E468" s="143">
        <v>3</v>
      </c>
      <c r="F468" s="137">
        <v>0</v>
      </c>
      <c r="G468" s="137">
        <v>0</v>
      </c>
      <c r="H468" s="137">
        <v>0</v>
      </c>
      <c r="I468" s="137">
        <v>0</v>
      </c>
      <c r="K468" s="143" t="s">
        <v>762</v>
      </c>
      <c r="L468" s="143" t="s">
        <v>763</v>
      </c>
      <c r="M468" s="143" t="s">
        <v>841</v>
      </c>
      <c r="N468" s="143">
        <v>2684</v>
      </c>
      <c r="O468" s="137">
        <v>0.4</v>
      </c>
      <c r="P468" s="137">
        <v>0.6</v>
      </c>
      <c r="Q468" s="137">
        <v>1</v>
      </c>
      <c r="R468" s="137" t="s">
        <v>2486</v>
      </c>
      <c r="S468" s="137">
        <v>0.28571429999999998</v>
      </c>
      <c r="T468" s="137" t="s">
        <v>2486</v>
      </c>
      <c r="U468" s="137" t="s">
        <v>2486</v>
      </c>
      <c r="W468" s="143" t="s">
        <v>762</v>
      </c>
      <c r="X468" s="143" t="s">
        <v>763</v>
      </c>
      <c r="Y468" s="143" t="s">
        <v>841</v>
      </c>
      <c r="Z468" s="143">
        <v>2684</v>
      </c>
      <c r="AA468" s="143">
        <v>0</v>
      </c>
      <c r="AD468" s="137">
        <v>0</v>
      </c>
      <c r="AE468" s="137">
        <v>7.1428599999999995E-2</v>
      </c>
      <c r="AG468" s="143" t="s">
        <v>762</v>
      </c>
      <c r="AH468" s="143" t="s">
        <v>763</v>
      </c>
      <c r="AI468" s="143" t="s">
        <v>841</v>
      </c>
      <c r="AJ468" s="143">
        <v>2684</v>
      </c>
      <c r="AK468" s="143">
        <v>3</v>
      </c>
      <c r="AL468" s="156">
        <v>1.6666666269302399</v>
      </c>
      <c r="AM468" s="156">
        <v>3.3333332538604701</v>
      </c>
      <c r="AN468" s="156">
        <v>2.6666667461395299</v>
      </c>
      <c r="AO468" s="156">
        <v>2.6666667461395299</v>
      </c>
      <c r="AP468" s="156">
        <v>2.6666667461395299</v>
      </c>
      <c r="AQ468" s="156">
        <v>2</v>
      </c>
      <c r="AR468" s="156">
        <v>3</v>
      </c>
      <c r="AS468" s="169">
        <v>2.8095240000000001</v>
      </c>
    </row>
    <row r="469" spans="1:45" x14ac:dyDescent="0.35">
      <c r="A469" s="143" t="s">
        <v>762</v>
      </c>
      <c r="B469" s="143" t="s">
        <v>763</v>
      </c>
      <c r="C469" s="143" t="s">
        <v>663</v>
      </c>
      <c r="D469" s="143">
        <v>3450</v>
      </c>
      <c r="E469" s="143">
        <v>2</v>
      </c>
      <c r="F469" s="137">
        <v>0.5</v>
      </c>
      <c r="G469" s="137">
        <v>0.5</v>
      </c>
      <c r="H469" s="137">
        <v>0</v>
      </c>
      <c r="I469" s="137">
        <v>0</v>
      </c>
      <c r="K469" s="143" t="s">
        <v>762</v>
      </c>
      <c r="L469" s="143" t="s">
        <v>763</v>
      </c>
      <c r="M469" s="143" t="s">
        <v>663</v>
      </c>
      <c r="N469" s="143">
        <v>3450</v>
      </c>
      <c r="O469" s="137">
        <v>0.39466669999999998</v>
      </c>
      <c r="P469" s="137">
        <v>0.6</v>
      </c>
      <c r="Q469" s="137">
        <v>0.99466670000000001</v>
      </c>
      <c r="R469" s="137" t="s">
        <v>2487</v>
      </c>
      <c r="S469" s="137">
        <v>0.4</v>
      </c>
      <c r="T469" s="137" t="s">
        <v>2486</v>
      </c>
      <c r="U469" s="137" t="s">
        <v>2838</v>
      </c>
      <c r="W469" s="143" t="s">
        <v>762</v>
      </c>
      <c r="X469" s="143" t="s">
        <v>763</v>
      </c>
      <c r="Y469" s="143" t="s">
        <v>663</v>
      </c>
      <c r="Z469" s="143">
        <v>3450</v>
      </c>
      <c r="AA469" s="143">
        <v>0</v>
      </c>
      <c r="AD469" s="137">
        <v>0</v>
      </c>
      <c r="AE469" s="137">
        <v>0.2</v>
      </c>
      <c r="AG469" s="143" t="s">
        <v>762</v>
      </c>
      <c r="AH469" s="143" t="s">
        <v>763</v>
      </c>
      <c r="AI469" s="143" t="s">
        <v>663</v>
      </c>
      <c r="AJ469" s="143">
        <v>3450</v>
      </c>
      <c r="AK469" s="143">
        <v>2</v>
      </c>
      <c r="AL469" s="156">
        <v>2.5</v>
      </c>
      <c r="AM469" s="156">
        <v>3.5</v>
      </c>
      <c r="AN469" s="156">
        <v>2.5</v>
      </c>
      <c r="AO469" s="156">
        <v>2.5</v>
      </c>
      <c r="AP469" s="156">
        <v>1</v>
      </c>
      <c r="AQ469" s="156">
        <v>1.5</v>
      </c>
      <c r="AR469" s="156">
        <v>2.5</v>
      </c>
      <c r="AS469" s="169">
        <v>2.285714</v>
      </c>
    </row>
    <row r="470" spans="1:45" x14ac:dyDescent="0.35">
      <c r="A470" s="143" t="s">
        <v>762</v>
      </c>
      <c r="B470" s="143" t="s">
        <v>763</v>
      </c>
      <c r="C470" s="143" t="s">
        <v>663</v>
      </c>
      <c r="D470" s="143">
        <v>3490</v>
      </c>
      <c r="E470" s="143">
        <v>2</v>
      </c>
      <c r="F470" s="137">
        <v>1</v>
      </c>
      <c r="G470" s="137">
        <v>1</v>
      </c>
      <c r="H470" s="137">
        <v>1</v>
      </c>
      <c r="I470" s="137">
        <v>0</v>
      </c>
      <c r="K470" s="143" t="s">
        <v>762</v>
      </c>
      <c r="L470" s="143" t="s">
        <v>763</v>
      </c>
      <c r="M470" s="143" t="s">
        <v>663</v>
      </c>
      <c r="N470" s="143">
        <v>3490</v>
      </c>
      <c r="O470" s="137">
        <v>0.4</v>
      </c>
      <c r="P470" s="137">
        <v>0.6</v>
      </c>
      <c r="Q470" s="137">
        <v>1</v>
      </c>
      <c r="R470" s="137" t="s">
        <v>2486</v>
      </c>
      <c r="S470" s="137">
        <v>0.4</v>
      </c>
      <c r="T470" s="137" t="s">
        <v>2486</v>
      </c>
      <c r="U470" s="137" t="s">
        <v>2838</v>
      </c>
      <c r="W470" s="143" t="s">
        <v>762</v>
      </c>
      <c r="X470" s="143" t="s">
        <v>763</v>
      </c>
      <c r="Y470" s="143" t="s">
        <v>663</v>
      </c>
      <c r="Z470" s="143">
        <v>3490</v>
      </c>
      <c r="AA470" s="143">
        <v>0</v>
      </c>
      <c r="AD470" s="137">
        <v>0</v>
      </c>
      <c r="AE470" s="137">
        <v>0.4</v>
      </c>
      <c r="AG470" s="143" t="s">
        <v>762</v>
      </c>
      <c r="AH470" s="143" t="s">
        <v>763</v>
      </c>
      <c r="AI470" s="143" t="s">
        <v>663</v>
      </c>
      <c r="AJ470" s="143">
        <v>3490</v>
      </c>
      <c r="AK470" s="143">
        <v>2</v>
      </c>
      <c r="AL470" s="156">
        <v>2</v>
      </c>
      <c r="AM470" s="156">
        <v>3</v>
      </c>
      <c r="AN470" s="156">
        <v>3</v>
      </c>
      <c r="AO470" s="156">
        <v>3</v>
      </c>
      <c r="AP470" s="156">
        <v>2.5</v>
      </c>
      <c r="AQ470" s="156">
        <v>2</v>
      </c>
      <c r="AR470" s="156">
        <v>3.5</v>
      </c>
      <c r="AS470" s="169">
        <v>2.8571430000000002</v>
      </c>
    </row>
    <row r="471" spans="1:45" x14ac:dyDescent="0.35">
      <c r="A471" s="143" t="s">
        <v>762</v>
      </c>
      <c r="B471" s="143" t="s">
        <v>763</v>
      </c>
      <c r="C471" s="143" t="s">
        <v>663</v>
      </c>
      <c r="D471" s="143">
        <v>3858</v>
      </c>
      <c r="E471" s="143">
        <v>2</v>
      </c>
      <c r="F471" s="137">
        <v>1</v>
      </c>
      <c r="G471" s="137">
        <v>1</v>
      </c>
      <c r="H471" s="137">
        <v>1</v>
      </c>
      <c r="I471" s="137">
        <v>0</v>
      </c>
      <c r="K471" s="143" t="s">
        <v>762</v>
      </c>
      <c r="L471" s="143" t="s">
        <v>763</v>
      </c>
      <c r="M471" s="143" t="s">
        <v>663</v>
      </c>
      <c r="N471" s="143">
        <v>3858</v>
      </c>
      <c r="O471" s="137">
        <v>0.4</v>
      </c>
      <c r="P471" s="137">
        <v>0.6</v>
      </c>
      <c r="Q471" s="137">
        <v>1</v>
      </c>
      <c r="R471" s="137" t="s">
        <v>2486</v>
      </c>
      <c r="S471" s="137">
        <v>0.4</v>
      </c>
      <c r="T471" s="137" t="s">
        <v>2486</v>
      </c>
      <c r="U471" s="137" t="s">
        <v>2838</v>
      </c>
      <c r="W471" s="143" t="s">
        <v>762</v>
      </c>
      <c r="X471" s="143" t="s">
        <v>763</v>
      </c>
      <c r="Y471" s="143" t="s">
        <v>663</v>
      </c>
      <c r="Z471" s="143">
        <v>3858</v>
      </c>
      <c r="AA471" s="143">
        <v>0</v>
      </c>
      <c r="AD471" s="137">
        <v>0</v>
      </c>
      <c r="AG471" s="143" t="s">
        <v>762</v>
      </c>
      <c r="AH471" s="143" t="s">
        <v>763</v>
      </c>
      <c r="AI471" s="143" t="s">
        <v>663</v>
      </c>
      <c r="AJ471" s="143">
        <v>3858</v>
      </c>
      <c r="AK471" s="143">
        <v>2</v>
      </c>
      <c r="AL471" s="156">
        <v>1.5</v>
      </c>
      <c r="AM471" s="156">
        <v>3.5</v>
      </c>
      <c r="AN471" s="156">
        <v>2.5</v>
      </c>
      <c r="AO471" s="156">
        <v>1</v>
      </c>
      <c r="AP471" s="156">
        <v>1</v>
      </c>
      <c r="AQ471" s="156">
        <v>3.5</v>
      </c>
      <c r="AR471" s="156">
        <v>3</v>
      </c>
      <c r="AS471" s="169">
        <v>2.5714290000000002</v>
      </c>
    </row>
    <row r="472" spans="1:45" x14ac:dyDescent="0.35">
      <c r="A472" s="143" t="s">
        <v>762</v>
      </c>
      <c r="B472" s="143" t="s">
        <v>763</v>
      </c>
      <c r="C472" s="143" t="s">
        <v>663</v>
      </c>
      <c r="D472" s="143">
        <v>3949</v>
      </c>
      <c r="E472" s="143">
        <v>2</v>
      </c>
      <c r="F472" s="137">
        <v>1</v>
      </c>
      <c r="G472" s="137">
        <v>1</v>
      </c>
      <c r="H472" s="137">
        <v>1</v>
      </c>
      <c r="I472" s="137">
        <v>0</v>
      </c>
      <c r="K472" s="143" t="s">
        <v>762</v>
      </c>
      <c r="L472" s="143" t="s">
        <v>763</v>
      </c>
      <c r="M472" s="143" t="s">
        <v>663</v>
      </c>
      <c r="N472" s="143">
        <v>3949</v>
      </c>
      <c r="O472" s="137">
        <v>0.38933329999999999</v>
      </c>
      <c r="P472" s="137">
        <v>0.6</v>
      </c>
      <c r="Q472" s="137">
        <v>0.98933340000000003</v>
      </c>
      <c r="R472" s="137" t="s">
        <v>2487</v>
      </c>
      <c r="S472" s="137">
        <v>0.4</v>
      </c>
      <c r="T472" s="137" t="s">
        <v>2486</v>
      </c>
      <c r="U472" s="137" t="s">
        <v>2838</v>
      </c>
      <c r="W472" s="143" t="s">
        <v>762</v>
      </c>
      <c r="X472" s="143" t="s">
        <v>763</v>
      </c>
      <c r="Y472" s="143" t="s">
        <v>663</v>
      </c>
      <c r="Z472" s="143">
        <v>3949</v>
      </c>
      <c r="AA472" s="143">
        <v>0</v>
      </c>
      <c r="AD472" s="137">
        <v>0</v>
      </c>
      <c r="AG472" s="143" t="s">
        <v>762</v>
      </c>
      <c r="AH472" s="143" t="s">
        <v>763</v>
      </c>
      <c r="AI472" s="143" t="s">
        <v>663</v>
      </c>
      <c r="AJ472" s="143">
        <v>3949</v>
      </c>
      <c r="AK472" s="143">
        <v>2</v>
      </c>
      <c r="AL472" s="156">
        <v>1</v>
      </c>
      <c r="AM472" s="156">
        <v>3</v>
      </c>
      <c r="AN472" s="156">
        <v>3</v>
      </c>
      <c r="AO472" s="156">
        <v>1</v>
      </c>
      <c r="AP472" s="156">
        <v>1</v>
      </c>
      <c r="AQ472" s="156">
        <v>3.5</v>
      </c>
      <c r="AR472" s="156">
        <v>3</v>
      </c>
      <c r="AS472" s="169">
        <v>2.6428569999999998</v>
      </c>
    </row>
    <row r="473" spans="1:45" x14ac:dyDescent="0.35">
      <c r="A473" s="143" t="s">
        <v>762</v>
      </c>
      <c r="B473" s="143" t="s">
        <v>763</v>
      </c>
      <c r="C473" s="143" t="s">
        <v>842</v>
      </c>
      <c r="D473" s="143">
        <v>4101</v>
      </c>
      <c r="E473" s="143">
        <v>2</v>
      </c>
      <c r="F473" s="137">
        <v>1</v>
      </c>
      <c r="G473" s="137">
        <v>1</v>
      </c>
      <c r="H473" s="137">
        <v>1</v>
      </c>
      <c r="I473" s="137">
        <v>0</v>
      </c>
      <c r="K473" s="143" t="s">
        <v>762</v>
      </c>
      <c r="L473" s="143" t="s">
        <v>763</v>
      </c>
      <c r="M473" s="143" t="s">
        <v>842</v>
      </c>
      <c r="N473" s="143">
        <v>4101</v>
      </c>
      <c r="O473" s="137">
        <v>0.39200000000000002</v>
      </c>
      <c r="P473" s="137">
        <v>0.6</v>
      </c>
      <c r="Q473" s="137">
        <v>0.99199999999999999</v>
      </c>
      <c r="R473" s="137" t="s">
        <v>2487</v>
      </c>
      <c r="S473" s="137">
        <v>0.57142859999999995</v>
      </c>
      <c r="T473" s="137" t="s">
        <v>2486</v>
      </c>
      <c r="U473" s="137" t="s">
        <v>2486</v>
      </c>
      <c r="W473" s="143" t="s">
        <v>762</v>
      </c>
      <c r="X473" s="143" t="s">
        <v>763</v>
      </c>
      <c r="Y473" s="143" t="s">
        <v>842</v>
      </c>
      <c r="Z473" s="143">
        <v>4101</v>
      </c>
      <c r="AA473" s="143">
        <v>0</v>
      </c>
      <c r="AD473" s="137">
        <v>0</v>
      </c>
      <c r="AG473" s="143" t="s">
        <v>762</v>
      </c>
      <c r="AH473" s="143" t="s">
        <v>763</v>
      </c>
      <c r="AI473" s="143" t="s">
        <v>842</v>
      </c>
      <c r="AJ473" s="143">
        <v>4101</v>
      </c>
      <c r="AK473" s="143">
        <v>2</v>
      </c>
      <c r="AL473" s="156">
        <v>3</v>
      </c>
      <c r="AM473" s="156">
        <v>3.5</v>
      </c>
      <c r="AN473" s="156">
        <v>3</v>
      </c>
      <c r="AO473" s="156">
        <v>3.5</v>
      </c>
      <c r="AP473" s="156">
        <v>1</v>
      </c>
      <c r="AQ473" s="156">
        <v>3.5</v>
      </c>
      <c r="AR473" s="156">
        <v>3.5</v>
      </c>
      <c r="AS473" s="169">
        <v>3.0714290000000002</v>
      </c>
    </row>
    <row r="474" spans="1:45" x14ac:dyDescent="0.35">
      <c r="A474" s="143" t="s">
        <v>762</v>
      </c>
      <c r="B474" s="143" t="s">
        <v>763</v>
      </c>
      <c r="C474" s="143" t="s">
        <v>663</v>
      </c>
      <c r="D474" s="143">
        <v>6926</v>
      </c>
      <c r="E474" s="143">
        <v>2</v>
      </c>
      <c r="F474" s="137">
        <v>0</v>
      </c>
      <c r="G474" s="137">
        <v>0</v>
      </c>
      <c r="H474" s="137">
        <v>0</v>
      </c>
      <c r="I474" s="137">
        <v>0</v>
      </c>
      <c r="K474" s="143" t="s">
        <v>762</v>
      </c>
      <c r="L474" s="143" t="s">
        <v>763</v>
      </c>
      <c r="M474" s="143" t="s">
        <v>663</v>
      </c>
      <c r="N474" s="143">
        <v>6926</v>
      </c>
      <c r="O474" s="137">
        <v>0.36</v>
      </c>
      <c r="P474" s="137">
        <v>0.6</v>
      </c>
      <c r="Q474" s="137">
        <v>0.96</v>
      </c>
      <c r="R474" s="137" t="s">
        <v>2487</v>
      </c>
      <c r="S474" s="137">
        <v>0.4</v>
      </c>
      <c r="T474" s="137" t="s">
        <v>2486</v>
      </c>
      <c r="U474" s="137" t="s">
        <v>2838</v>
      </c>
      <c r="W474" s="143" t="s">
        <v>762</v>
      </c>
      <c r="X474" s="143" t="s">
        <v>763</v>
      </c>
      <c r="Y474" s="143" t="s">
        <v>663</v>
      </c>
      <c r="Z474" s="143">
        <v>6926</v>
      </c>
      <c r="AA474" s="143">
        <v>0</v>
      </c>
      <c r="AD474" s="137">
        <v>0</v>
      </c>
      <c r="AG474" s="143" t="s">
        <v>762</v>
      </c>
      <c r="AH474" s="143" t="s">
        <v>763</v>
      </c>
      <c r="AI474" s="143" t="s">
        <v>663</v>
      </c>
      <c r="AJ474" s="143">
        <v>6926</v>
      </c>
      <c r="AK474" s="143">
        <v>2</v>
      </c>
      <c r="AL474" s="156">
        <v>3</v>
      </c>
      <c r="AM474" s="156">
        <v>2.5</v>
      </c>
      <c r="AN474" s="156">
        <v>2</v>
      </c>
      <c r="AO474" s="156">
        <v>2.5</v>
      </c>
      <c r="AP474" s="156">
        <v>2.5</v>
      </c>
      <c r="AQ474" s="156">
        <v>1</v>
      </c>
      <c r="AR474" s="156">
        <v>3.5</v>
      </c>
      <c r="AS474" s="169">
        <v>2.5</v>
      </c>
    </row>
    <row r="475" spans="1:45" x14ac:dyDescent="0.35">
      <c r="A475" s="143" t="s">
        <v>762</v>
      </c>
      <c r="B475" s="143" t="s">
        <v>763</v>
      </c>
      <c r="C475" s="143" t="s">
        <v>663</v>
      </c>
      <c r="D475" s="143">
        <v>6927</v>
      </c>
      <c r="E475" s="143">
        <v>2</v>
      </c>
      <c r="F475" s="137">
        <v>0</v>
      </c>
      <c r="G475" s="137">
        <v>0</v>
      </c>
      <c r="H475" s="137">
        <v>1</v>
      </c>
      <c r="I475" s="137">
        <v>0</v>
      </c>
      <c r="K475" s="143" t="s">
        <v>762</v>
      </c>
      <c r="L475" s="143" t="s">
        <v>763</v>
      </c>
      <c r="M475" s="143" t="s">
        <v>663</v>
      </c>
      <c r="N475" s="143">
        <v>6927</v>
      </c>
      <c r="O475" s="137">
        <v>0.37333329999999998</v>
      </c>
      <c r="P475" s="137">
        <v>0.6</v>
      </c>
      <c r="Q475" s="137">
        <v>0.97333340000000002</v>
      </c>
      <c r="R475" s="137" t="s">
        <v>2487</v>
      </c>
      <c r="S475" s="137">
        <v>0.5</v>
      </c>
      <c r="T475" s="137" t="s">
        <v>2486</v>
      </c>
      <c r="U475" s="137" t="s">
        <v>2838</v>
      </c>
      <c r="W475" s="143" t="s">
        <v>762</v>
      </c>
      <c r="X475" s="143" t="s">
        <v>763</v>
      </c>
      <c r="Y475" s="143" t="s">
        <v>663</v>
      </c>
      <c r="Z475" s="143">
        <v>6927</v>
      </c>
      <c r="AA475" s="143">
        <v>0</v>
      </c>
      <c r="AD475" s="137">
        <v>0</v>
      </c>
      <c r="AG475" s="143" t="s">
        <v>762</v>
      </c>
      <c r="AH475" s="143" t="s">
        <v>763</v>
      </c>
      <c r="AI475" s="143" t="s">
        <v>663</v>
      </c>
      <c r="AJ475" s="143">
        <v>6927</v>
      </c>
      <c r="AK475" s="143">
        <v>2</v>
      </c>
      <c r="AL475" s="156">
        <v>2.5</v>
      </c>
      <c r="AM475" s="156">
        <v>2.5</v>
      </c>
      <c r="AN475" s="156">
        <v>1.5</v>
      </c>
      <c r="AO475" s="156">
        <v>1.5</v>
      </c>
      <c r="AP475" s="156">
        <v>2</v>
      </c>
      <c r="AQ475" s="156">
        <v>2</v>
      </c>
      <c r="AR475" s="156">
        <v>3</v>
      </c>
      <c r="AS475" s="169">
        <v>2.1428569999999998</v>
      </c>
    </row>
    <row r="476" spans="1:45" x14ac:dyDescent="0.35">
      <c r="A476" s="143" t="s">
        <v>764</v>
      </c>
      <c r="B476" s="143" t="s">
        <v>765</v>
      </c>
      <c r="C476" s="143" t="s">
        <v>2452</v>
      </c>
      <c r="D476" s="143">
        <v>91</v>
      </c>
      <c r="E476" s="143">
        <v>20</v>
      </c>
      <c r="F476" s="137">
        <v>1</v>
      </c>
      <c r="G476" s="137">
        <v>1</v>
      </c>
      <c r="H476" s="137">
        <v>1</v>
      </c>
      <c r="I476" s="137">
        <v>0</v>
      </c>
      <c r="K476" s="143" t="s">
        <v>764</v>
      </c>
      <c r="L476" s="143" t="s">
        <v>765</v>
      </c>
      <c r="M476" s="143" t="s">
        <v>2452</v>
      </c>
      <c r="N476" s="143">
        <v>91</v>
      </c>
      <c r="O476" s="137">
        <v>0.4</v>
      </c>
      <c r="P476" s="137">
        <v>0.6</v>
      </c>
      <c r="Q476" s="137">
        <v>1</v>
      </c>
      <c r="R476" s="137" t="s">
        <v>2486</v>
      </c>
      <c r="S476" s="137">
        <v>0.3645833</v>
      </c>
      <c r="T476" s="137" t="s">
        <v>2486</v>
      </c>
      <c r="U476" s="137" t="s">
        <v>2838</v>
      </c>
      <c r="W476" s="143" t="s">
        <v>764</v>
      </c>
      <c r="X476" s="143" t="s">
        <v>765</v>
      </c>
      <c r="Y476" s="143" t="s">
        <v>2452</v>
      </c>
      <c r="Z476" s="143">
        <v>91</v>
      </c>
      <c r="AA476" s="143">
        <v>20</v>
      </c>
      <c r="AB476" s="137">
        <v>0.25</v>
      </c>
      <c r="AC476" s="137">
        <v>6.6666699999999995E-2</v>
      </c>
      <c r="AD476" s="137">
        <v>0</v>
      </c>
      <c r="AG476" s="143" t="s">
        <v>764</v>
      </c>
      <c r="AH476" s="143" t="s">
        <v>765</v>
      </c>
      <c r="AI476" s="143" t="s">
        <v>2452</v>
      </c>
      <c r="AJ476" s="143">
        <v>91</v>
      </c>
      <c r="AK476" s="143">
        <v>20</v>
      </c>
      <c r="AL476" s="156">
        <v>2.3499999046325701</v>
      </c>
      <c r="AM476" s="156">
        <v>3.5</v>
      </c>
      <c r="AN476" s="156">
        <v>3.25</v>
      </c>
      <c r="AO476" s="156">
        <v>2.7000000476837198</v>
      </c>
      <c r="AP476" s="156">
        <v>2.4500000476837198</v>
      </c>
      <c r="AQ476" s="156">
        <v>2.4500000476837198</v>
      </c>
      <c r="AR476" s="156">
        <v>3.1500000953674299</v>
      </c>
      <c r="AS476" s="169">
        <v>2.9214280000000001</v>
      </c>
    </row>
    <row r="477" spans="1:45" x14ac:dyDescent="0.35">
      <c r="A477" s="143" t="s">
        <v>764</v>
      </c>
      <c r="B477" s="143" t="s">
        <v>765</v>
      </c>
      <c r="C477" s="143" t="s">
        <v>842</v>
      </c>
      <c r="D477" s="143">
        <v>201</v>
      </c>
      <c r="E477" s="143">
        <v>2</v>
      </c>
      <c r="F477" s="137">
        <v>1</v>
      </c>
      <c r="G477" s="137">
        <v>1</v>
      </c>
      <c r="H477" s="137">
        <v>1</v>
      </c>
      <c r="I477" s="137">
        <v>0</v>
      </c>
      <c r="K477" s="143" t="s">
        <v>764</v>
      </c>
      <c r="L477" s="143" t="s">
        <v>765</v>
      </c>
      <c r="M477" s="143" t="s">
        <v>842</v>
      </c>
      <c r="N477" s="143">
        <v>201</v>
      </c>
      <c r="O477" s="137">
        <v>0.37333329999999998</v>
      </c>
      <c r="P477" s="137">
        <v>0.6</v>
      </c>
      <c r="Q477" s="137">
        <v>0.97333340000000002</v>
      </c>
      <c r="R477" s="137" t="s">
        <v>2487</v>
      </c>
      <c r="S477" s="137">
        <v>0.5</v>
      </c>
      <c r="T477" s="137" t="s">
        <v>2486</v>
      </c>
      <c r="U477" s="137" t="s">
        <v>2486</v>
      </c>
      <c r="W477" s="143" t="s">
        <v>764</v>
      </c>
      <c r="X477" s="143" t="s">
        <v>765</v>
      </c>
      <c r="Y477" s="143" t="s">
        <v>842</v>
      </c>
      <c r="Z477" s="143">
        <v>201</v>
      </c>
      <c r="AA477" s="143">
        <v>0</v>
      </c>
      <c r="AD477" s="137">
        <v>0</v>
      </c>
      <c r="AE477" s="137">
        <v>0.1666667</v>
      </c>
      <c r="AG477" s="143" t="s">
        <v>764</v>
      </c>
      <c r="AH477" s="143" t="s">
        <v>765</v>
      </c>
      <c r="AI477" s="143" t="s">
        <v>842</v>
      </c>
      <c r="AJ477" s="143">
        <v>201</v>
      </c>
      <c r="AK477" s="143">
        <v>2</v>
      </c>
      <c r="AL477" s="156">
        <v>2</v>
      </c>
      <c r="AM477" s="156">
        <v>3</v>
      </c>
      <c r="AN477" s="156">
        <v>2.5</v>
      </c>
      <c r="AO477" s="156">
        <v>2.5</v>
      </c>
      <c r="AP477" s="156">
        <v>2.5</v>
      </c>
      <c r="AQ477" s="156">
        <v>2.5</v>
      </c>
      <c r="AR477" s="156">
        <v>3</v>
      </c>
      <c r="AS477" s="169">
        <v>2.714286</v>
      </c>
    </row>
    <row r="478" spans="1:45" x14ac:dyDescent="0.35">
      <c r="A478" s="143" t="s">
        <v>764</v>
      </c>
      <c r="B478" s="143" t="s">
        <v>765</v>
      </c>
      <c r="C478" s="143" t="s">
        <v>841</v>
      </c>
      <c r="D478" s="143">
        <v>261</v>
      </c>
      <c r="E478" s="143">
        <v>3</v>
      </c>
      <c r="F478" s="137">
        <v>1</v>
      </c>
      <c r="G478" s="137">
        <v>1</v>
      </c>
      <c r="H478" s="137">
        <v>1</v>
      </c>
      <c r="I478" s="137">
        <v>0</v>
      </c>
      <c r="K478" s="143" t="s">
        <v>764</v>
      </c>
      <c r="L478" s="143" t="s">
        <v>765</v>
      </c>
      <c r="M478" s="143" t="s">
        <v>841</v>
      </c>
      <c r="N478" s="143">
        <v>261</v>
      </c>
      <c r="O478" s="137">
        <v>0.4</v>
      </c>
      <c r="P478" s="137">
        <v>0.6</v>
      </c>
      <c r="Q478" s="137">
        <v>1</v>
      </c>
      <c r="R478" s="137" t="s">
        <v>2486</v>
      </c>
      <c r="S478" s="137">
        <v>0.5</v>
      </c>
      <c r="T478" s="137" t="s">
        <v>2486</v>
      </c>
      <c r="U478" s="137" t="s">
        <v>2486</v>
      </c>
      <c r="W478" s="143" t="s">
        <v>764</v>
      </c>
      <c r="X478" s="143" t="s">
        <v>765</v>
      </c>
      <c r="Y478" s="143" t="s">
        <v>841</v>
      </c>
      <c r="Z478" s="143">
        <v>261</v>
      </c>
      <c r="AA478" s="143">
        <v>0</v>
      </c>
      <c r="AD478" s="137">
        <v>0</v>
      </c>
      <c r="AG478" s="143" t="s">
        <v>764</v>
      </c>
      <c r="AH478" s="143" t="s">
        <v>765</v>
      </c>
      <c r="AI478" s="143" t="s">
        <v>841</v>
      </c>
      <c r="AJ478" s="143">
        <v>261</v>
      </c>
      <c r="AK478" s="143">
        <v>3</v>
      </c>
      <c r="AL478" s="156">
        <v>2.3333332538604701</v>
      </c>
      <c r="AM478" s="156">
        <v>3</v>
      </c>
      <c r="AN478" s="156">
        <v>2.6666667461395299</v>
      </c>
      <c r="AO478" s="156">
        <v>3</v>
      </c>
      <c r="AP478" s="156">
        <v>3</v>
      </c>
      <c r="AQ478" s="156">
        <v>3</v>
      </c>
      <c r="AR478" s="156">
        <v>3</v>
      </c>
      <c r="AS478" s="169">
        <v>2.9047619999999998</v>
      </c>
    </row>
    <row r="479" spans="1:45" x14ac:dyDescent="0.35">
      <c r="A479" s="143" t="s">
        <v>764</v>
      </c>
      <c r="B479" s="143" t="s">
        <v>765</v>
      </c>
      <c r="C479" s="143" t="s">
        <v>842</v>
      </c>
      <c r="D479" s="143">
        <v>1060</v>
      </c>
      <c r="E479" s="143">
        <v>2</v>
      </c>
      <c r="F479" s="137">
        <v>1</v>
      </c>
      <c r="G479" s="137">
        <v>1</v>
      </c>
      <c r="H479" s="137">
        <v>1</v>
      </c>
      <c r="I479" s="137">
        <v>0</v>
      </c>
      <c r="K479" s="143" t="s">
        <v>764</v>
      </c>
      <c r="L479" s="143" t="s">
        <v>765</v>
      </c>
      <c r="M479" s="143" t="s">
        <v>842</v>
      </c>
      <c r="N479" s="143">
        <v>1060</v>
      </c>
      <c r="O479" s="137">
        <v>0.38666669999999997</v>
      </c>
      <c r="P479" s="137">
        <v>0.6</v>
      </c>
      <c r="Q479" s="137">
        <v>0.98666670000000001</v>
      </c>
      <c r="R479" s="137" t="s">
        <v>2487</v>
      </c>
      <c r="S479" s="137">
        <v>0.4</v>
      </c>
      <c r="T479" s="137" t="s">
        <v>2486</v>
      </c>
      <c r="U479" s="137" t="s">
        <v>2486</v>
      </c>
      <c r="W479" s="143" t="s">
        <v>764</v>
      </c>
      <c r="X479" s="143" t="s">
        <v>765</v>
      </c>
      <c r="Y479" s="143" t="s">
        <v>842</v>
      </c>
      <c r="Z479" s="143">
        <v>1060</v>
      </c>
      <c r="AA479" s="143">
        <v>0</v>
      </c>
      <c r="AD479" s="137">
        <v>0</v>
      </c>
      <c r="AE479" s="137">
        <v>0.4</v>
      </c>
      <c r="AG479" s="143" t="s">
        <v>764</v>
      </c>
      <c r="AH479" s="143" t="s">
        <v>765</v>
      </c>
      <c r="AI479" s="143" t="s">
        <v>842</v>
      </c>
      <c r="AJ479" s="143">
        <v>1060</v>
      </c>
      <c r="AK479" s="143">
        <v>2</v>
      </c>
      <c r="AL479" s="156">
        <v>2</v>
      </c>
      <c r="AM479" s="156">
        <v>3</v>
      </c>
      <c r="AN479" s="156">
        <v>3</v>
      </c>
      <c r="AO479" s="156">
        <v>3</v>
      </c>
      <c r="AP479" s="156">
        <v>2</v>
      </c>
      <c r="AQ479" s="156">
        <v>3</v>
      </c>
      <c r="AR479" s="156">
        <v>3</v>
      </c>
      <c r="AS479" s="169">
        <v>2.8571430000000002</v>
      </c>
    </row>
    <row r="480" spans="1:45" x14ac:dyDescent="0.35">
      <c r="A480" s="143" t="s">
        <v>764</v>
      </c>
      <c r="B480" s="143" t="s">
        <v>765</v>
      </c>
      <c r="C480" s="143" t="s">
        <v>842</v>
      </c>
      <c r="D480" s="143">
        <v>1812</v>
      </c>
      <c r="E480" s="143">
        <v>2</v>
      </c>
      <c r="F480" s="137">
        <v>1</v>
      </c>
      <c r="G480" s="137">
        <v>1</v>
      </c>
      <c r="H480" s="137">
        <v>1</v>
      </c>
      <c r="I480" s="137">
        <v>0</v>
      </c>
      <c r="K480" s="143" t="s">
        <v>764</v>
      </c>
      <c r="L480" s="143" t="s">
        <v>765</v>
      </c>
      <c r="M480" s="143" t="s">
        <v>842</v>
      </c>
      <c r="N480" s="143">
        <v>1812</v>
      </c>
      <c r="O480" s="137">
        <v>0.39200000000000002</v>
      </c>
      <c r="P480" s="137">
        <v>0.6</v>
      </c>
      <c r="Q480" s="137">
        <v>0.99199999999999999</v>
      </c>
      <c r="R480" s="137" t="s">
        <v>2487</v>
      </c>
      <c r="S480" s="137">
        <v>0.42857139999999999</v>
      </c>
      <c r="T480" s="137" t="s">
        <v>2486</v>
      </c>
      <c r="U480" s="137" t="s">
        <v>2486</v>
      </c>
      <c r="W480" s="143" t="s">
        <v>764</v>
      </c>
      <c r="X480" s="143" t="s">
        <v>765</v>
      </c>
      <c r="Y480" s="143" t="s">
        <v>842</v>
      </c>
      <c r="Z480" s="143">
        <v>1812</v>
      </c>
      <c r="AA480" s="143">
        <v>0</v>
      </c>
      <c r="AD480" s="137">
        <v>0</v>
      </c>
      <c r="AG480" s="143" t="s">
        <v>764</v>
      </c>
      <c r="AH480" s="143" t="s">
        <v>765</v>
      </c>
      <c r="AI480" s="143" t="s">
        <v>842</v>
      </c>
      <c r="AJ480" s="143">
        <v>1812</v>
      </c>
      <c r="AK480" s="143">
        <v>2</v>
      </c>
      <c r="AL480" s="156">
        <v>2.5</v>
      </c>
      <c r="AM480" s="156">
        <v>3</v>
      </c>
      <c r="AN480" s="156">
        <v>3</v>
      </c>
      <c r="AO480" s="156">
        <v>3</v>
      </c>
      <c r="AP480" s="156">
        <v>3</v>
      </c>
      <c r="AQ480" s="156">
        <v>2.5</v>
      </c>
      <c r="AR480" s="156">
        <v>2.5</v>
      </c>
      <c r="AS480" s="169">
        <v>2.785714</v>
      </c>
    </row>
    <row r="481" spans="1:45" x14ac:dyDescent="0.35">
      <c r="A481" s="143" t="s">
        <v>764</v>
      </c>
      <c r="B481" s="143" t="s">
        <v>765</v>
      </c>
      <c r="C481" s="143" t="s">
        <v>663</v>
      </c>
      <c r="D481" s="143">
        <v>2351</v>
      </c>
      <c r="E481" s="143">
        <v>2</v>
      </c>
      <c r="F481" s="137">
        <v>1</v>
      </c>
      <c r="G481" s="137">
        <v>1</v>
      </c>
      <c r="H481" s="137">
        <v>1</v>
      </c>
      <c r="I481" s="137">
        <v>0</v>
      </c>
      <c r="K481" s="143" t="s">
        <v>764</v>
      </c>
      <c r="L481" s="143" t="s">
        <v>765</v>
      </c>
      <c r="M481" s="143" t="s">
        <v>663</v>
      </c>
      <c r="N481" s="143">
        <v>2351</v>
      </c>
      <c r="O481" s="137">
        <v>0.4</v>
      </c>
      <c r="P481" s="137">
        <v>0.3</v>
      </c>
      <c r="Q481" s="137">
        <v>0.7</v>
      </c>
      <c r="R481" s="137" t="s">
        <v>2487</v>
      </c>
      <c r="S481" s="137">
        <v>0.5</v>
      </c>
      <c r="T481" s="137" t="s">
        <v>2487</v>
      </c>
      <c r="U481" s="137" t="s">
        <v>2838</v>
      </c>
      <c r="W481" s="143" t="s">
        <v>764</v>
      </c>
      <c r="X481" s="143" t="s">
        <v>765</v>
      </c>
      <c r="Y481" s="143" t="s">
        <v>663</v>
      </c>
      <c r="Z481" s="143">
        <v>2351</v>
      </c>
      <c r="AA481" s="143">
        <v>0</v>
      </c>
      <c r="AD481" s="137">
        <v>0</v>
      </c>
      <c r="AG481" s="143" t="s">
        <v>764</v>
      </c>
      <c r="AH481" s="143" t="s">
        <v>765</v>
      </c>
      <c r="AI481" s="143" t="s">
        <v>663</v>
      </c>
      <c r="AJ481" s="143">
        <v>2351</v>
      </c>
      <c r="AK481" s="143">
        <v>2</v>
      </c>
      <c r="AL481" s="156">
        <v>2.5</v>
      </c>
      <c r="AM481" s="156">
        <v>3</v>
      </c>
      <c r="AN481" s="156">
        <v>3</v>
      </c>
      <c r="AO481" s="156">
        <v>3</v>
      </c>
      <c r="AP481" s="156">
        <v>3</v>
      </c>
      <c r="AQ481" s="156">
        <v>2</v>
      </c>
      <c r="AR481" s="156">
        <v>2.5</v>
      </c>
      <c r="AS481" s="169">
        <v>2.714286</v>
      </c>
    </row>
    <row r="482" spans="1:45" x14ac:dyDescent="0.35">
      <c r="A482" s="143" t="s">
        <v>764</v>
      </c>
      <c r="B482" s="143" t="s">
        <v>765</v>
      </c>
      <c r="C482" s="143" t="s">
        <v>663</v>
      </c>
      <c r="D482" s="143">
        <v>2354</v>
      </c>
      <c r="E482" s="143">
        <v>2</v>
      </c>
      <c r="F482" s="137">
        <v>1</v>
      </c>
      <c r="G482" s="137">
        <v>1</v>
      </c>
      <c r="H482" s="137">
        <v>1</v>
      </c>
      <c r="I482" s="137">
        <v>0</v>
      </c>
      <c r="K482" s="143" t="s">
        <v>764</v>
      </c>
      <c r="L482" s="143" t="s">
        <v>765</v>
      </c>
      <c r="M482" s="143" t="s">
        <v>663</v>
      </c>
      <c r="N482" s="143">
        <v>2354</v>
      </c>
      <c r="O482" s="137">
        <v>0.4</v>
      </c>
      <c r="P482" s="137">
        <v>0.6</v>
      </c>
      <c r="Q482" s="137">
        <v>1</v>
      </c>
      <c r="R482" s="137" t="s">
        <v>2486</v>
      </c>
      <c r="S482" s="137">
        <v>0.5</v>
      </c>
      <c r="T482" s="137" t="s">
        <v>2486</v>
      </c>
      <c r="U482" s="137" t="s">
        <v>2838</v>
      </c>
      <c r="W482" s="143" t="s">
        <v>764</v>
      </c>
      <c r="X482" s="143" t="s">
        <v>765</v>
      </c>
      <c r="Y482" s="143" t="s">
        <v>663</v>
      </c>
      <c r="Z482" s="143">
        <v>2354</v>
      </c>
      <c r="AA482" s="143">
        <v>0</v>
      </c>
      <c r="AD482" s="137">
        <v>0</v>
      </c>
      <c r="AE482" s="137">
        <v>0.25</v>
      </c>
      <c r="AG482" s="143" t="s">
        <v>764</v>
      </c>
      <c r="AH482" s="143" t="s">
        <v>765</v>
      </c>
      <c r="AI482" s="143" t="s">
        <v>663</v>
      </c>
      <c r="AJ482" s="143">
        <v>2354</v>
      </c>
      <c r="AK482" s="143">
        <v>2</v>
      </c>
      <c r="AL482" s="156">
        <v>2.5</v>
      </c>
      <c r="AM482" s="156">
        <v>3</v>
      </c>
      <c r="AN482" s="156">
        <v>2.5</v>
      </c>
      <c r="AO482" s="156">
        <v>2</v>
      </c>
      <c r="AP482" s="156">
        <v>2</v>
      </c>
      <c r="AQ482" s="156">
        <v>3</v>
      </c>
      <c r="AR482" s="156">
        <v>3</v>
      </c>
      <c r="AS482" s="169">
        <v>2.5714290000000002</v>
      </c>
    </row>
    <row r="483" spans="1:45" x14ac:dyDescent="0.35">
      <c r="A483" s="143" t="s">
        <v>764</v>
      </c>
      <c r="B483" s="143" t="s">
        <v>765</v>
      </c>
      <c r="C483" s="143" t="s">
        <v>663</v>
      </c>
      <c r="D483" s="143">
        <v>2934</v>
      </c>
      <c r="E483" s="143">
        <v>2</v>
      </c>
      <c r="F483" s="137">
        <v>1</v>
      </c>
      <c r="G483" s="137">
        <v>1</v>
      </c>
      <c r="H483" s="137">
        <v>1</v>
      </c>
      <c r="I483" s="137">
        <v>0</v>
      </c>
      <c r="K483" s="143" t="s">
        <v>764</v>
      </c>
      <c r="L483" s="143" t="s">
        <v>765</v>
      </c>
      <c r="M483" s="143" t="s">
        <v>663</v>
      </c>
      <c r="N483" s="143">
        <v>2934</v>
      </c>
      <c r="O483" s="137">
        <v>0.34933330000000001</v>
      </c>
      <c r="P483" s="137">
        <v>0.6</v>
      </c>
      <c r="Q483" s="137">
        <v>0.94933339999999999</v>
      </c>
      <c r="R483" s="137" t="s">
        <v>2487</v>
      </c>
      <c r="S483" s="137">
        <v>0.5</v>
      </c>
      <c r="T483" s="137" t="s">
        <v>2486</v>
      </c>
      <c r="U483" s="137" t="s">
        <v>2838</v>
      </c>
      <c r="W483" s="143" t="s">
        <v>764</v>
      </c>
      <c r="X483" s="143" t="s">
        <v>765</v>
      </c>
      <c r="Y483" s="143" t="s">
        <v>663</v>
      </c>
      <c r="Z483" s="143">
        <v>2934</v>
      </c>
      <c r="AA483" s="143">
        <v>0</v>
      </c>
      <c r="AD483" s="137">
        <v>0</v>
      </c>
      <c r="AG483" s="143" t="s">
        <v>764</v>
      </c>
      <c r="AH483" s="143" t="s">
        <v>765</v>
      </c>
      <c r="AI483" s="143" t="s">
        <v>663</v>
      </c>
      <c r="AJ483" s="143">
        <v>2934</v>
      </c>
      <c r="AK483" s="143">
        <v>2</v>
      </c>
      <c r="AL483" s="156">
        <v>2</v>
      </c>
      <c r="AM483" s="156">
        <v>3</v>
      </c>
      <c r="AN483" s="156">
        <v>3</v>
      </c>
      <c r="AO483" s="156">
        <v>3</v>
      </c>
      <c r="AP483" s="156">
        <v>3</v>
      </c>
      <c r="AQ483" s="156">
        <v>3</v>
      </c>
      <c r="AR483" s="156">
        <v>3</v>
      </c>
      <c r="AS483" s="169">
        <v>3</v>
      </c>
    </row>
    <row r="484" spans="1:45" x14ac:dyDescent="0.35">
      <c r="A484" s="143" t="s">
        <v>764</v>
      </c>
      <c r="B484" s="143" t="s">
        <v>765</v>
      </c>
      <c r="C484" s="143" t="s">
        <v>842</v>
      </c>
      <c r="D484" s="143">
        <v>2936</v>
      </c>
      <c r="E484" s="143">
        <v>2</v>
      </c>
      <c r="F484" s="137">
        <v>1</v>
      </c>
      <c r="G484" s="137">
        <v>1</v>
      </c>
      <c r="H484" s="137">
        <v>1</v>
      </c>
      <c r="I484" s="137">
        <v>0</v>
      </c>
      <c r="K484" s="143" t="s">
        <v>764</v>
      </c>
      <c r="L484" s="143" t="s">
        <v>765</v>
      </c>
      <c r="M484" s="143" t="s">
        <v>842</v>
      </c>
      <c r="N484" s="143">
        <v>2936</v>
      </c>
      <c r="O484" s="137">
        <v>0.4</v>
      </c>
      <c r="P484" s="137">
        <v>0.6</v>
      </c>
      <c r="Q484" s="137">
        <v>1</v>
      </c>
      <c r="R484" s="137" t="s">
        <v>2486</v>
      </c>
      <c r="S484" s="137">
        <v>0.42857139999999999</v>
      </c>
      <c r="T484" s="137" t="s">
        <v>2486</v>
      </c>
      <c r="U484" s="137" t="s">
        <v>2486</v>
      </c>
      <c r="W484" s="143" t="s">
        <v>764</v>
      </c>
      <c r="X484" s="143" t="s">
        <v>765</v>
      </c>
      <c r="Y484" s="143" t="s">
        <v>842</v>
      </c>
      <c r="Z484" s="143">
        <v>2936</v>
      </c>
      <c r="AA484" s="143">
        <v>0</v>
      </c>
      <c r="AD484" s="137">
        <v>0</v>
      </c>
      <c r="AE484" s="137">
        <v>0.14285709999999999</v>
      </c>
      <c r="AG484" s="143" t="s">
        <v>764</v>
      </c>
      <c r="AH484" s="143" t="s">
        <v>765</v>
      </c>
      <c r="AI484" s="143" t="s">
        <v>842</v>
      </c>
      <c r="AJ484" s="143">
        <v>2936</v>
      </c>
      <c r="AK484" s="143">
        <v>2</v>
      </c>
      <c r="AL484" s="156">
        <v>2</v>
      </c>
      <c r="AM484" s="156">
        <v>3</v>
      </c>
      <c r="AN484" s="156">
        <v>3</v>
      </c>
      <c r="AO484" s="156">
        <v>3</v>
      </c>
      <c r="AP484" s="156">
        <v>2.5</v>
      </c>
      <c r="AQ484" s="156">
        <v>3</v>
      </c>
      <c r="AR484" s="156">
        <v>3</v>
      </c>
      <c r="AS484" s="169">
        <v>2.9285709999999998</v>
      </c>
    </row>
    <row r="485" spans="1:45" x14ac:dyDescent="0.35">
      <c r="A485" s="143" t="s">
        <v>764</v>
      </c>
      <c r="B485" s="143" t="s">
        <v>765</v>
      </c>
      <c r="C485" s="143" t="s">
        <v>663</v>
      </c>
      <c r="D485" s="143">
        <v>2940</v>
      </c>
      <c r="E485" s="143">
        <v>2</v>
      </c>
      <c r="F485" s="137">
        <v>1</v>
      </c>
      <c r="G485" s="137">
        <v>1</v>
      </c>
      <c r="H485" s="137">
        <v>1</v>
      </c>
      <c r="I485" s="137">
        <v>0</v>
      </c>
      <c r="K485" s="143" t="s">
        <v>764</v>
      </c>
      <c r="L485" s="143" t="s">
        <v>765</v>
      </c>
      <c r="M485" s="143" t="s">
        <v>663</v>
      </c>
      <c r="N485" s="143">
        <v>2940</v>
      </c>
      <c r="O485" s="137">
        <v>0.38400000000000001</v>
      </c>
      <c r="P485" s="137">
        <v>0.6</v>
      </c>
      <c r="Q485" s="137">
        <v>0.98399999999999999</v>
      </c>
      <c r="R485" s="137" t="s">
        <v>2487</v>
      </c>
      <c r="S485" s="137">
        <v>0.4</v>
      </c>
      <c r="T485" s="137" t="s">
        <v>2486</v>
      </c>
      <c r="U485" s="137" t="s">
        <v>2838</v>
      </c>
      <c r="W485" s="143" t="s">
        <v>764</v>
      </c>
      <c r="X485" s="143" t="s">
        <v>765</v>
      </c>
      <c r="Y485" s="143" t="s">
        <v>663</v>
      </c>
      <c r="Z485" s="143">
        <v>2940</v>
      </c>
      <c r="AA485" s="143">
        <v>0</v>
      </c>
      <c r="AD485" s="137">
        <v>0</v>
      </c>
      <c r="AG485" s="143" t="s">
        <v>764</v>
      </c>
      <c r="AH485" s="143" t="s">
        <v>765</v>
      </c>
      <c r="AI485" s="143" t="s">
        <v>663</v>
      </c>
      <c r="AJ485" s="143">
        <v>2940</v>
      </c>
      <c r="AK485" s="143">
        <v>2</v>
      </c>
      <c r="AL485" s="156">
        <v>2</v>
      </c>
      <c r="AM485" s="156">
        <v>3</v>
      </c>
      <c r="AN485" s="156">
        <v>3.5</v>
      </c>
      <c r="AO485" s="156">
        <v>3</v>
      </c>
      <c r="AP485" s="156">
        <v>2.5</v>
      </c>
      <c r="AQ485" s="156">
        <v>2.5</v>
      </c>
      <c r="AR485" s="156">
        <v>3</v>
      </c>
      <c r="AS485" s="169">
        <v>2.9285709999999998</v>
      </c>
    </row>
    <row r="486" spans="1:45" x14ac:dyDescent="0.35">
      <c r="A486" s="143" t="s">
        <v>764</v>
      </c>
      <c r="B486" s="143" t="s">
        <v>765</v>
      </c>
      <c r="C486" s="143" t="s">
        <v>663</v>
      </c>
      <c r="D486" s="143">
        <v>3850</v>
      </c>
      <c r="E486" s="143">
        <v>2</v>
      </c>
      <c r="F486" s="137">
        <v>1</v>
      </c>
      <c r="G486" s="137">
        <v>1</v>
      </c>
      <c r="H486" s="137">
        <v>1</v>
      </c>
      <c r="I486" s="137">
        <v>0</v>
      </c>
      <c r="K486" s="143" t="s">
        <v>764</v>
      </c>
      <c r="L486" s="143" t="s">
        <v>765</v>
      </c>
      <c r="M486" s="143" t="s">
        <v>663</v>
      </c>
      <c r="N486" s="143">
        <v>3850</v>
      </c>
      <c r="O486" s="137">
        <v>0.4</v>
      </c>
      <c r="P486" s="137">
        <v>0.6</v>
      </c>
      <c r="Q486" s="137">
        <v>1</v>
      </c>
      <c r="R486" s="137" t="s">
        <v>2486</v>
      </c>
      <c r="S486" s="137">
        <v>0.4</v>
      </c>
      <c r="T486" s="137" t="s">
        <v>2486</v>
      </c>
      <c r="U486" s="137" t="s">
        <v>2838</v>
      </c>
      <c r="W486" s="143" t="s">
        <v>764</v>
      </c>
      <c r="X486" s="143" t="s">
        <v>765</v>
      </c>
      <c r="Y486" s="143" t="s">
        <v>663</v>
      </c>
      <c r="Z486" s="143">
        <v>3850</v>
      </c>
      <c r="AA486" s="143">
        <v>0</v>
      </c>
      <c r="AD486" s="137">
        <v>0</v>
      </c>
      <c r="AG486" s="143" t="s">
        <v>764</v>
      </c>
      <c r="AH486" s="143" t="s">
        <v>765</v>
      </c>
      <c r="AI486" s="143" t="s">
        <v>663</v>
      </c>
      <c r="AJ486" s="143">
        <v>3850</v>
      </c>
      <c r="AK486" s="143">
        <v>2</v>
      </c>
      <c r="AL486" s="156">
        <v>2</v>
      </c>
      <c r="AM486" s="156">
        <v>3</v>
      </c>
      <c r="AN486" s="156">
        <v>3</v>
      </c>
      <c r="AO486" s="156">
        <v>3</v>
      </c>
      <c r="AP486" s="156">
        <v>3</v>
      </c>
      <c r="AQ486" s="156">
        <v>2</v>
      </c>
      <c r="AR486" s="156">
        <v>3</v>
      </c>
      <c r="AS486" s="169">
        <v>2.8571430000000002</v>
      </c>
    </row>
    <row r="487" spans="1:45" x14ac:dyDescent="0.35">
      <c r="A487" s="143" t="s">
        <v>2851</v>
      </c>
      <c r="B487" s="143" t="s">
        <v>2518</v>
      </c>
      <c r="C487" s="143" t="s">
        <v>843</v>
      </c>
      <c r="D487" s="143">
        <v>759</v>
      </c>
      <c r="F487" s="137">
        <v>1</v>
      </c>
      <c r="G487" s="137">
        <v>1</v>
      </c>
      <c r="H487" s="137"/>
      <c r="I487" s="137"/>
      <c r="K487" s="143" t="s">
        <v>2851</v>
      </c>
      <c r="L487" s="143" t="s">
        <v>2518</v>
      </c>
      <c r="M487" s="143" t="s">
        <v>843</v>
      </c>
      <c r="N487" s="143">
        <v>759</v>
      </c>
      <c r="O487" s="137">
        <v>0.4</v>
      </c>
      <c r="Q487" s="137">
        <v>1</v>
      </c>
      <c r="R487" s="137" t="s">
        <v>2486</v>
      </c>
      <c r="T487" s="137" t="s">
        <v>2838</v>
      </c>
      <c r="U487" s="137" t="s">
        <v>2838</v>
      </c>
      <c r="W487" s="143" t="s">
        <v>2851</v>
      </c>
      <c r="X487" s="143" t="s">
        <v>2518</v>
      </c>
      <c r="Y487" s="143" t="s">
        <v>843</v>
      </c>
      <c r="Z487" s="143">
        <v>759</v>
      </c>
      <c r="AG487" s="143" t="s">
        <v>2851</v>
      </c>
      <c r="AH487" s="143" t="s">
        <v>2518</v>
      </c>
      <c r="AI487" s="143" t="s">
        <v>843</v>
      </c>
      <c r="AJ487" s="143">
        <v>759</v>
      </c>
    </row>
    <row r="488" spans="1:45" x14ac:dyDescent="0.35">
      <c r="A488" s="143" t="s">
        <v>2851</v>
      </c>
      <c r="B488" s="143" t="s">
        <v>2518</v>
      </c>
      <c r="C488" s="143" t="s">
        <v>841</v>
      </c>
      <c r="D488" s="143">
        <v>1893</v>
      </c>
      <c r="F488" s="137">
        <v>1</v>
      </c>
      <c r="G488" s="137">
        <v>1</v>
      </c>
      <c r="H488" s="137"/>
      <c r="I488" s="137"/>
      <c r="K488" s="143" t="s">
        <v>2851</v>
      </c>
      <c r="L488" s="143" t="s">
        <v>2518</v>
      </c>
      <c r="M488" s="143" t="s">
        <v>841</v>
      </c>
      <c r="N488" s="143">
        <v>1893</v>
      </c>
      <c r="O488" s="137">
        <v>0.37866670000000002</v>
      </c>
      <c r="Q488" s="137">
        <v>0.94666669999999997</v>
      </c>
      <c r="R488" s="137" t="s">
        <v>2487</v>
      </c>
      <c r="T488" s="137" t="s">
        <v>2838</v>
      </c>
      <c r="U488" s="137" t="s">
        <v>2838</v>
      </c>
      <c r="W488" s="143" t="s">
        <v>2851</v>
      </c>
      <c r="X488" s="143" t="s">
        <v>2518</v>
      </c>
      <c r="Y488" s="143" t="s">
        <v>841</v>
      </c>
      <c r="Z488" s="143">
        <v>1893</v>
      </c>
      <c r="AG488" s="143" t="s">
        <v>2851</v>
      </c>
      <c r="AH488" s="143" t="s">
        <v>2518</v>
      </c>
      <c r="AI488" s="143" t="s">
        <v>841</v>
      </c>
      <c r="AJ488" s="143">
        <v>1893</v>
      </c>
    </row>
    <row r="489" spans="1:45" x14ac:dyDescent="0.35">
      <c r="A489" s="143" t="s">
        <v>2851</v>
      </c>
      <c r="B489" s="143" t="s">
        <v>2518</v>
      </c>
      <c r="C489" s="143" t="s">
        <v>663</v>
      </c>
      <c r="D489" s="143">
        <v>2891</v>
      </c>
      <c r="F489" s="137">
        <v>1</v>
      </c>
      <c r="G489" s="137">
        <v>1</v>
      </c>
      <c r="H489" s="137"/>
      <c r="I489" s="137"/>
      <c r="K489" s="143" t="s">
        <v>2851</v>
      </c>
      <c r="L489" s="143" t="s">
        <v>2518</v>
      </c>
      <c r="M489" s="143" t="s">
        <v>663</v>
      </c>
      <c r="N489" s="143">
        <v>2891</v>
      </c>
      <c r="O489" s="137">
        <v>0.4</v>
      </c>
      <c r="Q489" s="137">
        <v>1</v>
      </c>
      <c r="R489" s="137" t="s">
        <v>2486</v>
      </c>
      <c r="T489" s="137" t="s">
        <v>2838</v>
      </c>
      <c r="U489" s="137" t="s">
        <v>2838</v>
      </c>
      <c r="W489" s="143" t="s">
        <v>2851</v>
      </c>
      <c r="X489" s="143" t="s">
        <v>2518</v>
      </c>
      <c r="Y489" s="143" t="s">
        <v>663</v>
      </c>
      <c r="Z489" s="143">
        <v>2891</v>
      </c>
      <c r="AG489" s="143" t="s">
        <v>2851</v>
      </c>
      <c r="AH489" s="143" t="s">
        <v>2518</v>
      </c>
      <c r="AI489" s="143" t="s">
        <v>663</v>
      </c>
      <c r="AJ489" s="143">
        <v>2891</v>
      </c>
    </row>
    <row r="490" spans="1:45" x14ac:dyDescent="0.35">
      <c r="A490" s="143" t="s">
        <v>2851</v>
      </c>
      <c r="B490" s="143" t="s">
        <v>2518</v>
      </c>
      <c r="C490" s="143" t="s">
        <v>842</v>
      </c>
      <c r="D490" s="143">
        <v>2893</v>
      </c>
      <c r="F490" s="137">
        <v>1</v>
      </c>
      <c r="G490" s="137">
        <v>1</v>
      </c>
      <c r="H490" s="137"/>
      <c r="I490" s="137"/>
      <c r="K490" s="143" t="s">
        <v>2851</v>
      </c>
      <c r="L490" s="143" t="s">
        <v>2518</v>
      </c>
      <c r="M490" s="143" t="s">
        <v>842</v>
      </c>
      <c r="N490" s="143">
        <v>2893</v>
      </c>
      <c r="O490" s="137">
        <v>0.39200000000000002</v>
      </c>
      <c r="Q490" s="137">
        <v>0.98</v>
      </c>
      <c r="R490" s="137" t="s">
        <v>2487</v>
      </c>
      <c r="T490" s="137" t="s">
        <v>2838</v>
      </c>
      <c r="U490" s="137" t="s">
        <v>2838</v>
      </c>
      <c r="W490" s="143" t="s">
        <v>2851</v>
      </c>
      <c r="X490" s="143" t="s">
        <v>2518</v>
      </c>
      <c r="Y490" s="143" t="s">
        <v>842</v>
      </c>
      <c r="Z490" s="143">
        <v>2893</v>
      </c>
      <c r="AG490" s="143" t="s">
        <v>2851</v>
      </c>
      <c r="AH490" s="143" t="s">
        <v>2518</v>
      </c>
      <c r="AI490" s="143" t="s">
        <v>842</v>
      </c>
      <c r="AJ490" s="143">
        <v>2893</v>
      </c>
    </row>
    <row r="491" spans="1:45" x14ac:dyDescent="0.35">
      <c r="A491" s="143" t="s">
        <v>2851</v>
      </c>
      <c r="B491" s="143" t="s">
        <v>2518</v>
      </c>
      <c r="C491" s="143" t="s">
        <v>841</v>
      </c>
      <c r="D491" s="143">
        <v>3238</v>
      </c>
      <c r="F491" s="137">
        <v>1</v>
      </c>
      <c r="G491" s="137">
        <v>1</v>
      </c>
      <c r="H491" s="137"/>
      <c r="I491" s="137"/>
      <c r="K491" s="143" t="s">
        <v>2851</v>
      </c>
      <c r="L491" s="143" t="s">
        <v>2518</v>
      </c>
      <c r="M491" s="143" t="s">
        <v>841</v>
      </c>
      <c r="N491" s="143">
        <v>3238</v>
      </c>
      <c r="O491" s="137">
        <v>0.39466669999999998</v>
      </c>
      <c r="Q491" s="137">
        <v>0.98666670000000001</v>
      </c>
      <c r="R491" s="137" t="s">
        <v>2487</v>
      </c>
      <c r="T491" s="137" t="s">
        <v>2838</v>
      </c>
      <c r="U491" s="137" t="s">
        <v>2838</v>
      </c>
      <c r="W491" s="143" t="s">
        <v>2851</v>
      </c>
      <c r="X491" s="143" t="s">
        <v>2518</v>
      </c>
      <c r="Y491" s="143" t="s">
        <v>841</v>
      </c>
      <c r="Z491" s="143">
        <v>3238</v>
      </c>
      <c r="AG491" s="143" t="s">
        <v>2851</v>
      </c>
      <c r="AH491" s="143" t="s">
        <v>2518</v>
      </c>
      <c r="AI491" s="143" t="s">
        <v>841</v>
      </c>
      <c r="AJ491" s="143">
        <v>3238</v>
      </c>
    </row>
    <row r="492" spans="1:45" x14ac:dyDescent="0.35">
      <c r="A492" s="143" t="s">
        <v>2851</v>
      </c>
      <c r="B492" s="143" t="s">
        <v>2518</v>
      </c>
      <c r="C492" s="143" t="s">
        <v>842</v>
      </c>
      <c r="D492" s="143">
        <v>3239</v>
      </c>
      <c r="F492" s="137">
        <v>1</v>
      </c>
      <c r="G492" s="137">
        <v>1</v>
      </c>
      <c r="H492" s="137"/>
      <c r="I492" s="137"/>
      <c r="K492" s="143" t="s">
        <v>2851</v>
      </c>
      <c r="L492" s="143" t="s">
        <v>2518</v>
      </c>
      <c r="M492" s="143" t="s">
        <v>842</v>
      </c>
      <c r="N492" s="143">
        <v>3239</v>
      </c>
      <c r="O492" s="137">
        <v>0.4</v>
      </c>
      <c r="Q492" s="137">
        <v>1</v>
      </c>
      <c r="R492" s="137" t="s">
        <v>2486</v>
      </c>
      <c r="T492" s="137" t="s">
        <v>2838</v>
      </c>
      <c r="U492" s="137" t="s">
        <v>2838</v>
      </c>
      <c r="W492" s="143" t="s">
        <v>2851</v>
      </c>
      <c r="X492" s="143" t="s">
        <v>2518</v>
      </c>
      <c r="Y492" s="143" t="s">
        <v>842</v>
      </c>
      <c r="Z492" s="143">
        <v>3239</v>
      </c>
      <c r="AG492" s="143" t="s">
        <v>2851</v>
      </c>
      <c r="AH492" s="143" t="s">
        <v>2518</v>
      </c>
      <c r="AI492" s="143" t="s">
        <v>842</v>
      </c>
      <c r="AJ492" s="143">
        <v>3239</v>
      </c>
    </row>
    <row r="493" spans="1:45" x14ac:dyDescent="0.35">
      <c r="A493" s="143" t="s">
        <v>2851</v>
      </c>
      <c r="B493" s="143" t="s">
        <v>2518</v>
      </c>
      <c r="C493" s="143" t="s">
        <v>663</v>
      </c>
      <c r="D493" s="143">
        <v>3293</v>
      </c>
      <c r="F493" s="137">
        <v>1</v>
      </c>
      <c r="G493" s="137">
        <v>1</v>
      </c>
      <c r="H493" s="137"/>
      <c r="I493" s="137"/>
      <c r="K493" s="143" t="s">
        <v>2851</v>
      </c>
      <c r="L493" s="143" t="s">
        <v>2518</v>
      </c>
      <c r="M493" s="143" t="s">
        <v>663</v>
      </c>
      <c r="N493" s="143">
        <v>3293</v>
      </c>
      <c r="O493" s="137">
        <v>0.4</v>
      </c>
      <c r="Q493" s="137">
        <v>1</v>
      </c>
      <c r="R493" s="137" t="s">
        <v>2486</v>
      </c>
      <c r="T493" s="137" t="s">
        <v>2838</v>
      </c>
      <c r="U493" s="137" t="s">
        <v>2838</v>
      </c>
      <c r="W493" s="143" t="s">
        <v>2851</v>
      </c>
      <c r="X493" s="143" t="s">
        <v>2518</v>
      </c>
      <c r="Y493" s="143" t="s">
        <v>663</v>
      </c>
      <c r="Z493" s="143">
        <v>3293</v>
      </c>
      <c r="AG493" s="143" t="s">
        <v>2851</v>
      </c>
      <c r="AH493" s="143" t="s">
        <v>2518</v>
      </c>
      <c r="AI493" s="143" t="s">
        <v>663</v>
      </c>
      <c r="AJ493" s="143">
        <v>3293</v>
      </c>
    </row>
    <row r="494" spans="1:45" x14ac:dyDescent="0.35">
      <c r="A494" s="143" t="s">
        <v>2851</v>
      </c>
      <c r="B494" s="143" t="s">
        <v>2518</v>
      </c>
      <c r="C494" s="143" t="s">
        <v>663</v>
      </c>
      <c r="D494" s="143">
        <v>3457</v>
      </c>
      <c r="F494" s="137">
        <v>1</v>
      </c>
      <c r="G494" s="137">
        <v>1</v>
      </c>
      <c r="H494" s="137"/>
      <c r="I494" s="137"/>
      <c r="K494" s="143" t="s">
        <v>2851</v>
      </c>
      <c r="L494" s="143" t="s">
        <v>2518</v>
      </c>
      <c r="M494" s="143" t="s">
        <v>663</v>
      </c>
      <c r="N494" s="143">
        <v>3457</v>
      </c>
      <c r="O494" s="137">
        <v>0.4</v>
      </c>
      <c r="Q494" s="137">
        <v>1</v>
      </c>
      <c r="R494" s="137" t="s">
        <v>2486</v>
      </c>
      <c r="T494" s="137" t="s">
        <v>2838</v>
      </c>
      <c r="U494" s="137" t="s">
        <v>2838</v>
      </c>
      <c r="W494" s="143" t="s">
        <v>2851</v>
      </c>
      <c r="X494" s="143" t="s">
        <v>2518</v>
      </c>
      <c r="Y494" s="143" t="s">
        <v>663</v>
      </c>
      <c r="Z494" s="143">
        <v>3457</v>
      </c>
      <c r="AG494" s="143" t="s">
        <v>2851</v>
      </c>
      <c r="AH494" s="143" t="s">
        <v>2518</v>
      </c>
      <c r="AI494" s="143" t="s">
        <v>663</v>
      </c>
      <c r="AJ494" s="143">
        <v>3457</v>
      </c>
    </row>
    <row r="495" spans="1:45" x14ac:dyDescent="0.35">
      <c r="A495" s="143" t="s">
        <v>2851</v>
      </c>
      <c r="B495" s="143" t="s">
        <v>2518</v>
      </c>
      <c r="C495" s="143" t="s">
        <v>663</v>
      </c>
      <c r="D495" s="143">
        <v>3467</v>
      </c>
      <c r="F495" s="137">
        <v>1</v>
      </c>
      <c r="G495" s="137">
        <v>1</v>
      </c>
      <c r="H495" s="137"/>
      <c r="I495" s="137"/>
      <c r="K495" s="143" t="s">
        <v>2851</v>
      </c>
      <c r="L495" s="143" t="s">
        <v>2518</v>
      </c>
      <c r="M495" s="143" t="s">
        <v>663</v>
      </c>
      <c r="N495" s="143">
        <v>3467</v>
      </c>
      <c r="O495" s="137">
        <v>0.4</v>
      </c>
      <c r="Q495" s="137">
        <v>1</v>
      </c>
      <c r="R495" s="137" t="s">
        <v>2486</v>
      </c>
      <c r="T495" s="137" t="s">
        <v>2838</v>
      </c>
      <c r="U495" s="137" t="s">
        <v>2838</v>
      </c>
      <c r="W495" s="143" t="s">
        <v>2851</v>
      </c>
      <c r="X495" s="143" t="s">
        <v>2518</v>
      </c>
      <c r="Y495" s="143" t="s">
        <v>663</v>
      </c>
      <c r="Z495" s="143">
        <v>3467</v>
      </c>
      <c r="AG495" s="143" t="s">
        <v>2851</v>
      </c>
      <c r="AH495" s="143" t="s">
        <v>2518</v>
      </c>
      <c r="AI495" s="143" t="s">
        <v>663</v>
      </c>
      <c r="AJ495" s="143">
        <v>3467</v>
      </c>
    </row>
    <row r="496" spans="1:45" x14ac:dyDescent="0.35">
      <c r="A496" s="143" t="s">
        <v>2851</v>
      </c>
      <c r="B496" s="143" t="s">
        <v>2518</v>
      </c>
      <c r="C496" s="143" t="s">
        <v>663</v>
      </c>
      <c r="D496" s="143">
        <v>4097</v>
      </c>
      <c r="F496" s="137">
        <v>1</v>
      </c>
      <c r="G496" s="137">
        <v>1</v>
      </c>
      <c r="H496" s="137"/>
      <c r="I496" s="137"/>
      <c r="K496" s="143" t="s">
        <v>2851</v>
      </c>
      <c r="L496" s="143" t="s">
        <v>2518</v>
      </c>
      <c r="M496" s="143" t="s">
        <v>663</v>
      </c>
      <c r="N496" s="143">
        <v>4097</v>
      </c>
      <c r="O496" s="137">
        <v>0.4</v>
      </c>
      <c r="Q496" s="137">
        <v>1</v>
      </c>
      <c r="R496" s="137" t="s">
        <v>2486</v>
      </c>
      <c r="T496" s="137" t="s">
        <v>2838</v>
      </c>
      <c r="U496" s="137" t="s">
        <v>2838</v>
      </c>
      <c r="W496" s="143" t="s">
        <v>2851</v>
      </c>
      <c r="X496" s="143" t="s">
        <v>2518</v>
      </c>
      <c r="Y496" s="143" t="s">
        <v>663</v>
      </c>
      <c r="Z496" s="143">
        <v>4097</v>
      </c>
      <c r="AG496" s="143" t="s">
        <v>2851</v>
      </c>
      <c r="AH496" s="143" t="s">
        <v>2518</v>
      </c>
      <c r="AI496" s="143" t="s">
        <v>663</v>
      </c>
      <c r="AJ496" s="143">
        <v>4097</v>
      </c>
    </row>
    <row r="497" spans="1:45" x14ac:dyDescent="0.35">
      <c r="A497" s="143" t="s">
        <v>2852</v>
      </c>
      <c r="B497" s="143" t="s">
        <v>728</v>
      </c>
      <c r="C497" s="143" t="s">
        <v>843</v>
      </c>
      <c r="D497" s="143">
        <v>759</v>
      </c>
      <c r="E497" s="143">
        <v>8</v>
      </c>
      <c r="F497" s="137"/>
      <c r="G497" s="137"/>
      <c r="H497" s="137">
        <v>1</v>
      </c>
      <c r="I497" s="137">
        <v>0</v>
      </c>
      <c r="K497" s="143" t="s">
        <v>2852</v>
      </c>
      <c r="L497" s="143" t="s">
        <v>728</v>
      </c>
      <c r="M497" s="143" t="s">
        <v>843</v>
      </c>
      <c r="N497" s="143">
        <v>759</v>
      </c>
      <c r="O497" s="137">
        <v>0.39600000000000002</v>
      </c>
      <c r="P497" s="137">
        <v>0.6</v>
      </c>
      <c r="Q497" s="137">
        <v>0.99600010000000005</v>
      </c>
      <c r="R497" s="137" t="s">
        <v>2487</v>
      </c>
      <c r="S497" s="137">
        <v>0.28260869999999999</v>
      </c>
      <c r="T497" s="137" t="s">
        <v>2486</v>
      </c>
      <c r="U497" s="137" t="s">
        <v>2486</v>
      </c>
      <c r="W497" s="143" t="s">
        <v>2852</v>
      </c>
      <c r="X497" s="143" t="s">
        <v>728</v>
      </c>
      <c r="Y497" s="143" t="s">
        <v>843</v>
      </c>
      <c r="Z497" s="143">
        <v>759</v>
      </c>
      <c r="AA497" s="143">
        <v>8</v>
      </c>
      <c r="AB497" s="137">
        <v>1</v>
      </c>
      <c r="AD497" s="137">
        <v>2.1739100000000001E-2</v>
      </c>
      <c r="AE497" s="137">
        <v>0</v>
      </c>
      <c r="AG497" s="143" t="s">
        <v>2852</v>
      </c>
      <c r="AH497" s="143" t="s">
        <v>728</v>
      </c>
      <c r="AI497" s="143" t="s">
        <v>843</v>
      </c>
      <c r="AJ497" s="143">
        <v>759</v>
      </c>
      <c r="AK497" s="143">
        <v>8</v>
      </c>
      <c r="AL497" s="156">
        <v>2.75</v>
      </c>
      <c r="AM497" s="156">
        <v>3.25</v>
      </c>
      <c r="AN497" s="156">
        <v>3.5</v>
      </c>
      <c r="AO497" s="156">
        <v>3.375</v>
      </c>
      <c r="AP497" s="156">
        <v>3.125</v>
      </c>
      <c r="AQ497" s="156">
        <v>3.625</v>
      </c>
      <c r="AR497" s="156">
        <v>3.625</v>
      </c>
      <c r="AS497" s="169">
        <v>3.25</v>
      </c>
    </row>
    <row r="498" spans="1:45" x14ac:dyDescent="0.35">
      <c r="A498" s="143" t="s">
        <v>2852</v>
      </c>
      <c r="B498" s="143" t="s">
        <v>728</v>
      </c>
      <c r="C498" s="143" t="s">
        <v>841</v>
      </c>
      <c r="D498" s="143">
        <v>1893</v>
      </c>
      <c r="E498" s="143">
        <v>3</v>
      </c>
      <c r="F498" s="137"/>
      <c r="G498" s="137"/>
      <c r="H498" s="137">
        <v>1</v>
      </c>
      <c r="I498" s="137">
        <v>0</v>
      </c>
      <c r="K498" s="143" t="s">
        <v>2852</v>
      </c>
      <c r="L498" s="143" t="s">
        <v>728</v>
      </c>
      <c r="M498" s="143" t="s">
        <v>841</v>
      </c>
      <c r="N498" s="143">
        <v>1893</v>
      </c>
      <c r="O498" s="137">
        <v>0.26666669999999998</v>
      </c>
      <c r="P498" s="137">
        <v>0.6</v>
      </c>
      <c r="Q498" s="137">
        <v>0.86666670000000001</v>
      </c>
      <c r="R498" s="137" t="s">
        <v>2487</v>
      </c>
      <c r="S498" s="137">
        <v>0.35714289999999999</v>
      </c>
      <c r="T498" s="137" t="s">
        <v>2486</v>
      </c>
      <c r="U498" s="137" t="s">
        <v>2486</v>
      </c>
      <c r="W498" s="143" t="s">
        <v>2852</v>
      </c>
      <c r="X498" s="143" t="s">
        <v>728</v>
      </c>
      <c r="Y498" s="143" t="s">
        <v>841</v>
      </c>
      <c r="Z498" s="143">
        <v>1893</v>
      </c>
      <c r="AA498" s="143">
        <v>0</v>
      </c>
      <c r="AD498" s="137">
        <v>0</v>
      </c>
      <c r="AG498" s="143" t="s">
        <v>2852</v>
      </c>
      <c r="AH498" s="143" t="s">
        <v>728</v>
      </c>
      <c r="AI498" s="143" t="s">
        <v>841</v>
      </c>
      <c r="AJ498" s="143">
        <v>1893</v>
      </c>
      <c r="AK498" s="143">
        <v>3</v>
      </c>
      <c r="AL498" s="156">
        <v>3</v>
      </c>
      <c r="AM498" s="156">
        <v>3.3333332538604701</v>
      </c>
      <c r="AN498" s="156">
        <v>3</v>
      </c>
      <c r="AO498" s="156">
        <v>2.6666667461395299</v>
      </c>
      <c r="AP498" s="156">
        <v>4</v>
      </c>
      <c r="AQ498" s="156">
        <v>4</v>
      </c>
      <c r="AR498" s="156">
        <v>3</v>
      </c>
      <c r="AS498" s="169">
        <v>3.1428569999999998</v>
      </c>
    </row>
    <row r="499" spans="1:45" x14ac:dyDescent="0.35">
      <c r="A499" s="143" t="s">
        <v>2852</v>
      </c>
      <c r="B499" s="143" t="s">
        <v>728</v>
      </c>
      <c r="C499" s="143" t="s">
        <v>663</v>
      </c>
      <c r="D499" s="143">
        <v>2891</v>
      </c>
      <c r="E499" s="143">
        <v>2</v>
      </c>
      <c r="F499" s="137"/>
      <c r="G499" s="137"/>
      <c r="H499" s="137">
        <v>1</v>
      </c>
      <c r="I499" s="137">
        <v>0</v>
      </c>
      <c r="K499" s="143" t="s">
        <v>2852</v>
      </c>
      <c r="L499" s="143" t="s">
        <v>728</v>
      </c>
      <c r="M499" s="143" t="s">
        <v>663</v>
      </c>
      <c r="N499" s="143">
        <v>2891</v>
      </c>
      <c r="O499" s="137">
        <v>0.376</v>
      </c>
      <c r="P499" s="137">
        <v>0.6</v>
      </c>
      <c r="Q499" s="137">
        <v>0.97599999999999998</v>
      </c>
      <c r="R499" s="137" t="s">
        <v>2487</v>
      </c>
      <c r="S499" s="137">
        <v>0.4</v>
      </c>
      <c r="T499" s="137" t="s">
        <v>2486</v>
      </c>
      <c r="U499" s="137" t="s">
        <v>2838</v>
      </c>
      <c r="W499" s="143" t="s">
        <v>2852</v>
      </c>
      <c r="X499" s="143" t="s">
        <v>728</v>
      </c>
      <c r="Y499" s="143" t="s">
        <v>663</v>
      </c>
      <c r="Z499" s="143">
        <v>2891</v>
      </c>
      <c r="AA499" s="143">
        <v>0</v>
      </c>
      <c r="AD499" s="137">
        <v>0</v>
      </c>
      <c r="AG499" s="143" t="s">
        <v>2852</v>
      </c>
      <c r="AH499" s="143" t="s">
        <v>728</v>
      </c>
      <c r="AI499" s="143" t="s">
        <v>663</v>
      </c>
      <c r="AJ499" s="143">
        <v>2891</v>
      </c>
      <c r="AK499" s="143">
        <v>2</v>
      </c>
      <c r="AL499" s="156">
        <v>3</v>
      </c>
      <c r="AM499" s="156">
        <v>3.5</v>
      </c>
      <c r="AN499" s="156">
        <v>2.5</v>
      </c>
      <c r="AO499" s="156">
        <v>2</v>
      </c>
      <c r="AP499" s="156">
        <v>1</v>
      </c>
      <c r="AQ499" s="156">
        <v>3.5</v>
      </c>
      <c r="AR499" s="156">
        <v>3.5</v>
      </c>
      <c r="AS499" s="169">
        <v>2.5714290000000002</v>
      </c>
    </row>
    <row r="500" spans="1:45" x14ac:dyDescent="0.35">
      <c r="A500" s="143" t="s">
        <v>2852</v>
      </c>
      <c r="B500" s="143" t="s">
        <v>728</v>
      </c>
      <c r="C500" s="143" t="s">
        <v>842</v>
      </c>
      <c r="D500" s="143">
        <v>2893</v>
      </c>
      <c r="E500" s="143">
        <v>2</v>
      </c>
      <c r="F500" s="137"/>
      <c r="G500" s="137"/>
      <c r="H500" s="137">
        <v>1</v>
      </c>
      <c r="I500" s="137">
        <v>0</v>
      </c>
      <c r="K500" s="143" t="s">
        <v>2852</v>
      </c>
      <c r="L500" s="143" t="s">
        <v>728</v>
      </c>
      <c r="M500" s="143" t="s">
        <v>842</v>
      </c>
      <c r="N500" s="143">
        <v>2893</v>
      </c>
      <c r="O500" s="137">
        <v>0.39200000000000002</v>
      </c>
      <c r="P500" s="137">
        <v>0.6</v>
      </c>
      <c r="Q500" s="137">
        <v>0.99199999999999999</v>
      </c>
      <c r="R500" s="137" t="s">
        <v>2487</v>
      </c>
      <c r="S500" s="137">
        <v>0.5</v>
      </c>
      <c r="T500" s="137" t="s">
        <v>2486</v>
      </c>
      <c r="U500" s="137" t="s">
        <v>2486</v>
      </c>
      <c r="W500" s="143" t="s">
        <v>2852</v>
      </c>
      <c r="X500" s="143" t="s">
        <v>728</v>
      </c>
      <c r="Y500" s="143" t="s">
        <v>842</v>
      </c>
      <c r="Z500" s="143">
        <v>2893</v>
      </c>
      <c r="AA500" s="143">
        <v>0</v>
      </c>
      <c r="AD500" s="137">
        <v>0</v>
      </c>
      <c r="AG500" s="143" t="s">
        <v>2852</v>
      </c>
      <c r="AH500" s="143" t="s">
        <v>728</v>
      </c>
      <c r="AI500" s="143" t="s">
        <v>842</v>
      </c>
      <c r="AJ500" s="143">
        <v>2893</v>
      </c>
      <c r="AK500" s="143">
        <v>2</v>
      </c>
      <c r="AL500" s="156">
        <v>3</v>
      </c>
      <c r="AM500" s="156">
        <v>3.5</v>
      </c>
      <c r="AN500" s="156">
        <v>3</v>
      </c>
      <c r="AO500" s="156">
        <v>3</v>
      </c>
      <c r="AP500" s="156">
        <v>4</v>
      </c>
      <c r="AQ500" s="156">
        <v>4</v>
      </c>
      <c r="AR500" s="156">
        <v>3</v>
      </c>
      <c r="AS500" s="169">
        <v>3.214286</v>
      </c>
    </row>
    <row r="501" spans="1:45" x14ac:dyDescent="0.35">
      <c r="A501" s="143" t="s">
        <v>2852</v>
      </c>
      <c r="B501" s="143" t="s">
        <v>728</v>
      </c>
      <c r="C501" s="143" t="s">
        <v>841</v>
      </c>
      <c r="D501" s="143">
        <v>3238</v>
      </c>
      <c r="E501" s="143">
        <v>3</v>
      </c>
      <c r="F501" s="137"/>
      <c r="G501" s="137"/>
      <c r="H501" s="137">
        <v>1</v>
      </c>
      <c r="I501" s="137">
        <v>0</v>
      </c>
      <c r="K501" s="143" t="s">
        <v>2852</v>
      </c>
      <c r="L501" s="143" t="s">
        <v>728</v>
      </c>
      <c r="M501" s="143" t="s">
        <v>841</v>
      </c>
      <c r="N501" s="143">
        <v>3238</v>
      </c>
      <c r="O501" s="137">
        <v>0.4</v>
      </c>
      <c r="P501" s="137">
        <v>0.6</v>
      </c>
      <c r="Q501" s="137">
        <v>1</v>
      </c>
      <c r="R501" s="137" t="s">
        <v>2486</v>
      </c>
      <c r="S501" s="137">
        <v>0.5</v>
      </c>
      <c r="T501" s="137" t="s">
        <v>2486</v>
      </c>
      <c r="U501" s="137" t="s">
        <v>2486</v>
      </c>
      <c r="W501" s="143" t="s">
        <v>2852</v>
      </c>
      <c r="X501" s="143" t="s">
        <v>728</v>
      </c>
      <c r="Y501" s="143" t="s">
        <v>841</v>
      </c>
      <c r="Z501" s="143">
        <v>3238</v>
      </c>
      <c r="AA501" s="143">
        <v>0</v>
      </c>
      <c r="AD501" s="137">
        <v>0</v>
      </c>
      <c r="AE501" s="137">
        <v>0</v>
      </c>
      <c r="AG501" s="143" t="s">
        <v>2852</v>
      </c>
      <c r="AH501" s="143" t="s">
        <v>728</v>
      </c>
      <c r="AI501" s="143" t="s">
        <v>841</v>
      </c>
      <c r="AJ501" s="143">
        <v>3238</v>
      </c>
      <c r="AK501" s="143">
        <v>3</v>
      </c>
      <c r="AL501" s="156">
        <v>3.3333332538604701</v>
      </c>
      <c r="AM501" s="156">
        <v>3</v>
      </c>
      <c r="AN501" s="156">
        <v>3.3333332538604701</v>
      </c>
      <c r="AO501" s="156">
        <v>2.6666667461395299</v>
      </c>
      <c r="AP501" s="156">
        <v>3.6666667461395299</v>
      </c>
      <c r="AQ501" s="156">
        <v>3.6666667461395299</v>
      </c>
      <c r="AR501" s="156">
        <v>3.3333332538604701</v>
      </c>
      <c r="AS501" s="169">
        <v>3.1904759999999999</v>
      </c>
    </row>
    <row r="502" spans="1:45" x14ac:dyDescent="0.35">
      <c r="A502" s="143" t="s">
        <v>2852</v>
      </c>
      <c r="B502" s="143" t="s">
        <v>728</v>
      </c>
      <c r="C502" s="143" t="s">
        <v>842</v>
      </c>
      <c r="D502" s="143">
        <v>3239</v>
      </c>
      <c r="E502" s="143">
        <v>2</v>
      </c>
      <c r="F502" s="137"/>
      <c r="G502" s="137"/>
      <c r="H502" s="137">
        <v>1</v>
      </c>
      <c r="I502" s="137">
        <v>0</v>
      </c>
      <c r="K502" s="143" t="s">
        <v>2852</v>
      </c>
      <c r="L502" s="143" t="s">
        <v>728</v>
      </c>
      <c r="M502" s="143" t="s">
        <v>842</v>
      </c>
      <c r="N502" s="143">
        <v>3239</v>
      </c>
      <c r="O502" s="137">
        <v>0.4</v>
      </c>
      <c r="P502" s="137">
        <v>0.6</v>
      </c>
      <c r="Q502" s="137">
        <v>1</v>
      </c>
      <c r="R502" s="137" t="s">
        <v>2486</v>
      </c>
      <c r="S502" s="137">
        <v>0.3</v>
      </c>
      <c r="T502" s="137" t="s">
        <v>2486</v>
      </c>
      <c r="U502" s="137" t="s">
        <v>2486</v>
      </c>
      <c r="W502" s="143" t="s">
        <v>2852</v>
      </c>
      <c r="X502" s="143" t="s">
        <v>728</v>
      </c>
      <c r="Y502" s="143" t="s">
        <v>842</v>
      </c>
      <c r="Z502" s="143">
        <v>3239</v>
      </c>
      <c r="AA502" s="143">
        <v>0</v>
      </c>
      <c r="AD502" s="137">
        <v>0</v>
      </c>
      <c r="AG502" s="143" t="s">
        <v>2852</v>
      </c>
      <c r="AH502" s="143" t="s">
        <v>728</v>
      </c>
      <c r="AI502" s="143" t="s">
        <v>842</v>
      </c>
      <c r="AJ502" s="143">
        <v>3239</v>
      </c>
      <c r="AK502" s="143">
        <v>2</v>
      </c>
      <c r="AL502" s="156">
        <v>3</v>
      </c>
      <c r="AM502" s="156">
        <v>3</v>
      </c>
      <c r="AN502" s="156">
        <v>2</v>
      </c>
      <c r="AO502" s="156">
        <v>2</v>
      </c>
      <c r="AP502" s="156">
        <v>2</v>
      </c>
      <c r="AQ502" s="156">
        <v>3</v>
      </c>
      <c r="AR502" s="156">
        <v>2.5</v>
      </c>
      <c r="AS502" s="169">
        <v>2.3571430000000002</v>
      </c>
    </row>
    <row r="503" spans="1:45" x14ac:dyDescent="0.35">
      <c r="A503" s="143" t="s">
        <v>2852</v>
      </c>
      <c r="B503" s="143" t="s">
        <v>728</v>
      </c>
      <c r="C503" s="143" t="s">
        <v>663</v>
      </c>
      <c r="D503" s="143">
        <v>3293</v>
      </c>
      <c r="E503" s="143">
        <v>2</v>
      </c>
      <c r="F503" s="137"/>
      <c r="G503" s="137"/>
      <c r="H503" s="137">
        <v>1</v>
      </c>
      <c r="I503" s="137">
        <v>0.5</v>
      </c>
      <c r="K503" s="143" t="s">
        <v>2852</v>
      </c>
      <c r="L503" s="143" t="s">
        <v>728</v>
      </c>
      <c r="M503" s="143" t="s">
        <v>663</v>
      </c>
      <c r="N503" s="143">
        <v>3293</v>
      </c>
      <c r="O503" s="137">
        <v>0.32800000000000001</v>
      </c>
      <c r="P503" s="137">
        <v>0.6</v>
      </c>
      <c r="Q503" s="137">
        <v>0.92800000000000005</v>
      </c>
      <c r="R503" s="137" t="s">
        <v>2487</v>
      </c>
      <c r="S503" s="137">
        <v>0.5</v>
      </c>
      <c r="T503" s="137" t="s">
        <v>2486</v>
      </c>
      <c r="U503" s="137" t="s">
        <v>2838</v>
      </c>
      <c r="W503" s="143" t="s">
        <v>2852</v>
      </c>
      <c r="X503" s="143" t="s">
        <v>728</v>
      </c>
      <c r="Y503" s="143" t="s">
        <v>663</v>
      </c>
      <c r="Z503" s="143">
        <v>3293</v>
      </c>
      <c r="AA503" s="143">
        <v>0</v>
      </c>
      <c r="AD503" s="137">
        <v>0</v>
      </c>
      <c r="AE503" s="137">
        <v>0.25</v>
      </c>
      <c r="AG503" s="143" t="s">
        <v>2852</v>
      </c>
      <c r="AH503" s="143" t="s">
        <v>728</v>
      </c>
      <c r="AI503" s="143" t="s">
        <v>663</v>
      </c>
      <c r="AJ503" s="143">
        <v>3293</v>
      </c>
      <c r="AK503" s="143">
        <v>2</v>
      </c>
      <c r="AL503" s="156">
        <v>2</v>
      </c>
      <c r="AM503" s="156">
        <v>3</v>
      </c>
      <c r="AN503" s="156">
        <v>3</v>
      </c>
      <c r="AO503" s="156">
        <v>3</v>
      </c>
      <c r="AP503" s="156">
        <v>4</v>
      </c>
      <c r="AQ503" s="156">
        <v>3</v>
      </c>
      <c r="AR503" s="156">
        <v>3</v>
      </c>
      <c r="AS503" s="169">
        <v>3.1428569999999998</v>
      </c>
    </row>
    <row r="504" spans="1:45" x14ac:dyDescent="0.35">
      <c r="A504" s="143" t="s">
        <v>2852</v>
      </c>
      <c r="B504" s="143" t="s">
        <v>728</v>
      </c>
      <c r="C504" s="143" t="s">
        <v>663</v>
      </c>
      <c r="D504" s="143">
        <v>3457</v>
      </c>
      <c r="E504" s="143">
        <v>4</v>
      </c>
      <c r="F504" s="137"/>
      <c r="G504" s="137"/>
      <c r="H504" s="137">
        <v>1</v>
      </c>
      <c r="I504" s="137">
        <v>0.25</v>
      </c>
      <c r="K504" s="143" t="s">
        <v>2852</v>
      </c>
      <c r="L504" s="143" t="s">
        <v>728</v>
      </c>
      <c r="M504" s="143" t="s">
        <v>663</v>
      </c>
      <c r="N504" s="143">
        <v>3457</v>
      </c>
      <c r="O504" s="137">
        <v>0.4</v>
      </c>
      <c r="P504" s="137">
        <v>0.6</v>
      </c>
      <c r="Q504" s="137">
        <v>1</v>
      </c>
      <c r="R504" s="137" t="s">
        <v>2486</v>
      </c>
      <c r="S504" s="137">
        <v>0.4</v>
      </c>
      <c r="T504" s="137" t="s">
        <v>2486</v>
      </c>
      <c r="U504" s="137" t="s">
        <v>2838</v>
      </c>
      <c r="W504" s="143" t="s">
        <v>2852</v>
      </c>
      <c r="X504" s="143" t="s">
        <v>728</v>
      </c>
      <c r="Y504" s="143" t="s">
        <v>663</v>
      </c>
      <c r="Z504" s="143">
        <v>3457</v>
      </c>
      <c r="AA504" s="143">
        <v>0</v>
      </c>
      <c r="AD504" s="137">
        <v>0</v>
      </c>
      <c r="AG504" s="143" t="s">
        <v>2852</v>
      </c>
      <c r="AH504" s="143" t="s">
        <v>728</v>
      </c>
      <c r="AI504" s="143" t="s">
        <v>663</v>
      </c>
      <c r="AJ504" s="143">
        <v>3457</v>
      </c>
      <c r="AK504" s="143">
        <v>4</v>
      </c>
      <c r="AL504" s="156">
        <v>2</v>
      </c>
      <c r="AM504" s="156">
        <v>3</v>
      </c>
      <c r="AN504" s="156">
        <v>3</v>
      </c>
      <c r="AO504" s="156">
        <v>3</v>
      </c>
      <c r="AP504" s="156">
        <v>3</v>
      </c>
      <c r="AQ504" s="156">
        <v>3</v>
      </c>
      <c r="AR504" s="156">
        <v>3</v>
      </c>
      <c r="AS504" s="169">
        <v>3</v>
      </c>
    </row>
    <row r="505" spans="1:45" x14ac:dyDescent="0.35">
      <c r="A505" s="143" t="s">
        <v>2852</v>
      </c>
      <c r="B505" s="143" t="s">
        <v>728</v>
      </c>
      <c r="C505" s="143" t="s">
        <v>663</v>
      </c>
      <c r="D505" s="143">
        <v>3467</v>
      </c>
      <c r="E505" s="143">
        <v>3</v>
      </c>
      <c r="F505" s="137"/>
      <c r="G505" s="137"/>
      <c r="H505" s="137">
        <v>1</v>
      </c>
      <c r="I505" s="137">
        <v>0</v>
      </c>
      <c r="K505" s="143" t="s">
        <v>2852</v>
      </c>
      <c r="L505" s="143" t="s">
        <v>728</v>
      </c>
      <c r="M505" s="143" t="s">
        <v>663</v>
      </c>
      <c r="N505" s="143">
        <v>3467</v>
      </c>
      <c r="O505" s="137">
        <v>0.4</v>
      </c>
      <c r="P505" s="137">
        <v>0.6</v>
      </c>
      <c r="Q505" s="137">
        <v>1</v>
      </c>
      <c r="R505" s="137" t="s">
        <v>2486</v>
      </c>
      <c r="S505" s="137">
        <v>0.4</v>
      </c>
      <c r="T505" s="137" t="s">
        <v>2486</v>
      </c>
      <c r="U505" s="137" t="s">
        <v>2838</v>
      </c>
      <c r="W505" s="143" t="s">
        <v>2852</v>
      </c>
      <c r="X505" s="143" t="s">
        <v>728</v>
      </c>
      <c r="Y505" s="143" t="s">
        <v>663</v>
      </c>
      <c r="Z505" s="143">
        <v>3467</v>
      </c>
      <c r="AA505" s="143">
        <v>0</v>
      </c>
      <c r="AD505" s="137">
        <v>0</v>
      </c>
      <c r="AG505" s="143" t="s">
        <v>2852</v>
      </c>
      <c r="AH505" s="143" t="s">
        <v>728</v>
      </c>
      <c r="AI505" s="143" t="s">
        <v>663</v>
      </c>
      <c r="AJ505" s="143">
        <v>3467</v>
      </c>
      <c r="AK505" s="143">
        <v>3</v>
      </c>
      <c r="AL505" s="156">
        <v>2.6666667461395299</v>
      </c>
      <c r="AM505" s="156">
        <v>3</v>
      </c>
      <c r="AN505" s="156">
        <v>3.3333332538604701</v>
      </c>
      <c r="AO505" s="156">
        <v>3</v>
      </c>
      <c r="AP505" s="156">
        <v>2.6666667461395299</v>
      </c>
      <c r="AQ505" s="156">
        <v>3.3333332538604701</v>
      </c>
      <c r="AR505" s="156">
        <v>3.3333332538604701</v>
      </c>
      <c r="AS505" s="169">
        <v>3</v>
      </c>
    </row>
    <row r="506" spans="1:45" x14ac:dyDescent="0.35">
      <c r="A506" s="143" t="s">
        <v>2852</v>
      </c>
      <c r="B506" s="143" t="s">
        <v>728</v>
      </c>
      <c r="C506" s="143" t="s">
        <v>663</v>
      </c>
      <c r="D506" s="143">
        <v>4097</v>
      </c>
      <c r="E506" s="143">
        <v>2</v>
      </c>
      <c r="F506" s="137"/>
      <c r="G506" s="137"/>
      <c r="H506" s="137">
        <v>1</v>
      </c>
      <c r="I506" s="137">
        <v>0.5</v>
      </c>
      <c r="K506" s="143" t="s">
        <v>2852</v>
      </c>
      <c r="L506" s="143" t="s">
        <v>728</v>
      </c>
      <c r="M506" s="143" t="s">
        <v>663</v>
      </c>
      <c r="N506" s="143">
        <v>4097</v>
      </c>
      <c r="O506" s="137">
        <v>0.4</v>
      </c>
      <c r="P506" s="137">
        <v>0.6</v>
      </c>
      <c r="Q506" s="137">
        <v>1</v>
      </c>
      <c r="R506" s="137" t="s">
        <v>2486</v>
      </c>
      <c r="S506" s="137">
        <v>0.4</v>
      </c>
      <c r="T506" s="137" t="s">
        <v>2486</v>
      </c>
      <c r="U506" s="137" t="s">
        <v>2838</v>
      </c>
      <c r="W506" s="143" t="s">
        <v>2852</v>
      </c>
      <c r="X506" s="143" t="s">
        <v>728</v>
      </c>
      <c r="Y506" s="143" t="s">
        <v>663</v>
      </c>
      <c r="Z506" s="143">
        <v>4097</v>
      </c>
      <c r="AA506" s="143">
        <v>0</v>
      </c>
      <c r="AD506" s="137">
        <v>0</v>
      </c>
      <c r="AG506" s="143" t="s">
        <v>2852</v>
      </c>
      <c r="AH506" s="143" t="s">
        <v>728</v>
      </c>
      <c r="AI506" s="143" t="s">
        <v>663</v>
      </c>
      <c r="AJ506" s="143">
        <v>4097</v>
      </c>
      <c r="AK506" s="143">
        <v>2</v>
      </c>
      <c r="AL506" s="156">
        <v>2</v>
      </c>
      <c r="AM506" s="156">
        <v>3</v>
      </c>
      <c r="AN506" s="156">
        <v>3</v>
      </c>
      <c r="AO506" s="156">
        <v>3</v>
      </c>
      <c r="AP506" s="156">
        <v>1</v>
      </c>
      <c r="AQ506" s="156">
        <v>3</v>
      </c>
      <c r="AR506" s="156">
        <v>3</v>
      </c>
      <c r="AS506" s="169">
        <v>2.714286</v>
      </c>
    </row>
    <row r="507" spans="1:45" x14ac:dyDescent="0.35">
      <c r="F507" s="137"/>
      <c r="G507" s="137"/>
      <c r="H507" s="137"/>
      <c r="I507" s="137"/>
    </row>
    <row r="508" spans="1:45" x14ac:dyDescent="0.35">
      <c r="F508" s="137"/>
      <c r="G508" s="137"/>
      <c r="H508" s="137"/>
      <c r="I508" s="137"/>
    </row>
    <row r="509" spans="1:45" x14ac:dyDescent="0.35">
      <c r="F509" s="137"/>
      <c r="G509" s="137"/>
      <c r="H509" s="137"/>
      <c r="I509" s="137"/>
    </row>
    <row r="510" spans="1:45" x14ac:dyDescent="0.35">
      <c r="F510" s="137"/>
      <c r="G510" s="137"/>
      <c r="H510" s="137"/>
      <c r="I510" s="137"/>
    </row>
    <row r="511" spans="1:45" x14ac:dyDescent="0.35">
      <c r="F511" s="137"/>
      <c r="G511" s="137"/>
      <c r="H511" s="137"/>
      <c r="I511" s="137"/>
    </row>
    <row r="512" spans="1:45" x14ac:dyDescent="0.35">
      <c r="F512" s="137"/>
      <c r="G512" s="137"/>
      <c r="H512" s="137"/>
      <c r="I512" s="137"/>
    </row>
    <row r="513" spans="6:9" x14ac:dyDescent="0.35">
      <c r="F513" s="137"/>
      <c r="G513" s="137"/>
      <c r="H513" s="137"/>
      <c r="I513" s="137"/>
    </row>
    <row r="514" spans="6:9" x14ac:dyDescent="0.35">
      <c r="F514" s="137"/>
      <c r="G514" s="137"/>
      <c r="H514" s="137"/>
      <c r="I514" s="137"/>
    </row>
    <row r="515" spans="6:9" x14ac:dyDescent="0.35">
      <c r="F515" s="137"/>
      <c r="G515" s="137"/>
      <c r="H515" s="137"/>
      <c r="I515" s="137"/>
    </row>
    <row r="516" spans="6:9" x14ac:dyDescent="0.35">
      <c r="F516" s="137"/>
      <c r="G516" s="137"/>
      <c r="H516" s="137"/>
      <c r="I516" s="137"/>
    </row>
    <row r="517" spans="6:9" x14ac:dyDescent="0.35">
      <c r="F517" s="137"/>
      <c r="G517" s="137"/>
      <c r="H517" s="137"/>
      <c r="I517" s="137"/>
    </row>
    <row r="518" spans="6:9" x14ac:dyDescent="0.35">
      <c r="F518" s="137"/>
      <c r="G518" s="137"/>
      <c r="H518" s="137"/>
      <c r="I518" s="137"/>
    </row>
    <row r="519" spans="6:9" x14ac:dyDescent="0.35">
      <c r="F519" s="137"/>
      <c r="G519" s="137"/>
      <c r="H519" s="137"/>
      <c r="I519" s="137"/>
    </row>
    <row r="520" spans="6:9" x14ac:dyDescent="0.35">
      <c r="F520" s="137"/>
      <c r="G520" s="137"/>
      <c r="H520" s="137"/>
      <c r="I520" s="137"/>
    </row>
    <row r="521" spans="6:9" x14ac:dyDescent="0.35">
      <c r="F521" s="137"/>
      <c r="G521" s="137"/>
      <c r="H521" s="137"/>
      <c r="I521" s="137"/>
    </row>
    <row r="522" spans="6:9" x14ac:dyDescent="0.35">
      <c r="F522" s="137"/>
      <c r="G522" s="137"/>
      <c r="H522" s="137"/>
      <c r="I522" s="137"/>
    </row>
    <row r="523" spans="6:9" x14ac:dyDescent="0.35">
      <c r="F523" s="137"/>
      <c r="G523" s="137"/>
      <c r="H523" s="137"/>
      <c r="I523" s="137"/>
    </row>
    <row r="524" spans="6:9" x14ac:dyDescent="0.35">
      <c r="F524" s="137"/>
      <c r="G524" s="137"/>
      <c r="H524" s="137"/>
      <c r="I524" s="137"/>
    </row>
    <row r="525" spans="6:9" x14ac:dyDescent="0.35">
      <c r="F525" s="137"/>
      <c r="G525" s="137"/>
      <c r="H525" s="137"/>
      <c r="I525" s="137"/>
    </row>
    <row r="526" spans="6:9" x14ac:dyDescent="0.35">
      <c r="F526" s="137"/>
      <c r="G526" s="137"/>
      <c r="H526" s="137"/>
      <c r="I526" s="137"/>
    </row>
    <row r="527" spans="6:9" x14ac:dyDescent="0.35">
      <c r="F527" s="137"/>
      <c r="G527" s="137"/>
      <c r="H527" s="137"/>
      <c r="I527" s="137"/>
    </row>
    <row r="528" spans="6:9" x14ac:dyDescent="0.35">
      <c r="F528" s="137"/>
      <c r="G528" s="137"/>
      <c r="H528" s="137"/>
      <c r="I528" s="137"/>
    </row>
    <row r="529" spans="6:9" x14ac:dyDescent="0.35">
      <c r="F529" s="137"/>
      <c r="G529" s="137"/>
      <c r="H529" s="137"/>
      <c r="I529" s="137"/>
    </row>
    <row r="530" spans="6:9" x14ac:dyDescent="0.35">
      <c r="F530" s="137"/>
      <c r="G530" s="137"/>
      <c r="H530" s="137"/>
      <c r="I530" s="137"/>
    </row>
    <row r="531" spans="6:9" x14ac:dyDescent="0.35">
      <c r="F531" s="137"/>
      <c r="G531" s="137"/>
      <c r="H531" s="137"/>
      <c r="I531" s="137"/>
    </row>
    <row r="532" spans="6:9" x14ac:dyDescent="0.35">
      <c r="F532" s="137"/>
      <c r="G532" s="137"/>
      <c r="H532" s="137"/>
      <c r="I532" s="137"/>
    </row>
    <row r="533" spans="6:9" x14ac:dyDescent="0.35">
      <c r="F533" s="137"/>
      <c r="G533" s="137"/>
      <c r="H533" s="137"/>
      <c r="I533" s="137"/>
    </row>
    <row r="534" spans="6:9" x14ac:dyDescent="0.35">
      <c r="F534" s="137"/>
      <c r="G534" s="137"/>
      <c r="H534" s="137"/>
      <c r="I534" s="137"/>
    </row>
    <row r="535" spans="6:9" x14ac:dyDescent="0.35">
      <c r="F535" s="137"/>
      <c r="G535" s="137"/>
      <c r="H535" s="137"/>
      <c r="I535" s="137"/>
    </row>
    <row r="536" spans="6:9" x14ac:dyDescent="0.35">
      <c r="F536" s="137"/>
      <c r="G536" s="137"/>
      <c r="H536" s="137"/>
      <c r="I536" s="137"/>
    </row>
    <row r="537" spans="6:9" x14ac:dyDescent="0.35">
      <c r="F537" s="137"/>
      <c r="G537" s="137"/>
      <c r="H537" s="137"/>
      <c r="I537" s="137"/>
    </row>
    <row r="538" spans="6:9" x14ac:dyDescent="0.35">
      <c r="F538" s="137"/>
      <c r="G538" s="137"/>
      <c r="H538" s="137"/>
      <c r="I538" s="137"/>
    </row>
  </sheetData>
  <autoFilter ref="A3:AS412" xr:uid="{00000000-0001-0000-1100-000000000000}"/>
  <mergeCells count="8">
    <mergeCell ref="F1:I1"/>
    <mergeCell ref="O1:U1"/>
    <mergeCell ref="AB1:AE1"/>
    <mergeCell ref="AL1:AS1"/>
    <mergeCell ref="O2:R2"/>
    <mergeCell ref="S2:U2"/>
    <mergeCell ref="AB2:AC2"/>
    <mergeCell ref="AD2:AE2"/>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B30-D64C-4F7F-9705-DC80E3692DD4}">
  <sheetPr>
    <tabColor theme="9" tint="0.39997558519241921"/>
  </sheetPr>
  <dimension ref="A1:BT69"/>
  <sheetViews>
    <sheetView topLeftCell="AA1" zoomScale="55" zoomScaleNormal="55" workbookViewId="0">
      <pane ySplit="8" topLeftCell="A9" activePane="bottomLeft" state="frozen"/>
      <selection pane="bottomLeft" activeCell="AO1" sqref="AO1"/>
    </sheetView>
  </sheetViews>
  <sheetFormatPr defaultColWidth="20.5" defaultRowHeight="17.25" customHeight="1" x14ac:dyDescent="0.35"/>
  <cols>
    <col min="1" max="2" width="20.5" style="143"/>
    <col min="3" max="5" width="20.5" style="78"/>
    <col min="6" max="6" width="20.5" style="62"/>
    <col min="7" max="9" width="20.5" style="78"/>
    <col min="10" max="10" width="20.83203125" style="78" customWidth="1"/>
    <col min="11" max="11" width="6" style="78" customWidth="1"/>
    <col min="12" max="26" width="20.83203125" style="78" customWidth="1"/>
    <col min="27" max="27" width="6" style="78" customWidth="1"/>
    <col min="28" max="30" width="20.5" style="143"/>
    <col min="31" max="38" width="20.5" style="137"/>
    <col min="39" max="40" width="20.5" style="190"/>
    <col min="41" max="41" width="6" style="78" customWidth="1"/>
    <col min="42" max="44" width="20.5" style="143"/>
    <col min="45" max="59" width="20.5" style="137"/>
    <col min="60" max="61" width="20.5" style="190"/>
    <col min="62" max="62" width="5.5" style="78" customWidth="1"/>
    <col min="63" max="65" width="20.5" style="143"/>
    <col min="66" max="70" width="20.5" style="156"/>
    <col min="71" max="72" width="20.5" style="169"/>
    <col min="73" max="16384" width="20.5" style="78"/>
  </cols>
  <sheetData>
    <row r="1" spans="1:72" s="120" customFormat="1" ht="75.75" customHeight="1" x14ac:dyDescent="0.35">
      <c r="A1" s="313"/>
      <c r="B1" s="313"/>
      <c r="C1" s="313"/>
      <c r="D1" s="388" t="s">
        <v>2489</v>
      </c>
      <c r="E1" s="388"/>
      <c r="F1" s="388"/>
      <c r="G1" s="388"/>
      <c r="H1" s="388"/>
      <c r="I1" s="388"/>
      <c r="J1" s="388"/>
      <c r="L1" s="313"/>
      <c r="M1" s="313"/>
      <c r="N1" s="313"/>
      <c r="O1" s="388" t="s">
        <v>2490</v>
      </c>
      <c r="P1" s="388"/>
      <c r="Q1" s="388"/>
      <c r="R1" s="388"/>
      <c r="S1" s="388"/>
      <c r="T1" s="388"/>
      <c r="U1" s="388"/>
      <c r="V1" s="388"/>
      <c r="W1" s="388"/>
      <c r="X1" s="388"/>
      <c r="Y1" s="388"/>
      <c r="Z1" s="388"/>
      <c r="AB1" s="313"/>
      <c r="AC1" s="313"/>
      <c r="AD1" s="313"/>
      <c r="AE1" s="393" t="s">
        <v>2491</v>
      </c>
      <c r="AF1" s="393"/>
      <c r="AG1" s="393"/>
      <c r="AH1" s="393"/>
      <c r="AI1" s="393"/>
      <c r="AJ1" s="393"/>
      <c r="AK1" s="393"/>
      <c r="AL1" s="393"/>
      <c r="AM1" s="393"/>
      <c r="AN1" s="393"/>
      <c r="AP1" s="313"/>
      <c r="AQ1" s="313"/>
      <c r="AR1" s="313"/>
      <c r="AS1" s="392" t="s">
        <v>2492</v>
      </c>
      <c r="AT1" s="392"/>
      <c r="AU1" s="392"/>
      <c r="AV1" s="392"/>
      <c r="AW1" s="392"/>
      <c r="AX1" s="392"/>
      <c r="AY1" s="392"/>
      <c r="AZ1" s="392"/>
      <c r="BA1" s="392"/>
      <c r="BB1" s="392"/>
      <c r="BC1" s="392"/>
      <c r="BD1" s="392"/>
      <c r="BE1" s="392"/>
      <c r="BF1" s="392"/>
      <c r="BG1" s="392"/>
      <c r="BH1" s="392"/>
      <c r="BI1" s="392"/>
      <c r="BK1" s="313"/>
      <c r="BL1" s="313"/>
      <c r="BM1" s="313"/>
      <c r="BN1" s="423" t="s">
        <v>2493</v>
      </c>
      <c r="BO1" s="423"/>
      <c r="BP1" s="423"/>
      <c r="BQ1" s="423"/>
      <c r="BR1" s="423"/>
      <c r="BS1" s="423"/>
      <c r="BT1" s="423"/>
    </row>
    <row r="2" spans="1:72" s="120" customFormat="1" ht="27" customHeight="1" x14ac:dyDescent="0.35">
      <c r="A2" s="314"/>
      <c r="B2" s="314"/>
      <c r="C2" s="314"/>
      <c r="D2" s="312"/>
      <c r="E2" s="312"/>
      <c r="F2" s="312"/>
      <c r="G2" s="303"/>
      <c r="H2" s="303"/>
      <c r="I2" s="303"/>
      <c r="J2" s="303"/>
      <c r="L2" s="314"/>
      <c r="M2" s="314"/>
      <c r="N2" s="314"/>
      <c r="O2" s="303"/>
      <c r="P2" s="303"/>
      <c r="Q2" s="303"/>
      <c r="R2" s="303"/>
      <c r="S2" s="303"/>
      <c r="T2" s="303"/>
      <c r="U2" s="303"/>
      <c r="V2" s="303"/>
      <c r="W2" s="303"/>
      <c r="X2" s="303"/>
      <c r="Y2" s="303"/>
      <c r="Z2" s="303"/>
      <c r="AB2" s="314"/>
      <c r="AC2" s="314"/>
      <c r="AD2" s="314"/>
      <c r="AE2" s="393" t="s">
        <v>2494</v>
      </c>
      <c r="AF2" s="393"/>
      <c r="AG2" s="393"/>
      <c r="AH2" s="393"/>
      <c r="AI2" s="393"/>
      <c r="AJ2" s="393"/>
      <c r="AK2" s="393"/>
      <c r="AL2" s="392" t="s">
        <v>2495</v>
      </c>
      <c r="AM2" s="392"/>
      <c r="AN2" s="392"/>
      <c r="AP2" s="314"/>
      <c r="AQ2" s="314"/>
      <c r="AR2" s="314"/>
      <c r="AS2" s="389" t="s">
        <v>2496</v>
      </c>
      <c r="AT2" s="389"/>
      <c r="AU2" s="389"/>
      <c r="AV2" s="389"/>
      <c r="AW2" s="389"/>
      <c r="AX2" s="389"/>
      <c r="AY2" s="389"/>
      <c r="AZ2" s="389"/>
      <c r="BA2" s="389"/>
      <c r="BB2" s="389"/>
      <c r="BC2" s="389"/>
      <c r="BD2" s="389"/>
      <c r="BE2" s="389" t="s">
        <v>2497</v>
      </c>
      <c r="BF2" s="389"/>
      <c r="BG2" s="389"/>
      <c r="BH2" s="389"/>
      <c r="BI2" s="389"/>
      <c r="BK2" s="314"/>
      <c r="BL2" s="314"/>
      <c r="BM2" s="314"/>
      <c r="BN2" s="312"/>
      <c r="BO2" s="312"/>
      <c r="BP2" s="312"/>
      <c r="BQ2" s="312"/>
      <c r="BR2" s="312"/>
      <c r="BS2" s="312"/>
      <c r="BT2" s="312"/>
    </row>
    <row r="3" spans="1:72" s="110" customFormat="1" ht="156" customHeight="1" x14ac:dyDescent="0.35">
      <c r="A3" s="299" t="s">
        <v>699</v>
      </c>
      <c r="B3" s="299" t="s">
        <v>2498</v>
      </c>
      <c r="C3" s="299" t="s">
        <v>2434</v>
      </c>
      <c r="D3" s="300" t="s">
        <v>2499</v>
      </c>
      <c r="E3" s="300" t="s">
        <v>2500</v>
      </c>
      <c r="F3" s="300" t="s">
        <v>2501</v>
      </c>
      <c r="G3" s="291" t="s">
        <v>2502</v>
      </c>
      <c r="H3" s="300" t="s">
        <v>2503</v>
      </c>
      <c r="I3" s="300" t="s">
        <v>2504</v>
      </c>
      <c r="J3" s="300" t="s">
        <v>2505</v>
      </c>
      <c r="L3" s="299" t="s">
        <v>699</v>
      </c>
      <c r="M3" s="299" t="s">
        <v>700</v>
      </c>
      <c r="N3" s="299" t="s">
        <v>2434</v>
      </c>
      <c r="O3" s="300" t="s">
        <v>556</v>
      </c>
      <c r="P3" s="300" t="s">
        <v>559</v>
      </c>
      <c r="Q3" s="300" t="s">
        <v>562</v>
      </c>
      <c r="R3" s="300" t="s">
        <v>565</v>
      </c>
      <c r="S3" s="300" t="s">
        <v>568</v>
      </c>
      <c r="T3" s="300" t="s">
        <v>571</v>
      </c>
      <c r="U3" s="300" t="s">
        <v>574</v>
      </c>
      <c r="V3" s="300" t="s">
        <v>577</v>
      </c>
      <c r="W3" s="300" t="s">
        <v>580</v>
      </c>
      <c r="X3" s="300" t="s">
        <v>583</v>
      </c>
      <c r="Y3" s="300" t="s">
        <v>586</v>
      </c>
      <c r="Z3" s="300" t="s">
        <v>589</v>
      </c>
      <c r="AB3" s="299" t="s">
        <v>699</v>
      </c>
      <c r="AC3" s="299" t="s">
        <v>813</v>
      </c>
      <c r="AD3" s="299" t="s">
        <v>2434</v>
      </c>
      <c r="AE3" s="301" t="s">
        <v>2506</v>
      </c>
      <c r="AF3" s="301" t="s">
        <v>2507</v>
      </c>
      <c r="AG3" s="301" t="s">
        <v>2508</v>
      </c>
      <c r="AH3" s="301" t="s">
        <v>2509</v>
      </c>
      <c r="AI3" s="301" t="s">
        <v>2510</v>
      </c>
      <c r="AJ3" s="301" t="s">
        <v>2511</v>
      </c>
      <c r="AK3" s="301" t="s">
        <v>2512</v>
      </c>
      <c r="AL3" s="301" t="s">
        <v>615</v>
      </c>
      <c r="AM3" s="302" t="s">
        <v>2513</v>
      </c>
      <c r="AN3" s="302" t="s">
        <v>2514</v>
      </c>
      <c r="AP3" s="299" t="s">
        <v>699</v>
      </c>
      <c r="AQ3" s="299" t="s">
        <v>813</v>
      </c>
      <c r="AR3" s="299" t="s">
        <v>2434</v>
      </c>
      <c r="AS3" s="300" t="s">
        <v>625</v>
      </c>
      <c r="AT3" s="300" t="s">
        <v>628</v>
      </c>
      <c r="AU3" s="300" t="s">
        <v>631</v>
      </c>
      <c r="AV3" s="300" t="s">
        <v>634</v>
      </c>
      <c r="AW3" s="300" t="s">
        <v>637</v>
      </c>
      <c r="AX3" s="300" t="s">
        <v>640</v>
      </c>
      <c r="AY3" s="300" t="s">
        <v>643</v>
      </c>
      <c r="AZ3" s="300" t="s">
        <v>646</v>
      </c>
      <c r="BA3" s="300" t="s">
        <v>649</v>
      </c>
      <c r="BB3" s="300" t="s">
        <v>652</v>
      </c>
      <c r="BC3" s="300" t="s">
        <v>655</v>
      </c>
      <c r="BD3" s="300" t="s">
        <v>658</v>
      </c>
      <c r="BE3" s="300" t="s">
        <v>2515</v>
      </c>
      <c r="BF3" s="300" t="s">
        <v>2516</v>
      </c>
      <c r="BG3" s="300" t="s">
        <v>2517</v>
      </c>
      <c r="BH3" s="291" t="s">
        <v>671</v>
      </c>
      <c r="BI3" s="291" t="s">
        <v>674</v>
      </c>
      <c r="BK3" s="299" t="s">
        <v>699</v>
      </c>
      <c r="BL3" s="299" t="s">
        <v>813</v>
      </c>
      <c r="BM3" s="299" t="s">
        <v>2434</v>
      </c>
      <c r="BN3" s="300" t="s">
        <v>679</v>
      </c>
      <c r="BO3" s="300" t="s">
        <v>682</v>
      </c>
      <c r="BP3" s="300" t="s">
        <v>685</v>
      </c>
      <c r="BQ3" s="300" t="s">
        <v>688</v>
      </c>
      <c r="BR3" s="300" t="s">
        <v>691</v>
      </c>
      <c r="BS3" s="291" t="s">
        <v>694</v>
      </c>
      <c r="BT3" s="291" t="s">
        <v>697</v>
      </c>
    </row>
    <row r="4" spans="1:72" s="191" customFormat="1" ht="17.25" customHeight="1" x14ac:dyDescent="0.35">
      <c r="A4" s="227" t="s">
        <v>767</v>
      </c>
      <c r="B4" s="227"/>
      <c r="C4" s="227"/>
      <c r="D4" s="228"/>
      <c r="E4" s="228"/>
      <c r="F4" s="228"/>
      <c r="G4" s="228"/>
      <c r="H4" s="228"/>
      <c r="I4" s="228"/>
      <c r="L4" s="227" t="s">
        <v>767</v>
      </c>
      <c r="M4" s="227"/>
      <c r="N4" s="227"/>
      <c r="O4" s="228"/>
      <c r="P4" s="228"/>
      <c r="Q4" s="228"/>
      <c r="R4" s="228"/>
      <c r="S4" s="228"/>
      <c r="T4" s="228"/>
      <c r="U4" s="228"/>
      <c r="V4" s="228"/>
      <c r="W4" s="228"/>
      <c r="X4" s="228"/>
      <c r="Y4" s="228"/>
      <c r="Z4" s="228"/>
      <c r="AB4" s="227" t="s">
        <v>767</v>
      </c>
      <c r="AC4" s="227"/>
      <c r="AD4" s="227"/>
      <c r="AE4" s="228"/>
      <c r="AF4" s="228"/>
      <c r="AG4" s="228"/>
      <c r="AH4" s="228"/>
      <c r="AI4" s="228"/>
      <c r="AJ4" s="228"/>
      <c r="AK4" s="228"/>
      <c r="AL4" s="228"/>
      <c r="AM4" s="228"/>
      <c r="AN4" s="228"/>
      <c r="AP4" s="227" t="s">
        <v>767</v>
      </c>
      <c r="AQ4" s="227"/>
      <c r="AR4" s="227"/>
      <c r="AS4" s="228"/>
      <c r="AT4" s="228"/>
      <c r="AU4" s="228"/>
      <c r="AV4" s="228"/>
      <c r="AW4" s="228"/>
      <c r="AX4" s="228"/>
      <c r="AY4" s="228"/>
      <c r="AZ4" s="228"/>
      <c r="BA4" s="228"/>
      <c r="BB4" s="228"/>
      <c r="BC4" s="228"/>
      <c r="BD4" s="228"/>
      <c r="BE4" s="228"/>
      <c r="BF4" s="228"/>
      <c r="BG4" s="228"/>
      <c r="BH4" s="228"/>
      <c r="BI4" s="228"/>
      <c r="BK4" s="227" t="s">
        <v>767</v>
      </c>
      <c r="BL4" s="227"/>
      <c r="BM4" s="227"/>
      <c r="BN4" s="229"/>
      <c r="BO4" s="229"/>
      <c r="BP4" s="229"/>
      <c r="BQ4" s="229"/>
      <c r="BR4" s="229"/>
      <c r="BS4" s="229"/>
      <c r="BT4" s="229"/>
    </row>
    <row r="5" spans="1:72" s="191" customFormat="1" ht="17.25" customHeight="1" x14ac:dyDescent="0.35">
      <c r="A5" s="230" t="s">
        <v>790</v>
      </c>
      <c r="B5" s="227"/>
      <c r="C5" s="227"/>
      <c r="D5" s="228">
        <f>AVERAGE(D10:D100)</f>
        <v>0.1521041588235294</v>
      </c>
      <c r="E5" s="228">
        <f t="shared" ref="E5:J5" si="0">AVERAGE(E10:E100)</f>
        <v>0.54139511428571452</v>
      </c>
      <c r="F5" s="228">
        <f t="shared" si="0"/>
        <v>0.68523399761904769</v>
      </c>
      <c r="G5" s="228">
        <f t="shared" si="0"/>
        <v>0.18639455714285713</v>
      </c>
      <c r="H5" s="228">
        <f t="shared" si="0"/>
        <v>0.16195514705882361</v>
      </c>
      <c r="I5" s="228">
        <f t="shared" si="0"/>
        <v>0.38003308809523806</v>
      </c>
      <c r="J5" s="228">
        <f t="shared" si="0"/>
        <v>0.52147758809523825</v>
      </c>
      <c r="L5" s="230" t="s">
        <v>790</v>
      </c>
      <c r="M5" s="227"/>
      <c r="N5" s="227"/>
      <c r="O5" s="228">
        <f t="shared" ref="O5:Z5" si="1">AVERAGE(O10:O100)</f>
        <v>0.60234594117647067</v>
      </c>
      <c r="P5" s="228">
        <f t="shared" si="1"/>
        <v>0.81519607647058834</v>
      </c>
      <c r="Q5" s="228">
        <f t="shared" si="1"/>
        <v>0.8274159670588237</v>
      </c>
      <c r="R5" s="228">
        <f t="shared" si="1"/>
        <v>0.85987394852941179</v>
      </c>
      <c r="S5" s="228">
        <f t="shared" si="1"/>
        <v>0.10273109382352941</v>
      </c>
      <c r="T5" s="228">
        <f t="shared" si="1"/>
        <v>0.12955182294117645</v>
      </c>
      <c r="U5" s="228">
        <f t="shared" si="1"/>
        <v>0.86379551823529421</v>
      </c>
      <c r="V5" s="228">
        <f t="shared" si="1"/>
        <v>0.8256302538235295</v>
      </c>
      <c r="W5" s="228">
        <f t="shared" si="1"/>
        <v>0.90878851441176478</v>
      </c>
      <c r="X5" s="228">
        <f t="shared" si="1"/>
        <v>0.84723389352941192</v>
      </c>
      <c r="Y5" s="228">
        <f t="shared" si="1"/>
        <v>0.72972689676470592</v>
      </c>
      <c r="Z5" s="228">
        <f t="shared" si="1"/>
        <v>0.68293545000000011</v>
      </c>
      <c r="AB5" s="230" t="s">
        <v>790</v>
      </c>
      <c r="AC5" s="227"/>
      <c r="AD5" s="227"/>
      <c r="AE5" s="228">
        <f t="shared" ref="AE5:AN5" si="2">AVERAGE(AE10:AE100)</f>
        <v>0.97606837777777777</v>
      </c>
      <c r="AF5" s="228">
        <f t="shared" si="2"/>
        <v>0.93777777777777771</v>
      </c>
      <c r="AG5" s="228">
        <f t="shared" si="2"/>
        <v>0.95906432222222238</v>
      </c>
      <c r="AH5" s="228">
        <f t="shared" si="2"/>
        <v>0.94949494444444427</v>
      </c>
      <c r="AI5" s="228">
        <f t="shared" si="2"/>
        <v>0.9629629666666667</v>
      </c>
      <c r="AJ5" s="228">
        <f t="shared" si="2"/>
        <v>0.93333332222222232</v>
      </c>
      <c r="AK5" s="228">
        <f t="shared" si="2"/>
        <v>0.96632997777777774</v>
      </c>
      <c r="AL5" s="228">
        <f t="shared" si="2"/>
        <v>0.87631122352941193</v>
      </c>
      <c r="AM5" s="228">
        <f t="shared" si="2"/>
        <v>0.87726981764705891</v>
      </c>
      <c r="AN5" s="228">
        <f t="shared" si="2"/>
        <v>0.21351540588235293</v>
      </c>
      <c r="AP5" s="230" t="s">
        <v>790</v>
      </c>
      <c r="AQ5" s="227"/>
      <c r="AR5" s="227"/>
      <c r="AS5" s="228">
        <f t="shared" ref="AS5:BB5" si="3">AVERAGE(AS10:AS100)</f>
        <v>1</v>
      </c>
      <c r="AT5" s="228">
        <f t="shared" si="3"/>
        <v>1</v>
      </c>
      <c r="AU5" s="228">
        <f t="shared" si="3"/>
        <v>1</v>
      </c>
      <c r="AV5" s="228">
        <f t="shared" si="3"/>
        <v>0.88888888888888884</v>
      </c>
      <c r="AW5" s="228">
        <f t="shared" si="3"/>
        <v>1</v>
      </c>
      <c r="AX5" s="228">
        <f t="shared" si="3"/>
        <v>0.77777777777777779</v>
      </c>
      <c r="AY5" s="228">
        <f t="shared" si="3"/>
        <v>1</v>
      </c>
      <c r="AZ5" s="228">
        <f t="shared" si="3"/>
        <v>1</v>
      </c>
      <c r="BA5" s="228">
        <f t="shared" si="3"/>
        <v>1</v>
      </c>
      <c r="BB5" s="228">
        <f t="shared" si="3"/>
        <v>1</v>
      </c>
      <c r="BC5" s="228"/>
      <c r="BD5" s="228"/>
      <c r="BE5" s="228">
        <f t="shared" ref="BE5:BI5" si="4">AVERAGE(BE10:BE100)</f>
        <v>0.86001400781058834</v>
      </c>
      <c r="BF5" s="228">
        <f t="shared" si="4"/>
        <v>0.8270774983311765</v>
      </c>
      <c r="BG5" s="228">
        <f t="shared" si="4"/>
        <v>0.80959384099529408</v>
      </c>
      <c r="BH5" s="228">
        <f t="shared" si="4"/>
        <v>0.83803454117647058</v>
      </c>
      <c r="BI5" s="228">
        <f t="shared" si="4"/>
        <v>0.73823528823529416</v>
      </c>
      <c r="BK5" s="230" t="s">
        <v>790</v>
      </c>
      <c r="BL5" s="227"/>
      <c r="BM5" s="227"/>
      <c r="BN5" s="250"/>
      <c r="BO5" s="228">
        <f t="shared" ref="BO5:BS5" si="5">AVERAGE(BO10:BO100)</f>
        <v>1</v>
      </c>
      <c r="BP5" s="228">
        <f t="shared" si="5"/>
        <v>1</v>
      </c>
      <c r="BQ5" s="228">
        <f t="shared" si="5"/>
        <v>0.80154321111111115</v>
      </c>
      <c r="BR5" s="228">
        <f t="shared" si="5"/>
        <v>0.94444444444444442</v>
      </c>
      <c r="BS5" s="228">
        <f t="shared" si="5"/>
        <v>0.93649691111111111</v>
      </c>
      <c r="BT5" s="228"/>
    </row>
    <row r="6" spans="1:72" s="191" customFormat="1" ht="17.25" customHeight="1" x14ac:dyDescent="0.35">
      <c r="A6" s="230" t="s">
        <v>791</v>
      </c>
      <c r="B6" s="227"/>
      <c r="C6" s="227"/>
      <c r="D6" s="228">
        <f>MEDIAN(D10:D100)</f>
        <v>0.1574026</v>
      </c>
      <c r="E6" s="228">
        <f t="shared" ref="E6:J6" si="6">MEDIAN(E10:E100)</f>
        <v>0.56230849999999999</v>
      </c>
      <c r="F6" s="228">
        <f t="shared" si="6"/>
        <v>0.70968330000000002</v>
      </c>
      <c r="G6" s="228">
        <f t="shared" si="6"/>
        <v>7.1428549999999993E-2</v>
      </c>
      <c r="H6" s="228">
        <f t="shared" si="6"/>
        <v>0.1652778</v>
      </c>
      <c r="I6" s="228">
        <f t="shared" si="6"/>
        <v>0.34757199999999999</v>
      </c>
      <c r="J6" s="228">
        <f t="shared" si="6"/>
        <v>0.4946624</v>
      </c>
      <c r="L6" s="230" t="s">
        <v>791</v>
      </c>
      <c r="M6" s="227"/>
      <c r="N6" s="227"/>
      <c r="O6" s="228">
        <f t="shared" ref="O6:Z6" si="7">MEDIAN(O10:O100)</f>
        <v>0.645833345</v>
      </c>
      <c r="P6" s="228">
        <f t="shared" si="7"/>
        <v>0.83333330999999999</v>
      </c>
      <c r="Q6" s="228">
        <f t="shared" si="7"/>
        <v>0.84523809000000005</v>
      </c>
      <c r="R6" s="228">
        <f t="shared" si="7"/>
        <v>1</v>
      </c>
      <c r="S6" s="228">
        <f t="shared" si="7"/>
        <v>0</v>
      </c>
      <c r="T6" s="228">
        <f t="shared" si="7"/>
        <v>0</v>
      </c>
      <c r="U6" s="228">
        <f t="shared" si="7"/>
        <v>0.92857143500000006</v>
      </c>
      <c r="V6" s="228">
        <f t="shared" si="7"/>
        <v>0.84523809000000005</v>
      </c>
      <c r="W6" s="228">
        <f t="shared" si="7"/>
        <v>1</v>
      </c>
      <c r="X6" s="228">
        <f t="shared" si="7"/>
        <v>1</v>
      </c>
      <c r="Y6" s="228">
        <f t="shared" si="7"/>
        <v>0.73214286499999992</v>
      </c>
      <c r="Z6" s="228">
        <f t="shared" si="7"/>
        <v>0.71320344999999996</v>
      </c>
      <c r="AB6" s="230" t="s">
        <v>791</v>
      </c>
      <c r="AC6" s="227"/>
      <c r="AD6" s="227"/>
      <c r="AE6" s="228">
        <f t="shared" ref="AE6:AN6" si="8">MEDIAN(AE10:AE100)</f>
        <v>0.98461540000000003</v>
      </c>
      <c r="AF6" s="228">
        <f t="shared" si="8"/>
        <v>0.96</v>
      </c>
      <c r="AG6" s="228">
        <f t="shared" si="8"/>
        <v>0.9473684</v>
      </c>
      <c r="AH6" s="228">
        <f t="shared" si="8"/>
        <v>1</v>
      </c>
      <c r="AI6" s="228">
        <f t="shared" si="8"/>
        <v>1</v>
      </c>
      <c r="AJ6" s="228">
        <f t="shared" si="8"/>
        <v>1</v>
      </c>
      <c r="AK6" s="228">
        <f t="shared" si="8"/>
        <v>1</v>
      </c>
      <c r="AL6" s="228">
        <f t="shared" si="8"/>
        <v>0.88343749999999999</v>
      </c>
      <c r="AM6" s="228">
        <f t="shared" si="8"/>
        <v>0.88343749999999999</v>
      </c>
      <c r="AN6" s="228">
        <f t="shared" si="8"/>
        <v>0.12142855</v>
      </c>
      <c r="AP6" s="230" t="s">
        <v>791</v>
      </c>
      <c r="AQ6" s="227"/>
      <c r="AR6" s="227"/>
      <c r="AS6" s="228">
        <f t="shared" ref="AS6:BB6" si="9">MEDIAN(AS10:AS100)</f>
        <v>1</v>
      </c>
      <c r="AT6" s="228">
        <f t="shared" si="9"/>
        <v>1</v>
      </c>
      <c r="AU6" s="228">
        <f t="shared" si="9"/>
        <v>1</v>
      </c>
      <c r="AV6" s="228">
        <f t="shared" si="9"/>
        <v>1</v>
      </c>
      <c r="AW6" s="228">
        <f t="shared" si="9"/>
        <v>1</v>
      </c>
      <c r="AX6" s="228">
        <f t="shared" si="9"/>
        <v>1</v>
      </c>
      <c r="AY6" s="228">
        <f t="shared" si="9"/>
        <v>1</v>
      </c>
      <c r="AZ6" s="228">
        <f t="shared" si="9"/>
        <v>1</v>
      </c>
      <c r="BA6" s="228">
        <f t="shared" si="9"/>
        <v>1</v>
      </c>
      <c r="BB6" s="228">
        <f t="shared" si="9"/>
        <v>1</v>
      </c>
      <c r="BC6" s="228"/>
      <c r="BD6" s="228"/>
      <c r="BE6" s="228">
        <f t="shared" ref="BE6:BI6" si="10">MEDIAN(BE10:BE100)</f>
        <v>1</v>
      </c>
      <c r="BF6" s="228">
        <f t="shared" si="10"/>
        <v>1</v>
      </c>
      <c r="BG6" s="228">
        <f t="shared" si="10"/>
        <v>1</v>
      </c>
      <c r="BH6" s="228">
        <f t="shared" si="10"/>
        <v>0.91111110000000006</v>
      </c>
      <c r="BI6" s="228">
        <f t="shared" si="10"/>
        <v>0.83333330000000005</v>
      </c>
      <c r="BK6" s="230" t="s">
        <v>791</v>
      </c>
      <c r="BL6" s="227"/>
      <c r="BM6" s="227"/>
      <c r="BN6" s="250"/>
      <c r="BO6" s="228">
        <f t="shared" ref="BO6:BS6" si="11">MEDIAN(BO10:BO100)</f>
        <v>1</v>
      </c>
      <c r="BP6" s="228">
        <f t="shared" si="11"/>
        <v>1</v>
      </c>
      <c r="BQ6" s="228">
        <f t="shared" si="11"/>
        <v>1</v>
      </c>
      <c r="BR6" s="228">
        <f t="shared" si="11"/>
        <v>1</v>
      </c>
      <c r="BS6" s="228">
        <f t="shared" si="11"/>
        <v>0.9375</v>
      </c>
      <c r="BT6" s="228"/>
    </row>
    <row r="7" spans="1:72" s="191" customFormat="1" ht="17.25" customHeight="1" x14ac:dyDescent="0.35">
      <c r="A7" s="230" t="s">
        <v>2484</v>
      </c>
      <c r="B7" s="227"/>
      <c r="C7" s="227"/>
      <c r="D7" s="228">
        <f>MIN(D10:D100)</f>
        <v>7.72727E-2</v>
      </c>
      <c r="E7" s="228">
        <f t="shared" ref="E7:J7" si="12">MIN(E10:E100)</f>
        <v>0.19151509999999999</v>
      </c>
      <c r="F7" s="228">
        <f t="shared" si="12"/>
        <v>0.23939389999999999</v>
      </c>
      <c r="G7" s="228">
        <f t="shared" si="12"/>
        <v>0</v>
      </c>
      <c r="H7" s="228">
        <f t="shared" si="12"/>
        <v>0.1119048</v>
      </c>
      <c r="I7" s="228">
        <f t="shared" si="12"/>
        <v>1.66667E-2</v>
      </c>
      <c r="J7" s="228">
        <f t="shared" si="12"/>
        <v>2.0833299999999999E-2</v>
      </c>
      <c r="L7" s="230" t="s">
        <v>2484</v>
      </c>
      <c r="M7" s="227"/>
      <c r="N7" s="227"/>
      <c r="O7" s="228">
        <f t="shared" ref="O7:Z7" si="13">MIN(O10:O100)</f>
        <v>0</v>
      </c>
      <c r="P7" s="228">
        <f t="shared" si="13"/>
        <v>0.33333333999999998</v>
      </c>
      <c r="Q7" s="228">
        <f t="shared" si="13"/>
        <v>0.40000001000000002</v>
      </c>
      <c r="R7" s="228">
        <f t="shared" si="13"/>
        <v>0.5</v>
      </c>
      <c r="S7" s="228">
        <f t="shared" si="13"/>
        <v>0</v>
      </c>
      <c r="T7" s="228">
        <f t="shared" si="13"/>
        <v>0</v>
      </c>
      <c r="U7" s="228">
        <f t="shared" si="13"/>
        <v>0.5</v>
      </c>
      <c r="V7" s="228">
        <f t="shared" si="13"/>
        <v>0.25</v>
      </c>
      <c r="W7" s="228">
        <f t="shared" si="13"/>
        <v>0.5</v>
      </c>
      <c r="X7" s="228">
        <f t="shared" si="13"/>
        <v>0</v>
      </c>
      <c r="Y7" s="228">
        <f t="shared" si="13"/>
        <v>0.25</v>
      </c>
      <c r="Z7" s="228">
        <f t="shared" si="13"/>
        <v>0.46969699999999998</v>
      </c>
      <c r="AB7" s="230" t="s">
        <v>2484</v>
      </c>
      <c r="AC7" s="227"/>
      <c r="AD7" s="227"/>
      <c r="AE7" s="228">
        <f t="shared" ref="AE7:AN7" si="14">MIN(AE10:AE100)</f>
        <v>0.93846149999999995</v>
      </c>
      <c r="AF7" s="228">
        <f t="shared" si="14"/>
        <v>0.68</v>
      </c>
      <c r="AG7" s="228">
        <f t="shared" si="14"/>
        <v>0.84210529999999995</v>
      </c>
      <c r="AH7" s="228">
        <f t="shared" si="14"/>
        <v>0.81818179999999996</v>
      </c>
      <c r="AI7" s="228">
        <f t="shared" si="14"/>
        <v>0.88888889999999998</v>
      </c>
      <c r="AJ7" s="228">
        <f t="shared" si="14"/>
        <v>0.66666669999999995</v>
      </c>
      <c r="AK7" s="228">
        <f t="shared" si="14"/>
        <v>0.75757580000000002</v>
      </c>
      <c r="AL7" s="228">
        <f t="shared" si="14"/>
        <v>0.61053919999999995</v>
      </c>
      <c r="AM7" s="228">
        <f t="shared" si="14"/>
        <v>0.64568780000000003</v>
      </c>
      <c r="AN7" s="228">
        <f t="shared" si="14"/>
        <v>0</v>
      </c>
      <c r="AP7" s="230" t="s">
        <v>2484</v>
      </c>
      <c r="AQ7" s="227"/>
      <c r="AR7" s="227"/>
      <c r="AS7" s="228">
        <f t="shared" ref="AS7:BB7" si="15">MIN(AS10:AS100)</f>
        <v>1</v>
      </c>
      <c r="AT7" s="228">
        <f t="shared" si="15"/>
        <v>1</v>
      </c>
      <c r="AU7" s="228">
        <f t="shared" si="15"/>
        <v>1</v>
      </c>
      <c r="AV7" s="228">
        <f t="shared" si="15"/>
        <v>0</v>
      </c>
      <c r="AW7" s="228">
        <f t="shared" si="15"/>
        <v>1</v>
      </c>
      <c r="AX7" s="228">
        <f t="shared" si="15"/>
        <v>0</v>
      </c>
      <c r="AY7" s="228">
        <f t="shared" si="15"/>
        <v>1</v>
      </c>
      <c r="AZ7" s="228">
        <f t="shared" si="15"/>
        <v>1</v>
      </c>
      <c r="BA7" s="228">
        <f t="shared" si="15"/>
        <v>1</v>
      </c>
      <c r="BB7" s="228">
        <f t="shared" si="15"/>
        <v>1</v>
      </c>
      <c r="BC7" s="228"/>
      <c r="BD7" s="228"/>
      <c r="BE7" s="228">
        <f t="shared" ref="BE7:BI7" si="16">MIN(BE10:BE100)</f>
        <v>0.20000000298000001</v>
      </c>
      <c r="BF7" s="228">
        <f t="shared" si="16"/>
        <v>0</v>
      </c>
      <c r="BG7" s="228">
        <f t="shared" si="16"/>
        <v>0.20000000298000001</v>
      </c>
      <c r="BH7" s="228">
        <f t="shared" si="16"/>
        <v>0.26111109999999998</v>
      </c>
      <c r="BI7" s="228">
        <f t="shared" si="16"/>
        <v>0</v>
      </c>
      <c r="BK7" s="230" t="s">
        <v>2484</v>
      </c>
      <c r="BL7" s="227"/>
      <c r="BM7" s="227"/>
      <c r="BN7" s="250"/>
      <c r="BO7" s="228">
        <f t="shared" ref="BO7:BS7" si="17">MIN(BO10:BO100)</f>
        <v>1</v>
      </c>
      <c r="BP7" s="228">
        <f t="shared" si="17"/>
        <v>1</v>
      </c>
      <c r="BQ7" s="228">
        <f t="shared" si="17"/>
        <v>0.32500000000000001</v>
      </c>
      <c r="BR7" s="228">
        <f t="shared" si="17"/>
        <v>0.75</v>
      </c>
      <c r="BS7" s="228">
        <f t="shared" si="17"/>
        <v>0.83125000000000004</v>
      </c>
      <c r="BT7" s="228"/>
    </row>
    <row r="8" spans="1:72" s="191" customFormat="1" ht="17.25" customHeight="1" x14ac:dyDescent="0.35">
      <c r="A8" s="231" t="s">
        <v>2485</v>
      </c>
      <c r="B8" s="193"/>
      <c r="C8" s="193"/>
      <c r="D8" s="192">
        <f t="shared" ref="D8:J8" si="18">MAX(D9:D51)</f>
        <v>0.19393940000000001</v>
      </c>
      <c r="E8" s="192">
        <f t="shared" si="18"/>
        <v>0.75437520000000002</v>
      </c>
      <c r="F8" s="192">
        <f t="shared" si="18"/>
        <v>0.94831460000000001</v>
      </c>
      <c r="G8" s="192">
        <f t="shared" si="18"/>
        <v>0.83333330000000005</v>
      </c>
      <c r="H8" s="192">
        <f t="shared" si="18"/>
        <v>0.2</v>
      </c>
      <c r="I8" s="192">
        <f t="shared" si="18"/>
        <v>0.77215979999999995</v>
      </c>
      <c r="J8" s="192">
        <f t="shared" si="18"/>
        <v>0.93604869999999996</v>
      </c>
      <c r="L8" s="231" t="s">
        <v>2485</v>
      </c>
      <c r="M8" s="193"/>
      <c r="N8" s="193"/>
      <c r="O8" s="192">
        <f t="shared" ref="O8:Z8" si="19">MAX(O9:O51)</f>
        <v>1</v>
      </c>
      <c r="P8" s="192">
        <f t="shared" si="19"/>
        <v>1</v>
      </c>
      <c r="Q8" s="192">
        <f t="shared" si="19"/>
        <v>1</v>
      </c>
      <c r="R8" s="192">
        <f t="shared" si="19"/>
        <v>1</v>
      </c>
      <c r="S8" s="192">
        <f t="shared" si="19"/>
        <v>0.60000001999999997</v>
      </c>
      <c r="T8" s="192">
        <f t="shared" si="19"/>
        <v>0.80000000999999998</v>
      </c>
      <c r="U8" s="192">
        <f t="shared" si="19"/>
        <v>1</v>
      </c>
      <c r="V8" s="192">
        <f t="shared" si="19"/>
        <v>1</v>
      </c>
      <c r="W8" s="192">
        <f t="shared" si="19"/>
        <v>1</v>
      </c>
      <c r="X8" s="192">
        <f t="shared" si="19"/>
        <v>1</v>
      </c>
      <c r="Y8" s="192">
        <f t="shared" si="19"/>
        <v>1</v>
      </c>
      <c r="Z8" s="192">
        <f t="shared" si="19"/>
        <v>0.92727269999999995</v>
      </c>
      <c r="AB8" s="231" t="s">
        <v>2485</v>
      </c>
      <c r="AC8" s="193"/>
      <c r="AD8" s="193"/>
      <c r="AE8" s="192">
        <f t="shared" ref="AE8:AN8" si="20">MAX(AE9:AE51)</f>
        <v>1</v>
      </c>
      <c r="AF8" s="192">
        <f t="shared" si="20"/>
        <v>1</v>
      </c>
      <c r="AG8" s="192">
        <f t="shared" si="20"/>
        <v>1</v>
      </c>
      <c r="AH8" s="192">
        <f t="shared" si="20"/>
        <v>1</v>
      </c>
      <c r="AI8" s="192">
        <f t="shared" si="20"/>
        <v>1</v>
      </c>
      <c r="AJ8" s="192">
        <f t="shared" si="20"/>
        <v>1</v>
      </c>
      <c r="AK8" s="192">
        <f t="shared" si="20"/>
        <v>1</v>
      </c>
      <c r="AL8" s="192">
        <f t="shared" si="20"/>
        <v>0.97916669999999995</v>
      </c>
      <c r="AM8" s="192">
        <f t="shared" si="20"/>
        <v>0.97916669999999995</v>
      </c>
      <c r="AN8" s="192">
        <f t="shared" si="20"/>
        <v>1</v>
      </c>
      <c r="AP8" s="231" t="s">
        <v>2485</v>
      </c>
      <c r="AQ8" s="193"/>
      <c r="AR8" s="193"/>
      <c r="AS8" s="192">
        <f t="shared" ref="AS8:BI8" si="21">MAX(AS9:AS52)</f>
        <v>1</v>
      </c>
      <c r="AT8" s="192">
        <f t="shared" si="21"/>
        <v>1</v>
      </c>
      <c r="AU8" s="192">
        <f t="shared" si="21"/>
        <v>1</v>
      </c>
      <c r="AV8" s="192">
        <f t="shared" si="21"/>
        <v>1</v>
      </c>
      <c r="AW8" s="192">
        <f t="shared" si="21"/>
        <v>1</v>
      </c>
      <c r="AX8" s="192">
        <f t="shared" si="21"/>
        <v>1</v>
      </c>
      <c r="AY8" s="192">
        <f t="shared" si="21"/>
        <v>1</v>
      </c>
      <c r="AZ8" s="192">
        <f t="shared" si="21"/>
        <v>1</v>
      </c>
      <c r="BA8" s="192">
        <f t="shared" si="21"/>
        <v>1</v>
      </c>
      <c r="BB8" s="192">
        <f t="shared" si="21"/>
        <v>1</v>
      </c>
      <c r="BC8" s="192">
        <f t="shared" si="21"/>
        <v>0</v>
      </c>
      <c r="BD8" s="192">
        <f t="shared" si="21"/>
        <v>0</v>
      </c>
      <c r="BE8" s="192">
        <f t="shared" si="21"/>
        <v>1</v>
      </c>
      <c r="BF8" s="192">
        <f t="shared" si="21"/>
        <v>1</v>
      </c>
      <c r="BG8" s="192">
        <f t="shared" si="21"/>
        <v>1</v>
      </c>
      <c r="BH8" s="192">
        <f t="shared" si="21"/>
        <v>1</v>
      </c>
      <c r="BI8" s="192">
        <f t="shared" si="21"/>
        <v>1</v>
      </c>
      <c r="BK8" s="231" t="s">
        <v>2485</v>
      </c>
      <c r="BL8" s="193"/>
      <c r="BM8" s="193"/>
      <c r="BN8" s="251"/>
      <c r="BO8" s="192">
        <f>MAX(BO9:BO42)</f>
        <v>1</v>
      </c>
      <c r="BP8" s="192">
        <f>MAX(BP9:BP42)</f>
        <v>1</v>
      </c>
      <c r="BQ8" s="192">
        <f>MAX(BQ9:BQ42)</f>
        <v>1</v>
      </c>
      <c r="BR8" s="192">
        <f>MAX(BR9:BR42)</f>
        <v>1</v>
      </c>
      <c r="BS8" s="192">
        <f t="shared" ref="BS8" si="22">MAX(BS9:BS42)</f>
        <v>1</v>
      </c>
      <c r="BT8" s="192"/>
    </row>
    <row r="9" spans="1:72" ht="17.25" hidden="1" customHeight="1" x14ac:dyDescent="0.35">
      <c r="A9" s="143" t="s">
        <v>2793</v>
      </c>
      <c r="B9" s="143" t="s">
        <v>2794</v>
      </c>
      <c r="C9" s="143" t="s">
        <v>2853</v>
      </c>
      <c r="D9" s="137" t="s">
        <v>2869</v>
      </c>
      <c r="E9" s="137" t="s">
        <v>2870</v>
      </c>
      <c r="F9" s="190" t="s">
        <v>2871</v>
      </c>
      <c r="G9" s="137" t="s">
        <v>2872</v>
      </c>
      <c r="H9" s="137" t="s">
        <v>2873</v>
      </c>
      <c r="I9" s="137" t="s">
        <v>2874</v>
      </c>
      <c r="J9" s="253" t="s">
        <v>2875</v>
      </c>
      <c r="K9" s="78" t="s">
        <v>2802</v>
      </c>
      <c r="L9" s="143" t="s">
        <v>2803</v>
      </c>
      <c r="M9" s="143" t="s">
        <v>2804</v>
      </c>
      <c r="N9" s="143" t="s">
        <v>2860</v>
      </c>
      <c r="O9" s="137" t="s">
        <v>2876</v>
      </c>
      <c r="P9" s="137" t="s">
        <v>2877</v>
      </c>
      <c r="Q9" s="137" t="s">
        <v>2878</v>
      </c>
      <c r="R9" s="137" t="s">
        <v>2879</v>
      </c>
      <c r="S9" s="137" t="s">
        <v>2880</v>
      </c>
      <c r="T9" s="137" t="s">
        <v>2881</v>
      </c>
      <c r="U9" s="137" t="s">
        <v>2882</v>
      </c>
      <c r="V9" s="137" t="s">
        <v>2883</v>
      </c>
      <c r="W9" s="137" t="s">
        <v>2884</v>
      </c>
      <c r="X9" s="137" t="s">
        <v>2885</v>
      </c>
      <c r="Y9" s="137" t="s">
        <v>2886</v>
      </c>
      <c r="Z9" s="137" t="s">
        <v>2887</v>
      </c>
      <c r="AA9" s="78" t="s">
        <v>2814</v>
      </c>
      <c r="AB9" s="143" t="s">
        <v>2815</v>
      </c>
      <c r="AC9" s="143" t="s">
        <v>2816</v>
      </c>
      <c r="AD9" s="143" t="s">
        <v>2864</v>
      </c>
      <c r="AE9" s="137" t="s">
        <v>2890</v>
      </c>
      <c r="AF9" s="137" t="s">
        <v>2891</v>
      </c>
      <c r="AG9" s="137" t="s">
        <v>2892</v>
      </c>
      <c r="AH9" s="137" t="s">
        <v>2893</v>
      </c>
      <c r="AI9" s="137" t="s">
        <v>2894</v>
      </c>
      <c r="AJ9" s="137" t="s">
        <v>2895</v>
      </c>
      <c r="AK9" s="137" t="s">
        <v>2896</v>
      </c>
      <c r="AL9" s="137" t="s">
        <v>2897</v>
      </c>
      <c r="AM9" s="190" t="s">
        <v>2898</v>
      </c>
      <c r="AN9" s="190" t="s">
        <v>2899</v>
      </c>
      <c r="AO9" s="78" t="s">
        <v>2824</v>
      </c>
      <c r="AP9" s="143" t="s">
        <v>2825</v>
      </c>
      <c r="AQ9" s="143" t="s">
        <v>2826</v>
      </c>
      <c r="AR9" s="143" t="s">
        <v>2865</v>
      </c>
      <c r="AS9" s="137" t="s">
        <v>2900</v>
      </c>
      <c r="AT9" s="137" t="s">
        <v>2901</v>
      </c>
      <c r="AU9" s="137" t="s">
        <v>2902</v>
      </c>
      <c r="AV9" s="137" t="s">
        <v>2903</v>
      </c>
      <c r="AW9" s="137" t="s">
        <v>2904</v>
      </c>
      <c r="AX9" s="137" t="s">
        <v>2905</v>
      </c>
      <c r="AY9" s="137" t="s">
        <v>2906</v>
      </c>
      <c r="AZ9" s="137" t="s">
        <v>2907</v>
      </c>
      <c r="BA9" s="137" t="s">
        <v>2908</v>
      </c>
      <c r="BB9" s="137" t="s">
        <v>2909</v>
      </c>
      <c r="BC9" s="137" t="s">
        <v>2910</v>
      </c>
      <c r="BD9" s="137" t="s">
        <v>2911</v>
      </c>
      <c r="BE9" s="137" t="s">
        <v>2912</v>
      </c>
      <c r="BF9" s="137" t="s">
        <v>2913</v>
      </c>
      <c r="BG9" s="137" t="s">
        <v>2914</v>
      </c>
      <c r="BH9" s="190" t="s">
        <v>2915</v>
      </c>
      <c r="BI9" s="190" t="s">
        <v>2916</v>
      </c>
      <c r="BJ9" s="78" t="s">
        <v>2854</v>
      </c>
      <c r="BK9" s="143" t="s">
        <v>2855</v>
      </c>
      <c r="BL9" s="143" t="s">
        <v>2856</v>
      </c>
      <c r="BM9" s="143" t="s">
        <v>2924</v>
      </c>
      <c r="BN9" s="252" t="s">
        <v>2917</v>
      </c>
      <c r="BO9" s="249" t="s">
        <v>2918</v>
      </c>
      <c r="BP9" s="249" t="s">
        <v>2919</v>
      </c>
      <c r="BQ9" s="249" t="s">
        <v>2920</v>
      </c>
      <c r="BR9" s="249" t="s">
        <v>2921</v>
      </c>
      <c r="BS9" s="253" t="s">
        <v>2922</v>
      </c>
      <c r="BT9" s="169" t="s">
        <v>2923</v>
      </c>
    </row>
    <row r="10" spans="1:72" ht="17.25" customHeight="1" x14ac:dyDescent="0.35">
      <c r="A10" s="143" t="s">
        <v>719</v>
      </c>
      <c r="B10" s="143" t="s">
        <v>720</v>
      </c>
      <c r="C10" s="143">
        <v>10</v>
      </c>
      <c r="D10" s="137">
        <v>0.17090910000000001</v>
      </c>
      <c r="E10" s="137">
        <v>0.69393260000000001</v>
      </c>
      <c r="F10" s="190">
        <v>0.86484170000000005</v>
      </c>
      <c r="G10" s="137">
        <v>0.6</v>
      </c>
      <c r="H10" s="137">
        <v>0.18833330000000001</v>
      </c>
      <c r="I10" s="137">
        <v>0.73193509999999995</v>
      </c>
      <c r="J10" s="249">
        <v>0.92026839999999999</v>
      </c>
      <c r="L10" s="143" t="s">
        <v>719</v>
      </c>
      <c r="M10" s="143" t="s">
        <v>720</v>
      </c>
      <c r="N10" s="143">
        <v>10</v>
      </c>
      <c r="O10" s="137">
        <v>0.40000001000000002</v>
      </c>
      <c r="P10" s="137">
        <v>0.60000001999999997</v>
      </c>
      <c r="Q10" s="137">
        <v>0.89999998000000003</v>
      </c>
      <c r="R10" s="137">
        <v>0.69999999000000002</v>
      </c>
      <c r="S10" s="137">
        <v>0.1</v>
      </c>
      <c r="T10" s="137">
        <v>0.1</v>
      </c>
      <c r="U10" s="137">
        <v>0.80000000999999998</v>
      </c>
      <c r="V10" s="137">
        <v>1</v>
      </c>
      <c r="W10" s="137">
        <v>1</v>
      </c>
      <c r="X10" s="137">
        <v>0.69999999000000002</v>
      </c>
      <c r="Y10" s="137">
        <v>1</v>
      </c>
      <c r="Z10" s="137">
        <v>0.66363640000000002</v>
      </c>
      <c r="AB10" s="143" t="s">
        <v>719</v>
      </c>
      <c r="AC10" s="143" t="s">
        <v>720</v>
      </c>
      <c r="AD10" s="143">
        <v>10</v>
      </c>
      <c r="AE10" s="137">
        <v>1</v>
      </c>
      <c r="AF10" s="137">
        <v>1</v>
      </c>
      <c r="AG10" s="137">
        <v>1</v>
      </c>
      <c r="AH10" s="137">
        <v>1</v>
      </c>
      <c r="AI10" s="137">
        <v>1</v>
      </c>
      <c r="AJ10" s="137">
        <v>1</v>
      </c>
      <c r="AK10" s="137">
        <v>1</v>
      </c>
      <c r="AL10" s="137">
        <v>0.86624999999999996</v>
      </c>
      <c r="AM10" s="271">
        <v>0.86624999999999996</v>
      </c>
      <c r="AN10" s="271">
        <v>0.1</v>
      </c>
      <c r="AP10" s="143" t="s">
        <v>719</v>
      </c>
      <c r="AQ10" s="143" t="s">
        <v>720</v>
      </c>
      <c r="AR10" s="143">
        <v>10</v>
      </c>
      <c r="AS10" s="137">
        <v>1</v>
      </c>
      <c r="AT10" s="137">
        <v>1</v>
      </c>
      <c r="AU10" s="137">
        <v>1</v>
      </c>
      <c r="AV10" s="137">
        <v>1</v>
      </c>
      <c r="AW10" s="137">
        <v>1</v>
      </c>
      <c r="AX10" s="137">
        <v>0</v>
      </c>
      <c r="AY10" s="137">
        <v>1</v>
      </c>
      <c r="AZ10" s="137">
        <v>1</v>
      </c>
      <c r="BA10" s="137">
        <v>1</v>
      </c>
      <c r="BB10" s="137">
        <v>1</v>
      </c>
      <c r="BE10" s="137">
        <v>1</v>
      </c>
      <c r="BF10" s="137">
        <v>0.77777779102</v>
      </c>
      <c r="BG10" s="137">
        <v>0.66666668653000005</v>
      </c>
      <c r="BH10" s="271">
        <v>0.82333330000000005</v>
      </c>
      <c r="BI10" s="271">
        <v>0.5</v>
      </c>
      <c r="BK10" s="143" t="s">
        <v>719</v>
      </c>
      <c r="BL10" s="143" t="s">
        <v>720</v>
      </c>
      <c r="BM10" s="143">
        <v>10</v>
      </c>
      <c r="BN10" s="252">
        <v>3</v>
      </c>
      <c r="BO10" s="249">
        <v>1</v>
      </c>
      <c r="BP10" s="249">
        <v>1</v>
      </c>
      <c r="BQ10" s="249">
        <v>0.3333333</v>
      </c>
      <c r="BR10" s="249">
        <v>1</v>
      </c>
      <c r="BS10" s="253">
        <v>0.83333330000000005</v>
      </c>
      <c r="BT10" s="169" t="s">
        <v>2487</v>
      </c>
    </row>
    <row r="11" spans="1:72" ht="17.25" customHeight="1" x14ac:dyDescent="0.35">
      <c r="A11" s="143" t="s">
        <v>2839</v>
      </c>
      <c r="B11" s="143" t="s">
        <v>759</v>
      </c>
      <c r="C11" s="143">
        <v>6</v>
      </c>
      <c r="D11" s="137"/>
      <c r="E11" s="137">
        <v>0.4630707</v>
      </c>
      <c r="F11" s="190">
        <v>0.57883839999999998</v>
      </c>
      <c r="G11" s="137">
        <v>0</v>
      </c>
      <c r="H11" s="137"/>
      <c r="I11" s="137">
        <v>0.2811111</v>
      </c>
      <c r="J11" s="249">
        <v>0.3513889</v>
      </c>
      <c r="L11" s="143" t="s">
        <v>2839</v>
      </c>
      <c r="M11" s="143" t="s">
        <v>759</v>
      </c>
      <c r="N11" s="143">
        <v>6</v>
      </c>
      <c r="O11" s="137"/>
      <c r="P11" s="137"/>
      <c r="Q11" s="137"/>
      <c r="R11" s="137"/>
      <c r="S11" s="137"/>
      <c r="T11" s="137"/>
      <c r="U11" s="137"/>
      <c r="V11" s="137"/>
      <c r="W11" s="137"/>
      <c r="X11" s="137"/>
      <c r="Y11" s="137"/>
      <c r="Z11" s="137"/>
      <c r="AB11" s="143" t="s">
        <v>2839</v>
      </c>
      <c r="AC11" s="143" t="s">
        <v>759</v>
      </c>
      <c r="AD11" s="143">
        <v>6</v>
      </c>
      <c r="AM11" s="271"/>
      <c r="AN11" s="271"/>
      <c r="AP11" s="143" t="s">
        <v>2839</v>
      </c>
      <c r="AQ11" s="143" t="s">
        <v>759</v>
      </c>
      <c r="AR11" s="143">
        <v>6</v>
      </c>
      <c r="BH11" s="271"/>
      <c r="BI11" s="271"/>
      <c r="BK11" s="143" t="s">
        <v>2839</v>
      </c>
      <c r="BL11" s="143" t="s">
        <v>759</v>
      </c>
      <c r="BN11" s="252"/>
      <c r="BO11" s="249"/>
      <c r="BP11" s="249"/>
      <c r="BQ11" s="249"/>
      <c r="BR11" s="249"/>
      <c r="BS11" s="253"/>
      <c r="BT11" s="169" t="s">
        <v>2838</v>
      </c>
    </row>
    <row r="12" spans="1:72" ht="17.25" customHeight="1" x14ac:dyDescent="0.35">
      <c r="A12" s="143" t="s">
        <v>2840</v>
      </c>
      <c r="B12" s="143" t="s">
        <v>722</v>
      </c>
      <c r="C12" s="143">
        <v>6</v>
      </c>
      <c r="D12" s="137">
        <v>0.17515149999999999</v>
      </c>
      <c r="E12" s="137">
        <v>0.51236499999999996</v>
      </c>
      <c r="F12" s="190">
        <v>0.68751660000000003</v>
      </c>
      <c r="G12" s="137">
        <v>0</v>
      </c>
      <c r="H12" s="137">
        <v>0.15555559999999999</v>
      </c>
      <c r="I12" s="137">
        <v>0.29220940000000001</v>
      </c>
      <c r="J12" s="249">
        <v>0.44776500000000002</v>
      </c>
      <c r="L12" s="143" t="s">
        <v>2840</v>
      </c>
      <c r="M12" s="143" t="s">
        <v>722</v>
      </c>
      <c r="N12" s="143">
        <v>6</v>
      </c>
      <c r="O12" s="137">
        <v>0.5</v>
      </c>
      <c r="P12" s="137">
        <v>0.83333330999999999</v>
      </c>
      <c r="Q12" s="137">
        <v>0.5</v>
      </c>
      <c r="R12" s="137">
        <v>0.83333330999999999</v>
      </c>
      <c r="S12" s="137">
        <v>0.16666666999999999</v>
      </c>
      <c r="T12" s="137">
        <v>0.16666666999999999</v>
      </c>
      <c r="U12" s="137">
        <v>0.83333330999999999</v>
      </c>
      <c r="V12" s="137">
        <v>0.66666669000000001</v>
      </c>
      <c r="W12" s="137">
        <v>0.83333330999999999</v>
      </c>
      <c r="X12" s="137">
        <v>0.66666669000000001</v>
      </c>
      <c r="Y12" s="137">
        <v>0.66666669000000001</v>
      </c>
      <c r="Z12" s="137">
        <v>0.60606059999999995</v>
      </c>
      <c r="AB12" s="143" t="s">
        <v>2840</v>
      </c>
      <c r="AC12" s="143" t="s">
        <v>722</v>
      </c>
      <c r="AD12" s="143">
        <v>6</v>
      </c>
      <c r="AE12" s="137">
        <v>0.98461540000000003</v>
      </c>
      <c r="AF12" s="137">
        <v>0.96</v>
      </c>
      <c r="AG12" s="137">
        <v>1</v>
      </c>
      <c r="AH12" s="137">
        <v>0.90909090000000004</v>
      </c>
      <c r="AI12" s="137">
        <v>0.88888889999999998</v>
      </c>
      <c r="AJ12" s="137">
        <v>0.96666660000000004</v>
      </c>
      <c r="AK12" s="137">
        <v>1</v>
      </c>
      <c r="AL12" s="137">
        <v>0.86164209999999997</v>
      </c>
      <c r="AM12" s="271">
        <v>0.87469980000000003</v>
      </c>
      <c r="AN12" s="271">
        <v>0.1666667</v>
      </c>
      <c r="AP12" s="143" t="s">
        <v>2840</v>
      </c>
      <c r="AQ12" s="143" t="s">
        <v>722</v>
      </c>
      <c r="AR12" s="143">
        <v>6</v>
      </c>
      <c r="AS12" s="137">
        <v>1</v>
      </c>
      <c r="AT12" s="137">
        <v>1</v>
      </c>
      <c r="AU12" s="137">
        <v>1</v>
      </c>
      <c r="AV12" s="137">
        <v>1</v>
      </c>
      <c r="AW12" s="137">
        <v>1</v>
      </c>
      <c r="AX12" s="137">
        <v>1</v>
      </c>
      <c r="AY12" s="137">
        <v>1</v>
      </c>
      <c r="AZ12" s="137">
        <v>1</v>
      </c>
      <c r="BA12" s="137">
        <v>1</v>
      </c>
      <c r="BB12" s="137">
        <v>1</v>
      </c>
      <c r="BE12" s="137">
        <v>0.80000001192000003</v>
      </c>
      <c r="BF12" s="137">
        <v>0.80000001192000003</v>
      </c>
      <c r="BG12" s="137">
        <v>0.80000001192000003</v>
      </c>
      <c r="BH12" s="271">
        <v>0.83333330000000005</v>
      </c>
      <c r="BI12" s="271">
        <v>0.83333330000000005</v>
      </c>
      <c r="BK12" s="143" t="s">
        <v>2840</v>
      </c>
      <c r="BL12" s="143" t="s">
        <v>722</v>
      </c>
      <c r="BM12" s="143">
        <v>6</v>
      </c>
      <c r="BN12" s="252">
        <v>3</v>
      </c>
      <c r="BO12" s="249">
        <v>1</v>
      </c>
      <c r="BP12" s="249">
        <v>1</v>
      </c>
      <c r="BQ12" s="249">
        <v>1</v>
      </c>
      <c r="BR12" s="249">
        <v>1</v>
      </c>
      <c r="BS12" s="253">
        <v>1</v>
      </c>
      <c r="BT12" s="169" t="s">
        <v>2486</v>
      </c>
    </row>
    <row r="13" spans="1:72" ht="17.25" customHeight="1" x14ac:dyDescent="0.35">
      <c r="A13" s="143" t="s">
        <v>723</v>
      </c>
      <c r="B13" s="143" t="s">
        <v>720</v>
      </c>
      <c r="C13" s="143">
        <v>5</v>
      </c>
      <c r="D13" s="137">
        <v>0.16363639999999999</v>
      </c>
      <c r="E13" s="137">
        <v>0.55027579999999998</v>
      </c>
      <c r="F13" s="190">
        <v>0.71391210000000005</v>
      </c>
      <c r="G13" s="137">
        <v>0</v>
      </c>
      <c r="H13" s="137">
        <v>0.19</v>
      </c>
      <c r="I13" s="137">
        <v>0.54726589999999997</v>
      </c>
      <c r="J13" s="249">
        <v>0.73726590000000003</v>
      </c>
      <c r="L13" s="143" t="s">
        <v>723</v>
      </c>
      <c r="M13" s="143" t="s">
        <v>720</v>
      </c>
      <c r="N13" s="143">
        <v>5</v>
      </c>
      <c r="O13" s="137">
        <v>0.60000001999999997</v>
      </c>
      <c r="P13" s="137">
        <v>1</v>
      </c>
      <c r="Q13" s="137">
        <v>1</v>
      </c>
      <c r="R13" s="137">
        <v>1</v>
      </c>
      <c r="S13" s="137">
        <v>0</v>
      </c>
      <c r="T13" s="137">
        <v>0</v>
      </c>
      <c r="U13" s="137">
        <v>1</v>
      </c>
      <c r="V13" s="137">
        <v>1</v>
      </c>
      <c r="W13" s="137">
        <v>1</v>
      </c>
      <c r="X13" s="137">
        <v>1</v>
      </c>
      <c r="Y13" s="137">
        <v>1</v>
      </c>
      <c r="Z13" s="137">
        <v>0.78181820000000002</v>
      </c>
      <c r="AB13" s="143" t="s">
        <v>723</v>
      </c>
      <c r="AC13" s="143" t="s">
        <v>720</v>
      </c>
      <c r="AD13" s="143">
        <v>5</v>
      </c>
      <c r="AL13" s="137">
        <v>0.91249999999999998</v>
      </c>
      <c r="AM13" s="271">
        <v>0.91249999999999998</v>
      </c>
      <c r="AN13" s="271">
        <v>0</v>
      </c>
      <c r="AP13" s="143" t="s">
        <v>723</v>
      </c>
      <c r="AQ13" s="143" t="s">
        <v>720</v>
      </c>
      <c r="AR13" s="143">
        <v>5</v>
      </c>
      <c r="BE13" s="137">
        <v>0.80000001192000003</v>
      </c>
      <c r="BF13" s="137">
        <v>1</v>
      </c>
      <c r="BG13" s="137">
        <v>1</v>
      </c>
      <c r="BH13" s="271">
        <v>0.93333330000000003</v>
      </c>
      <c r="BI13" s="271">
        <v>0.8</v>
      </c>
      <c r="BK13" s="143" t="s">
        <v>723</v>
      </c>
      <c r="BL13" s="143" t="s">
        <v>720</v>
      </c>
      <c r="BM13" s="143">
        <v>5</v>
      </c>
      <c r="BN13" s="252"/>
      <c r="BO13" s="249"/>
      <c r="BP13" s="249"/>
      <c r="BQ13" s="249"/>
      <c r="BR13" s="249"/>
      <c r="BS13" s="253"/>
      <c r="BT13" s="169" t="s">
        <v>2838</v>
      </c>
    </row>
    <row r="14" spans="1:72" ht="17.25" customHeight="1" x14ac:dyDescent="0.35">
      <c r="A14" s="143" t="s">
        <v>724</v>
      </c>
      <c r="B14" s="143" t="s">
        <v>725</v>
      </c>
      <c r="C14" s="143">
        <v>6</v>
      </c>
      <c r="D14" s="137">
        <v>0.18787880000000001</v>
      </c>
      <c r="E14" s="137">
        <v>0.68913860000000005</v>
      </c>
      <c r="F14" s="190">
        <v>0.87701739999999995</v>
      </c>
      <c r="G14" s="137">
        <v>0.5</v>
      </c>
      <c r="H14" s="137">
        <v>0.18055560000000001</v>
      </c>
      <c r="I14" s="137">
        <v>0.65555560000000002</v>
      </c>
      <c r="J14" s="249">
        <v>0.8361111</v>
      </c>
      <c r="L14" s="143" t="s">
        <v>724</v>
      </c>
      <c r="M14" s="143" t="s">
        <v>725</v>
      </c>
      <c r="N14" s="143">
        <v>6</v>
      </c>
      <c r="O14" s="137">
        <v>0.33333333999999998</v>
      </c>
      <c r="P14" s="137">
        <v>0.66666669000000001</v>
      </c>
      <c r="Q14" s="137">
        <v>1</v>
      </c>
      <c r="R14" s="137">
        <v>1</v>
      </c>
      <c r="S14" s="137">
        <v>0</v>
      </c>
      <c r="T14" s="137">
        <v>0</v>
      </c>
      <c r="U14" s="137">
        <v>0.83333330999999999</v>
      </c>
      <c r="V14" s="137">
        <v>1</v>
      </c>
      <c r="W14" s="137">
        <v>1</v>
      </c>
      <c r="X14" s="137">
        <v>1</v>
      </c>
      <c r="Y14" s="137">
        <v>1</v>
      </c>
      <c r="Z14" s="137">
        <v>0.71212120000000001</v>
      </c>
      <c r="AB14" s="143" t="s">
        <v>724</v>
      </c>
      <c r="AC14" s="143" t="s">
        <v>725</v>
      </c>
      <c r="AD14" s="143">
        <v>6</v>
      </c>
      <c r="AL14" s="137">
        <v>0.86666670000000001</v>
      </c>
      <c r="AM14" s="271">
        <v>0.86666670000000001</v>
      </c>
      <c r="AN14" s="271">
        <v>0</v>
      </c>
      <c r="AP14" s="143" t="s">
        <v>724</v>
      </c>
      <c r="AQ14" s="143" t="s">
        <v>725</v>
      </c>
      <c r="AR14" s="143">
        <v>6</v>
      </c>
      <c r="BE14" s="137">
        <v>1</v>
      </c>
      <c r="BF14" s="137">
        <v>0.83333331346999995</v>
      </c>
      <c r="BG14" s="137">
        <v>1</v>
      </c>
      <c r="BH14" s="271">
        <v>0.94444439999999996</v>
      </c>
      <c r="BI14" s="271">
        <v>0.83333330000000005</v>
      </c>
      <c r="BK14" s="143" t="s">
        <v>724</v>
      </c>
      <c r="BL14" s="143" t="s">
        <v>725</v>
      </c>
      <c r="BM14" s="143">
        <v>6</v>
      </c>
      <c r="BN14" s="252"/>
      <c r="BO14" s="249"/>
      <c r="BP14" s="249"/>
      <c r="BQ14" s="249"/>
      <c r="BR14" s="249"/>
      <c r="BS14" s="253"/>
      <c r="BT14" s="169" t="s">
        <v>2838</v>
      </c>
    </row>
    <row r="15" spans="1:72" ht="17.25" customHeight="1" x14ac:dyDescent="0.35">
      <c r="A15" s="143" t="s">
        <v>726</v>
      </c>
      <c r="B15" s="143" t="s">
        <v>720</v>
      </c>
      <c r="C15" s="143">
        <v>6</v>
      </c>
      <c r="D15" s="137">
        <v>0.16363639999999999</v>
      </c>
      <c r="E15" s="137">
        <v>0.64501189999999997</v>
      </c>
      <c r="F15" s="190">
        <v>0.80864829999999999</v>
      </c>
      <c r="G15" s="137">
        <v>0.3333333</v>
      </c>
      <c r="H15" s="137">
        <v>0.17499999999999999</v>
      </c>
      <c r="I15" s="137">
        <v>0.44032460000000001</v>
      </c>
      <c r="J15" s="249">
        <v>0.6153246</v>
      </c>
      <c r="L15" s="143" t="s">
        <v>726</v>
      </c>
      <c r="M15" s="143" t="s">
        <v>720</v>
      </c>
      <c r="N15" s="143">
        <v>6</v>
      </c>
      <c r="O15" s="137">
        <v>1</v>
      </c>
      <c r="P15" s="137">
        <v>0.83333330999999999</v>
      </c>
      <c r="Q15" s="137">
        <v>1</v>
      </c>
      <c r="R15" s="137">
        <v>0.83333330999999999</v>
      </c>
      <c r="S15" s="137">
        <v>0</v>
      </c>
      <c r="T15" s="137">
        <v>0</v>
      </c>
      <c r="U15" s="137">
        <v>1</v>
      </c>
      <c r="V15" s="137">
        <v>1</v>
      </c>
      <c r="W15" s="137">
        <v>1</v>
      </c>
      <c r="X15" s="137">
        <v>1</v>
      </c>
      <c r="Y15" s="137">
        <v>1</v>
      </c>
      <c r="Z15" s="137">
        <v>0.78787879999999999</v>
      </c>
      <c r="AB15" s="143" t="s">
        <v>726</v>
      </c>
      <c r="AC15" s="143" t="s">
        <v>720</v>
      </c>
      <c r="AD15" s="143">
        <v>6</v>
      </c>
      <c r="AL15" s="137">
        <v>0.96250000000000002</v>
      </c>
      <c r="AM15" s="271">
        <v>0.96250000000000002</v>
      </c>
      <c r="AN15" s="271">
        <v>0.66666669999999995</v>
      </c>
      <c r="AP15" s="143" t="s">
        <v>726</v>
      </c>
      <c r="AQ15" s="143" t="s">
        <v>720</v>
      </c>
      <c r="AR15" s="143">
        <v>6</v>
      </c>
      <c r="BE15" s="137">
        <v>1</v>
      </c>
      <c r="BF15" s="137">
        <v>1</v>
      </c>
      <c r="BG15" s="137">
        <v>1</v>
      </c>
      <c r="BH15" s="271">
        <v>1</v>
      </c>
      <c r="BI15" s="271">
        <v>1</v>
      </c>
      <c r="BK15" s="143" t="s">
        <v>726</v>
      </c>
      <c r="BL15" s="143" t="s">
        <v>720</v>
      </c>
      <c r="BM15" s="143">
        <v>6</v>
      </c>
      <c r="BN15" s="252"/>
      <c r="BO15" s="249"/>
      <c r="BP15" s="249"/>
      <c r="BQ15" s="249"/>
      <c r="BR15" s="249"/>
      <c r="BS15" s="253"/>
      <c r="BT15" s="169" t="s">
        <v>2838</v>
      </c>
    </row>
    <row r="16" spans="1:72" ht="17.25" customHeight="1" x14ac:dyDescent="0.35">
      <c r="A16" s="143" t="s">
        <v>727</v>
      </c>
      <c r="B16" s="143" t="s">
        <v>728</v>
      </c>
      <c r="C16" s="143">
        <v>7</v>
      </c>
      <c r="D16" s="137">
        <v>0.16337660000000001</v>
      </c>
      <c r="E16" s="137">
        <v>0.66458490000000003</v>
      </c>
      <c r="F16" s="190">
        <v>0.82796150000000002</v>
      </c>
      <c r="G16" s="137">
        <v>0.14285709999999999</v>
      </c>
      <c r="H16" s="137">
        <v>0.1285714</v>
      </c>
      <c r="I16" s="137">
        <v>0.38740859999999999</v>
      </c>
      <c r="J16" s="249">
        <v>0.51597999999999999</v>
      </c>
      <c r="L16" s="143" t="s">
        <v>727</v>
      </c>
      <c r="M16" s="143" t="s">
        <v>728</v>
      </c>
      <c r="N16" s="143">
        <v>7</v>
      </c>
      <c r="O16" s="137">
        <v>1</v>
      </c>
      <c r="P16" s="137">
        <v>0.85714287</v>
      </c>
      <c r="Q16" s="137">
        <v>0.85714287</v>
      </c>
      <c r="R16" s="137">
        <v>1</v>
      </c>
      <c r="S16" s="137">
        <v>0.14285714999999999</v>
      </c>
      <c r="T16" s="137">
        <v>0.14285714999999999</v>
      </c>
      <c r="U16" s="137">
        <v>0.71428572999999995</v>
      </c>
      <c r="V16" s="137">
        <v>1</v>
      </c>
      <c r="W16" s="137">
        <v>1</v>
      </c>
      <c r="X16" s="137">
        <v>1</v>
      </c>
      <c r="Y16" s="137">
        <v>0.85714287</v>
      </c>
      <c r="Z16" s="137">
        <v>0.77922080000000005</v>
      </c>
      <c r="AB16" s="143" t="s">
        <v>727</v>
      </c>
      <c r="AC16" s="143" t="s">
        <v>728</v>
      </c>
      <c r="AD16" s="143">
        <v>7</v>
      </c>
      <c r="AE16" s="137">
        <v>0.93846149999999995</v>
      </c>
      <c r="AF16" s="137">
        <v>0.92</v>
      </c>
      <c r="AG16" s="137">
        <v>0.9473684</v>
      </c>
      <c r="AH16" s="137">
        <v>0.86363639999999997</v>
      </c>
      <c r="AI16" s="137">
        <v>0.88888889999999998</v>
      </c>
      <c r="AJ16" s="137">
        <v>0.96666660000000004</v>
      </c>
      <c r="AK16" s="137">
        <v>1</v>
      </c>
      <c r="AL16" s="137">
        <v>0.94159660000000001</v>
      </c>
      <c r="AM16" s="271">
        <v>0.94126639999999995</v>
      </c>
      <c r="AN16" s="271">
        <v>0.14285709999999999</v>
      </c>
      <c r="AP16" s="143" t="s">
        <v>727</v>
      </c>
      <c r="AQ16" s="143" t="s">
        <v>728</v>
      </c>
      <c r="AR16" s="143">
        <v>7</v>
      </c>
      <c r="AS16" s="137">
        <v>1</v>
      </c>
      <c r="AT16" s="137">
        <v>1</v>
      </c>
      <c r="AU16" s="137">
        <v>1</v>
      </c>
      <c r="AV16" s="137">
        <v>1</v>
      </c>
      <c r="AW16" s="137">
        <v>1</v>
      </c>
      <c r="AX16" s="137">
        <v>1</v>
      </c>
      <c r="AY16" s="137">
        <v>1</v>
      </c>
      <c r="AZ16" s="137">
        <v>1</v>
      </c>
      <c r="BA16" s="137">
        <v>1</v>
      </c>
      <c r="BB16" s="137">
        <v>1</v>
      </c>
      <c r="BE16" s="137">
        <v>1</v>
      </c>
      <c r="BF16" s="137">
        <v>1</v>
      </c>
      <c r="BG16" s="137">
        <v>1</v>
      </c>
      <c r="BH16" s="271">
        <v>1</v>
      </c>
      <c r="BI16" s="271">
        <v>1</v>
      </c>
      <c r="BK16" s="143" t="s">
        <v>727</v>
      </c>
      <c r="BL16" s="143" t="s">
        <v>728</v>
      </c>
      <c r="BM16" s="143">
        <v>7</v>
      </c>
      <c r="BN16" s="252">
        <v>3</v>
      </c>
      <c r="BO16" s="249">
        <v>1</v>
      </c>
      <c r="BP16" s="249">
        <v>1</v>
      </c>
      <c r="BQ16" s="249">
        <v>1</v>
      </c>
      <c r="BR16" s="249">
        <v>0.75</v>
      </c>
      <c r="BS16" s="253">
        <v>0.9375</v>
      </c>
      <c r="BT16" s="169" t="s">
        <v>2487</v>
      </c>
    </row>
    <row r="17" spans="1:72" ht="17.25" customHeight="1" x14ac:dyDescent="0.35">
      <c r="A17" s="143" t="s">
        <v>729</v>
      </c>
      <c r="B17" s="143" t="s">
        <v>730</v>
      </c>
      <c r="C17" s="143">
        <v>6</v>
      </c>
      <c r="D17" s="137">
        <v>0.19393940000000001</v>
      </c>
      <c r="E17" s="137">
        <v>0.75437520000000002</v>
      </c>
      <c r="F17" s="190">
        <v>0.94831460000000001</v>
      </c>
      <c r="G17" s="137">
        <v>0.83333330000000005</v>
      </c>
      <c r="H17" s="137">
        <v>0.1638889</v>
      </c>
      <c r="I17" s="137">
        <v>0.77215979999999995</v>
      </c>
      <c r="J17" s="249">
        <v>0.93604869999999996</v>
      </c>
      <c r="L17" s="143" t="s">
        <v>729</v>
      </c>
      <c r="M17" s="143" t="s">
        <v>730</v>
      </c>
      <c r="N17" s="143">
        <v>6</v>
      </c>
      <c r="O17" s="137">
        <v>1</v>
      </c>
      <c r="P17" s="137">
        <v>1</v>
      </c>
      <c r="Q17" s="137">
        <v>1</v>
      </c>
      <c r="R17" s="137">
        <v>1</v>
      </c>
      <c r="S17" s="137">
        <v>0</v>
      </c>
      <c r="T17" s="137">
        <v>0</v>
      </c>
      <c r="U17" s="137">
        <v>1</v>
      </c>
      <c r="V17" s="137">
        <v>1</v>
      </c>
      <c r="W17" s="137">
        <v>1</v>
      </c>
      <c r="X17" s="137">
        <v>0.83333330999999999</v>
      </c>
      <c r="Y17" s="137">
        <v>1</v>
      </c>
      <c r="Z17" s="137">
        <v>0.80303029999999997</v>
      </c>
      <c r="AB17" s="143" t="s">
        <v>729</v>
      </c>
      <c r="AC17" s="143" t="s">
        <v>730</v>
      </c>
      <c r="AD17" s="143">
        <v>6</v>
      </c>
      <c r="AL17" s="137">
        <v>0.93958330000000001</v>
      </c>
      <c r="AM17" s="271">
        <v>0.93958330000000001</v>
      </c>
      <c r="AN17" s="271">
        <v>0.1666667</v>
      </c>
      <c r="AP17" s="143" t="s">
        <v>729</v>
      </c>
      <c r="AQ17" s="143" t="s">
        <v>730</v>
      </c>
      <c r="AR17" s="143">
        <v>6</v>
      </c>
      <c r="BE17" s="137">
        <v>1</v>
      </c>
      <c r="BF17" s="137">
        <v>1</v>
      </c>
      <c r="BG17" s="137">
        <v>1</v>
      </c>
      <c r="BH17" s="271">
        <v>1</v>
      </c>
      <c r="BI17" s="271">
        <v>1</v>
      </c>
      <c r="BK17" s="143" t="s">
        <v>729</v>
      </c>
      <c r="BL17" s="143" t="s">
        <v>730</v>
      </c>
      <c r="BM17" s="143">
        <v>6</v>
      </c>
      <c r="BN17" s="252"/>
      <c r="BO17" s="249"/>
      <c r="BP17" s="249"/>
      <c r="BQ17" s="249"/>
      <c r="BR17" s="249"/>
      <c r="BS17" s="253"/>
      <c r="BT17" s="169" t="s">
        <v>2838</v>
      </c>
    </row>
    <row r="18" spans="1:72" ht="17.25" customHeight="1" x14ac:dyDescent="0.35">
      <c r="A18" s="143" t="s">
        <v>2841</v>
      </c>
      <c r="B18" s="143" t="s">
        <v>748</v>
      </c>
      <c r="C18" s="143">
        <v>4</v>
      </c>
      <c r="D18" s="137"/>
      <c r="E18" s="137">
        <v>0.19151509999999999</v>
      </c>
      <c r="F18" s="190">
        <v>0.23939389999999999</v>
      </c>
      <c r="G18" s="137">
        <v>0</v>
      </c>
      <c r="H18" s="137"/>
      <c r="I18" s="137">
        <v>1.66667E-2</v>
      </c>
      <c r="J18" s="249">
        <v>2.0833299999999999E-2</v>
      </c>
      <c r="L18" s="143" t="s">
        <v>2841</v>
      </c>
      <c r="M18" s="143" t="s">
        <v>748</v>
      </c>
      <c r="N18" s="143">
        <v>4</v>
      </c>
      <c r="O18" s="137"/>
      <c r="P18" s="137"/>
      <c r="Q18" s="137"/>
      <c r="R18" s="137"/>
      <c r="S18" s="137"/>
      <c r="T18" s="137"/>
      <c r="U18" s="137"/>
      <c r="V18" s="137"/>
      <c r="W18" s="137"/>
      <c r="X18" s="137"/>
      <c r="Y18" s="137"/>
      <c r="Z18" s="137"/>
      <c r="AB18" s="143" t="s">
        <v>2841</v>
      </c>
      <c r="AC18" s="143" t="s">
        <v>748</v>
      </c>
      <c r="AD18" s="143">
        <v>4</v>
      </c>
      <c r="AM18" s="271"/>
      <c r="AN18" s="271"/>
      <c r="AP18" s="143" t="s">
        <v>2841</v>
      </c>
      <c r="AQ18" s="143" t="s">
        <v>748</v>
      </c>
      <c r="AR18" s="143">
        <v>4</v>
      </c>
      <c r="BH18" s="271"/>
      <c r="BI18" s="271"/>
      <c r="BK18" s="143" t="s">
        <v>2841</v>
      </c>
      <c r="BL18" s="143" t="s">
        <v>748</v>
      </c>
      <c r="BN18" s="252"/>
      <c r="BO18" s="249"/>
      <c r="BP18" s="249"/>
      <c r="BQ18" s="249"/>
      <c r="BR18" s="249"/>
      <c r="BS18" s="253"/>
      <c r="BT18" s="169" t="s">
        <v>2838</v>
      </c>
    </row>
    <row r="19" spans="1:72" ht="17.25" customHeight="1" x14ac:dyDescent="0.35">
      <c r="A19" s="143" t="s">
        <v>2842</v>
      </c>
      <c r="B19" s="143" t="s">
        <v>722</v>
      </c>
      <c r="C19" s="143">
        <v>4</v>
      </c>
      <c r="D19" s="137">
        <v>8.6363599999999999E-2</v>
      </c>
      <c r="E19" s="137">
        <v>0.23887149999999999</v>
      </c>
      <c r="F19" s="190">
        <v>0.3252351</v>
      </c>
      <c r="G19" s="137">
        <v>0</v>
      </c>
      <c r="H19" s="137">
        <v>0.1208333</v>
      </c>
      <c r="I19" s="137">
        <v>1.66667E-2</v>
      </c>
      <c r="J19" s="249">
        <v>0.13750000000000001</v>
      </c>
      <c r="L19" s="143" t="s">
        <v>2842</v>
      </c>
      <c r="M19" s="143" t="s">
        <v>722</v>
      </c>
      <c r="N19" s="143">
        <v>4</v>
      </c>
      <c r="O19" s="137">
        <v>0.5</v>
      </c>
      <c r="P19" s="137">
        <v>0.5</v>
      </c>
      <c r="Q19" s="137">
        <v>0.75</v>
      </c>
      <c r="R19" s="137">
        <v>0.5</v>
      </c>
      <c r="S19" s="137">
        <v>0.25</v>
      </c>
      <c r="T19" s="137">
        <v>0</v>
      </c>
      <c r="U19" s="137">
        <v>1</v>
      </c>
      <c r="V19" s="137">
        <v>0.25</v>
      </c>
      <c r="W19" s="137">
        <v>0.75</v>
      </c>
      <c r="X19" s="137">
        <v>0.75</v>
      </c>
      <c r="Y19" s="137">
        <v>0.25</v>
      </c>
      <c r="Z19" s="137">
        <v>0.5</v>
      </c>
      <c r="AB19" s="143" t="s">
        <v>2842</v>
      </c>
      <c r="AC19" s="143" t="s">
        <v>722</v>
      </c>
      <c r="AD19" s="143">
        <v>4</v>
      </c>
      <c r="AL19" s="137">
        <v>0.76249999999999996</v>
      </c>
      <c r="AM19" s="271">
        <v>0.76249999999999996</v>
      </c>
      <c r="AN19" s="271">
        <v>0</v>
      </c>
      <c r="AP19" s="143" t="s">
        <v>2842</v>
      </c>
      <c r="AQ19" s="143" t="s">
        <v>722</v>
      </c>
      <c r="AR19" s="143">
        <v>4</v>
      </c>
      <c r="BE19" s="137">
        <v>1</v>
      </c>
      <c r="BF19" s="137">
        <v>1</v>
      </c>
      <c r="BG19" s="137">
        <v>1</v>
      </c>
      <c r="BH19" s="271">
        <v>1</v>
      </c>
      <c r="BI19" s="271">
        <v>1</v>
      </c>
      <c r="BK19" s="143" t="s">
        <v>2842</v>
      </c>
      <c r="BL19" s="143" t="s">
        <v>722</v>
      </c>
      <c r="BM19" s="143">
        <v>4</v>
      </c>
      <c r="BN19" s="252"/>
      <c r="BO19" s="249"/>
      <c r="BP19" s="249"/>
      <c r="BQ19" s="249"/>
      <c r="BR19" s="249"/>
      <c r="BS19" s="253"/>
      <c r="BT19" s="169" t="s">
        <v>2838</v>
      </c>
    </row>
    <row r="20" spans="1:72" ht="17.25" customHeight="1" x14ac:dyDescent="0.35">
      <c r="A20" s="143" t="s">
        <v>2843</v>
      </c>
      <c r="B20" s="143" t="s">
        <v>753</v>
      </c>
      <c r="C20" s="143">
        <v>6</v>
      </c>
      <c r="D20" s="137"/>
      <c r="E20" s="137">
        <v>0.59797979999999995</v>
      </c>
      <c r="F20" s="190">
        <v>0.74747479999999999</v>
      </c>
      <c r="G20" s="137">
        <v>0.3333333</v>
      </c>
      <c r="H20" s="137"/>
      <c r="I20" s="137">
        <v>0.1759259</v>
      </c>
      <c r="J20" s="249">
        <v>0.2199074</v>
      </c>
      <c r="L20" s="143" t="s">
        <v>2843</v>
      </c>
      <c r="M20" s="143" t="s">
        <v>753</v>
      </c>
      <c r="N20" s="143">
        <v>6</v>
      </c>
      <c r="O20" s="137"/>
      <c r="P20" s="137"/>
      <c r="Q20" s="137"/>
      <c r="R20" s="137"/>
      <c r="S20" s="137"/>
      <c r="T20" s="137"/>
      <c r="U20" s="137"/>
      <c r="V20" s="137"/>
      <c r="W20" s="137"/>
      <c r="X20" s="137"/>
      <c r="Y20" s="137"/>
      <c r="Z20" s="137"/>
      <c r="AB20" s="143" t="s">
        <v>2843</v>
      </c>
      <c r="AC20" s="143" t="s">
        <v>753</v>
      </c>
      <c r="AD20" s="143">
        <v>6</v>
      </c>
      <c r="AM20" s="271"/>
      <c r="AN20" s="271"/>
      <c r="AP20" s="143" t="s">
        <v>2843</v>
      </c>
      <c r="AQ20" s="143" t="s">
        <v>753</v>
      </c>
      <c r="AR20" s="143">
        <v>6</v>
      </c>
      <c r="BH20" s="271"/>
      <c r="BI20" s="271"/>
      <c r="BK20" s="143" t="s">
        <v>2843</v>
      </c>
      <c r="BL20" s="143" t="s">
        <v>753</v>
      </c>
      <c r="BN20" s="252"/>
      <c r="BO20" s="249"/>
      <c r="BP20" s="249"/>
      <c r="BQ20" s="249"/>
      <c r="BR20" s="249"/>
      <c r="BS20" s="253"/>
      <c r="BT20" s="169" t="s">
        <v>2838</v>
      </c>
    </row>
    <row r="21" spans="1:72" ht="17.25" customHeight="1" x14ac:dyDescent="0.35">
      <c r="A21" s="143" t="s">
        <v>2844</v>
      </c>
      <c r="B21" s="143" t="s">
        <v>730</v>
      </c>
      <c r="C21" s="143">
        <v>6</v>
      </c>
      <c r="D21" s="137">
        <v>0.1424242</v>
      </c>
      <c r="E21" s="137">
        <v>0.59310350000000001</v>
      </c>
      <c r="F21" s="190">
        <v>0.73552770000000001</v>
      </c>
      <c r="G21" s="137">
        <v>0.1666667</v>
      </c>
      <c r="H21" s="137">
        <v>0.15555559999999999</v>
      </c>
      <c r="I21" s="137">
        <v>0.17777780000000001</v>
      </c>
      <c r="J21" s="249">
        <v>0.3333333</v>
      </c>
      <c r="L21" s="143" t="s">
        <v>2844</v>
      </c>
      <c r="M21" s="143" t="s">
        <v>730</v>
      </c>
      <c r="N21" s="143">
        <v>6</v>
      </c>
      <c r="O21" s="137">
        <v>0.83333330999999999</v>
      </c>
      <c r="P21" s="137">
        <v>1</v>
      </c>
      <c r="Q21" s="137">
        <v>1</v>
      </c>
      <c r="R21" s="137">
        <v>1</v>
      </c>
      <c r="S21" s="137">
        <v>0</v>
      </c>
      <c r="T21" s="137">
        <v>0</v>
      </c>
      <c r="U21" s="137">
        <v>0.83333330999999999</v>
      </c>
      <c r="V21" s="137">
        <v>0.83333330999999999</v>
      </c>
      <c r="W21" s="137">
        <v>1</v>
      </c>
      <c r="X21" s="137">
        <v>1</v>
      </c>
      <c r="Y21" s="137">
        <v>0.66666669000000001</v>
      </c>
      <c r="Z21" s="137">
        <v>0.74242419999999998</v>
      </c>
      <c r="AB21" s="143" t="s">
        <v>2844</v>
      </c>
      <c r="AC21" s="143" t="s">
        <v>730</v>
      </c>
      <c r="AD21" s="143">
        <v>6</v>
      </c>
      <c r="AL21" s="137">
        <v>0.82708329999999997</v>
      </c>
      <c r="AM21" s="271">
        <v>0.82708329999999997</v>
      </c>
      <c r="AN21" s="271">
        <v>0</v>
      </c>
      <c r="AP21" s="143" t="s">
        <v>2844</v>
      </c>
      <c r="AQ21" s="143" t="s">
        <v>730</v>
      </c>
      <c r="AR21" s="143">
        <v>6</v>
      </c>
      <c r="BE21" s="137">
        <v>0.83333331346999995</v>
      </c>
      <c r="BF21" s="137">
        <v>0.83333331346999995</v>
      </c>
      <c r="BG21" s="137">
        <v>0.83333331346999995</v>
      </c>
      <c r="BH21" s="271">
        <v>0.83333330000000005</v>
      </c>
      <c r="BI21" s="271">
        <v>0.83333330000000005</v>
      </c>
      <c r="BK21" s="143" t="s">
        <v>2844</v>
      </c>
      <c r="BL21" s="143" t="s">
        <v>730</v>
      </c>
      <c r="BM21" s="143">
        <v>6</v>
      </c>
      <c r="BN21" s="252"/>
      <c r="BO21" s="249"/>
      <c r="BP21" s="249"/>
      <c r="BQ21" s="249"/>
      <c r="BR21" s="249"/>
      <c r="BS21" s="253"/>
      <c r="BT21" s="169" t="s">
        <v>2838</v>
      </c>
    </row>
    <row r="22" spans="1:72" ht="17.25" customHeight="1" x14ac:dyDescent="0.35">
      <c r="A22" s="143" t="s">
        <v>733</v>
      </c>
      <c r="B22" s="143" t="s">
        <v>734</v>
      </c>
      <c r="C22" s="143">
        <v>6</v>
      </c>
      <c r="D22" s="137">
        <v>0.1484849</v>
      </c>
      <c r="E22" s="137">
        <v>0.43595499999999998</v>
      </c>
      <c r="F22" s="190">
        <v>0.58443990000000001</v>
      </c>
      <c r="G22" s="137">
        <v>0</v>
      </c>
      <c r="H22" s="137">
        <v>0.13333329999999999</v>
      </c>
      <c r="I22" s="137">
        <v>0.1222222</v>
      </c>
      <c r="J22" s="249">
        <v>0.25555559999999999</v>
      </c>
      <c r="L22" s="143" t="s">
        <v>733</v>
      </c>
      <c r="M22" s="143" t="s">
        <v>734</v>
      </c>
      <c r="N22" s="143">
        <v>6</v>
      </c>
      <c r="O22" s="137">
        <v>0</v>
      </c>
      <c r="P22" s="137">
        <v>0.83333330999999999</v>
      </c>
      <c r="Q22" s="137">
        <v>0.83333330999999999</v>
      </c>
      <c r="R22" s="137">
        <v>0.66666669000000001</v>
      </c>
      <c r="S22" s="137">
        <v>0</v>
      </c>
      <c r="T22" s="137">
        <v>0</v>
      </c>
      <c r="U22" s="137">
        <v>0.5</v>
      </c>
      <c r="V22" s="137">
        <v>0.5</v>
      </c>
      <c r="W22" s="137">
        <v>1</v>
      </c>
      <c r="X22" s="137">
        <v>0.83333330999999999</v>
      </c>
      <c r="Y22" s="137">
        <v>0.5</v>
      </c>
      <c r="Z22" s="137">
        <v>0.51515149999999998</v>
      </c>
      <c r="AB22" s="143" t="s">
        <v>733</v>
      </c>
      <c r="AC22" s="143" t="s">
        <v>734</v>
      </c>
      <c r="AD22" s="143">
        <v>6</v>
      </c>
      <c r="AL22" s="137">
        <v>0.79374999999999996</v>
      </c>
      <c r="AM22" s="271">
        <v>0.79374999999999996</v>
      </c>
      <c r="AN22" s="271">
        <v>0</v>
      </c>
      <c r="AP22" s="143" t="s">
        <v>733</v>
      </c>
      <c r="AQ22" s="143" t="s">
        <v>734</v>
      </c>
      <c r="AR22" s="143">
        <v>6</v>
      </c>
      <c r="BE22" s="137">
        <v>0.33333334327000003</v>
      </c>
      <c r="BF22" s="137">
        <v>0.5</v>
      </c>
      <c r="BG22" s="137">
        <v>0.33333334327000003</v>
      </c>
      <c r="BH22" s="271">
        <v>0.38888889999999998</v>
      </c>
      <c r="BI22" s="271">
        <v>0.3333333</v>
      </c>
      <c r="BK22" s="143" t="s">
        <v>733</v>
      </c>
      <c r="BL22" s="143" t="s">
        <v>734</v>
      </c>
      <c r="BM22" s="143">
        <v>6</v>
      </c>
      <c r="BN22" s="252"/>
      <c r="BO22" s="249"/>
      <c r="BP22" s="249"/>
      <c r="BQ22" s="249"/>
      <c r="BR22" s="249"/>
      <c r="BS22" s="253"/>
      <c r="BT22" s="169" t="s">
        <v>2838</v>
      </c>
    </row>
    <row r="23" spans="1:72" ht="17.25" customHeight="1" x14ac:dyDescent="0.35">
      <c r="A23" s="143" t="s">
        <v>735</v>
      </c>
      <c r="B23" s="143" t="s">
        <v>736</v>
      </c>
      <c r="C23" s="143">
        <v>7</v>
      </c>
      <c r="D23" s="137">
        <v>0.15844159999999999</v>
      </c>
      <c r="E23" s="137">
        <v>0.4602948</v>
      </c>
      <c r="F23" s="190">
        <v>0.61873630000000002</v>
      </c>
      <c r="G23" s="137">
        <v>0.28571429999999998</v>
      </c>
      <c r="H23" s="137">
        <v>0.1119048</v>
      </c>
      <c r="I23" s="137">
        <v>0.45628679999999999</v>
      </c>
      <c r="J23" s="249">
        <v>0.56819149999999996</v>
      </c>
      <c r="L23" s="143" t="s">
        <v>735</v>
      </c>
      <c r="M23" s="143" t="s">
        <v>736</v>
      </c>
      <c r="N23" s="143">
        <v>7</v>
      </c>
      <c r="O23" s="137">
        <v>0.57142859999999995</v>
      </c>
      <c r="P23" s="137">
        <v>0.71428572999999995</v>
      </c>
      <c r="Q23" s="137">
        <v>0.57142859999999995</v>
      </c>
      <c r="R23" s="137">
        <v>0.71428572999999995</v>
      </c>
      <c r="S23" s="137">
        <v>0</v>
      </c>
      <c r="T23" s="137">
        <v>0.28571429999999998</v>
      </c>
      <c r="U23" s="137">
        <v>0.71428572999999995</v>
      </c>
      <c r="V23" s="137">
        <v>0.71428572999999995</v>
      </c>
      <c r="W23" s="137">
        <v>0.85714287</v>
      </c>
      <c r="X23" s="137">
        <v>0.14285714999999999</v>
      </c>
      <c r="Y23" s="137">
        <v>0.28571429999999998</v>
      </c>
      <c r="Z23" s="137">
        <v>0.50649350000000004</v>
      </c>
      <c r="AB23" s="143" t="s">
        <v>735</v>
      </c>
      <c r="AC23" s="143" t="s">
        <v>736</v>
      </c>
      <c r="AD23" s="143">
        <v>7</v>
      </c>
      <c r="AL23" s="137">
        <v>0.6803572</v>
      </c>
      <c r="AM23" s="271">
        <v>0.6803572</v>
      </c>
      <c r="AN23" s="271">
        <v>0</v>
      </c>
      <c r="AP23" s="143" t="s">
        <v>735</v>
      </c>
      <c r="AQ23" s="143" t="s">
        <v>736</v>
      </c>
      <c r="AR23" s="143">
        <v>7</v>
      </c>
      <c r="BE23" s="137">
        <v>0.85714286565999998</v>
      </c>
      <c r="BF23" s="137">
        <v>0.42857143282999999</v>
      </c>
      <c r="BG23" s="137">
        <v>0.28571429849000002</v>
      </c>
      <c r="BH23" s="271">
        <v>0.52380959999999999</v>
      </c>
      <c r="BI23" s="271">
        <v>0.28571429999999998</v>
      </c>
      <c r="BK23" s="143" t="s">
        <v>735</v>
      </c>
      <c r="BL23" s="143" t="s">
        <v>736</v>
      </c>
      <c r="BM23" s="143">
        <v>7</v>
      </c>
      <c r="BN23" s="252"/>
      <c r="BO23" s="249"/>
      <c r="BP23" s="249"/>
      <c r="BQ23" s="249"/>
      <c r="BR23" s="249"/>
      <c r="BS23" s="253"/>
      <c r="BT23" s="169" t="s">
        <v>2838</v>
      </c>
    </row>
    <row r="24" spans="1:72" ht="17.25" customHeight="1" x14ac:dyDescent="0.35">
      <c r="A24" s="143" t="s">
        <v>737</v>
      </c>
      <c r="B24" s="143" t="s">
        <v>736</v>
      </c>
      <c r="C24" s="143">
        <v>6</v>
      </c>
      <c r="D24" s="137">
        <v>0.16363639999999999</v>
      </c>
      <c r="E24" s="137">
        <v>0.64433099999999999</v>
      </c>
      <c r="F24" s="190">
        <v>0.80796730000000005</v>
      </c>
      <c r="G24" s="137">
        <v>0.1666667</v>
      </c>
      <c r="H24" s="137">
        <v>0.1916667</v>
      </c>
      <c r="I24" s="137">
        <v>0.72222220000000004</v>
      </c>
      <c r="J24" s="249">
        <v>0.9138889</v>
      </c>
      <c r="L24" s="143" t="s">
        <v>737</v>
      </c>
      <c r="M24" s="143" t="s">
        <v>736</v>
      </c>
      <c r="N24" s="143">
        <v>6</v>
      </c>
      <c r="O24" s="137">
        <v>0.66666669000000001</v>
      </c>
      <c r="P24" s="137">
        <v>1</v>
      </c>
      <c r="Q24" s="137">
        <v>0.83333330999999999</v>
      </c>
      <c r="R24" s="137">
        <v>1</v>
      </c>
      <c r="S24" s="137">
        <v>0</v>
      </c>
      <c r="T24" s="137">
        <v>0</v>
      </c>
      <c r="U24" s="137">
        <v>1</v>
      </c>
      <c r="V24" s="137">
        <v>1</v>
      </c>
      <c r="W24" s="137">
        <v>1</v>
      </c>
      <c r="X24" s="137">
        <v>1</v>
      </c>
      <c r="Y24" s="137">
        <v>1</v>
      </c>
      <c r="Z24" s="137">
        <v>0.77272730000000001</v>
      </c>
      <c r="AB24" s="143" t="s">
        <v>737</v>
      </c>
      <c r="AC24" s="143" t="s">
        <v>736</v>
      </c>
      <c r="AD24" s="143">
        <v>6</v>
      </c>
      <c r="AL24" s="137">
        <v>0.96875</v>
      </c>
      <c r="AM24" s="271">
        <v>0.96875</v>
      </c>
      <c r="AN24" s="271">
        <v>0.83333330000000005</v>
      </c>
      <c r="AP24" s="143" t="s">
        <v>737</v>
      </c>
      <c r="AQ24" s="143" t="s">
        <v>736</v>
      </c>
      <c r="AR24" s="143">
        <v>6</v>
      </c>
      <c r="BE24" s="137">
        <v>1</v>
      </c>
      <c r="BF24" s="137">
        <v>1</v>
      </c>
      <c r="BG24" s="137">
        <v>1</v>
      </c>
      <c r="BH24" s="271">
        <v>1</v>
      </c>
      <c r="BI24" s="271">
        <v>1</v>
      </c>
      <c r="BK24" s="143" t="s">
        <v>737</v>
      </c>
      <c r="BL24" s="143" t="s">
        <v>736</v>
      </c>
      <c r="BM24" s="143">
        <v>6</v>
      </c>
      <c r="BN24" s="252"/>
      <c r="BO24" s="249"/>
      <c r="BP24" s="249"/>
      <c r="BQ24" s="249"/>
      <c r="BR24" s="249"/>
      <c r="BS24" s="253"/>
      <c r="BT24" s="169" t="s">
        <v>2838</v>
      </c>
    </row>
    <row r="25" spans="1:72" ht="17.25" customHeight="1" x14ac:dyDescent="0.35">
      <c r="A25" s="143" t="s">
        <v>738</v>
      </c>
      <c r="B25" s="143" t="s">
        <v>722</v>
      </c>
      <c r="C25" s="143">
        <v>5</v>
      </c>
      <c r="D25" s="137">
        <v>0.15636359999999999</v>
      </c>
      <c r="E25" s="137">
        <v>0.59897860000000003</v>
      </c>
      <c r="F25" s="190">
        <v>0.75534219999999996</v>
      </c>
      <c r="G25" s="137">
        <v>0.2</v>
      </c>
      <c r="H25" s="137">
        <v>0.18666669999999999</v>
      </c>
      <c r="I25" s="137">
        <v>0.40868910000000003</v>
      </c>
      <c r="J25" s="249">
        <v>0.59535579999999999</v>
      </c>
      <c r="L25" s="143" t="s">
        <v>738</v>
      </c>
      <c r="M25" s="143" t="s">
        <v>722</v>
      </c>
      <c r="N25" s="143">
        <v>5</v>
      </c>
      <c r="O25" s="137">
        <v>0.40000001000000002</v>
      </c>
      <c r="P25" s="137">
        <v>0.80000000999999998</v>
      </c>
      <c r="Q25" s="137">
        <v>1</v>
      </c>
      <c r="R25" s="137">
        <v>1</v>
      </c>
      <c r="S25" s="137">
        <v>0</v>
      </c>
      <c r="T25" s="137">
        <v>0</v>
      </c>
      <c r="U25" s="137">
        <v>0.80000000999999998</v>
      </c>
      <c r="V25" s="137">
        <v>0.40000001000000002</v>
      </c>
      <c r="W25" s="137">
        <v>1</v>
      </c>
      <c r="X25" s="137">
        <v>1</v>
      </c>
      <c r="Y25" s="137">
        <v>0.40000001000000002</v>
      </c>
      <c r="Z25" s="137">
        <v>0.6181818</v>
      </c>
      <c r="AB25" s="143" t="s">
        <v>738</v>
      </c>
      <c r="AC25" s="143" t="s">
        <v>722</v>
      </c>
      <c r="AD25" s="143">
        <v>5</v>
      </c>
      <c r="AL25" s="137">
        <v>0.95</v>
      </c>
      <c r="AM25" s="271">
        <v>0.95</v>
      </c>
      <c r="AN25" s="271">
        <v>0.6</v>
      </c>
      <c r="AP25" s="143" t="s">
        <v>738</v>
      </c>
      <c r="AQ25" s="143" t="s">
        <v>722</v>
      </c>
      <c r="AR25" s="143">
        <v>5</v>
      </c>
      <c r="BE25" s="137">
        <v>0.80000001192000003</v>
      </c>
      <c r="BF25" s="137">
        <v>1</v>
      </c>
      <c r="BG25" s="137">
        <v>0.60000002383999995</v>
      </c>
      <c r="BH25" s="271">
        <v>0.8</v>
      </c>
      <c r="BI25" s="271">
        <v>0.4</v>
      </c>
      <c r="BK25" s="143" t="s">
        <v>738</v>
      </c>
      <c r="BL25" s="143" t="s">
        <v>722</v>
      </c>
      <c r="BM25" s="143">
        <v>5</v>
      </c>
      <c r="BN25" s="252"/>
      <c r="BO25" s="249"/>
      <c r="BP25" s="249"/>
      <c r="BQ25" s="249"/>
      <c r="BR25" s="249"/>
      <c r="BS25" s="253"/>
      <c r="BT25" s="169" t="s">
        <v>2838</v>
      </c>
    </row>
    <row r="26" spans="1:72" ht="17.25" customHeight="1" x14ac:dyDescent="0.35">
      <c r="A26" s="143" t="s">
        <v>739</v>
      </c>
      <c r="B26" s="143" t="s">
        <v>720</v>
      </c>
      <c r="C26" s="143">
        <v>2</v>
      </c>
      <c r="D26" s="137">
        <v>0.1363636</v>
      </c>
      <c r="E26" s="137">
        <v>0.65331969999999995</v>
      </c>
      <c r="F26" s="190">
        <v>0.78968329999999998</v>
      </c>
      <c r="G26" s="137">
        <v>0</v>
      </c>
      <c r="H26" s="137">
        <v>0.1916667</v>
      </c>
      <c r="I26" s="137">
        <v>0.7220974</v>
      </c>
      <c r="J26" s="249">
        <v>0.91376409999999997</v>
      </c>
      <c r="L26" s="143" t="s">
        <v>739</v>
      </c>
      <c r="M26" s="143" t="s">
        <v>720</v>
      </c>
      <c r="N26" s="143">
        <v>2</v>
      </c>
      <c r="O26" s="137">
        <v>0.5</v>
      </c>
      <c r="P26" s="137">
        <v>0.5</v>
      </c>
      <c r="Q26" s="137">
        <v>0.5</v>
      </c>
      <c r="R26" s="137">
        <v>1</v>
      </c>
      <c r="S26" s="137">
        <v>0.5</v>
      </c>
      <c r="T26" s="137">
        <v>0.5</v>
      </c>
      <c r="U26" s="137">
        <v>0.5</v>
      </c>
      <c r="V26" s="137">
        <v>1</v>
      </c>
      <c r="W26" s="137">
        <v>1</v>
      </c>
      <c r="X26" s="137">
        <v>1</v>
      </c>
      <c r="Y26" s="137">
        <v>1</v>
      </c>
      <c r="Z26" s="137">
        <v>0.72727269999999999</v>
      </c>
      <c r="AB26" s="143" t="s">
        <v>739</v>
      </c>
      <c r="AC26" s="143" t="s">
        <v>720</v>
      </c>
      <c r="AD26" s="143">
        <v>2</v>
      </c>
      <c r="AL26" s="137">
        <v>0.93125000000000002</v>
      </c>
      <c r="AM26" s="271">
        <v>0.93125000000000002</v>
      </c>
      <c r="AN26" s="271">
        <v>0</v>
      </c>
      <c r="AP26" s="143" t="s">
        <v>739</v>
      </c>
      <c r="AQ26" s="143" t="s">
        <v>720</v>
      </c>
      <c r="AR26" s="143">
        <v>2</v>
      </c>
      <c r="BE26" s="137">
        <v>1</v>
      </c>
      <c r="BF26" s="137">
        <v>0.5</v>
      </c>
      <c r="BG26" s="137">
        <v>0.5</v>
      </c>
      <c r="BH26" s="271">
        <v>0.66666669999999995</v>
      </c>
      <c r="BI26" s="271">
        <v>0.5</v>
      </c>
      <c r="BK26" s="143" t="s">
        <v>739</v>
      </c>
      <c r="BL26" s="143" t="s">
        <v>720</v>
      </c>
      <c r="BM26" s="143">
        <v>2</v>
      </c>
      <c r="BN26" s="252"/>
      <c r="BO26" s="249"/>
      <c r="BP26" s="249"/>
      <c r="BQ26" s="249"/>
      <c r="BR26" s="249"/>
      <c r="BS26" s="253"/>
      <c r="BT26" s="169" t="s">
        <v>2838</v>
      </c>
    </row>
    <row r="27" spans="1:72" ht="17.25" customHeight="1" x14ac:dyDescent="0.35">
      <c r="A27" s="143" t="s">
        <v>2845</v>
      </c>
      <c r="B27" s="143" t="s">
        <v>734</v>
      </c>
      <c r="C27" s="143">
        <v>8</v>
      </c>
      <c r="D27" s="137"/>
      <c r="E27" s="137">
        <v>0.54909090000000005</v>
      </c>
      <c r="F27" s="190">
        <v>0.68636359999999996</v>
      </c>
      <c r="G27" s="137">
        <v>0</v>
      </c>
      <c r="H27" s="137"/>
      <c r="I27" s="137">
        <v>0.37194450000000001</v>
      </c>
      <c r="J27" s="249">
        <v>0.46493060000000003</v>
      </c>
      <c r="L27" s="143" t="s">
        <v>2845</v>
      </c>
      <c r="M27" s="143" t="s">
        <v>734</v>
      </c>
      <c r="N27" s="143">
        <v>8</v>
      </c>
      <c r="O27" s="137"/>
      <c r="P27" s="137"/>
      <c r="Q27" s="137"/>
      <c r="R27" s="137"/>
      <c r="S27" s="137"/>
      <c r="T27" s="137"/>
      <c r="U27" s="137"/>
      <c r="V27" s="137"/>
      <c r="W27" s="137"/>
      <c r="X27" s="137"/>
      <c r="Y27" s="137"/>
      <c r="Z27" s="137"/>
      <c r="AB27" s="143" t="s">
        <v>2845</v>
      </c>
      <c r="AC27" s="143" t="s">
        <v>734</v>
      </c>
      <c r="AD27" s="143">
        <v>8</v>
      </c>
      <c r="AM27" s="271"/>
      <c r="AN27" s="271"/>
      <c r="AP27" s="143" t="s">
        <v>2845</v>
      </c>
      <c r="AQ27" s="143" t="s">
        <v>734</v>
      </c>
      <c r="AR27" s="143">
        <v>8</v>
      </c>
      <c r="BH27" s="271"/>
      <c r="BI27" s="271"/>
      <c r="BK27" s="143" t="s">
        <v>2845</v>
      </c>
      <c r="BL27" s="143" t="s">
        <v>734</v>
      </c>
      <c r="BN27" s="252"/>
      <c r="BO27" s="249"/>
      <c r="BP27" s="249"/>
      <c r="BQ27" s="249"/>
      <c r="BR27" s="249"/>
      <c r="BS27" s="253"/>
      <c r="BT27" s="169" t="s">
        <v>2838</v>
      </c>
    </row>
    <row r="28" spans="1:72" ht="17.25" customHeight="1" x14ac:dyDescent="0.35">
      <c r="A28" s="143" t="s">
        <v>2846</v>
      </c>
      <c r="B28" s="143" t="s">
        <v>730</v>
      </c>
      <c r="C28" s="143">
        <v>8</v>
      </c>
      <c r="D28" s="137">
        <v>0.1227273</v>
      </c>
      <c r="E28" s="137">
        <v>0.47711599999999998</v>
      </c>
      <c r="F28" s="190">
        <v>0.59984329999999997</v>
      </c>
      <c r="G28" s="137">
        <v>0</v>
      </c>
      <c r="H28" s="137">
        <v>0.1520833</v>
      </c>
      <c r="I28" s="137">
        <v>0.35057470000000002</v>
      </c>
      <c r="J28" s="249">
        <v>0.5026581</v>
      </c>
      <c r="L28" s="143" t="s">
        <v>2846</v>
      </c>
      <c r="M28" s="143" t="s">
        <v>730</v>
      </c>
      <c r="N28" s="143">
        <v>8</v>
      </c>
      <c r="O28" s="137">
        <v>0.625</v>
      </c>
      <c r="P28" s="137">
        <v>1</v>
      </c>
      <c r="Q28" s="137">
        <v>0.875</v>
      </c>
      <c r="R28" s="137">
        <v>0.75</v>
      </c>
      <c r="S28" s="137">
        <v>0</v>
      </c>
      <c r="T28" s="137">
        <v>0</v>
      </c>
      <c r="U28" s="137">
        <v>1</v>
      </c>
      <c r="V28" s="137">
        <v>1</v>
      </c>
      <c r="W28" s="137">
        <v>0.625</v>
      </c>
      <c r="X28" s="137">
        <v>0.625</v>
      </c>
      <c r="Y28" s="137">
        <v>0.625</v>
      </c>
      <c r="Z28" s="137">
        <v>0.64772730000000001</v>
      </c>
      <c r="AB28" s="143" t="s">
        <v>2846</v>
      </c>
      <c r="AC28" s="143" t="s">
        <v>730</v>
      </c>
      <c r="AD28" s="143">
        <v>8</v>
      </c>
      <c r="AL28" s="137">
        <v>0.84687500000000004</v>
      </c>
      <c r="AM28" s="271">
        <v>0.84687500000000004</v>
      </c>
      <c r="AN28" s="271">
        <v>0</v>
      </c>
      <c r="AP28" s="143" t="s">
        <v>2846</v>
      </c>
      <c r="AQ28" s="143" t="s">
        <v>730</v>
      </c>
      <c r="AR28" s="143">
        <v>8</v>
      </c>
      <c r="BE28" s="137">
        <v>0.5</v>
      </c>
      <c r="BF28" s="137">
        <v>0.5</v>
      </c>
      <c r="BG28" s="137">
        <v>0.5</v>
      </c>
      <c r="BH28" s="271">
        <v>0.5</v>
      </c>
      <c r="BI28" s="271">
        <v>0.25</v>
      </c>
      <c r="BK28" s="143" t="s">
        <v>2846</v>
      </c>
      <c r="BL28" s="143" t="s">
        <v>730</v>
      </c>
      <c r="BM28" s="143">
        <v>8</v>
      </c>
      <c r="BN28" s="252"/>
      <c r="BO28" s="249"/>
      <c r="BP28" s="249"/>
      <c r="BQ28" s="249"/>
      <c r="BR28" s="249"/>
      <c r="BS28" s="253"/>
      <c r="BT28" s="169" t="s">
        <v>2838</v>
      </c>
    </row>
    <row r="29" spans="1:72" ht="17.25" customHeight="1" x14ac:dyDescent="0.35">
      <c r="A29" s="143" t="s">
        <v>741</v>
      </c>
      <c r="B29" s="143" t="s">
        <v>736</v>
      </c>
      <c r="C29" s="143">
        <v>5</v>
      </c>
      <c r="D29" s="137">
        <v>0.1516364</v>
      </c>
      <c r="E29" s="137">
        <v>0.53004090000000004</v>
      </c>
      <c r="F29" s="190">
        <v>0.68167730000000004</v>
      </c>
      <c r="G29" s="137">
        <v>0</v>
      </c>
      <c r="H29" s="137">
        <v>0.15666669999999999</v>
      </c>
      <c r="I29" s="137">
        <v>0.18741569999999999</v>
      </c>
      <c r="J29" s="249">
        <v>0.34408240000000001</v>
      </c>
      <c r="L29" s="143" t="s">
        <v>741</v>
      </c>
      <c r="M29" s="143" t="s">
        <v>736</v>
      </c>
      <c r="N29" s="143">
        <v>5</v>
      </c>
      <c r="O29" s="137">
        <v>0.80000000999999998</v>
      </c>
      <c r="P29" s="137">
        <v>1</v>
      </c>
      <c r="Q29" s="137">
        <v>0.40000001000000002</v>
      </c>
      <c r="R29" s="137">
        <v>1</v>
      </c>
      <c r="S29" s="137">
        <v>0.2</v>
      </c>
      <c r="T29" s="137">
        <v>0.2</v>
      </c>
      <c r="U29" s="137">
        <v>1</v>
      </c>
      <c r="V29" s="137">
        <v>1</v>
      </c>
      <c r="W29" s="137">
        <v>1</v>
      </c>
      <c r="X29" s="137">
        <v>1</v>
      </c>
      <c r="Y29" s="137">
        <v>1</v>
      </c>
      <c r="Z29" s="137">
        <v>0.78181820000000002</v>
      </c>
      <c r="AB29" s="143" t="s">
        <v>741</v>
      </c>
      <c r="AC29" s="143" t="s">
        <v>736</v>
      </c>
      <c r="AD29" s="143">
        <v>5</v>
      </c>
      <c r="AE29" s="137">
        <v>1</v>
      </c>
      <c r="AF29" s="137">
        <v>1</v>
      </c>
      <c r="AG29" s="137">
        <v>1</v>
      </c>
      <c r="AH29" s="137">
        <v>1</v>
      </c>
      <c r="AI29" s="137">
        <v>1</v>
      </c>
      <c r="AJ29" s="137">
        <v>1</v>
      </c>
      <c r="AK29" s="137">
        <v>1</v>
      </c>
      <c r="AL29" s="137">
        <v>0.87</v>
      </c>
      <c r="AM29" s="271">
        <v>0.87</v>
      </c>
      <c r="AN29" s="271">
        <v>0.2</v>
      </c>
      <c r="AP29" s="143" t="s">
        <v>741</v>
      </c>
      <c r="AQ29" s="143" t="s">
        <v>736</v>
      </c>
      <c r="AR29" s="143">
        <v>5</v>
      </c>
      <c r="AS29" s="137">
        <v>1</v>
      </c>
      <c r="AT29" s="137">
        <v>1</v>
      </c>
      <c r="AU29" s="137">
        <v>1</v>
      </c>
      <c r="AV29" s="137">
        <v>1</v>
      </c>
      <c r="AW29" s="137">
        <v>1</v>
      </c>
      <c r="AX29" s="137">
        <v>1</v>
      </c>
      <c r="AY29" s="137">
        <v>1</v>
      </c>
      <c r="AZ29" s="137">
        <v>1</v>
      </c>
      <c r="BA29" s="137">
        <v>1</v>
      </c>
      <c r="BB29" s="137">
        <v>1</v>
      </c>
      <c r="BE29" s="137">
        <v>1</v>
      </c>
      <c r="BF29" s="137">
        <v>1</v>
      </c>
      <c r="BG29" s="137">
        <v>1</v>
      </c>
      <c r="BH29" s="271">
        <v>1</v>
      </c>
      <c r="BI29" s="271">
        <v>1</v>
      </c>
      <c r="BK29" s="143" t="s">
        <v>741</v>
      </c>
      <c r="BL29" s="143" t="s">
        <v>736</v>
      </c>
      <c r="BM29" s="143">
        <v>5</v>
      </c>
      <c r="BN29" s="252">
        <v>3</v>
      </c>
      <c r="BO29" s="249">
        <v>1</v>
      </c>
      <c r="BP29" s="249">
        <v>1</v>
      </c>
      <c r="BQ29" s="249">
        <v>1</v>
      </c>
      <c r="BR29" s="249">
        <v>1</v>
      </c>
      <c r="BS29" s="253">
        <v>1</v>
      </c>
      <c r="BT29" s="169" t="s">
        <v>2486</v>
      </c>
    </row>
    <row r="30" spans="1:72" ht="17.25" customHeight="1" x14ac:dyDescent="0.35">
      <c r="A30" s="143" t="s">
        <v>742</v>
      </c>
      <c r="B30" s="143" t="s">
        <v>743</v>
      </c>
      <c r="C30" s="143">
        <v>6</v>
      </c>
      <c r="D30" s="137">
        <v>0.1666667</v>
      </c>
      <c r="E30" s="137">
        <v>0.58738199999999996</v>
      </c>
      <c r="F30" s="190">
        <v>0.75404859999999996</v>
      </c>
      <c r="G30" s="137">
        <v>0.1666667</v>
      </c>
      <c r="H30" s="137">
        <v>0.19444439999999999</v>
      </c>
      <c r="I30" s="137">
        <v>0.64843949999999995</v>
      </c>
      <c r="J30" s="249">
        <v>0.84288390000000002</v>
      </c>
      <c r="L30" s="143" t="s">
        <v>742</v>
      </c>
      <c r="M30" s="143" t="s">
        <v>743</v>
      </c>
      <c r="N30" s="143">
        <v>6</v>
      </c>
      <c r="O30" s="137">
        <v>0.83333330999999999</v>
      </c>
      <c r="P30" s="137">
        <v>1</v>
      </c>
      <c r="Q30" s="137">
        <v>1</v>
      </c>
      <c r="R30" s="137">
        <v>0.83333330999999999</v>
      </c>
      <c r="S30" s="137">
        <v>0.16666666999999999</v>
      </c>
      <c r="T30" s="137">
        <v>0.16666666999999999</v>
      </c>
      <c r="U30" s="137">
        <v>0.83333330999999999</v>
      </c>
      <c r="V30" s="137">
        <v>0.66666669000000001</v>
      </c>
      <c r="W30" s="137">
        <v>0.83333330999999999</v>
      </c>
      <c r="X30" s="137">
        <v>1</v>
      </c>
      <c r="Y30" s="137">
        <v>1</v>
      </c>
      <c r="Z30" s="137">
        <v>0.75757580000000002</v>
      </c>
      <c r="AB30" s="143" t="s">
        <v>742</v>
      </c>
      <c r="AC30" s="143" t="s">
        <v>743</v>
      </c>
      <c r="AD30" s="143">
        <v>6</v>
      </c>
      <c r="AE30" s="137">
        <v>0.98461540000000003</v>
      </c>
      <c r="AF30" s="137">
        <v>0.92</v>
      </c>
      <c r="AG30" s="137">
        <v>1</v>
      </c>
      <c r="AH30" s="137">
        <v>1</v>
      </c>
      <c r="AI30" s="137">
        <v>1</v>
      </c>
      <c r="AJ30" s="137">
        <v>1</v>
      </c>
      <c r="AK30" s="137">
        <v>1</v>
      </c>
      <c r="AL30" s="137">
        <v>0.95208329999999997</v>
      </c>
      <c r="AM30" s="271">
        <v>0.94989990000000002</v>
      </c>
      <c r="AN30" s="271">
        <v>0.5</v>
      </c>
      <c r="AP30" s="143" t="s">
        <v>742</v>
      </c>
      <c r="AQ30" s="143" t="s">
        <v>743</v>
      </c>
      <c r="AR30" s="143">
        <v>6</v>
      </c>
      <c r="AS30" s="137">
        <v>1</v>
      </c>
      <c r="AT30" s="137">
        <v>1</v>
      </c>
      <c r="AU30" s="137">
        <v>1</v>
      </c>
      <c r="AV30" s="137">
        <v>0</v>
      </c>
      <c r="AW30" s="137">
        <v>1</v>
      </c>
      <c r="AX30" s="137">
        <v>1</v>
      </c>
      <c r="AY30" s="137">
        <v>1</v>
      </c>
      <c r="AZ30" s="137">
        <v>1</v>
      </c>
      <c r="BA30" s="137">
        <v>1</v>
      </c>
      <c r="BB30" s="137">
        <v>1</v>
      </c>
      <c r="BE30" s="137">
        <v>1</v>
      </c>
      <c r="BF30" s="137">
        <v>1</v>
      </c>
      <c r="BG30" s="137">
        <v>1</v>
      </c>
      <c r="BH30" s="271">
        <v>0.98333329999999997</v>
      </c>
      <c r="BI30" s="271">
        <v>0.83333330000000005</v>
      </c>
      <c r="BK30" s="143" t="s">
        <v>742</v>
      </c>
      <c r="BL30" s="143" t="s">
        <v>743</v>
      </c>
      <c r="BM30" s="143">
        <v>6</v>
      </c>
      <c r="BN30" s="252">
        <v>3</v>
      </c>
      <c r="BO30" s="249">
        <v>1</v>
      </c>
      <c r="BP30" s="249">
        <v>1</v>
      </c>
      <c r="BQ30" s="249">
        <v>0.32500000000000001</v>
      </c>
      <c r="BR30" s="249">
        <v>1</v>
      </c>
      <c r="BS30" s="253">
        <v>0.83125000000000004</v>
      </c>
      <c r="BT30" s="169" t="s">
        <v>2487</v>
      </c>
    </row>
    <row r="31" spans="1:72" ht="17.25" customHeight="1" x14ac:dyDescent="0.35">
      <c r="A31" s="143" t="s">
        <v>744</v>
      </c>
      <c r="B31" s="143" t="s">
        <v>743</v>
      </c>
      <c r="C31" s="143">
        <v>6</v>
      </c>
      <c r="D31" s="137">
        <v>0.14545449999999999</v>
      </c>
      <c r="E31" s="137">
        <v>0.69376919999999997</v>
      </c>
      <c r="F31" s="190">
        <v>0.83922370000000002</v>
      </c>
      <c r="G31" s="137">
        <v>0.1666667</v>
      </c>
      <c r="H31" s="137">
        <v>0.1833333</v>
      </c>
      <c r="I31" s="137">
        <v>0.68826469999999995</v>
      </c>
      <c r="J31" s="249">
        <v>0.87159799999999998</v>
      </c>
      <c r="L31" s="143" t="s">
        <v>744</v>
      </c>
      <c r="M31" s="143" t="s">
        <v>743</v>
      </c>
      <c r="N31" s="143">
        <v>6</v>
      </c>
      <c r="O31" s="137">
        <v>0.83333330999999999</v>
      </c>
      <c r="P31" s="137">
        <v>0.83333330999999999</v>
      </c>
      <c r="Q31" s="137">
        <v>1</v>
      </c>
      <c r="R31" s="137">
        <v>0.83333330999999999</v>
      </c>
      <c r="S31" s="137">
        <v>0</v>
      </c>
      <c r="T31" s="137">
        <v>0</v>
      </c>
      <c r="U31" s="137">
        <v>1</v>
      </c>
      <c r="V31" s="137">
        <v>0.83333330999999999</v>
      </c>
      <c r="W31" s="137">
        <v>1</v>
      </c>
      <c r="X31" s="137">
        <v>0.83333330999999999</v>
      </c>
      <c r="Y31" s="137">
        <v>1</v>
      </c>
      <c r="Z31" s="137">
        <v>0.74242419999999998</v>
      </c>
      <c r="AB31" s="143" t="s">
        <v>744</v>
      </c>
      <c r="AC31" s="143" t="s">
        <v>743</v>
      </c>
      <c r="AD31" s="143">
        <v>6</v>
      </c>
      <c r="AL31" s="137">
        <v>0.97916669999999995</v>
      </c>
      <c r="AM31" s="271">
        <v>0.97916669999999995</v>
      </c>
      <c r="AN31" s="271">
        <v>1</v>
      </c>
      <c r="AP31" s="143" t="s">
        <v>744</v>
      </c>
      <c r="AQ31" s="143" t="s">
        <v>743</v>
      </c>
      <c r="AR31" s="143">
        <v>6</v>
      </c>
      <c r="BE31" s="137">
        <v>1</v>
      </c>
      <c r="BF31" s="137">
        <v>0.83333331346999995</v>
      </c>
      <c r="BG31" s="137">
        <v>0.83333331346999995</v>
      </c>
      <c r="BH31" s="271">
        <v>0.88888889999999998</v>
      </c>
      <c r="BI31" s="271">
        <v>0.83333330000000005</v>
      </c>
      <c r="BK31" s="143" t="s">
        <v>744</v>
      </c>
      <c r="BL31" s="143" t="s">
        <v>743</v>
      </c>
      <c r="BM31" s="143">
        <v>6</v>
      </c>
      <c r="BN31" s="252"/>
      <c r="BO31" s="249"/>
      <c r="BP31" s="249"/>
      <c r="BQ31" s="249"/>
      <c r="BR31" s="249"/>
      <c r="BS31" s="253"/>
      <c r="BT31" s="169" t="s">
        <v>2838</v>
      </c>
    </row>
    <row r="32" spans="1:72" ht="17.25" customHeight="1" x14ac:dyDescent="0.35">
      <c r="A32" s="143" t="s">
        <v>745</v>
      </c>
      <c r="B32" s="143" t="s">
        <v>730</v>
      </c>
      <c r="C32" s="143">
        <v>4</v>
      </c>
      <c r="D32" s="137">
        <v>0.1136364</v>
      </c>
      <c r="E32" s="137">
        <v>0.51624110000000001</v>
      </c>
      <c r="F32" s="190">
        <v>0.62987740000000003</v>
      </c>
      <c r="G32" s="137">
        <v>0</v>
      </c>
      <c r="H32" s="137">
        <v>0.1125</v>
      </c>
      <c r="I32" s="137">
        <v>0.22921349999999999</v>
      </c>
      <c r="J32" s="249">
        <v>0.3417135</v>
      </c>
      <c r="L32" s="143" t="s">
        <v>745</v>
      </c>
      <c r="M32" s="143" t="s">
        <v>730</v>
      </c>
      <c r="N32" s="143">
        <v>4</v>
      </c>
      <c r="O32" s="137">
        <v>0.5</v>
      </c>
      <c r="P32" s="137">
        <v>1</v>
      </c>
      <c r="Q32" s="137">
        <v>0.75</v>
      </c>
      <c r="R32" s="137">
        <v>1</v>
      </c>
      <c r="S32" s="137">
        <v>0</v>
      </c>
      <c r="T32" s="137">
        <v>0</v>
      </c>
      <c r="U32" s="137">
        <v>1</v>
      </c>
      <c r="V32" s="137">
        <v>0.5</v>
      </c>
      <c r="W32" s="137">
        <v>0.5</v>
      </c>
      <c r="X32" s="137">
        <v>1</v>
      </c>
      <c r="Y32" s="137">
        <v>0.25</v>
      </c>
      <c r="Z32" s="137">
        <v>0.59090909999999996</v>
      </c>
      <c r="AB32" s="143" t="s">
        <v>745</v>
      </c>
      <c r="AC32" s="143" t="s">
        <v>730</v>
      </c>
      <c r="AD32" s="143">
        <v>4</v>
      </c>
      <c r="AL32" s="137">
        <v>0.88437500000000002</v>
      </c>
      <c r="AM32" s="271">
        <v>0.88437500000000002</v>
      </c>
      <c r="AN32" s="271">
        <v>0.25</v>
      </c>
      <c r="AP32" s="143" t="s">
        <v>745</v>
      </c>
      <c r="AQ32" s="143" t="s">
        <v>730</v>
      </c>
      <c r="AR32" s="143">
        <v>4</v>
      </c>
      <c r="BE32" s="137">
        <v>1</v>
      </c>
      <c r="BF32" s="137">
        <v>0.75</v>
      </c>
      <c r="BG32" s="137">
        <v>0.75</v>
      </c>
      <c r="BH32" s="271">
        <v>0.8333334</v>
      </c>
      <c r="BI32" s="271">
        <v>0.5</v>
      </c>
      <c r="BK32" s="143" t="s">
        <v>745</v>
      </c>
      <c r="BL32" s="143" t="s">
        <v>730</v>
      </c>
      <c r="BM32" s="143">
        <v>4</v>
      </c>
      <c r="BN32" s="252"/>
      <c r="BO32" s="249"/>
      <c r="BP32" s="249"/>
      <c r="BQ32" s="249"/>
      <c r="BR32" s="249"/>
      <c r="BS32" s="253"/>
      <c r="BT32" s="169" t="s">
        <v>2838</v>
      </c>
    </row>
    <row r="33" spans="1:72" ht="17.25" customHeight="1" x14ac:dyDescent="0.35">
      <c r="A33" s="143" t="s">
        <v>746</v>
      </c>
      <c r="B33" s="143" t="s">
        <v>743</v>
      </c>
      <c r="C33" s="143">
        <v>6</v>
      </c>
      <c r="D33" s="137">
        <v>0.17545450000000001</v>
      </c>
      <c r="E33" s="137">
        <v>0.69403760000000003</v>
      </c>
      <c r="F33" s="190">
        <v>0.86949220000000005</v>
      </c>
      <c r="G33" s="137">
        <v>0.3333333</v>
      </c>
      <c r="H33" s="137">
        <v>0.1574074</v>
      </c>
      <c r="I33" s="137">
        <v>0.49712859999999998</v>
      </c>
      <c r="J33" s="249">
        <v>0.65453600000000001</v>
      </c>
      <c r="L33" s="143" t="s">
        <v>746</v>
      </c>
      <c r="M33" s="143" t="s">
        <v>743</v>
      </c>
      <c r="N33" s="143">
        <v>6</v>
      </c>
      <c r="O33" s="137">
        <v>0.16666666999999999</v>
      </c>
      <c r="P33" s="137">
        <v>0.83333330999999999</v>
      </c>
      <c r="Q33" s="137">
        <v>0.83333330999999999</v>
      </c>
      <c r="R33" s="137">
        <v>1</v>
      </c>
      <c r="S33" s="137">
        <v>0.16666666999999999</v>
      </c>
      <c r="T33" s="137">
        <v>0.16666666999999999</v>
      </c>
      <c r="U33" s="137">
        <v>1</v>
      </c>
      <c r="V33" s="137">
        <v>1</v>
      </c>
      <c r="W33" s="137">
        <v>1</v>
      </c>
      <c r="X33" s="137">
        <v>1</v>
      </c>
      <c r="Y33" s="137">
        <v>0.33333333999999998</v>
      </c>
      <c r="Z33" s="137">
        <v>0.68181820000000004</v>
      </c>
      <c r="AB33" s="143" t="s">
        <v>746</v>
      </c>
      <c r="AC33" s="143" t="s">
        <v>743</v>
      </c>
      <c r="AD33" s="143">
        <v>6</v>
      </c>
      <c r="AE33" s="137">
        <v>0.98461540000000003</v>
      </c>
      <c r="AF33" s="137">
        <v>0.96</v>
      </c>
      <c r="AG33" s="137">
        <v>0.9473684</v>
      </c>
      <c r="AH33" s="137">
        <v>1</v>
      </c>
      <c r="AI33" s="137">
        <v>1</v>
      </c>
      <c r="AJ33" s="137">
        <v>1</v>
      </c>
      <c r="AK33" s="137">
        <v>0.96969700000000003</v>
      </c>
      <c r="AL33" s="137">
        <v>0.95833330000000005</v>
      </c>
      <c r="AM33" s="271">
        <v>0.95542210000000005</v>
      </c>
      <c r="AN33" s="271">
        <v>0.3333333</v>
      </c>
      <c r="AP33" s="143" t="s">
        <v>746</v>
      </c>
      <c r="AQ33" s="143" t="s">
        <v>743</v>
      </c>
      <c r="AR33" s="143">
        <v>6</v>
      </c>
      <c r="AS33" s="137">
        <v>1</v>
      </c>
      <c r="AT33" s="137">
        <v>1</v>
      </c>
      <c r="AU33" s="137">
        <v>1</v>
      </c>
      <c r="AV33" s="137">
        <v>1</v>
      </c>
      <c r="AW33" s="137">
        <v>1</v>
      </c>
      <c r="AX33" s="137">
        <v>1</v>
      </c>
      <c r="AY33" s="137">
        <v>1</v>
      </c>
      <c r="AZ33" s="137">
        <v>1</v>
      </c>
      <c r="BA33" s="137">
        <v>1</v>
      </c>
      <c r="BB33" s="137">
        <v>1</v>
      </c>
      <c r="BE33" s="137">
        <v>1</v>
      </c>
      <c r="BF33" s="137">
        <v>0.80000001192000003</v>
      </c>
      <c r="BG33" s="137">
        <v>0.60000002383999995</v>
      </c>
      <c r="BH33" s="271">
        <v>0.83333330000000005</v>
      </c>
      <c r="BI33" s="271">
        <v>0.66666669999999995</v>
      </c>
      <c r="BK33" s="143" t="s">
        <v>746</v>
      </c>
      <c r="BL33" s="143" t="s">
        <v>743</v>
      </c>
      <c r="BM33" s="143">
        <v>6</v>
      </c>
      <c r="BN33" s="252">
        <v>3</v>
      </c>
      <c r="BO33" s="249">
        <v>1</v>
      </c>
      <c r="BP33" s="249">
        <v>1</v>
      </c>
      <c r="BQ33" s="249">
        <v>1</v>
      </c>
      <c r="BR33" s="249">
        <v>1</v>
      </c>
      <c r="BS33" s="253">
        <v>1</v>
      </c>
      <c r="BT33" s="169" t="s">
        <v>2486</v>
      </c>
    </row>
    <row r="34" spans="1:72" ht="17.25" customHeight="1" x14ac:dyDescent="0.35">
      <c r="A34" s="143" t="s">
        <v>747</v>
      </c>
      <c r="B34" s="143" t="s">
        <v>748</v>
      </c>
      <c r="C34" s="143">
        <v>3</v>
      </c>
      <c r="D34" s="137">
        <v>0.17575760000000001</v>
      </c>
      <c r="E34" s="137">
        <v>0.71120190000000005</v>
      </c>
      <c r="F34" s="190">
        <v>0.88695950000000001</v>
      </c>
      <c r="G34" s="137">
        <v>0.66666669999999995</v>
      </c>
      <c r="H34" s="137">
        <v>0.1666667</v>
      </c>
      <c r="I34" s="137">
        <v>0.15555559999999999</v>
      </c>
      <c r="J34" s="249">
        <v>0.32222220000000001</v>
      </c>
      <c r="L34" s="143" t="s">
        <v>747</v>
      </c>
      <c r="M34" s="143" t="s">
        <v>748</v>
      </c>
      <c r="N34" s="143">
        <v>3</v>
      </c>
      <c r="O34" s="137">
        <v>0.66666669000000001</v>
      </c>
      <c r="P34" s="137">
        <v>0.33333333999999998</v>
      </c>
      <c r="Q34" s="137">
        <v>0.66666669000000001</v>
      </c>
      <c r="R34" s="137">
        <v>1</v>
      </c>
      <c r="S34" s="137">
        <v>0</v>
      </c>
      <c r="T34" s="137">
        <v>0</v>
      </c>
      <c r="U34" s="137">
        <v>1</v>
      </c>
      <c r="V34" s="137">
        <v>1</v>
      </c>
      <c r="W34" s="137">
        <v>1</v>
      </c>
      <c r="X34" s="137">
        <v>1</v>
      </c>
      <c r="Y34" s="137">
        <v>0.66666669000000001</v>
      </c>
      <c r="Z34" s="137">
        <v>0.66666669999999995</v>
      </c>
      <c r="AB34" s="143" t="s">
        <v>747</v>
      </c>
      <c r="AC34" s="143" t="s">
        <v>748</v>
      </c>
      <c r="AD34" s="143">
        <v>3</v>
      </c>
      <c r="AL34" s="137">
        <v>0.92916670000000001</v>
      </c>
      <c r="AM34" s="271">
        <v>0.92916670000000001</v>
      </c>
      <c r="AN34" s="271">
        <v>0</v>
      </c>
      <c r="AP34" s="143" t="s">
        <v>747</v>
      </c>
      <c r="AQ34" s="143" t="s">
        <v>748</v>
      </c>
      <c r="AR34" s="143">
        <v>3</v>
      </c>
      <c r="BE34" s="137">
        <v>1</v>
      </c>
      <c r="BF34" s="137">
        <v>1</v>
      </c>
      <c r="BG34" s="137">
        <v>1</v>
      </c>
      <c r="BH34" s="271">
        <v>1</v>
      </c>
      <c r="BI34" s="271">
        <v>1</v>
      </c>
      <c r="BK34" s="143" t="s">
        <v>747</v>
      </c>
      <c r="BL34" s="143" t="s">
        <v>748</v>
      </c>
      <c r="BM34" s="143">
        <v>3</v>
      </c>
      <c r="BN34" s="252"/>
      <c r="BO34" s="249"/>
      <c r="BP34" s="249"/>
      <c r="BQ34" s="249"/>
      <c r="BR34" s="249"/>
      <c r="BS34" s="253"/>
      <c r="BT34" s="169" t="s">
        <v>2838</v>
      </c>
    </row>
    <row r="35" spans="1:72" ht="17.25" customHeight="1" x14ac:dyDescent="0.35">
      <c r="A35" s="143" t="s">
        <v>749</v>
      </c>
      <c r="B35" s="143" t="s">
        <v>730</v>
      </c>
      <c r="C35" s="143">
        <v>4</v>
      </c>
      <c r="D35" s="137">
        <v>7.72727E-2</v>
      </c>
      <c r="E35" s="137">
        <v>0.43738510000000003</v>
      </c>
      <c r="F35" s="190">
        <v>0.51465780000000005</v>
      </c>
      <c r="G35" s="137">
        <v>0</v>
      </c>
      <c r="H35" s="137">
        <v>0.1291667</v>
      </c>
      <c r="I35" s="137">
        <v>0.35112359999999998</v>
      </c>
      <c r="J35" s="249">
        <v>0.4802903</v>
      </c>
      <c r="L35" s="143" t="s">
        <v>749</v>
      </c>
      <c r="M35" s="143" t="s">
        <v>730</v>
      </c>
      <c r="N35" s="143">
        <v>4</v>
      </c>
      <c r="O35" s="137">
        <v>0.5</v>
      </c>
      <c r="P35" s="137">
        <v>0.75</v>
      </c>
      <c r="Q35" s="137">
        <v>1</v>
      </c>
      <c r="R35" s="137">
        <v>0.5</v>
      </c>
      <c r="S35" s="137">
        <v>0</v>
      </c>
      <c r="T35" s="137">
        <v>0</v>
      </c>
      <c r="U35" s="137">
        <v>0.75</v>
      </c>
      <c r="V35" s="137">
        <v>0.5</v>
      </c>
      <c r="W35" s="137">
        <v>0.75</v>
      </c>
      <c r="X35" s="137">
        <v>0.75</v>
      </c>
      <c r="Y35" s="137">
        <v>0.25</v>
      </c>
      <c r="Z35" s="137">
        <v>0.52272730000000001</v>
      </c>
      <c r="AB35" s="143" t="s">
        <v>749</v>
      </c>
      <c r="AC35" s="143" t="s">
        <v>730</v>
      </c>
      <c r="AD35" s="143">
        <v>4</v>
      </c>
      <c r="AL35" s="137">
        <v>0.83125000000000004</v>
      </c>
      <c r="AM35" s="271">
        <v>0.83125000000000004</v>
      </c>
      <c r="AN35" s="271">
        <v>0</v>
      </c>
      <c r="AP35" s="143" t="s">
        <v>749</v>
      </c>
      <c r="AQ35" s="143" t="s">
        <v>730</v>
      </c>
      <c r="AR35" s="143">
        <v>4</v>
      </c>
      <c r="BE35" s="137">
        <v>1</v>
      </c>
      <c r="BF35" s="137">
        <v>1</v>
      </c>
      <c r="BG35" s="137">
        <v>1</v>
      </c>
      <c r="BH35" s="271">
        <v>1</v>
      </c>
      <c r="BI35" s="271">
        <v>1</v>
      </c>
      <c r="BK35" s="143" t="s">
        <v>749</v>
      </c>
      <c r="BL35" s="143" t="s">
        <v>730</v>
      </c>
      <c r="BM35" s="143">
        <v>4</v>
      </c>
      <c r="BN35" s="252"/>
      <c r="BO35" s="249"/>
      <c r="BP35" s="249"/>
      <c r="BQ35" s="249"/>
      <c r="BR35" s="249"/>
      <c r="BS35" s="253"/>
      <c r="BT35" s="169" t="s">
        <v>2838</v>
      </c>
    </row>
    <row r="36" spans="1:72" ht="17.25" customHeight="1" x14ac:dyDescent="0.35">
      <c r="A36" s="143" t="s">
        <v>750</v>
      </c>
      <c r="B36" s="143" t="s">
        <v>751</v>
      </c>
      <c r="C36" s="143">
        <v>5</v>
      </c>
      <c r="D36" s="137">
        <v>0.17345459999999999</v>
      </c>
      <c r="E36" s="137">
        <v>0.71006159999999996</v>
      </c>
      <c r="F36" s="190">
        <v>0.88351610000000003</v>
      </c>
      <c r="G36" s="137">
        <v>0.4</v>
      </c>
      <c r="H36" s="137">
        <v>0.19111110000000001</v>
      </c>
      <c r="I36" s="137">
        <v>0.65872660000000005</v>
      </c>
      <c r="J36" s="249">
        <v>0.84983770000000003</v>
      </c>
      <c r="L36" s="143" t="s">
        <v>750</v>
      </c>
      <c r="M36" s="143" t="s">
        <v>751</v>
      </c>
      <c r="N36" s="143">
        <v>5</v>
      </c>
      <c r="O36" s="137">
        <v>0.80000000999999998</v>
      </c>
      <c r="P36" s="137">
        <v>1</v>
      </c>
      <c r="Q36" s="137">
        <v>1</v>
      </c>
      <c r="R36" s="137">
        <v>1</v>
      </c>
      <c r="S36" s="137">
        <v>0.60000001999999997</v>
      </c>
      <c r="T36" s="137">
        <v>0.80000000999999998</v>
      </c>
      <c r="U36" s="137">
        <v>1</v>
      </c>
      <c r="V36" s="137">
        <v>1</v>
      </c>
      <c r="W36" s="137">
        <v>1</v>
      </c>
      <c r="X36" s="137">
        <v>1</v>
      </c>
      <c r="Y36" s="137">
        <v>1</v>
      </c>
      <c r="Z36" s="137">
        <v>0.92727269999999995</v>
      </c>
      <c r="AB36" s="143" t="s">
        <v>750</v>
      </c>
      <c r="AC36" s="143" t="s">
        <v>751</v>
      </c>
      <c r="AD36" s="143">
        <v>5</v>
      </c>
      <c r="AE36" s="137">
        <v>0.95384619999999998</v>
      </c>
      <c r="AF36" s="137">
        <v>1</v>
      </c>
      <c r="AG36" s="137">
        <v>0.9473684</v>
      </c>
      <c r="AH36" s="137">
        <v>0.95454539999999999</v>
      </c>
      <c r="AI36" s="137">
        <v>1</v>
      </c>
      <c r="AJ36" s="137">
        <v>1</v>
      </c>
      <c r="AK36" s="137">
        <v>1</v>
      </c>
      <c r="AL36" s="137">
        <v>0.95750000000000002</v>
      </c>
      <c r="AM36" s="271">
        <v>0.95313320000000001</v>
      </c>
      <c r="AN36" s="271">
        <v>0.6</v>
      </c>
      <c r="AP36" s="143" t="s">
        <v>750</v>
      </c>
      <c r="AQ36" s="143" t="s">
        <v>751</v>
      </c>
      <c r="AR36" s="143">
        <v>5</v>
      </c>
      <c r="AS36" s="137">
        <v>1</v>
      </c>
      <c r="AT36" s="137">
        <v>1</v>
      </c>
      <c r="AU36" s="137">
        <v>1</v>
      </c>
      <c r="AV36" s="137">
        <v>1</v>
      </c>
      <c r="AW36" s="137">
        <v>1</v>
      </c>
      <c r="AX36" s="137">
        <v>1</v>
      </c>
      <c r="AY36" s="137">
        <v>1</v>
      </c>
      <c r="AZ36" s="137">
        <v>1</v>
      </c>
      <c r="BA36" s="137">
        <v>1</v>
      </c>
      <c r="BB36" s="137">
        <v>1</v>
      </c>
      <c r="BE36" s="137">
        <v>1</v>
      </c>
      <c r="BF36" s="137">
        <v>1</v>
      </c>
      <c r="BG36" s="137">
        <v>1</v>
      </c>
      <c r="BH36" s="271">
        <v>1</v>
      </c>
      <c r="BI36" s="271">
        <v>1</v>
      </c>
      <c r="BK36" s="143" t="s">
        <v>750</v>
      </c>
      <c r="BL36" s="143" t="s">
        <v>751</v>
      </c>
      <c r="BM36" s="143">
        <v>5</v>
      </c>
      <c r="BN36" s="252">
        <v>3</v>
      </c>
      <c r="BO36" s="249">
        <v>1</v>
      </c>
      <c r="BP36" s="249">
        <v>1</v>
      </c>
      <c r="BQ36" s="249">
        <v>1</v>
      </c>
      <c r="BR36" s="249">
        <v>1</v>
      </c>
      <c r="BS36" s="253">
        <v>1</v>
      </c>
      <c r="BT36" s="169" t="s">
        <v>2486</v>
      </c>
    </row>
    <row r="37" spans="1:72" ht="17.25" customHeight="1" x14ac:dyDescent="0.35">
      <c r="A37" s="143" t="s">
        <v>2866</v>
      </c>
      <c r="B37" s="143" t="s">
        <v>765</v>
      </c>
      <c r="C37" s="143">
        <v>7</v>
      </c>
      <c r="D37" s="137"/>
      <c r="E37" s="137">
        <v>0.35792210000000002</v>
      </c>
      <c r="F37" s="190">
        <v>0.44740259999999998</v>
      </c>
      <c r="G37" s="137">
        <v>0</v>
      </c>
      <c r="H37" s="137"/>
      <c r="I37" s="137">
        <v>0.31444450000000002</v>
      </c>
      <c r="J37" s="249">
        <v>0.3930556</v>
      </c>
      <c r="L37" s="143" t="s">
        <v>2866</v>
      </c>
      <c r="M37" s="143" t="s">
        <v>765</v>
      </c>
      <c r="N37" s="143">
        <v>7</v>
      </c>
      <c r="O37" s="137"/>
      <c r="P37" s="137"/>
      <c r="Q37" s="137"/>
      <c r="R37" s="137"/>
      <c r="S37" s="137"/>
      <c r="T37" s="137"/>
      <c r="U37" s="137"/>
      <c r="V37" s="137"/>
      <c r="W37" s="137"/>
      <c r="X37" s="137"/>
      <c r="Y37" s="137"/>
      <c r="Z37" s="137"/>
      <c r="AB37" s="143" t="s">
        <v>2866</v>
      </c>
      <c r="AC37" s="143" t="s">
        <v>765</v>
      </c>
      <c r="AD37" s="143">
        <v>7</v>
      </c>
      <c r="AM37" s="271"/>
      <c r="AN37" s="271"/>
      <c r="AP37" s="143" t="s">
        <v>2866</v>
      </c>
      <c r="AQ37" s="143" t="s">
        <v>765</v>
      </c>
      <c r="AR37" s="143">
        <v>7</v>
      </c>
      <c r="BH37" s="271"/>
      <c r="BI37" s="271"/>
      <c r="BK37" s="143" t="s">
        <v>2866</v>
      </c>
      <c r="BL37" s="143" t="s">
        <v>765</v>
      </c>
      <c r="BN37" s="252"/>
      <c r="BO37" s="249"/>
      <c r="BP37" s="249"/>
      <c r="BQ37" s="249"/>
      <c r="BR37" s="249"/>
      <c r="BS37" s="253"/>
      <c r="BT37" s="169" t="s">
        <v>2838</v>
      </c>
    </row>
    <row r="38" spans="1:72" ht="17.25" customHeight="1" x14ac:dyDescent="0.35">
      <c r="A38" s="143" t="s">
        <v>2867</v>
      </c>
      <c r="B38" s="143" t="s">
        <v>753</v>
      </c>
      <c r="C38" s="143">
        <v>7</v>
      </c>
      <c r="D38" s="137">
        <v>0.1220779</v>
      </c>
      <c r="E38" s="137">
        <v>0.31168829999999997</v>
      </c>
      <c r="F38" s="190">
        <v>0.43376619999999999</v>
      </c>
      <c r="G38" s="137">
        <v>0</v>
      </c>
      <c r="H38" s="137">
        <v>0.15238099999999999</v>
      </c>
      <c r="I38" s="137">
        <v>0.32380949999999997</v>
      </c>
      <c r="J38" s="249">
        <v>0.47619050000000002</v>
      </c>
      <c r="L38" s="143" t="s">
        <v>2867</v>
      </c>
      <c r="M38" s="143" t="s">
        <v>753</v>
      </c>
      <c r="N38" s="143">
        <v>7</v>
      </c>
      <c r="O38" s="137">
        <v>1</v>
      </c>
      <c r="P38" s="137">
        <v>1</v>
      </c>
      <c r="Q38" s="137">
        <v>0.85714287</v>
      </c>
      <c r="R38" s="137">
        <v>0.71428572999999995</v>
      </c>
      <c r="S38" s="137">
        <v>0</v>
      </c>
      <c r="T38" s="137">
        <v>0.14285714999999999</v>
      </c>
      <c r="U38" s="137">
        <v>0.85714287</v>
      </c>
      <c r="V38" s="137">
        <v>1</v>
      </c>
      <c r="W38" s="137">
        <v>1</v>
      </c>
      <c r="X38" s="137">
        <v>0.85714287</v>
      </c>
      <c r="Y38" s="137">
        <v>0.42857142999999998</v>
      </c>
      <c r="Z38" s="137">
        <v>0.71428570000000002</v>
      </c>
      <c r="AB38" s="143" t="s">
        <v>2867</v>
      </c>
      <c r="AC38" s="143" t="s">
        <v>753</v>
      </c>
      <c r="AD38" s="143">
        <v>7</v>
      </c>
      <c r="AL38" s="137">
        <v>0.79821430000000004</v>
      </c>
      <c r="AM38" s="271">
        <v>0.79821430000000004</v>
      </c>
      <c r="AN38" s="271">
        <v>0</v>
      </c>
      <c r="AP38" s="143" t="s">
        <v>2867</v>
      </c>
      <c r="AQ38" s="143" t="s">
        <v>753</v>
      </c>
      <c r="AR38" s="143">
        <v>7</v>
      </c>
      <c r="BE38" s="137">
        <v>1</v>
      </c>
      <c r="BF38" s="137">
        <v>1</v>
      </c>
      <c r="BG38" s="137">
        <v>1</v>
      </c>
      <c r="BH38" s="271">
        <v>1</v>
      </c>
      <c r="BI38" s="271">
        <v>1</v>
      </c>
      <c r="BK38" s="143" t="s">
        <v>2867</v>
      </c>
      <c r="BL38" s="143" t="s">
        <v>753</v>
      </c>
      <c r="BM38" s="143">
        <v>7</v>
      </c>
      <c r="BN38" s="252"/>
      <c r="BO38" s="249"/>
      <c r="BP38" s="249"/>
      <c r="BQ38" s="249"/>
      <c r="BR38" s="249"/>
      <c r="BS38" s="253"/>
      <c r="BT38" s="169" t="s">
        <v>2838</v>
      </c>
    </row>
    <row r="39" spans="1:72" ht="17.25" customHeight="1" x14ac:dyDescent="0.35">
      <c r="A39" s="143" t="s">
        <v>754</v>
      </c>
      <c r="B39" s="143" t="s">
        <v>736</v>
      </c>
      <c r="C39" s="143">
        <v>5</v>
      </c>
      <c r="D39" s="137">
        <v>0.18181820000000001</v>
      </c>
      <c r="E39" s="137">
        <v>0.68004089999999995</v>
      </c>
      <c r="F39" s="190">
        <v>0.86185900000000004</v>
      </c>
      <c r="G39" s="137">
        <v>0.2</v>
      </c>
      <c r="H39" s="137">
        <v>0.19</v>
      </c>
      <c r="I39" s="137">
        <v>0.34456930000000002</v>
      </c>
      <c r="J39" s="249">
        <v>0.53456930000000003</v>
      </c>
      <c r="L39" s="143" t="s">
        <v>754</v>
      </c>
      <c r="M39" s="143" t="s">
        <v>736</v>
      </c>
      <c r="N39" s="143">
        <v>5</v>
      </c>
      <c r="O39" s="137">
        <v>0.60000001999999997</v>
      </c>
      <c r="P39" s="137">
        <v>1</v>
      </c>
      <c r="Q39" s="137">
        <v>1</v>
      </c>
      <c r="R39" s="137">
        <v>1</v>
      </c>
      <c r="S39" s="137">
        <v>0</v>
      </c>
      <c r="T39" s="137">
        <v>0</v>
      </c>
      <c r="U39" s="137">
        <v>1</v>
      </c>
      <c r="V39" s="137">
        <v>1</v>
      </c>
      <c r="W39" s="137">
        <v>1</v>
      </c>
      <c r="X39" s="137">
        <v>0.80000000999999998</v>
      </c>
      <c r="Y39" s="137">
        <v>0.80000000999999998</v>
      </c>
      <c r="Z39" s="137">
        <v>0.74545450000000002</v>
      </c>
      <c r="AB39" s="143" t="s">
        <v>754</v>
      </c>
      <c r="AC39" s="143" t="s">
        <v>736</v>
      </c>
      <c r="AD39" s="143">
        <v>5</v>
      </c>
      <c r="AL39" s="137">
        <v>0.92249999999999999</v>
      </c>
      <c r="AM39" s="271">
        <v>0.92249999999999999</v>
      </c>
      <c r="AN39" s="271">
        <v>0</v>
      </c>
      <c r="AP39" s="143" t="s">
        <v>754</v>
      </c>
      <c r="AQ39" s="143" t="s">
        <v>736</v>
      </c>
      <c r="AR39" s="143">
        <v>5</v>
      </c>
      <c r="BE39" s="137">
        <v>1</v>
      </c>
      <c r="BF39" s="137">
        <v>1</v>
      </c>
      <c r="BG39" s="137">
        <v>1</v>
      </c>
      <c r="BH39" s="271">
        <v>1</v>
      </c>
      <c r="BI39" s="271">
        <v>1</v>
      </c>
      <c r="BK39" s="143" t="s">
        <v>754</v>
      </c>
      <c r="BL39" s="143" t="s">
        <v>736</v>
      </c>
      <c r="BM39" s="143">
        <v>5</v>
      </c>
      <c r="BN39" s="252"/>
      <c r="BO39" s="249"/>
      <c r="BP39" s="249"/>
      <c r="BQ39" s="249"/>
      <c r="BR39" s="249"/>
      <c r="BS39" s="253"/>
      <c r="BT39" s="169" t="s">
        <v>2838</v>
      </c>
    </row>
    <row r="40" spans="1:72" ht="17.25" customHeight="1" x14ac:dyDescent="0.35">
      <c r="A40" s="143" t="s">
        <v>755</v>
      </c>
      <c r="B40" s="143" t="s">
        <v>753</v>
      </c>
      <c r="C40" s="143">
        <v>5</v>
      </c>
      <c r="D40" s="137">
        <v>0.17454549999999999</v>
      </c>
      <c r="E40" s="137">
        <v>0.74802860000000004</v>
      </c>
      <c r="F40" s="190">
        <v>0.92257400000000001</v>
      </c>
      <c r="G40" s="137">
        <v>0.6</v>
      </c>
      <c r="H40" s="137">
        <v>0.1666667</v>
      </c>
      <c r="I40" s="137">
        <v>0.32</v>
      </c>
      <c r="J40" s="249">
        <v>0.48666670000000001</v>
      </c>
      <c r="L40" s="143" t="s">
        <v>755</v>
      </c>
      <c r="M40" s="143" t="s">
        <v>753</v>
      </c>
      <c r="N40" s="143">
        <v>5</v>
      </c>
      <c r="O40" s="137">
        <v>0</v>
      </c>
      <c r="P40" s="137">
        <v>0.80000000999999998</v>
      </c>
      <c r="Q40" s="137">
        <v>0.80000000999999998</v>
      </c>
      <c r="R40" s="137">
        <v>1</v>
      </c>
      <c r="S40" s="137">
        <v>0</v>
      </c>
      <c r="T40" s="137">
        <v>0</v>
      </c>
      <c r="U40" s="137">
        <v>0.60000001999999997</v>
      </c>
      <c r="V40" s="137">
        <v>0.80000000999999998</v>
      </c>
      <c r="W40" s="137">
        <v>1</v>
      </c>
      <c r="X40" s="137">
        <v>1</v>
      </c>
      <c r="Y40" s="137">
        <v>0.60000001999999997</v>
      </c>
      <c r="Z40" s="137">
        <v>0.6</v>
      </c>
      <c r="AB40" s="143" t="s">
        <v>755</v>
      </c>
      <c r="AC40" s="143" t="s">
        <v>753</v>
      </c>
      <c r="AD40" s="143">
        <v>5</v>
      </c>
      <c r="AL40" s="137">
        <v>0.88249999999999995</v>
      </c>
      <c r="AM40" s="271">
        <v>0.88249999999999995</v>
      </c>
      <c r="AN40" s="271">
        <v>0.6</v>
      </c>
      <c r="AP40" s="143" t="s">
        <v>755</v>
      </c>
      <c r="AQ40" s="143" t="s">
        <v>753</v>
      </c>
      <c r="AR40" s="143">
        <v>5</v>
      </c>
      <c r="BE40" s="137">
        <v>0.60000002383999995</v>
      </c>
      <c r="BF40" s="137">
        <v>0.60000002383999995</v>
      </c>
      <c r="BG40" s="137">
        <v>0.60000002383999995</v>
      </c>
      <c r="BH40" s="271">
        <v>0.6</v>
      </c>
      <c r="BI40" s="271">
        <v>0.6</v>
      </c>
      <c r="BK40" s="143" t="s">
        <v>755</v>
      </c>
      <c r="BL40" s="143" t="s">
        <v>753</v>
      </c>
      <c r="BM40" s="143">
        <v>5</v>
      </c>
      <c r="BN40" s="252"/>
      <c r="BO40" s="249"/>
      <c r="BP40" s="249"/>
      <c r="BQ40" s="249"/>
      <c r="BR40" s="249"/>
      <c r="BS40" s="253"/>
      <c r="BT40" s="169" t="s">
        <v>2838</v>
      </c>
    </row>
    <row r="41" spans="1:72" ht="17.25" customHeight="1" x14ac:dyDescent="0.35">
      <c r="A41" s="143" t="s">
        <v>2847</v>
      </c>
      <c r="B41" s="143" t="s">
        <v>751</v>
      </c>
      <c r="C41" s="143">
        <v>7</v>
      </c>
      <c r="D41" s="137"/>
      <c r="E41" s="137">
        <v>0.44848490000000002</v>
      </c>
      <c r="F41" s="190">
        <v>0.5606061</v>
      </c>
      <c r="G41" s="137">
        <v>0</v>
      </c>
      <c r="H41" s="137"/>
      <c r="I41" s="137">
        <v>0.1184127</v>
      </c>
      <c r="J41" s="249">
        <v>0.14801590000000001</v>
      </c>
      <c r="L41" s="143" t="s">
        <v>2847</v>
      </c>
      <c r="M41" s="143" t="s">
        <v>751</v>
      </c>
      <c r="N41" s="143">
        <v>7</v>
      </c>
      <c r="O41" s="137"/>
      <c r="P41" s="137"/>
      <c r="Q41" s="137"/>
      <c r="R41" s="137"/>
      <c r="S41" s="137"/>
      <c r="T41" s="137"/>
      <c r="U41" s="137"/>
      <c r="V41" s="137"/>
      <c r="W41" s="137"/>
      <c r="X41" s="137"/>
      <c r="Y41" s="137"/>
      <c r="Z41" s="137"/>
      <c r="AB41" s="143" t="s">
        <v>2847</v>
      </c>
      <c r="AC41" s="143" t="s">
        <v>751</v>
      </c>
      <c r="AD41" s="143">
        <v>7</v>
      </c>
      <c r="AM41" s="271"/>
      <c r="AN41" s="271"/>
      <c r="AP41" s="143" t="s">
        <v>2847</v>
      </c>
      <c r="AQ41" s="143" t="s">
        <v>751</v>
      </c>
      <c r="AR41" s="143">
        <v>7</v>
      </c>
      <c r="BH41" s="271"/>
      <c r="BI41" s="271"/>
      <c r="BK41" s="143" t="s">
        <v>2847</v>
      </c>
      <c r="BL41" s="143" t="s">
        <v>751</v>
      </c>
      <c r="BN41" s="252"/>
      <c r="BO41" s="249"/>
      <c r="BP41" s="249"/>
      <c r="BQ41" s="249"/>
      <c r="BR41" s="249"/>
      <c r="BS41" s="253"/>
      <c r="BT41" s="169" t="s">
        <v>2838</v>
      </c>
    </row>
    <row r="42" spans="1:72" ht="17.25" customHeight="1" x14ac:dyDescent="0.35">
      <c r="A42" s="143" t="s">
        <v>2848</v>
      </c>
      <c r="B42" s="143" t="s">
        <v>728</v>
      </c>
      <c r="C42" s="143">
        <v>7</v>
      </c>
      <c r="D42" s="137">
        <v>0.14285709999999999</v>
      </c>
      <c r="E42" s="137">
        <v>0.42489929999999998</v>
      </c>
      <c r="F42" s="190">
        <v>0.56775640000000005</v>
      </c>
      <c r="G42" s="137">
        <v>0</v>
      </c>
      <c r="H42" s="137">
        <v>0.1285714</v>
      </c>
      <c r="I42" s="137">
        <v>0.1087028</v>
      </c>
      <c r="J42" s="249">
        <v>0.23727419999999999</v>
      </c>
      <c r="L42" s="143" t="s">
        <v>2848</v>
      </c>
      <c r="M42" s="143" t="s">
        <v>728</v>
      </c>
      <c r="N42" s="143">
        <v>7</v>
      </c>
      <c r="O42" s="137">
        <v>0</v>
      </c>
      <c r="P42" s="137">
        <v>0.42857142999999998</v>
      </c>
      <c r="Q42" s="137">
        <v>0.57142859999999995</v>
      </c>
      <c r="R42" s="137">
        <v>0.85714287</v>
      </c>
      <c r="S42" s="137">
        <v>0</v>
      </c>
      <c r="T42" s="137">
        <v>0</v>
      </c>
      <c r="U42" s="137">
        <v>1</v>
      </c>
      <c r="V42" s="137">
        <v>0.85714287</v>
      </c>
      <c r="W42" s="137">
        <v>1</v>
      </c>
      <c r="X42" s="137">
        <v>0.71428572999999995</v>
      </c>
      <c r="Y42" s="137">
        <v>0.71428572999999995</v>
      </c>
      <c r="Z42" s="137">
        <v>0.55844159999999998</v>
      </c>
      <c r="AB42" s="143" t="s">
        <v>2848</v>
      </c>
      <c r="AC42" s="143" t="s">
        <v>728</v>
      </c>
      <c r="AD42" s="143">
        <v>7</v>
      </c>
      <c r="AL42" s="137">
        <v>0.79285720000000004</v>
      </c>
      <c r="AM42" s="271">
        <v>0.79285720000000004</v>
      </c>
      <c r="AN42" s="271">
        <v>0</v>
      </c>
      <c r="AP42" s="143" t="s">
        <v>2848</v>
      </c>
      <c r="AQ42" s="143" t="s">
        <v>728</v>
      </c>
      <c r="AR42" s="143">
        <v>7</v>
      </c>
      <c r="BE42" s="137">
        <v>1</v>
      </c>
      <c r="BF42" s="137">
        <v>0.71428573131999995</v>
      </c>
      <c r="BG42" s="137">
        <v>0.85714286565999998</v>
      </c>
      <c r="BH42" s="271">
        <v>0.85714290000000004</v>
      </c>
      <c r="BI42" s="271">
        <v>0.71428570000000002</v>
      </c>
      <c r="BK42" s="143" t="s">
        <v>2848</v>
      </c>
      <c r="BL42" s="143" t="s">
        <v>728</v>
      </c>
      <c r="BM42" s="143">
        <v>7</v>
      </c>
      <c r="BN42" s="252"/>
      <c r="BO42" s="249"/>
      <c r="BP42" s="249"/>
      <c r="BQ42" s="249"/>
      <c r="BR42" s="249"/>
      <c r="BS42" s="253"/>
      <c r="BT42" s="169" t="s">
        <v>2838</v>
      </c>
    </row>
    <row r="43" spans="1:72" ht="17.25" customHeight="1" x14ac:dyDescent="0.35">
      <c r="A43" s="143" t="s">
        <v>2849</v>
      </c>
      <c r="B43" s="143" t="s">
        <v>748</v>
      </c>
      <c r="C43" s="143">
        <v>6</v>
      </c>
      <c r="D43" s="137"/>
      <c r="E43" s="137">
        <v>0.29616160000000002</v>
      </c>
      <c r="F43" s="190">
        <v>0.37020199999999998</v>
      </c>
      <c r="G43" s="137">
        <v>0</v>
      </c>
      <c r="H43" s="137"/>
      <c r="I43" s="137">
        <v>0.15160499999999999</v>
      </c>
      <c r="J43" s="249">
        <v>0.18950620000000001</v>
      </c>
      <c r="L43" s="143" t="s">
        <v>2849</v>
      </c>
      <c r="M43" s="143" t="s">
        <v>748</v>
      </c>
      <c r="N43" s="143">
        <v>6</v>
      </c>
      <c r="O43" s="137"/>
      <c r="P43" s="137"/>
      <c r="Q43" s="137"/>
      <c r="R43" s="137"/>
      <c r="S43" s="137"/>
      <c r="T43" s="137"/>
      <c r="U43" s="137"/>
      <c r="V43" s="137"/>
      <c r="W43" s="137"/>
      <c r="X43" s="137"/>
      <c r="Y43" s="137"/>
      <c r="Z43" s="137"/>
      <c r="AB43" s="143" t="s">
        <v>2849</v>
      </c>
      <c r="AC43" s="143" t="s">
        <v>748</v>
      </c>
      <c r="AD43" s="143">
        <v>6</v>
      </c>
      <c r="AM43" s="271"/>
      <c r="AN43" s="271"/>
      <c r="AP43" s="143" t="s">
        <v>2849</v>
      </c>
      <c r="AQ43" s="143" t="s">
        <v>748</v>
      </c>
      <c r="AR43" s="143">
        <v>6</v>
      </c>
      <c r="BH43" s="271"/>
      <c r="BI43" s="271"/>
      <c r="BK43" s="143" t="s">
        <v>2849</v>
      </c>
      <c r="BL43" s="143" t="s">
        <v>748</v>
      </c>
      <c r="BN43" s="252"/>
      <c r="BO43" s="249"/>
      <c r="BP43" s="249"/>
      <c r="BQ43" s="249"/>
      <c r="BR43" s="249"/>
      <c r="BS43" s="253"/>
      <c r="BT43" s="169" t="s">
        <v>2838</v>
      </c>
    </row>
    <row r="44" spans="1:72" ht="17.25" customHeight="1" x14ac:dyDescent="0.35">
      <c r="A44" s="143" t="s">
        <v>2850</v>
      </c>
      <c r="B44" s="143" t="s">
        <v>730</v>
      </c>
      <c r="C44" s="143">
        <v>6</v>
      </c>
      <c r="D44" s="137">
        <v>0.13545460000000001</v>
      </c>
      <c r="E44" s="137">
        <v>0.2138572</v>
      </c>
      <c r="F44" s="190">
        <v>0.3493117</v>
      </c>
      <c r="G44" s="137">
        <v>0</v>
      </c>
      <c r="H44" s="137">
        <v>0.11481479999999999</v>
      </c>
      <c r="I44" s="137">
        <v>0.1367816</v>
      </c>
      <c r="J44" s="249">
        <v>0.2515964</v>
      </c>
      <c r="L44" s="143" t="s">
        <v>2850</v>
      </c>
      <c r="M44" s="143" t="s">
        <v>730</v>
      </c>
      <c r="N44" s="143">
        <v>6</v>
      </c>
      <c r="O44" s="137">
        <v>0.16666666999999999</v>
      </c>
      <c r="P44" s="137">
        <v>0.83333330999999999</v>
      </c>
      <c r="Q44" s="137">
        <v>0.5</v>
      </c>
      <c r="R44" s="137">
        <v>0.5</v>
      </c>
      <c r="S44" s="137">
        <v>0.16666666999999999</v>
      </c>
      <c r="T44" s="137">
        <v>0.16666666999999999</v>
      </c>
      <c r="U44" s="137">
        <v>0.5</v>
      </c>
      <c r="V44" s="137">
        <v>0.66666669000000001</v>
      </c>
      <c r="W44" s="137">
        <v>0.5</v>
      </c>
      <c r="X44" s="137">
        <v>0.5</v>
      </c>
      <c r="Y44" s="137">
        <v>0.66666669000000001</v>
      </c>
      <c r="Z44" s="137">
        <v>0.46969699999999998</v>
      </c>
      <c r="AB44" s="143" t="s">
        <v>2850</v>
      </c>
      <c r="AC44" s="143" t="s">
        <v>730</v>
      </c>
      <c r="AD44" s="143">
        <v>6</v>
      </c>
      <c r="AE44" s="137">
        <v>0.93846149999999995</v>
      </c>
      <c r="AF44" s="137">
        <v>0.68</v>
      </c>
      <c r="AG44" s="137">
        <v>0.84210529999999995</v>
      </c>
      <c r="AH44" s="137">
        <v>0.81818179999999996</v>
      </c>
      <c r="AI44" s="137">
        <v>0.88888889999999998</v>
      </c>
      <c r="AJ44" s="137">
        <v>0.66666669999999995</v>
      </c>
      <c r="AK44" s="137">
        <v>0.75757580000000002</v>
      </c>
      <c r="AL44" s="137">
        <v>0.61053919999999995</v>
      </c>
      <c r="AM44" s="271">
        <v>0.64568780000000003</v>
      </c>
      <c r="AN44" s="271">
        <v>0</v>
      </c>
      <c r="AP44" s="143" t="s">
        <v>2850</v>
      </c>
      <c r="AQ44" s="143" t="s">
        <v>730</v>
      </c>
      <c r="AR44" s="143">
        <v>6</v>
      </c>
      <c r="AS44" s="137">
        <v>1</v>
      </c>
      <c r="AT44" s="137">
        <v>1</v>
      </c>
      <c r="AU44" s="137">
        <v>1</v>
      </c>
      <c r="AV44" s="137">
        <v>1</v>
      </c>
      <c r="AW44" s="137">
        <v>1</v>
      </c>
      <c r="AX44" s="137">
        <v>0</v>
      </c>
      <c r="AY44" s="137">
        <v>1</v>
      </c>
      <c r="AZ44" s="137">
        <v>1</v>
      </c>
      <c r="BA44" s="137">
        <v>1</v>
      </c>
      <c r="BB44" s="137">
        <v>1</v>
      </c>
      <c r="BE44" s="137">
        <v>0.20000000298000001</v>
      </c>
      <c r="BF44" s="137">
        <v>0</v>
      </c>
      <c r="BG44" s="137">
        <v>0.20000000298000001</v>
      </c>
      <c r="BH44" s="271">
        <v>0.26111109999999998</v>
      </c>
      <c r="BI44" s="271">
        <v>0</v>
      </c>
      <c r="BK44" s="143" t="s">
        <v>2850</v>
      </c>
      <c r="BL44" s="143" t="s">
        <v>730</v>
      </c>
      <c r="BM44" s="143">
        <v>6</v>
      </c>
      <c r="BN44" s="252">
        <v>3</v>
      </c>
      <c r="BO44" s="249">
        <v>1</v>
      </c>
      <c r="BP44" s="249">
        <v>1</v>
      </c>
      <c r="BQ44" s="249">
        <v>0.55555560000000004</v>
      </c>
      <c r="BR44" s="249">
        <v>1</v>
      </c>
      <c r="BS44" s="253">
        <v>0.88888889999999998</v>
      </c>
      <c r="BT44" s="169" t="s">
        <v>2487</v>
      </c>
    </row>
    <row r="45" spans="1:72" ht="17.25" customHeight="1" x14ac:dyDescent="0.35">
      <c r="A45" s="143" t="s">
        <v>758</v>
      </c>
      <c r="B45" s="143" t="s">
        <v>759</v>
      </c>
      <c r="C45" s="143">
        <v>5</v>
      </c>
      <c r="D45" s="137">
        <v>0.17090910000000001</v>
      </c>
      <c r="E45" s="137">
        <v>0.6632074</v>
      </c>
      <c r="F45" s="190">
        <v>0.83411650000000004</v>
      </c>
      <c r="G45" s="137">
        <v>0.2</v>
      </c>
      <c r="H45" s="137">
        <v>0.17</v>
      </c>
      <c r="I45" s="137">
        <v>0.61168540000000005</v>
      </c>
      <c r="J45" s="249">
        <v>0.78168539999999997</v>
      </c>
      <c r="L45" s="143" t="s">
        <v>758</v>
      </c>
      <c r="M45" s="143" t="s">
        <v>759</v>
      </c>
      <c r="N45" s="143">
        <v>5</v>
      </c>
      <c r="O45" s="137">
        <v>0.80000000999999998</v>
      </c>
      <c r="P45" s="137">
        <v>1</v>
      </c>
      <c r="Q45" s="137">
        <v>0.80000000999999998</v>
      </c>
      <c r="R45" s="137">
        <v>1</v>
      </c>
      <c r="S45" s="137">
        <v>0</v>
      </c>
      <c r="T45" s="137">
        <v>0</v>
      </c>
      <c r="U45" s="137">
        <v>1</v>
      </c>
      <c r="V45" s="137">
        <v>1</v>
      </c>
      <c r="W45" s="137">
        <v>1</v>
      </c>
      <c r="X45" s="137">
        <v>1</v>
      </c>
      <c r="Y45" s="137">
        <v>0.60000001999999997</v>
      </c>
      <c r="Z45" s="137">
        <v>0.74545450000000002</v>
      </c>
      <c r="AB45" s="143" t="s">
        <v>758</v>
      </c>
      <c r="AC45" s="143" t="s">
        <v>759</v>
      </c>
      <c r="AD45" s="143">
        <v>5</v>
      </c>
      <c r="AL45" s="137">
        <v>0.92500000000000004</v>
      </c>
      <c r="AM45" s="271">
        <v>0.92500000000000004</v>
      </c>
      <c r="AN45" s="271">
        <v>0.4</v>
      </c>
      <c r="AP45" s="143" t="s">
        <v>758</v>
      </c>
      <c r="AQ45" s="143" t="s">
        <v>759</v>
      </c>
      <c r="AR45" s="143">
        <v>5</v>
      </c>
      <c r="BE45" s="137">
        <v>0.80000001192000003</v>
      </c>
      <c r="BF45" s="137">
        <v>1</v>
      </c>
      <c r="BG45" s="137">
        <v>1</v>
      </c>
      <c r="BH45" s="271">
        <v>0.93333330000000003</v>
      </c>
      <c r="BI45" s="271">
        <v>0.8</v>
      </c>
      <c r="BK45" s="143" t="s">
        <v>758</v>
      </c>
      <c r="BL45" s="143" t="s">
        <v>759</v>
      </c>
      <c r="BM45" s="143">
        <v>5</v>
      </c>
      <c r="BN45" s="252"/>
      <c r="BO45" s="249"/>
      <c r="BP45" s="249"/>
      <c r="BQ45" s="249"/>
      <c r="BR45" s="249"/>
      <c r="BS45" s="253"/>
      <c r="BT45" s="169" t="s">
        <v>2838</v>
      </c>
    </row>
    <row r="46" spans="1:72" ht="17.25" customHeight="1" x14ac:dyDescent="0.35">
      <c r="A46" s="143" t="s">
        <v>760</v>
      </c>
      <c r="B46" s="143" t="s">
        <v>759</v>
      </c>
      <c r="C46" s="143">
        <v>6</v>
      </c>
      <c r="D46" s="137">
        <v>0.1424242</v>
      </c>
      <c r="E46" s="137">
        <v>0.56138920000000003</v>
      </c>
      <c r="F46" s="190">
        <v>0.70381340000000003</v>
      </c>
      <c r="G46" s="137">
        <v>0</v>
      </c>
      <c r="H46" s="137">
        <v>0.1833333</v>
      </c>
      <c r="I46" s="137">
        <v>0.48888890000000002</v>
      </c>
      <c r="J46" s="249">
        <v>0.67222230000000005</v>
      </c>
      <c r="L46" s="143" t="s">
        <v>760</v>
      </c>
      <c r="M46" s="143" t="s">
        <v>759</v>
      </c>
      <c r="N46" s="143">
        <v>6</v>
      </c>
      <c r="O46" s="137">
        <v>0.66666669000000001</v>
      </c>
      <c r="P46" s="137">
        <v>0.5</v>
      </c>
      <c r="Q46" s="137">
        <v>0.83333330999999999</v>
      </c>
      <c r="R46" s="137">
        <v>0.66666669000000001</v>
      </c>
      <c r="S46" s="137">
        <v>0.5</v>
      </c>
      <c r="T46" s="137">
        <v>0.33333333999999998</v>
      </c>
      <c r="U46" s="137">
        <v>0.66666669000000001</v>
      </c>
      <c r="V46" s="137">
        <v>0.66666669000000001</v>
      </c>
      <c r="W46" s="137">
        <v>1</v>
      </c>
      <c r="X46" s="137">
        <v>1</v>
      </c>
      <c r="Y46" s="137">
        <v>0.66666669000000001</v>
      </c>
      <c r="Z46" s="137">
        <v>0.68181820000000004</v>
      </c>
      <c r="AB46" s="143" t="s">
        <v>760</v>
      </c>
      <c r="AC46" s="143" t="s">
        <v>759</v>
      </c>
      <c r="AD46" s="143">
        <v>6</v>
      </c>
      <c r="AL46" s="137">
        <v>0.9375</v>
      </c>
      <c r="AM46" s="271">
        <v>0.9375</v>
      </c>
      <c r="AN46" s="271">
        <v>0.3333333</v>
      </c>
      <c r="AP46" s="143" t="s">
        <v>760</v>
      </c>
      <c r="AQ46" s="143" t="s">
        <v>759</v>
      </c>
      <c r="AR46" s="143">
        <v>6</v>
      </c>
      <c r="BE46" s="137">
        <v>0.33333334327000003</v>
      </c>
      <c r="BF46" s="137">
        <v>0.5</v>
      </c>
      <c r="BG46" s="137">
        <v>0.5</v>
      </c>
      <c r="BH46" s="271">
        <v>0.44444440000000002</v>
      </c>
      <c r="BI46" s="271">
        <v>0.3333333</v>
      </c>
      <c r="BK46" s="143" t="s">
        <v>760</v>
      </c>
      <c r="BL46" s="143" t="s">
        <v>759</v>
      </c>
      <c r="BM46" s="143">
        <v>6</v>
      </c>
      <c r="BN46" s="252"/>
      <c r="BO46" s="249"/>
      <c r="BP46" s="249"/>
      <c r="BQ46" s="249"/>
      <c r="BR46" s="249"/>
      <c r="BS46" s="253"/>
      <c r="BT46" s="169" t="s">
        <v>2838</v>
      </c>
    </row>
    <row r="47" spans="1:72" ht="17.25" customHeight="1" x14ac:dyDescent="0.35">
      <c r="A47" s="143" t="s">
        <v>761</v>
      </c>
      <c r="B47" s="143" t="s">
        <v>720</v>
      </c>
      <c r="C47" s="143">
        <v>4</v>
      </c>
      <c r="D47" s="137">
        <v>0.1318182</v>
      </c>
      <c r="E47" s="137">
        <v>0.56322779999999995</v>
      </c>
      <c r="F47" s="190">
        <v>0.69504589999999999</v>
      </c>
      <c r="G47" s="137">
        <v>0</v>
      </c>
      <c r="H47" s="137">
        <v>0.15416669999999999</v>
      </c>
      <c r="I47" s="137">
        <v>0.4157304</v>
      </c>
      <c r="J47" s="249">
        <v>0.56989699999999999</v>
      </c>
      <c r="L47" s="143" t="s">
        <v>761</v>
      </c>
      <c r="M47" s="143" t="s">
        <v>720</v>
      </c>
      <c r="N47" s="143">
        <v>4</v>
      </c>
      <c r="O47" s="137">
        <v>0.75</v>
      </c>
      <c r="P47" s="137">
        <v>1</v>
      </c>
      <c r="Q47" s="137">
        <v>1</v>
      </c>
      <c r="R47" s="137">
        <v>1</v>
      </c>
      <c r="S47" s="137">
        <v>0</v>
      </c>
      <c r="T47" s="137">
        <v>0</v>
      </c>
      <c r="U47" s="137">
        <v>1</v>
      </c>
      <c r="V47" s="137">
        <v>0.75</v>
      </c>
      <c r="W47" s="137">
        <v>0.75</v>
      </c>
      <c r="X47" s="137">
        <v>1</v>
      </c>
      <c r="Y47" s="137">
        <v>0.75</v>
      </c>
      <c r="Z47" s="137">
        <v>0.72727269999999999</v>
      </c>
      <c r="AB47" s="143" t="s">
        <v>761</v>
      </c>
      <c r="AC47" s="143" t="s">
        <v>720</v>
      </c>
      <c r="AD47" s="143">
        <v>4</v>
      </c>
      <c r="AL47" s="137">
        <v>0.83437499999999998</v>
      </c>
      <c r="AM47" s="271">
        <v>0.83437499999999998</v>
      </c>
      <c r="AN47" s="271">
        <v>0</v>
      </c>
      <c r="AP47" s="143" t="s">
        <v>761</v>
      </c>
      <c r="AQ47" s="143" t="s">
        <v>720</v>
      </c>
      <c r="AR47" s="143">
        <v>4</v>
      </c>
      <c r="BE47" s="137">
        <v>0.75</v>
      </c>
      <c r="BF47" s="137">
        <v>0.75</v>
      </c>
      <c r="BG47" s="137">
        <v>1</v>
      </c>
      <c r="BH47" s="271">
        <v>0.83333330000000005</v>
      </c>
      <c r="BI47" s="271">
        <v>0.75</v>
      </c>
      <c r="BK47" s="143" t="s">
        <v>761</v>
      </c>
      <c r="BL47" s="143" t="s">
        <v>720</v>
      </c>
      <c r="BM47" s="143">
        <v>4</v>
      </c>
      <c r="BN47" s="252"/>
      <c r="BO47" s="249"/>
      <c r="BP47" s="249"/>
      <c r="BQ47" s="249"/>
      <c r="BR47" s="249"/>
      <c r="BS47" s="253"/>
      <c r="BT47" s="169" t="s">
        <v>2838</v>
      </c>
    </row>
    <row r="48" spans="1:72" ht="17.25" customHeight="1" x14ac:dyDescent="0.35">
      <c r="A48" s="143" t="s">
        <v>762</v>
      </c>
      <c r="B48" s="143" t="s">
        <v>763</v>
      </c>
      <c r="C48" s="143">
        <v>6</v>
      </c>
      <c r="D48" s="137">
        <v>0.1484849</v>
      </c>
      <c r="E48" s="137">
        <v>0.43963229999999998</v>
      </c>
      <c r="F48" s="190">
        <v>0.58811709999999995</v>
      </c>
      <c r="G48" s="137">
        <v>0</v>
      </c>
      <c r="H48" s="137">
        <v>0.17222219999999999</v>
      </c>
      <c r="I48" s="137">
        <v>0.31161050000000001</v>
      </c>
      <c r="J48" s="249">
        <v>0.4838327</v>
      </c>
      <c r="L48" s="143" t="s">
        <v>762</v>
      </c>
      <c r="M48" s="143" t="s">
        <v>763</v>
      </c>
      <c r="N48" s="143">
        <v>6</v>
      </c>
      <c r="O48" s="137">
        <v>0.83333330999999999</v>
      </c>
      <c r="P48" s="137">
        <v>0.83333330999999999</v>
      </c>
      <c r="Q48" s="137">
        <v>0.66666669000000001</v>
      </c>
      <c r="R48" s="137">
        <v>0.5</v>
      </c>
      <c r="S48" s="137">
        <v>0.16666666999999999</v>
      </c>
      <c r="T48" s="137">
        <v>0.33333333999999998</v>
      </c>
      <c r="U48" s="137">
        <v>0.83333330999999999</v>
      </c>
      <c r="V48" s="137">
        <v>0.83333330999999999</v>
      </c>
      <c r="W48" s="137">
        <v>0.66666669000000001</v>
      </c>
      <c r="X48" s="137">
        <v>0</v>
      </c>
      <c r="Y48" s="137">
        <v>0.83333330999999999</v>
      </c>
      <c r="Z48" s="137">
        <v>0.59090909999999996</v>
      </c>
      <c r="AB48" s="143" t="s">
        <v>762</v>
      </c>
      <c r="AC48" s="143" t="s">
        <v>763</v>
      </c>
      <c r="AD48" s="143">
        <v>6</v>
      </c>
      <c r="AL48" s="137">
        <v>0.81874999999999998</v>
      </c>
      <c r="AM48" s="271">
        <v>0.81874999999999998</v>
      </c>
      <c r="AN48" s="271">
        <v>0</v>
      </c>
      <c r="AP48" s="143" t="s">
        <v>762</v>
      </c>
      <c r="AQ48" s="143" t="s">
        <v>763</v>
      </c>
      <c r="AR48" s="143">
        <v>6</v>
      </c>
      <c r="BE48" s="137">
        <v>0.83333331346999995</v>
      </c>
      <c r="BF48" s="137">
        <v>1</v>
      </c>
      <c r="BG48" s="137">
        <v>0.66666668653000005</v>
      </c>
      <c r="BH48" s="271">
        <v>0.83333330000000005</v>
      </c>
      <c r="BI48" s="271">
        <v>0.66666669999999995</v>
      </c>
      <c r="BK48" s="143" t="s">
        <v>762</v>
      </c>
      <c r="BL48" s="143" t="s">
        <v>763</v>
      </c>
      <c r="BM48" s="143">
        <v>6</v>
      </c>
      <c r="BN48" s="252"/>
      <c r="BO48" s="249"/>
      <c r="BP48" s="249"/>
      <c r="BQ48" s="249"/>
      <c r="BR48" s="249"/>
      <c r="BS48" s="253"/>
      <c r="BT48" s="169" t="s">
        <v>2838</v>
      </c>
    </row>
    <row r="49" spans="1:72" ht="17.25" customHeight="1" x14ac:dyDescent="0.35">
      <c r="A49" s="143" t="s">
        <v>764</v>
      </c>
      <c r="B49" s="143" t="s">
        <v>765</v>
      </c>
      <c r="C49" s="143">
        <v>6</v>
      </c>
      <c r="D49" s="137">
        <v>0.12666669999999999</v>
      </c>
      <c r="E49" s="137">
        <v>0.63844350000000005</v>
      </c>
      <c r="F49" s="190">
        <v>0.76511010000000002</v>
      </c>
      <c r="G49" s="137">
        <v>0.3333333</v>
      </c>
      <c r="H49" s="137">
        <v>0.1574074</v>
      </c>
      <c r="I49" s="137">
        <v>0.61023720000000004</v>
      </c>
      <c r="J49" s="249">
        <v>0.76764460000000001</v>
      </c>
      <c r="L49" s="143" t="s">
        <v>764</v>
      </c>
      <c r="M49" s="143" t="s">
        <v>765</v>
      </c>
      <c r="N49" s="143">
        <v>6</v>
      </c>
      <c r="O49" s="137">
        <v>0.83333330999999999</v>
      </c>
      <c r="P49" s="137">
        <v>0.83333330999999999</v>
      </c>
      <c r="Q49" s="137">
        <v>0.83333330999999999</v>
      </c>
      <c r="R49" s="137">
        <v>0.83333330999999999</v>
      </c>
      <c r="S49" s="137">
        <v>0.16666666999999999</v>
      </c>
      <c r="T49" s="137">
        <v>0.5</v>
      </c>
      <c r="U49" s="137">
        <v>1</v>
      </c>
      <c r="V49" s="137">
        <v>0.83333330999999999</v>
      </c>
      <c r="W49" s="137">
        <v>0.83333330999999999</v>
      </c>
      <c r="X49" s="137">
        <v>1</v>
      </c>
      <c r="Y49" s="137">
        <v>1</v>
      </c>
      <c r="Z49" s="137">
        <v>0.78787879999999999</v>
      </c>
      <c r="AB49" s="143" t="s">
        <v>764</v>
      </c>
      <c r="AC49" s="143" t="s">
        <v>765</v>
      </c>
      <c r="AD49" s="143">
        <v>6</v>
      </c>
      <c r="AE49" s="137">
        <v>1</v>
      </c>
      <c r="AF49" s="137">
        <v>1</v>
      </c>
      <c r="AG49" s="137">
        <v>0.9473684</v>
      </c>
      <c r="AH49" s="137">
        <v>1</v>
      </c>
      <c r="AI49" s="137">
        <v>1</v>
      </c>
      <c r="AJ49" s="137">
        <v>0.8</v>
      </c>
      <c r="AK49" s="137">
        <v>0.96969700000000003</v>
      </c>
      <c r="AL49" s="137">
        <v>0.87916669999999997</v>
      </c>
      <c r="AM49" s="271">
        <v>0.87334420000000001</v>
      </c>
      <c r="AN49" s="271">
        <v>0.1666667</v>
      </c>
      <c r="AP49" s="143" t="s">
        <v>764</v>
      </c>
      <c r="AQ49" s="143" t="s">
        <v>765</v>
      </c>
      <c r="AR49" s="143">
        <v>6</v>
      </c>
      <c r="AS49" s="137">
        <v>1</v>
      </c>
      <c r="AT49" s="137">
        <v>1</v>
      </c>
      <c r="AU49" s="137">
        <v>1</v>
      </c>
      <c r="AV49" s="137">
        <v>1</v>
      </c>
      <c r="AW49" s="137">
        <v>1</v>
      </c>
      <c r="AX49" s="137">
        <v>1</v>
      </c>
      <c r="AY49" s="137">
        <v>1</v>
      </c>
      <c r="AZ49" s="137">
        <v>1</v>
      </c>
      <c r="BA49" s="137">
        <v>1</v>
      </c>
      <c r="BB49" s="137">
        <v>1</v>
      </c>
      <c r="BE49" s="137">
        <v>0.80000001192000003</v>
      </c>
      <c r="BF49" s="137">
        <v>1</v>
      </c>
      <c r="BG49" s="137">
        <v>1</v>
      </c>
      <c r="BH49" s="271">
        <v>0.94444439999999996</v>
      </c>
      <c r="BI49" s="271">
        <v>0.83333330000000005</v>
      </c>
      <c r="BK49" s="143" t="s">
        <v>764</v>
      </c>
      <c r="BL49" s="143" t="s">
        <v>765</v>
      </c>
      <c r="BM49" s="143">
        <v>6</v>
      </c>
      <c r="BN49" s="252">
        <v>3</v>
      </c>
      <c r="BO49" s="249">
        <v>1</v>
      </c>
      <c r="BP49" s="249">
        <v>1</v>
      </c>
      <c r="BQ49" s="249">
        <v>1</v>
      </c>
      <c r="BR49" s="249">
        <v>0.75</v>
      </c>
      <c r="BS49" s="253">
        <v>0.9375</v>
      </c>
      <c r="BT49" s="169" t="s">
        <v>2487</v>
      </c>
    </row>
    <row r="50" spans="1:72" ht="17.25" customHeight="1" x14ac:dyDescent="0.35">
      <c r="A50" s="143" t="s">
        <v>2851</v>
      </c>
      <c r="B50" s="143" t="s">
        <v>2518</v>
      </c>
      <c r="C50" s="143">
        <v>5</v>
      </c>
      <c r="D50" s="137"/>
      <c r="E50" s="137">
        <v>0.57454539999999998</v>
      </c>
      <c r="F50" s="190">
        <v>0.71818179999999998</v>
      </c>
      <c r="G50" s="137">
        <v>0.6</v>
      </c>
      <c r="H50" s="137"/>
      <c r="I50" s="137">
        <v>0.30666670000000001</v>
      </c>
      <c r="J50" s="249">
        <v>0.38333329999999999</v>
      </c>
      <c r="L50" s="143" t="s">
        <v>2851</v>
      </c>
      <c r="M50" s="143" t="s">
        <v>2518</v>
      </c>
      <c r="N50" s="143">
        <v>5</v>
      </c>
      <c r="O50" s="137"/>
      <c r="P50" s="137"/>
      <c r="Q50" s="137"/>
      <c r="R50" s="137"/>
      <c r="S50" s="137"/>
      <c r="T50" s="137"/>
      <c r="U50" s="137"/>
      <c r="V50" s="137"/>
      <c r="W50" s="137"/>
      <c r="X50" s="137"/>
      <c r="Y50" s="137"/>
      <c r="Z50" s="137"/>
      <c r="AB50" s="143" t="s">
        <v>2851</v>
      </c>
      <c r="AC50" s="143" t="s">
        <v>2518</v>
      </c>
      <c r="AD50" s="143">
        <v>5</v>
      </c>
      <c r="AM50" s="271"/>
      <c r="AN50" s="271"/>
      <c r="AP50" s="143" t="s">
        <v>2851</v>
      </c>
      <c r="AQ50" s="143" t="s">
        <v>2518</v>
      </c>
      <c r="AR50" s="143">
        <v>5</v>
      </c>
      <c r="BH50" s="271"/>
      <c r="BI50" s="271"/>
      <c r="BK50" s="143" t="s">
        <v>2851</v>
      </c>
      <c r="BL50" s="143" t="s">
        <v>2518</v>
      </c>
      <c r="BN50" s="252"/>
      <c r="BO50" s="249"/>
      <c r="BP50" s="249"/>
      <c r="BQ50" s="249"/>
      <c r="BR50" s="249"/>
      <c r="BS50" s="253"/>
      <c r="BT50" s="169" t="s">
        <v>2838</v>
      </c>
    </row>
    <row r="51" spans="1:72" ht="17.25" customHeight="1" x14ac:dyDescent="0.35">
      <c r="A51" s="143" t="s">
        <v>2852</v>
      </c>
      <c r="B51" s="143" t="s">
        <v>728</v>
      </c>
      <c r="C51" s="143">
        <v>5</v>
      </c>
      <c r="D51" s="137">
        <v>0.18181820000000001</v>
      </c>
      <c r="E51" s="137">
        <v>0.52363630000000005</v>
      </c>
      <c r="F51" s="190">
        <v>0.70545449999999998</v>
      </c>
      <c r="G51" s="137">
        <v>0.6</v>
      </c>
      <c r="H51" s="137">
        <v>0.2</v>
      </c>
      <c r="I51" s="137">
        <v>0.3333333</v>
      </c>
      <c r="J51" s="249">
        <v>0.53333339999999996</v>
      </c>
      <c r="L51" s="143" t="s">
        <v>2852</v>
      </c>
      <c r="M51" s="143" t="s">
        <v>728</v>
      </c>
      <c r="N51" s="143">
        <v>5</v>
      </c>
      <c r="O51" s="137">
        <v>0.80000000999999998</v>
      </c>
      <c r="P51" s="137">
        <v>0.60000001999999997</v>
      </c>
      <c r="Q51" s="137">
        <v>1</v>
      </c>
      <c r="R51" s="137">
        <v>1</v>
      </c>
      <c r="S51" s="137">
        <v>0.2</v>
      </c>
      <c r="T51" s="137">
        <v>0.40000001000000002</v>
      </c>
      <c r="U51" s="137">
        <v>0.80000000999999998</v>
      </c>
      <c r="V51" s="137">
        <v>0.80000000999999998</v>
      </c>
      <c r="W51" s="137">
        <v>1</v>
      </c>
      <c r="X51" s="137">
        <v>0.80000000999999998</v>
      </c>
      <c r="Y51" s="137">
        <v>1</v>
      </c>
      <c r="Z51" s="137">
        <v>0.76363639999999999</v>
      </c>
      <c r="AB51" s="143" t="s">
        <v>2852</v>
      </c>
      <c r="AC51" s="143" t="s">
        <v>728</v>
      </c>
      <c r="AD51" s="143">
        <v>5</v>
      </c>
      <c r="AL51" s="137">
        <v>0.92</v>
      </c>
      <c r="AM51" s="271">
        <v>0.92</v>
      </c>
      <c r="AN51" s="271">
        <v>0.2</v>
      </c>
      <c r="AP51" s="143" t="s">
        <v>2852</v>
      </c>
      <c r="AQ51" s="143" t="s">
        <v>728</v>
      </c>
      <c r="AR51" s="143">
        <v>5</v>
      </c>
      <c r="BE51" s="137">
        <v>1</v>
      </c>
      <c r="BF51" s="137">
        <v>1</v>
      </c>
      <c r="BG51" s="137">
        <v>1</v>
      </c>
      <c r="BH51" s="271">
        <v>1</v>
      </c>
      <c r="BI51" s="271">
        <v>1</v>
      </c>
      <c r="BK51" s="143" t="s">
        <v>2852</v>
      </c>
      <c r="BL51" s="143" t="s">
        <v>728</v>
      </c>
      <c r="BM51" s="143">
        <v>5</v>
      </c>
      <c r="BN51" s="252"/>
      <c r="BO51" s="249"/>
      <c r="BP51" s="249"/>
      <c r="BQ51" s="249"/>
      <c r="BR51" s="249"/>
      <c r="BS51" s="253"/>
      <c r="BT51" s="169" t="s">
        <v>2838</v>
      </c>
    </row>
    <row r="52" spans="1:72" ht="17.25" customHeight="1" x14ac:dyDescent="0.35">
      <c r="C52" s="143"/>
      <c r="D52" s="137"/>
      <c r="E52" s="137"/>
      <c r="F52" s="190"/>
      <c r="G52" s="137"/>
      <c r="H52" s="137"/>
      <c r="I52" s="137"/>
      <c r="J52" s="253"/>
      <c r="L52" s="143"/>
      <c r="M52" s="143"/>
      <c r="N52" s="143"/>
      <c r="O52" s="137"/>
      <c r="P52" s="137"/>
      <c r="Q52" s="137"/>
      <c r="R52" s="137"/>
      <c r="S52" s="137"/>
      <c r="T52" s="137"/>
      <c r="U52" s="137"/>
      <c r="V52" s="137"/>
      <c r="W52" s="137"/>
      <c r="X52" s="137"/>
      <c r="Y52" s="137"/>
      <c r="Z52" s="137"/>
      <c r="BN52" s="252"/>
      <c r="BO52" s="249"/>
      <c r="BP52" s="249"/>
      <c r="BQ52" s="249"/>
      <c r="BR52" s="249"/>
      <c r="BS52" s="253"/>
    </row>
    <row r="53" spans="1:72" ht="17.25" customHeight="1" x14ac:dyDescent="0.35">
      <c r="C53" s="143"/>
      <c r="D53" s="137"/>
      <c r="E53" s="137"/>
      <c r="F53" s="190"/>
      <c r="G53" s="137"/>
      <c r="H53" s="137"/>
      <c r="I53" s="137"/>
      <c r="J53" s="253"/>
      <c r="L53" s="143"/>
      <c r="M53" s="143"/>
      <c r="N53" s="143"/>
      <c r="O53" s="137"/>
      <c r="P53" s="137"/>
      <c r="Q53" s="137"/>
      <c r="R53" s="137"/>
      <c r="S53" s="137"/>
      <c r="T53" s="137"/>
      <c r="U53" s="137"/>
      <c r="V53" s="137"/>
      <c r="W53" s="137"/>
      <c r="X53" s="137"/>
      <c r="Y53" s="137"/>
      <c r="Z53" s="137"/>
      <c r="BN53" s="252"/>
      <c r="BO53" s="249"/>
      <c r="BP53" s="249"/>
      <c r="BQ53" s="249"/>
      <c r="BR53" s="249"/>
      <c r="BS53" s="253"/>
    </row>
    <row r="54" spans="1:72" ht="17.25" customHeight="1" x14ac:dyDescent="0.35">
      <c r="C54" s="143"/>
      <c r="D54" s="137"/>
      <c r="E54" s="137"/>
      <c r="F54" s="190"/>
      <c r="G54" s="137"/>
      <c r="H54" s="137"/>
      <c r="I54" s="137"/>
      <c r="J54" s="253"/>
      <c r="L54" s="143"/>
      <c r="M54" s="143"/>
      <c r="N54" s="143"/>
      <c r="O54" s="137"/>
      <c r="P54" s="137"/>
      <c r="Q54" s="137"/>
      <c r="R54" s="137"/>
      <c r="S54" s="137"/>
      <c r="T54" s="137"/>
      <c r="U54" s="137"/>
      <c r="V54" s="137"/>
      <c r="W54" s="137"/>
      <c r="X54" s="137"/>
      <c r="Y54" s="137"/>
      <c r="Z54" s="137"/>
      <c r="BN54" s="252"/>
      <c r="BO54" s="249"/>
      <c r="BP54" s="249"/>
      <c r="BQ54" s="249"/>
      <c r="BR54" s="249"/>
      <c r="BS54" s="253"/>
    </row>
    <row r="55" spans="1:72" ht="17.25" customHeight="1" x14ac:dyDescent="0.35">
      <c r="C55" s="143"/>
      <c r="D55" s="137"/>
      <c r="E55" s="137"/>
      <c r="F55" s="190"/>
      <c r="G55" s="137"/>
      <c r="H55" s="137"/>
      <c r="I55" s="137"/>
      <c r="J55" s="253"/>
      <c r="L55" s="143"/>
      <c r="M55" s="143"/>
      <c r="N55" s="143"/>
      <c r="O55" s="137"/>
      <c r="P55" s="137"/>
      <c r="Q55" s="137"/>
      <c r="R55" s="137"/>
      <c r="S55" s="137"/>
      <c r="T55" s="137"/>
      <c r="U55" s="137"/>
      <c r="V55" s="137"/>
      <c r="W55" s="137"/>
      <c r="X55" s="137"/>
      <c r="Y55" s="137"/>
      <c r="Z55" s="137"/>
      <c r="BN55" s="252"/>
      <c r="BO55" s="249"/>
      <c r="BP55" s="249"/>
      <c r="BQ55" s="249"/>
      <c r="BR55" s="249"/>
      <c r="BS55" s="253"/>
    </row>
    <row r="56" spans="1:72" ht="17.25" customHeight="1" x14ac:dyDescent="0.35">
      <c r="C56" s="143"/>
      <c r="D56" s="137"/>
      <c r="E56" s="137"/>
      <c r="F56" s="190"/>
      <c r="G56" s="137"/>
      <c r="H56" s="137"/>
      <c r="I56" s="137"/>
      <c r="J56" s="253"/>
      <c r="L56" s="143"/>
      <c r="M56" s="143"/>
      <c r="N56" s="143"/>
      <c r="O56" s="137"/>
      <c r="P56" s="137"/>
      <c r="Q56" s="137"/>
      <c r="R56" s="137"/>
      <c r="S56" s="137"/>
      <c r="T56" s="137"/>
      <c r="U56" s="137"/>
      <c r="V56" s="137"/>
      <c r="W56" s="137"/>
      <c r="X56" s="137"/>
      <c r="Y56" s="137"/>
      <c r="Z56" s="137"/>
      <c r="BN56" s="252"/>
      <c r="BO56" s="249"/>
      <c r="BP56" s="249"/>
      <c r="BQ56" s="249"/>
      <c r="BR56" s="249"/>
      <c r="BS56" s="253"/>
    </row>
    <row r="57" spans="1:72" ht="17.25" customHeight="1" x14ac:dyDescent="0.35">
      <c r="C57" s="143"/>
      <c r="D57" s="137"/>
      <c r="E57" s="137"/>
      <c r="F57" s="190"/>
      <c r="G57" s="137"/>
      <c r="H57" s="137"/>
      <c r="I57" s="137"/>
      <c r="J57" s="253"/>
      <c r="L57" s="143"/>
      <c r="M57" s="143"/>
      <c r="N57" s="143"/>
      <c r="O57" s="137"/>
      <c r="P57" s="137"/>
      <c r="Q57" s="137"/>
      <c r="R57" s="137"/>
      <c r="S57" s="137"/>
      <c r="T57" s="137"/>
      <c r="U57" s="137"/>
      <c r="V57" s="137"/>
      <c r="W57" s="137"/>
      <c r="X57" s="137"/>
      <c r="Y57" s="137"/>
      <c r="Z57" s="137"/>
      <c r="BN57" s="252"/>
      <c r="BO57" s="249"/>
      <c r="BP57" s="249"/>
      <c r="BQ57" s="249"/>
      <c r="BR57" s="249"/>
      <c r="BS57" s="253"/>
    </row>
    <row r="58" spans="1:72" ht="17.25" customHeight="1" x14ac:dyDescent="0.35">
      <c r="C58" s="143"/>
      <c r="D58" s="137"/>
      <c r="E58" s="137"/>
      <c r="F58" s="190"/>
      <c r="G58" s="137"/>
      <c r="H58" s="137"/>
      <c r="I58" s="137"/>
      <c r="J58" s="253"/>
      <c r="L58" s="143"/>
      <c r="M58" s="143"/>
      <c r="N58" s="143"/>
      <c r="O58" s="137"/>
      <c r="P58" s="137"/>
      <c r="Q58" s="137"/>
      <c r="R58" s="137"/>
      <c r="S58" s="137"/>
      <c r="T58" s="137"/>
      <c r="U58" s="137"/>
      <c r="V58" s="137"/>
      <c r="W58" s="137"/>
      <c r="X58" s="137"/>
      <c r="Y58" s="137"/>
      <c r="Z58" s="137"/>
      <c r="BN58" s="252"/>
      <c r="BO58" s="249"/>
      <c r="BP58" s="249"/>
      <c r="BQ58" s="249"/>
      <c r="BR58" s="249"/>
      <c r="BS58" s="253"/>
    </row>
    <row r="59" spans="1:72" ht="17.25" customHeight="1" x14ac:dyDescent="0.35">
      <c r="C59" s="143"/>
      <c r="D59" s="137"/>
      <c r="E59" s="137"/>
      <c r="F59" s="190"/>
      <c r="G59" s="137"/>
      <c r="H59" s="137"/>
      <c r="I59" s="137"/>
      <c r="J59" s="253"/>
      <c r="L59" s="143"/>
      <c r="M59" s="143"/>
      <c r="N59" s="143"/>
      <c r="O59" s="137"/>
      <c r="P59" s="137"/>
      <c r="Q59" s="137"/>
      <c r="R59" s="137"/>
      <c r="S59" s="137"/>
      <c r="T59" s="137"/>
      <c r="U59" s="137"/>
      <c r="V59" s="137"/>
      <c r="W59" s="137"/>
      <c r="X59" s="137"/>
      <c r="Y59" s="137"/>
      <c r="Z59" s="137"/>
      <c r="BN59" s="252"/>
      <c r="BO59" s="249"/>
      <c r="BP59" s="249"/>
      <c r="BQ59" s="249"/>
      <c r="BR59" s="249"/>
      <c r="BS59" s="253"/>
    </row>
    <row r="60" spans="1:72" ht="17.25" customHeight="1" x14ac:dyDescent="0.35">
      <c r="C60" s="143"/>
      <c r="D60" s="137"/>
      <c r="E60" s="137"/>
      <c r="F60" s="190"/>
      <c r="G60" s="137"/>
      <c r="H60" s="137"/>
      <c r="I60" s="137"/>
      <c r="J60" s="253"/>
      <c r="L60" s="143"/>
      <c r="M60" s="143"/>
      <c r="N60" s="143"/>
      <c r="O60" s="137"/>
      <c r="P60" s="137"/>
      <c r="Q60" s="137"/>
      <c r="R60" s="137"/>
      <c r="S60" s="137"/>
      <c r="T60" s="137"/>
      <c r="U60" s="137"/>
      <c r="V60" s="137"/>
      <c r="W60" s="137"/>
      <c r="X60" s="137"/>
      <c r="Y60" s="137"/>
      <c r="Z60" s="137"/>
      <c r="BN60" s="252"/>
      <c r="BO60" s="249"/>
      <c r="BP60" s="249"/>
      <c r="BQ60" s="249"/>
      <c r="BR60" s="249"/>
      <c r="BS60" s="253"/>
    </row>
    <row r="61" spans="1:72" ht="17.25" customHeight="1" x14ac:dyDescent="0.35">
      <c r="C61" s="143"/>
      <c r="D61" s="137"/>
      <c r="E61" s="137"/>
      <c r="F61" s="190"/>
      <c r="G61" s="137"/>
      <c r="H61" s="137"/>
      <c r="I61" s="137"/>
      <c r="J61" s="253"/>
      <c r="L61" s="143"/>
      <c r="M61" s="143"/>
      <c r="N61" s="143"/>
      <c r="O61" s="137"/>
      <c r="P61" s="137"/>
      <c r="Q61" s="137"/>
      <c r="R61" s="137"/>
      <c r="S61" s="137"/>
      <c r="T61" s="137"/>
      <c r="U61" s="137"/>
      <c r="V61" s="137"/>
      <c r="W61" s="137"/>
      <c r="X61" s="137"/>
      <c r="Y61" s="137"/>
      <c r="Z61" s="137"/>
      <c r="BN61" s="252"/>
      <c r="BO61" s="249"/>
      <c r="BP61" s="249"/>
      <c r="BQ61" s="249"/>
      <c r="BR61" s="249"/>
      <c r="BS61" s="253"/>
    </row>
    <row r="62" spans="1:72" ht="17.25" customHeight="1" x14ac:dyDescent="0.35">
      <c r="C62" s="143"/>
      <c r="D62" s="137"/>
      <c r="E62" s="137"/>
      <c r="F62" s="190"/>
      <c r="G62" s="137"/>
      <c r="H62" s="137"/>
      <c r="I62" s="137"/>
      <c r="J62" s="253"/>
      <c r="L62" s="143"/>
      <c r="M62" s="143"/>
      <c r="N62" s="143"/>
      <c r="O62" s="137"/>
      <c r="P62" s="137"/>
      <c r="Q62" s="137"/>
      <c r="R62" s="137"/>
      <c r="S62" s="137"/>
      <c r="T62" s="137"/>
      <c r="U62" s="137"/>
      <c r="V62" s="137"/>
      <c r="W62" s="137"/>
      <c r="X62" s="137"/>
      <c r="Y62" s="137"/>
      <c r="Z62" s="137"/>
      <c r="BN62" s="252"/>
      <c r="BO62" s="249"/>
      <c r="BP62" s="249"/>
      <c r="BQ62" s="249"/>
      <c r="BR62" s="249"/>
      <c r="BS62" s="253"/>
    </row>
    <row r="63" spans="1:72" ht="17.25" customHeight="1" x14ac:dyDescent="0.35">
      <c r="C63" s="143"/>
      <c r="D63" s="137"/>
      <c r="E63" s="137"/>
      <c r="F63" s="190"/>
      <c r="G63" s="137"/>
      <c r="H63" s="137"/>
      <c r="I63" s="137"/>
      <c r="J63" s="253"/>
      <c r="L63" s="143"/>
      <c r="M63" s="143"/>
      <c r="N63" s="143"/>
      <c r="O63" s="137"/>
      <c r="P63" s="137"/>
      <c r="Q63" s="137"/>
      <c r="R63" s="137"/>
      <c r="S63" s="137"/>
      <c r="T63" s="137"/>
      <c r="U63" s="137"/>
      <c r="V63" s="137"/>
      <c r="W63" s="137"/>
      <c r="X63" s="137"/>
      <c r="Y63" s="137"/>
      <c r="Z63" s="137"/>
      <c r="BN63" s="252"/>
      <c r="BO63" s="249"/>
      <c r="BP63" s="249"/>
      <c r="BQ63" s="249"/>
      <c r="BR63" s="249"/>
      <c r="BS63" s="253"/>
    </row>
    <row r="64" spans="1:72" ht="17.25" customHeight="1" x14ac:dyDescent="0.35">
      <c r="C64" s="143"/>
      <c r="D64" s="137"/>
      <c r="E64" s="137"/>
      <c r="F64" s="190"/>
      <c r="G64" s="137"/>
      <c r="H64" s="137"/>
      <c r="I64" s="137"/>
      <c r="J64" s="253"/>
      <c r="L64" s="143"/>
      <c r="M64" s="143"/>
      <c r="N64" s="143"/>
      <c r="O64" s="137"/>
      <c r="P64" s="137"/>
      <c r="Q64" s="137"/>
      <c r="R64" s="137"/>
      <c r="S64" s="137"/>
      <c r="T64" s="137"/>
      <c r="U64" s="137"/>
      <c r="V64" s="137"/>
      <c r="W64" s="137"/>
      <c r="X64" s="137"/>
      <c r="Y64" s="137"/>
      <c r="Z64" s="137"/>
      <c r="BN64" s="252"/>
      <c r="BO64" s="249"/>
      <c r="BP64" s="249"/>
      <c r="BQ64" s="249"/>
      <c r="BR64" s="249"/>
      <c r="BS64" s="253"/>
    </row>
    <row r="65" spans="3:71" ht="17.25" customHeight="1" x14ac:dyDescent="0.35">
      <c r="C65" s="143"/>
      <c r="D65" s="137"/>
      <c r="E65" s="137"/>
      <c r="F65" s="190"/>
      <c r="G65" s="137"/>
      <c r="H65" s="137"/>
      <c r="I65" s="137"/>
      <c r="J65" s="253"/>
      <c r="L65" s="143"/>
      <c r="M65" s="143"/>
      <c r="N65" s="143"/>
      <c r="O65" s="137"/>
      <c r="P65" s="137"/>
      <c r="Q65" s="137"/>
      <c r="R65" s="137"/>
      <c r="S65" s="137"/>
      <c r="T65" s="137"/>
      <c r="U65" s="137"/>
      <c r="V65" s="137"/>
      <c r="W65" s="137"/>
      <c r="X65" s="137"/>
      <c r="Y65" s="137"/>
      <c r="Z65" s="137"/>
      <c r="BN65" s="252"/>
      <c r="BO65" s="249"/>
      <c r="BP65" s="249"/>
      <c r="BQ65" s="249"/>
      <c r="BR65" s="249"/>
      <c r="BS65" s="253"/>
    </row>
    <row r="66" spans="3:71" ht="17.25" customHeight="1" x14ac:dyDescent="0.35">
      <c r="C66" s="143"/>
      <c r="D66" s="137"/>
      <c r="E66" s="137"/>
      <c r="F66" s="190"/>
      <c r="G66" s="137"/>
      <c r="H66" s="137"/>
      <c r="I66" s="137"/>
      <c r="J66" s="253"/>
      <c r="L66" s="143"/>
      <c r="M66" s="143"/>
      <c r="N66" s="143"/>
      <c r="O66" s="137"/>
      <c r="P66" s="137"/>
      <c r="Q66" s="137"/>
      <c r="R66" s="137"/>
      <c r="S66" s="137"/>
      <c r="T66" s="137"/>
      <c r="U66" s="137"/>
      <c r="V66" s="137"/>
      <c r="W66" s="137"/>
      <c r="X66" s="137"/>
      <c r="Y66" s="137"/>
      <c r="Z66" s="137"/>
      <c r="BN66" s="252"/>
      <c r="BO66" s="249"/>
      <c r="BP66" s="249"/>
      <c r="BQ66" s="249"/>
      <c r="BR66" s="249"/>
      <c r="BS66" s="253"/>
    </row>
    <row r="67" spans="3:71" ht="17.25" customHeight="1" x14ac:dyDescent="0.35">
      <c r="C67" s="143"/>
      <c r="D67" s="137"/>
      <c r="E67" s="137"/>
      <c r="F67" s="190"/>
      <c r="G67" s="137"/>
      <c r="H67" s="137"/>
      <c r="I67" s="137"/>
      <c r="J67" s="253"/>
      <c r="L67" s="143"/>
      <c r="M67" s="143"/>
      <c r="N67" s="143"/>
      <c r="O67" s="137"/>
      <c r="P67" s="137"/>
      <c r="Q67" s="137"/>
      <c r="R67" s="137"/>
      <c r="S67" s="137"/>
      <c r="T67" s="137"/>
      <c r="U67" s="137"/>
      <c r="V67" s="137"/>
      <c r="W67" s="137"/>
      <c r="X67" s="137"/>
      <c r="Y67" s="137"/>
      <c r="Z67" s="137"/>
      <c r="BN67" s="252"/>
      <c r="BO67" s="249"/>
      <c r="BP67" s="249"/>
      <c r="BQ67" s="249"/>
      <c r="BR67" s="249"/>
      <c r="BS67" s="253"/>
    </row>
    <row r="68" spans="3:71" ht="17.25" customHeight="1" x14ac:dyDescent="0.35">
      <c r="C68" s="143"/>
      <c r="D68" s="137"/>
      <c r="E68" s="137"/>
      <c r="F68" s="190"/>
      <c r="G68" s="137"/>
      <c r="H68" s="137"/>
      <c r="I68" s="137"/>
      <c r="J68" s="253"/>
      <c r="L68" s="143"/>
      <c r="M68" s="143"/>
      <c r="N68" s="143"/>
      <c r="O68" s="137"/>
      <c r="P68" s="137"/>
      <c r="Q68" s="137"/>
      <c r="R68" s="137"/>
      <c r="S68" s="137"/>
      <c r="T68" s="137"/>
      <c r="U68" s="137"/>
      <c r="V68" s="137"/>
      <c r="W68" s="137"/>
      <c r="X68" s="137"/>
      <c r="Y68" s="137"/>
      <c r="Z68" s="137"/>
      <c r="BN68" s="252"/>
      <c r="BO68" s="249"/>
      <c r="BP68" s="249"/>
      <c r="BQ68" s="249"/>
      <c r="BR68" s="249"/>
      <c r="BS68" s="253"/>
    </row>
    <row r="69" spans="3:71" ht="17.25" customHeight="1" x14ac:dyDescent="0.35">
      <c r="C69" s="143"/>
      <c r="D69" s="137"/>
      <c r="E69" s="137"/>
      <c r="F69" s="190"/>
      <c r="G69" s="137"/>
      <c r="H69" s="137"/>
      <c r="I69" s="137"/>
      <c r="J69" s="253"/>
      <c r="L69" s="143"/>
      <c r="M69" s="143"/>
      <c r="N69" s="143"/>
      <c r="O69" s="137"/>
      <c r="P69" s="137"/>
      <c r="Q69" s="137"/>
      <c r="R69" s="137"/>
      <c r="S69" s="137"/>
      <c r="T69" s="137"/>
      <c r="U69" s="137"/>
      <c r="V69" s="137"/>
      <c r="W69" s="137"/>
      <c r="X69" s="137"/>
      <c r="Y69" s="137"/>
      <c r="Z69" s="137"/>
      <c r="BN69" s="252"/>
      <c r="BO69" s="249"/>
      <c r="BP69" s="249"/>
      <c r="BQ69" s="249"/>
      <c r="BR69" s="249"/>
      <c r="BS69" s="253"/>
    </row>
  </sheetData>
  <autoFilter ref="A3:BT40" xr:uid="{00000000-0001-0000-1100-000000000000}"/>
  <mergeCells count="9">
    <mergeCell ref="D1:J1"/>
    <mergeCell ref="O1:Z1"/>
    <mergeCell ref="AE1:AN1"/>
    <mergeCell ref="AS1:BI1"/>
    <mergeCell ref="BN1:BT1"/>
    <mergeCell ref="AE2:AK2"/>
    <mergeCell ref="AL2:AN2"/>
    <mergeCell ref="AS2:BD2"/>
    <mergeCell ref="BE2:BI2"/>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B261D-3523-4EA7-9F3C-4B0D9B92CBD9}">
  <sheetPr>
    <tabColor theme="9" tint="0.39997558519241921"/>
  </sheetPr>
  <dimension ref="A1:CE2832"/>
  <sheetViews>
    <sheetView topLeftCell="BP1" zoomScale="55" zoomScaleNormal="55" workbookViewId="0">
      <selection activeCell="J42" sqref="J42"/>
    </sheetView>
  </sheetViews>
  <sheetFormatPr defaultColWidth="20.5" defaultRowHeight="15.5" x14ac:dyDescent="0.35"/>
  <cols>
    <col min="1" max="4" width="20.5" style="143"/>
    <col min="5" max="6" width="20.5" style="78"/>
    <col min="7" max="7" width="20.5" style="62"/>
    <col min="8" max="9" width="20.5" style="78"/>
    <col min="10" max="10" width="20.83203125" style="78" customWidth="1"/>
    <col min="11" max="11" width="25.33203125" style="78" bestFit="1" customWidth="1"/>
    <col min="12" max="12" width="6" style="78" customWidth="1"/>
    <col min="13" max="27" width="20.83203125" style="78" customWidth="1"/>
    <col min="28" max="28" width="11.83203125" style="78" bestFit="1" customWidth="1"/>
    <col min="29" max="29" width="6" style="78" customWidth="1"/>
    <col min="30" max="33" width="20.5" style="143"/>
    <col min="34" max="40" width="20.5" style="137"/>
    <col min="41" max="42" width="20.5" style="190"/>
    <col min="43" max="43" width="17.08203125" style="78" bestFit="1" customWidth="1"/>
    <col min="44" max="44" width="6" style="78" customWidth="1"/>
    <col min="45" max="48" width="20.5" style="143"/>
    <col min="49" max="62" width="20.5" style="137"/>
    <col min="63" max="64" width="20.5" style="190"/>
    <col min="65" max="65" width="19.08203125" style="78" bestFit="1" customWidth="1"/>
    <col min="66" max="66" width="6" style="78" customWidth="1"/>
    <col min="67" max="70" width="20.5" style="143"/>
    <col min="71" max="74" width="20.5" style="156"/>
    <col min="75" max="76" width="20.5" style="169"/>
    <col min="77" max="16384" width="20.5" style="78"/>
  </cols>
  <sheetData>
    <row r="1" spans="1:83" ht="93.75" customHeight="1" x14ac:dyDescent="0.35">
      <c r="A1" s="313"/>
      <c r="B1" s="313"/>
      <c r="C1" s="313"/>
      <c r="D1" s="313"/>
      <c r="E1" s="388" t="s">
        <v>2519</v>
      </c>
      <c r="F1" s="388"/>
      <c r="G1" s="388"/>
      <c r="H1" s="388"/>
      <c r="I1" s="388"/>
      <c r="J1" s="388"/>
      <c r="K1" s="388"/>
      <c r="L1" s="120"/>
      <c r="M1" s="313"/>
      <c r="N1" s="313"/>
      <c r="O1" s="313"/>
      <c r="P1" s="315"/>
      <c r="Q1" s="388" t="s">
        <v>2490</v>
      </c>
      <c r="R1" s="388"/>
      <c r="S1" s="388"/>
      <c r="T1" s="388"/>
      <c r="U1" s="388"/>
      <c r="V1" s="388"/>
      <c r="W1" s="388"/>
      <c r="X1" s="388"/>
      <c r="Y1" s="388"/>
      <c r="Z1" s="388"/>
      <c r="AA1" s="388"/>
      <c r="AB1" s="388"/>
      <c r="AC1" s="120"/>
      <c r="AD1" s="313"/>
      <c r="AE1" s="313"/>
      <c r="AF1" s="313"/>
      <c r="AG1" s="313"/>
      <c r="AH1" s="393" t="s">
        <v>2491</v>
      </c>
      <c r="AI1" s="393"/>
      <c r="AJ1" s="393"/>
      <c r="AK1" s="393"/>
      <c r="AL1" s="393"/>
      <c r="AM1" s="393"/>
      <c r="AN1" s="393"/>
      <c r="AO1" s="393"/>
      <c r="AP1" s="393"/>
      <c r="AQ1" s="393"/>
      <c r="AR1" s="120"/>
      <c r="AS1" s="313"/>
      <c r="AT1" s="313"/>
      <c r="AU1" s="313"/>
      <c r="AV1" s="315"/>
      <c r="AW1" s="392" t="s">
        <v>2492</v>
      </c>
      <c r="AX1" s="392"/>
      <c r="AY1" s="392"/>
      <c r="AZ1" s="392"/>
      <c r="BA1" s="392"/>
      <c r="BB1" s="392"/>
      <c r="BC1" s="392"/>
      <c r="BD1" s="392"/>
      <c r="BE1" s="392"/>
      <c r="BF1" s="392"/>
      <c r="BG1" s="392"/>
      <c r="BH1" s="392"/>
      <c r="BI1" s="392"/>
      <c r="BJ1" s="392"/>
      <c r="BK1" s="392"/>
      <c r="BL1" s="392"/>
      <c r="BM1" s="392"/>
      <c r="BN1" s="120"/>
      <c r="BO1" s="313"/>
      <c r="BP1" s="313"/>
      <c r="BQ1" s="313"/>
      <c r="BR1" s="315"/>
      <c r="BS1" s="423" t="s">
        <v>2493</v>
      </c>
      <c r="BT1" s="423"/>
      <c r="BU1" s="423"/>
      <c r="BV1" s="423"/>
      <c r="BW1" s="423"/>
      <c r="BX1" s="423"/>
      <c r="BY1" s="423"/>
      <c r="BZ1"/>
      <c r="CA1"/>
      <c r="CB1"/>
      <c r="CC1"/>
      <c r="CD1"/>
      <c r="CE1"/>
    </row>
    <row r="2" spans="1:83" ht="27" customHeight="1" x14ac:dyDescent="0.35">
      <c r="A2" s="314"/>
      <c r="B2" s="314"/>
      <c r="C2" s="314"/>
      <c r="D2" s="314"/>
      <c r="E2" s="312"/>
      <c r="F2" s="312"/>
      <c r="G2" s="312"/>
      <c r="H2" s="303"/>
      <c r="I2" s="303"/>
      <c r="J2" s="303"/>
      <c r="K2" s="303"/>
      <c r="L2" s="120"/>
      <c r="M2" s="314"/>
      <c r="N2" s="314"/>
      <c r="O2" s="314"/>
      <c r="P2" s="316"/>
      <c r="Q2" s="303"/>
      <c r="R2" s="303"/>
      <c r="S2" s="303"/>
      <c r="T2" s="303"/>
      <c r="U2" s="303"/>
      <c r="V2" s="303"/>
      <c r="W2" s="303"/>
      <c r="X2" s="303"/>
      <c r="Y2" s="303"/>
      <c r="Z2" s="303"/>
      <c r="AA2" s="303"/>
      <c r="AB2" s="303"/>
      <c r="AC2" s="120"/>
      <c r="AD2" s="314"/>
      <c r="AE2" s="314"/>
      <c r="AF2" s="314"/>
      <c r="AG2" s="314"/>
      <c r="AH2" s="393" t="s">
        <v>2494</v>
      </c>
      <c r="AI2" s="393"/>
      <c r="AJ2" s="393"/>
      <c r="AK2" s="393"/>
      <c r="AL2" s="393"/>
      <c r="AM2" s="393"/>
      <c r="AN2" s="393"/>
      <c r="AO2" s="392" t="s">
        <v>2495</v>
      </c>
      <c r="AP2" s="392"/>
      <c r="AQ2" s="392"/>
      <c r="AR2" s="120"/>
      <c r="AS2" s="314"/>
      <c r="AT2" s="314"/>
      <c r="AU2" s="314"/>
      <c r="AV2" s="316"/>
      <c r="AW2" s="389" t="s">
        <v>2496</v>
      </c>
      <c r="AX2" s="389"/>
      <c r="AY2" s="389"/>
      <c r="AZ2" s="389"/>
      <c r="BA2" s="389"/>
      <c r="BB2" s="389"/>
      <c r="BC2" s="389"/>
      <c r="BD2" s="389"/>
      <c r="BE2" s="389"/>
      <c r="BF2" s="389"/>
      <c r="BG2" s="389"/>
      <c r="BH2" s="389"/>
      <c r="BI2" s="389" t="s">
        <v>2497</v>
      </c>
      <c r="BJ2" s="389"/>
      <c r="BK2" s="389"/>
      <c r="BL2" s="389"/>
      <c r="BM2" s="389"/>
      <c r="BN2" s="120"/>
      <c r="BO2" s="314"/>
      <c r="BP2" s="314"/>
      <c r="BQ2" s="314"/>
      <c r="BR2" s="316"/>
      <c r="BS2" s="312"/>
      <c r="BT2" s="312"/>
      <c r="BU2" s="312"/>
      <c r="BV2" s="312"/>
      <c r="BW2" s="312"/>
      <c r="BX2" s="312"/>
      <c r="BY2" s="312"/>
      <c r="BZ2"/>
      <c r="CA2"/>
      <c r="CB2"/>
      <c r="CC2"/>
      <c r="CD2"/>
      <c r="CE2"/>
    </row>
    <row r="3" spans="1:83" ht="156" customHeight="1" x14ac:dyDescent="0.35">
      <c r="A3" s="299" t="s">
        <v>699</v>
      </c>
      <c r="B3" s="299" t="s">
        <v>2498</v>
      </c>
      <c r="C3" s="299" t="s">
        <v>2520</v>
      </c>
      <c r="D3" s="299" t="s">
        <v>815</v>
      </c>
      <c r="E3" s="300" t="s">
        <v>2499</v>
      </c>
      <c r="F3" s="300" t="s">
        <v>2500</v>
      </c>
      <c r="G3" s="300" t="s">
        <v>2501</v>
      </c>
      <c r="H3" s="291" t="s">
        <v>2502</v>
      </c>
      <c r="I3" s="300" t="s">
        <v>2503</v>
      </c>
      <c r="J3" s="300" t="s">
        <v>2504</v>
      </c>
      <c r="K3" s="300" t="s">
        <v>2505</v>
      </c>
      <c r="L3" s="110"/>
      <c r="M3" s="299" t="s">
        <v>699</v>
      </c>
      <c r="N3" s="299" t="s">
        <v>813</v>
      </c>
      <c r="O3" s="299" t="s">
        <v>2520</v>
      </c>
      <c r="P3" s="317" t="s">
        <v>815</v>
      </c>
      <c r="Q3" s="300" t="s">
        <v>556</v>
      </c>
      <c r="R3" s="300" t="s">
        <v>559</v>
      </c>
      <c r="S3" s="300" t="s">
        <v>562</v>
      </c>
      <c r="T3" s="300" t="s">
        <v>565</v>
      </c>
      <c r="U3" s="300" t="s">
        <v>568</v>
      </c>
      <c r="V3" s="300" t="s">
        <v>571</v>
      </c>
      <c r="W3" s="300" t="s">
        <v>574</v>
      </c>
      <c r="X3" s="300" t="s">
        <v>577</v>
      </c>
      <c r="Y3" s="300" t="s">
        <v>580</v>
      </c>
      <c r="Z3" s="300" t="s">
        <v>583</v>
      </c>
      <c r="AA3" s="300" t="s">
        <v>586</v>
      </c>
      <c r="AB3" s="300" t="s">
        <v>589</v>
      </c>
      <c r="AC3" s="110"/>
      <c r="AD3" s="299" t="s">
        <v>699</v>
      </c>
      <c r="AE3" s="299" t="s">
        <v>813</v>
      </c>
      <c r="AF3" s="299" t="s">
        <v>2520</v>
      </c>
      <c r="AG3" s="299" t="s">
        <v>815</v>
      </c>
      <c r="AH3" s="301" t="s">
        <v>2506</v>
      </c>
      <c r="AI3" s="301" t="s">
        <v>2507</v>
      </c>
      <c r="AJ3" s="301" t="s">
        <v>2508</v>
      </c>
      <c r="AK3" s="301" t="s">
        <v>2509</v>
      </c>
      <c r="AL3" s="301" t="s">
        <v>2510</v>
      </c>
      <c r="AM3" s="301" t="s">
        <v>2511</v>
      </c>
      <c r="AN3" s="301" t="s">
        <v>2512</v>
      </c>
      <c r="AO3" s="301" t="s">
        <v>615</v>
      </c>
      <c r="AP3" s="302" t="s">
        <v>2513</v>
      </c>
      <c r="AQ3" s="302" t="s">
        <v>2514</v>
      </c>
      <c r="AR3" s="110"/>
      <c r="AS3" s="299" t="s">
        <v>699</v>
      </c>
      <c r="AT3" s="299" t="s">
        <v>813</v>
      </c>
      <c r="AU3" s="299" t="s">
        <v>2520</v>
      </c>
      <c r="AV3" s="317" t="s">
        <v>815</v>
      </c>
      <c r="AW3" s="300" t="s">
        <v>625</v>
      </c>
      <c r="AX3" s="300" t="s">
        <v>628</v>
      </c>
      <c r="AY3" s="300" t="s">
        <v>631</v>
      </c>
      <c r="AZ3" s="300" t="s">
        <v>634</v>
      </c>
      <c r="BA3" s="300" t="s">
        <v>637</v>
      </c>
      <c r="BB3" s="300" t="s">
        <v>640</v>
      </c>
      <c r="BC3" s="300" t="s">
        <v>643</v>
      </c>
      <c r="BD3" s="300" t="s">
        <v>646</v>
      </c>
      <c r="BE3" s="300" t="s">
        <v>649</v>
      </c>
      <c r="BF3" s="300" t="s">
        <v>652</v>
      </c>
      <c r="BG3" s="300" t="s">
        <v>655</v>
      </c>
      <c r="BH3" s="300" t="s">
        <v>658</v>
      </c>
      <c r="BI3" s="300" t="s">
        <v>2515</v>
      </c>
      <c r="BJ3" s="300" t="s">
        <v>2516</v>
      </c>
      <c r="BK3" s="300" t="s">
        <v>2517</v>
      </c>
      <c r="BL3" s="291" t="s">
        <v>671</v>
      </c>
      <c r="BM3" s="291" t="s">
        <v>674</v>
      </c>
      <c r="BN3" s="110"/>
      <c r="BO3" s="299" t="s">
        <v>699</v>
      </c>
      <c r="BP3" s="299" t="s">
        <v>813</v>
      </c>
      <c r="BQ3" s="299" t="s">
        <v>2521</v>
      </c>
      <c r="BR3" s="317" t="s">
        <v>815</v>
      </c>
      <c r="BS3" s="300" t="s">
        <v>679</v>
      </c>
      <c r="BT3" s="300" t="s">
        <v>682</v>
      </c>
      <c r="BU3" s="300" t="s">
        <v>685</v>
      </c>
      <c r="BV3" s="300" t="s">
        <v>688</v>
      </c>
      <c r="BW3" s="300" t="s">
        <v>691</v>
      </c>
      <c r="BX3" s="291" t="s">
        <v>694</v>
      </c>
      <c r="BY3" s="291" t="s">
        <v>697</v>
      </c>
      <c r="BZ3"/>
      <c r="CA3"/>
      <c r="CB3"/>
      <c r="CC3"/>
      <c r="CD3"/>
      <c r="CE3"/>
    </row>
    <row r="4" spans="1:83" hidden="1" x14ac:dyDescent="0.35">
      <c r="A4" s="143" t="s">
        <v>2793</v>
      </c>
      <c r="B4" s="143" t="s">
        <v>2794</v>
      </c>
      <c r="C4" s="143" t="s">
        <v>2795</v>
      </c>
      <c r="D4" s="143" t="s">
        <v>2796</v>
      </c>
      <c r="E4" s="137" t="s">
        <v>2869</v>
      </c>
      <c r="F4" s="137" t="s">
        <v>2870</v>
      </c>
      <c r="G4" s="190" t="s">
        <v>2871</v>
      </c>
      <c r="H4" s="137" t="s">
        <v>2872</v>
      </c>
      <c r="I4" s="137" t="s">
        <v>2873</v>
      </c>
      <c r="J4" s="137" t="s">
        <v>2874</v>
      </c>
      <c r="K4" s="137" t="s">
        <v>2875</v>
      </c>
      <c r="L4" s="78" t="s">
        <v>2802</v>
      </c>
      <c r="M4" s="143" t="s">
        <v>2803</v>
      </c>
      <c r="N4" s="143" t="s">
        <v>2804</v>
      </c>
      <c r="O4" s="143" t="s">
        <v>2805</v>
      </c>
      <c r="P4" s="143" t="s">
        <v>2806</v>
      </c>
      <c r="Q4" s="137" t="s">
        <v>2876</v>
      </c>
      <c r="R4" s="137" t="s">
        <v>2877</v>
      </c>
      <c r="S4" s="137" t="s">
        <v>2878</v>
      </c>
      <c r="T4" s="137" t="s">
        <v>2879</v>
      </c>
      <c r="U4" s="137" t="s">
        <v>2880</v>
      </c>
      <c r="V4" s="137" t="s">
        <v>2881</v>
      </c>
      <c r="W4" s="137" t="s">
        <v>2882</v>
      </c>
      <c r="X4" s="137" t="s">
        <v>2883</v>
      </c>
      <c r="Y4" s="137" t="s">
        <v>2884</v>
      </c>
      <c r="Z4" s="137" t="s">
        <v>2885</v>
      </c>
      <c r="AA4" s="137" t="s">
        <v>2886</v>
      </c>
      <c r="AB4" s="137" t="s">
        <v>2887</v>
      </c>
      <c r="AC4" s="78" t="s">
        <v>2854</v>
      </c>
      <c r="AD4" s="143" t="s">
        <v>2855</v>
      </c>
      <c r="AE4" s="143" t="s">
        <v>2856</v>
      </c>
      <c r="AF4" s="143" t="s">
        <v>2888</v>
      </c>
      <c r="AG4" s="143" t="s">
        <v>2889</v>
      </c>
      <c r="AH4" s="137" t="s">
        <v>2890</v>
      </c>
      <c r="AI4" s="137" t="s">
        <v>2891</v>
      </c>
      <c r="AJ4" s="137" t="s">
        <v>2892</v>
      </c>
      <c r="AK4" s="137" t="s">
        <v>2893</v>
      </c>
      <c r="AL4" s="137" t="s">
        <v>2894</v>
      </c>
      <c r="AM4" s="137" t="s">
        <v>2895</v>
      </c>
      <c r="AN4" s="137" t="s">
        <v>2896</v>
      </c>
      <c r="AO4" s="190" t="s">
        <v>2897</v>
      </c>
      <c r="AP4" s="190" t="s">
        <v>2898</v>
      </c>
      <c r="AQ4" s="78" t="s">
        <v>2899</v>
      </c>
      <c r="AR4" s="78" t="s">
        <v>2814</v>
      </c>
      <c r="AS4" s="143" t="s">
        <v>2815</v>
      </c>
      <c r="AT4" s="143" t="s">
        <v>2816</v>
      </c>
      <c r="AU4" s="143" t="s">
        <v>2817</v>
      </c>
      <c r="AV4" s="143" t="s">
        <v>2818</v>
      </c>
      <c r="AW4" s="137" t="s">
        <v>2900</v>
      </c>
      <c r="AX4" s="137" t="s">
        <v>2901</v>
      </c>
      <c r="AY4" s="137" t="s">
        <v>2902</v>
      </c>
      <c r="AZ4" s="137" t="s">
        <v>2903</v>
      </c>
      <c r="BA4" s="137" t="s">
        <v>2904</v>
      </c>
      <c r="BB4" s="137" t="s">
        <v>2905</v>
      </c>
      <c r="BC4" s="137" t="s">
        <v>2906</v>
      </c>
      <c r="BD4" s="137" t="s">
        <v>2907</v>
      </c>
      <c r="BE4" s="137" t="s">
        <v>2908</v>
      </c>
      <c r="BF4" s="137" t="s">
        <v>2909</v>
      </c>
      <c r="BG4" s="137" t="s">
        <v>2910</v>
      </c>
      <c r="BH4" s="137" t="s">
        <v>2911</v>
      </c>
      <c r="BI4" s="137" t="s">
        <v>2912</v>
      </c>
      <c r="BJ4" s="137" t="s">
        <v>2913</v>
      </c>
      <c r="BK4" s="190" t="s">
        <v>2914</v>
      </c>
      <c r="BL4" s="190" t="s">
        <v>2915</v>
      </c>
      <c r="BM4" s="78" t="s">
        <v>2916</v>
      </c>
      <c r="BN4" s="78" t="s">
        <v>2824</v>
      </c>
      <c r="BO4" s="143" t="s">
        <v>2825</v>
      </c>
      <c r="BP4" s="143" t="s">
        <v>2826</v>
      </c>
      <c r="BQ4" s="143" t="s">
        <v>2827</v>
      </c>
      <c r="BR4" s="143" t="s">
        <v>2828</v>
      </c>
      <c r="BS4" s="156" t="s">
        <v>2917</v>
      </c>
      <c r="BT4" s="156" t="s">
        <v>2918</v>
      </c>
      <c r="BU4" s="156" t="s">
        <v>2919</v>
      </c>
      <c r="BV4" s="156" t="s">
        <v>2920</v>
      </c>
      <c r="BW4" s="169" t="s">
        <v>2921</v>
      </c>
      <c r="BX4" s="169" t="s">
        <v>2922</v>
      </c>
      <c r="BY4" s="78" t="s">
        <v>2923</v>
      </c>
    </row>
    <row r="5" spans="1:83" x14ac:dyDescent="0.35">
      <c r="A5" s="143" t="s">
        <v>719</v>
      </c>
      <c r="B5" s="143" t="s">
        <v>720</v>
      </c>
      <c r="C5" s="143" t="s">
        <v>2452</v>
      </c>
      <c r="D5" s="143">
        <v>403</v>
      </c>
      <c r="E5" s="137">
        <v>0.2</v>
      </c>
      <c r="F5" s="137">
        <v>0.8</v>
      </c>
      <c r="G5" s="271">
        <v>1</v>
      </c>
      <c r="H5" s="137" t="s">
        <v>2486</v>
      </c>
      <c r="I5" s="137">
        <v>0.2</v>
      </c>
      <c r="J5" s="137">
        <v>0.77777779999999996</v>
      </c>
      <c r="K5" s="137">
        <v>0.97777780000000003</v>
      </c>
      <c r="M5" s="143" t="s">
        <v>719</v>
      </c>
      <c r="N5" s="143" t="s">
        <v>720</v>
      </c>
      <c r="O5" s="143" t="s">
        <v>2452</v>
      </c>
      <c r="P5" s="143">
        <v>403</v>
      </c>
      <c r="Q5" s="137" t="s">
        <v>2486</v>
      </c>
      <c r="R5" s="137" t="s">
        <v>2486</v>
      </c>
      <c r="S5" s="137" t="s">
        <v>2486</v>
      </c>
      <c r="T5" s="137" t="s">
        <v>2486</v>
      </c>
      <c r="U5" s="137" t="s">
        <v>2486</v>
      </c>
      <c r="V5" s="137" t="s">
        <v>2486</v>
      </c>
      <c r="W5" s="137" t="s">
        <v>2486</v>
      </c>
      <c r="X5" s="137" t="s">
        <v>2486</v>
      </c>
      <c r="Y5" s="137" t="s">
        <v>2486</v>
      </c>
      <c r="Z5" s="137" t="s">
        <v>2486</v>
      </c>
      <c r="AA5" s="137" t="s">
        <v>2486</v>
      </c>
      <c r="AB5" s="137">
        <v>1</v>
      </c>
      <c r="AD5" s="143" t="s">
        <v>719</v>
      </c>
      <c r="AE5" s="143" t="s">
        <v>720</v>
      </c>
      <c r="AF5" s="143" t="s">
        <v>2452</v>
      </c>
      <c r="AG5" s="143">
        <v>403</v>
      </c>
      <c r="AH5" s="137">
        <v>1</v>
      </c>
      <c r="AI5" s="137">
        <v>1</v>
      </c>
      <c r="AJ5" s="137">
        <v>1</v>
      </c>
      <c r="AK5" s="137">
        <v>1</v>
      </c>
      <c r="AL5" s="137">
        <v>1</v>
      </c>
      <c r="AM5" s="137">
        <v>1</v>
      </c>
      <c r="AN5" s="137">
        <v>1</v>
      </c>
      <c r="AO5" s="190">
        <v>1</v>
      </c>
      <c r="AP5" s="190">
        <v>1</v>
      </c>
      <c r="AQ5" s="78" t="s">
        <v>2486</v>
      </c>
      <c r="AS5" s="143" t="s">
        <v>719</v>
      </c>
      <c r="AT5" s="143" t="s">
        <v>720</v>
      </c>
      <c r="AU5" s="143" t="s">
        <v>2452</v>
      </c>
      <c r="AV5" s="143">
        <v>403</v>
      </c>
      <c r="AW5" s="137" t="s">
        <v>2486</v>
      </c>
      <c r="AX5" s="137" t="s">
        <v>2486</v>
      </c>
      <c r="AY5" s="137" t="s">
        <v>2486</v>
      </c>
      <c r="AZ5" s="137" t="s">
        <v>2486</v>
      </c>
      <c r="BA5" s="137" t="s">
        <v>2486</v>
      </c>
      <c r="BB5" s="137" t="s">
        <v>2487</v>
      </c>
      <c r="BC5" s="137" t="s">
        <v>2486</v>
      </c>
      <c r="BD5" s="137" t="s">
        <v>2486</v>
      </c>
      <c r="BE5" s="137" t="s">
        <v>2486</v>
      </c>
      <c r="BF5" s="137" t="s">
        <v>2486</v>
      </c>
      <c r="BI5" s="137" t="s">
        <v>2838</v>
      </c>
      <c r="BJ5" s="137" t="s">
        <v>2838</v>
      </c>
      <c r="BK5" s="190" t="s">
        <v>2838</v>
      </c>
      <c r="BL5" s="190">
        <v>0.9</v>
      </c>
      <c r="BM5" s="78" t="s">
        <v>2487</v>
      </c>
      <c r="BO5" s="143" t="s">
        <v>719</v>
      </c>
      <c r="BP5" s="143" t="s">
        <v>720</v>
      </c>
      <c r="BQ5" s="143" t="s">
        <v>2452</v>
      </c>
      <c r="BR5" s="143">
        <v>403</v>
      </c>
      <c r="BS5" s="156">
        <v>3</v>
      </c>
      <c r="BT5" s="156">
        <v>1</v>
      </c>
      <c r="BU5" s="156">
        <v>1</v>
      </c>
      <c r="BV5" s="156">
        <v>0.3333333</v>
      </c>
      <c r="BW5" s="169">
        <v>1</v>
      </c>
      <c r="BX5" s="169">
        <v>0.83333330000000005</v>
      </c>
      <c r="BY5" s="78" t="s">
        <v>2487</v>
      </c>
    </row>
    <row r="6" spans="1:83" x14ac:dyDescent="0.35">
      <c r="A6" s="143" t="s">
        <v>719</v>
      </c>
      <c r="B6" s="143" t="s">
        <v>720</v>
      </c>
      <c r="C6" s="143" t="s">
        <v>663</v>
      </c>
      <c r="D6" s="143">
        <v>2527</v>
      </c>
      <c r="E6" s="137">
        <v>0.18181820000000001</v>
      </c>
      <c r="F6" s="137">
        <v>0.55648620000000004</v>
      </c>
      <c r="G6" s="271">
        <v>0.73830439999999997</v>
      </c>
      <c r="H6" s="137" t="s">
        <v>2487</v>
      </c>
      <c r="I6" s="137">
        <v>0.1666667</v>
      </c>
      <c r="J6" s="137">
        <v>0.64194759999999995</v>
      </c>
      <c r="K6" s="137">
        <v>0.80861430000000001</v>
      </c>
      <c r="M6" s="143" t="s">
        <v>719</v>
      </c>
      <c r="N6" s="143" t="s">
        <v>720</v>
      </c>
      <c r="O6" s="143" t="s">
        <v>663</v>
      </c>
      <c r="P6" s="143">
        <v>2527</v>
      </c>
      <c r="Q6" s="137" t="s">
        <v>2486</v>
      </c>
      <c r="R6" s="137" t="s">
        <v>2486</v>
      </c>
      <c r="S6" s="137" t="s">
        <v>2486</v>
      </c>
      <c r="T6" s="137" t="s">
        <v>2486</v>
      </c>
      <c r="U6" s="137" t="s">
        <v>2487</v>
      </c>
      <c r="V6" s="137" t="s">
        <v>2487</v>
      </c>
      <c r="W6" s="137" t="s">
        <v>2486</v>
      </c>
      <c r="X6" s="137" t="s">
        <v>2486</v>
      </c>
      <c r="Y6" s="137" t="s">
        <v>2486</v>
      </c>
      <c r="Z6" s="137" t="s">
        <v>2486</v>
      </c>
      <c r="AA6" s="137" t="s">
        <v>2486</v>
      </c>
      <c r="AB6" s="137">
        <v>0.81818179999999996</v>
      </c>
      <c r="AD6" s="143" t="s">
        <v>719</v>
      </c>
      <c r="AE6" s="143" t="s">
        <v>720</v>
      </c>
      <c r="AF6" s="143" t="s">
        <v>663</v>
      </c>
      <c r="AG6" s="143">
        <v>2527</v>
      </c>
      <c r="AO6" s="190">
        <v>0.91249999999999998</v>
      </c>
      <c r="AP6" s="190">
        <v>0.91249999999999998</v>
      </c>
      <c r="AQ6" s="78" t="s">
        <v>2487</v>
      </c>
      <c r="AS6" s="143" t="s">
        <v>719</v>
      </c>
      <c r="AT6" s="143" t="s">
        <v>720</v>
      </c>
      <c r="AU6" s="143" t="s">
        <v>663</v>
      </c>
      <c r="AV6" s="143">
        <v>2527</v>
      </c>
      <c r="AW6" s="137" t="s">
        <v>2838</v>
      </c>
      <c r="AX6" s="137" t="s">
        <v>2838</v>
      </c>
      <c r="AY6" s="137" t="s">
        <v>2838</v>
      </c>
      <c r="AZ6" s="137" t="s">
        <v>2838</v>
      </c>
      <c r="BA6" s="137" t="s">
        <v>2838</v>
      </c>
      <c r="BB6" s="137" t="s">
        <v>2838</v>
      </c>
      <c r="BC6" s="137" t="s">
        <v>2838</v>
      </c>
      <c r="BD6" s="137" t="s">
        <v>2838</v>
      </c>
      <c r="BE6" s="137" t="s">
        <v>2838</v>
      </c>
      <c r="BF6" s="137" t="s">
        <v>2838</v>
      </c>
      <c r="BI6" s="137" t="s">
        <v>2486</v>
      </c>
      <c r="BJ6" s="137" t="s">
        <v>2486</v>
      </c>
      <c r="BK6" s="190" t="s">
        <v>2486</v>
      </c>
      <c r="BL6" s="190">
        <v>1</v>
      </c>
      <c r="BM6" s="78" t="s">
        <v>2486</v>
      </c>
      <c r="BO6" s="143" t="s">
        <v>719</v>
      </c>
      <c r="BP6" s="143" t="s">
        <v>720</v>
      </c>
      <c r="BQ6" s="143" t="s">
        <v>663</v>
      </c>
      <c r="BR6" s="143">
        <v>2527</v>
      </c>
      <c r="BY6" s="78" t="s">
        <v>2838</v>
      </c>
    </row>
    <row r="7" spans="1:83" x14ac:dyDescent="0.35">
      <c r="A7" s="143" t="s">
        <v>719</v>
      </c>
      <c r="B7" s="143" t="s">
        <v>720</v>
      </c>
      <c r="C7" s="143" t="s">
        <v>663</v>
      </c>
      <c r="D7" s="143">
        <v>2570</v>
      </c>
      <c r="E7" s="137">
        <v>0.18181820000000001</v>
      </c>
      <c r="F7" s="137">
        <v>0.72727269999999999</v>
      </c>
      <c r="G7" s="271">
        <v>0.90909090000000004</v>
      </c>
      <c r="H7" s="137" t="s">
        <v>2486</v>
      </c>
      <c r="I7" s="137">
        <v>0.2</v>
      </c>
      <c r="J7" s="137">
        <v>0.8</v>
      </c>
      <c r="K7" s="137">
        <v>1</v>
      </c>
      <c r="M7" s="143" t="s">
        <v>719</v>
      </c>
      <c r="N7" s="143" t="s">
        <v>720</v>
      </c>
      <c r="O7" s="143" t="s">
        <v>663</v>
      </c>
      <c r="P7" s="143">
        <v>2570</v>
      </c>
      <c r="Q7" s="137" t="s">
        <v>2487</v>
      </c>
      <c r="R7" s="137" t="s">
        <v>2486</v>
      </c>
      <c r="S7" s="137" t="s">
        <v>2487</v>
      </c>
      <c r="T7" s="137" t="s">
        <v>2487</v>
      </c>
      <c r="U7" s="137" t="s">
        <v>2487</v>
      </c>
      <c r="V7" s="137" t="s">
        <v>2487</v>
      </c>
      <c r="W7" s="137" t="s">
        <v>2486</v>
      </c>
      <c r="X7" s="137" t="s">
        <v>2486</v>
      </c>
      <c r="Y7" s="137" t="s">
        <v>2486</v>
      </c>
      <c r="Z7" s="137" t="s">
        <v>2487</v>
      </c>
      <c r="AA7" s="137" t="s">
        <v>2486</v>
      </c>
      <c r="AB7" s="137">
        <v>0.45454549999999999</v>
      </c>
      <c r="AD7" s="143" t="s">
        <v>719</v>
      </c>
      <c r="AE7" s="143" t="s">
        <v>720</v>
      </c>
      <c r="AF7" s="143" t="s">
        <v>663</v>
      </c>
      <c r="AG7" s="143">
        <v>2570</v>
      </c>
      <c r="AO7" s="190">
        <v>0.88749999999999996</v>
      </c>
      <c r="AP7" s="190">
        <v>0.88749999999999996</v>
      </c>
      <c r="AQ7" s="78" t="s">
        <v>2487</v>
      </c>
      <c r="AS7" s="143" t="s">
        <v>719</v>
      </c>
      <c r="AT7" s="143" t="s">
        <v>720</v>
      </c>
      <c r="AU7" s="143" t="s">
        <v>663</v>
      </c>
      <c r="AV7" s="143">
        <v>2570</v>
      </c>
      <c r="AW7" s="137" t="s">
        <v>2838</v>
      </c>
      <c r="AX7" s="137" t="s">
        <v>2838</v>
      </c>
      <c r="AY7" s="137" t="s">
        <v>2838</v>
      </c>
      <c r="AZ7" s="137" t="s">
        <v>2838</v>
      </c>
      <c r="BA7" s="137" t="s">
        <v>2838</v>
      </c>
      <c r="BB7" s="137" t="s">
        <v>2838</v>
      </c>
      <c r="BC7" s="137" t="s">
        <v>2838</v>
      </c>
      <c r="BD7" s="137" t="s">
        <v>2838</v>
      </c>
      <c r="BE7" s="137" t="s">
        <v>2838</v>
      </c>
      <c r="BF7" s="137" t="s">
        <v>2838</v>
      </c>
      <c r="BI7" s="137" t="s">
        <v>2486</v>
      </c>
      <c r="BJ7" s="137" t="s">
        <v>2486</v>
      </c>
      <c r="BK7" s="190" t="s">
        <v>2487</v>
      </c>
      <c r="BL7" s="190">
        <v>0.66666669999999995</v>
      </c>
      <c r="BM7" s="78" t="s">
        <v>2487</v>
      </c>
      <c r="BO7" s="143" t="s">
        <v>719</v>
      </c>
      <c r="BP7" s="143" t="s">
        <v>720</v>
      </c>
      <c r="BQ7" s="143" t="s">
        <v>663</v>
      </c>
      <c r="BR7" s="143">
        <v>2570</v>
      </c>
      <c r="BY7" s="78" t="s">
        <v>2838</v>
      </c>
    </row>
    <row r="8" spans="1:83" x14ac:dyDescent="0.35">
      <c r="A8" s="143" t="s">
        <v>719</v>
      </c>
      <c r="B8" s="143" t="s">
        <v>720</v>
      </c>
      <c r="C8" s="143" t="s">
        <v>663</v>
      </c>
      <c r="D8" s="143">
        <v>2584</v>
      </c>
      <c r="E8" s="137">
        <v>0.18181820000000001</v>
      </c>
      <c r="F8" s="137">
        <v>0.8</v>
      </c>
      <c r="G8" s="271">
        <v>0.98181819999999997</v>
      </c>
      <c r="H8" s="137" t="s">
        <v>2486</v>
      </c>
      <c r="I8" s="137">
        <v>0.2</v>
      </c>
      <c r="J8" s="137">
        <v>0.73333329999999997</v>
      </c>
      <c r="K8" s="137">
        <v>0.93333330000000003</v>
      </c>
      <c r="M8" s="143" t="s">
        <v>719</v>
      </c>
      <c r="N8" s="143" t="s">
        <v>720</v>
      </c>
      <c r="O8" s="143" t="s">
        <v>663</v>
      </c>
      <c r="P8" s="143">
        <v>2584</v>
      </c>
      <c r="Q8" s="137" t="s">
        <v>2487</v>
      </c>
      <c r="R8" s="137" t="s">
        <v>2487</v>
      </c>
      <c r="S8" s="137" t="s">
        <v>2486</v>
      </c>
      <c r="T8" s="137" t="s">
        <v>2486</v>
      </c>
      <c r="U8" s="137" t="s">
        <v>2487</v>
      </c>
      <c r="V8" s="137" t="s">
        <v>2487</v>
      </c>
      <c r="W8" s="137" t="s">
        <v>2487</v>
      </c>
      <c r="X8" s="137" t="s">
        <v>2486</v>
      </c>
      <c r="Y8" s="137" t="s">
        <v>2486</v>
      </c>
      <c r="Z8" s="137" t="s">
        <v>2486</v>
      </c>
      <c r="AA8" s="137" t="s">
        <v>2486</v>
      </c>
      <c r="AB8" s="137">
        <v>0.54545460000000001</v>
      </c>
      <c r="AD8" s="143" t="s">
        <v>719</v>
      </c>
      <c r="AE8" s="143" t="s">
        <v>720</v>
      </c>
      <c r="AF8" s="143" t="s">
        <v>663</v>
      </c>
      <c r="AG8" s="143">
        <v>2584</v>
      </c>
      <c r="AO8" s="190">
        <v>0.77500000000000002</v>
      </c>
      <c r="AP8" s="190">
        <v>0.77500000000000002</v>
      </c>
      <c r="AQ8" s="78" t="s">
        <v>2487</v>
      </c>
      <c r="AS8" s="143" t="s">
        <v>719</v>
      </c>
      <c r="AT8" s="143" t="s">
        <v>720</v>
      </c>
      <c r="AU8" s="143" t="s">
        <v>663</v>
      </c>
      <c r="AV8" s="143">
        <v>2584</v>
      </c>
      <c r="AW8" s="137" t="s">
        <v>2838</v>
      </c>
      <c r="AX8" s="137" t="s">
        <v>2838</v>
      </c>
      <c r="AY8" s="137" t="s">
        <v>2838</v>
      </c>
      <c r="AZ8" s="137" t="s">
        <v>2838</v>
      </c>
      <c r="BA8" s="137" t="s">
        <v>2838</v>
      </c>
      <c r="BB8" s="137" t="s">
        <v>2838</v>
      </c>
      <c r="BC8" s="137" t="s">
        <v>2838</v>
      </c>
      <c r="BD8" s="137" t="s">
        <v>2838</v>
      </c>
      <c r="BE8" s="137" t="s">
        <v>2838</v>
      </c>
      <c r="BF8" s="137" t="s">
        <v>2838</v>
      </c>
      <c r="BI8" s="137" t="s">
        <v>2486</v>
      </c>
      <c r="BJ8" s="137" t="s">
        <v>2486</v>
      </c>
      <c r="BK8" s="190" t="s">
        <v>2487</v>
      </c>
      <c r="BL8" s="190">
        <v>0.66666669999999995</v>
      </c>
      <c r="BM8" s="78" t="s">
        <v>2487</v>
      </c>
      <c r="BO8" s="143" t="s">
        <v>719</v>
      </c>
      <c r="BP8" s="143" t="s">
        <v>720</v>
      </c>
      <c r="BQ8" s="143" t="s">
        <v>663</v>
      </c>
      <c r="BR8" s="143">
        <v>2584</v>
      </c>
      <c r="BY8" s="78" t="s">
        <v>2838</v>
      </c>
    </row>
    <row r="9" spans="1:83" x14ac:dyDescent="0.35">
      <c r="A9" s="143" t="s">
        <v>719</v>
      </c>
      <c r="B9" s="143" t="s">
        <v>720</v>
      </c>
      <c r="C9" s="143" t="s">
        <v>663</v>
      </c>
      <c r="D9" s="143">
        <v>2880</v>
      </c>
      <c r="E9" s="137">
        <v>0.18181820000000001</v>
      </c>
      <c r="F9" s="137">
        <v>0.8</v>
      </c>
      <c r="G9" s="271">
        <v>0.98181819999999997</v>
      </c>
      <c r="H9" s="137" t="s">
        <v>2486</v>
      </c>
      <c r="I9" s="137">
        <v>0.2</v>
      </c>
      <c r="J9" s="137">
        <v>0.76554310000000003</v>
      </c>
      <c r="K9" s="137">
        <v>0.96554309999999999</v>
      </c>
      <c r="M9" s="143" t="s">
        <v>719</v>
      </c>
      <c r="N9" s="143" t="s">
        <v>720</v>
      </c>
      <c r="O9" s="143" t="s">
        <v>663</v>
      </c>
      <c r="P9" s="143">
        <v>2880</v>
      </c>
      <c r="Q9" s="137" t="s">
        <v>2487</v>
      </c>
      <c r="R9" s="137" t="s">
        <v>2486</v>
      </c>
      <c r="S9" s="137" t="s">
        <v>2486</v>
      </c>
      <c r="T9" s="137" t="s">
        <v>2486</v>
      </c>
      <c r="U9" s="137" t="s">
        <v>2487</v>
      </c>
      <c r="V9" s="137" t="s">
        <v>2487</v>
      </c>
      <c r="W9" s="137" t="s">
        <v>2486</v>
      </c>
      <c r="X9" s="137" t="s">
        <v>2486</v>
      </c>
      <c r="Y9" s="137" t="s">
        <v>2486</v>
      </c>
      <c r="Z9" s="137" t="s">
        <v>2487</v>
      </c>
      <c r="AA9" s="137" t="s">
        <v>2486</v>
      </c>
      <c r="AB9" s="137">
        <v>0.63636360000000003</v>
      </c>
      <c r="AD9" s="143" t="s">
        <v>719</v>
      </c>
      <c r="AE9" s="143" t="s">
        <v>720</v>
      </c>
      <c r="AF9" s="143" t="s">
        <v>663</v>
      </c>
      <c r="AG9" s="143">
        <v>2880</v>
      </c>
      <c r="AO9" s="190">
        <v>0.72499999999999998</v>
      </c>
      <c r="AP9" s="190">
        <v>0.72499999999999998</v>
      </c>
      <c r="AQ9" s="78" t="s">
        <v>2487</v>
      </c>
      <c r="AS9" s="143" t="s">
        <v>719</v>
      </c>
      <c r="AT9" s="143" t="s">
        <v>720</v>
      </c>
      <c r="AU9" s="143" t="s">
        <v>663</v>
      </c>
      <c r="AV9" s="143">
        <v>2880</v>
      </c>
      <c r="AW9" s="137" t="s">
        <v>2838</v>
      </c>
      <c r="AX9" s="137" t="s">
        <v>2838</v>
      </c>
      <c r="AY9" s="137" t="s">
        <v>2838</v>
      </c>
      <c r="AZ9" s="137" t="s">
        <v>2838</v>
      </c>
      <c r="BA9" s="137" t="s">
        <v>2838</v>
      </c>
      <c r="BB9" s="137" t="s">
        <v>2838</v>
      </c>
      <c r="BC9" s="137" t="s">
        <v>2838</v>
      </c>
      <c r="BD9" s="137" t="s">
        <v>2838</v>
      </c>
      <c r="BE9" s="137" t="s">
        <v>2838</v>
      </c>
      <c r="BF9" s="137" t="s">
        <v>2838</v>
      </c>
      <c r="BI9" s="137" t="s">
        <v>2486</v>
      </c>
      <c r="BJ9" s="137" t="s">
        <v>2486</v>
      </c>
      <c r="BK9" s="190" t="s">
        <v>2486</v>
      </c>
      <c r="BL9" s="190">
        <v>1</v>
      </c>
      <c r="BM9" s="78" t="s">
        <v>2486</v>
      </c>
      <c r="BO9" s="143" t="s">
        <v>719</v>
      </c>
      <c r="BP9" s="143" t="s">
        <v>720</v>
      </c>
      <c r="BQ9" s="143" t="s">
        <v>663</v>
      </c>
      <c r="BR9" s="143">
        <v>2880</v>
      </c>
      <c r="BY9" s="78" t="s">
        <v>2838</v>
      </c>
    </row>
    <row r="10" spans="1:83" x14ac:dyDescent="0.35">
      <c r="A10" s="143" t="s">
        <v>719</v>
      </c>
      <c r="B10" s="143" t="s">
        <v>720</v>
      </c>
      <c r="C10" s="143" t="s">
        <v>663</v>
      </c>
      <c r="D10" s="143">
        <v>4263</v>
      </c>
      <c r="E10" s="137">
        <v>0.12727269999999999</v>
      </c>
      <c r="F10" s="137">
        <v>0.49928499999999998</v>
      </c>
      <c r="G10" s="271">
        <v>0.6265577</v>
      </c>
      <c r="H10" s="137" t="s">
        <v>2487</v>
      </c>
      <c r="I10" s="137">
        <v>0.2</v>
      </c>
      <c r="J10" s="137">
        <v>0.68389509999999998</v>
      </c>
      <c r="K10" s="137">
        <v>0.88389519999999999</v>
      </c>
      <c r="M10" s="143" t="s">
        <v>719</v>
      </c>
      <c r="N10" s="143" t="s">
        <v>720</v>
      </c>
      <c r="O10" s="143" t="s">
        <v>663</v>
      </c>
      <c r="P10" s="143">
        <v>4263</v>
      </c>
      <c r="Q10" s="137" t="s">
        <v>2487</v>
      </c>
      <c r="R10" s="137" t="s">
        <v>2486</v>
      </c>
      <c r="S10" s="137" t="s">
        <v>2486</v>
      </c>
      <c r="T10" s="137" t="s">
        <v>2486</v>
      </c>
      <c r="U10" s="137" t="s">
        <v>2487</v>
      </c>
      <c r="V10" s="137" t="s">
        <v>2487</v>
      </c>
      <c r="W10" s="137" t="s">
        <v>2486</v>
      </c>
      <c r="X10" s="137" t="s">
        <v>2486</v>
      </c>
      <c r="Y10" s="137" t="s">
        <v>2486</v>
      </c>
      <c r="Z10" s="137" t="s">
        <v>2486</v>
      </c>
      <c r="AA10" s="137" t="s">
        <v>2486</v>
      </c>
      <c r="AB10" s="137">
        <v>0.72727269999999999</v>
      </c>
      <c r="AD10" s="143" t="s">
        <v>719</v>
      </c>
      <c r="AE10" s="143" t="s">
        <v>720</v>
      </c>
      <c r="AF10" s="143" t="s">
        <v>663</v>
      </c>
      <c r="AG10" s="143">
        <v>4263</v>
      </c>
      <c r="AO10" s="190">
        <v>0.88749999999999996</v>
      </c>
      <c r="AP10" s="190">
        <v>0.88749999999999996</v>
      </c>
      <c r="AQ10" s="78" t="s">
        <v>2487</v>
      </c>
      <c r="AS10" s="143" t="s">
        <v>719</v>
      </c>
      <c r="AT10" s="143" t="s">
        <v>720</v>
      </c>
      <c r="AU10" s="143" t="s">
        <v>663</v>
      </c>
      <c r="AV10" s="143">
        <v>4263</v>
      </c>
      <c r="AW10" s="137" t="s">
        <v>2838</v>
      </c>
      <c r="AX10" s="137" t="s">
        <v>2838</v>
      </c>
      <c r="AY10" s="137" t="s">
        <v>2838</v>
      </c>
      <c r="AZ10" s="137" t="s">
        <v>2838</v>
      </c>
      <c r="BA10" s="137" t="s">
        <v>2838</v>
      </c>
      <c r="BB10" s="137" t="s">
        <v>2838</v>
      </c>
      <c r="BC10" s="137" t="s">
        <v>2838</v>
      </c>
      <c r="BD10" s="137" t="s">
        <v>2838</v>
      </c>
      <c r="BE10" s="137" t="s">
        <v>2838</v>
      </c>
      <c r="BF10" s="137" t="s">
        <v>2838</v>
      </c>
      <c r="BI10" s="137" t="s">
        <v>2486</v>
      </c>
      <c r="BJ10" s="137" t="s">
        <v>2487</v>
      </c>
      <c r="BK10" s="190" t="s">
        <v>2486</v>
      </c>
      <c r="BL10" s="190">
        <v>0.66666669999999995</v>
      </c>
      <c r="BM10" s="78" t="s">
        <v>2487</v>
      </c>
      <c r="BO10" s="143" t="s">
        <v>719</v>
      </c>
      <c r="BP10" s="143" t="s">
        <v>720</v>
      </c>
      <c r="BQ10" s="143" t="s">
        <v>663</v>
      </c>
      <c r="BR10" s="143">
        <v>4263</v>
      </c>
      <c r="BY10" s="78" t="s">
        <v>2838</v>
      </c>
    </row>
    <row r="11" spans="1:83" x14ac:dyDescent="0.35">
      <c r="A11" s="143" t="s">
        <v>719</v>
      </c>
      <c r="B11" s="143" t="s">
        <v>720</v>
      </c>
      <c r="C11" s="143" t="s">
        <v>663</v>
      </c>
      <c r="D11" s="143">
        <v>4265</v>
      </c>
      <c r="E11" s="137">
        <v>0.16363639999999999</v>
      </c>
      <c r="F11" s="137">
        <v>0.63656800000000002</v>
      </c>
      <c r="G11" s="271">
        <v>0.80020429999999998</v>
      </c>
      <c r="H11" s="137" t="s">
        <v>2487</v>
      </c>
      <c r="I11" s="137">
        <v>0.1833333</v>
      </c>
      <c r="J11" s="137">
        <v>0.73333329999999997</v>
      </c>
      <c r="K11" s="137">
        <v>0.91666669999999995</v>
      </c>
      <c r="M11" s="143" t="s">
        <v>719</v>
      </c>
      <c r="N11" s="143" t="s">
        <v>720</v>
      </c>
      <c r="O11" s="143" t="s">
        <v>663</v>
      </c>
      <c r="P11" s="143">
        <v>4265</v>
      </c>
      <c r="Q11" s="137" t="s">
        <v>2487</v>
      </c>
      <c r="R11" s="137" t="s">
        <v>2487</v>
      </c>
      <c r="S11" s="137" t="s">
        <v>2486</v>
      </c>
      <c r="T11" s="137" t="s">
        <v>2487</v>
      </c>
      <c r="U11" s="137" t="s">
        <v>2487</v>
      </c>
      <c r="V11" s="137" t="s">
        <v>2487</v>
      </c>
      <c r="W11" s="137" t="s">
        <v>2486</v>
      </c>
      <c r="X11" s="137" t="s">
        <v>2486</v>
      </c>
      <c r="Y11" s="137" t="s">
        <v>2486</v>
      </c>
      <c r="Z11" s="137" t="s">
        <v>2487</v>
      </c>
      <c r="AA11" s="137" t="s">
        <v>2486</v>
      </c>
      <c r="AB11" s="137">
        <v>0.45454549999999999</v>
      </c>
      <c r="AD11" s="143" t="s">
        <v>719</v>
      </c>
      <c r="AE11" s="143" t="s">
        <v>720</v>
      </c>
      <c r="AF11" s="143" t="s">
        <v>663</v>
      </c>
      <c r="AG11" s="143">
        <v>4265</v>
      </c>
      <c r="AO11" s="190">
        <v>0.82499999999999996</v>
      </c>
      <c r="AP11" s="190">
        <v>0.82499999999999996</v>
      </c>
      <c r="AQ11" s="78" t="s">
        <v>2487</v>
      </c>
      <c r="AS11" s="143" t="s">
        <v>719</v>
      </c>
      <c r="AT11" s="143" t="s">
        <v>720</v>
      </c>
      <c r="AU11" s="143" t="s">
        <v>663</v>
      </c>
      <c r="AV11" s="143">
        <v>4265</v>
      </c>
      <c r="AW11" s="137" t="s">
        <v>2838</v>
      </c>
      <c r="AX11" s="137" t="s">
        <v>2838</v>
      </c>
      <c r="AY11" s="137" t="s">
        <v>2838</v>
      </c>
      <c r="AZ11" s="137" t="s">
        <v>2838</v>
      </c>
      <c r="BA11" s="137" t="s">
        <v>2838</v>
      </c>
      <c r="BB11" s="137" t="s">
        <v>2838</v>
      </c>
      <c r="BC11" s="137" t="s">
        <v>2838</v>
      </c>
      <c r="BD11" s="137" t="s">
        <v>2838</v>
      </c>
      <c r="BE11" s="137" t="s">
        <v>2838</v>
      </c>
      <c r="BF11" s="137" t="s">
        <v>2838</v>
      </c>
      <c r="BI11" s="137" t="s">
        <v>2486</v>
      </c>
      <c r="BJ11" s="137" t="s">
        <v>2487</v>
      </c>
      <c r="BK11" s="190" t="s">
        <v>2487</v>
      </c>
      <c r="BL11" s="190">
        <v>0.3333333</v>
      </c>
      <c r="BM11" s="78" t="s">
        <v>2487</v>
      </c>
      <c r="BO11" s="143" t="s">
        <v>719</v>
      </c>
      <c r="BP11" s="143" t="s">
        <v>720</v>
      </c>
      <c r="BQ11" s="143" t="s">
        <v>663</v>
      </c>
      <c r="BR11" s="143">
        <v>4265</v>
      </c>
      <c r="BY11" s="78" t="s">
        <v>2838</v>
      </c>
    </row>
    <row r="12" spans="1:83" x14ac:dyDescent="0.35">
      <c r="A12" s="143" t="s">
        <v>719</v>
      </c>
      <c r="B12" s="143" t="s">
        <v>720</v>
      </c>
      <c r="C12" s="143" t="s">
        <v>663</v>
      </c>
      <c r="D12" s="143">
        <v>4283</v>
      </c>
      <c r="E12" s="137">
        <v>0.1090909</v>
      </c>
      <c r="F12" s="137">
        <v>0.67415729999999996</v>
      </c>
      <c r="G12" s="271">
        <v>0.78324819999999995</v>
      </c>
      <c r="H12" s="137" t="s">
        <v>2487</v>
      </c>
      <c r="I12" s="137">
        <v>0.15</v>
      </c>
      <c r="J12" s="137">
        <v>0.66666669999999995</v>
      </c>
      <c r="K12" s="137">
        <v>0.81666669999999997</v>
      </c>
      <c r="M12" s="143" t="s">
        <v>719</v>
      </c>
      <c r="N12" s="143" t="s">
        <v>720</v>
      </c>
      <c r="O12" s="143" t="s">
        <v>663</v>
      </c>
      <c r="P12" s="143">
        <v>4283</v>
      </c>
      <c r="Q12" s="137" t="s">
        <v>2486</v>
      </c>
      <c r="R12" s="137" t="s">
        <v>2487</v>
      </c>
      <c r="S12" s="137" t="s">
        <v>2486</v>
      </c>
      <c r="T12" s="137" t="s">
        <v>2486</v>
      </c>
      <c r="U12" s="137" t="s">
        <v>2487</v>
      </c>
      <c r="V12" s="137" t="s">
        <v>2487</v>
      </c>
      <c r="W12" s="137" t="s">
        <v>2486</v>
      </c>
      <c r="X12" s="137" t="s">
        <v>2486</v>
      </c>
      <c r="Y12" s="137" t="s">
        <v>2486</v>
      </c>
      <c r="Z12" s="137" t="s">
        <v>2486</v>
      </c>
      <c r="AA12" s="137" t="s">
        <v>2486</v>
      </c>
      <c r="AB12" s="137">
        <v>0.72727269999999999</v>
      </c>
      <c r="AD12" s="143" t="s">
        <v>719</v>
      </c>
      <c r="AE12" s="143" t="s">
        <v>720</v>
      </c>
      <c r="AF12" s="143" t="s">
        <v>663</v>
      </c>
      <c r="AG12" s="143">
        <v>4283</v>
      </c>
      <c r="AO12" s="190">
        <v>0.82499999999999996</v>
      </c>
      <c r="AP12" s="190">
        <v>0.82499999999999996</v>
      </c>
      <c r="AQ12" s="78" t="s">
        <v>2487</v>
      </c>
      <c r="AS12" s="143" t="s">
        <v>719</v>
      </c>
      <c r="AT12" s="143" t="s">
        <v>720</v>
      </c>
      <c r="AU12" s="143" t="s">
        <v>663</v>
      </c>
      <c r="AV12" s="143">
        <v>4283</v>
      </c>
      <c r="AW12" s="137" t="s">
        <v>2838</v>
      </c>
      <c r="AX12" s="137" t="s">
        <v>2838</v>
      </c>
      <c r="AY12" s="137" t="s">
        <v>2838</v>
      </c>
      <c r="AZ12" s="137" t="s">
        <v>2838</v>
      </c>
      <c r="BA12" s="137" t="s">
        <v>2838</v>
      </c>
      <c r="BB12" s="137" t="s">
        <v>2838</v>
      </c>
      <c r="BC12" s="137" t="s">
        <v>2838</v>
      </c>
      <c r="BD12" s="137" t="s">
        <v>2838</v>
      </c>
      <c r="BE12" s="137" t="s">
        <v>2838</v>
      </c>
      <c r="BF12" s="137" t="s">
        <v>2838</v>
      </c>
      <c r="BI12" s="137" t="s">
        <v>2486</v>
      </c>
      <c r="BJ12" s="137" t="s">
        <v>2486</v>
      </c>
      <c r="BK12" s="190" t="s">
        <v>2486</v>
      </c>
      <c r="BL12" s="190">
        <v>1</v>
      </c>
      <c r="BM12" s="78" t="s">
        <v>2486</v>
      </c>
      <c r="BO12" s="143" t="s">
        <v>719</v>
      </c>
      <c r="BP12" s="143" t="s">
        <v>720</v>
      </c>
      <c r="BQ12" s="143" t="s">
        <v>663</v>
      </c>
      <c r="BR12" s="143">
        <v>4283</v>
      </c>
      <c r="BY12" s="78" t="s">
        <v>2838</v>
      </c>
    </row>
    <row r="13" spans="1:83" x14ac:dyDescent="0.35">
      <c r="A13" s="143" t="s">
        <v>719</v>
      </c>
      <c r="B13" s="143" t="s">
        <v>720</v>
      </c>
      <c r="C13" s="143" t="s">
        <v>663</v>
      </c>
      <c r="D13" s="143">
        <v>4287</v>
      </c>
      <c r="E13" s="137">
        <v>0.2</v>
      </c>
      <c r="F13" s="137">
        <v>0.72645559999999998</v>
      </c>
      <c r="G13" s="271">
        <v>0.92645560000000005</v>
      </c>
      <c r="H13" s="137" t="s">
        <v>2486</v>
      </c>
      <c r="I13" s="137">
        <v>0.2</v>
      </c>
      <c r="J13" s="137">
        <v>0.8</v>
      </c>
      <c r="K13" s="137">
        <v>1</v>
      </c>
      <c r="M13" s="143" t="s">
        <v>719</v>
      </c>
      <c r="N13" s="143" t="s">
        <v>720</v>
      </c>
      <c r="O13" s="143" t="s">
        <v>663</v>
      </c>
      <c r="P13" s="143">
        <v>4287</v>
      </c>
      <c r="Q13" s="137" t="s">
        <v>2486</v>
      </c>
      <c r="R13" s="137" t="s">
        <v>2486</v>
      </c>
      <c r="S13" s="137" t="s">
        <v>2486</v>
      </c>
      <c r="T13" s="137" t="s">
        <v>2487</v>
      </c>
      <c r="U13" s="137" t="s">
        <v>2487</v>
      </c>
      <c r="V13" s="137" t="s">
        <v>2487</v>
      </c>
      <c r="W13" s="137" t="s">
        <v>2486</v>
      </c>
      <c r="X13" s="137" t="s">
        <v>2486</v>
      </c>
      <c r="Y13" s="137" t="s">
        <v>2486</v>
      </c>
      <c r="Z13" s="137" t="s">
        <v>2486</v>
      </c>
      <c r="AA13" s="137" t="s">
        <v>2486</v>
      </c>
      <c r="AB13" s="137">
        <v>0.72727269999999999</v>
      </c>
      <c r="AD13" s="143" t="s">
        <v>719</v>
      </c>
      <c r="AE13" s="143" t="s">
        <v>720</v>
      </c>
      <c r="AF13" s="143" t="s">
        <v>663</v>
      </c>
      <c r="AG13" s="143">
        <v>4287</v>
      </c>
      <c r="AO13" s="190">
        <v>0.95</v>
      </c>
      <c r="AP13" s="190">
        <v>0.95</v>
      </c>
      <c r="AQ13" s="78" t="s">
        <v>2487</v>
      </c>
      <c r="AS13" s="143" t="s">
        <v>719</v>
      </c>
      <c r="AT13" s="143" t="s">
        <v>720</v>
      </c>
      <c r="AU13" s="143" t="s">
        <v>663</v>
      </c>
      <c r="AV13" s="143">
        <v>4287</v>
      </c>
      <c r="AW13" s="137" t="s">
        <v>2838</v>
      </c>
      <c r="AX13" s="137" t="s">
        <v>2838</v>
      </c>
      <c r="AY13" s="137" t="s">
        <v>2838</v>
      </c>
      <c r="AZ13" s="137" t="s">
        <v>2838</v>
      </c>
      <c r="BA13" s="137" t="s">
        <v>2838</v>
      </c>
      <c r="BB13" s="137" t="s">
        <v>2838</v>
      </c>
      <c r="BC13" s="137" t="s">
        <v>2838</v>
      </c>
      <c r="BD13" s="137" t="s">
        <v>2838</v>
      </c>
      <c r="BE13" s="137" t="s">
        <v>2838</v>
      </c>
      <c r="BF13" s="137" t="s">
        <v>2838</v>
      </c>
      <c r="BI13" s="137" t="s">
        <v>2486</v>
      </c>
      <c r="BJ13" s="137" t="s">
        <v>2486</v>
      </c>
      <c r="BK13" s="190" t="s">
        <v>2486</v>
      </c>
      <c r="BL13" s="190">
        <v>1</v>
      </c>
      <c r="BM13" s="78" t="s">
        <v>2486</v>
      </c>
      <c r="BO13" s="143" t="s">
        <v>719</v>
      </c>
      <c r="BP13" s="143" t="s">
        <v>720</v>
      </c>
      <c r="BQ13" s="143" t="s">
        <v>663</v>
      </c>
      <c r="BR13" s="143">
        <v>4287</v>
      </c>
      <c r="BY13" s="78" t="s">
        <v>2838</v>
      </c>
    </row>
    <row r="14" spans="1:83" x14ac:dyDescent="0.35">
      <c r="A14" s="143" t="s">
        <v>719</v>
      </c>
      <c r="B14" s="143" t="s">
        <v>720</v>
      </c>
      <c r="C14" s="143" t="s">
        <v>663</v>
      </c>
      <c r="D14" s="143">
        <v>4289</v>
      </c>
      <c r="E14" s="137">
        <v>0.18181820000000001</v>
      </c>
      <c r="F14" s="137">
        <v>0.71910110000000005</v>
      </c>
      <c r="G14" s="271">
        <v>0.90091929999999998</v>
      </c>
      <c r="H14" s="137" t="s">
        <v>2486</v>
      </c>
      <c r="I14" s="137">
        <v>0.1833333</v>
      </c>
      <c r="J14" s="137">
        <v>0.71685390000000004</v>
      </c>
      <c r="K14" s="137">
        <v>0.90018730000000002</v>
      </c>
      <c r="M14" s="143" t="s">
        <v>719</v>
      </c>
      <c r="N14" s="143" t="s">
        <v>720</v>
      </c>
      <c r="O14" s="143" t="s">
        <v>663</v>
      </c>
      <c r="P14" s="143">
        <v>4289</v>
      </c>
      <c r="Q14" s="137" t="s">
        <v>2487</v>
      </c>
      <c r="R14" s="137" t="s">
        <v>2487</v>
      </c>
      <c r="S14" s="137" t="s">
        <v>2486</v>
      </c>
      <c r="T14" s="137" t="s">
        <v>2486</v>
      </c>
      <c r="U14" s="137" t="s">
        <v>2487</v>
      </c>
      <c r="V14" s="137" t="s">
        <v>2487</v>
      </c>
      <c r="W14" s="137" t="s">
        <v>2487</v>
      </c>
      <c r="X14" s="137" t="s">
        <v>2486</v>
      </c>
      <c r="Y14" s="137" t="s">
        <v>2486</v>
      </c>
      <c r="Z14" s="137" t="s">
        <v>2486</v>
      </c>
      <c r="AA14" s="137" t="s">
        <v>2486</v>
      </c>
      <c r="AB14" s="137">
        <v>0.54545460000000001</v>
      </c>
      <c r="AD14" s="143" t="s">
        <v>719</v>
      </c>
      <c r="AE14" s="143" t="s">
        <v>720</v>
      </c>
      <c r="AF14" s="143" t="s">
        <v>663</v>
      </c>
      <c r="AG14" s="143">
        <v>4289</v>
      </c>
      <c r="AO14" s="190">
        <v>0.875</v>
      </c>
      <c r="AP14" s="190">
        <v>0.875</v>
      </c>
      <c r="AQ14" s="78" t="s">
        <v>2487</v>
      </c>
      <c r="AS14" s="143" t="s">
        <v>719</v>
      </c>
      <c r="AT14" s="143" t="s">
        <v>720</v>
      </c>
      <c r="AU14" s="143" t="s">
        <v>663</v>
      </c>
      <c r="AV14" s="143">
        <v>4289</v>
      </c>
      <c r="AW14" s="137" t="s">
        <v>2838</v>
      </c>
      <c r="AX14" s="137" t="s">
        <v>2838</v>
      </c>
      <c r="AY14" s="137" t="s">
        <v>2838</v>
      </c>
      <c r="AZ14" s="137" t="s">
        <v>2838</v>
      </c>
      <c r="BA14" s="137" t="s">
        <v>2838</v>
      </c>
      <c r="BB14" s="137" t="s">
        <v>2838</v>
      </c>
      <c r="BC14" s="137" t="s">
        <v>2838</v>
      </c>
      <c r="BD14" s="137" t="s">
        <v>2838</v>
      </c>
      <c r="BE14" s="137" t="s">
        <v>2838</v>
      </c>
      <c r="BF14" s="137" t="s">
        <v>2838</v>
      </c>
      <c r="BI14" s="137" t="s">
        <v>2486</v>
      </c>
      <c r="BJ14" s="137" t="s">
        <v>2486</v>
      </c>
      <c r="BK14" s="190" t="s">
        <v>2486</v>
      </c>
      <c r="BL14" s="190">
        <v>1</v>
      </c>
      <c r="BM14" s="78" t="s">
        <v>2486</v>
      </c>
      <c r="BO14" s="143" t="s">
        <v>719</v>
      </c>
      <c r="BP14" s="143" t="s">
        <v>720</v>
      </c>
      <c r="BQ14" s="143" t="s">
        <v>663</v>
      </c>
      <c r="BR14" s="143">
        <v>4289</v>
      </c>
      <c r="BY14" s="78" t="s">
        <v>2838</v>
      </c>
    </row>
    <row r="15" spans="1:83" x14ac:dyDescent="0.35">
      <c r="A15" s="143" t="s">
        <v>2839</v>
      </c>
      <c r="B15" s="143" t="s">
        <v>759</v>
      </c>
      <c r="C15" s="143" t="s">
        <v>2452</v>
      </c>
      <c r="D15" s="143">
        <v>612</v>
      </c>
      <c r="E15" s="137"/>
      <c r="F15" s="137">
        <v>0.65600000000000003</v>
      </c>
      <c r="G15" s="271">
        <v>0.82</v>
      </c>
      <c r="H15" s="137" t="s">
        <v>2487</v>
      </c>
      <c r="I15" s="137"/>
      <c r="J15" s="137">
        <v>0.62</v>
      </c>
      <c r="K15" s="137">
        <v>0.77500000000000002</v>
      </c>
      <c r="M15" s="143" t="s">
        <v>2839</v>
      </c>
      <c r="N15" s="143" t="s">
        <v>759</v>
      </c>
      <c r="O15" s="143" t="s">
        <v>2452</v>
      </c>
      <c r="P15" s="143">
        <v>612</v>
      </c>
      <c r="Q15" s="137" t="s">
        <v>2838</v>
      </c>
      <c r="R15" s="137" t="s">
        <v>2838</v>
      </c>
      <c r="S15" s="137" t="s">
        <v>2838</v>
      </c>
      <c r="T15" s="137" t="s">
        <v>2838</v>
      </c>
      <c r="U15" s="137" t="s">
        <v>2838</v>
      </c>
      <c r="V15" s="137" t="s">
        <v>2838</v>
      </c>
      <c r="W15" s="137" t="s">
        <v>2838</v>
      </c>
      <c r="X15" s="137" t="s">
        <v>2838</v>
      </c>
      <c r="Y15" s="137" t="s">
        <v>2838</v>
      </c>
      <c r="Z15" s="137" t="s">
        <v>2838</v>
      </c>
      <c r="AA15" s="137" t="s">
        <v>2838</v>
      </c>
      <c r="AB15" s="137">
        <v>1</v>
      </c>
      <c r="AD15" s="143" t="s">
        <v>2839</v>
      </c>
      <c r="AE15" s="143" t="s">
        <v>759</v>
      </c>
      <c r="AF15" s="143" t="s">
        <v>2452</v>
      </c>
      <c r="AG15" s="143">
        <v>612</v>
      </c>
      <c r="AQ15" s="78" t="s">
        <v>2838</v>
      </c>
      <c r="AS15" s="143" t="s">
        <v>2839</v>
      </c>
      <c r="AT15" s="143" t="s">
        <v>759</v>
      </c>
      <c r="AU15" s="143" t="s">
        <v>2452</v>
      </c>
      <c r="AV15" s="143">
        <v>612</v>
      </c>
      <c r="AW15" s="137" t="s">
        <v>2838</v>
      </c>
      <c r="AX15" s="137" t="s">
        <v>2838</v>
      </c>
      <c r="AY15" s="137" t="s">
        <v>2838</v>
      </c>
      <c r="AZ15" s="137" t="s">
        <v>2838</v>
      </c>
      <c r="BA15" s="137" t="s">
        <v>2838</v>
      </c>
      <c r="BB15" s="137" t="s">
        <v>2838</v>
      </c>
      <c r="BC15" s="137" t="s">
        <v>2838</v>
      </c>
      <c r="BD15" s="137" t="s">
        <v>2838</v>
      </c>
      <c r="BE15" s="137" t="s">
        <v>2838</v>
      </c>
      <c r="BF15" s="137" t="s">
        <v>2838</v>
      </c>
      <c r="BI15" s="137" t="s">
        <v>2838</v>
      </c>
      <c r="BJ15" s="137" t="s">
        <v>2838</v>
      </c>
      <c r="BK15" s="190" t="s">
        <v>2838</v>
      </c>
      <c r="BM15" s="78" t="s">
        <v>2838</v>
      </c>
      <c r="BO15" s="143" t="s">
        <v>2839</v>
      </c>
      <c r="BP15" s="143" t="s">
        <v>759</v>
      </c>
      <c r="BQ15" s="143" t="s">
        <v>2452</v>
      </c>
      <c r="BR15" s="143">
        <v>612</v>
      </c>
      <c r="BY15" s="78" t="s">
        <v>2838</v>
      </c>
    </row>
    <row r="16" spans="1:83" x14ac:dyDescent="0.35">
      <c r="A16" s="143" t="s">
        <v>2839</v>
      </c>
      <c r="B16" s="143" t="s">
        <v>759</v>
      </c>
      <c r="C16" s="143" t="s">
        <v>663</v>
      </c>
      <c r="D16" s="143">
        <v>2359</v>
      </c>
      <c r="E16" s="137"/>
      <c r="F16" s="137">
        <v>0.50909090000000001</v>
      </c>
      <c r="G16" s="271">
        <v>0.63636360000000003</v>
      </c>
      <c r="H16" s="137" t="s">
        <v>2487</v>
      </c>
      <c r="I16" s="137"/>
      <c r="J16" s="137">
        <v>0.24</v>
      </c>
      <c r="K16" s="137">
        <v>0.3</v>
      </c>
      <c r="M16" s="143" t="s">
        <v>2839</v>
      </c>
      <c r="N16" s="143" t="s">
        <v>759</v>
      </c>
      <c r="O16" s="143" t="s">
        <v>663</v>
      </c>
      <c r="P16" s="143">
        <v>2359</v>
      </c>
      <c r="Q16" s="137" t="s">
        <v>2838</v>
      </c>
      <c r="R16" s="137" t="s">
        <v>2838</v>
      </c>
      <c r="S16" s="137" t="s">
        <v>2838</v>
      </c>
      <c r="T16" s="137" t="s">
        <v>2838</v>
      </c>
      <c r="U16" s="137" t="s">
        <v>2838</v>
      </c>
      <c r="V16" s="137" t="s">
        <v>2838</v>
      </c>
      <c r="W16" s="137" t="s">
        <v>2838</v>
      </c>
      <c r="X16" s="137" t="s">
        <v>2838</v>
      </c>
      <c r="Y16" s="137" t="s">
        <v>2838</v>
      </c>
      <c r="Z16" s="137" t="s">
        <v>2838</v>
      </c>
      <c r="AA16" s="137" t="s">
        <v>2838</v>
      </c>
      <c r="AB16" s="137">
        <v>0.45454549999999999</v>
      </c>
      <c r="AD16" s="143" t="s">
        <v>2839</v>
      </c>
      <c r="AE16" s="143" t="s">
        <v>759</v>
      </c>
      <c r="AF16" s="143" t="s">
        <v>663</v>
      </c>
      <c r="AG16" s="143">
        <v>2359</v>
      </c>
      <c r="AQ16" s="78" t="s">
        <v>2838</v>
      </c>
      <c r="AS16" s="143" t="s">
        <v>2839</v>
      </c>
      <c r="AT16" s="143" t="s">
        <v>759</v>
      </c>
      <c r="AU16" s="143" t="s">
        <v>663</v>
      </c>
      <c r="AV16" s="143">
        <v>2359</v>
      </c>
      <c r="AW16" s="137" t="s">
        <v>2838</v>
      </c>
      <c r="AX16" s="137" t="s">
        <v>2838</v>
      </c>
      <c r="AY16" s="137" t="s">
        <v>2838</v>
      </c>
      <c r="AZ16" s="137" t="s">
        <v>2838</v>
      </c>
      <c r="BA16" s="137" t="s">
        <v>2838</v>
      </c>
      <c r="BB16" s="137" t="s">
        <v>2838</v>
      </c>
      <c r="BC16" s="137" t="s">
        <v>2838</v>
      </c>
      <c r="BD16" s="137" t="s">
        <v>2838</v>
      </c>
      <c r="BE16" s="137" t="s">
        <v>2838</v>
      </c>
      <c r="BF16" s="137" t="s">
        <v>2838</v>
      </c>
      <c r="BI16" s="137" t="s">
        <v>2838</v>
      </c>
      <c r="BJ16" s="137" t="s">
        <v>2838</v>
      </c>
      <c r="BK16" s="190" t="s">
        <v>2838</v>
      </c>
      <c r="BM16" s="78" t="s">
        <v>2838</v>
      </c>
      <c r="BO16" s="143" t="s">
        <v>2839</v>
      </c>
      <c r="BP16" s="143" t="s">
        <v>759</v>
      </c>
      <c r="BQ16" s="143" t="s">
        <v>663</v>
      </c>
      <c r="BR16" s="143">
        <v>2359</v>
      </c>
      <c r="BY16" s="78" t="s">
        <v>2838</v>
      </c>
    </row>
    <row r="17" spans="1:77" x14ac:dyDescent="0.35">
      <c r="A17" s="143" t="s">
        <v>2839</v>
      </c>
      <c r="B17" s="143" t="s">
        <v>759</v>
      </c>
      <c r="C17" s="143" t="s">
        <v>663</v>
      </c>
      <c r="D17" s="143">
        <v>2702</v>
      </c>
      <c r="E17" s="137"/>
      <c r="F17" s="137">
        <v>0.35636370000000001</v>
      </c>
      <c r="G17" s="271">
        <v>0.44545449999999998</v>
      </c>
      <c r="H17" s="137" t="s">
        <v>2487</v>
      </c>
      <c r="I17" s="137"/>
      <c r="J17" s="137">
        <v>0.13</v>
      </c>
      <c r="K17" s="137">
        <v>0.16250000000000001</v>
      </c>
      <c r="M17" s="143" t="s">
        <v>2839</v>
      </c>
      <c r="N17" s="143" t="s">
        <v>759</v>
      </c>
      <c r="O17" s="143" t="s">
        <v>663</v>
      </c>
      <c r="P17" s="143">
        <v>2702</v>
      </c>
      <c r="Q17" s="137" t="s">
        <v>2838</v>
      </c>
      <c r="R17" s="137" t="s">
        <v>2838</v>
      </c>
      <c r="S17" s="137" t="s">
        <v>2838</v>
      </c>
      <c r="T17" s="137" t="s">
        <v>2838</v>
      </c>
      <c r="U17" s="137" t="s">
        <v>2838</v>
      </c>
      <c r="V17" s="137" t="s">
        <v>2838</v>
      </c>
      <c r="W17" s="137" t="s">
        <v>2838</v>
      </c>
      <c r="X17" s="137" t="s">
        <v>2838</v>
      </c>
      <c r="Y17" s="137" t="s">
        <v>2838</v>
      </c>
      <c r="Z17" s="137" t="s">
        <v>2838</v>
      </c>
      <c r="AA17" s="137" t="s">
        <v>2838</v>
      </c>
      <c r="AB17" s="137">
        <v>0.54545460000000001</v>
      </c>
      <c r="AD17" s="143" t="s">
        <v>2839</v>
      </c>
      <c r="AE17" s="143" t="s">
        <v>759</v>
      </c>
      <c r="AF17" s="143" t="s">
        <v>663</v>
      </c>
      <c r="AG17" s="143">
        <v>2702</v>
      </c>
      <c r="AQ17" s="78" t="s">
        <v>2838</v>
      </c>
      <c r="AS17" s="143" t="s">
        <v>2839</v>
      </c>
      <c r="AT17" s="143" t="s">
        <v>759</v>
      </c>
      <c r="AU17" s="143" t="s">
        <v>663</v>
      </c>
      <c r="AV17" s="143">
        <v>2702</v>
      </c>
      <c r="AW17" s="137" t="s">
        <v>2838</v>
      </c>
      <c r="AX17" s="137" t="s">
        <v>2838</v>
      </c>
      <c r="AY17" s="137" t="s">
        <v>2838</v>
      </c>
      <c r="AZ17" s="137" t="s">
        <v>2838</v>
      </c>
      <c r="BA17" s="137" t="s">
        <v>2838</v>
      </c>
      <c r="BB17" s="137" t="s">
        <v>2838</v>
      </c>
      <c r="BC17" s="137" t="s">
        <v>2838</v>
      </c>
      <c r="BD17" s="137" t="s">
        <v>2838</v>
      </c>
      <c r="BE17" s="137" t="s">
        <v>2838</v>
      </c>
      <c r="BF17" s="137" t="s">
        <v>2838</v>
      </c>
      <c r="BI17" s="137" t="s">
        <v>2838</v>
      </c>
      <c r="BJ17" s="137" t="s">
        <v>2838</v>
      </c>
      <c r="BK17" s="190" t="s">
        <v>2838</v>
      </c>
      <c r="BM17" s="78" t="s">
        <v>2838</v>
      </c>
      <c r="BO17" s="143" t="s">
        <v>2839</v>
      </c>
      <c r="BP17" s="143" t="s">
        <v>759</v>
      </c>
      <c r="BQ17" s="143" t="s">
        <v>663</v>
      </c>
      <c r="BR17" s="143">
        <v>2702</v>
      </c>
      <c r="BY17" s="78" t="s">
        <v>2838</v>
      </c>
    </row>
    <row r="18" spans="1:77" x14ac:dyDescent="0.35">
      <c r="A18" s="143" t="s">
        <v>2839</v>
      </c>
      <c r="B18" s="143" t="s">
        <v>759</v>
      </c>
      <c r="C18" s="143" t="s">
        <v>663</v>
      </c>
      <c r="D18" s="143">
        <v>3254</v>
      </c>
      <c r="E18" s="137"/>
      <c r="F18" s="137">
        <v>0.57575759999999998</v>
      </c>
      <c r="G18" s="271">
        <v>0.71969700000000003</v>
      </c>
      <c r="H18" s="137" t="s">
        <v>2487</v>
      </c>
      <c r="I18" s="137"/>
      <c r="J18" s="137">
        <v>6.6666699999999995E-2</v>
      </c>
      <c r="K18" s="137">
        <v>8.3333299999999999E-2</v>
      </c>
      <c r="M18" s="143" t="s">
        <v>2839</v>
      </c>
      <c r="N18" s="143" t="s">
        <v>759</v>
      </c>
      <c r="O18" s="143" t="s">
        <v>663</v>
      </c>
      <c r="P18" s="143">
        <v>3254</v>
      </c>
      <c r="Q18" s="137" t="s">
        <v>2838</v>
      </c>
      <c r="R18" s="137" t="s">
        <v>2838</v>
      </c>
      <c r="S18" s="137" t="s">
        <v>2838</v>
      </c>
      <c r="T18" s="137" t="s">
        <v>2838</v>
      </c>
      <c r="U18" s="137" t="s">
        <v>2838</v>
      </c>
      <c r="V18" s="137" t="s">
        <v>2838</v>
      </c>
      <c r="W18" s="137" t="s">
        <v>2838</v>
      </c>
      <c r="X18" s="137" t="s">
        <v>2838</v>
      </c>
      <c r="Y18" s="137" t="s">
        <v>2838</v>
      </c>
      <c r="Z18" s="137" t="s">
        <v>2838</v>
      </c>
      <c r="AA18" s="137" t="s">
        <v>2838</v>
      </c>
      <c r="AB18" s="137">
        <v>0</v>
      </c>
      <c r="AD18" s="143" t="s">
        <v>2839</v>
      </c>
      <c r="AE18" s="143" t="s">
        <v>759</v>
      </c>
      <c r="AF18" s="143" t="s">
        <v>663</v>
      </c>
      <c r="AG18" s="143">
        <v>3254</v>
      </c>
      <c r="AQ18" s="78" t="s">
        <v>2838</v>
      </c>
      <c r="AS18" s="143" t="s">
        <v>2839</v>
      </c>
      <c r="AT18" s="143" t="s">
        <v>759</v>
      </c>
      <c r="AU18" s="143" t="s">
        <v>663</v>
      </c>
      <c r="AV18" s="143">
        <v>3254</v>
      </c>
      <c r="AW18" s="137" t="s">
        <v>2838</v>
      </c>
      <c r="AX18" s="137" t="s">
        <v>2838</v>
      </c>
      <c r="AY18" s="137" t="s">
        <v>2838</v>
      </c>
      <c r="AZ18" s="137" t="s">
        <v>2838</v>
      </c>
      <c r="BA18" s="137" t="s">
        <v>2838</v>
      </c>
      <c r="BB18" s="137" t="s">
        <v>2838</v>
      </c>
      <c r="BC18" s="137" t="s">
        <v>2838</v>
      </c>
      <c r="BD18" s="137" t="s">
        <v>2838</v>
      </c>
      <c r="BE18" s="137" t="s">
        <v>2838</v>
      </c>
      <c r="BF18" s="137" t="s">
        <v>2838</v>
      </c>
      <c r="BI18" s="137" t="s">
        <v>2838</v>
      </c>
      <c r="BJ18" s="137" t="s">
        <v>2838</v>
      </c>
      <c r="BK18" s="190" t="s">
        <v>2838</v>
      </c>
      <c r="BM18" s="78" t="s">
        <v>2838</v>
      </c>
      <c r="BO18" s="143" t="s">
        <v>2839</v>
      </c>
      <c r="BP18" s="143" t="s">
        <v>759</v>
      </c>
      <c r="BQ18" s="143" t="s">
        <v>663</v>
      </c>
      <c r="BR18" s="143">
        <v>3254</v>
      </c>
      <c r="BY18" s="78" t="s">
        <v>2838</v>
      </c>
    </row>
    <row r="19" spans="1:77" x14ac:dyDescent="0.35">
      <c r="A19" s="143" t="s">
        <v>2839</v>
      </c>
      <c r="B19" s="143" t="s">
        <v>759</v>
      </c>
      <c r="C19" s="143" t="s">
        <v>663</v>
      </c>
      <c r="D19" s="143">
        <v>3398</v>
      </c>
      <c r="E19" s="137"/>
      <c r="F19" s="137">
        <v>0.6545455</v>
      </c>
      <c r="G19" s="271">
        <v>0.81818179999999996</v>
      </c>
      <c r="H19" s="137" t="s">
        <v>2487</v>
      </c>
      <c r="I19" s="137"/>
      <c r="J19" s="137">
        <v>0.63</v>
      </c>
      <c r="K19" s="137">
        <v>0.78749999999999998</v>
      </c>
      <c r="M19" s="143" t="s">
        <v>2839</v>
      </c>
      <c r="N19" s="143" t="s">
        <v>759</v>
      </c>
      <c r="O19" s="143" t="s">
        <v>663</v>
      </c>
      <c r="P19" s="143">
        <v>3398</v>
      </c>
      <c r="Q19" s="137" t="s">
        <v>2838</v>
      </c>
      <c r="R19" s="137" t="s">
        <v>2838</v>
      </c>
      <c r="S19" s="137" t="s">
        <v>2838</v>
      </c>
      <c r="T19" s="137" t="s">
        <v>2838</v>
      </c>
      <c r="U19" s="137" t="s">
        <v>2838</v>
      </c>
      <c r="V19" s="137" t="s">
        <v>2838</v>
      </c>
      <c r="W19" s="137" t="s">
        <v>2838</v>
      </c>
      <c r="X19" s="137" t="s">
        <v>2838</v>
      </c>
      <c r="Y19" s="137" t="s">
        <v>2838</v>
      </c>
      <c r="Z19" s="137" t="s">
        <v>2838</v>
      </c>
      <c r="AA19" s="137" t="s">
        <v>2838</v>
      </c>
      <c r="AB19" s="137">
        <v>0.81818179999999996</v>
      </c>
      <c r="AD19" s="143" t="s">
        <v>2839</v>
      </c>
      <c r="AE19" s="143" t="s">
        <v>759</v>
      </c>
      <c r="AF19" s="143" t="s">
        <v>663</v>
      </c>
      <c r="AG19" s="143">
        <v>3398</v>
      </c>
      <c r="AQ19" s="78" t="s">
        <v>2838</v>
      </c>
      <c r="AS19" s="143" t="s">
        <v>2839</v>
      </c>
      <c r="AT19" s="143" t="s">
        <v>759</v>
      </c>
      <c r="AU19" s="143" t="s">
        <v>663</v>
      </c>
      <c r="AV19" s="143">
        <v>3398</v>
      </c>
      <c r="AW19" s="137" t="s">
        <v>2838</v>
      </c>
      <c r="AX19" s="137" t="s">
        <v>2838</v>
      </c>
      <c r="AY19" s="137" t="s">
        <v>2838</v>
      </c>
      <c r="AZ19" s="137" t="s">
        <v>2838</v>
      </c>
      <c r="BA19" s="137" t="s">
        <v>2838</v>
      </c>
      <c r="BB19" s="137" t="s">
        <v>2838</v>
      </c>
      <c r="BC19" s="137" t="s">
        <v>2838</v>
      </c>
      <c r="BD19" s="137" t="s">
        <v>2838</v>
      </c>
      <c r="BE19" s="137" t="s">
        <v>2838</v>
      </c>
      <c r="BF19" s="137" t="s">
        <v>2838</v>
      </c>
      <c r="BI19" s="137" t="s">
        <v>2838</v>
      </c>
      <c r="BJ19" s="137" t="s">
        <v>2838</v>
      </c>
      <c r="BK19" s="190" t="s">
        <v>2838</v>
      </c>
      <c r="BM19" s="78" t="s">
        <v>2838</v>
      </c>
      <c r="BO19" s="143" t="s">
        <v>2839</v>
      </c>
      <c r="BP19" s="143" t="s">
        <v>759</v>
      </c>
      <c r="BQ19" s="143" t="s">
        <v>663</v>
      </c>
      <c r="BR19" s="143">
        <v>3398</v>
      </c>
      <c r="BY19" s="78" t="s">
        <v>2838</v>
      </c>
    </row>
    <row r="20" spans="1:77" x14ac:dyDescent="0.35">
      <c r="A20" s="143" t="s">
        <v>2839</v>
      </c>
      <c r="B20" s="143" t="s">
        <v>759</v>
      </c>
      <c r="C20" s="143" t="s">
        <v>663</v>
      </c>
      <c r="D20" s="143">
        <v>4840</v>
      </c>
      <c r="E20" s="137"/>
      <c r="F20" s="137">
        <v>2.6666700000000002E-2</v>
      </c>
      <c r="G20" s="271">
        <v>3.3333300000000003E-2</v>
      </c>
      <c r="H20" s="137" t="s">
        <v>2487</v>
      </c>
      <c r="I20" s="137"/>
      <c r="J20" s="137">
        <v>0</v>
      </c>
      <c r="K20" s="137">
        <v>0</v>
      </c>
      <c r="M20" s="143" t="s">
        <v>2839</v>
      </c>
      <c r="N20" s="143" t="s">
        <v>759</v>
      </c>
      <c r="O20" s="143" t="s">
        <v>663</v>
      </c>
      <c r="P20" s="143">
        <v>4840</v>
      </c>
      <c r="Q20" s="137" t="s">
        <v>2838</v>
      </c>
      <c r="R20" s="137" t="s">
        <v>2838</v>
      </c>
      <c r="S20" s="137" t="s">
        <v>2838</v>
      </c>
      <c r="T20" s="137" t="s">
        <v>2838</v>
      </c>
      <c r="U20" s="137" t="s">
        <v>2838</v>
      </c>
      <c r="V20" s="137" t="s">
        <v>2838</v>
      </c>
      <c r="W20" s="137" t="s">
        <v>2838</v>
      </c>
      <c r="X20" s="137" t="s">
        <v>2838</v>
      </c>
      <c r="Y20" s="137" t="s">
        <v>2838</v>
      </c>
      <c r="Z20" s="137" t="s">
        <v>2838</v>
      </c>
      <c r="AA20" s="137" t="s">
        <v>2838</v>
      </c>
      <c r="AB20" s="137">
        <v>0.81818179999999996</v>
      </c>
      <c r="AD20" s="143" t="s">
        <v>2839</v>
      </c>
      <c r="AE20" s="143" t="s">
        <v>759</v>
      </c>
      <c r="AF20" s="143" t="s">
        <v>663</v>
      </c>
      <c r="AG20" s="143">
        <v>4840</v>
      </c>
      <c r="AQ20" s="78" t="s">
        <v>2838</v>
      </c>
      <c r="AS20" s="143" t="s">
        <v>2839</v>
      </c>
      <c r="AT20" s="143" t="s">
        <v>759</v>
      </c>
      <c r="AU20" s="143" t="s">
        <v>663</v>
      </c>
      <c r="AV20" s="143">
        <v>4840</v>
      </c>
      <c r="AW20" s="137" t="s">
        <v>2838</v>
      </c>
      <c r="AX20" s="137" t="s">
        <v>2838</v>
      </c>
      <c r="AY20" s="137" t="s">
        <v>2838</v>
      </c>
      <c r="AZ20" s="137" t="s">
        <v>2838</v>
      </c>
      <c r="BA20" s="137" t="s">
        <v>2838</v>
      </c>
      <c r="BB20" s="137" t="s">
        <v>2838</v>
      </c>
      <c r="BC20" s="137" t="s">
        <v>2838</v>
      </c>
      <c r="BD20" s="137" t="s">
        <v>2838</v>
      </c>
      <c r="BE20" s="137" t="s">
        <v>2838</v>
      </c>
      <c r="BF20" s="137" t="s">
        <v>2838</v>
      </c>
      <c r="BI20" s="137" t="s">
        <v>2838</v>
      </c>
      <c r="BJ20" s="137" t="s">
        <v>2838</v>
      </c>
      <c r="BK20" s="190" t="s">
        <v>2838</v>
      </c>
      <c r="BM20" s="78" t="s">
        <v>2838</v>
      </c>
      <c r="BO20" s="143" t="s">
        <v>2839</v>
      </c>
      <c r="BP20" s="143" t="s">
        <v>759</v>
      </c>
      <c r="BQ20" s="143" t="s">
        <v>663</v>
      </c>
      <c r="BR20" s="143">
        <v>4840</v>
      </c>
      <c r="BY20" s="78" t="s">
        <v>2838</v>
      </c>
    </row>
    <row r="21" spans="1:77" x14ac:dyDescent="0.35">
      <c r="A21" s="143" t="s">
        <v>2840</v>
      </c>
      <c r="B21" s="143" t="s">
        <v>722</v>
      </c>
      <c r="C21" s="143" t="s">
        <v>2452</v>
      </c>
      <c r="D21" s="143">
        <v>612</v>
      </c>
      <c r="E21" s="137">
        <v>0.16</v>
      </c>
      <c r="F21" s="137">
        <v>0.66666669999999995</v>
      </c>
      <c r="G21" s="271">
        <v>0.82666669999999998</v>
      </c>
      <c r="H21" s="137" t="s">
        <v>2487</v>
      </c>
      <c r="I21" s="137">
        <v>0.1666667</v>
      </c>
      <c r="J21" s="137">
        <v>0.61992340000000001</v>
      </c>
      <c r="K21" s="137">
        <v>0.78659000000000001</v>
      </c>
      <c r="M21" s="143" t="s">
        <v>2840</v>
      </c>
      <c r="N21" s="143" t="s">
        <v>722</v>
      </c>
      <c r="O21" s="143" t="s">
        <v>2452</v>
      </c>
      <c r="P21" s="143">
        <v>612</v>
      </c>
      <c r="Q21" s="137" t="s">
        <v>2486</v>
      </c>
      <c r="R21" s="137" t="s">
        <v>2486</v>
      </c>
      <c r="S21" s="137" t="s">
        <v>2486</v>
      </c>
      <c r="T21" s="137" t="s">
        <v>2486</v>
      </c>
      <c r="U21" s="137" t="s">
        <v>2486</v>
      </c>
      <c r="V21" s="137" t="s">
        <v>2486</v>
      </c>
      <c r="W21" s="137" t="s">
        <v>2486</v>
      </c>
      <c r="X21" s="137" t="s">
        <v>2486</v>
      </c>
      <c r="Y21" s="137" t="s">
        <v>2486</v>
      </c>
      <c r="Z21" s="137" t="s">
        <v>2486</v>
      </c>
      <c r="AA21" s="137" t="s">
        <v>2486</v>
      </c>
      <c r="AB21" s="137">
        <v>1</v>
      </c>
      <c r="AD21" s="143" t="s">
        <v>2840</v>
      </c>
      <c r="AE21" s="143" t="s">
        <v>722</v>
      </c>
      <c r="AF21" s="143" t="s">
        <v>2452</v>
      </c>
      <c r="AG21" s="143">
        <v>612</v>
      </c>
      <c r="AH21" s="137">
        <v>0.98461540000000003</v>
      </c>
      <c r="AI21" s="137">
        <v>0.96</v>
      </c>
      <c r="AJ21" s="137">
        <v>1</v>
      </c>
      <c r="AK21" s="137">
        <v>0.90909090000000004</v>
      </c>
      <c r="AL21" s="137">
        <v>0.88888889999999998</v>
      </c>
      <c r="AM21" s="137">
        <v>0.96666660000000004</v>
      </c>
      <c r="AN21" s="137">
        <v>1</v>
      </c>
      <c r="AO21" s="190">
        <v>0.8823529</v>
      </c>
      <c r="AP21" s="190">
        <v>0.96069870000000002</v>
      </c>
      <c r="AQ21" s="78" t="s">
        <v>2486</v>
      </c>
      <c r="AS21" s="143" t="s">
        <v>2840</v>
      </c>
      <c r="AT21" s="143" t="s">
        <v>722</v>
      </c>
      <c r="AU21" s="143" t="s">
        <v>2452</v>
      </c>
      <c r="AV21" s="143">
        <v>612</v>
      </c>
      <c r="AW21" s="137" t="s">
        <v>2486</v>
      </c>
      <c r="AX21" s="137" t="s">
        <v>2486</v>
      </c>
      <c r="AY21" s="137" t="s">
        <v>2486</v>
      </c>
      <c r="AZ21" s="137" t="s">
        <v>2486</v>
      </c>
      <c r="BA21" s="137" t="s">
        <v>2486</v>
      </c>
      <c r="BB21" s="137" t="s">
        <v>2486</v>
      </c>
      <c r="BC21" s="137" t="s">
        <v>2486</v>
      </c>
      <c r="BD21" s="137" t="s">
        <v>2486</v>
      </c>
      <c r="BE21" s="137" t="s">
        <v>2486</v>
      </c>
      <c r="BF21" s="137" t="s">
        <v>2486</v>
      </c>
      <c r="BI21" s="137" t="s">
        <v>2838</v>
      </c>
      <c r="BJ21" s="137" t="s">
        <v>2838</v>
      </c>
      <c r="BK21" s="190" t="s">
        <v>2838</v>
      </c>
      <c r="BL21" s="190">
        <v>1</v>
      </c>
      <c r="BM21" s="78" t="s">
        <v>2486</v>
      </c>
      <c r="BO21" s="143" t="s">
        <v>2840</v>
      </c>
      <c r="BP21" s="143" t="s">
        <v>722</v>
      </c>
      <c r="BQ21" s="143" t="s">
        <v>2452</v>
      </c>
      <c r="BR21" s="143">
        <v>612</v>
      </c>
      <c r="BS21" s="156">
        <v>3</v>
      </c>
      <c r="BT21" s="156">
        <v>1</v>
      </c>
      <c r="BU21" s="156">
        <v>1</v>
      </c>
      <c r="BV21" s="156">
        <v>1</v>
      </c>
      <c r="BW21" s="169">
        <v>1</v>
      </c>
      <c r="BX21" s="169">
        <v>1</v>
      </c>
      <c r="BY21" s="78" t="s">
        <v>2486</v>
      </c>
    </row>
    <row r="22" spans="1:77" x14ac:dyDescent="0.35">
      <c r="A22" s="143" t="s">
        <v>2840</v>
      </c>
      <c r="B22" s="143" t="s">
        <v>722</v>
      </c>
      <c r="C22" s="143" t="s">
        <v>663</v>
      </c>
      <c r="D22" s="143">
        <v>2359</v>
      </c>
      <c r="E22" s="137">
        <v>0.18181820000000001</v>
      </c>
      <c r="F22" s="137">
        <v>0.50909090000000001</v>
      </c>
      <c r="G22" s="271">
        <v>0.69090910000000005</v>
      </c>
      <c r="H22" s="137" t="s">
        <v>2487</v>
      </c>
      <c r="I22" s="137">
        <v>0.2</v>
      </c>
      <c r="J22" s="137">
        <v>0.26666669999999998</v>
      </c>
      <c r="K22" s="137">
        <v>0.46666669999999999</v>
      </c>
      <c r="M22" s="143" t="s">
        <v>2840</v>
      </c>
      <c r="N22" s="143" t="s">
        <v>722</v>
      </c>
      <c r="O22" s="143" t="s">
        <v>663</v>
      </c>
      <c r="P22" s="143">
        <v>2359</v>
      </c>
      <c r="Q22" s="137" t="s">
        <v>2487</v>
      </c>
      <c r="R22" s="137" t="s">
        <v>2486</v>
      </c>
      <c r="S22" s="137" t="s">
        <v>2487</v>
      </c>
      <c r="T22" s="137" t="s">
        <v>2486</v>
      </c>
      <c r="U22" s="137" t="s">
        <v>2487</v>
      </c>
      <c r="V22" s="137" t="s">
        <v>2487</v>
      </c>
      <c r="W22" s="137" t="s">
        <v>2486</v>
      </c>
      <c r="X22" s="137" t="s">
        <v>2486</v>
      </c>
      <c r="Y22" s="137" t="s">
        <v>2486</v>
      </c>
      <c r="Z22" s="137" t="s">
        <v>2487</v>
      </c>
      <c r="AA22" s="137" t="s">
        <v>2487</v>
      </c>
      <c r="AB22" s="137">
        <v>0.45454549999999999</v>
      </c>
      <c r="AD22" s="143" t="s">
        <v>2840</v>
      </c>
      <c r="AE22" s="143" t="s">
        <v>722</v>
      </c>
      <c r="AF22" s="143" t="s">
        <v>663</v>
      </c>
      <c r="AG22" s="143">
        <v>2359</v>
      </c>
      <c r="AO22" s="190">
        <v>0.9375</v>
      </c>
      <c r="AP22" s="190">
        <v>0.9375</v>
      </c>
      <c r="AQ22" s="78" t="s">
        <v>2487</v>
      </c>
      <c r="AS22" s="143" t="s">
        <v>2840</v>
      </c>
      <c r="AT22" s="143" t="s">
        <v>722</v>
      </c>
      <c r="AU22" s="143" t="s">
        <v>663</v>
      </c>
      <c r="AV22" s="143">
        <v>2359</v>
      </c>
      <c r="AW22" s="137" t="s">
        <v>2838</v>
      </c>
      <c r="AX22" s="137" t="s">
        <v>2838</v>
      </c>
      <c r="AY22" s="137" t="s">
        <v>2838</v>
      </c>
      <c r="AZ22" s="137" t="s">
        <v>2838</v>
      </c>
      <c r="BA22" s="137" t="s">
        <v>2838</v>
      </c>
      <c r="BB22" s="137" t="s">
        <v>2838</v>
      </c>
      <c r="BC22" s="137" t="s">
        <v>2838</v>
      </c>
      <c r="BD22" s="137" t="s">
        <v>2838</v>
      </c>
      <c r="BE22" s="137" t="s">
        <v>2838</v>
      </c>
      <c r="BF22" s="137" t="s">
        <v>2838</v>
      </c>
      <c r="BI22" s="137" t="s">
        <v>2486</v>
      </c>
      <c r="BJ22" s="137" t="s">
        <v>2486</v>
      </c>
      <c r="BK22" s="190" t="s">
        <v>2486</v>
      </c>
      <c r="BL22" s="190">
        <v>1</v>
      </c>
      <c r="BM22" s="78" t="s">
        <v>2486</v>
      </c>
      <c r="BO22" s="143" t="s">
        <v>2840</v>
      </c>
      <c r="BP22" s="143" t="s">
        <v>722</v>
      </c>
      <c r="BQ22" s="143" t="s">
        <v>663</v>
      </c>
      <c r="BR22" s="143">
        <v>2359</v>
      </c>
      <c r="BY22" s="78" t="s">
        <v>2838</v>
      </c>
    </row>
    <row r="23" spans="1:77" x14ac:dyDescent="0.35">
      <c r="A23" s="143" t="s">
        <v>2840</v>
      </c>
      <c r="B23" s="143" t="s">
        <v>722</v>
      </c>
      <c r="C23" s="143" t="s">
        <v>663</v>
      </c>
      <c r="D23" s="143">
        <v>2702</v>
      </c>
      <c r="E23" s="137">
        <v>0.18181820000000001</v>
      </c>
      <c r="F23" s="137">
        <v>0.36363640000000003</v>
      </c>
      <c r="G23" s="271">
        <v>0.54545460000000001</v>
      </c>
      <c r="H23" s="137" t="s">
        <v>2487</v>
      </c>
      <c r="I23" s="137">
        <v>0.1166667</v>
      </c>
      <c r="J23" s="137">
        <v>0.13333329999999999</v>
      </c>
      <c r="K23" s="137">
        <v>0.25</v>
      </c>
      <c r="M23" s="143" t="s">
        <v>2840</v>
      </c>
      <c r="N23" s="143" t="s">
        <v>722</v>
      </c>
      <c r="O23" s="143" t="s">
        <v>663</v>
      </c>
      <c r="P23" s="143">
        <v>2702</v>
      </c>
      <c r="Q23" s="137" t="s">
        <v>2487</v>
      </c>
      <c r="R23" s="137" t="s">
        <v>2486</v>
      </c>
      <c r="S23" s="137" t="s">
        <v>2487</v>
      </c>
      <c r="T23" s="137" t="s">
        <v>2486</v>
      </c>
      <c r="U23" s="137" t="s">
        <v>2487</v>
      </c>
      <c r="V23" s="137" t="s">
        <v>2487</v>
      </c>
      <c r="W23" s="137" t="s">
        <v>2486</v>
      </c>
      <c r="X23" s="137" t="s">
        <v>2487</v>
      </c>
      <c r="Y23" s="137" t="s">
        <v>2486</v>
      </c>
      <c r="Z23" s="137" t="s">
        <v>2486</v>
      </c>
      <c r="AA23" s="137" t="s">
        <v>2486</v>
      </c>
      <c r="AB23" s="137">
        <v>0.54545460000000001</v>
      </c>
      <c r="AD23" s="143" t="s">
        <v>2840</v>
      </c>
      <c r="AE23" s="143" t="s">
        <v>722</v>
      </c>
      <c r="AF23" s="143" t="s">
        <v>663</v>
      </c>
      <c r="AG23" s="143">
        <v>2702</v>
      </c>
      <c r="AO23" s="190">
        <v>0.76249999999999996</v>
      </c>
      <c r="AP23" s="190">
        <v>0.76249999999999996</v>
      </c>
      <c r="AQ23" s="78" t="s">
        <v>2487</v>
      </c>
      <c r="AS23" s="143" t="s">
        <v>2840</v>
      </c>
      <c r="AT23" s="143" t="s">
        <v>722</v>
      </c>
      <c r="AU23" s="143" t="s">
        <v>663</v>
      </c>
      <c r="AV23" s="143">
        <v>2702</v>
      </c>
      <c r="AW23" s="137" t="s">
        <v>2838</v>
      </c>
      <c r="AX23" s="137" t="s">
        <v>2838</v>
      </c>
      <c r="AY23" s="137" t="s">
        <v>2838</v>
      </c>
      <c r="AZ23" s="137" t="s">
        <v>2838</v>
      </c>
      <c r="BA23" s="137" t="s">
        <v>2838</v>
      </c>
      <c r="BB23" s="137" t="s">
        <v>2838</v>
      </c>
      <c r="BC23" s="137" t="s">
        <v>2838</v>
      </c>
      <c r="BD23" s="137" t="s">
        <v>2838</v>
      </c>
      <c r="BE23" s="137" t="s">
        <v>2838</v>
      </c>
      <c r="BF23" s="137" t="s">
        <v>2838</v>
      </c>
      <c r="BI23" s="137" t="s">
        <v>2486</v>
      </c>
      <c r="BJ23" s="137" t="s">
        <v>2486</v>
      </c>
      <c r="BK23" s="190" t="s">
        <v>2486</v>
      </c>
      <c r="BL23" s="190">
        <v>1</v>
      </c>
      <c r="BM23" s="78" t="s">
        <v>2486</v>
      </c>
      <c r="BO23" s="143" t="s">
        <v>2840</v>
      </c>
      <c r="BP23" s="143" t="s">
        <v>722</v>
      </c>
      <c r="BQ23" s="143" t="s">
        <v>663</v>
      </c>
      <c r="BR23" s="143">
        <v>2702</v>
      </c>
      <c r="BY23" s="78" t="s">
        <v>2838</v>
      </c>
    </row>
    <row r="24" spans="1:77" x14ac:dyDescent="0.35">
      <c r="A24" s="143" t="s">
        <v>2840</v>
      </c>
      <c r="B24" s="143" t="s">
        <v>722</v>
      </c>
      <c r="C24" s="143" t="s">
        <v>663</v>
      </c>
      <c r="D24" s="143">
        <v>3254</v>
      </c>
      <c r="E24" s="137">
        <v>0.2</v>
      </c>
      <c r="F24" s="137">
        <v>0.51661440000000003</v>
      </c>
      <c r="G24" s="271">
        <v>0.71661439999999998</v>
      </c>
      <c r="H24" s="137" t="s">
        <v>2487</v>
      </c>
      <c r="I24" s="137">
        <v>0.13333329999999999</v>
      </c>
      <c r="J24" s="137">
        <v>0</v>
      </c>
      <c r="K24" s="137">
        <v>0.13333329999999999</v>
      </c>
      <c r="M24" s="143" t="s">
        <v>2840</v>
      </c>
      <c r="N24" s="143" t="s">
        <v>722</v>
      </c>
      <c r="O24" s="143" t="s">
        <v>663</v>
      </c>
      <c r="P24" s="143">
        <v>3254</v>
      </c>
      <c r="Q24" s="137" t="s">
        <v>2487</v>
      </c>
      <c r="R24" s="137" t="s">
        <v>2487</v>
      </c>
      <c r="S24" s="137" t="s">
        <v>2487</v>
      </c>
      <c r="T24" s="137" t="s">
        <v>2487</v>
      </c>
      <c r="U24" s="137" t="s">
        <v>2487</v>
      </c>
      <c r="V24" s="137" t="s">
        <v>2487</v>
      </c>
      <c r="W24" s="137" t="s">
        <v>2487</v>
      </c>
      <c r="X24" s="137" t="s">
        <v>2487</v>
      </c>
      <c r="Y24" s="137" t="s">
        <v>2487</v>
      </c>
      <c r="Z24" s="137" t="s">
        <v>2487</v>
      </c>
      <c r="AA24" s="137" t="s">
        <v>2487</v>
      </c>
      <c r="AB24" s="137">
        <v>0</v>
      </c>
      <c r="AD24" s="143" t="s">
        <v>2840</v>
      </c>
      <c r="AE24" s="143" t="s">
        <v>722</v>
      </c>
      <c r="AF24" s="143" t="s">
        <v>663</v>
      </c>
      <c r="AG24" s="143">
        <v>3254</v>
      </c>
      <c r="AO24" s="190">
        <v>0.88749999999999996</v>
      </c>
      <c r="AP24" s="190">
        <v>0.88749999999999996</v>
      </c>
      <c r="AQ24" s="78" t="s">
        <v>2487</v>
      </c>
      <c r="AS24" s="143" t="s">
        <v>2840</v>
      </c>
      <c r="AT24" s="143" t="s">
        <v>722</v>
      </c>
      <c r="AU24" s="143" t="s">
        <v>663</v>
      </c>
      <c r="AV24" s="143">
        <v>3254</v>
      </c>
      <c r="AW24" s="137" t="s">
        <v>2838</v>
      </c>
      <c r="AX24" s="137" t="s">
        <v>2838</v>
      </c>
      <c r="AY24" s="137" t="s">
        <v>2838</v>
      </c>
      <c r="AZ24" s="137" t="s">
        <v>2838</v>
      </c>
      <c r="BA24" s="137" t="s">
        <v>2838</v>
      </c>
      <c r="BB24" s="137" t="s">
        <v>2838</v>
      </c>
      <c r="BC24" s="137" t="s">
        <v>2838</v>
      </c>
      <c r="BD24" s="137" t="s">
        <v>2838</v>
      </c>
      <c r="BE24" s="137" t="s">
        <v>2838</v>
      </c>
      <c r="BF24" s="137" t="s">
        <v>2838</v>
      </c>
      <c r="BI24" s="137" t="s">
        <v>2487</v>
      </c>
      <c r="BJ24" s="137" t="s">
        <v>2487</v>
      </c>
      <c r="BK24" s="190" t="s">
        <v>2487</v>
      </c>
      <c r="BL24" s="190">
        <v>0</v>
      </c>
      <c r="BM24" s="78" t="s">
        <v>2487</v>
      </c>
      <c r="BO24" s="143" t="s">
        <v>2840</v>
      </c>
      <c r="BP24" s="143" t="s">
        <v>722</v>
      </c>
      <c r="BQ24" s="143" t="s">
        <v>663</v>
      </c>
      <c r="BR24" s="143">
        <v>3254</v>
      </c>
      <c r="BY24" s="78" t="s">
        <v>2838</v>
      </c>
    </row>
    <row r="25" spans="1:77" x14ac:dyDescent="0.35">
      <c r="A25" s="143" t="s">
        <v>2840</v>
      </c>
      <c r="B25" s="143" t="s">
        <v>722</v>
      </c>
      <c r="C25" s="143" t="s">
        <v>663</v>
      </c>
      <c r="D25" s="143">
        <v>3398</v>
      </c>
      <c r="E25" s="137">
        <v>0.18181820000000001</v>
      </c>
      <c r="F25" s="137">
        <v>0.6545455</v>
      </c>
      <c r="G25" s="271">
        <v>0.83636359999999998</v>
      </c>
      <c r="H25" s="137" t="s">
        <v>2487</v>
      </c>
      <c r="I25" s="137">
        <v>0.1833333</v>
      </c>
      <c r="J25" s="137">
        <v>0.66666669999999995</v>
      </c>
      <c r="K25" s="137">
        <v>0.85</v>
      </c>
      <c r="M25" s="143" t="s">
        <v>2840</v>
      </c>
      <c r="N25" s="143" t="s">
        <v>722</v>
      </c>
      <c r="O25" s="143" t="s">
        <v>663</v>
      </c>
      <c r="P25" s="143">
        <v>3398</v>
      </c>
      <c r="Q25" s="137" t="s">
        <v>2486</v>
      </c>
      <c r="R25" s="137" t="s">
        <v>2486</v>
      </c>
      <c r="S25" s="137" t="s">
        <v>2486</v>
      </c>
      <c r="T25" s="137" t="s">
        <v>2486</v>
      </c>
      <c r="U25" s="137" t="s">
        <v>2487</v>
      </c>
      <c r="V25" s="137" t="s">
        <v>2487</v>
      </c>
      <c r="W25" s="137" t="s">
        <v>2486</v>
      </c>
      <c r="X25" s="137" t="s">
        <v>2486</v>
      </c>
      <c r="Y25" s="137" t="s">
        <v>2486</v>
      </c>
      <c r="Z25" s="137" t="s">
        <v>2486</v>
      </c>
      <c r="AA25" s="137" t="s">
        <v>2486</v>
      </c>
      <c r="AB25" s="137">
        <v>0.81818179999999996</v>
      </c>
      <c r="AD25" s="143" t="s">
        <v>2840</v>
      </c>
      <c r="AE25" s="143" t="s">
        <v>722</v>
      </c>
      <c r="AF25" s="143" t="s">
        <v>663</v>
      </c>
      <c r="AG25" s="143">
        <v>3398</v>
      </c>
      <c r="AO25" s="190">
        <v>0.95</v>
      </c>
      <c r="AP25" s="190">
        <v>0.95</v>
      </c>
      <c r="AQ25" s="78" t="s">
        <v>2487</v>
      </c>
      <c r="AS25" s="143" t="s">
        <v>2840</v>
      </c>
      <c r="AT25" s="143" t="s">
        <v>722</v>
      </c>
      <c r="AU25" s="143" t="s">
        <v>663</v>
      </c>
      <c r="AV25" s="143">
        <v>3398</v>
      </c>
      <c r="AW25" s="137" t="s">
        <v>2838</v>
      </c>
      <c r="AX25" s="137" t="s">
        <v>2838</v>
      </c>
      <c r="AY25" s="137" t="s">
        <v>2838</v>
      </c>
      <c r="AZ25" s="137" t="s">
        <v>2838</v>
      </c>
      <c r="BA25" s="137" t="s">
        <v>2838</v>
      </c>
      <c r="BB25" s="137" t="s">
        <v>2838</v>
      </c>
      <c r="BC25" s="137" t="s">
        <v>2838</v>
      </c>
      <c r="BD25" s="137" t="s">
        <v>2838</v>
      </c>
      <c r="BE25" s="137" t="s">
        <v>2838</v>
      </c>
      <c r="BF25" s="137" t="s">
        <v>2838</v>
      </c>
      <c r="BI25" s="137" t="s">
        <v>2486</v>
      </c>
      <c r="BJ25" s="137" t="s">
        <v>2486</v>
      </c>
      <c r="BK25" s="190" t="s">
        <v>2486</v>
      </c>
      <c r="BL25" s="190">
        <v>1</v>
      </c>
      <c r="BM25" s="78" t="s">
        <v>2486</v>
      </c>
      <c r="BO25" s="143" t="s">
        <v>2840</v>
      </c>
      <c r="BP25" s="143" t="s">
        <v>722</v>
      </c>
      <c r="BQ25" s="143" t="s">
        <v>663</v>
      </c>
      <c r="BR25" s="143">
        <v>3398</v>
      </c>
      <c r="BY25" s="78" t="s">
        <v>2838</v>
      </c>
    </row>
    <row r="26" spans="1:77" x14ac:dyDescent="0.35">
      <c r="A26" s="143" t="s">
        <v>2840</v>
      </c>
      <c r="B26" s="143" t="s">
        <v>722</v>
      </c>
      <c r="C26" s="143" t="s">
        <v>663</v>
      </c>
      <c r="D26" s="143">
        <v>4840</v>
      </c>
      <c r="E26" s="137">
        <v>0.14545449999999999</v>
      </c>
      <c r="F26" s="137">
        <v>0.36363640000000003</v>
      </c>
      <c r="G26" s="271">
        <v>0.50909090000000001</v>
      </c>
      <c r="H26" s="137" t="s">
        <v>2487</v>
      </c>
      <c r="I26" s="137">
        <v>0.13333329999999999</v>
      </c>
      <c r="J26" s="137">
        <v>6.6666699999999995E-2</v>
      </c>
      <c r="K26" s="137">
        <v>0.2</v>
      </c>
      <c r="M26" s="143" t="s">
        <v>2840</v>
      </c>
      <c r="N26" s="143" t="s">
        <v>722</v>
      </c>
      <c r="O26" s="143" t="s">
        <v>663</v>
      </c>
      <c r="P26" s="143">
        <v>4840</v>
      </c>
      <c r="Q26" s="137" t="s">
        <v>2486</v>
      </c>
      <c r="R26" s="137" t="s">
        <v>2486</v>
      </c>
      <c r="S26" s="137" t="s">
        <v>2486</v>
      </c>
      <c r="T26" s="137" t="s">
        <v>2486</v>
      </c>
      <c r="U26" s="137" t="s">
        <v>2487</v>
      </c>
      <c r="V26" s="137" t="s">
        <v>2487</v>
      </c>
      <c r="W26" s="137" t="s">
        <v>2486</v>
      </c>
      <c r="X26" s="137" t="s">
        <v>2486</v>
      </c>
      <c r="Y26" s="137" t="s">
        <v>2486</v>
      </c>
      <c r="Z26" s="137" t="s">
        <v>2486</v>
      </c>
      <c r="AA26" s="137" t="s">
        <v>2486</v>
      </c>
      <c r="AB26" s="137">
        <v>0.81818179999999996</v>
      </c>
      <c r="AD26" s="143" t="s">
        <v>2840</v>
      </c>
      <c r="AE26" s="143" t="s">
        <v>722</v>
      </c>
      <c r="AF26" s="143" t="s">
        <v>663</v>
      </c>
      <c r="AG26" s="143">
        <v>4840</v>
      </c>
      <c r="AO26" s="190">
        <v>0.75</v>
      </c>
      <c r="AP26" s="190">
        <v>0.75</v>
      </c>
      <c r="AQ26" s="78" t="s">
        <v>2487</v>
      </c>
      <c r="AS26" s="143" t="s">
        <v>2840</v>
      </c>
      <c r="AT26" s="143" t="s">
        <v>722</v>
      </c>
      <c r="AU26" s="143" t="s">
        <v>663</v>
      </c>
      <c r="AV26" s="143">
        <v>4840</v>
      </c>
      <c r="AW26" s="137" t="s">
        <v>2838</v>
      </c>
      <c r="AX26" s="137" t="s">
        <v>2838</v>
      </c>
      <c r="AY26" s="137" t="s">
        <v>2838</v>
      </c>
      <c r="AZ26" s="137" t="s">
        <v>2838</v>
      </c>
      <c r="BA26" s="137" t="s">
        <v>2838</v>
      </c>
      <c r="BB26" s="137" t="s">
        <v>2838</v>
      </c>
      <c r="BC26" s="137" t="s">
        <v>2838</v>
      </c>
      <c r="BD26" s="137" t="s">
        <v>2838</v>
      </c>
      <c r="BE26" s="137" t="s">
        <v>2838</v>
      </c>
      <c r="BF26" s="137" t="s">
        <v>2838</v>
      </c>
      <c r="BI26" s="137" t="s">
        <v>2486</v>
      </c>
      <c r="BJ26" s="137" t="s">
        <v>2486</v>
      </c>
      <c r="BK26" s="190" t="s">
        <v>2486</v>
      </c>
      <c r="BL26" s="190">
        <v>1</v>
      </c>
      <c r="BM26" s="78" t="s">
        <v>2486</v>
      </c>
      <c r="BO26" s="143" t="s">
        <v>2840</v>
      </c>
      <c r="BP26" s="143" t="s">
        <v>722</v>
      </c>
      <c r="BQ26" s="143" t="s">
        <v>663</v>
      </c>
      <c r="BR26" s="143">
        <v>4840</v>
      </c>
      <c r="BY26" s="78" t="s">
        <v>2838</v>
      </c>
    </row>
    <row r="27" spans="1:77" x14ac:dyDescent="0.35">
      <c r="A27" s="143" t="s">
        <v>723</v>
      </c>
      <c r="B27" s="143" t="s">
        <v>720</v>
      </c>
      <c r="C27" s="143" t="s">
        <v>663</v>
      </c>
      <c r="D27" s="143">
        <v>462</v>
      </c>
      <c r="E27" s="137">
        <v>0.2</v>
      </c>
      <c r="F27" s="137">
        <v>0.63738510000000004</v>
      </c>
      <c r="G27" s="271">
        <v>0.83738509999999999</v>
      </c>
      <c r="H27" s="137" t="s">
        <v>2487</v>
      </c>
      <c r="I27" s="137">
        <v>0.1833333</v>
      </c>
      <c r="J27" s="137">
        <v>0.73333329999999997</v>
      </c>
      <c r="K27" s="137">
        <v>0.91666669999999995</v>
      </c>
      <c r="M27" s="143" t="s">
        <v>723</v>
      </c>
      <c r="N27" s="143" t="s">
        <v>720</v>
      </c>
      <c r="O27" s="143" t="s">
        <v>663</v>
      </c>
      <c r="P27" s="143">
        <v>462</v>
      </c>
      <c r="Q27" s="137" t="s">
        <v>2486</v>
      </c>
      <c r="R27" s="137" t="s">
        <v>2486</v>
      </c>
      <c r="S27" s="137" t="s">
        <v>2486</v>
      </c>
      <c r="T27" s="137" t="s">
        <v>2486</v>
      </c>
      <c r="U27" s="137" t="s">
        <v>2487</v>
      </c>
      <c r="V27" s="137" t="s">
        <v>2487</v>
      </c>
      <c r="W27" s="137" t="s">
        <v>2486</v>
      </c>
      <c r="X27" s="137" t="s">
        <v>2486</v>
      </c>
      <c r="Y27" s="137" t="s">
        <v>2486</v>
      </c>
      <c r="Z27" s="137" t="s">
        <v>2486</v>
      </c>
      <c r="AA27" s="137" t="s">
        <v>2486</v>
      </c>
      <c r="AB27" s="137">
        <v>0.81818179999999996</v>
      </c>
      <c r="AD27" s="143" t="s">
        <v>723</v>
      </c>
      <c r="AE27" s="143" t="s">
        <v>720</v>
      </c>
      <c r="AF27" s="143" t="s">
        <v>663</v>
      </c>
      <c r="AG27" s="143">
        <v>462</v>
      </c>
      <c r="AO27" s="190">
        <v>0.875</v>
      </c>
      <c r="AP27" s="190">
        <v>0.875</v>
      </c>
      <c r="AQ27" s="78" t="s">
        <v>2487</v>
      </c>
      <c r="AS27" s="143" t="s">
        <v>723</v>
      </c>
      <c r="AT27" s="143" t="s">
        <v>720</v>
      </c>
      <c r="AU27" s="143" t="s">
        <v>663</v>
      </c>
      <c r="AV27" s="143">
        <v>462</v>
      </c>
      <c r="AW27" s="137" t="s">
        <v>2838</v>
      </c>
      <c r="AX27" s="137" t="s">
        <v>2838</v>
      </c>
      <c r="AY27" s="137" t="s">
        <v>2838</v>
      </c>
      <c r="AZ27" s="137" t="s">
        <v>2838</v>
      </c>
      <c r="BA27" s="137" t="s">
        <v>2838</v>
      </c>
      <c r="BB27" s="137" t="s">
        <v>2838</v>
      </c>
      <c r="BC27" s="137" t="s">
        <v>2838</v>
      </c>
      <c r="BD27" s="137" t="s">
        <v>2838</v>
      </c>
      <c r="BE27" s="137" t="s">
        <v>2838</v>
      </c>
      <c r="BF27" s="137" t="s">
        <v>2838</v>
      </c>
      <c r="BI27" s="137" t="s">
        <v>2486</v>
      </c>
      <c r="BJ27" s="137" t="s">
        <v>2486</v>
      </c>
      <c r="BK27" s="190" t="s">
        <v>2486</v>
      </c>
      <c r="BL27" s="190">
        <v>1</v>
      </c>
      <c r="BM27" s="78" t="s">
        <v>2486</v>
      </c>
      <c r="BO27" s="143" t="s">
        <v>723</v>
      </c>
      <c r="BP27" s="143" t="s">
        <v>720</v>
      </c>
      <c r="BQ27" s="143" t="s">
        <v>663</v>
      </c>
      <c r="BR27" s="143">
        <v>462</v>
      </c>
      <c r="BY27" s="78" t="s">
        <v>2838</v>
      </c>
    </row>
    <row r="28" spans="1:77" x14ac:dyDescent="0.35">
      <c r="A28" s="143" t="s">
        <v>723</v>
      </c>
      <c r="B28" s="143" t="s">
        <v>720</v>
      </c>
      <c r="C28" s="143" t="s">
        <v>663</v>
      </c>
      <c r="D28" s="143">
        <v>2623</v>
      </c>
      <c r="E28" s="137">
        <v>0.14545449999999999</v>
      </c>
      <c r="F28" s="137">
        <v>0.58181819999999995</v>
      </c>
      <c r="G28" s="271">
        <v>0.72727269999999999</v>
      </c>
      <c r="H28" s="137" t="s">
        <v>2487</v>
      </c>
      <c r="I28" s="137">
        <v>0.1833333</v>
      </c>
      <c r="J28" s="137">
        <v>0.3333333</v>
      </c>
      <c r="K28" s="137">
        <v>0.51666670000000003</v>
      </c>
      <c r="M28" s="143" t="s">
        <v>723</v>
      </c>
      <c r="N28" s="143" t="s">
        <v>720</v>
      </c>
      <c r="O28" s="143" t="s">
        <v>663</v>
      </c>
      <c r="P28" s="143">
        <v>2623</v>
      </c>
      <c r="Q28" s="137" t="s">
        <v>2486</v>
      </c>
      <c r="R28" s="137" t="s">
        <v>2486</v>
      </c>
      <c r="S28" s="137" t="s">
        <v>2486</v>
      </c>
      <c r="T28" s="137" t="s">
        <v>2486</v>
      </c>
      <c r="U28" s="137" t="s">
        <v>2487</v>
      </c>
      <c r="V28" s="137" t="s">
        <v>2487</v>
      </c>
      <c r="W28" s="137" t="s">
        <v>2486</v>
      </c>
      <c r="X28" s="137" t="s">
        <v>2486</v>
      </c>
      <c r="Y28" s="137" t="s">
        <v>2486</v>
      </c>
      <c r="Z28" s="137" t="s">
        <v>2486</v>
      </c>
      <c r="AA28" s="137" t="s">
        <v>2486</v>
      </c>
      <c r="AB28" s="137">
        <v>0.81818179999999996</v>
      </c>
      <c r="AD28" s="143" t="s">
        <v>723</v>
      </c>
      <c r="AE28" s="143" t="s">
        <v>720</v>
      </c>
      <c r="AF28" s="143" t="s">
        <v>663</v>
      </c>
      <c r="AG28" s="143">
        <v>2623</v>
      </c>
      <c r="AO28" s="190">
        <v>0.95</v>
      </c>
      <c r="AP28" s="190">
        <v>0.95</v>
      </c>
      <c r="AQ28" s="78" t="s">
        <v>2487</v>
      </c>
      <c r="AS28" s="143" t="s">
        <v>723</v>
      </c>
      <c r="AT28" s="143" t="s">
        <v>720</v>
      </c>
      <c r="AU28" s="143" t="s">
        <v>663</v>
      </c>
      <c r="AV28" s="143">
        <v>2623</v>
      </c>
      <c r="AW28" s="137" t="s">
        <v>2838</v>
      </c>
      <c r="AX28" s="137" t="s">
        <v>2838</v>
      </c>
      <c r="AY28" s="137" t="s">
        <v>2838</v>
      </c>
      <c r="AZ28" s="137" t="s">
        <v>2838</v>
      </c>
      <c r="BA28" s="137" t="s">
        <v>2838</v>
      </c>
      <c r="BB28" s="137" t="s">
        <v>2838</v>
      </c>
      <c r="BC28" s="137" t="s">
        <v>2838</v>
      </c>
      <c r="BD28" s="137" t="s">
        <v>2838</v>
      </c>
      <c r="BE28" s="137" t="s">
        <v>2838</v>
      </c>
      <c r="BF28" s="137" t="s">
        <v>2838</v>
      </c>
      <c r="BI28" s="137" t="s">
        <v>2486</v>
      </c>
      <c r="BJ28" s="137" t="s">
        <v>2486</v>
      </c>
      <c r="BK28" s="190" t="s">
        <v>2486</v>
      </c>
      <c r="BL28" s="190">
        <v>1</v>
      </c>
      <c r="BM28" s="78" t="s">
        <v>2486</v>
      </c>
      <c r="BO28" s="143" t="s">
        <v>723</v>
      </c>
      <c r="BP28" s="143" t="s">
        <v>720</v>
      </c>
      <c r="BQ28" s="143" t="s">
        <v>663</v>
      </c>
      <c r="BR28" s="143">
        <v>2623</v>
      </c>
      <c r="BY28" s="78" t="s">
        <v>2838</v>
      </c>
    </row>
    <row r="29" spans="1:77" x14ac:dyDescent="0.35">
      <c r="A29" s="143" t="s">
        <v>723</v>
      </c>
      <c r="B29" s="143" t="s">
        <v>720</v>
      </c>
      <c r="C29" s="143" t="s">
        <v>663</v>
      </c>
      <c r="D29" s="143">
        <v>4189</v>
      </c>
      <c r="E29" s="137">
        <v>0.16363639999999999</v>
      </c>
      <c r="F29" s="137">
        <v>0.61368750000000005</v>
      </c>
      <c r="G29" s="271">
        <v>0.77732380000000001</v>
      </c>
      <c r="H29" s="137" t="s">
        <v>2487</v>
      </c>
      <c r="I29" s="137">
        <v>0.2</v>
      </c>
      <c r="J29" s="137">
        <v>0.73333329999999997</v>
      </c>
      <c r="K29" s="137">
        <v>0.93333330000000003</v>
      </c>
      <c r="M29" s="143" t="s">
        <v>723</v>
      </c>
      <c r="N29" s="143" t="s">
        <v>720</v>
      </c>
      <c r="O29" s="143" t="s">
        <v>663</v>
      </c>
      <c r="P29" s="143">
        <v>4189</v>
      </c>
      <c r="Q29" s="137" t="s">
        <v>2487</v>
      </c>
      <c r="R29" s="137" t="s">
        <v>2486</v>
      </c>
      <c r="S29" s="137" t="s">
        <v>2486</v>
      </c>
      <c r="T29" s="137" t="s">
        <v>2486</v>
      </c>
      <c r="U29" s="137" t="s">
        <v>2487</v>
      </c>
      <c r="V29" s="137" t="s">
        <v>2487</v>
      </c>
      <c r="W29" s="137" t="s">
        <v>2486</v>
      </c>
      <c r="X29" s="137" t="s">
        <v>2486</v>
      </c>
      <c r="Y29" s="137" t="s">
        <v>2486</v>
      </c>
      <c r="Z29" s="137" t="s">
        <v>2486</v>
      </c>
      <c r="AA29" s="137" t="s">
        <v>2486</v>
      </c>
      <c r="AB29" s="137">
        <v>0.72727269999999999</v>
      </c>
      <c r="AD29" s="143" t="s">
        <v>723</v>
      </c>
      <c r="AE29" s="143" t="s">
        <v>720</v>
      </c>
      <c r="AF29" s="143" t="s">
        <v>663</v>
      </c>
      <c r="AG29" s="143">
        <v>4189</v>
      </c>
      <c r="AO29" s="190">
        <v>0.92500000000000004</v>
      </c>
      <c r="AP29" s="190">
        <v>0.92500000000000004</v>
      </c>
      <c r="AQ29" s="78" t="s">
        <v>2487</v>
      </c>
      <c r="AS29" s="143" t="s">
        <v>723</v>
      </c>
      <c r="AT29" s="143" t="s">
        <v>720</v>
      </c>
      <c r="AU29" s="143" t="s">
        <v>663</v>
      </c>
      <c r="AV29" s="143">
        <v>4189</v>
      </c>
      <c r="AW29" s="137" t="s">
        <v>2838</v>
      </c>
      <c r="AX29" s="137" t="s">
        <v>2838</v>
      </c>
      <c r="AY29" s="137" t="s">
        <v>2838</v>
      </c>
      <c r="AZ29" s="137" t="s">
        <v>2838</v>
      </c>
      <c r="BA29" s="137" t="s">
        <v>2838</v>
      </c>
      <c r="BB29" s="137" t="s">
        <v>2838</v>
      </c>
      <c r="BC29" s="137" t="s">
        <v>2838</v>
      </c>
      <c r="BD29" s="137" t="s">
        <v>2838</v>
      </c>
      <c r="BE29" s="137" t="s">
        <v>2838</v>
      </c>
      <c r="BF29" s="137" t="s">
        <v>2838</v>
      </c>
      <c r="BI29" s="137" t="s">
        <v>2486</v>
      </c>
      <c r="BJ29" s="137" t="s">
        <v>2486</v>
      </c>
      <c r="BK29" s="190" t="s">
        <v>2486</v>
      </c>
      <c r="BL29" s="190">
        <v>1</v>
      </c>
      <c r="BM29" s="78" t="s">
        <v>2486</v>
      </c>
      <c r="BO29" s="143" t="s">
        <v>723</v>
      </c>
      <c r="BP29" s="143" t="s">
        <v>720</v>
      </c>
      <c r="BQ29" s="143" t="s">
        <v>663</v>
      </c>
      <c r="BR29" s="143">
        <v>4189</v>
      </c>
      <c r="BY29" s="78" t="s">
        <v>2838</v>
      </c>
    </row>
    <row r="30" spans="1:77" x14ac:dyDescent="0.35">
      <c r="A30" s="143" t="s">
        <v>723</v>
      </c>
      <c r="B30" s="143" t="s">
        <v>720</v>
      </c>
      <c r="C30" s="143" t="s">
        <v>663</v>
      </c>
      <c r="D30" s="143">
        <v>4193</v>
      </c>
      <c r="E30" s="137">
        <v>0.18181820000000001</v>
      </c>
      <c r="F30" s="137">
        <v>0.58181819999999995</v>
      </c>
      <c r="G30" s="271">
        <v>0.76363639999999999</v>
      </c>
      <c r="H30" s="137" t="s">
        <v>2487</v>
      </c>
      <c r="I30" s="137">
        <v>0.1833333</v>
      </c>
      <c r="J30" s="137">
        <v>0.57752809999999999</v>
      </c>
      <c r="K30" s="137">
        <v>0.76086140000000002</v>
      </c>
      <c r="M30" s="143" t="s">
        <v>723</v>
      </c>
      <c r="N30" s="143" t="s">
        <v>720</v>
      </c>
      <c r="O30" s="143" t="s">
        <v>663</v>
      </c>
      <c r="P30" s="143">
        <v>4193</v>
      </c>
      <c r="Q30" s="137" t="s">
        <v>2486</v>
      </c>
      <c r="R30" s="137" t="s">
        <v>2486</v>
      </c>
      <c r="S30" s="137" t="s">
        <v>2486</v>
      </c>
      <c r="T30" s="137" t="s">
        <v>2486</v>
      </c>
      <c r="U30" s="137" t="s">
        <v>2487</v>
      </c>
      <c r="V30" s="137" t="s">
        <v>2487</v>
      </c>
      <c r="W30" s="137" t="s">
        <v>2486</v>
      </c>
      <c r="X30" s="137" t="s">
        <v>2486</v>
      </c>
      <c r="Y30" s="137" t="s">
        <v>2486</v>
      </c>
      <c r="Z30" s="137" t="s">
        <v>2486</v>
      </c>
      <c r="AA30" s="137" t="s">
        <v>2486</v>
      </c>
      <c r="AB30" s="137">
        <v>0.81818179999999996</v>
      </c>
      <c r="AD30" s="143" t="s">
        <v>723</v>
      </c>
      <c r="AE30" s="143" t="s">
        <v>720</v>
      </c>
      <c r="AF30" s="143" t="s">
        <v>663</v>
      </c>
      <c r="AG30" s="143">
        <v>4193</v>
      </c>
      <c r="AO30" s="190">
        <v>0.91249999999999998</v>
      </c>
      <c r="AP30" s="190">
        <v>0.91249999999999998</v>
      </c>
      <c r="AQ30" s="78" t="s">
        <v>2487</v>
      </c>
      <c r="AS30" s="143" t="s">
        <v>723</v>
      </c>
      <c r="AT30" s="143" t="s">
        <v>720</v>
      </c>
      <c r="AU30" s="143" t="s">
        <v>663</v>
      </c>
      <c r="AV30" s="143">
        <v>4193</v>
      </c>
      <c r="AW30" s="137" t="s">
        <v>2838</v>
      </c>
      <c r="AX30" s="137" t="s">
        <v>2838</v>
      </c>
      <c r="AY30" s="137" t="s">
        <v>2838</v>
      </c>
      <c r="AZ30" s="137" t="s">
        <v>2838</v>
      </c>
      <c r="BA30" s="137" t="s">
        <v>2838</v>
      </c>
      <c r="BB30" s="137" t="s">
        <v>2838</v>
      </c>
      <c r="BC30" s="137" t="s">
        <v>2838</v>
      </c>
      <c r="BD30" s="137" t="s">
        <v>2838</v>
      </c>
      <c r="BE30" s="137" t="s">
        <v>2838</v>
      </c>
      <c r="BF30" s="137" t="s">
        <v>2838</v>
      </c>
      <c r="BI30" s="137" t="s">
        <v>2486</v>
      </c>
      <c r="BJ30" s="137" t="s">
        <v>2486</v>
      </c>
      <c r="BK30" s="190" t="s">
        <v>2486</v>
      </c>
      <c r="BL30" s="190">
        <v>1</v>
      </c>
      <c r="BM30" s="78" t="s">
        <v>2486</v>
      </c>
      <c r="BO30" s="143" t="s">
        <v>723</v>
      </c>
      <c r="BP30" s="143" t="s">
        <v>720</v>
      </c>
      <c r="BQ30" s="143" t="s">
        <v>663</v>
      </c>
      <c r="BR30" s="143">
        <v>4193</v>
      </c>
      <c r="BY30" s="78" t="s">
        <v>2838</v>
      </c>
    </row>
    <row r="31" spans="1:77" x14ac:dyDescent="0.35">
      <c r="A31" s="143" t="s">
        <v>723</v>
      </c>
      <c r="B31" s="143" t="s">
        <v>720</v>
      </c>
      <c r="C31" s="143" t="s">
        <v>663</v>
      </c>
      <c r="D31" s="143">
        <v>4194</v>
      </c>
      <c r="E31" s="137">
        <v>0.12727269999999999</v>
      </c>
      <c r="F31" s="137">
        <v>0.33667010000000003</v>
      </c>
      <c r="G31" s="271">
        <v>0.46394279999999999</v>
      </c>
      <c r="H31" s="137" t="s">
        <v>2487</v>
      </c>
      <c r="I31" s="137">
        <v>0.2</v>
      </c>
      <c r="J31" s="137">
        <v>0.3588015</v>
      </c>
      <c r="K31" s="137">
        <v>0.55880149999999995</v>
      </c>
      <c r="M31" s="143" t="s">
        <v>723</v>
      </c>
      <c r="N31" s="143" t="s">
        <v>720</v>
      </c>
      <c r="O31" s="143" t="s">
        <v>663</v>
      </c>
      <c r="P31" s="143">
        <v>4194</v>
      </c>
      <c r="Q31" s="137" t="s">
        <v>2487</v>
      </c>
      <c r="R31" s="137" t="s">
        <v>2486</v>
      </c>
      <c r="S31" s="137" t="s">
        <v>2486</v>
      </c>
      <c r="T31" s="137" t="s">
        <v>2486</v>
      </c>
      <c r="U31" s="137" t="s">
        <v>2487</v>
      </c>
      <c r="V31" s="137" t="s">
        <v>2487</v>
      </c>
      <c r="W31" s="137" t="s">
        <v>2486</v>
      </c>
      <c r="X31" s="137" t="s">
        <v>2486</v>
      </c>
      <c r="Y31" s="137" t="s">
        <v>2486</v>
      </c>
      <c r="Z31" s="137" t="s">
        <v>2486</v>
      </c>
      <c r="AA31" s="137" t="s">
        <v>2486</v>
      </c>
      <c r="AB31" s="137">
        <v>0.72727269999999999</v>
      </c>
      <c r="AD31" s="143" t="s">
        <v>723</v>
      </c>
      <c r="AE31" s="143" t="s">
        <v>720</v>
      </c>
      <c r="AF31" s="143" t="s">
        <v>663</v>
      </c>
      <c r="AG31" s="143">
        <v>4194</v>
      </c>
      <c r="AO31" s="190">
        <v>0.9</v>
      </c>
      <c r="AP31" s="190">
        <v>0.9</v>
      </c>
      <c r="AQ31" s="78" t="s">
        <v>2487</v>
      </c>
      <c r="AS31" s="143" t="s">
        <v>723</v>
      </c>
      <c r="AT31" s="143" t="s">
        <v>720</v>
      </c>
      <c r="AU31" s="143" t="s">
        <v>663</v>
      </c>
      <c r="AV31" s="143">
        <v>4194</v>
      </c>
      <c r="AW31" s="137" t="s">
        <v>2838</v>
      </c>
      <c r="AX31" s="137" t="s">
        <v>2838</v>
      </c>
      <c r="AY31" s="137" t="s">
        <v>2838</v>
      </c>
      <c r="AZ31" s="137" t="s">
        <v>2838</v>
      </c>
      <c r="BA31" s="137" t="s">
        <v>2838</v>
      </c>
      <c r="BB31" s="137" t="s">
        <v>2838</v>
      </c>
      <c r="BC31" s="137" t="s">
        <v>2838</v>
      </c>
      <c r="BD31" s="137" t="s">
        <v>2838</v>
      </c>
      <c r="BE31" s="137" t="s">
        <v>2838</v>
      </c>
      <c r="BF31" s="137" t="s">
        <v>2838</v>
      </c>
      <c r="BI31" s="137" t="s">
        <v>2487</v>
      </c>
      <c r="BJ31" s="137" t="s">
        <v>2486</v>
      </c>
      <c r="BK31" s="190" t="s">
        <v>2486</v>
      </c>
      <c r="BL31" s="190">
        <v>0.66666669999999995</v>
      </c>
      <c r="BM31" s="78" t="s">
        <v>2487</v>
      </c>
      <c r="BO31" s="143" t="s">
        <v>723</v>
      </c>
      <c r="BP31" s="143" t="s">
        <v>720</v>
      </c>
      <c r="BQ31" s="143" t="s">
        <v>663</v>
      </c>
      <c r="BR31" s="143">
        <v>4194</v>
      </c>
      <c r="BY31" s="78" t="s">
        <v>2838</v>
      </c>
    </row>
    <row r="32" spans="1:77" x14ac:dyDescent="0.35">
      <c r="A32" s="143" t="s">
        <v>724</v>
      </c>
      <c r="B32" s="143" t="s">
        <v>725</v>
      </c>
      <c r="C32" s="143" t="s">
        <v>663</v>
      </c>
      <c r="D32" s="143">
        <v>2267</v>
      </c>
      <c r="E32" s="137">
        <v>0.2</v>
      </c>
      <c r="F32" s="137">
        <v>0.8</v>
      </c>
      <c r="G32" s="271">
        <v>1</v>
      </c>
      <c r="H32" s="137" t="s">
        <v>2486</v>
      </c>
      <c r="I32" s="137">
        <v>0.1833333</v>
      </c>
      <c r="J32" s="137">
        <v>0.66666669999999995</v>
      </c>
      <c r="K32" s="137">
        <v>0.85</v>
      </c>
      <c r="M32" s="143" t="s">
        <v>724</v>
      </c>
      <c r="N32" s="143" t="s">
        <v>725</v>
      </c>
      <c r="O32" s="143" t="s">
        <v>663</v>
      </c>
      <c r="P32" s="143">
        <v>2267</v>
      </c>
      <c r="Q32" s="137" t="s">
        <v>2487</v>
      </c>
      <c r="R32" s="137" t="s">
        <v>2486</v>
      </c>
      <c r="S32" s="137" t="s">
        <v>2486</v>
      </c>
      <c r="T32" s="137" t="s">
        <v>2486</v>
      </c>
      <c r="U32" s="137" t="s">
        <v>2487</v>
      </c>
      <c r="V32" s="137" t="s">
        <v>2487</v>
      </c>
      <c r="W32" s="137" t="s">
        <v>2486</v>
      </c>
      <c r="X32" s="137" t="s">
        <v>2486</v>
      </c>
      <c r="Y32" s="137" t="s">
        <v>2486</v>
      </c>
      <c r="Z32" s="137" t="s">
        <v>2486</v>
      </c>
      <c r="AA32" s="137" t="s">
        <v>2486</v>
      </c>
      <c r="AB32" s="137">
        <v>0.72727269999999999</v>
      </c>
      <c r="AD32" s="143" t="s">
        <v>724</v>
      </c>
      <c r="AE32" s="143" t="s">
        <v>725</v>
      </c>
      <c r="AF32" s="143" t="s">
        <v>663</v>
      </c>
      <c r="AG32" s="143">
        <v>2267</v>
      </c>
      <c r="AO32" s="190">
        <v>0.92500000000000004</v>
      </c>
      <c r="AP32" s="190">
        <v>0.92500000000000004</v>
      </c>
      <c r="AQ32" s="78" t="s">
        <v>2487</v>
      </c>
      <c r="AS32" s="143" t="s">
        <v>724</v>
      </c>
      <c r="AT32" s="143" t="s">
        <v>725</v>
      </c>
      <c r="AU32" s="143" t="s">
        <v>663</v>
      </c>
      <c r="AV32" s="143">
        <v>2267</v>
      </c>
      <c r="AW32" s="137" t="s">
        <v>2838</v>
      </c>
      <c r="AX32" s="137" t="s">
        <v>2838</v>
      </c>
      <c r="AY32" s="137" t="s">
        <v>2838</v>
      </c>
      <c r="AZ32" s="137" t="s">
        <v>2838</v>
      </c>
      <c r="BA32" s="137" t="s">
        <v>2838</v>
      </c>
      <c r="BB32" s="137" t="s">
        <v>2838</v>
      </c>
      <c r="BC32" s="137" t="s">
        <v>2838</v>
      </c>
      <c r="BD32" s="137" t="s">
        <v>2838</v>
      </c>
      <c r="BE32" s="137" t="s">
        <v>2838</v>
      </c>
      <c r="BF32" s="137" t="s">
        <v>2838</v>
      </c>
      <c r="BI32" s="137" t="s">
        <v>2486</v>
      </c>
      <c r="BJ32" s="137" t="s">
        <v>2486</v>
      </c>
      <c r="BK32" s="190" t="s">
        <v>2486</v>
      </c>
      <c r="BL32" s="190">
        <v>1</v>
      </c>
      <c r="BM32" s="78" t="s">
        <v>2486</v>
      </c>
      <c r="BO32" s="143" t="s">
        <v>724</v>
      </c>
      <c r="BP32" s="143" t="s">
        <v>725</v>
      </c>
      <c r="BQ32" s="143" t="s">
        <v>663</v>
      </c>
      <c r="BR32" s="143">
        <v>2267</v>
      </c>
      <c r="BY32" s="78" t="s">
        <v>2838</v>
      </c>
    </row>
    <row r="33" spans="1:77" x14ac:dyDescent="0.35">
      <c r="A33" s="143" t="s">
        <v>724</v>
      </c>
      <c r="B33" s="143" t="s">
        <v>725</v>
      </c>
      <c r="C33" s="143" t="s">
        <v>663</v>
      </c>
      <c r="D33" s="143">
        <v>2273</v>
      </c>
      <c r="E33" s="137">
        <v>0.18181820000000001</v>
      </c>
      <c r="F33" s="137">
        <v>0.51072530000000005</v>
      </c>
      <c r="G33" s="271">
        <v>0.69254340000000003</v>
      </c>
      <c r="H33" s="137" t="s">
        <v>2487</v>
      </c>
      <c r="I33" s="137">
        <v>0.1666667</v>
      </c>
      <c r="J33" s="137">
        <v>0.66666669999999995</v>
      </c>
      <c r="K33" s="137">
        <v>0.83333330000000005</v>
      </c>
      <c r="M33" s="143" t="s">
        <v>724</v>
      </c>
      <c r="N33" s="143" t="s">
        <v>725</v>
      </c>
      <c r="O33" s="143" t="s">
        <v>663</v>
      </c>
      <c r="P33" s="143">
        <v>2273</v>
      </c>
      <c r="Q33" s="137" t="s">
        <v>2487</v>
      </c>
      <c r="R33" s="137" t="s">
        <v>2487</v>
      </c>
      <c r="S33" s="137" t="s">
        <v>2486</v>
      </c>
      <c r="T33" s="137" t="s">
        <v>2486</v>
      </c>
      <c r="U33" s="137" t="s">
        <v>2487</v>
      </c>
      <c r="V33" s="137" t="s">
        <v>2487</v>
      </c>
      <c r="W33" s="137" t="s">
        <v>2486</v>
      </c>
      <c r="X33" s="137" t="s">
        <v>2486</v>
      </c>
      <c r="Y33" s="137" t="s">
        <v>2486</v>
      </c>
      <c r="Z33" s="137" t="s">
        <v>2486</v>
      </c>
      <c r="AA33" s="137" t="s">
        <v>2486</v>
      </c>
      <c r="AB33" s="137">
        <v>0.63636360000000003</v>
      </c>
      <c r="AD33" s="143" t="s">
        <v>724</v>
      </c>
      <c r="AE33" s="143" t="s">
        <v>725</v>
      </c>
      <c r="AF33" s="143" t="s">
        <v>663</v>
      </c>
      <c r="AG33" s="143">
        <v>2273</v>
      </c>
      <c r="AO33" s="190">
        <v>0.86250000000000004</v>
      </c>
      <c r="AP33" s="190">
        <v>0.86250000000000004</v>
      </c>
      <c r="AQ33" s="78" t="s">
        <v>2487</v>
      </c>
      <c r="AS33" s="143" t="s">
        <v>724</v>
      </c>
      <c r="AT33" s="143" t="s">
        <v>725</v>
      </c>
      <c r="AU33" s="143" t="s">
        <v>663</v>
      </c>
      <c r="AV33" s="143">
        <v>2273</v>
      </c>
      <c r="AW33" s="137" t="s">
        <v>2838</v>
      </c>
      <c r="AX33" s="137" t="s">
        <v>2838</v>
      </c>
      <c r="AY33" s="137" t="s">
        <v>2838</v>
      </c>
      <c r="AZ33" s="137" t="s">
        <v>2838</v>
      </c>
      <c r="BA33" s="137" t="s">
        <v>2838</v>
      </c>
      <c r="BB33" s="137" t="s">
        <v>2838</v>
      </c>
      <c r="BC33" s="137" t="s">
        <v>2838</v>
      </c>
      <c r="BD33" s="137" t="s">
        <v>2838</v>
      </c>
      <c r="BE33" s="137" t="s">
        <v>2838</v>
      </c>
      <c r="BF33" s="137" t="s">
        <v>2838</v>
      </c>
      <c r="BI33" s="137" t="s">
        <v>2486</v>
      </c>
      <c r="BJ33" s="137" t="s">
        <v>2486</v>
      </c>
      <c r="BK33" s="190" t="s">
        <v>2486</v>
      </c>
      <c r="BL33" s="190">
        <v>1</v>
      </c>
      <c r="BM33" s="78" t="s">
        <v>2486</v>
      </c>
      <c r="BO33" s="143" t="s">
        <v>724</v>
      </c>
      <c r="BP33" s="143" t="s">
        <v>725</v>
      </c>
      <c r="BQ33" s="143" t="s">
        <v>663</v>
      </c>
      <c r="BR33" s="143">
        <v>2273</v>
      </c>
      <c r="BY33" s="78" t="s">
        <v>2838</v>
      </c>
    </row>
    <row r="34" spans="1:77" x14ac:dyDescent="0.35">
      <c r="A34" s="143" t="s">
        <v>724</v>
      </c>
      <c r="B34" s="143" t="s">
        <v>725</v>
      </c>
      <c r="C34" s="143" t="s">
        <v>663</v>
      </c>
      <c r="D34" s="143">
        <v>3109</v>
      </c>
      <c r="E34" s="137">
        <v>0.18181820000000001</v>
      </c>
      <c r="F34" s="137">
        <v>0.72727269999999999</v>
      </c>
      <c r="G34" s="271">
        <v>0.90909090000000004</v>
      </c>
      <c r="H34" s="137" t="s">
        <v>2486</v>
      </c>
      <c r="I34" s="137">
        <v>0.2</v>
      </c>
      <c r="J34" s="137">
        <v>0.6</v>
      </c>
      <c r="K34" s="137">
        <v>0.8</v>
      </c>
      <c r="M34" s="143" t="s">
        <v>724</v>
      </c>
      <c r="N34" s="143" t="s">
        <v>725</v>
      </c>
      <c r="O34" s="143" t="s">
        <v>663</v>
      </c>
      <c r="P34" s="143">
        <v>3109</v>
      </c>
      <c r="Q34" s="137" t="s">
        <v>2486</v>
      </c>
      <c r="R34" s="137" t="s">
        <v>2486</v>
      </c>
      <c r="S34" s="137" t="s">
        <v>2486</v>
      </c>
      <c r="T34" s="137" t="s">
        <v>2486</v>
      </c>
      <c r="U34" s="137" t="s">
        <v>2487</v>
      </c>
      <c r="V34" s="137" t="s">
        <v>2487</v>
      </c>
      <c r="W34" s="137" t="s">
        <v>2486</v>
      </c>
      <c r="X34" s="137" t="s">
        <v>2486</v>
      </c>
      <c r="Y34" s="137" t="s">
        <v>2486</v>
      </c>
      <c r="Z34" s="137" t="s">
        <v>2486</v>
      </c>
      <c r="AA34" s="137" t="s">
        <v>2486</v>
      </c>
      <c r="AB34" s="137">
        <v>0.81818179999999996</v>
      </c>
      <c r="AD34" s="143" t="s">
        <v>724</v>
      </c>
      <c r="AE34" s="143" t="s">
        <v>725</v>
      </c>
      <c r="AF34" s="143" t="s">
        <v>663</v>
      </c>
      <c r="AG34" s="143">
        <v>3109</v>
      </c>
      <c r="AO34" s="190">
        <v>0.91249999999999998</v>
      </c>
      <c r="AP34" s="190">
        <v>0.91249999999999998</v>
      </c>
      <c r="AQ34" s="78" t="s">
        <v>2487</v>
      </c>
      <c r="AS34" s="143" t="s">
        <v>724</v>
      </c>
      <c r="AT34" s="143" t="s">
        <v>725</v>
      </c>
      <c r="AU34" s="143" t="s">
        <v>663</v>
      </c>
      <c r="AV34" s="143">
        <v>3109</v>
      </c>
      <c r="AW34" s="137" t="s">
        <v>2838</v>
      </c>
      <c r="AX34" s="137" t="s">
        <v>2838</v>
      </c>
      <c r="AY34" s="137" t="s">
        <v>2838</v>
      </c>
      <c r="AZ34" s="137" t="s">
        <v>2838</v>
      </c>
      <c r="BA34" s="137" t="s">
        <v>2838</v>
      </c>
      <c r="BB34" s="137" t="s">
        <v>2838</v>
      </c>
      <c r="BC34" s="137" t="s">
        <v>2838</v>
      </c>
      <c r="BD34" s="137" t="s">
        <v>2838</v>
      </c>
      <c r="BE34" s="137" t="s">
        <v>2838</v>
      </c>
      <c r="BF34" s="137" t="s">
        <v>2838</v>
      </c>
      <c r="BI34" s="137" t="s">
        <v>2486</v>
      </c>
      <c r="BJ34" s="137" t="s">
        <v>2486</v>
      </c>
      <c r="BK34" s="190" t="s">
        <v>2486</v>
      </c>
      <c r="BL34" s="190">
        <v>1</v>
      </c>
      <c r="BM34" s="78" t="s">
        <v>2486</v>
      </c>
      <c r="BO34" s="143" t="s">
        <v>724</v>
      </c>
      <c r="BP34" s="143" t="s">
        <v>725</v>
      </c>
      <c r="BQ34" s="143" t="s">
        <v>663</v>
      </c>
      <c r="BR34" s="143">
        <v>3109</v>
      </c>
      <c r="BY34" s="78" t="s">
        <v>2838</v>
      </c>
    </row>
    <row r="35" spans="1:77" x14ac:dyDescent="0.35">
      <c r="A35" s="143" t="s">
        <v>724</v>
      </c>
      <c r="B35" s="143" t="s">
        <v>725</v>
      </c>
      <c r="C35" s="143" t="s">
        <v>663</v>
      </c>
      <c r="D35" s="143">
        <v>3718</v>
      </c>
      <c r="E35" s="137">
        <v>0.2</v>
      </c>
      <c r="F35" s="137">
        <v>0.72727269999999999</v>
      </c>
      <c r="G35" s="271">
        <v>0.92727269999999995</v>
      </c>
      <c r="H35" s="137" t="s">
        <v>2486</v>
      </c>
      <c r="I35" s="137">
        <v>0.2</v>
      </c>
      <c r="J35" s="137">
        <v>0.8</v>
      </c>
      <c r="K35" s="137">
        <v>1</v>
      </c>
      <c r="M35" s="143" t="s">
        <v>724</v>
      </c>
      <c r="N35" s="143" t="s">
        <v>725</v>
      </c>
      <c r="O35" s="143" t="s">
        <v>663</v>
      </c>
      <c r="P35" s="143">
        <v>3718</v>
      </c>
      <c r="Q35" s="137" t="s">
        <v>2486</v>
      </c>
      <c r="R35" s="137" t="s">
        <v>2486</v>
      </c>
      <c r="S35" s="137" t="s">
        <v>2486</v>
      </c>
      <c r="T35" s="137" t="s">
        <v>2486</v>
      </c>
      <c r="U35" s="137" t="s">
        <v>2487</v>
      </c>
      <c r="V35" s="137" t="s">
        <v>2487</v>
      </c>
      <c r="W35" s="137" t="s">
        <v>2486</v>
      </c>
      <c r="X35" s="137" t="s">
        <v>2486</v>
      </c>
      <c r="Y35" s="137" t="s">
        <v>2486</v>
      </c>
      <c r="Z35" s="137" t="s">
        <v>2486</v>
      </c>
      <c r="AA35" s="137" t="s">
        <v>2486</v>
      </c>
      <c r="AB35" s="137">
        <v>0.81818179999999996</v>
      </c>
      <c r="AD35" s="143" t="s">
        <v>724</v>
      </c>
      <c r="AE35" s="143" t="s">
        <v>725</v>
      </c>
      <c r="AF35" s="143" t="s">
        <v>663</v>
      </c>
      <c r="AG35" s="143">
        <v>3718</v>
      </c>
      <c r="AO35" s="190">
        <v>0.9</v>
      </c>
      <c r="AP35" s="190">
        <v>0.9</v>
      </c>
      <c r="AQ35" s="78" t="s">
        <v>2487</v>
      </c>
      <c r="AS35" s="143" t="s">
        <v>724</v>
      </c>
      <c r="AT35" s="143" t="s">
        <v>725</v>
      </c>
      <c r="AU35" s="143" t="s">
        <v>663</v>
      </c>
      <c r="AV35" s="143">
        <v>3718</v>
      </c>
      <c r="AW35" s="137" t="s">
        <v>2838</v>
      </c>
      <c r="AX35" s="137" t="s">
        <v>2838</v>
      </c>
      <c r="AY35" s="137" t="s">
        <v>2838</v>
      </c>
      <c r="AZ35" s="137" t="s">
        <v>2838</v>
      </c>
      <c r="BA35" s="137" t="s">
        <v>2838</v>
      </c>
      <c r="BB35" s="137" t="s">
        <v>2838</v>
      </c>
      <c r="BC35" s="137" t="s">
        <v>2838</v>
      </c>
      <c r="BD35" s="137" t="s">
        <v>2838</v>
      </c>
      <c r="BE35" s="137" t="s">
        <v>2838</v>
      </c>
      <c r="BF35" s="137" t="s">
        <v>2838</v>
      </c>
      <c r="BI35" s="137" t="s">
        <v>2486</v>
      </c>
      <c r="BJ35" s="137" t="s">
        <v>2486</v>
      </c>
      <c r="BK35" s="190" t="s">
        <v>2486</v>
      </c>
      <c r="BL35" s="190">
        <v>1</v>
      </c>
      <c r="BM35" s="78" t="s">
        <v>2486</v>
      </c>
      <c r="BO35" s="143" t="s">
        <v>724</v>
      </c>
      <c r="BP35" s="143" t="s">
        <v>725</v>
      </c>
      <c r="BQ35" s="143" t="s">
        <v>663</v>
      </c>
      <c r="BR35" s="143">
        <v>3718</v>
      </c>
      <c r="BY35" s="78" t="s">
        <v>2838</v>
      </c>
    </row>
    <row r="36" spans="1:77" x14ac:dyDescent="0.35">
      <c r="A36" s="143" t="s">
        <v>724</v>
      </c>
      <c r="B36" s="143" t="s">
        <v>725</v>
      </c>
      <c r="C36" s="143" t="s">
        <v>663</v>
      </c>
      <c r="D36" s="143">
        <v>3887</v>
      </c>
      <c r="E36" s="137">
        <v>0.18181820000000001</v>
      </c>
      <c r="F36" s="137">
        <v>0.69131770000000003</v>
      </c>
      <c r="G36" s="271">
        <v>0.87313589999999996</v>
      </c>
      <c r="H36" s="137" t="s">
        <v>2487</v>
      </c>
      <c r="I36" s="137">
        <v>0.15</v>
      </c>
      <c r="J36" s="137">
        <v>0.53333339999999996</v>
      </c>
      <c r="K36" s="137">
        <v>0.68333330000000003</v>
      </c>
      <c r="M36" s="143" t="s">
        <v>724</v>
      </c>
      <c r="N36" s="143" t="s">
        <v>725</v>
      </c>
      <c r="O36" s="143" t="s">
        <v>663</v>
      </c>
      <c r="P36" s="143">
        <v>3887</v>
      </c>
      <c r="Q36" s="137" t="s">
        <v>2487</v>
      </c>
      <c r="R36" s="137" t="s">
        <v>2487</v>
      </c>
      <c r="S36" s="137" t="s">
        <v>2486</v>
      </c>
      <c r="T36" s="137" t="s">
        <v>2486</v>
      </c>
      <c r="U36" s="137" t="s">
        <v>2487</v>
      </c>
      <c r="V36" s="137" t="s">
        <v>2487</v>
      </c>
      <c r="W36" s="137" t="s">
        <v>2486</v>
      </c>
      <c r="X36" s="137" t="s">
        <v>2486</v>
      </c>
      <c r="Y36" s="137" t="s">
        <v>2486</v>
      </c>
      <c r="Z36" s="137" t="s">
        <v>2486</v>
      </c>
      <c r="AA36" s="137" t="s">
        <v>2486</v>
      </c>
      <c r="AB36" s="137">
        <v>0.63636360000000003</v>
      </c>
      <c r="AD36" s="143" t="s">
        <v>724</v>
      </c>
      <c r="AE36" s="143" t="s">
        <v>725</v>
      </c>
      <c r="AF36" s="143" t="s">
        <v>663</v>
      </c>
      <c r="AG36" s="143">
        <v>3887</v>
      </c>
      <c r="AO36" s="190">
        <v>0.78749999999999998</v>
      </c>
      <c r="AP36" s="190">
        <v>0.78749999999999998</v>
      </c>
      <c r="AQ36" s="78" t="s">
        <v>2487</v>
      </c>
      <c r="AS36" s="143" t="s">
        <v>724</v>
      </c>
      <c r="AT36" s="143" t="s">
        <v>725</v>
      </c>
      <c r="AU36" s="143" t="s">
        <v>663</v>
      </c>
      <c r="AV36" s="143">
        <v>3887</v>
      </c>
      <c r="AW36" s="137" t="s">
        <v>2838</v>
      </c>
      <c r="AX36" s="137" t="s">
        <v>2838</v>
      </c>
      <c r="AY36" s="137" t="s">
        <v>2838</v>
      </c>
      <c r="AZ36" s="137" t="s">
        <v>2838</v>
      </c>
      <c r="BA36" s="137" t="s">
        <v>2838</v>
      </c>
      <c r="BB36" s="137" t="s">
        <v>2838</v>
      </c>
      <c r="BC36" s="137" t="s">
        <v>2838</v>
      </c>
      <c r="BD36" s="137" t="s">
        <v>2838</v>
      </c>
      <c r="BE36" s="137" t="s">
        <v>2838</v>
      </c>
      <c r="BF36" s="137" t="s">
        <v>2838</v>
      </c>
      <c r="BI36" s="137" t="s">
        <v>2486</v>
      </c>
      <c r="BJ36" s="137" t="s">
        <v>2486</v>
      </c>
      <c r="BK36" s="190" t="s">
        <v>2486</v>
      </c>
      <c r="BL36" s="190">
        <v>1</v>
      </c>
      <c r="BM36" s="78" t="s">
        <v>2486</v>
      </c>
      <c r="BO36" s="143" t="s">
        <v>724</v>
      </c>
      <c r="BP36" s="143" t="s">
        <v>725</v>
      </c>
      <c r="BQ36" s="143" t="s">
        <v>663</v>
      </c>
      <c r="BR36" s="143">
        <v>3887</v>
      </c>
      <c r="BY36" s="78" t="s">
        <v>2838</v>
      </c>
    </row>
    <row r="37" spans="1:77" x14ac:dyDescent="0.35">
      <c r="A37" s="143" t="s">
        <v>724</v>
      </c>
      <c r="B37" s="143" t="s">
        <v>725</v>
      </c>
      <c r="C37" s="143" t="s">
        <v>663</v>
      </c>
      <c r="D37" s="143">
        <v>3888</v>
      </c>
      <c r="E37" s="137">
        <v>0.18181820000000001</v>
      </c>
      <c r="F37" s="137">
        <v>0.67824309999999999</v>
      </c>
      <c r="G37" s="271">
        <v>0.86006130000000003</v>
      </c>
      <c r="H37" s="137" t="s">
        <v>2487</v>
      </c>
      <c r="I37" s="137">
        <v>0.1833333</v>
      </c>
      <c r="J37" s="137">
        <v>0.66666669999999995</v>
      </c>
      <c r="K37" s="137">
        <v>0.85</v>
      </c>
      <c r="M37" s="143" t="s">
        <v>724</v>
      </c>
      <c r="N37" s="143" t="s">
        <v>725</v>
      </c>
      <c r="O37" s="143" t="s">
        <v>663</v>
      </c>
      <c r="P37" s="143">
        <v>3888</v>
      </c>
      <c r="Q37" s="137" t="s">
        <v>2487</v>
      </c>
      <c r="R37" s="137" t="s">
        <v>2486</v>
      </c>
      <c r="S37" s="137" t="s">
        <v>2486</v>
      </c>
      <c r="T37" s="137" t="s">
        <v>2486</v>
      </c>
      <c r="U37" s="137" t="s">
        <v>2487</v>
      </c>
      <c r="V37" s="137" t="s">
        <v>2487</v>
      </c>
      <c r="W37" s="137" t="s">
        <v>2487</v>
      </c>
      <c r="X37" s="137" t="s">
        <v>2486</v>
      </c>
      <c r="Y37" s="137" t="s">
        <v>2486</v>
      </c>
      <c r="Z37" s="137" t="s">
        <v>2486</v>
      </c>
      <c r="AA37" s="137" t="s">
        <v>2486</v>
      </c>
      <c r="AB37" s="137">
        <v>0.63636360000000003</v>
      </c>
      <c r="AD37" s="143" t="s">
        <v>724</v>
      </c>
      <c r="AE37" s="143" t="s">
        <v>725</v>
      </c>
      <c r="AF37" s="143" t="s">
        <v>663</v>
      </c>
      <c r="AG37" s="143">
        <v>3888</v>
      </c>
      <c r="AO37" s="190">
        <v>0.8125</v>
      </c>
      <c r="AP37" s="190">
        <v>0.8125</v>
      </c>
      <c r="AQ37" s="78" t="s">
        <v>2487</v>
      </c>
      <c r="AS37" s="143" t="s">
        <v>724</v>
      </c>
      <c r="AT37" s="143" t="s">
        <v>725</v>
      </c>
      <c r="AU37" s="143" t="s">
        <v>663</v>
      </c>
      <c r="AV37" s="143">
        <v>3888</v>
      </c>
      <c r="AW37" s="137" t="s">
        <v>2838</v>
      </c>
      <c r="AX37" s="137" t="s">
        <v>2838</v>
      </c>
      <c r="AY37" s="137" t="s">
        <v>2838</v>
      </c>
      <c r="AZ37" s="137" t="s">
        <v>2838</v>
      </c>
      <c r="BA37" s="137" t="s">
        <v>2838</v>
      </c>
      <c r="BB37" s="137" t="s">
        <v>2838</v>
      </c>
      <c r="BC37" s="137" t="s">
        <v>2838</v>
      </c>
      <c r="BD37" s="137" t="s">
        <v>2838</v>
      </c>
      <c r="BE37" s="137" t="s">
        <v>2838</v>
      </c>
      <c r="BF37" s="137" t="s">
        <v>2838</v>
      </c>
      <c r="BI37" s="137" t="s">
        <v>2486</v>
      </c>
      <c r="BJ37" s="137" t="s">
        <v>2487</v>
      </c>
      <c r="BK37" s="190" t="s">
        <v>2486</v>
      </c>
      <c r="BL37" s="190">
        <v>0.66666669999999995</v>
      </c>
      <c r="BM37" s="78" t="s">
        <v>2487</v>
      </c>
      <c r="BO37" s="143" t="s">
        <v>724</v>
      </c>
      <c r="BP37" s="143" t="s">
        <v>725</v>
      </c>
      <c r="BQ37" s="143" t="s">
        <v>663</v>
      </c>
      <c r="BR37" s="143">
        <v>3888</v>
      </c>
      <c r="BY37" s="78" t="s">
        <v>2838</v>
      </c>
    </row>
    <row r="38" spans="1:77" x14ac:dyDescent="0.35">
      <c r="A38" s="143" t="s">
        <v>726</v>
      </c>
      <c r="B38" s="143" t="s">
        <v>720</v>
      </c>
      <c r="C38" s="143" t="s">
        <v>663</v>
      </c>
      <c r="D38" s="143">
        <v>1991</v>
      </c>
      <c r="E38" s="137">
        <v>0.12727269999999999</v>
      </c>
      <c r="F38" s="137">
        <v>0.56465779999999999</v>
      </c>
      <c r="G38" s="271">
        <v>0.6919305</v>
      </c>
      <c r="H38" s="137" t="s">
        <v>2487</v>
      </c>
      <c r="I38" s="137">
        <v>0.1666667</v>
      </c>
      <c r="J38" s="137">
        <v>0.53333339999999996</v>
      </c>
      <c r="K38" s="137">
        <v>0.7</v>
      </c>
      <c r="M38" s="143" t="s">
        <v>726</v>
      </c>
      <c r="N38" s="143" t="s">
        <v>720</v>
      </c>
      <c r="O38" s="143" t="s">
        <v>663</v>
      </c>
      <c r="P38" s="143">
        <v>1991</v>
      </c>
      <c r="Q38" s="137" t="s">
        <v>2486</v>
      </c>
      <c r="R38" s="137" t="s">
        <v>2486</v>
      </c>
      <c r="S38" s="137" t="s">
        <v>2486</v>
      </c>
      <c r="T38" s="137" t="s">
        <v>2487</v>
      </c>
      <c r="U38" s="137" t="s">
        <v>2487</v>
      </c>
      <c r="V38" s="137" t="s">
        <v>2487</v>
      </c>
      <c r="W38" s="137" t="s">
        <v>2486</v>
      </c>
      <c r="X38" s="137" t="s">
        <v>2486</v>
      </c>
      <c r="Y38" s="137" t="s">
        <v>2486</v>
      </c>
      <c r="Z38" s="137" t="s">
        <v>2486</v>
      </c>
      <c r="AA38" s="137" t="s">
        <v>2486</v>
      </c>
      <c r="AB38" s="137">
        <v>0.72727269999999999</v>
      </c>
      <c r="AD38" s="143" t="s">
        <v>726</v>
      </c>
      <c r="AE38" s="143" t="s">
        <v>720</v>
      </c>
      <c r="AF38" s="143" t="s">
        <v>663</v>
      </c>
      <c r="AG38" s="143">
        <v>1991</v>
      </c>
      <c r="AO38" s="190">
        <v>0.96250000000000002</v>
      </c>
      <c r="AP38" s="190">
        <v>0.96250000000000002</v>
      </c>
      <c r="AQ38" s="78" t="s">
        <v>2486</v>
      </c>
      <c r="AS38" s="143" t="s">
        <v>726</v>
      </c>
      <c r="AT38" s="143" t="s">
        <v>720</v>
      </c>
      <c r="AU38" s="143" t="s">
        <v>663</v>
      </c>
      <c r="AV38" s="143">
        <v>1991</v>
      </c>
      <c r="AW38" s="137" t="s">
        <v>2838</v>
      </c>
      <c r="AX38" s="137" t="s">
        <v>2838</v>
      </c>
      <c r="AY38" s="137" t="s">
        <v>2838</v>
      </c>
      <c r="AZ38" s="137" t="s">
        <v>2838</v>
      </c>
      <c r="BA38" s="137" t="s">
        <v>2838</v>
      </c>
      <c r="BB38" s="137" t="s">
        <v>2838</v>
      </c>
      <c r="BC38" s="137" t="s">
        <v>2838</v>
      </c>
      <c r="BD38" s="137" t="s">
        <v>2838</v>
      </c>
      <c r="BE38" s="137" t="s">
        <v>2838</v>
      </c>
      <c r="BF38" s="137" t="s">
        <v>2838</v>
      </c>
      <c r="BI38" s="137" t="s">
        <v>2486</v>
      </c>
      <c r="BJ38" s="137" t="s">
        <v>2486</v>
      </c>
      <c r="BK38" s="190" t="s">
        <v>2486</v>
      </c>
      <c r="BL38" s="190">
        <v>1</v>
      </c>
      <c r="BM38" s="78" t="s">
        <v>2486</v>
      </c>
      <c r="BO38" s="143" t="s">
        <v>726</v>
      </c>
      <c r="BP38" s="143" t="s">
        <v>720</v>
      </c>
      <c r="BQ38" s="143" t="s">
        <v>663</v>
      </c>
      <c r="BR38" s="143">
        <v>1991</v>
      </c>
      <c r="BY38" s="78" t="s">
        <v>2838</v>
      </c>
    </row>
    <row r="39" spans="1:77" x14ac:dyDescent="0.35">
      <c r="A39" s="143" t="s">
        <v>726</v>
      </c>
      <c r="B39" s="143" t="s">
        <v>720</v>
      </c>
      <c r="C39" s="143" t="s">
        <v>663</v>
      </c>
      <c r="D39" s="143">
        <v>2764</v>
      </c>
      <c r="E39" s="137">
        <v>0.18181820000000001</v>
      </c>
      <c r="F39" s="137">
        <v>0.55403469999999999</v>
      </c>
      <c r="G39" s="271">
        <v>0.73585290000000003</v>
      </c>
      <c r="H39" s="137" t="s">
        <v>2487</v>
      </c>
      <c r="I39" s="137">
        <v>0.15</v>
      </c>
      <c r="J39" s="137">
        <v>0.50936329999999996</v>
      </c>
      <c r="K39" s="137">
        <v>0.65936329999999999</v>
      </c>
      <c r="M39" s="143" t="s">
        <v>726</v>
      </c>
      <c r="N39" s="143" t="s">
        <v>720</v>
      </c>
      <c r="O39" s="143" t="s">
        <v>663</v>
      </c>
      <c r="P39" s="143">
        <v>2764</v>
      </c>
      <c r="Q39" s="137" t="s">
        <v>2486</v>
      </c>
      <c r="R39" s="137" t="s">
        <v>2486</v>
      </c>
      <c r="S39" s="137" t="s">
        <v>2486</v>
      </c>
      <c r="T39" s="137" t="s">
        <v>2486</v>
      </c>
      <c r="U39" s="137" t="s">
        <v>2487</v>
      </c>
      <c r="V39" s="137" t="s">
        <v>2487</v>
      </c>
      <c r="W39" s="137" t="s">
        <v>2486</v>
      </c>
      <c r="X39" s="137" t="s">
        <v>2486</v>
      </c>
      <c r="Y39" s="137" t="s">
        <v>2486</v>
      </c>
      <c r="Z39" s="137" t="s">
        <v>2486</v>
      </c>
      <c r="AA39" s="137" t="s">
        <v>2486</v>
      </c>
      <c r="AB39" s="137">
        <v>0.81818179999999996</v>
      </c>
      <c r="AD39" s="143" t="s">
        <v>726</v>
      </c>
      <c r="AE39" s="143" t="s">
        <v>720</v>
      </c>
      <c r="AF39" s="143" t="s">
        <v>663</v>
      </c>
      <c r="AG39" s="143">
        <v>2764</v>
      </c>
      <c r="AO39" s="190">
        <v>0.98750000000000004</v>
      </c>
      <c r="AP39" s="190">
        <v>0.98750000000000004</v>
      </c>
      <c r="AQ39" s="78" t="s">
        <v>2486</v>
      </c>
      <c r="AS39" s="143" t="s">
        <v>726</v>
      </c>
      <c r="AT39" s="143" t="s">
        <v>720</v>
      </c>
      <c r="AU39" s="143" t="s">
        <v>663</v>
      </c>
      <c r="AV39" s="143">
        <v>2764</v>
      </c>
      <c r="AW39" s="137" t="s">
        <v>2838</v>
      </c>
      <c r="AX39" s="137" t="s">
        <v>2838</v>
      </c>
      <c r="AY39" s="137" t="s">
        <v>2838</v>
      </c>
      <c r="AZ39" s="137" t="s">
        <v>2838</v>
      </c>
      <c r="BA39" s="137" t="s">
        <v>2838</v>
      </c>
      <c r="BB39" s="137" t="s">
        <v>2838</v>
      </c>
      <c r="BC39" s="137" t="s">
        <v>2838</v>
      </c>
      <c r="BD39" s="137" t="s">
        <v>2838</v>
      </c>
      <c r="BE39" s="137" t="s">
        <v>2838</v>
      </c>
      <c r="BF39" s="137" t="s">
        <v>2838</v>
      </c>
      <c r="BI39" s="137" t="s">
        <v>2486</v>
      </c>
      <c r="BJ39" s="137" t="s">
        <v>2486</v>
      </c>
      <c r="BK39" s="190" t="s">
        <v>2486</v>
      </c>
      <c r="BL39" s="190">
        <v>1</v>
      </c>
      <c r="BM39" s="78" t="s">
        <v>2486</v>
      </c>
      <c r="BO39" s="143" t="s">
        <v>726</v>
      </c>
      <c r="BP39" s="143" t="s">
        <v>720</v>
      </c>
      <c r="BQ39" s="143" t="s">
        <v>663</v>
      </c>
      <c r="BR39" s="143">
        <v>2764</v>
      </c>
      <c r="BY39" s="78" t="s">
        <v>2838</v>
      </c>
    </row>
    <row r="40" spans="1:77" x14ac:dyDescent="0.35">
      <c r="A40" s="143" t="s">
        <v>726</v>
      </c>
      <c r="B40" s="143" t="s">
        <v>720</v>
      </c>
      <c r="C40" s="143" t="s">
        <v>663</v>
      </c>
      <c r="D40" s="143">
        <v>2766</v>
      </c>
      <c r="E40" s="137">
        <v>0.14545449999999999</v>
      </c>
      <c r="F40" s="137">
        <v>0.5785496</v>
      </c>
      <c r="G40" s="271">
        <v>0.72400410000000004</v>
      </c>
      <c r="H40" s="137" t="s">
        <v>2487</v>
      </c>
      <c r="I40" s="137">
        <v>0.2</v>
      </c>
      <c r="J40" s="137">
        <v>0.6</v>
      </c>
      <c r="K40" s="137">
        <v>0.8</v>
      </c>
      <c r="M40" s="143" t="s">
        <v>726</v>
      </c>
      <c r="N40" s="143" t="s">
        <v>720</v>
      </c>
      <c r="O40" s="143" t="s">
        <v>663</v>
      </c>
      <c r="P40" s="143">
        <v>2766</v>
      </c>
      <c r="Q40" s="137" t="s">
        <v>2486</v>
      </c>
      <c r="R40" s="137" t="s">
        <v>2486</v>
      </c>
      <c r="S40" s="137" t="s">
        <v>2486</v>
      </c>
      <c r="T40" s="137" t="s">
        <v>2486</v>
      </c>
      <c r="U40" s="137" t="s">
        <v>2487</v>
      </c>
      <c r="V40" s="137" t="s">
        <v>2487</v>
      </c>
      <c r="W40" s="137" t="s">
        <v>2486</v>
      </c>
      <c r="X40" s="137" t="s">
        <v>2486</v>
      </c>
      <c r="Y40" s="137" t="s">
        <v>2486</v>
      </c>
      <c r="Z40" s="137" t="s">
        <v>2486</v>
      </c>
      <c r="AA40" s="137" t="s">
        <v>2486</v>
      </c>
      <c r="AB40" s="137">
        <v>0.81818179999999996</v>
      </c>
      <c r="AD40" s="143" t="s">
        <v>726</v>
      </c>
      <c r="AE40" s="143" t="s">
        <v>720</v>
      </c>
      <c r="AF40" s="143" t="s">
        <v>663</v>
      </c>
      <c r="AG40" s="143">
        <v>2766</v>
      </c>
      <c r="AO40" s="190">
        <v>0.95</v>
      </c>
      <c r="AP40" s="190">
        <v>0.95</v>
      </c>
      <c r="AQ40" s="78" t="s">
        <v>2487</v>
      </c>
      <c r="AS40" s="143" t="s">
        <v>726</v>
      </c>
      <c r="AT40" s="143" t="s">
        <v>720</v>
      </c>
      <c r="AU40" s="143" t="s">
        <v>663</v>
      </c>
      <c r="AV40" s="143">
        <v>2766</v>
      </c>
      <c r="AW40" s="137" t="s">
        <v>2838</v>
      </c>
      <c r="AX40" s="137" t="s">
        <v>2838</v>
      </c>
      <c r="AY40" s="137" t="s">
        <v>2838</v>
      </c>
      <c r="AZ40" s="137" t="s">
        <v>2838</v>
      </c>
      <c r="BA40" s="137" t="s">
        <v>2838</v>
      </c>
      <c r="BB40" s="137" t="s">
        <v>2838</v>
      </c>
      <c r="BC40" s="137" t="s">
        <v>2838</v>
      </c>
      <c r="BD40" s="137" t="s">
        <v>2838</v>
      </c>
      <c r="BE40" s="137" t="s">
        <v>2838</v>
      </c>
      <c r="BF40" s="137" t="s">
        <v>2838</v>
      </c>
      <c r="BI40" s="137" t="s">
        <v>2486</v>
      </c>
      <c r="BJ40" s="137" t="s">
        <v>2486</v>
      </c>
      <c r="BK40" s="190" t="s">
        <v>2486</v>
      </c>
      <c r="BL40" s="190">
        <v>1</v>
      </c>
      <c r="BM40" s="78" t="s">
        <v>2486</v>
      </c>
      <c r="BO40" s="143" t="s">
        <v>726</v>
      </c>
      <c r="BP40" s="143" t="s">
        <v>720</v>
      </c>
      <c r="BQ40" s="143" t="s">
        <v>663</v>
      </c>
      <c r="BR40" s="143">
        <v>2766</v>
      </c>
      <c r="BY40" s="78" t="s">
        <v>2838</v>
      </c>
    </row>
    <row r="41" spans="1:77" x14ac:dyDescent="0.35">
      <c r="A41" s="143" t="s">
        <v>726</v>
      </c>
      <c r="B41" s="143" t="s">
        <v>720</v>
      </c>
      <c r="C41" s="143" t="s">
        <v>663</v>
      </c>
      <c r="D41" s="143">
        <v>2768</v>
      </c>
      <c r="E41" s="137">
        <v>0.18181820000000001</v>
      </c>
      <c r="F41" s="137">
        <v>0.72727269999999999</v>
      </c>
      <c r="G41" s="271">
        <v>0.90909090000000004</v>
      </c>
      <c r="H41" s="137" t="s">
        <v>2486</v>
      </c>
      <c r="I41" s="137">
        <v>0.2</v>
      </c>
      <c r="J41" s="137">
        <v>0.8</v>
      </c>
      <c r="K41" s="137">
        <v>1</v>
      </c>
      <c r="M41" s="143" t="s">
        <v>726</v>
      </c>
      <c r="N41" s="143" t="s">
        <v>720</v>
      </c>
      <c r="O41" s="143" t="s">
        <v>663</v>
      </c>
      <c r="P41" s="143">
        <v>2768</v>
      </c>
      <c r="Q41" s="137" t="s">
        <v>2486</v>
      </c>
      <c r="R41" s="137" t="s">
        <v>2486</v>
      </c>
      <c r="S41" s="137" t="s">
        <v>2486</v>
      </c>
      <c r="T41" s="137" t="s">
        <v>2486</v>
      </c>
      <c r="U41" s="137" t="s">
        <v>2487</v>
      </c>
      <c r="V41" s="137" t="s">
        <v>2487</v>
      </c>
      <c r="W41" s="137" t="s">
        <v>2486</v>
      </c>
      <c r="X41" s="137" t="s">
        <v>2486</v>
      </c>
      <c r="Y41" s="137" t="s">
        <v>2486</v>
      </c>
      <c r="Z41" s="137" t="s">
        <v>2486</v>
      </c>
      <c r="AA41" s="137" t="s">
        <v>2486</v>
      </c>
      <c r="AB41" s="137">
        <v>0.81818179999999996</v>
      </c>
      <c r="AD41" s="143" t="s">
        <v>726</v>
      </c>
      <c r="AE41" s="143" t="s">
        <v>720</v>
      </c>
      <c r="AF41" s="143" t="s">
        <v>663</v>
      </c>
      <c r="AG41" s="143">
        <v>2768</v>
      </c>
      <c r="AO41" s="190">
        <v>0.98750000000000004</v>
      </c>
      <c r="AP41" s="190">
        <v>0.98750000000000004</v>
      </c>
      <c r="AQ41" s="78" t="s">
        <v>2486</v>
      </c>
      <c r="AS41" s="143" t="s">
        <v>726</v>
      </c>
      <c r="AT41" s="143" t="s">
        <v>720</v>
      </c>
      <c r="AU41" s="143" t="s">
        <v>663</v>
      </c>
      <c r="AV41" s="143">
        <v>2768</v>
      </c>
      <c r="AW41" s="137" t="s">
        <v>2838</v>
      </c>
      <c r="AX41" s="137" t="s">
        <v>2838</v>
      </c>
      <c r="AY41" s="137" t="s">
        <v>2838</v>
      </c>
      <c r="AZ41" s="137" t="s">
        <v>2838</v>
      </c>
      <c r="BA41" s="137" t="s">
        <v>2838</v>
      </c>
      <c r="BB41" s="137" t="s">
        <v>2838</v>
      </c>
      <c r="BC41" s="137" t="s">
        <v>2838</v>
      </c>
      <c r="BD41" s="137" t="s">
        <v>2838</v>
      </c>
      <c r="BE41" s="137" t="s">
        <v>2838</v>
      </c>
      <c r="BF41" s="137" t="s">
        <v>2838</v>
      </c>
      <c r="BI41" s="137" t="s">
        <v>2486</v>
      </c>
      <c r="BJ41" s="137" t="s">
        <v>2486</v>
      </c>
      <c r="BK41" s="190" t="s">
        <v>2486</v>
      </c>
      <c r="BL41" s="190">
        <v>1</v>
      </c>
      <c r="BM41" s="78" t="s">
        <v>2486</v>
      </c>
      <c r="BO41" s="143" t="s">
        <v>726</v>
      </c>
      <c r="BP41" s="143" t="s">
        <v>720</v>
      </c>
      <c r="BQ41" s="143" t="s">
        <v>663</v>
      </c>
      <c r="BR41" s="143">
        <v>2768</v>
      </c>
      <c r="BY41" s="78" t="s">
        <v>2838</v>
      </c>
    </row>
    <row r="42" spans="1:77" x14ac:dyDescent="0.35">
      <c r="A42" s="143" t="s">
        <v>726</v>
      </c>
      <c r="B42" s="143" t="s">
        <v>720</v>
      </c>
      <c r="C42" s="143" t="s">
        <v>663</v>
      </c>
      <c r="D42" s="143">
        <v>3133</v>
      </c>
      <c r="E42" s="137">
        <v>0.18181820000000001</v>
      </c>
      <c r="F42" s="137">
        <v>0.72236979999999995</v>
      </c>
      <c r="G42" s="271">
        <v>0.90418790000000004</v>
      </c>
      <c r="H42" s="137" t="s">
        <v>2486</v>
      </c>
      <c r="I42" s="137">
        <v>0.1666667</v>
      </c>
      <c r="J42" s="137">
        <v>0.13258429999999999</v>
      </c>
      <c r="K42" s="137">
        <v>0.29925089999999999</v>
      </c>
      <c r="M42" s="143" t="s">
        <v>726</v>
      </c>
      <c r="N42" s="143" t="s">
        <v>720</v>
      </c>
      <c r="O42" s="143" t="s">
        <v>663</v>
      </c>
      <c r="P42" s="143">
        <v>3133</v>
      </c>
      <c r="Q42" s="137" t="s">
        <v>2486</v>
      </c>
      <c r="R42" s="137" t="s">
        <v>2487</v>
      </c>
      <c r="S42" s="137" t="s">
        <v>2486</v>
      </c>
      <c r="T42" s="137" t="s">
        <v>2486</v>
      </c>
      <c r="U42" s="137" t="s">
        <v>2487</v>
      </c>
      <c r="V42" s="137" t="s">
        <v>2487</v>
      </c>
      <c r="W42" s="137" t="s">
        <v>2486</v>
      </c>
      <c r="X42" s="137" t="s">
        <v>2486</v>
      </c>
      <c r="Y42" s="137" t="s">
        <v>2486</v>
      </c>
      <c r="Z42" s="137" t="s">
        <v>2486</v>
      </c>
      <c r="AA42" s="137" t="s">
        <v>2486</v>
      </c>
      <c r="AB42" s="137">
        <v>0.72727269999999999</v>
      </c>
      <c r="AD42" s="143" t="s">
        <v>726</v>
      </c>
      <c r="AE42" s="143" t="s">
        <v>720</v>
      </c>
      <c r="AF42" s="143" t="s">
        <v>663</v>
      </c>
      <c r="AG42" s="143">
        <v>3133</v>
      </c>
      <c r="AO42" s="190">
        <v>0.92500000000000004</v>
      </c>
      <c r="AP42" s="190">
        <v>0.92500000000000004</v>
      </c>
      <c r="AQ42" s="78" t="s">
        <v>2487</v>
      </c>
      <c r="AS42" s="143" t="s">
        <v>726</v>
      </c>
      <c r="AT42" s="143" t="s">
        <v>720</v>
      </c>
      <c r="AU42" s="143" t="s">
        <v>663</v>
      </c>
      <c r="AV42" s="143">
        <v>3133</v>
      </c>
      <c r="AW42" s="137" t="s">
        <v>2838</v>
      </c>
      <c r="AX42" s="137" t="s">
        <v>2838</v>
      </c>
      <c r="AY42" s="137" t="s">
        <v>2838</v>
      </c>
      <c r="AZ42" s="137" t="s">
        <v>2838</v>
      </c>
      <c r="BA42" s="137" t="s">
        <v>2838</v>
      </c>
      <c r="BB42" s="137" t="s">
        <v>2838</v>
      </c>
      <c r="BC42" s="137" t="s">
        <v>2838</v>
      </c>
      <c r="BD42" s="137" t="s">
        <v>2838</v>
      </c>
      <c r="BE42" s="137" t="s">
        <v>2838</v>
      </c>
      <c r="BF42" s="137" t="s">
        <v>2838</v>
      </c>
      <c r="BI42" s="137" t="s">
        <v>2486</v>
      </c>
      <c r="BJ42" s="137" t="s">
        <v>2486</v>
      </c>
      <c r="BK42" s="190" t="s">
        <v>2486</v>
      </c>
      <c r="BL42" s="190">
        <v>1</v>
      </c>
      <c r="BM42" s="78" t="s">
        <v>2486</v>
      </c>
      <c r="BO42" s="143" t="s">
        <v>726</v>
      </c>
      <c r="BP42" s="143" t="s">
        <v>720</v>
      </c>
      <c r="BQ42" s="143" t="s">
        <v>663</v>
      </c>
      <c r="BR42" s="143">
        <v>3133</v>
      </c>
      <c r="BY42" s="78" t="s">
        <v>2838</v>
      </c>
    </row>
    <row r="43" spans="1:77" x14ac:dyDescent="0.35">
      <c r="A43" s="143" t="s">
        <v>726</v>
      </c>
      <c r="B43" s="143" t="s">
        <v>720</v>
      </c>
      <c r="C43" s="143" t="s">
        <v>663</v>
      </c>
      <c r="D43" s="143">
        <v>4351</v>
      </c>
      <c r="E43" s="137">
        <v>0.16363639999999999</v>
      </c>
      <c r="F43" s="137">
        <v>0.72318689999999997</v>
      </c>
      <c r="G43" s="271">
        <v>0.88682329999999998</v>
      </c>
      <c r="H43" s="137" t="s">
        <v>2487</v>
      </c>
      <c r="I43" s="137">
        <v>0.1666667</v>
      </c>
      <c r="J43" s="137">
        <v>6.6666699999999995E-2</v>
      </c>
      <c r="K43" s="137">
        <v>0.23333329999999999</v>
      </c>
      <c r="M43" s="143" t="s">
        <v>726</v>
      </c>
      <c r="N43" s="143" t="s">
        <v>720</v>
      </c>
      <c r="O43" s="143" t="s">
        <v>663</v>
      </c>
      <c r="P43" s="143">
        <v>4351</v>
      </c>
      <c r="Q43" s="137" t="s">
        <v>2486</v>
      </c>
      <c r="R43" s="137" t="s">
        <v>2486</v>
      </c>
      <c r="S43" s="137" t="s">
        <v>2486</v>
      </c>
      <c r="T43" s="137" t="s">
        <v>2486</v>
      </c>
      <c r="U43" s="137" t="s">
        <v>2487</v>
      </c>
      <c r="V43" s="137" t="s">
        <v>2487</v>
      </c>
      <c r="W43" s="137" t="s">
        <v>2486</v>
      </c>
      <c r="X43" s="137" t="s">
        <v>2486</v>
      </c>
      <c r="Y43" s="137" t="s">
        <v>2486</v>
      </c>
      <c r="Z43" s="137" t="s">
        <v>2486</v>
      </c>
      <c r="AA43" s="137" t="s">
        <v>2486</v>
      </c>
      <c r="AB43" s="137">
        <v>0.81818179999999996</v>
      </c>
      <c r="AD43" s="143" t="s">
        <v>726</v>
      </c>
      <c r="AE43" s="143" t="s">
        <v>720</v>
      </c>
      <c r="AF43" s="143" t="s">
        <v>663</v>
      </c>
      <c r="AG43" s="143">
        <v>4351</v>
      </c>
      <c r="AO43" s="190">
        <v>0.96250000000000002</v>
      </c>
      <c r="AP43" s="190">
        <v>0.96250000000000002</v>
      </c>
      <c r="AQ43" s="78" t="s">
        <v>2486</v>
      </c>
      <c r="AS43" s="143" t="s">
        <v>726</v>
      </c>
      <c r="AT43" s="143" t="s">
        <v>720</v>
      </c>
      <c r="AU43" s="143" t="s">
        <v>663</v>
      </c>
      <c r="AV43" s="143">
        <v>4351</v>
      </c>
      <c r="AW43" s="137" t="s">
        <v>2838</v>
      </c>
      <c r="AX43" s="137" t="s">
        <v>2838</v>
      </c>
      <c r="AY43" s="137" t="s">
        <v>2838</v>
      </c>
      <c r="AZ43" s="137" t="s">
        <v>2838</v>
      </c>
      <c r="BA43" s="137" t="s">
        <v>2838</v>
      </c>
      <c r="BB43" s="137" t="s">
        <v>2838</v>
      </c>
      <c r="BC43" s="137" t="s">
        <v>2838</v>
      </c>
      <c r="BD43" s="137" t="s">
        <v>2838</v>
      </c>
      <c r="BE43" s="137" t="s">
        <v>2838</v>
      </c>
      <c r="BF43" s="137" t="s">
        <v>2838</v>
      </c>
      <c r="BI43" s="137" t="s">
        <v>2486</v>
      </c>
      <c r="BJ43" s="137" t="s">
        <v>2486</v>
      </c>
      <c r="BK43" s="190" t="s">
        <v>2486</v>
      </c>
      <c r="BL43" s="190">
        <v>1</v>
      </c>
      <c r="BM43" s="78" t="s">
        <v>2486</v>
      </c>
      <c r="BO43" s="143" t="s">
        <v>726</v>
      </c>
      <c r="BP43" s="143" t="s">
        <v>720</v>
      </c>
      <c r="BQ43" s="143" t="s">
        <v>663</v>
      </c>
      <c r="BR43" s="143">
        <v>4351</v>
      </c>
      <c r="BY43" s="78" t="s">
        <v>2838</v>
      </c>
    </row>
    <row r="44" spans="1:77" x14ac:dyDescent="0.35">
      <c r="A44" s="143" t="s">
        <v>727</v>
      </c>
      <c r="B44" s="143" t="s">
        <v>728</v>
      </c>
      <c r="C44" s="143" t="s">
        <v>2452</v>
      </c>
      <c r="D44" s="143">
        <v>1837</v>
      </c>
      <c r="E44" s="137">
        <v>0.18</v>
      </c>
      <c r="F44" s="137">
        <v>0.8</v>
      </c>
      <c r="G44" s="271">
        <v>0.98</v>
      </c>
      <c r="H44" s="137" t="s">
        <v>2486</v>
      </c>
      <c r="I44" s="137">
        <v>0.1666667</v>
      </c>
      <c r="J44" s="137">
        <v>0.62122339999999998</v>
      </c>
      <c r="K44" s="137">
        <v>0.78789010000000004</v>
      </c>
      <c r="M44" s="143" t="s">
        <v>727</v>
      </c>
      <c r="N44" s="143" t="s">
        <v>728</v>
      </c>
      <c r="O44" s="143" t="s">
        <v>2452</v>
      </c>
      <c r="P44" s="143">
        <v>1837</v>
      </c>
      <c r="Q44" s="137" t="s">
        <v>2486</v>
      </c>
      <c r="R44" s="137" t="s">
        <v>2486</v>
      </c>
      <c r="S44" s="137" t="s">
        <v>2486</v>
      </c>
      <c r="T44" s="137" t="s">
        <v>2486</v>
      </c>
      <c r="U44" s="137" t="s">
        <v>2486</v>
      </c>
      <c r="V44" s="137" t="s">
        <v>2486</v>
      </c>
      <c r="W44" s="137" t="s">
        <v>2486</v>
      </c>
      <c r="X44" s="137" t="s">
        <v>2486</v>
      </c>
      <c r="Y44" s="137" t="s">
        <v>2486</v>
      </c>
      <c r="Z44" s="137" t="s">
        <v>2486</v>
      </c>
      <c r="AA44" s="137" t="s">
        <v>2486</v>
      </c>
      <c r="AB44" s="137">
        <v>1</v>
      </c>
      <c r="AD44" s="143" t="s">
        <v>727</v>
      </c>
      <c r="AE44" s="143" t="s">
        <v>728</v>
      </c>
      <c r="AF44" s="143" t="s">
        <v>2452</v>
      </c>
      <c r="AG44" s="143">
        <v>1837</v>
      </c>
      <c r="AH44" s="137">
        <v>0.93846149999999995</v>
      </c>
      <c r="AI44" s="137">
        <v>0.92</v>
      </c>
      <c r="AJ44" s="137">
        <v>0.9473684</v>
      </c>
      <c r="AK44" s="137">
        <v>0.86363639999999997</v>
      </c>
      <c r="AL44" s="137">
        <v>0.88888889999999998</v>
      </c>
      <c r="AM44" s="137">
        <v>0.96666660000000004</v>
      </c>
      <c r="AN44" s="137">
        <v>1</v>
      </c>
      <c r="AO44" s="190">
        <v>0.94117649999999997</v>
      </c>
      <c r="AP44" s="190">
        <v>0.93886460000000005</v>
      </c>
      <c r="AQ44" s="78" t="s">
        <v>2487</v>
      </c>
      <c r="AS44" s="143" t="s">
        <v>727</v>
      </c>
      <c r="AT44" s="143" t="s">
        <v>728</v>
      </c>
      <c r="AU44" s="143" t="s">
        <v>2452</v>
      </c>
      <c r="AV44" s="143">
        <v>1837</v>
      </c>
      <c r="AW44" s="137" t="s">
        <v>2486</v>
      </c>
      <c r="AX44" s="137" t="s">
        <v>2486</v>
      </c>
      <c r="AY44" s="137" t="s">
        <v>2486</v>
      </c>
      <c r="AZ44" s="137" t="s">
        <v>2486</v>
      </c>
      <c r="BA44" s="137" t="s">
        <v>2486</v>
      </c>
      <c r="BB44" s="137" t="s">
        <v>2486</v>
      </c>
      <c r="BC44" s="137" t="s">
        <v>2486</v>
      </c>
      <c r="BD44" s="137" t="s">
        <v>2486</v>
      </c>
      <c r="BE44" s="137" t="s">
        <v>2486</v>
      </c>
      <c r="BF44" s="137" t="s">
        <v>2486</v>
      </c>
      <c r="BI44" s="137" t="s">
        <v>2838</v>
      </c>
      <c r="BJ44" s="137" t="s">
        <v>2838</v>
      </c>
      <c r="BK44" s="190" t="s">
        <v>2838</v>
      </c>
      <c r="BL44" s="190">
        <v>1</v>
      </c>
      <c r="BM44" s="78" t="s">
        <v>2486</v>
      </c>
      <c r="BO44" s="143" t="s">
        <v>727</v>
      </c>
      <c r="BP44" s="143" t="s">
        <v>728</v>
      </c>
      <c r="BQ44" s="143" t="s">
        <v>2452</v>
      </c>
      <c r="BR44" s="143">
        <v>1837</v>
      </c>
      <c r="BS44" s="156">
        <v>3</v>
      </c>
      <c r="BT44" s="156">
        <v>1</v>
      </c>
      <c r="BU44" s="156">
        <v>1</v>
      </c>
      <c r="BV44" s="156">
        <v>1</v>
      </c>
      <c r="BW44" s="169">
        <v>0.75</v>
      </c>
      <c r="BX44" s="169">
        <v>0.9375</v>
      </c>
      <c r="BY44" s="78" t="s">
        <v>2487</v>
      </c>
    </row>
    <row r="45" spans="1:77" x14ac:dyDescent="0.35">
      <c r="A45" s="143" t="s">
        <v>727</v>
      </c>
      <c r="B45" s="143" t="s">
        <v>728</v>
      </c>
      <c r="C45" s="143" t="s">
        <v>663</v>
      </c>
      <c r="D45" s="143">
        <v>2793</v>
      </c>
      <c r="E45" s="137">
        <v>0.16363639999999999</v>
      </c>
      <c r="F45" s="137">
        <v>0.60878449999999995</v>
      </c>
      <c r="G45" s="271">
        <v>0.77242080000000002</v>
      </c>
      <c r="H45" s="137" t="s">
        <v>2487</v>
      </c>
      <c r="I45" s="137">
        <v>0.1166667</v>
      </c>
      <c r="J45" s="137">
        <v>0.4</v>
      </c>
      <c r="K45" s="137">
        <v>0.51666670000000003</v>
      </c>
      <c r="M45" s="143" t="s">
        <v>727</v>
      </c>
      <c r="N45" s="143" t="s">
        <v>728</v>
      </c>
      <c r="O45" s="143" t="s">
        <v>663</v>
      </c>
      <c r="P45" s="143">
        <v>2793</v>
      </c>
      <c r="Q45" s="137" t="s">
        <v>2486</v>
      </c>
      <c r="R45" s="137" t="s">
        <v>2486</v>
      </c>
      <c r="S45" s="137" t="s">
        <v>2487</v>
      </c>
      <c r="T45" s="137" t="s">
        <v>2486</v>
      </c>
      <c r="U45" s="137" t="s">
        <v>2487</v>
      </c>
      <c r="V45" s="137" t="s">
        <v>2487</v>
      </c>
      <c r="W45" s="137" t="s">
        <v>2486</v>
      </c>
      <c r="X45" s="137" t="s">
        <v>2486</v>
      </c>
      <c r="Y45" s="137" t="s">
        <v>2486</v>
      </c>
      <c r="Z45" s="137" t="s">
        <v>2486</v>
      </c>
      <c r="AA45" s="137" t="s">
        <v>2486</v>
      </c>
      <c r="AB45" s="137">
        <v>0.72727269999999999</v>
      </c>
      <c r="AD45" s="143" t="s">
        <v>727</v>
      </c>
      <c r="AE45" s="143" t="s">
        <v>728</v>
      </c>
      <c r="AF45" s="143" t="s">
        <v>663</v>
      </c>
      <c r="AG45" s="143">
        <v>2793</v>
      </c>
      <c r="AO45" s="190">
        <v>0.92500000000000004</v>
      </c>
      <c r="AP45" s="190">
        <v>0.92500000000000004</v>
      </c>
      <c r="AQ45" s="78" t="s">
        <v>2487</v>
      </c>
      <c r="AS45" s="143" t="s">
        <v>727</v>
      </c>
      <c r="AT45" s="143" t="s">
        <v>728</v>
      </c>
      <c r="AU45" s="143" t="s">
        <v>663</v>
      </c>
      <c r="AV45" s="143">
        <v>2793</v>
      </c>
      <c r="AW45" s="137" t="s">
        <v>2838</v>
      </c>
      <c r="AX45" s="137" t="s">
        <v>2838</v>
      </c>
      <c r="AY45" s="137" t="s">
        <v>2838</v>
      </c>
      <c r="AZ45" s="137" t="s">
        <v>2838</v>
      </c>
      <c r="BA45" s="137" t="s">
        <v>2838</v>
      </c>
      <c r="BB45" s="137" t="s">
        <v>2838</v>
      </c>
      <c r="BC45" s="137" t="s">
        <v>2838</v>
      </c>
      <c r="BD45" s="137" t="s">
        <v>2838</v>
      </c>
      <c r="BE45" s="137" t="s">
        <v>2838</v>
      </c>
      <c r="BF45" s="137" t="s">
        <v>2838</v>
      </c>
      <c r="BI45" s="137" t="s">
        <v>2486</v>
      </c>
      <c r="BJ45" s="137" t="s">
        <v>2486</v>
      </c>
      <c r="BK45" s="190" t="s">
        <v>2486</v>
      </c>
      <c r="BL45" s="190">
        <v>1</v>
      </c>
      <c r="BM45" s="78" t="s">
        <v>2486</v>
      </c>
      <c r="BO45" s="143" t="s">
        <v>727</v>
      </c>
      <c r="BP45" s="143" t="s">
        <v>728</v>
      </c>
      <c r="BQ45" s="143" t="s">
        <v>663</v>
      </c>
      <c r="BR45" s="143">
        <v>2793</v>
      </c>
      <c r="BY45" s="78" t="s">
        <v>2838</v>
      </c>
    </row>
    <row r="46" spans="1:77" x14ac:dyDescent="0.35">
      <c r="A46" s="143" t="s">
        <v>727</v>
      </c>
      <c r="B46" s="143" t="s">
        <v>728</v>
      </c>
      <c r="C46" s="143" t="s">
        <v>663</v>
      </c>
      <c r="D46" s="143">
        <v>3117</v>
      </c>
      <c r="E46" s="137">
        <v>0.16363639999999999</v>
      </c>
      <c r="F46" s="137">
        <v>0.64147089999999996</v>
      </c>
      <c r="G46" s="271">
        <v>0.80510720000000002</v>
      </c>
      <c r="H46" s="137" t="s">
        <v>2487</v>
      </c>
      <c r="I46" s="137">
        <v>8.3333299999999999E-2</v>
      </c>
      <c r="J46" s="137">
        <v>0.3333333</v>
      </c>
      <c r="K46" s="137">
        <v>0.4166667</v>
      </c>
      <c r="M46" s="143" t="s">
        <v>727</v>
      </c>
      <c r="N46" s="143" t="s">
        <v>728</v>
      </c>
      <c r="O46" s="143" t="s">
        <v>663</v>
      </c>
      <c r="P46" s="143">
        <v>3117</v>
      </c>
      <c r="Q46" s="137" t="s">
        <v>2486</v>
      </c>
      <c r="R46" s="137" t="s">
        <v>2486</v>
      </c>
      <c r="S46" s="137" t="s">
        <v>2486</v>
      </c>
      <c r="T46" s="137" t="s">
        <v>2486</v>
      </c>
      <c r="U46" s="137" t="s">
        <v>2487</v>
      </c>
      <c r="V46" s="137" t="s">
        <v>2487</v>
      </c>
      <c r="W46" s="137" t="s">
        <v>2487</v>
      </c>
      <c r="X46" s="137" t="s">
        <v>2486</v>
      </c>
      <c r="Y46" s="137" t="s">
        <v>2486</v>
      </c>
      <c r="Z46" s="137" t="s">
        <v>2486</v>
      </c>
      <c r="AA46" s="137" t="s">
        <v>2486</v>
      </c>
      <c r="AB46" s="137">
        <v>0.72727269999999999</v>
      </c>
      <c r="AD46" s="143" t="s">
        <v>727</v>
      </c>
      <c r="AE46" s="143" t="s">
        <v>728</v>
      </c>
      <c r="AF46" s="143" t="s">
        <v>663</v>
      </c>
      <c r="AG46" s="143">
        <v>3117</v>
      </c>
      <c r="AO46" s="190">
        <v>0.95</v>
      </c>
      <c r="AP46" s="190">
        <v>0.95</v>
      </c>
      <c r="AQ46" s="78" t="s">
        <v>2487</v>
      </c>
      <c r="AS46" s="143" t="s">
        <v>727</v>
      </c>
      <c r="AT46" s="143" t="s">
        <v>728</v>
      </c>
      <c r="AU46" s="143" t="s">
        <v>663</v>
      </c>
      <c r="AV46" s="143">
        <v>3117</v>
      </c>
      <c r="AW46" s="137" t="s">
        <v>2838</v>
      </c>
      <c r="AX46" s="137" t="s">
        <v>2838</v>
      </c>
      <c r="AY46" s="137" t="s">
        <v>2838</v>
      </c>
      <c r="AZ46" s="137" t="s">
        <v>2838</v>
      </c>
      <c r="BA46" s="137" t="s">
        <v>2838</v>
      </c>
      <c r="BB46" s="137" t="s">
        <v>2838</v>
      </c>
      <c r="BC46" s="137" t="s">
        <v>2838</v>
      </c>
      <c r="BD46" s="137" t="s">
        <v>2838</v>
      </c>
      <c r="BE46" s="137" t="s">
        <v>2838</v>
      </c>
      <c r="BF46" s="137" t="s">
        <v>2838</v>
      </c>
      <c r="BI46" s="137" t="s">
        <v>2486</v>
      </c>
      <c r="BJ46" s="137" t="s">
        <v>2486</v>
      </c>
      <c r="BK46" s="190" t="s">
        <v>2486</v>
      </c>
      <c r="BL46" s="190">
        <v>1</v>
      </c>
      <c r="BM46" s="78" t="s">
        <v>2486</v>
      </c>
      <c r="BO46" s="143" t="s">
        <v>727</v>
      </c>
      <c r="BP46" s="143" t="s">
        <v>728</v>
      </c>
      <c r="BQ46" s="143" t="s">
        <v>663</v>
      </c>
      <c r="BR46" s="143">
        <v>3117</v>
      </c>
      <c r="BY46" s="78" t="s">
        <v>2838</v>
      </c>
    </row>
    <row r="47" spans="1:77" x14ac:dyDescent="0.35">
      <c r="A47" s="143" t="s">
        <v>727</v>
      </c>
      <c r="B47" s="143" t="s">
        <v>728</v>
      </c>
      <c r="C47" s="143" t="s">
        <v>663</v>
      </c>
      <c r="D47" s="143">
        <v>3427</v>
      </c>
      <c r="E47" s="137">
        <v>0.16363639999999999</v>
      </c>
      <c r="F47" s="137">
        <v>0.64555669999999998</v>
      </c>
      <c r="G47" s="271">
        <v>0.8091931</v>
      </c>
      <c r="H47" s="137" t="s">
        <v>2487</v>
      </c>
      <c r="I47" s="137">
        <v>0.1166667</v>
      </c>
      <c r="J47" s="137">
        <v>0.46666669999999999</v>
      </c>
      <c r="K47" s="137">
        <v>0.58333330000000005</v>
      </c>
      <c r="M47" s="143" t="s">
        <v>727</v>
      </c>
      <c r="N47" s="143" t="s">
        <v>728</v>
      </c>
      <c r="O47" s="143" t="s">
        <v>663</v>
      </c>
      <c r="P47" s="143">
        <v>3427</v>
      </c>
      <c r="Q47" s="137" t="s">
        <v>2486</v>
      </c>
      <c r="R47" s="137" t="s">
        <v>2486</v>
      </c>
      <c r="S47" s="137" t="s">
        <v>2486</v>
      </c>
      <c r="T47" s="137" t="s">
        <v>2486</v>
      </c>
      <c r="U47" s="137" t="s">
        <v>2487</v>
      </c>
      <c r="V47" s="137" t="s">
        <v>2487</v>
      </c>
      <c r="W47" s="137" t="s">
        <v>2486</v>
      </c>
      <c r="X47" s="137" t="s">
        <v>2486</v>
      </c>
      <c r="Y47" s="137" t="s">
        <v>2486</v>
      </c>
      <c r="Z47" s="137" t="s">
        <v>2486</v>
      </c>
      <c r="AA47" s="137" t="s">
        <v>2486</v>
      </c>
      <c r="AB47" s="137">
        <v>0.81818179999999996</v>
      </c>
      <c r="AD47" s="143" t="s">
        <v>727</v>
      </c>
      <c r="AE47" s="143" t="s">
        <v>728</v>
      </c>
      <c r="AF47" s="143" t="s">
        <v>663</v>
      </c>
      <c r="AG47" s="143">
        <v>3427</v>
      </c>
      <c r="AO47" s="190">
        <v>0.97499999999999998</v>
      </c>
      <c r="AP47" s="190">
        <v>0.97499999999999998</v>
      </c>
      <c r="AQ47" s="78" t="s">
        <v>2486</v>
      </c>
      <c r="AS47" s="143" t="s">
        <v>727</v>
      </c>
      <c r="AT47" s="143" t="s">
        <v>728</v>
      </c>
      <c r="AU47" s="143" t="s">
        <v>663</v>
      </c>
      <c r="AV47" s="143">
        <v>3427</v>
      </c>
      <c r="AW47" s="137" t="s">
        <v>2838</v>
      </c>
      <c r="AX47" s="137" t="s">
        <v>2838</v>
      </c>
      <c r="AY47" s="137" t="s">
        <v>2838</v>
      </c>
      <c r="AZ47" s="137" t="s">
        <v>2838</v>
      </c>
      <c r="BA47" s="137" t="s">
        <v>2838</v>
      </c>
      <c r="BB47" s="137" t="s">
        <v>2838</v>
      </c>
      <c r="BC47" s="137" t="s">
        <v>2838</v>
      </c>
      <c r="BD47" s="137" t="s">
        <v>2838</v>
      </c>
      <c r="BE47" s="137" t="s">
        <v>2838</v>
      </c>
      <c r="BF47" s="137" t="s">
        <v>2838</v>
      </c>
      <c r="BI47" s="137" t="s">
        <v>2486</v>
      </c>
      <c r="BJ47" s="137" t="s">
        <v>2486</v>
      </c>
      <c r="BK47" s="190" t="s">
        <v>2486</v>
      </c>
      <c r="BL47" s="190">
        <v>1</v>
      </c>
      <c r="BM47" s="78" t="s">
        <v>2486</v>
      </c>
      <c r="BO47" s="143" t="s">
        <v>727</v>
      </c>
      <c r="BP47" s="143" t="s">
        <v>728</v>
      </c>
      <c r="BQ47" s="143" t="s">
        <v>663</v>
      </c>
      <c r="BR47" s="143">
        <v>3427</v>
      </c>
      <c r="BY47" s="78" t="s">
        <v>2838</v>
      </c>
    </row>
    <row r="48" spans="1:77" x14ac:dyDescent="0.35">
      <c r="A48" s="143" t="s">
        <v>727</v>
      </c>
      <c r="B48" s="143" t="s">
        <v>728</v>
      </c>
      <c r="C48" s="143" t="s">
        <v>663</v>
      </c>
      <c r="D48" s="143">
        <v>4046</v>
      </c>
      <c r="E48" s="137">
        <v>0.16363639999999999</v>
      </c>
      <c r="F48" s="137">
        <v>0.60388149999999996</v>
      </c>
      <c r="G48" s="271">
        <v>0.76751789999999998</v>
      </c>
      <c r="H48" s="137" t="s">
        <v>2487</v>
      </c>
      <c r="I48" s="137">
        <v>0.13333329999999999</v>
      </c>
      <c r="J48" s="137">
        <v>0.4449438</v>
      </c>
      <c r="K48" s="137">
        <v>0.57827720000000005</v>
      </c>
      <c r="M48" s="143" t="s">
        <v>727</v>
      </c>
      <c r="N48" s="143" t="s">
        <v>728</v>
      </c>
      <c r="O48" s="143" t="s">
        <v>663</v>
      </c>
      <c r="P48" s="143">
        <v>4046</v>
      </c>
      <c r="Q48" s="137" t="s">
        <v>2486</v>
      </c>
      <c r="R48" s="137" t="s">
        <v>2486</v>
      </c>
      <c r="S48" s="137" t="s">
        <v>2486</v>
      </c>
      <c r="T48" s="137" t="s">
        <v>2486</v>
      </c>
      <c r="U48" s="137" t="s">
        <v>2487</v>
      </c>
      <c r="V48" s="137" t="s">
        <v>2487</v>
      </c>
      <c r="W48" s="137" t="s">
        <v>2486</v>
      </c>
      <c r="X48" s="137" t="s">
        <v>2486</v>
      </c>
      <c r="Y48" s="137" t="s">
        <v>2486</v>
      </c>
      <c r="Z48" s="137" t="s">
        <v>2486</v>
      </c>
      <c r="AA48" s="137" t="s">
        <v>2487</v>
      </c>
      <c r="AB48" s="137">
        <v>0.72727269999999999</v>
      </c>
      <c r="AD48" s="143" t="s">
        <v>727</v>
      </c>
      <c r="AE48" s="143" t="s">
        <v>728</v>
      </c>
      <c r="AF48" s="143" t="s">
        <v>663</v>
      </c>
      <c r="AG48" s="143">
        <v>4046</v>
      </c>
      <c r="AO48" s="190">
        <v>0.9375</v>
      </c>
      <c r="AP48" s="190">
        <v>0.9375</v>
      </c>
      <c r="AQ48" s="78" t="s">
        <v>2487</v>
      </c>
      <c r="AS48" s="143" t="s">
        <v>727</v>
      </c>
      <c r="AT48" s="143" t="s">
        <v>728</v>
      </c>
      <c r="AU48" s="143" t="s">
        <v>663</v>
      </c>
      <c r="AV48" s="143">
        <v>4046</v>
      </c>
      <c r="AW48" s="137" t="s">
        <v>2838</v>
      </c>
      <c r="AX48" s="137" t="s">
        <v>2838</v>
      </c>
      <c r="AY48" s="137" t="s">
        <v>2838</v>
      </c>
      <c r="AZ48" s="137" t="s">
        <v>2838</v>
      </c>
      <c r="BA48" s="137" t="s">
        <v>2838</v>
      </c>
      <c r="BB48" s="137" t="s">
        <v>2838</v>
      </c>
      <c r="BC48" s="137" t="s">
        <v>2838</v>
      </c>
      <c r="BD48" s="137" t="s">
        <v>2838</v>
      </c>
      <c r="BE48" s="137" t="s">
        <v>2838</v>
      </c>
      <c r="BF48" s="137" t="s">
        <v>2838</v>
      </c>
      <c r="BI48" s="137" t="s">
        <v>2486</v>
      </c>
      <c r="BJ48" s="137" t="s">
        <v>2486</v>
      </c>
      <c r="BK48" s="190" t="s">
        <v>2486</v>
      </c>
      <c r="BL48" s="190">
        <v>1</v>
      </c>
      <c r="BM48" s="78" t="s">
        <v>2486</v>
      </c>
      <c r="BO48" s="143" t="s">
        <v>727</v>
      </c>
      <c r="BP48" s="143" t="s">
        <v>728</v>
      </c>
      <c r="BQ48" s="143" t="s">
        <v>663</v>
      </c>
      <c r="BR48" s="143">
        <v>4046</v>
      </c>
      <c r="BY48" s="78" t="s">
        <v>2838</v>
      </c>
    </row>
    <row r="49" spans="1:77" x14ac:dyDescent="0.35">
      <c r="A49" s="143" t="s">
        <v>727</v>
      </c>
      <c r="B49" s="143" t="s">
        <v>728</v>
      </c>
      <c r="C49" s="143" t="s">
        <v>663</v>
      </c>
      <c r="D49" s="143">
        <v>4051</v>
      </c>
      <c r="E49" s="137">
        <v>0.14545449999999999</v>
      </c>
      <c r="F49" s="137">
        <v>0.63084779999999996</v>
      </c>
      <c r="G49" s="271">
        <v>0.7763023</v>
      </c>
      <c r="H49" s="137" t="s">
        <v>2487</v>
      </c>
      <c r="I49" s="137">
        <v>0.15</v>
      </c>
      <c r="J49" s="137">
        <v>0</v>
      </c>
      <c r="K49" s="137">
        <v>0.15</v>
      </c>
      <c r="M49" s="143" t="s">
        <v>727</v>
      </c>
      <c r="N49" s="143" t="s">
        <v>728</v>
      </c>
      <c r="O49" s="143" t="s">
        <v>663</v>
      </c>
      <c r="P49" s="143">
        <v>4051</v>
      </c>
      <c r="Q49" s="137" t="s">
        <v>2486</v>
      </c>
      <c r="R49" s="137" t="s">
        <v>2486</v>
      </c>
      <c r="S49" s="137" t="s">
        <v>2486</v>
      </c>
      <c r="T49" s="137" t="s">
        <v>2486</v>
      </c>
      <c r="U49" s="137" t="s">
        <v>2487</v>
      </c>
      <c r="V49" s="137" t="s">
        <v>2487</v>
      </c>
      <c r="W49" s="137" t="s">
        <v>2486</v>
      </c>
      <c r="X49" s="137" t="s">
        <v>2486</v>
      </c>
      <c r="Y49" s="137" t="s">
        <v>2486</v>
      </c>
      <c r="Z49" s="137" t="s">
        <v>2486</v>
      </c>
      <c r="AA49" s="137" t="s">
        <v>2486</v>
      </c>
      <c r="AB49" s="137">
        <v>0.81818179999999996</v>
      </c>
      <c r="AD49" s="143" t="s">
        <v>727</v>
      </c>
      <c r="AE49" s="143" t="s">
        <v>728</v>
      </c>
      <c r="AF49" s="143" t="s">
        <v>663</v>
      </c>
      <c r="AG49" s="143">
        <v>4051</v>
      </c>
      <c r="AO49" s="190">
        <v>0.9375</v>
      </c>
      <c r="AP49" s="190">
        <v>0.9375</v>
      </c>
      <c r="AQ49" s="78" t="s">
        <v>2487</v>
      </c>
      <c r="AS49" s="143" t="s">
        <v>727</v>
      </c>
      <c r="AT49" s="143" t="s">
        <v>728</v>
      </c>
      <c r="AU49" s="143" t="s">
        <v>663</v>
      </c>
      <c r="AV49" s="143">
        <v>4051</v>
      </c>
      <c r="AW49" s="137" t="s">
        <v>2838</v>
      </c>
      <c r="AX49" s="137" t="s">
        <v>2838</v>
      </c>
      <c r="AY49" s="137" t="s">
        <v>2838</v>
      </c>
      <c r="AZ49" s="137" t="s">
        <v>2838</v>
      </c>
      <c r="BA49" s="137" t="s">
        <v>2838</v>
      </c>
      <c r="BB49" s="137" t="s">
        <v>2838</v>
      </c>
      <c r="BC49" s="137" t="s">
        <v>2838</v>
      </c>
      <c r="BD49" s="137" t="s">
        <v>2838</v>
      </c>
      <c r="BE49" s="137" t="s">
        <v>2838</v>
      </c>
      <c r="BF49" s="137" t="s">
        <v>2838</v>
      </c>
      <c r="BI49" s="137" t="s">
        <v>2486</v>
      </c>
      <c r="BJ49" s="137" t="s">
        <v>2486</v>
      </c>
      <c r="BK49" s="190" t="s">
        <v>2486</v>
      </c>
      <c r="BL49" s="190">
        <v>1</v>
      </c>
      <c r="BM49" s="78" t="s">
        <v>2486</v>
      </c>
      <c r="BO49" s="143" t="s">
        <v>727</v>
      </c>
      <c r="BP49" s="143" t="s">
        <v>728</v>
      </c>
      <c r="BQ49" s="143" t="s">
        <v>663</v>
      </c>
      <c r="BR49" s="143">
        <v>4051</v>
      </c>
      <c r="BY49" s="78" t="s">
        <v>2838</v>
      </c>
    </row>
    <row r="50" spans="1:77" x14ac:dyDescent="0.35">
      <c r="A50" s="143" t="s">
        <v>727</v>
      </c>
      <c r="B50" s="143" t="s">
        <v>728</v>
      </c>
      <c r="C50" s="143" t="s">
        <v>663</v>
      </c>
      <c r="D50" s="143">
        <v>4052</v>
      </c>
      <c r="E50" s="137">
        <v>0.16363639999999999</v>
      </c>
      <c r="F50" s="137">
        <v>0.72155259999999999</v>
      </c>
      <c r="G50" s="271">
        <v>0.885189</v>
      </c>
      <c r="H50" s="137" t="s">
        <v>2487</v>
      </c>
      <c r="I50" s="137">
        <v>0.13333329999999999</v>
      </c>
      <c r="J50" s="137">
        <v>0.4456929</v>
      </c>
      <c r="K50" s="137">
        <v>0.57902620000000005</v>
      </c>
      <c r="M50" s="143" t="s">
        <v>727</v>
      </c>
      <c r="N50" s="143" t="s">
        <v>728</v>
      </c>
      <c r="O50" s="143" t="s">
        <v>663</v>
      </c>
      <c r="P50" s="143">
        <v>4052</v>
      </c>
      <c r="Q50" s="137" t="s">
        <v>2486</v>
      </c>
      <c r="R50" s="137" t="s">
        <v>2487</v>
      </c>
      <c r="S50" s="137" t="s">
        <v>2486</v>
      </c>
      <c r="T50" s="137" t="s">
        <v>2486</v>
      </c>
      <c r="U50" s="137" t="s">
        <v>2487</v>
      </c>
      <c r="V50" s="137" t="s">
        <v>2487</v>
      </c>
      <c r="W50" s="137" t="s">
        <v>2487</v>
      </c>
      <c r="X50" s="137" t="s">
        <v>2486</v>
      </c>
      <c r="Y50" s="137" t="s">
        <v>2486</v>
      </c>
      <c r="Z50" s="137" t="s">
        <v>2486</v>
      </c>
      <c r="AA50" s="137" t="s">
        <v>2486</v>
      </c>
      <c r="AB50" s="137">
        <v>0.63636360000000003</v>
      </c>
      <c r="AD50" s="143" t="s">
        <v>727</v>
      </c>
      <c r="AE50" s="143" t="s">
        <v>728</v>
      </c>
      <c r="AF50" s="143" t="s">
        <v>663</v>
      </c>
      <c r="AG50" s="143">
        <v>4052</v>
      </c>
      <c r="AO50" s="190">
        <v>0.92500000000000004</v>
      </c>
      <c r="AP50" s="190">
        <v>0.92500000000000004</v>
      </c>
      <c r="AQ50" s="78" t="s">
        <v>2487</v>
      </c>
      <c r="AS50" s="143" t="s">
        <v>727</v>
      </c>
      <c r="AT50" s="143" t="s">
        <v>728</v>
      </c>
      <c r="AU50" s="143" t="s">
        <v>663</v>
      </c>
      <c r="AV50" s="143">
        <v>4052</v>
      </c>
      <c r="AW50" s="137" t="s">
        <v>2838</v>
      </c>
      <c r="AX50" s="137" t="s">
        <v>2838</v>
      </c>
      <c r="AY50" s="137" t="s">
        <v>2838</v>
      </c>
      <c r="AZ50" s="137" t="s">
        <v>2838</v>
      </c>
      <c r="BA50" s="137" t="s">
        <v>2838</v>
      </c>
      <c r="BB50" s="137" t="s">
        <v>2838</v>
      </c>
      <c r="BC50" s="137" t="s">
        <v>2838</v>
      </c>
      <c r="BD50" s="137" t="s">
        <v>2838</v>
      </c>
      <c r="BE50" s="137" t="s">
        <v>2838</v>
      </c>
      <c r="BF50" s="137" t="s">
        <v>2838</v>
      </c>
      <c r="BI50" s="137" t="s">
        <v>2486</v>
      </c>
      <c r="BJ50" s="137" t="s">
        <v>2486</v>
      </c>
      <c r="BK50" s="190" t="s">
        <v>2486</v>
      </c>
      <c r="BL50" s="190">
        <v>1</v>
      </c>
      <c r="BM50" s="78" t="s">
        <v>2486</v>
      </c>
      <c r="BO50" s="143" t="s">
        <v>727</v>
      </c>
      <c r="BP50" s="143" t="s">
        <v>728</v>
      </c>
      <c r="BQ50" s="143" t="s">
        <v>663</v>
      </c>
      <c r="BR50" s="143">
        <v>4052</v>
      </c>
      <c r="BY50" s="78" t="s">
        <v>2838</v>
      </c>
    </row>
    <row r="51" spans="1:77" x14ac:dyDescent="0.35">
      <c r="A51" s="143" t="s">
        <v>729</v>
      </c>
      <c r="B51" s="143" t="s">
        <v>730</v>
      </c>
      <c r="C51" s="143" t="s">
        <v>663</v>
      </c>
      <c r="D51" s="143">
        <v>3040</v>
      </c>
      <c r="E51" s="137">
        <v>0.18181820000000001</v>
      </c>
      <c r="F51" s="137">
        <v>0.72727269999999999</v>
      </c>
      <c r="G51" s="271">
        <v>0.90909090000000004</v>
      </c>
      <c r="H51" s="137" t="s">
        <v>2486</v>
      </c>
      <c r="I51" s="137">
        <v>0.1833333</v>
      </c>
      <c r="J51" s="137">
        <v>0.8</v>
      </c>
      <c r="K51" s="137">
        <v>0.98333329999999997</v>
      </c>
      <c r="M51" s="143" t="s">
        <v>729</v>
      </c>
      <c r="N51" s="143" t="s">
        <v>730</v>
      </c>
      <c r="O51" s="143" t="s">
        <v>663</v>
      </c>
      <c r="P51" s="143">
        <v>3040</v>
      </c>
      <c r="Q51" s="137" t="s">
        <v>2486</v>
      </c>
      <c r="R51" s="137" t="s">
        <v>2486</v>
      </c>
      <c r="S51" s="137" t="s">
        <v>2486</v>
      </c>
      <c r="T51" s="137" t="s">
        <v>2486</v>
      </c>
      <c r="U51" s="137" t="s">
        <v>2487</v>
      </c>
      <c r="V51" s="137" t="s">
        <v>2487</v>
      </c>
      <c r="W51" s="137" t="s">
        <v>2486</v>
      </c>
      <c r="X51" s="137" t="s">
        <v>2486</v>
      </c>
      <c r="Y51" s="137" t="s">
        <v>2486</v>
      </c>
      <c r="Z51" s="137" t="s">
        <v>2486</v>
      </c>
      <c r="AA51" s="137" t="s">
        <v>2486</v>
      </c>
      <c r="AB51" s="137">
        <v>0.81818179999999996</v>
      </c>
      <c r="AD51" s="143" t="s">
        <v>729</v>
      </c>
      <c r="AE51" s="143" t="s">
        <v>730</v>
      </c>
      <c r="AF51" s="143" t="s">
        <v>663</v>
      </c>
      <c r="AG51" s="143">
        <v>3040</v>
      </c>
      <c r="AO51" s="190">
        <v>0.9</v>
      </c>
      <c r="AP51" s="190">
        <v>0.9</v>
      </c>
      <c r="AQ51" s="78" t="s">
        <v>2487</v>
      </c>
      <c r="AS51" s="143" t="s">
        <v>729</v>
      </c>
      <c r="AT51" s="143" t="s">
        <v>730</v>
      </c>
      <c r="AU51" s="143" t="s">
        <v>663</v>
      </c>
      <c r="AV51" s="143">
        <v>3040</v>
      </c>
      <c r="AW51" s="137" t="s">
        <v>2838</v>
      </c>
      <c r="AX51" s="137" t="s">
        <v>2838</v>
      </c>
      <c r="AY51" s="137" t="s">
        <v>2838</v>
      </c>
      <c r="AZ51" s="137" t="s">
        <v>2838</v>
      </c>
      <c r="BA51" s="137" t="s">
        <v>2838</v>
      </c>
      <c r="BB51" s="137" t="s">
        <v>2838</v>
      </c>
      <c r="BC51" s="137" t="s">
        <v>2838</v>
      </c>
      <c r="BD51" s="137" t="s">
        <v>2838</v>
      </c>
      <c r="BE51" s="137" t="s">
        <v>2838</v>
      </c>
      <c r="BF51" s="137" t="s">
        <v>2838</v>
      </c>
      <c r="BI51" s="137" t="s">
        <v>2486</v>
      </c>
      <c r="BJ51" s="137" t="s">
        <v>2486</v>
      </c>
      <c r="BK51" s="190" t="s">
        <v>2486</v>
      </c>
      <c r="BL51" s="190">
        <v>1</v>
      </c>
      <c r="BM51" s="78" t="s">
        <v>2486</v>
      </c>
      <c r="BO51" s="143" t="s">
        <v>729</v>
      </c>
      <c r="BP51" s="143" t="s">
        <v>730</v>
      </c>
      <c r="BQ51" s="143" t="s">
        <v>663</v>
      </c>
      <c r="BR51" s="143">
        <v>3040</v>
      </c>
      <c r="BY51" s="78" t="s">
        <v>2838</v>
      </c>
    </row>
    <row r="52" spans="1:77" x14ac:dyDescent="0.35">
      <c r="A52" s="143" t="s">
        <v>729</v>
      </c>
      <c r="B52" s="143" t="s">
        <v>730</v>
      </c>
      <c r="C52" s="143" t="s">
        <v>663</v>
      </c>
      <c r="D52" s="143">
        <v>3247</v>
      </c>
      <c r="E52" s="137">
        <v>0.2</v>
      </c>
      <c r="F52" s="137">
        <v>0.79019410000000001</v>
      </c>
      <c r="G52" s="271">
        <v>0.99019409999999997</v>
      </c>
      <c r="H52" s="137" t="s">
        <v>2486</v>
      </c>
      <c r="I52" s="137">
        <v>0.2</v>
      </c>
      <c r="J52" s="137">
        <v>0.8</v>
      </c>
      <c r="K52" s="137">
        <v>1</v>
      </c>
      <c r="M52" s="143" t="s">
        <v>729</v>
      </c>
      <c r="N52" s="143" t="s">
        <v>730</v>
      </c>
      <c r="O52" s="143" t="s">
        <v>663</v>
      </c>
      <c r="P52" s="143">
        <v>3247</v>
      </c>
      <c r="Q52" s="137" t="s">
        <v>2486</v>
      </c>
      <c r="R52" s="137" t="s">
        <v>2486</v>
      </c>
      <c r="S52" s="137" t="s">
        <v>2486</v>
      </c>
      <c r="T52" s="137" t="s">
        <v>2486</v>
      </c>
      <c r="U52" s="137" t="s">
        <v>2487</v>
      </c>
      <c r="V52" s="137" t="s">
        <v>2487</v>
      </c>
      <c r="W52" s="137" t="s">
        <v>2486</v>
      </c>
      <c r="X52" s="137" t="s">
        <v>2486</v>
      </c>
      <c r="Y52" s="137" t="s">
        <v>2486</v>
      </c>
      <c r="Z52" s="137" t="s">
        <v>2486</v>
      </c>
      <c r="AA52" s="137" t="s">
        <v>2486</v>
      </c>
      <c r="AB52" s="137">
        <v>0.81818179999999996</v>
      </c>
      <c r="AD52" s="143" t="s">
        <v>729</v>
      </c>
      <c r="AE52" s="143" t="s">
        <v>730</v>
      </c>
      <c r="AF52" s="143" t="s">
        <v>663</v>
      </c>
      <c r="AG52" s="143">
        <v>3247</v>
      </c>
      <c r="AO52" s="190">
        <v>0.95</v>
      </c>
      <c r="AP52" s="190">
        <v>0.95</v>
      </c>
      <c r="AQ52" s="78" t="s">
        <v>2487</v>
      </c>
      <c r="AS52" s="143" t="s">
        <v>729</v>
      </c>
      <c r="AT52" s="143" t="s">
        <v>730</v>
      </c>
      <c r="AU52" s="143" t="s">
        <v>663</v>
      </c>
      <c r="AV52" s="143">
        <v>3247</v>
      </c>
      <c r="AW52" s="137" t="s">
        <v>2838</v>
      </c>
      <c r="AX52" s="137" t="s">
        <v>2838</v>
      </c>
      <c r="AY52" s="137" t="s">
        <v>2838</v>
      </c>
      <c r="AZ52" s="137" t="s">
        <v>2838</v>
      </c>
      <c r="BA52" s="137" t="s">
        <v>2838</v>
      </c>
      <c r="BB52" s="137" t="s">
        <v>2838</v>
      </c>
      <c r="BC52" s="137" t="s">
        <v>2838</v>
      </c>
      <c r="BD52" s="137" t="s">
        <v>2838</v>
      </c>
      <c r="BE52" s="137" t="s">
        <v>2838</v>
      </c>
      <c r="BF52" s="137" t="s">
        <v>2838</v>
      </c>
      <c r="BI52" s="137" t="s">
        <v>2486</v>
      </c>
      <c r="BJ52" s="137" t="s">
        <v>2486</v>
      </c>
      <c r="BK52" s="190" t="s">
        <v>2486</v>
      </c>
      <c r="BL52" s="190">
        <v>1</v>
      </c>
      <c r="BM52" s="78" t="s">
        <v>2486</v>
      </c>
      <c r="BO52" s="143" t="s">
        <v>729</v>
      </c>
      <c r="BP52" s="143" t="s">
        <v>730</v>
      </c>
      <c r="BQ52" s="143" t="s">
        <v>663</v>
      </c>
      <c r="BR52" s="143">
        <v>3247</v>
      </c>
      <c r="BY52" s="78" t="s">
        <v>2838</v>
      </c>
    </row>
    <row r="53" spans="1:77" x14ac:dyDescent="0.35">
      <c r="A53" s="143" t="s">
        <v>729</v>
      </c>
      <c r="B53" s="143" t="s">
        <v>730</v>
      </c>
      <c r="C53" s="143" t="s">
        <v>663</v>
      </c>
      <c r="D53" s="143">
        <v>3900</v>
      </c>
      <c r="E53" s="137">
        <v>0.18181820000000001</v>
      </c>
      <c r="F53" s="137">
        <v>0.69376919999999997</v>
      </c>
      <c r="G53" s="271">
        <v>0.87558729999999996</v>
      </c>
      <c r="H53" s="137" t="s">
        <v>2487</v>
      </c>
      <c r="I53" s="137">
        <v>0.15</v>
      </c>
      <c r="J53" s="137">
        <v>0.73333329999999997</v>
      </c>
      <c r="K53" s="137">
        <v>0.88333329999999999</v>
      </c>
      <c r="M53" s="143" t="s">
        <v>729</v>
      </c>
      <c r="N53" s="143" t="s">
        <v>730</v>
      </c>
      <c r="O53" s="143" t="s">
        <v>663</v>
      </c>
      <c r="P53" s="143">
        <v>3900</v>
      </c>
      <c r="Q53" s="137" t="s">
        <v>2486</v>
      </c>
      <c r="R53" s="137" t="s">
        <v>2486</v>
      </c>
      <c r="S53" s="137" t="s">
        <v>2486</v>
      </c>
      <c r="T53" s="137" t="s">
        <v>2486</v>
      </c>
      <c r="U53" s="137" t="s">
        <v>2487</v>
      </c>
      <c r="V53" s="137" t="s">
        <v>2487</v>
      </c>
      <c r="W53" s="137" t="s">
        <v>2486</v>
      </c>
      <c r="X53" s="137" t="s">
        <v>2486</v>
      </c>
      <c r="Y53" s="137" t="s">
        <v>2486</v>
      </c>
      <c r="Z53" s="137" t="s">
        <v>2486</v>
      </c>
      <c r="AA53" s="137" t="s">
        <v>2486</v>
      </c>
      <c r="AB53" s="137">
        <v>0.81818179999999996</v>
      </c>
      <c r="AD53" s="143" t="s">
        <v>729</v>
      </c>
      <c r="AE53" s="143" t="s">
        <v>730</v>
      </c>
      <c r="AF53" s="143" t="s">
        <v>663</v>
      </c>
      <c r="AG53" s="143">
        <v>3900</v>
      </c>
      <c r="AO53" s="190">
        <v>0.9375</v>
      </c>
      <c r="AP53" s="190">
        <v>0.9375</v>
      </c>
      <c r="AQ53" s="78" t="s">
        <v>2487</v>
      </c>
      <c r="AS53" s="143" t="s">
        <v>729</v>
      </c>
      <c r="AT53" s="143" t="s">
        <v>730</v>
      </c>
      <c r="AU53" s="143" t="s">
        <v>663</v>
      </c>
      <c r="AV53" s="143">
        <v>3900</v>
      </c>
      <c r="AW53" s="137" t="s">
        <v>2838</v>
      </c>
      <c r="AX53" s="137" t="s">
        <v>2838</v>
      </c>
      <c r="AY53" s="137" t="s">
        <v>2838</v>
      </c>
      <c r="AZ53" s="137" t="s">
        <v>2838</v>
      </c>
      <c r="BA53" s="137" t="s">
        <v>2838</v>
      </c>
      <c r="BB53" s="137" t="s">
        <v>2838</v>
      </c>
      <c r="BC53" s="137" t="s">
        <v>2838</v>
      </c>
      <c r="BD53" s="137" t="s">
        <v>2838</v>
      </c>
      <c r="BE53" s="137" t="s">
        <v>2838</v>
      </c>
      <c r="BF53" s="137" t="s">
        <v>2838</v>
      </c>
      <c r="BI53" s="137" t="s">
        <v>2486</v>
      </c>
      <c r="BJ53" s="137" t="s">
        <v>2486</v>
      </c>
      <c r="BK53" s="190" t="s">
        <v>2486</v>
      </c>
      <c r="BL53" s="190">
        <v>1</v>
      </c>
      <c r="BM53" s="78" t="s">
        <v>2486</v>
      </c>
      <c r="BO53" s="143" t="s">
        <v>729</v>
      </c>
      <c r="BP53" s="143" t="s">
        <v>730</v>
      </c>
      <c r="BQ53" s="143" t="s">
        <v>663</v>
      </c>
      <c r="BR53" s="143">
        <v>3900</v>
      </c>
      <c r="BY53" s="78" t="s">
        <v>2838</v>
      </c>
    </row>
    <row r="54" spans="1:77" x14ac:dyDescent="0.35">
      <c r="A54" s="143" t="s">
        <v>729</v>
      </c>
      <c r="B54" s="143" t="s">
        <v>730</v>
      </c>
      <c r="C54" s="143" t="s">
        <v>663</v>
      </c>
      <c r="D54" s="143">
        <v>3901</v>
      </c>
      <c r="E54" s="137">
        <v>0.2</v>
      </c>
      <c r="F54" s="137">
        <v>0.72645559999999998</v>
      </c>
      <c r="G54" s="271">
        <v>0.92645560000000005</v>
      </c>
      <c r="H54" s="137" t="s">
        <v>2486</v>
      </c>
      <c r="I54" s="137">
        <v>0.13333329999999999</v>
      </c>
      <c r="J54" s="137">
        <v>0.77677909999999994</v>
      </c>
      <c r="K54" s="137">
        <v>0.91011240000000004</v>
      </c>
      <c r="M54" s="143" t="s">
        <v>729</v>
      </c>
      <c r="N54" s="143" t="s">
        <v>730</v>
      </c>
      <c r="O54" s="143" t="s">
        <v>663</v>
      </c>
      <c r="P54" s="143">
        <v>3901</v>
      </c>
      <c r="Q54" s="137" t="s">
        <v>2486</v>
      </c>
      <c r="R54" s="137" t="s">
        <v>2486</v>
      </c>
      <c r="S54" s="137" t="s">
        <v>2486</v>
      </c>
      <c r="T54" s="137" t="s">
        <v>2486</v>
      </c>
      <c r="U54" s="137" t="s">
        <v>2487</v>
      </c>
      <c r="V54" s="137" t="s">
        <v>2487</v>
      </c>
      <c r="W54" s="137" t="s">
        <v>2486</v>
      </c>
      <c r="X54" s="137" t="s">
        <v>2486</v>
      </c>
      <c r="Y54" s="137" t="s">
        <v>2486</v>
      </c>
      <c r="Z54" s="137" t="s">
        <v>2486</v>
      </c>
      <c r="AA54" s="137" t="s">
        <v>2486</v>
      </c>
      <c r="AB54" s="137">
        <v>0.81818179999999996</v>
      </c>
      <c r="AD54" s="143" t="s">
        <v>729</v>
      </c>
      <c r="AE54" s="143" t="s">
        <v>730</v>
      </c>
      <c r="AF54" s="143" t="s">
        <v>663</v>
      </c>
      <c r="AG54" s="143">
        <v>3901</v>
      </c>
      <c r="AO54" s="190">
        <v>0.95</v>
      </c>
      <c r="AP54" s="190">
        <v>0.95</v>
      </c>
      <c r="AQ54" s="78" t="s">
        <v>2487</v>
      </c>
      <c r="AS54" s="143" t="s">
        <v>729</v>
      </c>
      <c r="AT54" s="143" t="s">
        <v>730</v>
      </c>
      <c r="AU54" s="143" t="s">
        <v>663</v>
      </c>
      <c r="AV54" s="143">
        <v>3901</v>
      </c>
      <c r="AW54" s="137" t="s">
        <v>2838</v>
      </c>
      <c r="AX54" s="137" t="s">
        <v>2838</v>
      </c>
      <c r="AY54" s="137" t="s">
        <v>2838</v>
      </c>
      <c r="AZ54" s="137" t="s">
        <v>2838</v>
      </c>
      <c r="BA54" s="137" t="s">
        <v>2838</v>
      </c>
      <c r="BB54" s="137" t="s">
        <v>2838</v>
      </c>
      <c r="BC54" s="137" t="s">
        <v>2838</v>
      </c>
      <c r="BD54" s="137" t="s">
        <v>2838</v>
      </c>
      <c r="BE54" s="137" t="s">
        <v>2838</v>
      </c>
      <c r="BF54" s="137" t="s">
        <v>2838</v>
      </c>
      <c r="BI54" s="137" t="s">
        <v>2486</v>
      </c>
      <c r="BJ54" s="137" t="s">
        <v>2486</v>
      </c>
      <c r="BK54" s="190" t="s">
        <v>2486</v>
      </c>
      <c r="BL54" s="190">
        <v>1</v>
      </c>
      <c r="BM54" s="78" t="s">
        <v>2486</v>
      </c>
      <c r="BO54" s="143" t="s">
        <v>729</v>
      </c>
      <c r="BP54" s="143" t="s">
        <v>730</v>
      </c>
      <c r="BQ54" s="143" t="s">
        <v>663</v>
      </c>
      <c r="BR54" s="143">
        <v>3901</v>
      </c>
      <c r="BY54" s="78" t="s">
        <v>2838</v>
      </c>
    </row>
    <row r="55" spans="1:77" x14ac:dyDescent="0.35">
      <c r="A55" s="143" t="s">
        <v>729</v>
      </c>
      <c r="B55" s="143" t="s">
        <v>730</v>
      </c>
      <c r="C55" s="143" t="s">
        <v>663</v>
      </c>
      <c r="D55" s="143">
        <v>3955</v>
      </c>
      <c r="E55" s="137">
        <v>0.2</v>
      </c>
      <c r="F55" s="137">
        <v>0.8</v>
      </c>
      <c r="G55" s="271">
        <v>1</v>
      </c>
      <c r="H55" s="137" t="s">
        <v>2486</v>
      </c>
      <c r="I55" s="137">
        <v>0.15</v>
      </c>
      <c r="J55" s="137">
        <v>0.8</v>
      </c>
      <c r="K55" s="137">
        <v>0.95</v>
      </c>
      <c r="M55" s="143" t="s">
        <v>729</v>
      </c>
      <c r="N55" s="143" t="s">
        <v>730</v>
      </c>
      <c r="O55" s="143" t="s">
        <v>663</v>
      </c>
      <c r="P55" s="143">
        <v>3955</v>
      </c>
      <c r="Q55" s="137" t="s">
        <v>2486</v>
      </c>
      <c r="R55" s="137" t="s">
        <v>2486</v>
      </c>
      <c r="S55" s="137" t="s">
        <v>2486</v>
      </c>
      <c r="T55" s="137" t="s">
        <v>2486</v>
      </c>
      <c r="U55" s="137" t="s">
        <v>2487</v>
      </c>
      <c r="V55" s="137" t="s">
        <v>2487</v>
      </c>
      <c r="W55" s="137" t="s">
        <v>2486</v>
      </c>
      <c r="X55" s="137" t="s">
        <v>2486</v>
      </c>
      <c r="Y55" s="137" t="s">
        <v>2486</v>
      </c>
      <c r="Z55" s="137" t="s">
        <v>2487</v>
      </c>
      <c r="AA55" s="137" t="s">
        <v>2486</v>
      </c>
      <c r="AB55" s="137">
        <v>0.72727269999999999</v>
      </c>
      <c r="AD55" s="143" t="s">
        <v>729</v>
      </c>
      <c r="AE55" s="143" t="s">
        <v>730</v>
      </c>
      <c r="AF55" s="143" t="s">
        <v>663</v>
      </c>
      <c r="AG55" s="143">
        <v>3955</v>
      </c>
      <c r="AO55" s="190">
        <v>0.9375</v>
      </c>
      <c r="AP55" s="190">
        <v>0.9375</v>
      </c>
      <c r="AQ55" s="78" t="s">
        <v>2487</v>
      </c>
      <c r="AS55" s="143" t="s">
        <v>729</v>
      </c>
      <c r="AT55" s="143" t="s">
        <v>730</v>
      </c>
      <c r="AU55" s="143" t="s">
        <v>663</v>
      </c>
      <c r="AV55" s="143">
        <v>3955</v>
      </c>
      <c r="AW55" s="137" t="s">
        <v>2838</v>
      </c>
      <c r="AX55" s="137" t="s">
        <v>2838</v>
      </c>
      <c r="AY55" s="137" t="s">
        <v>2838</v>
      </c>
      <c r="AZ55" s="137" t="s">
        <v>2838</v>
      </c>
      <c r="BA55" s="137" t="s">
        <v>2838</v>
      </c>
      <c r="BB55" s="137" t="s">
        <v>2838</v>
      </c>
      <c r="BC55" s="137" t="s">
        <v>2838</v>
      </c>
      <c r="BD55" s="137" t="s">
        <v>2838</v>
      </c>
      <c r="BE55" s="137" t="s">
        <v>2838</v>
      </c>
      <c r="BF55" s="137" t="s">
        <v>2838</v>
      </c>
      <c r="BI55" s="137" t="s">
        <v>2486</v>
      </c>
      <c r="BJ55" s="137" t="s">
        <v>2486</v>
      </c>
      <c r="BK55" s="190" t="s">
        <v>2486</v>
      </c>
      <c r="BL55" s="190">
        <v>1</v>
      </c>
      <c r="BM55" s="78" t="s">
        <v>2486</v>
      </c>
      <c r="BO55" s="143" t="s">
        <v>729</v>
      </c>
      <c r="BP55" s="143" t="s">
        <v>730</v>
      </c>
      <c r="BQ55" s="143" t="s">
        <v>663</v>
      </c>
      <c r="BR55" s="143">
        <v>3955</v>
      </c>
      <c r="BY55" s="78" t="s">
        <v>2838</v>
      </c>
    </row>
    <row r="56" spans="1:77" x14ac:dyDescent="0.35">
      <c r="A56" s="143" t="s">
        <v>729</v>
      </c>
      <c r="B56" s="143" t="s">
        <v>730</v>
      </c>
      <c r="C56" s="143" t="s">
        <v>663</v>
      </c>
      <c r="D56" s="143">
        <v>3963</v>
      </c>
      <c r="E56" s="137">
        <v>0.2</v>
      </c>
      <c r="F56" s="137">
        <v>0.78855980000000003</v>
      </c>
      <c r="G56" s="271">
        <v>0.98855979999999999</v>
      </c>
      <c r="H56" s="137" t="s">
        <v>2486</v>
      </c>
      <c r="I56" s="137">
        <v>0.1666667</v>
      </c>
      <c r="J56" s="137">
        <v>0.7228464</v>
      </c>
      <c r="K56" s="137">
        <v>0.88951309999999995</v>
      </c>
      <c r="M56" s="143" t="s">
        <v>729</v>
      </c>
      <c r="N56" s="143" t="s">
        <v>730</v>
      </c>
      <c r="O56" s="143" t="s">
        <v>663</v>
      </c>
      <c r="P56" s="143">
        <v>3963</v>
      </c>
      <c r="Q56" s="137" t="s">
        <v>2486</v>
      </c>
      <c r="R56" s="137" t="s">
        <v>2486</v>
      </c>
      <c r="S56" s="137" t="s">
        <v>2486</v>
      </c>
      <c r="T56" s="137" t="s">
        <v>2486</v>
      </c>
      <c r="U56" s="137" t="s">
        <v>2487</v>
      </c>
      <c r="V56" s="137" t="s">
        <v>2487</v>
      </c>
      <c r="W56" s="137" t="s">
        <v>2486</v>
      </c>
      <c r="X56" s="137" t="s">
        <v>2486</v>
      </c>
      <c r="Y56" s="137" t="s">
        <v>2486</v>
      </c>
      <c r="Z56" s="137" t="s">
        <v>2486</v>
      </c>
      <c r="AA56" s="137" t="s">
        <v>2486</v>
      </c>
      <c r="AB56" s="137">
        <v>0.81818179999999996</v>
      </c>
      <c r="AD56" s="143" t="s">
        <v>729</v>
      </c>
      <c r="AE56" s="143" t="s">
        <v>730</v>
      </c>
      <c r="AF56" s="143" t="s">
        <v>663</v>
      </c>
      <c r="AG56" s="143">
        <v>3963</v>
      </c>
      <c r="AO56" s="190">
        <v>0.96250000000000002</v>
      </c>
      <c r="AP56" s="190">
        <v>0.96250000000000002</v>
      </c>
      <c r="AQ56" s="78" t="s">
        <v>2486</v>
      </c>
      <c r="AS56" s="143" t="s">
        <v>729</v>
      </c>
      <c r="AT56" s="143" t="s">
        <v>730</v>
      </c>
      <c r="AU56" s="143" t="s">
        <v>663</v>
      </c>
      <c r="AV56" s="143">
        <v>3963</v>
      </c>
      <c r="AW56" s="137" t="s">
        <v>2838</v>
      </c>
      <c r="AX56" s="137" t="s">
        <v>2838</v>
      </c>
      <c r="AY56" s="137" t="s">
        <v>2838</v>
      </c>
      <c r="AZ56" s="137" t="s">
        <v>2838</v>
      </c>
      <c r="BA56" s="137" t="s">
        <v>2838</v>
      </c>
      <c r="BB56" s="137" t="s">
        <v>2838</v>
      </c>
      <c r="BC56" s="137" t="s">
        <v>2838</v>
      </c>
      <c r="BD56" s="137" t="s">
        <v>2838</v>
      </c>
      <c r="BE56" s="137" t="s">
        <v>2838</v>
      </c>
      <c r="BF56" s="137" t="s">
        <v>2838</v>
      </c>
      <c r="BI56" s="137" t="s">
        <v>2486</v>
      </c>
      <c r="BJ56" s="137" t="s">
        <v>2486</v>
      </c>
      <c r="BK56" s="190" t="s">
        <v>2486</v>
      </c>
      <c r="BL56" s="190">
        <v>1</v>
      </c>
      <c r="BM56" s="78" t="s">
        <v>2486</v>
      </c>
      <c r="BO56" s="143" t="s">
        <v>729</v>
      </c>
      <c r="BP56" s="143" t="s">
        <v>730</v>
      </c>
      <c r="BQ56" s="143" t="s">
        <v>663</v>
      </c>
      <c r="BR56" s="143">
        <v>3963</v>
      </c>
      <c r="BY56" s="78" t="s">
        <v>2838</v>
      </c>
    </row>
    <row r="57" spans="1:77" x14ac:dyDescent="0.35">
      <c r="A57" s="143" t="s">
        <v>2841</v>
      </c>
      <c r="B57" s="143" t="s">
        <v>748</v>
      </c>
      <c r="C57" s="143" t="s">
        <v>663</v>
      </c>
      <c r="D57" s="143">
        <v>2888</v>
      </c>
      <c r="E57" s="137"/>
      <c r="F57" s="137">
        <v>0</v>
      </c>
      <c r="G57" s="271">
        <v>0</v>
      </c>
      <c r="H57" s="137" t="s">
        <v>2487</v>
      </c>
      <c r="I57" s="137"/>
      <c r="J57" s="137">
        <v>0</v>
      </c>
      <c r="K57" s="137">
        <v>0</v>
      </c>
      <c r="M57" s="143" t="s">
        <v>2841</v>
      </c>
      <c r="N57" s="143" t="s">
        <v>748</v>
      </c>
      <c r="O57" s="143" t="s">
        <v>663</v>
      </c>
      <c r="P57" s="143">
        <v>2888</v>
      </c>
      <c r="Q57" s="137" t="s">
        <v>2838</v>
      </c>
      <c r="R57" s="137" t="s">
        <v>2838</v>
      </c>
      <c r="S57" s="137" t="s">
        <v>2838</v>
      </c>
      <c r="T57" s="137" t="s">
        <v>2838</v>
      </c>
      <c r="U57" s="137" t="s">
        <v>2838</v>
      </c>
      <c r="V57" s="137" t="s">
        <v>2838</v>
      </c>
      <c r="W57" s="137" t="s">
        <v>2838</v>
      </c>
      <c r="X57" s="137" t="s">
        <v>2838</v>
      </c>
      <c r="Y57" s="137" t="s">
        <v>2838</v>
      </c>
      <c r="Z57" s="137" t="s">
        <v>2838</v>
      </c>
      <c r="AA57" s="137" t="s">
        <v>2838</v>
      </c>
      <c r="AB57" s="137">
        <v>0.72727269999999999</v>
      </c>
      <c r="AD57" s="143" t="s">
        <v>2841</v>
      </c>
      <c r="AE57" s="143" t="s">
        <v>748</v>
      </c>
      <c r="AF57" s="143" t="s">
        <v>663</v>
      </c>
      <c r="AG57" s="143">
        <v>2888</v>
      </c>
      <c r="AQ57" s="78" t="s">
        <v>2838</v>
      </c>
      <c r="AS57" s="143" t="s">
        <v>2841</v>
      </c>
      <c r="AT57" s="143" t="s">
        <v>748</v>
      </c>
      <c r="AU57" s="143" t="s">
        <v>663</v>
      </c>
      <c r="AV57" s="143">
        <v>2888</v>
      </c>
      <c r="AW57" s="137" t="s">
        <v>2838</v>
      </c>
      <c r="AX57" s="137" t="s">
        <v>2838</v>
      </c>
      <c r="AY57" s="137" t="s">
        <v>2838</v>
      </c>
      <c r="AZ57" s="137" t="s">
        <v>2838</v>
      </c>
      <c r="BA57" s="137" t="s">
        <v>2838</v>
      </c>
      <c r="BB57" s="137" t="s">
        <v>2838</v>
      </c>
      <c r="BC57" s="137" t="s">
        <v>2838</v>
      </c>
      <c r="BD57" s="137" t="s">
        <v>2838</v>
      </c>
      <c r="BE57" s="137" t="s">
        <v>2838</v>
      </c>
      <c r="BF57" s="137" t="s">
        <v>2838</v>
      </c>
      <c r="BI57" s="137" t="s">
        <v>2838</v>
      </c>
      <c r="BJ57" s="137" t="s">
        <v>2838</v>
      </c>
      <c r="BK57" s="190" t="s">
        <v>2838</v>
      </c>
      <c r="BM57" s="78" t="s">
        <v>2838</v>
      </c>
      <c r="BO57" s="143" t="s">
        <v>2841</v>
      </c>
      <c r="BP57" s="143" t="s">
        <v>748</v>
      </c>
      <c r="BQ57" s="143" t="s">
        <v>663</v>
      </c>
      <c r="BR57" s="143">
        <v>2888</v>
      </c>
      <c r="BY57" s="78" t="s">
        <v>2838</v>
      </c>
    </row>
    <row r="58" spans="1:77" x14ac:dyDescent="0.35">
      <c r="A58" s="143" t="s">
        <v>2841</v>
      </c>
      <c r="B58" s="143" t="s">
        <v>748</v>
      </c>
      <c r="C58" s="143" t="s">
        <v>663</v>
      </c>
      <c r="D58" s="143">
        <v>4432</v>
      </c>
      <c r="E58" s="137"/>
      <c r="F58" s="137">
        <v>0.39515149999999999</v>
      </c>
      <c r="G58" s="271">
        <v>0.49393939999999997</v>
      </c>
      <c r="H58" s="137" t="s">
        <v>2487</v>
      </c>
      <c r="I58" s="137"/>
      <c r="J58" s="137">
        <v>6.6666699999999995E-2</v>
      </c>
      <c r="K58" s="137">
        <v>8.3333299999999999E-2</v>
      </c>
      <c r="M58" s="143" t="s">
        <v>2841</v>
      </c>
      <c r="N58" s="143" t="s">
        <v>748</v>
      </c>
      <c r="O58" s="143" t="s">
        <v>663</v>
      </c>
      <c r="P58" s="143">
        <v>4432</v>
      </c>
      <c r="Q58" s="137" t="s">
        <v>2838</v>
      </c>
      <c r="R58" s="137" t="s">
        <v>2838</v>
      </c>
      <c r="S58" s="137" t="s">
        <v>2838</v>
      </c>
      <c r="T58" s="137" t="s">
        <v>2838</v>
      </c>
      <c r="U58" s="137" t="s">
        <v>2838</v>
      </c>
      <c r="V58" s="137" t="s">
        <v>2838</v>
      </c>
      <c r="W58" s="137" t="s">
        <v>2838</v>
      </c>
      <c r="X58" s="137" t="s">
        <v>2838</v>
      </c>
      <c r="Y58" s="137" t="s">
        <v>2838</v>
      </c>
      <c r="Z58" s="137" t="s">
        <v>2838</v>
      </c>
      <c r="AA58" s="137" t="s">
        <v>2838</v>
      </c>
      <c r="AB58" s="137">
        <v>0.72727269999999999</v>
      </c>
      <c r="AD58" s="143" t="s">
        <v>2841</v>
      </c>
      <c r="AE58" s="143" t="s">
        <v>748</v>
      </c>
      <c r="AF58" s="143" t="s">
        <v>663</v>
      </c>
      <c r="AG58" s="143">
        <v>4432</v>
      </c>
      <c r="AQ58" s="78" t="s">
        <v>2838</v>
      </c>
      <c r="AS58" s="143" t="s">
        <v>2841</v>
      </c>
      <c r="AT58" s="143" t="s">
        <v>748</v>
      </c>
      <c r="AU58" s="143" t="s">
        <v>663</v>
      </c>
      <c r="AV58" s="143">
        <v>4432</v>
      </c>
      <c r="AW58" s="137" t="s">
        <v>2838</v>
      </c>
      <c r="AX58" s="137" t="s">
        <v>2838</v>
      </c>
      <c r="AY58" s="137" t="s">
        <v>2838</v>
      </c>
      <c r="AZ58" s="137" t="s">
        <v>2838</v>
      </c>
      <c r="BA58" s="137" t="s">
        <v>2838</v>
      </c>
      <c r="BB58" s="137" t="s">
        <v>2838</v>
      </c>
      <c r="BC58" s="137" t="s">
        <v>2838</v>
      </c>
      <c r="BD58" s="137" t="s">
        <v>2838</v>
      </c>
      <c r="BE58" s="137" t="s">
        <v>2838</v>
      </c>
      <c r="BF58" s="137" t="s">
        <v>2838</v>
      </c>
      <c r="BI58" s="137" t="s">
        <v>2838</v>
      </c>
      <c r="BJ58" s="137" t="s">
        <v>2838</v>
      </c>
      <c r="BK58" s="190" t="s">
        <v>2838</v>
      </c>
      <c r="BM58" s="78" t="s">
        <v>2838</v>
      </c>
      <c r="BO58" s="143" t="s">
        <v>2841</v>
      </c>
      <c r="BP58" s="143" t="s">
        <v>748</v>
      </c>
      <c r="BQ58" s="143" t="s">
        <v>663</v>
      </c>
      <c r="BR58" s="143">
        <v>4432</v>
      </c>
      <c r="BY58" s="78" t="s">
        <v>2838</v>
      </c>
    </row>
    <row r="59" spans="1:77" x14ac:dyDescent="0.35">
      <c r="A59" s="143" t="s">
        <v>2841</v>
      </c>
      <c r="B59" s="143" t="s">
        <v>748</v>
      </c>
      <c r="C59" s="143" t="s">
        <v>663</v>
      </c>
      <c r="D59" s="143">
        <v>4436</v>
      </c>
      <c r="E59" s="137"/>
      <c r="F59" s="137">
        <v>0</v>
      </c>
      <c r="G59" s="271">
        <v>0</v>
      </c>
      <c r="H59" s="137" t="s">
        <v>2487</v>
      </c>
      <c r="I59" s="137"/>
      <c r="J59" s="137">
        <v>0</v>
      </c>
      <c r="K59" s="137">
        <v>0</v>
      </c>
      <c r="M59" s="143" t="s">
        <v>2841</v>
      </c>
      <c r="N59" s="143" t="s">
        <v>748</v>
      </c>
      <c r="O59" s="143" t="s">
        <v>663</v>
      </c>
      <c r="P59" s="143">
        <v>4436</v>
      </c>
      <c r="Q59" s="137" t="s">
        <v>2838</v>
      </c>
      <c r="R59" s="137" t="s">
        <v>2838</v>
      </c>
      <c r="S59" s="137" t="s">
        <v>2838</v>
      </c>
      <c r="T59" s="137" t="s">
        <v>2838</v>
      </c>
      <c r="U59" s="137" t="s">
        <v>2838</v>
      </c>
      <c r="V59" s="137" t="s">
        <v>2838</v>
      </c>
      <c r="W59" s="137" t="s">
        <v>2838</v>
      </c>
      <c r="X59" s="137" t="s">
        <v>2838</v>
      </c>
      <c r="Y59" s="137" t="s">
        <v>2838</v>
      </c>
      <c r="Z59" s="137" t="s">
        <v>2838</v>
      </c>
      <c r="AA59" s="137" t="s">
        <v>2838</v>
      </c>
      <c r="AB59" s="137">
        <v>0.27272730000000001</v>
      </c>
      <c r="AD59" s="143" t="s">
        <v>2841</v>
      </c>
      <c r="AE59" s="143" t="s">
        <v>748</v>
      </c>
      <c r="AF59" s="143" t="s">
        <v>663</v>
      </c>
      <c r="AG59" s="143">
        <v>4436</v>
      </c>
      <c r="AQ59" s="78" t="s">
        <v>2838</v>
      </c>
      <c r="AS59" s="143" t="s">
        <v>2841</v>
      </c>
      <c r="AT59" s="143" t="s">
        <v>748</v>
      </c>
      <c r="AU59" s="143" t="s">
        <v>663</v>
      </c>
      <c r="AV59" s="143">
        <v>4436</v>
      </c>
      <c r="AW59" s="137" t="s">
        <v>2838</v>
      </c>
      <c r="AX59" s="137" t="s">
        <v>2838</v>
      </c>
      <c r="AY59" s="137" t="s">
        <v>2838</v>
      </c>
      <c r="AZ59" s="137" t="s">
        <v>2838</v>
      </c>
      <c r="BA59" s="137" t="s">
        <v>2838</v>
      </c>
      <c r="BB59" s="137" t="s">
        <v>2838</v>
      </c>
      <c r="BC59" s="137" t="s">
        <v>2838</v>
      </c>
      <c r="BD59" s="137" t="s">
        <v>2838</v>
      </c>
      <c r="BE59" s="137" t="s">
        <v>2838</v>
      </c>
      <c r="BF59" s="137" t="s">
        <v>2838</v>
      </c>
      <c r="BI59" s="137" t="s">
        <v>2838</v>
      </c>
      <c r="BJ59" s="137" t="s">
        <v>2838</v>
      </c>
      <c r="BK59" s="190" t="s">
        <v>2838</v>
      </c>
      <c r="BM59" s="78" t="s">
        <v>2838</v>
      </c>
      <c r="BO59" s="143" t="s">
        <v>2841</v>
      </c>
      <c r="BP59" s="143" t="s">
        <v>748</v>
      </c>
      <c r="BQ59" s="143" t="s">
        <v>663</v>
      </c>
      <c r="BR59" s="143">
        <v>4436</v>
      </c>
      <c r="BY59" s="78" t="s">
        <v>2838</v>
      </c>
    </row>
    <row r="60" spans="1:77" x14ac:dyDescent="0.35">
      <c r="A60" s="143" t="s">
        <v>2841</v>
      </c>
      <c r="B60" s="143" t="s">
        <v>748</v>
      </c>
      <c r="C60" s="143" t="s">
        <v>663</v>
      </c>
      <c r="D60" s="143">
        <v>4440</v>
      </c>
      <c r="E60" s="137"/>
      <c r="F60" s="137">
        <v>0.37090909999999999</v>
      </c>
      <c r="G60" s="271">
        <v>0.4636364</v>
      </c>
      <c r="H60" s="137" t="s">
        <v>2487</v>
      </c>
      <c r="I60" s="137"/>
      <c r="J60" s="137">
        <v>0</v>
      </c>
      <c r="K60" s="137">
        <v>0</v>
      </c>
      <c r="M60" s="143" t="s">
        <v>2841</v>
      </c>
      <c r="N60" s="143" t="s">
        <v>748</v>
      </c>
      <c r="O60" s="143" t="s">
        <v>663</v>
      </c>
      <c r="P60" s="143">
        <v>4440</v>
      </c>
      <c r="Q60" s="137" t="s">
        <v>2838</v>
      </c>
      <c r="R60" s="137" t="s">
        <v>2838</v>
      </c>
      <c r="S60" s="137" t="s">
        <v>2838</v>
      </c>
      <c r="T60" s="137" t="s">
        <v>2838</v>
      </c>
      <c r="U60" s="137" t="s">
        <v>2838</v>
      </c>
      <c r="V60" s="137" t="s">
        <v>2838</v>
      </c>
      <c r="W60" s="137" t="s">
        <v>2838</v>
      </c>
      <c r="X60" s="137" t="s">
        <v>2838</v>
      </c>
      <c r="Y60" s="137" t="s">
        <v>2838</v>
      </c>
      <c r="Z60" s="137" t="s">
        <v>2838</v>
      </c>
      <c r="AA60" s="137" t="s">
        <v>2838</v>
      </c>
      <c r="AB60" s="137">
        <v>0.27272730000000001</v>
      </c>
      <c r="AD60" s="143" t="s">
        <v>2841</v>
      </c>
      <c r="AE60" s="143" t="s">
        <v>748</v>
      </c>
      <c r="AF60" s="143" t="s">
        <v>663</v>
      </c>
      <c r="AG60" s="143">
        <v>4440</v>
      </c>
      <c r="AQ60" s="78" t="s">
        <v>2838</v>
      </c>
      <c r="AS60" s="143" t="s">
        <v>2841</v>
      </c>
      <c r="AT60" s="143" t="s">
        <v>748</v>
      </c>
      <c r="AU60" s="143" t="s">
        <v>663</v>
      </c>
      <c r="AV60" s="143">
        <v>4440</v>
      </c>
      <c r="AW60" s="137" t="s">
        <v>2838</v>
      </c>
      <c r="AX60" s="137" t="s">
        <v>2838</v>
      </c>
      <c r="AY60" s="137" t="s">
        <v>2838</v>
      </c>
      <c r="AZ60" s="137" t="s">
        <v>2838</v>
      </c>
      <c r="BA60" s="137" t="s">
        <v>2838</v>
      </c>
      <c r="BB60" s="137" t="s">
        <v>2838</v>
      </c>
      <c r="BC60" s="137" t="s">
        <v>2838</v>
      </c>
      <c r="BD60" s="137" t="s">
        <v>2838</v>
      </c>
      <c r="BE60" s="137" t="s">
        <v>2838</v>
      </c>
      <c r="BF60" s="137" t="s">
        <v>2838</v>
      </c>
      <c r="BI60" s="137" t="s">
        <v>2838</v>
      </c>
      <c r="BJ60" s="137" t="s">
        <v>2838</v>
      </c>
      <c r="BK60" s="190" t="s">
        <v>2838</v>
      </c>
      <c r="BM60" s="78" t="s">
        <v>2838</v>
      </c>
      <c r="BO60" s="143" t="s">
        <v>2841</v>
      </c>
      <c r="BP60" s="143" t="s">
        <v>748</v>
      </c>
      <c r="BQ60" s="143" t="s">
        <v>663</v>
      </c>
      <c r="BR60" s="143">
        <v>4440</v>
      </c>
      <c r="BY60" s="78" t="s">
        <v>2838</v>
      </c>
    </row>
    <row r="61" spans="1:77" x14ac:dyDescent="0.35">
      <c r="A61" s="143" t="s">
        <v>2842</v>
      </c>
      <c r="B61" s="143" t="s">
        <v>722</v>
      </c>
      <c r="C61" s="143" t="s">
        <v>663</v>
      </c>
      <c r="D61" s="143">
        <v>2888</v>
      </c>
      <c r="E61" s="137">
        <v>0.1090909</v>
      </c>
      <c r="F61" s="137">
        <v>0</v>
      </c>
      <c r="G61" s="271">
        <v>0.1090909</v>
      </c>
      <c r="H61" s="137" t="s">
        <v>2487</v>
      </c>
      <c r="I61" s="137">
        <v>0.15</v>
      </c>
      <c r="J61" s="137">
        <v>0</v>
      </c>
      <c r="K61" s="137">
        <v>0.15</v>
      </c>
      <c r="M61" s="143" t="s">
        <v>2842</v>
      </c>
      <c r="N61" s="143" t="s">
        <v>722</v>
      </c>
      <c r="O61" s="143" t="s">
        <v>663</v>
      </c>
      <c r="P61" s="143">
        <v>2888</v>
      </c>
      <c r="Q61" s="137" t="s">
        <v>2486</v>
      </c>
      <c r="R61" s="137" t="s">
        <v>2486</v>
      </c>
      <c r="S61" s="137" t="s">
        <v>2486</v>
      </c>
      <c r="T61" s="137" t="s">
        <v>2486</v>
      </c>
      <c r="U61" s="137" t="s">
        <v>2487</v>
      </c>
      <c r="V61" s="137" t="s">
        <v>2487</v>
      </c>
      <c r="W61" s="137" t="s">
        <v>2486</v>
      </c>
      <c r="X61" s="137" t="s">
        <v>2487</v>
      </c>
      <c r="Y61" s="137" t="s">
        <v>2486</v>
      </c>
      <c r="Z61" s="137" t="s">
        <v>2486</v>
      </c>
      <c r="AA61" s="137" t="s">
        <v>2486</v>
      </c>
      <c r="AB61" s="137">
        <v>0.72727269999999999</v>
      </c>
      <c r="AD61" s="143" t="s">
        <v>2842</v>
      </c>
      <c r="AE61" s="143" t="s">
        <v>722</v>
      </c>
      <c r="AF61" s="143" t="s">
        <v>663</v>
      </c>
      <c r="AG61" s="143">
        <v>2888</v>
      </c>
      <c r="AO61" s="190">
        <v>0.67500000000000004</v>
      </c>
      <c r="AP61" s="190">
        <v>0.67500000000000004</v>
      </c>
      <c r="AQ61" s="78" t="s">
        <v>2487</v>
      </c>
      <c r="AS61" s="143" t="s">
        <v>2842</v>
      </c>
      <c r="AT61" s="143" t="s">
        <v>722</v>
      </c>
      <c r="AU61" s="143" t="s">
        <v>663</v>
      </c>
      <c r="AV61" s="143">
        <v>2888</v>
      </c>
      <c r="AW61" s="137" t="s">
        <v>2838</v>
      </c>
      <c r="AX61" s="137" t="s">
        <v>2838</v>
      </c>
      <c r="AY61" s="137" t="s">
        <v>2838</v>
      </c>
      <c r="AZ61" s="137" t="s">
        <v>2838</v>
      </c>
      <c r="BA61" s="137" t="s">
        <v>2838</v>
      </c>
      <c r="BB61" s="137" t="s">
        <v>2838</v>
      </c>
      <c r="BC61" s="137" t="s">
        <v>2838</v>
      </c>
      <c r="BD61" s="137" t="s">
        <v>2838</v>
      </c>
      <c r="BE61" s="137" t="s">
        <v>2838</v>
      </c>
      <c r="BF61" s="137" t="s">
        <v>2838</v>
      </c>
      <c r="BI61" s="137" t="s">
        <v>2486</v>
      </c>
      <c r="BJ61" s="137" t="s">
        <v>2486</v>
      </c>
      <c r="BK61" s="190" t="s">
        <v>2486</v>
      </c>
      <c r="BL61" s="190">
        <v>1</v>
      </c>
      <c r="BM61" s="78" t="s">
        <v>2486</v>
      </c>
      <c r="BO61" s="143" t="s">
        <v>2842</v>
      </c>
      <c r="BP61" s="143" t="s">
        <v>722</v>
      </c>
      <c r="BQ61" s="143" t="s">
        <v>663</v>
      </c>
      <c r="BR61" s="143">
        <v>2888</v>
      </c>
      <c r="BY61" s="78" t="s">
        <v>2838</v>
      </c>
    </row>
    <row r="62" spans="1:77" x14ac:dyDescent="0.35">
      <c r="A62" s="143" t="s">
        <v>2842</v>
      </c>
      <c r="B62" s="143" t="s">
        <v>722</v>
      </c>
      <c r="C62" s="143" t="s">
        <v>663</v>
      </c>
      <c r="D62" s="143">
        <v>4432</v>
      </c>
      <c r="E62" s="137">
        <v>0.16363639999999999</v>
      </c>
      <c r="F62" s="137">
        <v>0.50658309999999995</v>
      </c>
      <c r="G62" s="271">
        <v>0.67021940000000002</v>
      </c>
      <c r="H62" s="137" t="s">
        <v>2487</v>
      </c>
      <c r="I62" s="137">
        <v>0.1166667</v>
      </c>
      <c r="J62" s="137">
        <v>6.6666699999999995E-2</v>
      </c>
      <c r="K62" s="137">
        <v>0.1833333</v>
      </c>
      <c r="M62" s="143" t="s">
        <v>2842</v>
      </c>
      <c r="N62" s="143" t="s">
        <v>722</v>
      </c>
      <c r="O62" s="143" t="s">
        <v>663</v>
      </c>
      <c r="P62" s="143">
        <v>4432</v>
      </c>
      <c r="Q62" s="137" t="s">
        <v>2486</v>
      </c>
      <c r="R62" s="137" t="s">
        <v>2486</v>
      </c>
      <c r="S62" s="137" t="s">
        <v>2486</v>
      </c>
      <c r="T62" s="137" t="s">
        <v>2486</v>
      </c>
      <c r="U62" s="137" t="s">
        <v>2487</v>
      </c>
      <c r="V62" s="137" t="s">
        <v>2487</v>
      </c>
      <c r="W62" s="137" t="s">
        <v>2486</v>
      </c>
      <c r="X62" s="137" t="s">
        <v>2486</v>
      </c>
      <c r="Y62" s="137" t="s">
        <v>2486</v>
      </c>
      <c r="Z62" s="137" t="s">
        <v>2486</v>
      </c>
      <c r="AA62" s="137" t="s">
        <v>2487</v>
      </c>
      <c r="AB62" s="137">
        <v>0.72727269999999999</v>
      </c>
      <c r="AD62" s="143" t="s">
        <v>2842</v>
      </c>
      <c r="AE62" s="143" t="s">
        <v>722</v>
      </c>
      <c r="AF62" s="143" t="s">
        <v>663</v>
      </c>
      <c r="AG62" s="143">
        <v>4432</v>
      </c>
      <c r="AO62" s="190">
        <v>0.875</v>
      </c>
      <c r="AP62" s="190">
        <v>0.875</v>
      </c>
      <c r="AQ62" s="78" t="s">
        <v>2487</v>
      </c>
      <c r="AS62" s="143" t="s">
        <v>2842</v>
      </c>
      <c r="AT62" s="143" t="s">
        <v>722</v>
      </c>
      <c r="AU62" s="143" t="s">
        <v>663</v>
      </c>
      <c r="AV62" s="143">
        <v>4432</v>
      </c>
      <c r="AW62" s="137" t="s">
        <v>2838</v>
      </c>
      <c r="AX62" s="137" t="s">
        <v>2838</v>
      </c>
      <c r="AY62" s="137" t="s">
        <v>2838</v>
      </c>
      <c r="AZ62" s="137" t="s">
        <v>2838</v>
      </c>
      <c r="BA62" s="137" t="s">
        <v>2838</v>
      </c>
      <c r="BB62" s="137" t="s">
        <v>2838</v>
      </c>
      <c r="BC62" s="137" t="s">
        <v>2838</v>
      </c>
      <c r="BD62" s="137" t="s">
        <v>2838</v>
      </c>
      <c r="BE62" s="137" t="s">
        <v>2838</v>
      </c>
      <c r="BF62" s="137" t="s">
        <v>2838</v>
      </c>
      <c r="BI62" s="137" t="s">
        <v>2486</v>
      </c>
      <c r="BJ62" s="137" t="s">
        <v>2486</v>
      </c>
      <c r="BK62" s="190" t="s">
        <v>2486</v>
      </c>
      <c r="BL62" s="190">
        <v>1</v>
      </c>
      <c r="BM62" s="78" t="s">
        <v>2486</v>
      </c>
      <c r="BO62" s="143" t="s">
        <v>2842</v>
      </c>
      <c r="BP62" s="143" t="s">
        <v>722</v>
      </c>
      <c r="BQ62" s="143" t="s">
        <v>663</v>
      </c>
      <c r="BR62" s="143">
        <v>4432</v>
      </c>
      <c r="BY62" s="78" t="s">
        <v>2838</v>
      </c>
    </row>
    <row r="63" spans="1:77" x14ac:dyDescent="0.35">
      <c r="A63" s="143" t="s">
        <v>2842</v>
      </c>
      <c r="B63" s="143" t="s">
        <v>722</v>
      </c>
      <c r="C63" s="143" t="s">
        <v>663</v>
      </c>
      <c r="D63" s="143">
        <v>4436</v>
      </c>
      <c r="E63" s="137">
        <v>5.4545499999999997E-2</v>
      </c>
      <c r="F63" s="137">
        <v>0</v>
      </c>
      <c r="G63" s="271">
        <v>5.4545499999999997E-2</v>
      </c>
      <c r="H63" s="137" t="s">
        <v>2487</v>
      </c>
      <c r="I63" s="137">
        <v>0.1</v>
      </c>
      <c r="J63" s="137">
        <v>0</v>
      </c>
      <c r="K63" s="137">
        <v>0.1</v>
      </c>
      <c r="M63" s="143" t="s">
        <v>2842</v>
      </c>
      <c r="N63" s="143" t="s">
        <v>722</v>
      </c>
      <c r="O63" s="143" t="s">
        <v>663</v>
      </c>
      <c r="P63" s="143">
        <v>4436</v>
      </c>
      <c r="Q63" s="137" t="s">
        <v>2487</v>
      </c>
      <c r="R63" s="137" t="s">
        <v>2487</v>
      </c>
      <c r="S63" s="137" t="s">
        <v>2486</v>
      </c>
      <c r="T63" s="137" t="s">
        <v>2487</v>
      </c>
      <c r="U63" s="137" t="s">
        <v>2487</v>
      </c>
      <c r="V63" s="137" t="s">
        <v>2487</v>
      </c>
      <c r="W63" s="137" t="s">
        <v>2486</v>
      </c>
      <c r="X63" s="137" t="s">
        <v>2487</v>
      </c>
      <c r="Y63" s="137" t="s">
        <v>2487</v>
      </c>
      <c r="Z63" s="137" t="s">
        <v>2486</v>
      </c>
      <c r="AA63" s="137" t="s">
        <v>2487</v>
      </c>
      <c r="AB63" s="137">
        <v>0.27272730000000001</v>
      </c>
      <c r="AD63" s="143" t="s">
        <v>2842</v>
      </c>
      <c r="AE63" s="143" t="s">
        <v>722</v>
      </c>
      <c r="AF63" s="143" t="s">
        <v>663</v>
      </c>
      <c r="AG63" s="143">
        <v>4436</v>
      </c>
      <c r="AO63" s="190">
        <v>0.75</v>
      </c>
      <c r="AP63" s="190">
        <v>0.75</v>
      </c>
      <c r="AQ63" s="78" t="s">
        <v>2487</v>
      </c>
      <c r="AS63" s="143" t="s">
        <v>2842</v>
      </c>
      <c r="AT63" s="143" t="s">
        <v>722</v>
      </c>
      <c r="AU63" s="143" t="s">
        <v>663</v>
      </c>
      <c r="AV63" s="143">
        <v>4436</v>
      </c>
      <c r="AW63" s="137" t="s">
        <v>2838</v>
      </c>
      <c r="AX63" s="137" t="s">
        <v>2838</v>
      </c>
      <c r="AY63" s="137" t="s">
        <v>2838</v>
      </c>
      <c r="AZ63" s="137" t="s">
        <v>2838</v>
      </c>
      <c r="BA63" s="137" t="s">
        <v>2838</v>
      </c>
      <c r="BB63" s="137" t="s">
        <v>2838</v>
      </c>
      <c r="BC63" s="137" t="s">
        <v>2838</v>
      </c>
      <c r="BD63" s="137" t="s">
        <v>2838</v>
      </c>
      <c r="BE63" s="137" t="s">
        <v>2838</v>
      </c>
      <c r="BF63" s="137" t="s">
        <v>2838</v>
      </c>
      <c r="BI63" s="137" t="s">
        <v>2486</v>
      </c>
      <c r="BJ63" s="137" t="s">
        <v>2486</v>
      </c>
      <c r="BK63" s="190" t="s">
        <v>2486</v>
      </c>
      <c r="BL63" s="190">
        <v>1</v>
      </c>
      <c r="BM63" s="78" t="s">
        <v>2486</v>
      </c>
      <c r="BO63" s="143" t="s">
        <v>2842</v>
      </c>
      <c r="BP63" s="143" t="s">
        <v>722</v>
      </c>
      <c r="BQ63" s="143" t="s">
        <v>663</v>
      </c>
      <c r="BR63" s="143">
        <v>4436</v>
      </c>
      <c r="BY63" s="78" t="s">
        <v>2838</v>
      </c>
    </row>
    <row r="64" spans="1:77" x14ac:dyDescent="0.35">
      <c r="A64" s="143" t="s">
        <v>2842</v>
      </c>
      <c r="B64" s="143" t="s">
        <v>722</v>
      </c>
      <c r="C64" s="143" t="s">
        <v>663</v>
      </c>
      <c r="D64" s="143">
        <v>4440</v>
      </c>
      <c r="E64" s="137">
        <v>1.8181800000000001E-2</v>
      </c>
      <c r="F64" s="137">
        <v>0.44890279999999999</v>
      </c>
      <c r="G64" s="271">
        <v>0.46708460000000002</v>
      </c>
      <c r="H64" s="137" t="s">
        <v>2487</v>
      </c>
      <c r="I64" s="137">
        <v>0.1166667</v>
      </c>
      <c r="J64" s="137">
        <v>0</v>
      </c>
      <c r="K64" s="137">
        <v>0.1166667</v>
      </c>
      <c r="M64" s="143" t="s">
        <v>2842</v>
      </c>
      <c r="N64" s="143" t="s">
        <v>722</v>
      </c>
      <c r="O64" s="143" t="s">
        <v>663</v>
      </c>
      <c r="P64" s="143">
        <v>4440</v>
      </c>
      <c r="Q64" s="137" t="s">
        <v>2487</v>
      </c>
      <c r="R64" s="137" t="s">
        <v>2487</v>
      </c>
      <c r="S64" s="137" t="s">
        <v>2487</v>
      </c>
      <c r="T64" s="137" t="s">
        <v>2487</v>
      </c>
      <c r="U64" s="137" t="s">
        <v>2486</v>
      </c>
      <c r="V64" s="137" t="s">
        <v>2487</v>
      </c>
      <c r="W64" s="137" t="s">
        <v>2486</v>
      </c>
      <c r="X64" s="137" t="s">
        <v>2487</v>
      </c>
      <c r="Y64" s="137" t="s">
        <v>2486</v>
      </c>
      <c r="Z64" s="137" t="s">
        <v>2487</v>
      </c>
      <c r="AA64" s="137" t="s">
        <v>2487</v>
      </c>
      <c r="AB64" s="137">
        <v>0.27272730000000001</v>
      </c>
      <c r="AD64" s="143" t="s">
        <v>2842</v>
      </c>
      <c r="AE64" s="143" t="s">
        <v>722</v>
      </c>
      <c r="AF64" s="143" t="s">
        <v>663</v>
      </c>
      <c r="AG64" s="143">
        <v>4440</v>
      </c>
      <c r="AO64" s="190">
        <v>0.75</v>
      </c>
      <c r="AP64" s="190">
        <v>0.75</v>
      </c>
      <c r="AQ64" s="78" t="s">
        <v>2487</v>
      </c>
      <c r="AS64" s="143" t="s">
        <v>2842</v>
      </c>
      <c r="AT64" s="143" t="s">
        <v>722</v>
      </c>
      <c r="AU64" s="143" t="s">
        <v>663</v>
      </c>
      <c r="AV64" s="143">
        <v>4440</v>
      </c>
      <c r="AW64" s="137" t="s">
        <v>2838</v>
      </c>
      <c r="AX64" s="137" t="s">
        <v>2838</v>
      </c>
      <c r="AY64" s="137" t="s">
        <v>2838</v>
      </c>
      <c r="AZ64" s="137" t="s">
        <v>2838</v>
      </c>
      <c r="BA64" s="137" t="s">
        <v>2838</v>
      </c>
      <c r="BB64" s="137" t="s">
        <v>2838</v>
      </c>
      <c r="BC64" s="137" t="s">
        <v>2838</v>
      </c>
      <c r="BD64" s="137" t="s">
        <v>2838</v>
      </c>
      <c r="BE64" s="137" t="s">
        <v>2838</v>
      </c>
      <c r="BF64" s="137" t="s">
        <v>2838</v>
      </c>
      <c r="BI64" s="137" t="s">
        <v>2486</v>
      </c>
      <c r="BJ64" s="137" t="s">
        <v>2486</v>
      </c>
      <c r="BK64" s="190" t="s">
        <v>2486</v>
      </c>
      <c r="BL64" s="190">
        <v>1</v>
      </c>
      <c r="BM64" s="78" t="s">
        <v>2486</v>
      </c>
      <c r="BO64" s="143" t="s">
        <v>2842</v>
      </c>
      <c r="BP64" s="143" t="s">
        <v>722</v>
      </c>
      <c r="BQ64" s="143" t="s">
        <v>663</v>
      </c>
      <c r="BR64" s="143">
        <v>4440</v>
      </c>
      <c r="BY64" s="78" t="s">
        <v>2838</v>
      </c>
    </row>
    <row r="65" spans="1:77" x14ac:dyDescent="0.35">
      <c r="A65" s="143" t="s">
        <v>2843</v>
      </c>
      <c r="B65" s="143" t="s">
        <v>753</v>
      </c>
      <c r="C65" s="143" t="s">
        <v>663</v>
      </c>
      <c r="D65" s="143">
        <v>2476</v>
      </c>
      <c r="E65" s="137"/>
      <c r="F65" s="137">
        <v>0.72727269999999999</v>
      </c>
      <c r="G65" s="271">
        <v>0.90909090000000004</v>
      </c>
      <c r="H65" s="137" t="s">
        <v>2486</v>
      </c>
      <c r="I65" s="137"/>
      <c r="J65" s="137">
        <v>0</v>
      </c>
      <c r="K65" s="137">
        <v>0</v>
      </c>
      <c r="M65" s="143" t="s">
        <v>2843</v>
      </c>
      <c r="N65" s="143" t="s">
        <v>753</v>
      </c>
      <c r="O65" s="143" t="s">
        <v>663</v>
      </c>
      <c r="P65" s="143">
        <v>2476</v>
      </c>
      <c r="Q65" s="137" t="s">
        <v>2838</v>
      </c>
      <c r="R65" s="137" t="s">
        <v>2838</v>
      </c>
      <c r="S65" s="137" t="s">
        <v>2838</v>
      </c>
      <c r="T65" s="137" t="s">
        <v>2838</v>
      </c>
      <c r="U65" s="137" t="s">
        <v>2838</v>
      </c>
      <c r="V65" s="137" t="s">
        <v>2838</v>
      </c>
      <c r="W65" s="137" t="s">
        <v>2838</v>
      </c>
      <c r="X65" s="137" t="s">
        <v>2838</v>
      </c>
      <c r="Y65" s="137" t="s">
        <v>2838</v>
      </c>
      <c r="Z65" s="137" t="s">
        <v>2838</v>
      </c>
      <c r="AA65" s="137" t="s">
        <v>2838</v>
      </c>
      <c r="AB65" s="137">
        <v>0.81818179999999996</v>
      </c>
      <c r="AD65" s="143" t="s">
        <v>2843</v>
      </c>
      <c r="AE65" s="143" t="s">
        <v>753</v>
      </c>
      <c r="AF65" s="143" t="s">
        <v>663</v>
      </c>
      <c r="AG65" s="143">
        <v>2476</v>
      </c>
      <c r="AQ65" s="78" t="s">
        <v>2838</v>
      </c>
      <c r="AS65" s="143" t="s">
        <v>2843</v>
      </c>
      <c r="AT65" s="143" t="s">
        <v>753</v>
      </c>
      <c r="AU65" s="143" t="s">
        <v>663</v>
      </c>
      <c r="AV65" s="143">
        <v>2476</v>
      </c>
      <c r="AW65" s="137" t="s">
        <v>2838</v>
      </c>
      <c r="AX65" s="137" t="s">
        <v>2838</v>
      </c>
      <c r="AY65" s="137" t="s">
        <v>2838</v>
      </c>
      <c r="AZ65" s="137" t="s">
        <v>2838</v>
      </c>
      <c r="BA65" s="137" t="s">
        <v>2838</v>
      </c>
      <c r="BB65" s="137" t="s">
        <v>2838</v>
      </c>
      <c r="BC65" s="137" t="s">
        <v>2838</v>
      </c>
      <c r="BD65" s="137" t="s">
        <v>2838</v>
      </c>
      <c r="BE65" s="137" t="s">
        <v>2838</v>
      </c>
      <c r="BF65" s="137" t="s">
        <v>2838</v>
      </c>
      <c r="BI65" s="137" t="s">
        <v>2838</v>
      </c>
      <c r="BJ65" s="137" t="s">
        <v>2838</v>
      </c>
      <c r="BK65" s="190" t="s">
        <v>2838</v>
      </c>
      <c r="BM65" s="78" t="s">
        <v>2838</v>
      </c>
      <c r="BO65" s="143" t="s">
        <v>2843</v>
      </c>
      <c r="BP65" s="143" t="s">
        <v>753</v>
      </c>
      <c r="BQ65" s="143" t="s">
        <v>663</v>
      </c>
      <c r="BR65" s="143">
        <v>2476</v>
      </c>
      <c r="BY65" s="78" t="s">
        <v>2838</v>
      </c>
    </row>
    <row r="66" spans="1:77" x14ac:dyDescent="0.35">
      <c r="A66" s="143" t="s">
        <v>2843</v>
      </c>
      <c r="B66" s="143" t="s">
        <v>753</v>
      </c>
      <c r="C66" s="143" t="s">
        <v>663</v>
      </c>
      <c r="D66" s="143">
        <v>3633</v>
      </c>
      <c r="E66" s="137"/>
      <c r="F66" s="137">
        <v>0.54303029999999997</v>
      </c>
      <c r="G66" s="271">
        <v>0.6787879</v>
      </c>
      <c r="H66" s="137" t="s">
        <v>2487</v>
      </c>
      <c r="I66" s="137"/>
      <c r="J66" s="137">
        <v>0</v>
      </c>
      <c r="K66" s="137">
        <v>0</v>
      </c>
      <c r="M66" s="143" t="s">
        <v>2843</v>
      </c>
      <c r="N66" s="143" t="s">
        <v>753</v>
      </c>
      <c r="O66" s="143" t="s">
        <v>663</v>
      </c>
      <c r="P66" s="143">
        <v>3633</v>
      </c>
      <c r="Q66" s="137" t="s">
        <v>2838</v>
      </c>
      <c r="R66" s="137" t="s">
        <v>2838</v>
      </c>
      <c r="S66" s="137" t="s">
        <v>2838</v>
      </c>
      <c r="T66" s="137" t="s">
        <v>2838</v>
      </c>
      <c r="U66" s="137" t="s">
        <v>2838</v>
      </c>
      <c r="V66" s="137" t="s">
        <v>2838</v>
      </c>
      <c r="W66" s="137" t="s">
        <v>2838</v>
      </c>
      <c r="X66" s="137" t="s">
        <v>2838</v>
      </c>
      <c r="Y66" s="137" t="s">
        <v>2838</v>
      </c>
      <c r="Z66" s="137" t="s">
        <v>2838</v>
      </c>
      <c r="AA66" s="137" t="s">
        <v>2838</v>
      </c>
      <c r="AB66" s="137">
        <v>0.63636360000000003</v>
      </c>
      <c r="AD66" s="143" t="s">
        <v>2843</v>
      </c>
      <c r="AE66" s="143" t="s">
        <v>753</v>
      </c>
      <c r="AF66" s="143" t="s">
        <v>663</v>
      </c>
      <c r="AG66" s="143">
        <v>3633</v>
      </c>
      <c r="AQ66" s="78" t="s">
        <v>2838</v>
      </c>
      <c r="AS66" s="143" t="s">
        <v>2843</v>
      </c>
      <c r="AT66" s="143" t="s">
        <v>753</v>
      </c>
      <c r="AU66" s="143" t="s">
        <v>663</v>
      </c>
      <c r="AV66" s="143">
        <v>3633</v>
      </c>
      <c r="AW66" s="137" t="s">
        <v>2838</v>
      </c>
      <c r="AX66" s="137" t="s">
        <v>2838</v>
      </c>
      <c r="AY66" s="137" t="s">
        <v>2838</v>
      </c>
      <c r="AZ66" s="137" t="s">
        <v>2838</v>
      </c>
      <c r="BA66" s="137" t="s">
        <v>2838</v>
      </c>
      <c r="BB66" s="137" t="s">
        <v>2838</v>
      </c>
      <c r="BC66" s="137" t="s">
        <v>2838</v>
      </c>
      <c r="BD66" s="137" t="s">
        <v>2838</v>
      </c>
      <c r="BE66" s="137" t="s">
        <v>2838</v>
      </c>
      <c r="BF66" s="137" t="s">
        <v>2838</v>
      </c>
      <c r="BI66" s="137" t="s">
        <v>2838</v>
      </c>
      <c r="BJ66" s="137" t="s">
        <v>2838</v>
      </c>
      <c r="BK66" s="190" t="s">
        <v>2838</v>
      </c>
      <c r="BM66" s="78" t="s">
        <v>2838</v>
      </c>
      <c r="BO66" s="143" t="s">
        <v>2843</v>
      </c>
      <c r="BP66" s="143" t="s">
        <v>753</v>
      </c>
      <c r="BQ66" s="143" t="s">
        <v>663</v>
      </c>
      <c r="BR66" s="143">
        <v>3633</v>
      </c>
      <c r="BY66" s="78" t="s">
        <v>2838</v>
      </c>
    </row>
    <row r="67" spans="1:77" x14ac:dyDescent="0.35">
      <c r="A67" s="143" t="s">
        <v>2843</v>
      </c>
      <c r="B67" s="143" t="s">
        <v>753</v>
      </c>
      <c r="C67" s="143" t="s">
        <v>663</v>
      </c>
      <c r="D67" s="143">
        <v>4314</v>
      </c>
      <c r="E67" s="137"/>
      <c r="F67" s="137">
        <v>0.44848490000000002</v>
      </c>
      <c r="G67" s="271">
        <v>0.5606061</v>
      </c>
      <c r="H67" s="137" t="s">
        <v>2487</v>
      </c>
      <c r="I67" s="137"/>
      <c r="J67" s="137">
        <v>0.65555549999999996</v>
      </c>
      <c r="K67" s="137">
        <v>0.81944439999999996</v>
      </c>
      <c r="M67" s="143" t="s">
        <v>2843</v>
      </c>
      <c r="N67" s="143" t="s">
        <v>753</v>
      </c>
      <c r="O67" s="143" t="s">
        <v>663</v>
      </c>
      <c r="P67" s="143">
        <v>4314</v>
      </c>
      <c r="Q67" s="137" t="s">
        <v>2838</v>
      </c>
      <c r="R67" s="137" t="s">
        <v>2838</v>
      </c>
      <c r="S67" s="137" t="s">
        <v>2838</v>
      </c>
      <c r="T67" s="137" t="s">
        <v>2838</v>
      </c>
      <c r="U67" s="137" t="s">
        <v>2838</v>
      </c>
      <c r="V67" s="137" t="s">
        <v>2838</v>
      </c>
      <c r="W67" s="137" t="s">
        <v>2838</v>
      </c>
      <c r="X67" s="137" t="s">
        <v>2838</v>
      </c>
      <c r="Y67" s="137" t="s">
        <v>2838</v>
      </c>
      <c r="Z67" s="137" t="s">
        <v>2838</v>
      </c>
      <c r="AA67" s="137" t="s">
        <v>2838</v>
      </c>
      <c r="AB67" s="137">
        <v>0.81818179999999996</v>
      </c>
      <c r="AD67" s="143" t="s">
        <v>2843</v>
      </c>
      <c r="AE67" s="143" t="s">
        <v>753</v>
      </c>
      <c r="AF67" s="143" t="s">
        <v>663</v>
      </c>
      <c r="AG67" s="143">
        <v>4314</v>
      </c>
      <c r="AQ67" s="78" t="s">
        <v>2838</v>
      </c>
      <c r="AS67" s="143" t="s">
        <v>2843</v>
      </c>
      <c r="AT67" s="143" t="s">
        <v>753</v>
      </c>
      <c r="AU67" s="143" t="s">
        <v>663</v>
      </c>
      <c r="AV67" s="143">
        <v>4314</v>
      </c>
      <c r="AW67" s="137" t="s">
        <v>2838</v>
      </c>
      <c r="AX67" s="137" t="s">
        <v>2838</v>
      </c>
      <c r="AY67" s="137" t="s">
        <v>2838</v>
      </c>
      <c r="AZ67" s="137" t="s">
        <v>2838</v>
      </c>
      <c r="BA67" s="137" t="s">
        <v>2838</v>
      </c>
      <c r="BB67" s="137" t="s">
        <v>2838</v>
      </c>
      <c r="BC67" s="137" t="s">
        <v>2838</v>
      </c>
      <c r="BD67" s="137" t="s">
        <v>2838</v>
      </c>
      <c r="BE67" s="137" t="s">
        <v>2838</v>
      </c>
      <c r="BF67" s="137" t="s">
        <v>2838</v>
      </c>
      <c r="BI67" s="137" t="s">
        <v>2838</v>
      </c>
      <c r="BJ67" s="137" t="s">
        <v>2838</v>
      </c>
      <c r="BK67" s="190" t="s">
        <v>2838</v>
      </c>
      <c r="BM67" s="78" t="s">
        <v>2838</v>
      </c>
      <c r="BO67" s="143" t="s">
        <v>2843</v>
      </c>
      <c r="BP67" s="143" t="s">
        <v>753</v>
      </c>
      <c r="BQ67" s="143" t="s">
        <v>663</v>
      </c>
      <c r="BR67" s="143">
        <v>4314</v>
      </c>
      <c r="BY67" s="78" t="s">
        <v>2838</v>
      </c>
    </row>
    <row r="68" spans="1:77" x14ac:dyDescent="0.35">
      <c r="A68" s="143" t="s">
        <v>2843</v>
      </c>
      <c r="B68" s="143" t="s">
        <v>753</v>
      </c>
      <c r="C68" s="143" t="s">
        <v>663</v>
      </c>
      <c r="D68" s="143">
        <v>4319</v>
      </c>
      <c r="E68" s="137"/>
      <c r="F68" s="137">
        <v>0.72727269999999999</v>
      </c>
      <c r="G68" s="271">
        <v>0.90909090000000004</v>
      </c>
      <c r="H68" s="137" t="s">
        <v>2486</v>
      </c>
      <c r="I68" s="137"/>
      <c r="J68" s="137">
        <v>6.6666699999999995E-2</v>
      </c>
      <c r="K68" s="137">
        <v>8.3333299999999999E-2</v>
      </c>
      <c r="M68" s="143" t="s">
        <v>2843</v>
      </c>
      <c r="N68" s="143" t="s">
        <v>753</v>
      </c>
      <c r="O68" s="143" t="s">
        <v>663</v>
      </c>
      <c r="P68" s="143">
        <v>4319</v>
      </c>
      <c r="Q68" s="137" t="s">
        <v>2838</v>
      </c>
      <c r="R68" s="137" t="s">
        <v>2838</v>
      </c>
      <c r="S68" s="137" t="s">
        <v>2838</v>
      </c>
      <c r="T68" s="137" t="s">
        <v>2838</v>
      </c>
      <c r="U68" s="137" t="s">
        <v>2838</v>
      </c>
      <c r="V68" s="137" t="s">
        <v>2838</v>
      </c>
      <c r="W68" s="137" t="s">
        <v>2838</v>
      </c>
      <c r="X68" s="137" t="s">
        <v>2838</v>
      </c>
      <c r="Y68" s="137" t="s">
        <v>2838</v>
      </c>
      <c r="Z68" s="137" t="s">
        <v>2838</v>
      </c>
      <c r="AA68" s="137" t="s">
        <v>2838</v>
      </c>
      <c r="AB68" s="137">
        <v>0.63636360000000003</v>
      </c>
      <c r="AD68" s="143" t="s">
        <v>2843</v>
      </c>
      <c r="AE68" s="143" t="s">
        <v>753</v>
      </c>
      <c r="AF68" s="143" t="s">
        <v>663</v>
      </c>
      <c r="AG68" s="143">
        <v>4319</v>
      </c>
      <c r="AQ68" s="78" t="s">
        <v>2838</v>
      </c>
      <c r="AS68" s="143" t="s">
        <v>2843</v>
      </c>
      <c r="AT68" s="143" t="s">
        <v>753</v>
      </c>
      <c r="AU68" s="143" t="s">
        <v>663</v>
      </c>
      <c r="AV68" s="143">
        <v>4319</v>
      </c>
      <c r="AW68" s="137" t="s">
        <v>2838</v>
      </c>
      <c r="AX68" s="137" t="s">
        <v>2838</v>
      </c>
      <c r="AY68" s="137" t="s">
        <v>2838</v>
      </c>
      <c r="AZ68" s="137" t="s">
        <v>2838</v>
      </c>
      <c r="BA68" s="137" t="s">
        <v>2838</v>
      </c>
      <c r="BB68" s="137" t="s">
        <v>2838</v>
      </c>
      <c r="BC68" s="137" t="s">
        <v>2838</v>
      </c>
      <c r="BD68" s="137" t="s">
        <v>2838</v>
      </c>
      <c r="BE68" s="137" t="s">
        <v>2838</v>
      </c>
      <c r="BF68" s="137" t="s">
        <v>2838</v>
      </c>
      <c r="BI68" s="137" t="s">
        <v>2838</v>
      </c>
      <c r="BJ68" s="137" t="s">
        <v>2838</v>
      </c>
      <c r="BK68" s="190" t="s">
        <v>2838</v>
      </c>
      <c r="BM68" s="78" t="s">
        <v>2838</v>
      </c>
      <c r="BO68" s="143" t="s">
        <v>2843</v>
      </c>
      <c r="BP68" s="143" t="s">
        <v>753</v>
      </c>
      <c r="BQ68" s="143" t="s">
        <v>663</v>
      </c>
      <c r="BR68" s="143">
        <v>4319</v>
      </c>
      <c r="BY68" s="78" t="s">
        <v>2838</v>
      </c>
    </row>
    <row r="69" spans="1:77" x14ac:dyDescent="0.35">
      <c r="A69" s="143" t="s">
        <v>2843</v>
      </c>
      <c r="B69" s="143" t="s">
        <v>753</v>
      </c>
      <c r="C69" s="143" t="s">
        <v>663</v>
      </c>
      <c r="D69" s="143">
        <v>4320</v>
      </c>
      <c r="E69" s="137"/>
      <c r="F69" s="137">
        <v>0.63272729999999999</v>
      </c>
      <c r="G69" s="271">
        <v>0.79090910000000003</v>
      </c>
      <c r="H69" s="137" t="s">
        <v>2487</v>
      </c>
      <c r="I69" s="137"/>
      <c r="J69" s="137">
        <v>0.3333333</v>
      </c>
      <c r="K69" s="137">
        <v>0.4166667</v>
      </c>
      <c r="M69" s="143" t="s">
        <v>2843</v>
      </c>
      <c r="N69" s="143" t="s">
        <v>753</v>
      </c>
      <c r="O69" s="143" t="s">
        <v>663</v>
      </c>
      <c r="P69" s="143">
        <v>4320</v>
      </c>
      <c r="Q69" s="137" t="s">
        <v>2838</v>
      </c>
      <c r="R69" s="137" t="s">
        <v>2838</v>
      </c>
      <c r="S69" s="137" t="s">
        <v>2838</v>
      </c>
      <c r="T69" s="137" t="s">
        <v>2838</v>
      </c>
      <c r="U69" s="137" t="s">
        <v>2838</v>
      </c>
      <c r="V69" s="137" t="s">
        <v>2838</v>
      </c>
      <c r="W69" s="137" t="s">
        <v>2838</v>
      </c>
      <c r="X69" s="137" t="s">
        <v>2838</v>
      </c>
      <c r="Y69" s="137" t="s">
        <v>2838</v>
      </c>
      <c r="Z69" s="137" t="s">
        <v>2838</v>
      </c>
      <c r="AA69" s="137" t="s">
        <v>2838</v>
      </c>
      <c r="AB69" s="137">
        <v>0.72727269999999999</v>
      </c>
      <c r="AD69" s="143" t="s">
        <v>2843</v>
      </c>
      <c r="AE69" s="143" t="s">
        <v>753</v>
      </c>
      <c r="AF69" s="143" t="s">
        <v>663</v>
      </c>
      <c r="AG69" s="143">
        <v>4320</v>
      </c>
      <c r="AQ69" s="78" t="s">
        <v>2838</v>
      </c>
      <c r="AS69" s="143" t="s">
        <v>2843</v>
      </c>
      <c r="AT69" s="143" t="s">
        <v>753</v>
      </c>
      <c r="AU69" s="143" t="s">
        <v>663</v>
      </c>
      <c r="AV69" s="143">
        <v>4320</v>
      </c>
      <c r="AW69" s="137" t="s">
        <v>2838</v>
      </c>
      <c r="AX69" s="137" t="s">
        <v>2838</v>
      </c>
      <c r="AY69" s="137" t="s">
        <v>2838</v>
      </c>
      <c r="AZ69" s="137" t="s">
        <v>2838</v>
      </c>
      <c r="BA69" s="137" t="s">
        <v>2838</v>
      </c>
      <c r="BB69" s="137" t="s">
        <v>2838</v>
      </c>
      <c r="BC69" s="137" t="s">
        <v>2838</v>
      </c>
      <c r="BD69" s="137" t="s">
        <v>2838</v>
      </c>
      <c r="BE69" s="137" t="s">
        <v>2838</v>
      </c>
      <c r="BF69" s="137" t="s">
        <v>2838</v>
      </c>
      <c r="BI69" s="137" t="s">
        <v>2838</v>
      </c>
      <c r="BJ69" s="137" t="s">
        <v>2838</v>
      </c>
      <c r="BK69" s="190" t="s">
        <v>2838</v>
      </c>
      <c r="BM69" s="78" t="s">
        <v>2838</v>
      </c>
      <c r="BO69" s="143" t="s">
        <v>2843</v>
      </c>
      <c r="BP69" s="143" t="s">
        <v>753</v>
      </c>
      <c r="BQ69" s="143" t="s">
        <v>663</v>
      </c>
      <c r="BR69" s="143">
        <v>4320</v>
      </c>
      <c r="BY69" s="78" t="s">
        <v>2838</v>
      </c>
    </row>
    <row r="70" spans="1:77" x14ac:dyDescent="0.35">
      <c r="A70" s="143" t="s">
        <v>2843</v>
      </c>
      <c r="B70" s="143" t="s">
        <v>753</v>
      </c>
      <c r="C70" s="143" t="s">
        <v>663</v>
      </c>
      <c r="D70" s="143">
        <v>4837</v>
      </c>
      <c r="E70" s="137"/>
      <c r="F70" s="137">
        <v>0.50909090000000001</v>
      </c>
      <c r="G70" s="271">
        <v>0.63636360000000003</v>
      </c>
      <c r="H70" s="137" t="s">
        <v>2487</v>
      </c>
      <c r="I70" s="137"/>
      <c r="J70" s="137">
        <v>0</v>
      </c>
      <c r="K70" s="137">
        <v>0</v>
      </c>
      <c r="M70" s="143" t="s">
        <v>2843</v>
      </c>
      <c r="N70" s="143" t="s">
        <v>753</v>
      </c>
      <c r="O70" s="143" t="s">
        <v>663</v>
      </c>
      <c r="P70" s="143">
        <v>4837</v>
      </c>
      <c r="Q70" s="137" t="s">
        <v>2838</v>
      </c>
      <c r="R70" s="137" t="s">
        <v>2838</v>
      </c>
      <c r="S70" s="137" t="s">
        <v>2838</v>
      </c>
      <c r="T70" s="137" t="s">
        <v>2838</v>
      </c>
      <c r="U70" s="137" t="s">
        <v>2838</v>
      </c>
      <c r="V70" s="137" t="s">
        <v>2838</v>
      </c>
      <c r="W70" s="137" t="s">
        <v>2838</v>
      </c>
      <c r="X70" s="137" t="s">
        <v>2838</v>
      </c>
      <c r="Y70" s="137" t="s">
        <v>2838</v>
      </c>
      <c r="Z70" s="137" t="s">
        <v>2838</v>
      </c>
      <c r="AA70" s="137" t="s">
        <v>2838</v>
      </c>
      <c r="AB70" s="137">
        <v>0.81818179999999996</v>
      </c>
      <c r="AD70" s="143" t="s">
        <v>2843</v>
      </c>
      <c r="AE70" s="143" t="s">
        <v>753</v>
      </c>
      <c r="AF70" s="143" t="s">
        <v>663</v>
      </c>
      <c r="AG70" s="143">
        <v>4837</v>
      </c>
      <c r="AQ70" s="78" t="s">
        <v>2838</v>
      </c>
      <c r="AS70" s="143" t="s">
        <v>2843</v>
      </c>
      <c r="AT70" s="143" t="s">
        <v>753</v>
      </c>
      <c r="AU70" s="143" t="s">
        <v>663</v>
      </c>
      <c r="AV70" s="143">
        <v>4837</v>
      </c>
      <c r="AW70" s="137" t="s">
        <v>2838</v>
      </c>
      <c r="AX70" s="137" t="s">
        <v>2838</v>
      </c>
      <c r="AY70" s="137" t="s">
        <v>2838</v>
      </c>
      <c r="AZ70" s="137" t="s">
        <v>2838</v>
      </c>
      <c r="BA70" s="137" t="s">
        <v>2838</v>
      </c>
      <c r="BB70" s="137" t="s">
        <v>2838</v>
      </c>
      <c r="BC70" s="137" t="s">
        <v>2838</v>
      </c>
      <c r="BD70" s="137" t="s">
        <v>2838</v>
      </c>
      <c r="BE70" s="137" t="s">
        <v>2838</v>
      </c>
      <c r="BF70" s="137" t="s">
        <v>2838</v>
      </c>
      <c r="BI70" s="137" t="s">
        <v>2838</v>
      </c>
      <c r="BJ70" s="137" t="s">
        <v>2838</v>
      </c>
      <c r="BK70" s="190" t="s">
        <v>2838</v>
      </c>
      <c r="BM70" s="78" t="s">
        <v>2838</v>
      </c>
      <c r="BO70" s="143" t="s">
        <v>2843</v>
      </c>
      <c r="BP70" s="143" t="s">
        <v>753</v>
      </c>
      <c r="BQ70" s="143" t="s">
        <v>663</v>
      </c>
      <c r="BR70" s="143">
        <v>4837</v>
      </c>
      <c r="BY70" s="78" t="s">
        <v>2838</v>
      </c>
    </row>
    <row r="71" spans="1:77" x14ac:dyDescent="0.35">
      <c r="A71" s="143" t="s">
        <v>2844</v>
      </c>
      <c r="B71" s="143" t="s">
        <v>730</v>
      </c>
      <c r="C71" s="143" t="s">
        <v>663</v>
      </c>
      <c r="D71" s="143">
        <v>2476</v>
      </c>
      <c r="E71" s="137">
        <v>0.18181820000000001</v>
      </c>
      <c r="F71" s="137">
        <v>0.69216299999999997</v>
      </c>
      <c r="G71" s="271">
        <v>0.87398120000000001</v>
      </c>
      <c r="H71" s="137" t="s">
        <v>2487</v>
      </c>
      <c r="I71" s="137">
        <v>0.1833333</v>
      </c>
      <c r="J71" s="137">
        <v>0</v>
      </c>
      <c r="K71" s="137">
        <v>0.1833333</v>
      </c>
      <c r="M71" s="143" t="s">
        <v>2844</v>
      </c>
      <c r="N71" s="143" t="s">
        <v>730</v>
      </c>
      <c r="O71" s="143" t="s">
        <v>663</v>
      </c>
      <c r="P71" s="143">
        <v>2476</v>
      </c>
      <c r="Q71" s="137" t="s">
        <v>2486</v>
      </c>
      <c r="R71" s="137" t="s">
        <v>2486</v>
      </c>
      <c r="S71" s="137" t="s">
        <v>2486</v>
      </c>
      <c r="T71" s="137" t="s">
        <v>2486</v>
      </c>
      <c r="U71" s="137" t="s">
        <v>2487</v>
      </c>
      <c r="V71" s="137" t="s">
        <v>2487</v>
      </c>
      <c r="W71" s="137" t="s">
        <v>2486</v>
      </c>
      <c r="X71" s="137" t="s">
        <v>2486</v>
      </c>
      <c r="Y71" s="137" t="s">
        <v>2486</v>
      </c>
      <c r="Z71" s="137" t="s">
        <v>2486</v>
      </c>
      <c r="AA71" s="137" t="s">
        <v>2486</v>
      </c>
      <c r="AB71" s="137">
        <v>0.81818179999999996</v>
      </c>
      <c r="AD71" s="143" t="s">
        <v>2844</v>
      </c>
      <c r="AE71" s="143" t="s">
        <v>730</v>
      </c>
      <c r="AF71" s="143" t="s">
        <v>663</v>
      </c>
      <c r="AG71" s="143">
        <v>2476</v>
      </c>
      <c r="AO71" s="190">
        <v>0.82499999999999996</v>
      </c>
      <c r="AP71" s="190">
        <v>0.82499999999999996</v>
      </c>
      <c r="AQ71" s="78" t="s">
        <v>2487</v>
      </c>
      <c r="AS71" s="143" t="s">
        <v>2844</v>
      </c>
      <c r="AT71" s="143" t="s">
        <v>730</v>
      </c>
      <c r="AU71" s="143" t="s">
        <v>663</v>
      </c>
      <c r="AV71" s="143">
        <v>2476</v>
      </c>
      <c r="AW71" s="137" t="s">
        <v>2838</v>
      </c>
      <c r="AX71" s="137" t="s">
        <v>2838</v>
      </c>
      <c r="AY71" s="137" t="s">
        <v>2838</v>
      </c>
      <c r="AZ71" s="137" t="s">
        <v>2838</v>
      </c>
      <c r="BA71" s="137" t="s">
        <v>2838</v>
      </c>
      <c r="BB71" s="137" t="s">
        <v>2838</v>
      </c>
      <c r="BC71" s="137" t="s">
        <v>2838</v>
      </c>
      <c r="BD71" s="137" t="s">
        <v>2838</v>
      </c>
      <c r="BE71" s="137" t="s">
        <v>2838</v>
      </c>
      <c r="BF71" s="137" t="s">
        <v>2838</v>
      </c>
      <c r="BI71" s="137" t="s">
        <v>2486</v>
      </c>
      <c r="BJ71" s="137" t="s">
        <v>2486</v>
      </c>
      <c r="BK71" s="190" t="s">
        <v>2486</v>
      </c>
      <c r="BL71" s="190">
        <v>1</v>
      </c>
      <c r="BM71" s="78" t="s">
        <v>2486</v>
      </c>
      <c r="BO71" s="143" t="s">
        <v>2844</v>
      </c>
      <c r="BP71" s="143" t="s">
        <v>730</v>
      </c>
      <c r="BQ71" s="143" t="s">
        <v>663</v>
      </c>
      <c r="BR71" s="143">
        <v>2476</v>
      </c>
      <c r="BY71" s="78" t="s">
        <v>2838</v>
      </c>
    </row>
    <row r="72" spans="1:77" x14ac:dyDescent="0.35">
      <c r="A72" s="143" t="s">
        <v>2844</v>
      </c>
      <c r="B72" s="143" t="s">
        <v>730</v>
      </c>
      <c r="C72" s="143" t="s">
        <v>663</v>
      </c>
      <c r="D72" s="143">
        <v>3633</v>
      </c>
      <c r="E72" s="137">
        <v>9.0909100000000007E-2</v>
      </c>
      <c r="F72" s="137">
        <v>0.53918500000000003</v>
      </c>
      <c r="G72" s="271">
        <v>0.63009409999999999</v>
      </c>
      <c r="H72" s="137" t="s">
        <v>2487</v>
      </c>
      <c r="I72" s="137">
        <v>0.1666667</v>
      </c>
      <c r="J72" s="137">
        <v>0</v>
      </c>
      <c r="K72" s="137">
        <v>0.1666667</v>
      </c>
      <c r="M72" s="143" t="s">
        <v>2844</v>
      </c>
      <c r="N72" s="143" t="s">
        <v>730</v>
      </c>
      <c r="O72" s="143" t="s">
        <v>663</v>
      </c>
      <c r="P72" s="143">
        <v>3633</v>
      </c>
      <c r="Q72" s="137" t="s">
        <v>2487</v>
      </c>
      <c r="R72" s="137" t="s">
        <v>2486</v>
      </c>
      <c r="S72" s="137" t="s">
        <v>2486</v>
      </c>
      <c r="T72" s="137" t="s">
        <v>2486</v>
      </c>
      <c r="U72" s="137" t="s">
        <v>2487</v>
      </c>
      <c r="V72" s="137" t="s">
        <v>2487</v>
      </c>
      <c r="W72" s="137" t="s">
        <v>2487</v>
      </c>
      <c r="X72" s="137" t="s">
        <v>2486</v>
      </c>
      <c r="Y72" s="137" t="s">
        <v>2486</v>
      </c>
      <c r="Z72" s="137" t="s">
        <v>2486</v>
      </c>
      <c r="AA72" s="137" t="s">
        <v>2486</v>
      </c>
      <c r="AB72" s="137">
        <v>0.63636360000000003</v>
      </c>
      <c r="AD72" s="143" t="s">
        <v>2844</v>
      </c>
      <c r="AE72" s="143" t="s">
        <v>730</v>
      </c>
      <c r="AF72" s="143" t="s">
        <v>663</v>
      </c>
      <c r="AG72" s="143">
        <v>3633</v>
      </c>
      <c r="AO72" s="190">
        <v>0.88749999999999996</v>
      </c>
      <c r="AP72" s="190">
        <v>0.88749999999999996</v>
      </c>
      <c r="AQ72" s="78" t="s">
        <v>2487</v>
      </c>
      <c r="AS72" s="143" t="s">
        <v>2844</v>
      </c>
      <c r="AT72" s="143" t="s">
        <v>730</v>
      </c>
      <c r="AU72" s="143" t="s">
        <v>663</v>
      </c>
      <c r="AV72" s="143">
        <v>3633</v>
      </c>
      <c r="AW72" s="137" t="s">
        <v>2838</v>
      </c>
      <c r="AX72" s="137" t="s">
        <v>2838</v>
      </c>
      <c r="AY72" s="137" t="s">
        <v>2838</v>
      </c>
      <c r="AZ72" s="137" t="s">
        <v>2838</v>
      </c>
      <c r="BA72" s="137" t="s">
        <v>2838</v>
      </c>
      <c r="BB72" s="137" t="s">
        <v>2838</v>
      </c>
      <c r="BC72" s="137" t="s">
        <v>2838</v>
      </c>
      <c r="BD72" s="137" t="s">
        <v>2838</v>
      </c>
      <c r="BE72" s="137" t="s">
        <v>2838</v>
      </c>
      <c r="BF72" s="137" t="s">
        <v>2838</v>
      </c>
      <c r="BI72" s="137" t="s">
        <v>2487</v>
      </c>
      <c r="BJ72" s="137" t="s">
        <v>2487</v>
      </c>
      <c r="BK72" s="190" t="s">
        <v>2487</v>
      </c>
      <c r="BL72" s="190">
        <v>0</v>
      </c>
      <c r="BM72" s="78" t="s">
        <v>2487</v>
      </c>
      <c r="BO72" s="143" t="s">
        <v>2844</v>
      </c>
      <c r="BP72" s="143" t="s">
        <v>730</v>
      </c>
      <c r="BQ72" s="143" t="s">
        <v>663</v>
      </c>
      <c r="BR72" s="143">
        <v>3633</v>
      </c>
      <c r="BY72" s="78" t="s">
        <v>2838</v>
      </c>
    </row>
    <row r="73" spans="1:77" x14ac:dyDescent="0.35">
      <c r="A73" s="143" t="s">
        <v>2844</v>
      </c>
      <c r="B73" s="143" t="s">
        <v>730</v>
      </c>
      <c r="C73" s="143" t="s">
        <v>663</v>
      </c>
      <c r="D73" s="143">
        <v>4314</v>
      </c>
      <c r="E73" s="137">
        <v>9.0909100000000007E-2</v>
      </c>
      <c r="F73" s="137">
        <v>0.43636360000000002</v>
      </c>
      <c r="G73" s="271">
        <v>0.52727270000000004</v>
      </c>
      <c r="H73" s="137" t="s">
        <v>2487</v>
      </c>
      <c r="I73" s="137">
        <v>0.15</v>
      </c>
      <c r="J73" s="137">
        <v>0.66666669999999995</v>
      </c>
      <c r="K73" s="137">
        <v>0.81666669999999997</v>
      </c>
      <c r="M73" s="143" t="s">
        <v>2844</v>
      </c>
      <c r="N73" s="143" t="s">
        <v>730</v>
      </c>
      <c r="O73" s="143" t="s">
        <v>663</v>
      </c>
      <c r="P73" s="143">
        <v>4314</v>
      </c>
      <c r="Q73" s="137" t="s">
        <v>2486</v>
      </c>
      <c r="R73" s="137" t="s">
        <v>2486</v>
      </c>
      <c r="S73" s="137" t="s">
        <v>2486</v>
      </c>
      <c r="T73" s="137" t="s">
        <v>2486</v>
      </c>
      <c r="U73" s="137" t="s">
        <v>2487</v>
      </c>
      <c r="V73" s="137" t="s">
        <v>2487</v>
      </c>
      <c r="W73" s="137" t="s">
        <v>2486</v>
      </c>
      <c r="X73" s="137" t="s">
        <v>2486</v>
      </c>
      <c r="Y73" s="137" t="s">
        <v>2486</v>
      </c>
      <c r="Z73" s="137" t="s">
        <v>2486</v>
      </c>
      <c r="AA73" s="137" t="s">
        <v>2486</v>
      </c>
      <c r="AB73" s="137">
        <v>0.81818179999999996</v>
      </c>
      <c r="AD73" s="143" t="s">
        <v>2844</v>
      </c>
      <c r="AE73" s="143" t="s">
        <v>730</v>
      </c>
      <c r="AF73" s="143" t="s">
        <v>663</v>
      </c>
      <c r="AG73" s="143">
        <v>4314</v>
      </c>
      <c r="AO73" s="190">
        <v>0.72499999999999998</v>
      </c>
      <c r="AP73" s="190">
        <v>0.72499999999999998</v>
      </c>
      <c r="AQ73" s="78" t="s">
        <v>2487</v>
      </c>
      <c r="AS73" s="143" t="s">
        <v>2844</v>
      </c>
      <c r="AT73" s="143" t="s">
        <v>730</v>
      </c>
      <c r="AU73" s="143" t="s">
        <v>663</v>
      </c>
      <c r="AV73" s="143">
        <v>4314</v>
      </c>
      <c r="AW73" s="137" t="s">
        <v>2838</v>
      </c>
      <c r="AX73" s="137" t="s">
        <v>2838</v>
      </c>
      <c r="AY73" s="137" t="s">
        <v>2838</v>
      </c>
      <c r="AZ73" s="137" t="s">
        <v>2838</v>
      </c>
      <c r="BA73" s="137" t="s">
        <v>2838</v>
      </c>
      <c r="BB73" s="137" t="s">
        <v>2838</v>
      </c>
      <c r="BC73" s="137" t="s">
        <v>2838</v>
      </c>
      <c r="BD73" s="137" t="s">
        <v>2838</v>
      </c>
      <c r="BE73" s="137" t="s">
        <v>2838</v>
      </c>
      <c r="BF73" s="137" t="s">
        <v>2838</v>
      </c>
      <c r="BI73" s="137" t="s">
        <v>2486</v>
      </c>
      <c r="BJ73" s="137" t="s">
        <v>2486</v>
      </c>
      <c r="BK73" s="190" t="s">
        <v>2486</v>
      </c>
      <c r="BL73" s="190">
        <v>1</v>
      </c>
      <c r="BM73" s="78" t="s">
        <v>2486</v>
      </c>
      <c r="BO73" s="143" t="s">
        <v>2844</v>
      </c>
      <c r="BP73" s="143" t="s">
        <v>730</v>
      </c>
      <c r="BQ73" s="143" t="s">
        <v>663</v>
      </c>
      <c r="BR73" s="143">
        <v>4314</v>
      </c>
      <c r="BY73" s="78" t="s">
        <v>2838</v>
      </c>
    </row>
    <row r="74" spans="1:77" x14ac:dyDescent="0.35">
      <c r="A74" s="143" t="s">
        <v>2844</v>
      </c>
      <c r="B74" s="143" t="s">
        <v>730</v>
      </c>
      <c r="C74" s="143" t="s">
        <v>663</v>
      </c>
      <c r="D74" s="143">
        <v>4319</v>
      </c>
      <c r="E74" s="137">
        <v>0.18181820000000001</v>
      </c>
      <c r="F74" s="137">
        <v>0.72727269999999999</v>
      </c>
      <c r="G74" s="271">
        <v>0.90909090000000004</v>
      </c>
      <c r="H74" s="137" t="s">
        <v>2486</v>
      </c>
      <c r="I74" s="137">
        <v>0.15</v>
      </c>
      <c r="J74" s="137">
        <v>6.6666699999999995E-2</v>
      </c>
      <c r="K74" s="137">
        <v>0.21666669999999999</v>
      </c>
      <c r="M74" s="143" t="s">
        <v>2844</v>
      </c>
      <c r="N74" s="143" t="s">
        <v>730</v>
      </c>
      <c r="O74" s="143" t="s">
        <v>663</v>
      </c>
      <c r="P74" s="143">
        <v>4319</v>
      </c>
      <c r="Q74" s="137" t="s">
        <v>2486</v>
      </c>
      <c r="R74" s="137" t="s">
        <v>2486</v>
      </c>
      <c r="S74" s="137" t="s">
        <v>2486</v>
      </c>
      <c r="T74" s="137" t="s">
        <v>2486</v>
      </c>
      <c r="U74" s="137" t="s">
        <v>2487</v>
      </c>
      <c r="V74" s="137" t="s">
        <v>2487</v>
      </c>
      <c r="W74" s="137" t="s">
        <v>2486</v>
      </c>
      <c r="X74" s="137" t="s">
        <v>2487</v>
      </c>
      <c r="Y74" s="137" t="s">
        <v>2486</v>
      </c>
      <c r="Z74" s="137" t="s">
        <v>2486</v>
      </c>
      <c r="AA74" s="137" t="s">
        <v>2487</v>
      </c>
      <c r="AB74" s="137">
        <v>0.63636360000000003</v>
      </c>
      <c r="AD74" s="143" t="s">
        <v>2844</v>
      </c>
      <c r="AE74" s="143" t="s">
        <v>730</v>
      </c>
      <c r="AF74" s="143" t="s">
        <v>663</v>
      </c>
      <c r="AG74" s="143">
        <v>4319</v>
      </c>
      <c r="AO74" s="190">
        <v>0.83750000000000002</v>
      </c>
      <c r="AP74" s="190">
        <v>0.83750000000000002</v>
      </c>
      <c r="AQ74" s="78" t="s">
        <v>2487</v>
      </c>
      <c r="AS74" s="143" t="s">
        <v>2844</v>
      </c>
      <c r="AT74" s="143" t="s">
        <v>730</v>
      </c>
      <c r="AU74" s="143" t="s">
        <v>663</v>
      </c>
      <c r="AV74" s="143">
        <v>4319</v>
      </c>
      <c r="AW74" s="137" t="s">
        <v>2838</v>
      </c>
      <c r="AX74" s="137" t="s">
        <v>2838</v>
      </c>
      <c r="AY74" s="137" t="s">
        <v>2838</v>
      </c>
      <c r="AZ74" s="137" t="s">
        <v>2838</v>
      </c>
      <c r="BA74" s="137" t="s">
        <v>2838</v>
      </c>
      <c r="BB74" s="137" t="s">
        <v>2838</v>
      </c>
      <c r="BC74" s="137" t="s">
        <v>2838</v>
      </c>
      <c r="BD74" s="137" t="s">
        <v>2838</v>
      </c>
      <c r="BE74" s="137" t="s">
        <v>2838</v>
      </c>
      <c r="BF74" s="137" t="s">
        <v>2838</v>
      </c>
      <c r="BI74" s="137" t="s">
        <v>2486</v>
      </c>
      <c r="BJ74" s="137" t="s">
        <v>2486</v>
      </c>
      <c r="BK74" s="190" t="s">
        <v>2486</v>
      </c>
      <c r="BL74" s="190">
        <v>1</v>
      </c>
      <c r="BM74" s="78" t="s">
        <v>2486</v>
      </c>
      <c r="BO74" s="143" t="s">
        <v>2844</v>
      </c>
      <c r="BP74" s="143" t="s">
        <v>730</v>
      </c>
      <c r="BQ74" s="143" t="s">
        <v>663</v>
      </c>
      <c r="BR74" s="143">
        <v>4319</v>
      </c>
      <c r="BY74" s="78" t="s">
        <v>2838</v>
      </c>
    </row>
    <row r="75" spans="1:77" x14ac:dyDescent="0.35">
      <c r="A75" s="143" t="s">
        <v>2844</v>
      </c>
      <c r="B75" s="143" t="s">
        <v>730</v>
      </c>
      <c r="C75" s="143" t="s">
        <v>663</v>
      </c>
      <c r="D75" s="143">
        <v>4320</v>
      </c>
      <c r="E75" s="137">
        <v>0.16363639999999999</v>
      </c>
      <c r="F75" s="137">
        <v>0.6545455</v>
      </c>
      <c r="G75" s="271">
        <v>0.81818179999999996</v>
      </c>
      <c r="H75" s="137" t="s">
        <v>2487</v>
      </c>
      <c r="I75" s="137">
        <v>0.1166667</v>
      </c>
      <c r="J75" s="137">
        <v>0.3333333</v>
      </c>
      <c r="K75" s="137">
        <v>0.45</v>
      </c>
      <c r="M75" s="143" t="s">
        <v>2844</v>
      </c>
      <c r="N75" s="143" t="s">
        <v>730</v>
      </c>
      <c r="O75" s="143" t="s">
        <v>663</v>
      </c>
      <c r="P75" s="143">
        <v>4320</v>
      </c>
      <c r="Q75" s="137" t="s">
        <v>2486</v>
      </c>
      <c r="R75" s="137" t="s">
        <v>2486</v>
      </c>
      <c r="S75" s="137" t="s">
        <v>2486</v>
      </c>
      <c r="T75" s="137" t="s">
        <v>2486</v>
      </c>
      <c r="U75" s="137" t="s">
        <v>2487</v>
      </c>
      <c r="V75" s="137" t="s">
        <v>2487</v>
      </c>
      <c r="W75" s="137" t="s">
        <v>2486</v>
      </c>
      <c r="X75" s="137" t="s">
        <v>2486</v>
      </c>
      <c r="Y75" s="137" t="s">
        <v>2486</v>
      </c>
      <c r="Z75" s="137" t="s">
        <v>2486</v>
      </c>
      <c r="AA75" s="137" t="s">
        <v>2487</v>
      </c>
      <c r="AB75" s="137">
        <v>0.72727269999999999</v>
      </c>
      <c r="AD75" s="143" t="s">
        <v>2844</v>
      </c>
      <c r="AE75" s="143" t="s">
        <v>730</v>
      </c>
      <c r="AF75" s="143" t="s">
        <v>663</v>
      </c>
      <c r="AG75" s="143">
        <v>4320</v>
      </c>
      <c r="AO75" s="190">
        <v>0.8125</v>
      </c>
      <c r="AP75" s="190">
        <v>0.8125</v>
      </c>
      <c r="AQ75" s="78" t="s">
        <v>2487</v>
      </c>
      <c r="AS75" s="143" t="s">
        <v>2844</v>
      </c>
      <c r="AT75" s="143" t="s">
        <v>730</v>
      </c>
      <c r="AU75" s="143" t="s">
        <v>663</v>
      </c>
      <c r="AV75" s="143">
        <v>4320</v>
      </c>
      <c r="AW75" s="137" t="s">
        <v>2838</v>
      </c>
      <c r="AX75" s="137" t="s">
        <v>2838</v>
      </c>
      <c r="AY75" s="137" t="s">
        <v>2838</v>
      </c>
      <c r="AZ75" s="137" t="s">
        <v>2838</v>
      </c>
      <c r="BA75" s="137" t="s">
        <v>2838</v>
      </c>
      <c r="BB75" s="137" t="s">
        <v>2838</v>
      </c>
      <c r="BC75" s="137" t="s">
        <v>2838</v>
      </c>
      <c r="BD75" s="137" t="s">
        <v>2838</v>
      </c>
      <c r="BE75" s="137" t="s">
        <v>2838</v>
      </c>
      <c r="BF75" s="137" t="s">
        <v>2838</v>
      </c>
      <c r="BI75" s="137" t="s">
        <v>2486</v>
      </c>
      <c r="BJ75" s="137" t="s">
        <v>2486</v>
      </c>
      <c r="BK75" s="190" t="s">
        <v>2486</v>
      </c>
      <c r="BL75" s="190">
        <v>1</v>
      </c>
      <c r="BM75" s="78" t="s">
        <v>2486</v>
      </c>
      <c r="BO75" s="143" t="s">
        <v>2844</v>
      </c>
      <c r="BP75" s="143" t="s">
        <v>730</v>
      </c>
      <c r="BQ75" s="143" t="s">
        <v>663</v>
      </c>
      <c r="BR75" s="143">
        <v>4320</v>
      </c>
      <c r="BY75" s="78" t="s">
        <v>2838</v>
      </c>
    </row>
    <row r="76" spans="1:77" x14ac:dyDescent="0.35">
      <c r="A76" s="143" t="s">
        <v>2844</v>
      </c>
      <c r="B76" s="143" t="s">
        <v>730</v>
      </c>
      <c r="C76" s="143" t="s">
        <v>663</v>
      </c>
      <c r="D76" s="143">
        <v>4837</v>
      </c>
      <c r="E76" s="137">
        <v>0.14545449999999999</v>
      </c>
      <c r="F76" s="137">
        <v>0.50909090000000001</v>
      </c>
      <c r="G76" s="271">
        <v>0.65454540000000005</v>
      </c>
      <c r="H76" s="137" t="s">
        <v>2487</v>
      </c>
      <c r="I76" s="137">
        <v>0.1666667</v>
      </c>
      <c r="J76" s="137">
        <v>0</v>
      </c>
      <c r="K76" s="137">
        <v>0.1666667</v>
      </c>
      <c r="M76" s="143" t="s">
        <v>2844</v>
      </c>
      <c r="N76" s="143" t="s">
        <v>730</v>
      </c>
      <c r="O76" s="143" t="s">
        <v>663</v>
      </c>
      <c r="P76" s="143">
        <v>4837</v>
      </c>
      <c r="Q76" s="137" t="s">
        <v>2486</v>
      </c>
      <c r="R76" s="137" t="s">
        <v>2486</v>
      </c>
      <c r="S76" s="137" t="s">
        <v>2486</v>
      </c>
      <c r="T76" s="137" t="s">
        <v>2486</v>
      </c>
      <c r="U76" s="137" t="s">
        <v>2487</v>
      </c>
      <c r="V76" s="137" t="s">
        <v>2487</v>
      </c>
      <c r="W76" s="137" t="s">
        <v>2486</v>
      </c>
      <c r="X76" s="137" t="s">
        <v>2486</v>
      </c>
      <c r="Y76" s="137" t="s">
        <v>2486</v>
      </c>
      <c r="Z76" s="137" t="s">
        <v>2486</v>
      </c>
      <c r="AA76" s="137" t="s">
        <v>2486</v>
      </c>
      <c r="AB76" s="137">
        <v>0.81818179999999996</v>
      </c>
      <c r="AD76" s="143" t="s">
        <v>2844</v>
      </c>
      <c r="AE76" s="143" t="s">
        <v>730</v>
      </c>
      <c r="AF76" s="143" t="s">
        <v>663</v>
      </c>
      <c r="AG76" s="143">
        <v>4837</v>
      </c>
      <c r="AO76" s="190">
        <v>0.875</v>
      </c>
      <c r="AP76" s="190">
        <v>0.875</v>
      </c>
      <c r="AQ76" s="78" t="s">
        <v>2487</v>
      </c>
      <c r="AS76" s="143" t="s">
        <v>2844</v>
      </c>
      <c r="AT76" s="143" t="s">
        <v>730</v>
      </c>
      <c r="AU76" s="143" t="s">
        <v>663</v>
      </c>
      <c r="AV76" s="143">
        <v>4837</v>
      </c>
      <c r="AW76" s="137" t="s">
        <v>2838</v>
      </c>
      <c r="AX76" s="137" t="s">
        <v>2838</v>
      </c>
      <c r="AY76" s="137" t="s">
        <v>2838</v>
      </c>
      <c r="AZ76" s="137" t="s">
        <v>2838</v>
      </c>
      <c r="BA76" s="137" t="s">
        <v>2838</v>
      </c>
      <c r="BB76" s="137" t="s">
        <v>2838</v>
      </c>
      <c r="BC76" s="137" t="s">
        <v>2838</v>
      </c>
      <c r="BD76" s="137" t="s">
        <v>2838</v>
      </c>
      <c r="BE76" s="137" t="s">
        <v>2838</v>
      </c>
      <c r="BF76" s="137" t="s">
        <v>2838</v>
      </c>
      <c r="BI76" s="137" t="s">
        <v>2486</v>
      </c>
      <c r="BJ76" s="137" t="s">
        <v>2486</v>
      </c>
      <c r="BK76" s="190" t="s">
        <v>2486</v>
      </c>
      <c r="BL76" s="190">
        <v>1</v>
      </c>
      <c r="BM76" s="78" t="s">
        <v>2486</v>
      </c>
      <c r="BO76" s="143" t="s">
        <v>2844</v>
      </c>
      <c r="BP76" s="143" t="s">
        <v>730</v>
      </c>
      <c r="BQ76" s="143" t="s">
        <v>663</v>
      </c>
      <c r="BR76" s="143">
        <v>4837</v>
      </c>
      <c r="BY76" s="78" t="s">
        <v>2838</v>
      </c>
    </row>
    <row r="77" spans="1:77" x14ac:dyDescent="0.35">
      <c r="A77" s="143" t="s">
        <v>733</v>
      </c>
      <c r="B77" s="143" t="s">
        <v>734</v>
      </c>
      <c r="C77" s="143" t="s">
        <v>663</v>
      </c>
      <c r="D77" s="143">
        <v>2219</v>
      </c>
      <c r="E77" s="137">
        <v>0.14545449999999999</v>
      </c>
      <c r="F77" s="137">
        <v>0.43636360000000002</v>
      </c>
      <c r="G77" s="271">
        <v>0.58181819999999995</v>
      </c>
      <c r="H77" s="137" t="s">
        <v>2487</v>
      </c>
      <c r="I77" s="137">
        <v>0.13333329999999999</v>
      </c>
      <c r="J77" s="137">
        <v>0</v>
      </c>
      <c r="K77" s="137">
        <v>0.13333329999999999</v>
      </c>
      <c r="M77" s="143" t="s">
        <v>733</v>
      </c>
      <c r="N77" s="143" t="s">
        <v>734</v>
      </c>
      <c r="O77" s="143" t="s">
        <v>663</v>
      </c>
      <c r="P77" s="143">
        <v>2219</v>
      </c>
      <c r="Q77" s="137" t="s">
        <v>2487</v>
      </c>
      <c r="R77" s="137" t="s">
        <v>2487</v>
      </c>
      <c r="S77" s="137" t="s">
        <v>2487</v>
      </c>
      <c r="T77" s="137" t="s">
        <v>2487</v>
      </c>
      <c r="U77" s="137" t="s">
        <v>2487</v>
      </c>
      <c r="V77" s="137" t="s">
        <v>2487</v>
      </c>
      <c r="W77" s="137" t="s">
        <v>2487</v>
      </c>
      <c r="X77" s="137" t="s">
        <v>2487</v>
      </c>
      <c r="Y77" s="137" t="s">
        <v>2486</v>
      </c>
      <c r="Z77" s="137" t="s">
        <v>2486</v>
      </c>
      <c r="AA77" s="137" t="s">
        <v>2487</v>
      </c>
      <c r="AB77" s="137">
        <v>0.18181820000000001</v>
      </c>
      <c r="AD77" s="143" t="s">
        <v>733</v>
      </c>
      <c r="AE77" s="143" t="s">
        <v>734</v>
      </c>
      <c r="AF77" s="143" t="s">
        <v>663</v>
      </c>
      <c r="AG77" s="143">
        <v>2219</v>
      </c>
      <c r="AO77" s="190">
        <v>0.78749999999999998</v>
      </c>
      <c r="AP77" s="190">
        <v>0.78749999999999998</v>
      </c>
      <c r="AQ77" s="78" t="s">
        <v>2487</v>
      </c>
      <c r="AS77" s="143" t="s">
        <v>733</v>
      </c>
      <c r="AT77" s="143" t="s">
        <v>734</v>
      </c>
      <c r="AU77" s="143" t="s">
        <v>663</v>
      </c>
      <c r="AV77" s="143">
        <v>2219</v>
      </c>
      <c r="AW77" s="137" t="s">
        <v>2838</v>
      </c>
      <c r="AX77" s="137" t="s">
        <v>2838</v>
      </c>
      <c r="AY77" s="137" t="s">
        <v>2838</v>
      </c>
      <c r="AZ77" s="137" t="s">
        <v>2838</v>
      </c>
      <c r="BA77" s="137" t="s">
        <v>2838</v>
      </c>
      <c r="BB77" s="137" t="s">
        <v>2838</v>
      </c>
      <c r="BC77" s="137" t="s">
        <v>2838</v>
      </c>
      <c r="BD77" s="137" t="s">
        <v>2838</v>
      </c>
      <c r="BE77" s="137" t="s">
        <v>2838</v>
      </c>
      <c r="BF77" s="137" t="s">
        <v>2838</v>
      </c>
      <c r="BI77" s="137" t="s">
        <v>2487</v>
      </c>
      <c r="BJ77" s="137" t="s">
        <v>2487</v>
      </c>
      <c r="BK77" s="190" t="s">
        <v>2487</v>
      </c>
      <c r="BL77" s="190">
        <v>0</v>
      </c>
      <c r="BM77" s="78" t="s">
        <v>2487</v>
      </c>
      <c r="BO77" s="143" t="s">
        <v>733</v>
      </c>
      <c r="BP77" s="143" t="s">
        <v>734</v>
      </c>
      <c r="BQ77" s="143" t="s">
        <v>663</v>
      </c>
      <c r="BR77" s="143">
        <v>2219</v>
      </c>
      <c r="BY77" s="78" t="s">
        <v>2838</v>
      </c>
    </row>
    <row r="78" spans="1:77" x14ac:dyDescent="0.35">
      <c r="A78" s="143" t="s">
        <v>733</v>
      </c>
      <c r="B78" s="143" t="s">
        <v>734</v>
      </c>
      <c r="C78" s="143" t="s">
        <v>663</v>
      </c>
      <c r="D78" s="143">
        <v>2487</v>
      </c>
      <c r="E78" s="137">
        <v>0.16363639999999999</v>
      </c>
      <c r="F78" s="137">
        <v>0.27538309999999999</v>
      </c>
      <c r="G78" s="271">
        <v>0.4390194</v>
      </c>
      <c r="H78" s="137" t="s">
        <v>2487</v>
      </c>
      <c r="I78" s="137">
        <v>0.1666667</v>
      </c>
      <c r="J78" s="137">
        <v>0.2</v>
      </c>
      <c r="K78" s="137">
        <v>0.36666670000000001</v>
      </c>
      <c r="M78" s="143" t="s">
        <v>733</v>
      </c>
      <c r="N78" s="143" t="s">
        <v>734</v>
      </c>
      <c r="O78" s="143" t="s">
        <v>663</v>
      </c>
      <c r="P78" s="143">
        <v>2487</v>
      </c>
      <c r="Q78" s="137" t="s">
        <v>2487</v>
      </c>
      <c r="R78" s="137" t="s">
        <v>2486</v>
      </c>
      <c r="S78" s="137" t="s">
        <v>2486</v>
      </c>
      <c r="T78" s="137" t="s">
        <v>2486</v>
      </c>
      <c r="U78" s="137" t="s">
        <v>2487</v>
      </c>
      <c r="V78" s="137" t="s">
        <v>2487</v>
      </c>
      <c r="W78" s="137" t="s">
        <v>2486</v>
      </c>
      <c r="X78" s="137" t="s">
        <v>2487</v>
      </c>
      <c r="Y78" s="137" t="s">
        <v>2486</v>
      </c>
      <c r="Z78" s="137" t="s">
        <v>2486</v>
      </c>
      <c r="AA78" s="137" t="s">
        <v>2487</v>
      </c>
      <c r="AB78" s="137">
        <v>0.54545460000000001</v>
      </c>
      <c r="AD78" s="143" t="s">
        <v>733</v>
      </c>
      <c r="AE78" s="143" t="s">
        <v>734</v>
      </c>
      <c r="AF78" s="143" t="s">
        <v>663</v>
      </c>
      <c r="AG78" s="143">
        <v>2487</v>
      </c>
      <c r="AO78" s="190">
        <v>0.875</v>
      </c>
      <c r="AP78" s="190">
        <v>0.875</v>
      </c>
      <c r="AQ78" s="78" t="s">
        <v>2487</v>
      </c>
      <c r="AS78" s="143" t="s">
        <v>733</v>
      </c>
      <c r="AT78" s="143" t="s">
        <v>734</v>
      </c>
      <c r="AU78" s="143" t="s">
        <v>663</v>
      </c>
      <c r="AV78" s="143">
        <v>2487</v>
      </c>
      <c r="AW78" s="137" t="s">
        <v>2838</v>
      </c>
      <c r="AX78" s="137" t="s">
        <v>2838</v>
      </c>
      <c r="AY78" s="137" t="s">
        <v>2838</v>
      </c>
      <c r="AZ78" s="137" t="s">
        <v>2838</v>
      </c>
      <c r="BA78" s="137" t="s">
        <v>2838</v>
      </c>
      <c r="BB78" s="137" t="s">
        <v>2838</v>
      </c>
      <c r="BC78" s="137" t="s">
        <v>2838</v>
      </c>
      <c r="BD78" s="137" t="s">
        <v>2838</v>
      </c>
      <c r="BE78" s="137" t="s">
        <v>2838</v>
      </c>
      <c r="BF78" s="137" t="s">
        <v>2838</v>
      </c>
      <c r="BI78" s="137" t="s">
        <v>2486</v>
      </c>
      <c r="BJ78" s="137" t="s">
        <v>2486</v>
      </c>
      <c r="BK78" s="190" t="s">
        <v>2486</v>
      </c>
      <c r="BL78" s="190">
        <v>1</v>
      </c>
      <c r="BM78" s="78" t="s">
        <v>2486</v>
      </c>
      <c r="BO78" s="143" t="s">
        <v>733</v>
      </c>
      <c r="BP78" s="143" t="s">
        <v>734</v>
      </c>
      <c r="BQ78" s="143" t="s">
        <v>663</v>
      </c>
      <c r="BR78" s="143">
        <v>2487</v>
      </c>
      <c r="BY78" s="78" t="s">
        <v>2838</v>
      </c>
    </row>
    <row r="79" spans="1:77" x14ac:dyDescent="0.35">
      <c r="A79" s="143" t="s">
        <v>733</v>
      </c>
      <c r="B79" s="143" t="s">
        <v>734</v>
      </c>
      <c r="C79" s="143" t="s">
        <v>663</v>
      </c>
      <c r="D79" s="143">
        <v>2762</v>
      </c>
      <c r="E79" s="137">
        <v>0.14545449999999999</v>
      </c>
      <c r="F79" s="137">
        <v>0.56138909999999997</v>
      </c>
      <c r="G79" s="271">
        <v>0.70684369999999996</v>
      </c>
      <c r="H79" s="137" t="s">
        <v>2487</v>
      </c>
      <c r="I79" s="137">
        <v>0.1166667</v>
      </c>
      <c r="J79" s="137">
        <v>0</v>
      </c>
      <c r="K79" s="137">
        <v>0.1166667</v>
      </c>
      <c r="M79" s="143" t="s">
        <v>733</v>
      </c>
      <c r="N79" s="143" t="s">
        <v>734</v>
      </c>
      <c r="O79" s="143" t="s">
        <v>663</v>
      </c>
      <c r="P79" s="143">
        <v>2762</v>
      </c>
      <c r="Q79" s="137" t="s">
        <v>2487</v>
      </c>
      <c r="R79" s="137" t="s">
        <v>2486</v>
      </c>
      <c r="S79" s="137" t="s">
        <v>2486</v>
      </c>
      <c r="T79" s="137" t="s">
        <v>2486</v>
      </c>
      <c r="U79" s="137" t="s">
        <v>2487</v>
      </c>
      <c r="V79" s="137" t="s">
        <v>2487</v>
      </c>
      <c r="W79" s="137" t="s">
        <v>2487</v>
      </c>
      <c r="X79" s="137" t="s">
        <v>2486</v>
      </c>
      <c r="Y79" s="137" t="s">
        <v>2486</v>
      </c>
      <c r="Z79" s="137" t="s">
        <v>2486</v>
      </c>
      <c r="AA79" s="137" t="s">
        <v>2486</v>
      </c>
      <c r="AB79" s="137">
        <v>0.63636360000000003</v>
      </c>
      <c r="AD79" s="143" t="s">
        <v>733</v>
      </c>
      <c r="AE79" s="143" t="s">
        <v>734</v>
      </c>
      <c r="AF79" s="143" t="s">
        <v>663</v>
      </c>
      <c r="AG79" s="143">
        <v>2762</v>
      </c>
      <c r="AO79" s="190">
        <v>0.67500000000000004</v>
      </c>
      <c r="AP79" s="190">
        <v>0.67500000000000004</v>
      </c>
      <c r="AQ79" s="78" t="s">
        <v>2487</v>
      </c>
      <c r="AS79" s="143" t="s">
        <v>733</v>
      </c>
      <c r="AT79" s="143" t="s">
        <v>734</v>
      </c>
      <c r="AU79" s="143" t="s">
        <v>663</v>
      </c>
      <c r="AV79" s="143">
        <v>2762</v>
      </c>
      <c r="AW79" s="137" t="s">
        <v>2838</v>
      </c>
      <c r="AX79" s="137" t="s">
        <v>2838</v>
      </c>
      <c r="AY79" s="137" t="s">
        <v>2838</v>
      </c>
      <c r="AZ79" s="137" t="s">
        <v>2838</v>
      </c>
      <c r="BA79" s="137" t="s">
        <v>2838</v>
      </c>
      <c r="BB79" s="137" t="s">
        <v>2838</v>
      </c>
      <c r="BC79" s="137" t="s">
        <v>2838</v>
      </c>
      <c r="BD79" s="137" t="s">
        <v>2838</v>
      </c>
      <c r="BE79" s="137" t="s">
        <v>2838</v>
      </c>
      <c r="BF79" s="137" t="s">
        <v>2838</v>
      </c>
      <c r="BI79" s="137" t="s">
        <v>2486</v>
      </c>
      <c r="BJ79" s="137" t="s">
        <v>2486</v>
      </c>
      <c r="BK79" s="190" t="s">
        <v>2486</v>
      </c>
      <c r="BL79" s="190">
        <v>1</v>
      </c>
      <c r="BM79" s="78" t="s">
        <v>2486</v>
      </c>
      <c r="BO79" s="143" t="s">
        <v>733</v>
      </c>
      <c r="BP79" s="143" t="s">
        <v>734</v>
      </c>
      <c r="BQ79" s="143" t="s">
        <v>663</v>
      </c>
      <c r="BR79" s="143">
        <v>2762</v>
      </c>
      <c r="BY79" s="78" t="s">
        <v>2838</v>
      </c>
    </row>
    <row r="80" spans="1:77" x14ac:dyDescent="0.35">
      <c r="A80" s="143" t="s">
        <v>733</v>
      </c>
      <c r="B80" s="143" t="s">
        <v>734</v>
      </c>
      <c r="C80" s="143" t="s">
        <v>663</v>
      </c>
      <c r="D80" s="143">
        <v>3299</v>
      </c>
      <c r="E80" s="137">
        <v>0.12727269999999999</v>
      </c>
      <c r="F80" s="137">
        <v>0.34647600000000001</v>
      </c>
      <c r="G80" s="271">
        <v>0.47374870000000002</v>
      </c>
      <c r="H80" s="137" t="s">
        <v>2487</v>
      </c>
      <c r="I80" s="137">
        <v>0.13333329999999999</v>
      </c>
      <c r="J80" s="137">
        <v>0</v>
      </c>
      <c r="K80" s="137">
        <v>0.13333329999999999</v>
      </c>
      <c r="M80" s="143" t="s">
        <v>733</v>
      </c>
      <c r="N80" s="143" t="s">
        <v>734</v>
      </c>
      <c r="O80" s="143" t="s">
        <v>663</v>
      </c>
      <c r="P80" s="143">
        <v>3299</v>
      </c>
      <c r="Q80" s="137" t="s">
        <v>2487</v>
      </c>
      <c r="R80" s="137" t="s">
        <v>2486</v>
      </c>
      <c r="S80" s="137" t="s">
        <v>2486</v>
      </c>
      <c r="T80" s="137" t="s">
        <v>2487</v>
      </c>
      <c r="U80" s="137" t="s">
        <v>2487</v>
      </c>
      <c r="V80" s="137" t="s">
        <v>2487</v>
      </c>
      <c r="W80" s="137" t="s">
        <v>2487</v>
      </c>
      <c r="X80" s="137" t="s">
        <v>2487</v>
      </c>
      <c r="Y80" s="137" t="s">
        <v>2486</v>
      </c>
      <c r="Z80" s="137" t="s">
        <v>2487</v>
      </c>
      <c r="AA80" s="137" t="s">
        <v>2487</v>
      </c>
      <c r="AB80" s="137">
        <v>0.27272730000000001</v>
      </c>
      <c r="AD80" s="143" t="s">
        <v>733</v>
      </c>
      <c r="AE80" s="143" t="s">
        <v>734</v>
      </c>
      <c r="AF80" s="143" t="s">
        <v>663</v>
      </c>
      <c r="AG80" s="143">
        <v>3299</v>
      </c>
      <c r="AO80" s="190">
        <v>0.6875</v>
      </c>
      <c r="AP80" s="190">
        <v>0.6875</v>
      </c>
      <c r="AQ80" s="78" t="s">
        <v>2487</v>
      </c>
      <c r="AS80" s="143" t="s">
        <v>733</v>
      </c>
      <c r="AT80" s="143" t="s">
        <v>734</v>
      </c>
      <c r="AU80" s="143" t="s">
        <v>663</v>
      </c>
      <c r="AV80" s="143">
        <v>3299</v>
      </c>
      <c r="AW80" s="137" t="s">
        <v>2838</v>
      </c>
      <c r="AX80" s="137" t="s">
        <v>2838</v>
      </c>
      <c r="AY80" s="137" t="s">
        <v>2838</v>
      </c>
      <c r="AZ80" s="137" t="s">
        <v>2838</v>
      </c>
      <c r="BA80" s="137" t="s">
        <v>2838</v>
      </c>
      <c r="BB80" s="137" t="s">
        <v>2838</v>
      </c>
      <c r="BC80" s="137" t="s">
        <v>2838</v>
      </c>
      <c r="BD80" s="137" t="s">
        <v>2838</v>
      </c>
      <c r="BE80" s="137" t="s">
        <v>2838</v>
      </c>
      <c r="BF80" s="137" t="s">
        <v>2838</v>
      </c>
      <c r="BI80" s="137" t="s">
        <v>2487</v>
      </c>
      <c r="BJ80" s="137" t="s">
        <v>2487</v>
      </c>
      <c r="BK80" s="190" t="s">
        <v>2487</v>
      </c>
      <c r="BL80" s="190">
        <v>0</v>
      </c>
      <c r="BM80" s="78" t="s">
        <v>2487</v>
      </c>
      <c r="BO80" s="143" t="s">
        <v>733</v>
      </c>
      <c r="BP80" s="143" t="s">
        <v>734</v>
      </c>
      <c r="BQ80" s="143" t="s">
        <v>663</v>
      </c>
      <c r="BR80" s="143">
        <v>3299</v>
      </c>
      <c r="BY80" s="78" t="s">
        <v>2838</v>
      </c>
    </row>
    <row r="81" spans="1:77" x14ac:dyDescent="0.35">
      <c r="A81" s="143" t="s">
        <v>733</v>
      </c>
      <c r="B81" s="143" t="s">
        <v>734</v>
      </c>
      <c r="C81" s="143" t="s">
        <v>663</v>
      </c>
      <c r="D81" s="143">
        <v>3982</v>
      </c>
      <c r="E81" s="137">
        <v>0.18181820000000001</v>
      </c>
      <c r="F81" s="137">
        <v>0.50909090000000001</v>
      </c>
      <c r="G81" s="271">
        <v>0.69090910000000005</v>
      </c>
      <c r="H81" s="137" t="s">
        <v>2487</v>
      </c>
      <c r="I81" s="137">
        <v>0.15</v>
      </c>
      <c r="J81" s="137">
        <v>0.53333339999999996</v>
      </c>
      <c r="K81" s="137">
        <v>0.68333330000000003</v>
      </c>
      <c r="M81" s="143" t="s">
        <v>733</v>
      </c>
      <c r="N81" s="143" t="s">
        <v>734</v>
      </c>
      <c r="O81" s="143" t="s">
        <v>663</v>
      </c>
      <c r="P81" s="143">
        <v>3982</v>
      </c>
      <c r="Q81" s="137" t="s">
        <v>2487</v>
      </c>
      <c r="R81" s="137" t="s">
        <v>2486</v>
      </c>
      <c r="S81" s="137" t="s">
        <v>2486</v>
      </c>
      <c r="T81" s="137" t="s">
        <v>2486</v>
      </c>
      <c r="U81" s="137" t="s">
        <v>2487</v>
      </c>
      <c r="V81" s="137" t="s">
        <v>2487</v>
      </c>
      <c r="W81" s="137" t="s">
        <v>2486</v>
      </c>
      <c r="X81" s="137" t="s">
        <v>2486</v>
      </c>
      <c r="Y81" s="137" t="s">
        <v>2486</v>
      </c>
      <c r="Z81" s="137" t="s">
        <v>2486</v>
      </c>
      <c r="AA81" s="137" t="s">
        <v>2486</v>
      </c>
      <c r="AB81" s="137">
        <v>0.72727269999999999</v>
      </c>
      <c r="AD81" s="143" t="s">
        <v>733</v>
      </c>
      <c r="AE81" s="143" t="s">
        <v>734</v>
      </c>
      <c r="AF81" s="143" t="s">
        <v>663</v>
      </c>
      <c r="AG81" s="143">
        <v>3982</v>
      </c>
      <c r="AO81" s="190">
        <v>0.9375</v>
      </c>
      <c r="AP81" s="190">
        <v>0.9375</v>
      </c>
      <c r="AQ81" s="78" t="s">
        <v>2487</v>
      </c>
      <c r="AS81" s="143" t="s">
        <v>733</v>
      </c>
      <c r="AT81" s="143" t="s">
        <v>734</v>
      </c>
      <c r="AU81" s="143" t="s">
        <v>663</v>
      </c>
      <c r="AV81" s="143">
        <v>3982</v>
      </c>
      <c r="AW81" s="137" t="s">
        <v>2838</v>
      </c>
      <c r="AX81" s="137" t="s">
        <v>2838</v>
      </c>
      <c r="AY81" s="137" t="s">
        <v>2838</v>
      </c>
      <c r="AZ81" s="137" t="s">
        <v>2838</v>
      </c>
      <c r="BA81" s="137" t="s">
        <v>2838</v>
      </c>
      <c r="BB81" s="137" t="s">
        <v>2838</v>
      </c>
      <c r="BC81" s="137" t="s">
        <v>2838</v>
      </c>
      <c r="BD81" s="137" t="s">
        <v>2838</v>
      </c>
      <c r="BE81" s="137" t="s">
        <v>2838</v>
      </c>
      <c r="BF81" s="137" t="s">
        <v>2838</v>
      </c>
      <c r="BI81" s="137" t="s">
        <v>2487</v>
      </c>
      <c r="BJ81" s="137" t="s">
        <v>2486</v>
      </c>
      <c r="BK81" s="190" t="s">
        <v>2487</v>
      </c>
      <c r="BL81" s="190">
        <v>0.3333333</v>
      </c>
      <c r="BM81" s="78" t="s">
        <v>2487</v>
      </c>
      <c r="BO81" s="143" t="s">
        <v>733</v>
      </c>
      <c r="BP81" s="143" t="s">
        <v>734</v>
      </c>
      <c r="BQ81" s="143" t="s">
        <v>663</v>
      </c>
      <c r="BR81" s="143">
        <v>3982</v>
      </c>
      <c r="BY81" s="78" t="s">
        <v>2838</v>
      </c>
    </row>
    <row r="82" spans="1:77" x14ac:dyDescent="0.35">
      <c r="A82" s="143" t="s">
        <v>733</v>
      </c>
      <c r="B82" s="143" t="s">
        <v>734</v>
      </c>
      <c r="C82" s="143" t="s">
        <v>663</v>
      </c>
      <c r="D82" s="143">
        <v>4246</v>
      </c>
      <c r="E82" s="137">
        <v>0.12727269999999999</v>
      </c>
      <c r="F82" s="137">
        <v>0.4870276</v>
      </c>
      <c r="G82" s="271">
        <v>0.61430030000000002</v>
      </c>
      <c r="H82" s="137" t="s">
        <v>2487</v>
      </c>
      <c r="I82" s="137">
        <v>0.1</v>
      </c>
      <c r="J82" s="137">
        <v>0</v>
      </c>
      <c r="K82" s="137">
        <v>0.1</v>
      </c>
      <c r="M82" s="143" t="s">
        <v>733</v>
      </c>
      <c r="N82" s="143" t="s">
        <v>734</v>
      </c>
      <c r="O82" s="143" t="s">
        <v>663</v>
      </c>
      <c r="P82" s="143">
        <v>4246</v>
      </c>
      <c r="Q82" s="137" t="s">
        <v>2487</v>
      </c>
      <c r="R82" s="137" t="s">
        <v>2486</v>
      </c>
      <c r="S82" s="137" t="s">
        <v>2486</v>
      </c>
      <c r="T82" s="137" t="s">
        <v>2486</v>
      </c>
      <c r="U82" s="137" t="s">
        <v>2487</v>
      </c>
      <c r="V82" s="137" t="s">
        <v>2487</v>
      </c>
      <c r="W82" s="137" t="s">
        <v>2486</v>
      </c>
      <c r="X82" s="137" t="s">
        <v>2486</v>
      </c>
      <c r="Y82" s="137" t="s">
        <v>2486</v>
      </c>
      <c r="Z82" s="137" t="s">
        <v>2486</v>
      </c>
      <c r="AA82" s="137" t="s">
        <v>2486</v>
      </c>
      <c r="AB82" s="137">
        <v>0.72727269999999999</v>
      </c>
      <c r="AD82" s="143" t="s">
        <v>733</v>
      </c>
      <c r="AE82" s="143" t="s">
        <v>734</v>
      </c>
      <c r="AF82" s="143" t="s">
        <v>663</v>
      </c>
      <c r="AG82" s="143">
        <v>4246</v>
      </c>
      <c r="AO82" s="190">
        <v>0.8</v>
      </c>
      <c r="AP82" s="190">
        <v>0.8</v>
      </c>
      <c r="AQ82" s="78" t="s">
        <v>2487</v>
      </c>
      <c r="AS82" s="143" t="s">
        <v>733</v>
      </c>
      <c r="AT82" s="143" t="s">
        <v>734</v>
      </c>
      <c r="AU82" s="143" t="s">
        <v>663</v>
      </c>
      <c r="AV82" s="143">
        <v>4246</v>
      </c>
      <c r="AW82" s="137" t="s">
        <v>2838</v>
      </c>
      <c r="AX82" s="137" t="s">
        <v>2838</v>
      </c>
      <c r="AY82" s="137" t="s">
        <v>2838</v>
      </c>
      <c r="AZ82" s="137" t="s">
        <v>2838</v>
      </c>
      <c r="BA82" s="137" t="s">
        <v>2838</v>
      </c>
      <c r="BB82" s="137" t="s">
        <v>2838</v>
      </c>
      <c r="BC82" s="137" t="s">
        <v>2838</v>
      </c>
      <c r="BD82" s="137" t="s">
        <v>2838</v>
      </c>
      <c r="BE82" s="137" t="s">
        <v>2838</v>
      </c>
      <c r="BF82" s="137" t="s">
        <v>2838</v>
      </c>
      <c r="BI82" s="137" t="s">
        <v>2487</v>
      </c>
      <c r="BJ82" s="137" t="s">
        <v>2487</v>
      </c>
      <c r="BK82" s="190" t="s">
        <v>2487</v>
      </c>
      <c r="BL82" s="190">
        <v>0</v>
      </c>
      <c r="BM82" s="78" t="s">
        <v>2487</v>
      </c>
      <c r="BO82" s="143" t="s">
        <v>733</v>
      </c>
      <c r="BP82" s="143" t="s">
        <v>734</v>
      </c>
      <c r="BQ82" s="143" t="s">
        <v>663</v>
      </c>
      <c r="BR82" s="143">
        <v>4246</v>
      </c>
      <c r="BY82" s="78" t="s">
        <v>2838</v>
      </c>
    </row>
    <row r="83" spans="1:77" x14ac:dyDescent="0.35">
      <c r="A83" s="143" t="s">
        <v>735</v>
      </c>
      <c r="B83" s="143" t="s">
        <v>736</v>
      </c>
      <c r="C83" s="143" t="s">
        <v>663</v>
      </c>
      <c r="D83" s="143">
        <v>3004</v>
      </c>
      <c r="E83" s="137">
        <v>0</v>
      </c>
      <c r="F83" s="137">
        <v>0.8</v>
      </c>
      <c r="G83" s="271">
        <v>0.8</v>
      </c>
      <c r="H83" s="137" t="s">
        <v>2487</v>
      </c>
      <c r="I83" s="137">
        <v>0</v>
      </c>
      <c r="J83" s="137">
        <v>0.8</v>
      </c>
      <c r="K83" s="137">
        <v>0.8</v>
      </c>
      <c r="M83" s="143" t="s">
        <v>735</v>
      </c>
      <c r="N83" s="143" t="s">
        <v>736</v>
      </c>
      <c r="O83" s="143" t="s">
        <v>663</v>
      </c>
      <c r="P83" s="143">
        <v>3004</v>
      </c>
      <c r="Q83" s="137" t="s">
        <v>2487</v>
      </c>
      <c r="R83" s="137" t="s">
        <v>2487</v>
      </c>
      <c r="S83" s="137" t="s">
        <v>2487</v>
      </c>
      <c r="T83" s="137" t="s">
        <v>2487</v>
      </c>
      <c r="U83" s="137" t="s">
        <v>2487</v>
      </c>
      <c r="V83" s="137" t="s">
        <v>2487</v>
      </c>
      <c r="W83" s="137" t="s">
        <v>2487</v>
      </c>
      <c r="X83" s="137" t="s">
        <v>2487</v>
      </c>
      <c r="Y83" s="137" t="s">
        <v>2487</v>
      </c>
      <c r="Z83" s="137" t="s">
        <v>2487</v>
      </c>
      <c r="AA83" s="137" t="s">
        <v>2487</v>
      </c>
      <c r="AB83" s="137">
        <v>0</v>
      </c>
      <c r="AD83" s="143" t="s">
        <v>735</v>
      </c>
      <c r="AE83" s="143" t="s">
        <v>736</v>
      </c>
      <c r="AF83" s="143" t="s">
        <v>663</v>
      </c>
      <c r="AG83" s="143">
        <v>3004</v>
      </c>
      <c r="AO83" s="190">
        <v>0</v>
      </c>
      <c r="AP83" s="190">
        <v>0</v>
      </c>
      <c r="AQ83" s="78" t="s">
        <v>2487</v>
      </c>
      <c r="AS83" s="143" t="s">
        <v>735</v>
      </c>
      <c r="AT83" s="143" t="s">
        <v>736</v>
      </c>
      <c r="AU83" s="143" t="s">
        <v>663</v>
      </c>
      <c r="AV83" s="143">
        <v>3004</v>
      </c>
      <c r="AW83" s="137" t="s">
        <v>2838</v>
      </c>
      <c r="AX83" s="137" t="s">
        <v>2838</v>
      </c>
      <c r="AY83" s="137" t="s">
        <v>2838</v>
      </c>
      <c r="AZ83" s="137" t="s">
        <v>2838</v>
      </c>
      <c r="BA83" s="137" t="s">
        <v>2838</v>
      </c>
      <c r="BB83" s="137" t="s">
        <v>2838</v>
      </c>
      <c r="BC83" s="137" t="s">
        <v>2838</v>
      </c>
      <c r="BD83" s="137" t="s">
        <v>2838</v>
      </c>
      <c r="BE83" s="137" t="s">
        <v>2838</v>
      </c>
      <c r="BF83" s="137" t="s">
        <v>2838</v>
      </c>
      <c r="BI83" s="137" t="s">
        <v>2487</v>
      </c>
      <c r="BJ83" s="137" t="s">
        <v>2487</v>
      </c>
      <c r="BK83" s="190" t="s">
        <v>2487</v>
      </c>
      <c r="BL83" s="190">
        <v>0</v>
      </c>
      <c r="BM83" s="78" t="s">
        <v>2487</v>
      </c>
      <c r="BO83" s="143" t="s">
        <v>735</v>
      </c>
      <c r="BP83" s="143" t="s">
        <v>736</v>
      </c>
      <c r="BQ83" s="143" t="s">
        <v>663</v>
      </c>
      <c r="BR83" s="143">
        <v>3004</v>
      </c>
      <c r="BY83" s="78" t="s">
        <v>2838</v>
      </c>
    </row>
    <row r="84" spans="1:77" x14ac:dyDescent="0.35">
      <c r="A84" s="143" t="s">
        <v>735</v>
      </c>
      <c r="B84" s="143" t="s">
        <v>736</v>
      </c>
      <c r="C84" s="143" t="s">
        <v>663</v>
      </c>
      <c r="D84" s="143">
        <v>3995</v>
      </c>
      <c r="E84" s="137">
        <v>0.16363639999999999</v>
      </c>
      <c r="F84" s="137">
        <v>0.70357510000000001</v>
      </c>
      <c r="G84" s="271">
        <v>0.86721150000000002</v>
      </c>
      <c r="H84" s="137" t="s">
        <v>2487</v>
      </c>
      <c r="I84" s="137">
        <v>0.13333329999999999</v>
      </c>
      <c r="J84" s="137">
        <v>0.66666669999999995</v>
      </c>
      <c r="K84" s="137">
        <v>0.8</v>
      </c>
      <c r="M84" s="143" t="s">
        <v>735</v>
      </c>
      <c r="N84" s="143" t="s">
        <v>736</v>
      </c>
      <c r="O84" s="143" t="s">
        <v>663</v>
      </c>
      <c r="P84" s="143">
        <v>3995</v>
      </c>
      <c r="Q84" s="137" t="s">
        <v>2487</v>
      </c>
      <c r="R84" s="137" t="s">
        <v>2486</v>
      </c>
      <c r="S84" s="137" t="s">
        <v>2487</v>
      </c>
      <c r="T84" s="137" t="s">
        <v>2487</v>
      </c>
      <c r="U84" s="137" t="s">
        <v>2487</v>
      </c>
      <c r="V84" s="137" t="s">
        <v>2486</v>
      </c>
      <c r="W84" s="137" t="s">
        <v>2486</v>
      </c>
      <c r="X84" s="137" t="s">
        <v>2486</v>
      </c>
      <c r="Y84" s="137" t="s">
        <v>2486</v>
      </c>
      <c r="Z84" s="137" t="s">
        <v>2487</v>
      </c>
      <c r="AA84" s="137" t="s">
        <v>2486</v>
      </c>
      <c r="AB84" s="137">
        <v>0.54545460000000001</v>
      </c>
      <c r="AD84" s="143" t="s">
        <v>735</v>
      </c>
      <c r="AE84" s="143" t="s">
        <v>736</v>
      </c>
      <c r="AF84" s="143" t="s">
        <v>663</v>
      </c>
      <c r="AG84" s="143">
        <v>3995</v>
      </c>
      <c r="AO84" s="190">
        <v>0.91249999999999998</v>
      </c>
      <c r="AP84" s="190">
        <v>0.91249999999999998</v>
      </c>
      <c r="AQ84" s="78" t="s">
        <v>2487</v>
      </c>
      <c r="AS84" s="143" t="s">
        <v>735</v>
      </c>
      <c r="AT84" s="143" t="s">
        <v>736</v>
      </c>
      <c r="AU84" s="143" t="s">
        <v>663</v>
      </c>
      <c r="AV84" s="143">
        <v>3995</v>
      </c>
      <c r="AW84" s="137" t="s">
        <v>2838</v>
      </c>
      <c r="AX84" s="137" t="s">
        <v>2838</v>
      </c>
      <c r="AY84" s="137" t="s">
        <v>2838</v>
      </c>
      <c r="AZ84" s="137" t="s">
        <v>2838</v>
      </c>
      <c r="BA84" s="137" t="s">
        <v>2838</v>
      </c>
      <c r="BB84" s="137" t="s">
        <v>2838</v>
      </c>
      <c r="BC84" s="137" t="s">
        <v>2838</v>
      </c>
      <c r="BD84" s="137" t="s">
        <v>2838</v>
      </c>
      <c r="BE84" s="137" t="s">
        <v>2838</v>
      </c>
      <c r="BF84" s="137" t="s">
        <v>2838</v>
      </c>
      <c r="BI84" s="137" t="s">
        <v>2486</v>
      </c>
      <c r="BJ84" s="137" t="s">
        <v>2486</v>
      </c>
      <c r="BK84" s="190" t="s">
        <v>2487</v>
      </c>
      <c r="BL84" s="190">
        <v>0.66666669999999995</v>
      </c>
      <c r="BM84" s="78" t="s">
        <v>2487</v>
      </c>
      <c r="BO84" s="143" t="s">
        <v>735</v>
      </c>
      <c r="BP84" s="143" t="s">
        <v>736</v>
      </c>
      <c r="BQ84" s="143" t="s">
        <v>663</v>
      </c>
      <c r="BR84" s="143">
        <v>3995</v>
      </c>
      <c r="BY84" s="78" t="s">
        <v>2838</v>
      </c>
    </row>
    <row r="85" spans="1:77" x14ac:dyDescent="0.35">
      <c r="A85" s="143" t="s">
        <v>735</v>
      </c>
      <c r="B85" s="143" t="s">
        <v>736</v>
      </c>
      <c r="C85" s="143" t="s">
        <v>663</v>
      </c>
      <c r="D85" s="143">
        <v>4680</v>
      </c>
      <c r="E85" s="137">
        <v>0.2</v>
      </c>
      <c r="F85" s="137">
        <v>0.72645559999999998</v>
      </c>
      <c r="G85" s="271">
        <v>0.92645560000000005</v>
      </c>
      <c r="H85" s="137" t="s">
        <v>2486</v>
      </c>
      <c r="I85" s="137">
        <v>0.15</v>
      </c>
      <c r="J85" s="137">
        <v>0.77752810000000006</v>
      </c>
      <c r="K85" s="137">
        <v>0.92752809999999997</v>
      </c>
      <c r="M85" s="143" t="s">
        <v>735</v>
      </c>
      <c r="N85" s="143" t="s">
        <v>736</v>
      </c>
      <c r="O85" s="143" t="s">
        <v>663</v>
      </c>
      <c r="P85" s="143">
        <v>4680</v>
      </c>
      <c r="Q85" s="137" t="s">
        <v>2486</v>
      </c>
      <c r="R85" s="137" t="s">
        <v>2486</v>
      </c>
      <c r="S85" s="137" t="s">
        <v>2486</v>
      </c>
      <c r="T85" s="137" t="s">
        <v>2486</v>
      </c>
      <c r="U85" s="137" t="s">
        <v>2487</v>
      </c>
      <c r="V85" s="137" t="s">
        <v>2486</v>
      </c>
      <c r="W85" s="137" t="s">
        <v>2486</v>
      </c>
      <c r="X85" s="137" t="s">
        <v>2486</v>
      </c>
      <c r="Y85" s="137" t="s">
        <v>2486</v>
      </c>
      <c r="Z85" s="137" t="s">
        <v>2486</v>
      </c>
      <c r="AA85" s="137" t="s">
        <v>2486</v>
      </c>
      <c r="AB85" s="137">
        <v>0.90909090000000004</v>
      </c>
      <c r="AD85" s="143" t="s">
        <v>735</v>
      </c>
      <c r="AE85" s="143" t="s">
        <v>736</v>
      </c>
      <c r="AF85" s="143" t="s">
        <v>663</v>
      </c>
      <c r="AG85" s="143">
        <v>4680</v>
      </c>
      <c r="AO85" s="190">
        <v>0.82499999999999996</v>
      </c>
      <c r="AP85" s="190">
        <v>0.82499999999999996</v>
      </c>
      <c r="AQ85" s="78" t="s">
        <v>2487</v>
      </c>
      <c r="AS85" s="143" t="s">
        <v>735</v>
      </c>
      <c r="AT85" s="143" t="s">
        <v>736</v>
      </c>
      <c r="AU85" s="143" t="s">
        <v>663</v>
      </c>
      <c r="AV85" s="143">
        <v>4680</v>
      </c>
      <c r="AW85" s="137" t="s">
        <v>2838</v>
      </c>
      <c r="AX85" s="137" t="s">
        <v>2838</v>
      </c>
      <c r="AY85" s="137" t="s">
        <v>2838</v>
      </c>
      <c r="AZ85" s="137" t="s">
        <v>2838</v>
      </c>
      <c r="BA85" s="137" t="s">
        <v>2838</v>
      </c>
      <c r="BB85" s="137" t="s">
        <v>2838</v>
      </c>
      <c r="BC85" s="137" t="s">
        <v>2838</v>
      </c>
      <c r="BD85" s="137" t="s">
        <v>2838</v>
      </c>
      <c r="BE85" s="137" t="s">
        <v>2838</v>
      </c>
      <c r="BF85" s="137" t="s">
        <v>2838</v>
      </c>
      <c r="BI85" s="137" t="s">
        <v>2486</v>
      </c>
      <c r="BJ85" s="137" t="s">
        <v>2487</v>
      </c>
      <c r="BK85" s="190" t="s">
        <v>2487</v>
      </c>
      <c r="BL85" s="190">
        <v>0.3333333</v>
      </c>
      <c r="BM85" s="78" t="s">
        <v>2487</v>
      </c>
      <c r="BO85" s="143" t="s">
        <v>735</v>
      </c>
      <c r="BP85" s="143" t="s">
        <v>736</v>
      </c>
      <c r="BQ85" s="143" t="s">
        <v>663</v>
      </c>
      <c r="BR85" s="143">
        <v>4680</v>
      </c>
      <c r="BY85" s="78" t="s">
        <v>2838</v>
      </c>
    </row>
    <row r="86" spans="1:77" x14ac:dyDescent="0.35">
      <c r="A86" s="143" t="s">
        <v>735</v>
      </c>
      <c r="B86" s="143" t="s">
        <v>736</v>
      </c>
      <c r="C86" s="143" t="s">
        <v>663</v>
      </c>
      <c r="D86" s="143">
        <v>4690</v>
      </c>
      <c r="E86" s="137">
        <v>0.2</v>
      </c>
      <c r="F86" s="137">
        <v>0</v>
      </c>
      <c r="G86" s="271">
        <v>0.2</v>
      </c>
      <c r="H86" s="137" t="s">
        <v>2487</v>
      </c>
      <c r="I86" s="137">
        <v>0.1666667</v>
      </c>
      <c r="J86" s="137">
        <v>0</v>
      </c>
      <c r="K86" s="137">
        <v>0.1666667</v>
      </c>
      <c r="M86" s="143" t="s">
        <v>735</v>
      </c>
      <c r="N86" s="143" t="s">
        <v>736</v>
      </c>
      <c r="O86" s="143" t="s">
        <v>663</v>
      </c>
      <c r="P86" s="143">
        <v>4690</v>
      </c>
      <c r="Q86" s="137" t="s">
        <v>2486</v>
      </c>
      <c r="R86" s="137" t="s">
        <v>2486</v>
      </c>
      <c r="S86" s="137" t="s">
        <v>2486</v>
      </c>
      <c r="T86" s="137" t="s">
        <v>2486</v>
      </c>
      <c r="U86" s="137" t="s">
        <v>2487</v>
      </c>
      <c r="V86" s="137" t="s">
        <v>2487</v>
      </c>
      <c r="W86" s="137" t="s">
        <v>2486</v>
      </c>
      <c r="X86" s="137" t="s">
        <v>2486</v>
      </c>
      <c r="Y86" s="137" t="s">
        <v>2486</v>
      </c>
      <c r="Z86" s="137" t="s">
        <v>2487</v>
      </c>
      <c r="AA86" s="137" t="s">
        <v>2487</v>
      </c>
      <c r="AB86" s="137">
        <v>0.63636360000000003</v>
      </c>
      <c r="AD86" s="143" t="s">
        <v>735</v>
      </c>
      <c r="AE86" s="143" t="s">
        <v>736</v>
      </c>
      <c r="AF86" s="143" t="s">
        <v>663</v>
      </c>
      <c r="AG86" s="143">
        <v>4690</v>
      </c>
      <c r="AO86" s="190">
        <v>0.75</v>
      </c>
      <c r="AP86" s="190">
        <v>0.75</v>
      </c>
      <c r="AQ86" s="78" t="s">
        <v>2487</v>
      </c>
      <c r="AS86" s="143" t="s">
        <v>735</v>
      </c>
      <c r="AT86" s="143" t="s">
        <v>736</v>
      </c>
      <c r="AU86" s="143" t="s">
        <v>663</v>
      </c>
      <c r="AV86" s="143">
        <v>4690</v>
      </c>
      <c r="AW86" s="137" t="s">
        <v>2838</v>
      </c>
      <c r="AX86" s="137" t="s">
        <v>2838</v>
      </c>
      <c r="AY86" s="137" t="s">
        <v>2838</v>
      </c>
      <c r="AZ86" s="137" t="s">
        <v>2838</v>
      </c>
      <c r="BA86" s="137" t="s">
        <v>2838</v>
      </c>
      <c r="BB86" s="137" t="s">
        <v>2838</v>
      </c>
      <c r="BC86" s="137" t="s">
        <v>2838</v>
      </c>
      <c r="BD86" s="137" t="s">
        <v>2838</v>
      </c>
      <c r="BE86" s="137" t="s">
        <v>2838</v>
      </c>
      <c r="BF86" s="137" t="s">
        <v>2838</v>
      </c>
      <c r="BI86" s="137" t="s">
        <v>2486</v>
      </c>
      <c r="BJ86" s="137" t="s">
        <v>2486</v>
      </c>
      <c r="BK86" s="190" t="s">
        <v>2486</v>
      </c>
      <c r="BL86" s="190">
        <v>1</v>
      </c>
      <c r="BM86" s="78" t="s">
        <v>2486</v>
      </c>
      <c r="BO86" s="143" t="s">
        <v>735</v>
      </c>
      <c r="BP86" s="143" t="s">
        <v>736</v>
      </c>
      <c r="BQ86" s="143" t="s">
        <v>663</v>
      </c>
      <c r="BR86" s="143">
        <v>4690</v>
      </c>
      <c r="BY86" s="78" t="s">
        <v>2838</v>
      </c>
    </row>
    <row r="87" spans="1:77" x14ac:dyDescent="0.35">
      <c r="A87" s="143" t="s">
        <v>735</v>
      </c>
      <c r="B87" s="143" t="s">
        <v>736</v>
      </c>
      <c r="C87" s="143" t="s">
        <v>663</v>
      </c>
      <c r="D87" s="143">
        <v>4694</v>
      </c>
      <c r="E87" s="137">
        <v>0.18181820000000001</v>
      </c>
      <c r="F87" s="137">
        <v>0.1920327</v>
      </c>
      <c r="G87" s="271">
        <v>0.37385089999999999</v>
      </c>
      <c r="H87" s="137" t="s">
        <v>2487</v>
      </c>
      <c r="I87" s="137">
        <v>8.3333299999999999E-2</v>
      </c>
      <c r="J87" s="137">
        <v>0.14981269999999999</v>
      </c>
      <c r="K87" s="137">
        <v>0.2331461</v>
      </c>
      <c r="M87" s="143" t="s">
        <v>735</v>
      </c>
      <c r="N87" s="143" t="s">
        <v>736</v>
      </c>
      <c r="O87" s="143" t="s">
        <v>663</v>
      </c>
      <c r="P87" s="143">
        <v>4694</v>
      </c>
      <c r="Q87" s="137" t="s">
        <v>2486</v>
      </c>
      <c r="R87" s="137" t="s">
        <v>2486</v>
      </c>
      <c r="S87" s="137" t="s">
        <v>2486</v>
      </c>
      <c r="T87" s="137" t="s">
        <v>2486</v>
      </c>
      <c r="U87" s="137" t="s">
        <v>2487</v>
      </c>
      <c r="V87" s="137" t="s">
        <v>2487</v>
      </c>
      <c r="W87" s="137" t="s">
        <v>2487</v>
      </c>
      <c r="X87" s="137" t="s">
        <v>2486</v>
      </c>
      <c r="Y87" s="137" t="s">
        <v>2486</v>
      </c>
      <c r="Z87" s="137" t="s">
        <v>2487</v>
      </c>
      <c r="AA87" s="137" t="s">
        <v>2487</v>
      </c>
      <c r="AB87" s="137">
        <v>0.54545460000000001</v>
      </c>
      <c r="AD87" s="143" t="s">
        <v>735</v>
      </c>
      <c r="AE87" s="143" t="s">
        <v>736</v>
      </c>
      <c r="AF87" s="143" t="s">
        <v>663</v>
      </c>
      <c r="AG87" s="143">
        <v>4694</v>
      </c>
      <c r="AO87" s="190">
        <v>0.76249999999999996</v>
      </c>
      <c r="AP87" s="190">
        <v>0.76249999999999996</v>
      </c>
      <c r="AQ87" s="78" t="s">
        <v>2487</v>
      </c>
      <c r="AS87" s="143" t="s">
        <v>735</v>
      </c>
      <c r="AT87" s="143" t="s">
        <v>736</v>
      </c>
      <c r="AU87" s="143" t="s">
        <v>663</v>
      </c>
      <c r="AV87" s="143">
        <v>4694</v>
      </c>
      <c r="AW87" s="137" t="s">
        <v>2838</v>
      </c>
      <c r="AX87" s="137" t="s">
        <v>2838</v>
      </c>
      <c r="AY87" s="137" t="s">
        <v>2838</v>
      </c>
      <c r="AZ87" s="137" t="s">
        <v>2838</v>
      </c>
      <c r="BA87" s="137" t="s">
        <v>2838</v>
      </c>
      <c r="BB87" s="137" t="s">
        <v>2838</v>
      </c>
      <c r="BC87" s="137" t="s">
        <v>2838</v>
      </c>
      <c r="BD87" s="137" t="s">
        <v>2838</v>
      </c>
      <c r="BE87" s="137" t="s">
        <v>2838</v>
      </c>
      <c r="BF87" s="137" t="s">
        <v>2838</v>
      </c>
      <c r="BI87" s="137" t="s">
        <v>2486</v>
      </c>
      <c r="BJ87" s="137" t="s">
        <v>2487</v>
      </c>
      <c r="BK87" s="190" t="s">
        <v>2487</v>
      </c>
      <c r="BL87" s="190">
        <v>0.3333333</v>
      </c>
      <c r="BM87" s="78" t="s">
        <v>2487</v>
      </c>
      <c r="BO87" s="143" t="s">
        <v>735</v>
      </c>
      <c r="BP87" s="143" t="s">
        <v>736</v>
      </c>
      <c r="BQ87" s="143" t="s">
        <v>663</v>
      </c>
      <c r="BR87" s="143">
        <v>4694</v>
      </c>
      <c r="BY87" s="78" t="s">
        <v>2838</v>
      </c>
    </row>
    <row r="88" spans="1:77" x14ac:dyDescent="0.35">
      <c r="A88" s="143" t="s">
        <v>735</v>
      </c>
      <c r="B88" s="143" t="s">
        <v>736</v>
      </c>
      <c r="C88" s="143" t="s">
        <v>663</v>
      </c>
      <c r="D88" s="143">
        <v>4698</v>
      </c>
      <c r="E88" s="137">
        <v>0.16363639999999999</v>
      </c>
      <c r="F88" s="137">
        <v>0</v>
      </c>
      <c r="G88" s="271">
        <v>0.16363639999999999</v>
      </c>
      <c r="H88" s="137" t="s">
        <v>2487</v>
      </c>
      <c r="I88" s="137">
        <v>6.6666699999999995E-2</v>
      </c>
      <c r="J88" s="137">
        <v>0</v>
      </c>
      <c r="K88" s="137">
        <v>6.6666699999999995E-2</v>
      </c>
      <c r="M88" s="143" t="s">
        <v>735</v>
      </c>
      <c r="N88" s="143" t="s">
        <v>736</v>
      </c>
      <c r="O88" s="143" t="s">
        <v>663</v>
      </c>
      <c r="P88" s="143">
        <v>4698</v>
      </c>
      <c r="Q88" s="137" t="s">
        <v>2486</v>
      </c>
      <c r="R88" s="137" t="s">
        <v>2486</v>
      </c>
      <c r="S88" s="137" t="s">
        <v>2486</v>
      </c>
      <c r="T88" s="137" t="s">
        <v>2486</v>
      </c>
      <c r="U88" s="137" t="s">
        <v>2487</v>
      </c>
      <c r="V88" s="137" t="s">
        <v>2487</v>
      </c>
      <c r="W88" s="137" t="s">
        <v>2486</v>
      </c>
      <c r="X88" s="137" t="s">
        <v>2486</v>
      </c>
      <c r="Y88" s="137" t="s">
        <v>2486</v>
      </c>
      <c r="Z88" s="137" t="s">
        <v>2487</v>
      </c>
      <c r="AA88" s="137" t="s">
        <v>2487</v>
      </c>
      <c r="AB88" s="137">
        <v>0.63636360000000003</v>
      </c>
      <c r="AD88" s="143" t="s">
        <v>735</v>
      </c>
      <c r="AE88" s="143" t="s">
        <v>736</v>
      </c>
      <c r="AF88" s="143" t="s">
        <v>663</v>
      </c>
      <c r="AG88" s="143">
        <v>4698</v>
      </c>
      <c r="AO88" s="190">
        <v>0.67500000000000004</v>
      </c>
      <c r="AP88" s="190">
        <v>0.67500000000000004</v>
      </c>
      <c r="AQ88" s="78" t="s">
        <v>2487</v>
      </c>
      <c r="AS88" s="143" t="s">
        <v>735</v>
      </c>
      <c r="AT88" s="143" t="s">
        <v>736</v>
      </c>
      <c r="AU88" s="143" t="s">
        <v>663</v>
      </c>
      <c r="AV88" s="143">
        <v>4698</v>
      </c>
      <c r="AW88" s="137" t="s">
        <v>2838</v>
      </c>
      <c r="AX88" s="137" t="s">
        <v>2838</v>
      </c>
      <c r="AY88" s="137" t="s">
        <v>2838</v>
      </c>
      <c r="AZ88" s="137" t="s">
        <v>2838</v>
      </c>
      <c r="BA88" s="137" t="s">
        <v>2838</v>
      </c>
      <c r="BB88" s="137" t="s">
        <v>2838</v>
      </c>
      <c r="BC88" s="137" t="s">
        <v>2838</v>
      </c>
      <c r="BD88" s="137" t="s">
        <v>2838</v>
      </c>
      <c r="BE88" s="137" t="s">
        <v>2838</v>
      </c>
      <c r="BF88" s="137" t="s">
        <v>2838</v>
      </c>
      <c r="BI88" s="137" t="s">
        <v>2486</v>
      </c>
      <c r="BJ88" s="137" t="s">
        <v>2486</v>
      </c>
      <c r="BK88" s="190" t="s">
        <v>2486</v>
      </c>
      <c r="BL88" s="190">
        <v>1</v>
      </c>
      <c r="BM88" s="78" t="s">
        <v>2486</v>
      </c>
      <c r="BO88" s="143" t="s">
        <v>735</v>
      </c>
      <c r="BP88" s="143" t="s">
        <v>736</v>
      </c>
      <c r="BQ88" s="143" t="s">
        <v>663</v>
      </c>
      <c r="BR88" s="143">
        <v>4698</v>
      </c>
      <c r="BY88" s="78" t="s">
        <v>2838</v>
      </c>
    </row>
    <row r="89" spans="1:77" x14ac:dyDescent="0.35">
      <c r="A89" s="143" t="s">
        <v>735</v>
      </c>
      <c r="B89" s="143" t="s">
        <v>736</v>
      </c>
      <c r="C89" s="143" t="s">
        <v>663</v>
      </c>
      <c r="D89" s="143">
        <v>4701</v>
      </c>
      <c r="E89" s="137">
        <v>0.2</v>
      </c>
      <c r="F89" s="137">
        <v>0.8</v>
      </c>
      <c r="G89" s="271">
        <v>1</v>
      </c>
      <c r="H89" s="137" t="s">
        <v>2486</v>
      </c>
      <c r="I89" s="137">
        <v>0.1833333</v>
      </c>
      <c r="J89" s="137">
        <v>0.8</v>
      </c>
      <c r="K89" s="137">
        <v>0.98333329999999997</v>
      </c>
      <c r="M89" s="143" t="s">
        <v>735</v>
      </c>
      <c r="N89" s="143" t="s">
        <v>736</v>
      </c>
      <c r="O89" s="143" t="s">
        <v>663</v>
      </c>
      <c r="P89" s="143">
        <v>4701</v>
      </c>
      <c r="Q89" s="137" t="s">
        <v>2487</v>
      </c>
      <c r="R89" s="137" t="s">
        <v>2487</v>
      </c>
      <c r="S89" s="137" t="s">
        <v>2487</v>
      </c>
      <c r="T89" s="137" t="s">
        <v>2486</v>
      </c>
      <c r="U89" s="137" t="s">
        <v>2487</v>
      </c>
      <c r="V89" s="137" t="s">
        <v>2487</v>
      </c>
      <c r="W89" s="137" t="s">
        <v>2486</v>
      </c>
      <c r="X89" s="137" t="s">
        <v>2487</v>
      </c>
      <c r="Y89" s="137" t="s">
        <v>2486</v>
      </c>
      <c r="Z89" s="137" t="s">
        <v>2487</v>
      </c>
      <c r="AA89" s="137" t="s">
        <v>2487</v>
      </c>
      <c r="AB89" s="137">
        <v>0.27272730000000001</v>
      </c>
      <c r="AD89" s="143" t="s">
        <v>735</v>
      </c>
      <c r="AE89" s="143" t="s">
        <v>736</v>
      </c>
      <c r="AF89" s="143" t="s">
        <v>663</v>
      </c>
      <c r="AG89" s="143">
        <v>4701</v>
      </c>
      <c r="AO89" s="190">
        <v>0.83750000000000002</v>
      </c>
      <c r="AP89" s="190">
        <v>0.83750000000000002</v>
      </c>
      <c r="AQ89" s="78" t="s">
        <v>2487</v>
      </c>
      <c r="AS89" s="143" t="s">
        <v>735</v>
      </c>
      <c r="AT89" s="143" t="s">
        <v>736</v>
      </c>
      <c r="AU89" s="143" t="s">
        <v>663</v>
      </c>
      <c r="AV89" s="143">
        <v>4701</v>
      </c>
      <c r="AW89" s="137" t="s">
        <v>2838</v>
      </c>
      <c r="AX89" s="137" t="s">
        <v>2838</v>
      </c>
      <c r="AY89" s="137" t="s">
        <v>2838</v>
      </c>
      <c r="AZ89" s="137" t="s">
        <v>2838</v>
      </c>
      <c r="BA89" s="137" t="s">
        <v>2838</v>
      </c>
      <c r="BB89" s="137" t="s">
        <v>2838</v>
      </c>
      <c r="BC89" s="137" t="s">
        <v>2838</v>
      </c>
      <c r="BD89" s="137" t="s">
        <v>2838</v>
      </c>
      <c r="BE89" s="137" t="s">
        <v>2838</v>
      </c>
      <c r="BF89" s="137" t="s">
        <v>2838</v>
      </c>
      <c r="BI89" s="137" t="s">
        <v>2486</v>
      </c>
      <c r="BJ89" s="137" t="s">
        <v>2487</v>
      </c>
      <c r="BK89" s="190" t="s">
        <v>2487</v>
      </c>
      <c r="BL89" s="190">
        <v>0.3333333</v>
      </c>
      <c r="BM89" s="78" t="s">
        <v>2487</v>
      </c>
      <c r="BO89" s="143" t="s">
        <v>735</v>
      </c>
      <c r="BP89" s="143" t="s">
        <v>736</v>
      </c>
      <c r="BQ89" s="143" t="s">
        <v>663</v>
      </c>
      <c r="BR89" s="143">
        <v>4701</v>
      </c>
      <c r="BY89" s="78" t="s">
        <v>2838</v>
      </c>
    </row>
    <row r="90" spans="1:77" x14ac:dyDescent="0.35">
      <c r="A90" s="143" t="s">
        <v>737</v>
      </c>
      <c r="B90" s="143" t="s">
        <v>736</v>
      </c>
      <c r="C90" s="143" t="s">
        <v>663</v>
      </c>
      <c r="D90" s="143">
        <v>2026</v>
      </c>
      <c r="E90" s="137">
        <v>0.18181820000000001</v>
      </c>
      <c r="F90" s="137">
        <v>0.72727269999999999</v>
      </c>
      <c r="G90" s="271">
        <v>0.90909090000000004</v>
      </c>
      <c r="H90" s="137" t="s">
        <v>2486</v>
      </c>
      <c r="I90" s="137">
        <v>0.1666667</v>
      </c>
      <c r="J90" s="137">
        <v>0.66666669999999995</v>
      </c>
      <c r="K90" s="137">
        <v>0.83333330000000005</v>
      </c>
      <c r="M90" s="143" t="s">
        <v>737</v>
      </c>
      <c r="N90" s="143" t="s">
        <v>736</v>
      </c>
      <c r="O90" s="143" t="s">
        <v>663</v>
      </c>
      <c r="P90" s="143">
        <v>2026</v>
      </c>
      <c r="Q90" s="137" t="s">
        <v>2486</v>
      </c>
      <c r="R90" s="137" t="s">
        <v>2486</v>
      </c>
      <c r="S90" s="137" t="s">
        <v>2486</v>
      </c>
      <c r="T90" s="137" t="s">
        <v>2486</v>
      </c>
      <c r="U90" s="137" t="s">
        <v>2487</v>
      </c>
      <c r="V90" s="137" t="s">
        <v>2487</v>
      </c>
      <c r="W90" s="137" t="s">
        <v>2486</v>
      </c>
      <c r="X90" s="137" t="s">
        <v>2486</v>
      </c>
      <c r="Y90" s="137" t="s">
        <v>2486</v>
      </c>
      <c r="Z90" s="137" t="s">
        <v>2486</v>
      </c>
      <c r="AA90" s="137" t="s">
        <v>2486</v>
      </c>
      <c r="AB90" s="137">
        <v>0.81818179999999996</v>
      </c>
      <c r="AD90" s="143" t="s">
        <v>737</v>
      </c>
      <c r="AE90" s="143" t="s">
        <v>736</v>
      </c>
      <c r="AF90" s="143" t="s">
        <v>663</v>
      </c>
      <c r="AG90" s="143">
        <v>2026</v>
      </c>
      <c r="AO90" s="190">
        <v>0.97499999999999998</v>
      </c>
      <c r="AP90" s="190">
        <v>0.97499999999999998</v>
      </c>
      <c r="AQ90" s="78" t="s">
        <v>2486</v>
      </c>
      <c r="AS90" s="143" t="s">
        <v>737</v>
      </c>
      <c r="AT90" s="143" t="s">
        <v>736</v>
      </c>
      <c r="AU90" s="143" t="s">
        <v>663</v>
      </c>
      <c r="AV90" s="143">
        <v>2026</v>
      </c>
      <c r="AW90" s="137" t="s">
        <v>2838</v>
      </c>
      <c r="AX90" s="137" t="s">
        <v>2838</v>
      </c>
      <c r="AY90" s="137" t="s">
        <v>2838</v>
      </c>
      <c r="AZ90" s="137" t="s">
        <v>2838</v>
      </c>
      <c r="BA90" s="137" t="s">
        <v>2838</v>
      </c>
      <c r="BB90" s="137" t="s">
        <v>2838</v>
      </c>
      <c r="BC90" s="137" t="s">
        <v>2838</v>
      </c>
      <c r="BD90" s="137" t="s">
        <v>2838</v>
      </c>
      <c r="BE90" s="137" t="s">
        <v>2838</v>
      </c>
      <c r="BF90" s="137" t="s">
        <v>2838</v>
      </c>
      <c r="BI90" s="137" t="s">
        <v>2486</v>
      </c>
      <c r="BJ90" s="137" t="s">
        <v>2486</v>
      </c>
      <c r="BK90" s="190" t="s">
        <v>2486</v>
      </c>
      <c r="BL90" s="190">
        <v>1</v>
      </c>
      <c r="BM90" s="78" t="s">
        <v>2486</v>
      </c>
      <c r="BO90" s="143" t="s">
        <v>737</v>
      </c>
      <c r="BP90" s="143" t="s">
        <v>736</v>
      </c>
      <c r="BQ90" s="143" t="s">
        <v>663</v>
      </c>
      <c r="BR90" s="143">
        <v>2026</v>
      </c>
      <c r="BY90" s="78" t="s">
        <v>2838</v>
      </c>
    </row>
    <row r="91" spans="1:77" x14ac:dyDescent="0.35">
      <c r="A91" s="143" t="s">
        <v>737</v>
      </c>
      <c r="B91" s="143" t="s">
        <v>736</v>
      </c>
      <c r="C91" s="143" t="s">
        <v>663</v>
      </c>
      <c r="D91" s="143">
        <v>2472</v>
      </c>
      <c r="E91" s="137">
        <v>0.16363639999999999</v>
      </c>
      <c r="F91" s="137">
        <v>0.72727269999999999</v>
      </c>
      <c r="G91" s="271">
        <v>0.89090910000000001</v>
      </c>
      <c r="H91" s="137" t="s">
        <v>2487</v>
      </c>
      <c r="I91" s="137">
        <v>0.1833333</v>
      </c>
      <c r="J91" s="137">
        <v>0.8</v>
      </c>
      <c r="K91" s="137">
        <v>0.98333329999999997</v>
      </c>
      <c r="M91" s="143" t="s">
        <v>737</v>
      </c>
      <c r="N91" s="143" t="s">
        <v>736</v>
      </c>
      <c r="O91" s="143" t="s">
        <v>663</v>
      </c>
      <c r="P91" s="143">
        <v>2472</v>
      </c>
      <c r="Q91" s="137" t="s">
        <v>2486</v>
      </c>
      <c r="R91" s="137" t="s">
        <v>2486</v>
      </c>
      <c r="S91" s="137" t="s">
        <v>2487</v>
      </c>
      <c r="T91" s="137" t="s">
        <v>2486</v>
      </c>
      <c r="U91" s="137" t="s">
        <v>2487</v>
      </c>
      <c r="V91" s="137" t="s">
        <v>2487</v>
      </c>
      <c r="W91" s="137" t="s">
        <v>2486</v>
      </c>
      <c r="X91" s="137" t="s">
        <v>2486</v>
      </c>
      <c r="Y91" s="137" t="s">
        <v>2486</v>
      </c>
      <c r="Z91" s="137" t="s">
        <v>2486</v>
      </c>
      <c r="AA91" s="137" t="s">
        <v>2486</v>
      </c>
      <c r="AB91" s="137">
        <v>0.72727269999999999</v>
      </c>
      <c r="AD91" s="143" t="s">
        <v>737</v>
      </c>
      <c r="AE91" s="143" t="s">
        <v>736</v>
      </c>
      <c r="AF91" s="143" t="s">
        <v>663</v>
      </c>
      <c r="AG91" s="143">
        <v>2472</v>
      </c>
      <c r="AO91" s="190">
        <v>0.96250000000000002</v>
      </c>
      <c r="AP91" s="190">
        <v>0.96250000000000002</v>
      </c>
      <c r="AQ91" s="78" t="s">
        <v>2486</v>
      </c>
      <c r="AS91" s="143" t="s">
        <v>737</v>
      </c>
      <c r="AT91" s="143" t="s">
        <v>736</v>
      </c>
      <c r="AU91" s="143" t="s">
        <v>663</v>
      </c>
      <c r="AV91" s="143">
        <v>2472</v>
      </c>
      <c r="AW91" s="137" t="s">
        <v>2838</v>
      </c>
      <c r="AX91" s="137" t="s">
        <v>2838</v>
      </c>
      <c r="AY91" s="137" t="s">
        <v>2838</v>
      </c>
      <c r="AZ91" s="137" t="s">
        <v>2838</v>
      </c>
      <c r="BA91" s="137" t="s">
        <v>2838</v>
      </c>
      <c r="BB91" s="137" t="s">
        <v>2838</v>
      </c>
      <c r="BC91" s="137" t="s">
        <v>2838</v>
      </c>
      <c r="BD91" s="137" t="s">
        <v>2838</v>
      </c>
      <c r="BE91" s="137" t="s">
        <v>2838</v>
      </c>
      <c r="BF91" s="137" t="s">
        <v>2838</v>
      </c>
      <c r="BI91" s="137" t="s">
        <v>2486</v>
      </c>
      <c r="BJ91" s="137" t="s">
        <v>2486</v>
      </c>
      <c r="BK91" s="190" t="s">
        <v>2486</v>
      </c>
      <c r="BL91" s="190">
        <v>1</v>
      </c>
      <c r="BM91" s="78" t="s">
        <v>2486</v>
      </c>
      <c r="BO91" s="143" t="s">
        <v>737</v>
      </c>
      <c r="BP91" s="143" t="s">
        <v>736</v>
      </c>
      <c r="BQ91" s="143" t="s">
        <v>663</v>
      </c>
      <c r="BR91" s="143">
        <v>2472</v>
      </c>
      <c r="BY91" s="78" t="s">
        <v>2838</v>
      </c>
    </row>
    <row r="92" spans="1:77" x14ac:dyDescent="0.35">
      <c r="A92" s="143" t="s">
        <v>737</v>
      </c>
      <c r="B92" s="143" t="s">
        <v>736</v>
      </c>
      <c r="C92" s="143" t="s">
        <v>663</v>
      </c>
      <c r="D92" s="143">
        <v>4138</v>
      </c>
      <c r="E92" s="137">
        <v>0.16363639999999999</v>
      </c>
      <c r="F92" s="137">
        <v>0.50909090000000001</v>
      </c>
      <c r="G92" s="271">
        <v>0.67272730000000003</v>
      </c>
      <c r="H92" s="137" t="s">
        <v>2487</v>
      </c>
      <c r="I92" s="137">
        <v>0.2</v>
      </c>
      <c r="J92" s="137">
        <v>0.73333329999999997</v>
      </c>
      <c r="K92" s="137">
        <v>0.93333330000000003</v>
      </c>
      <c r="M92" s="143" t="s">
        <v>737</v>
      </c>
      <c r="N92" s="143" t="s">
        <v>736</v>
      </c>
      <c r="O92" s="143" t="s">
        <v>663</v>
      </c>
      <c r="P92" s="143">
        <v>4138</v>
      </c>
      <c r="Q92" s="137" t="s">
        <v>2487</v>
      </c>
      <c r="R92" s="137" t="s">
        <v>2486</v>
      </c>
      <c r="S92" s="137" t="s">
        <v>2486</v>
      </c>
      <c r="T92" s="137" t="s">
        <v>2486</v>
      </c>
      <c r="U92" s="137" t="s">
        <v>2487</v>
      </c>
      <c r="V92" s="137" t="s">
        <v>2487</v>
      </c>
      <c r="W92" s="137" t="s">
        <v>2486</v>
      </c>
      <c r="X92" s="137" t="s">
        <v>2486</v>
      </c>
      <c r="Y92" s="137" t="s">
        <v>2486</v>
      </c>
      <c r="Z92" s="137" t="s">
        <v>2486</v>
      </c>
      <c r="AA92" s="137" t="s">
        <v>2486</v>
      </c>
      <c r="AB92" s="137">
        <v>0.72727269999999999</v>
      </c>
      <c r="AD92" s="143" t="s">
        <v>737</v>
      </c>
      <c r="AE92" s="143" t="s">
        <v>736</v>
      </c>
      <c r="AF92" s="143" t="s">
        <v>663</v>
      </c>
      <c r="AG92" s="143">
        <v>4138</v>
      </c>
      <c r="AO92" s="190">
        <v>0.92500000000000004</v>
      </c>
      <c r="AP92" s="190">
        <v>0.92500000000000004</v>
      </c>
      <c r="AQ92" s="78" t="s">
        <v>2487</v>
      </c>
      <c r="AS92" s="143" t="s">
        <v>737</v>
      </c>
      <c r="AT92" s="143" t="s">
        <v>736</v>
      </c>
      <c r="AU92" s="143" t="s">
        <v>663</v>
      </c>
      <c r="AV92" s="143">
        <v>4138</v>
      </c>
      <c r="AW92" s="137" t="s">
        <v>2838</v>
      </c>
      <c r="AX92" s="137" t="s">
        <v>2838</v>
      </c>
      <c r="AY92" s="137" t="s">
        <v>2838</v>
      </c>
      <c r="AZ92" s="137" t="s">
        <v>2838</v>
      </c>
      <c r="BA92" s="137" t="s">
        <v>2838</v>
      </c>
      <c r="BB92" s="137" t="s">
        <v>2838</v>
      </c>
      <c r="BC92" s="137" t="s">
        <v>2838</v>
      </c>
      <c r="BD92" s="137" t="s">
        <v>2838</v>
      </c>
      <c r="BE92" s="137" t="s">
        <v>2838</v>
      </c>
      <c r="BF92" s="137" t="s">
        <v>2838</v>
      </c>
      <c r="BI92" s="137" t="s">
        <v>2486</v>
      </c>
      <c r="BJ92" s="137" t="s">
        <v>2486</v>
      </c>
      <c r="BK92" s="190" t="s">
        <v>2486</v>
      </c>
      <c r="BL92" s="190">
        <v>1</v>
      </c>
      <c r="BM92" s="78" t="s">
        <v>2486</v>
      </c>
      <c r="BO92" s="143" t="s">
        <v>737</v>
      </c>
      <c r="BP92" s="143" t="s">
        <v>736</v>
      </c>
      <c r="BQ92" s="143" t="s">
        <v>663</v>
      </c>
      <c r="BR92" s="143">
        <v>4138</v>
      </c>
      <c r="BY92" s="78" t="s">
        <v>2838</v>
      </c>
    </row>
    <row r="93" spans="1:77" x14ac:dyDescent="0.35">
      <c r="A93" s="143" t="s">
        <v>737</v>
      </c>
      <c r="B93" s="143" t="s">
        <v>736</v>
      </c>
      <c r="C93" s="143" t="s">
        <v>663</v>
      </c>
      <c r="D93" s="143">
        <v>4143</v>
      </c>
      <c r="E93" s="137">
        <v>0.18181820000000001</v>
      </c>
      <c r="F93" s="137">
        <v>0.59816139999999995</v>
      </c>
      <c r="G93" s="271">
        <v>0.7799796</v>
      </c>
      <c r="H93" s="137" t="s">
        <v>2487</v>
      </c>
      <c r="I93" s="137">
        <v>0.2</v>
      </c>
      <c r="J93" s="137">
        <v>0.73333329999999997</v>
      </c>
      <c r="K93" s="137">
        <v>0.93333330000000003</v>
      </c>
      <c r="M93" s="143" t="s">
        <v>737</v>
      </c>
      <c r="N93" s="143" t="s">
        <v>736</v>
      </c>
      <c r="O93" s="143" t="s">
        <v>663</v>
      </c>
      <c r="P93" s="143">
        <v>4143</v>
      </c>
      <c r="Q93" s="137" t="s">
        <v>2486</v>
      </c>
      <c r="R93" s="137" t="s">
        <v>2486</v>
      </c>
      <c r="S93" s="137" t="s">
        <v>2486</v>
      </c>
      <c r="T93" s="137" t="s">
        <v>2486</v>
      </c>
      <c r="U93" s="137" t="s">
        <v>2487</v>
      </c>
      <c r="V93" s="137" t="s">
        <v>2487</v>
      </c>
      <c r="W93" s="137" t="s">
        <v>2486</v>
      </c>
      <c r="X93" s="137" t="s">
        <v>2486</v>
      </c>
      <c r="Y93" s="137" t="s">
        <v>2486</v>
      </c>
      <c r="Z93" s="137" t="s">
        <v>2486</v>
      </c>
      <c r="AA93" s="137" t="s">
        <v>2486</v>
      </c>
      <c r="AB93" s="137">
        <v>0.81818179999999996</v>
      </c>
      <c r="AD93" s="143" t="s">
        <v>737</v>
      </c>
      <c r="AE93" s="143" t="s">
        <v>736</v>
      </c>
      <c r="AF93" s="143" t="s">
        <v>663</v>
      </c>
      <c r="AG93" s="143">
        <v>4143</v>
      </c>
      <c r="AO93" s="190">
        <v>0.97499999999999998</v>
      </c>
      <c r="AP93" s="190">
        <v>0.97499999999999998</v>
      </c>
      <c r="AQ93" s="78" t="s">
        <v>2486</v>
      </c>
      <c r="AS93" s="143" t="s">
        <v>737</v>
      </c>
      <c r="AT93" s="143" t="s">
        <v>736</v>
      </c>
      <c r="AU93" s="143" t="s">
        <v>663</v>
      </c>
      <c r="AV93" s="143">
        <v>4143</v>
      </c>
      <c r="AW93" s="137" t="s">
        <v>2838</v>
      </c>
      <c r="AX93" s="137" t="s">
        <v>2838</v>
      </c>
      <c r="AY93" s="137" t="s">
        <v>2838</v>
      </c>
      <c r="AZ93" s="137" t="s">
        <v>2838</v>
      </c>
      <c r="BA93" s="137" t="s">
        <v>2838</v>
      </c>
      <c r="BB93" s="137" t="s">
        <v>2838</v>
      </c>
      <c r="BC93" s="137" t="s">
        <v>2838</v>
      </c>
      <c r="BD93" s="137" t="s">
        <v>2838</v>
      </c>
      <c r="BE93" s="137" t="s">
        <v>2838</v>
      </c>
      <c r="BF93" s="137" t="s">
        <v>2838</v>
      </c>
      <c r="BI93" s="137" t="s">
        <v>2486</v>
      </c>
      <c r="BJ93" s="137" t="s">
        <v>2486</v>
      </c>
      <c r="BK93" s="190" t="s">
        <v>2486</v>
      </c>
      <c r="BL93" s="190">
        <v>1</v>
      </c>
      <c r="BM93" s="78" t="s">
        <v>2486</v>
      </c>
      <c r="BO93" s="143" t="s">
        <v>737</v>
      </c>
      <c r="BP93" s="143" t="s">
        <v>736</v>
      </c>
      <c r="BQ93" s="143" t="s">
        <v>663</v>
      </c>
      <c r="BR93" s="143">
        <v>4143</v>
      </c>
      <c r="BY93" s="78" t="s">
        <v>2838</v>
      </c>
    </row>
    <row r="94" spans="1:77" x14ac:dyDescent="0.35">
      <c r="A94" s="143" t="s">
        <v>737</v>
      </c>
      <c r="B94" s="143" t="s">
        <v>736</v>
      </c>
      <c r="C94" s="143" t="s">
        <v>663</v>
      </c>
      <c r="D94" s="143">
        <v>4148</v>
      </c>
      <c r="E94" s="137">
        <v>0.18181820000000001</v>
      </c>
      <c r="F94" s="137">
        <v>0.58181819999999995</v>
      </c>
      <c r="G94" s="271">
        <v>0.76363639999999999</v>
      </c>
      <c r="H94" s="137" t="s">
        <v>2487</v>
      </c>
      <c r="I94" s="137">
        <v>0.2</v>
      </c>
      <c r="J94" s="137">
        <v>0.66666669999999995</v>
      </c>
      <c r="K94" s="137">
        <v>0.86666670000000001</v>
      </c>
      <c r="M94" s="143" t="s">
        <v>737</v>
      </c>
      <c r="N94" s="143" t="s">
        <v>736</v>
      </c>
      <c r="O94" s="143" t="s">
        <v>663</v>
      </c>
      <c r="P94" s="143">
        <v>4148</v>
      </c>
      <c r="Q94" s="137" t="s">
        <v>2486</v>
      </c>
      <c r="R94" s="137" t="s">
        <v>2486</v>
      </c>
      <c r="S94" s="137" t="s">
        <v>2486</v>
      </c>
      <c r="T94" s="137" t="s">
        <v>2486</v>
      </c>
      <c r="U94" s="137" t="s">
        <v>2487</v>
      </c>
      <c r="V94" s="137" t="s">
        <v>2487</v>
      </c>
      <c r="W94" s="137" t="s">
        <v>2486</v>
      </c>
      <c r="X94" s="137" t="s">
        <v>2486</v>
      </c>
      <c r="Y94" s="137" t="s">
        <v>2486</v>
      </c>
      <c r="Z94" s="137" t="s">
        <v>2486</v>
      </c>
      <c r="AA94" s="137" t="s">
        <v>2486</v>
      </c>
      <c r="AB94" s="137">
        <v>0.81818179999999996</v>
      </c>
      <c r="AD94" s="143" t="s">
        <v>737</v>
      </c>
      <c r="AE94" s="143" t="s">
        <v>736</v>
      </c>
      <c r="AF94" s="143" t="s">
        <v>663</v>
      </c>
      <c r="AG94" s="143">
        <v>4148</v>
      </c>
      <c r="AO94" s="190">
        <v>0.98750000000000004</v>
      </c>
      <c r="AP94" s="190">
        <v>0.98750000000000004</v>
      </c>
      <c r="AQ94" s="78" t="s">
        <v>2486</v>
      </c>
      <c r="AS94" s="143" t="s">
        <v>737</v>
      </c>
      <c r="AT94" s="143" t="s">
        <v>736</v>
      </c>
      <c r="AU94" s="143" t="s">
        <v>663</v>
      </c>
      <c r="AV94" s="143">
        <v>4148</v>
      </c>
      <c r="AW94" s="137" t="s">
        <v>2838</v>
      </c>
      <c r="AX94" s="137" t="s">
        <v>2838</v>
      </c>
      <c r="AY94" s="137" t="s">
        <v>2838</v>
      </c>
      <c r="AZ94" s="137" t="s">
        <v>2838</v>
      </c>
      <c r="BA94" s="137" t="s">
        <v>2838</v>
      </c>
      <c r="BB94" s="137" t="s">
        <v>2838</v>
      </c>
      <c r="BC94" s="137" t="s">
        <v>2838</v>
      </c>
      <c r="BD94" s="137" t="s">
        <v>2838</v>
      </c>
      <c r="BE94" s="137" t="s">
        <v>2838</v>
      </c>
      <c r="BF94" s="137" t="s">
        <v>2838</v>
      </c>
      <c r="BI94" s="137" t="s">
        <v>2486</v>
      </c>
      <c r="BJ94" s="137" t="s">
        <v>2486</v>
      </c>
      <c r="BK94" s="190" t="s">
        <v>2486</v>
      </c>
      <c r="BL94" s="190">
        <v>1</v>
      </c>
      <c r="BM94" s="78" t="s">
        <v>2486</v>
      </c>
      <c r="BO94" s="143" t="s">
        <v>737</v>
      </c>
      <c r="BP94" s="143" t="s">
        <v>736</v>
      </c>
      <c r="BQ94" s="143" t="s">
        <v>663</v>
      </c>
      <c r="BR94" s="143">
        <v>4148</v>
      </c>
      <c r="BY94" s="78" t="s">
        <v>2838</v>
      </c>
    </row>
    <row r="95" spans="1:77" x14ac:dyDescent="0.35">
      <c r="A95" s="143" t="s">
        <v>737</v>
      </c>
      <c r="B95" s="143" t="s">
        <v>736</v>
      </c>
      <c r="C95" s="143" t="s">
        <v>663</v>
      </c>
      <c r="D95" s="143">
        <v>4149</v>
      </c>
      <c r="E95" s="137">
        <v>0.1090909</v>
      </c>
      <c r="F95" s="137">
        <v>0.72236979999999995</v>
      </c>
      <c r="G95" s="271">
        <v>0.83146070000000005</v>
      </c>
      <c r="H95" s="137" t="s">
        <v>2487</v>
      </c>
      <c r="I95" s="137">
        <v>0.2</v>
      </c>
      <c r="J95" s="137">
        <v>0.73333329999999997</v>
      </c>
      <c r="K95" s="137">
        <v>0.93333330000000003</v>
      </c>
      <c r="M95" s="143" t="s">
        <v>737</v>
      </c>
      <c r="N95" s="143" t="s">
        <v>736</v>
      </c>
      <c r="O95" s="143" t="s">
        <v>663</v>
      </c>
      <c r="P95" s="143">
        <v>4149</v>
      </c>
      <c r="Q95" s="137" t="s">
        <v>2487</v>
      </c>
      <c r="R95" s="137" t="s">
        <v>2486</v>
      </c>
      <c r="S95" s="137" t="s">
        <v>2486</v>
      </c>
      <c r="T95" s="137" t="s">
        <v>2486</v>
      </c>
      <c r="U95" s="137" t="s">
        <v>2487</v>
      </c>
      <c r="V95" s="137" t="s">
        <v>2487</v>
      </c>
      <c r="W95" s="137" t="s">
        <v>2486</v>
      </c>
      <c r="X95" s="137" t="s">
        <v>2486</v>
      </c>
      <c r="Y95" s="137" t="s">
        <v>2486</v>
      </c>
      <c r="Z95" s="137" t="s">
        <v>2486</v>
      </c>
      <c r="AA95" s="137" t="s">
        <v>2486</v>
      </c>
      <c r="AB95" s="137">
        <v>0.72727269999999999</v>
      </c>
      <c r="AD95" s="143" t="s">
        <v>737</v>
      </c>
      <c r="AE95" s="143" t="s">
        <v>736</v>
      </c>
      <c r="AF95" s="143" t="s">
        <v>663</v>
      </c>
      <c r="AG95" s="143">
        <v>4149</v>
      </c>
      <c r="AO95" s="190">
        <v>0.98750000000000004</v>
      </c>
      <c r="AP95" s="190">
        <v>0.98750000000000004</v>
      </c>
      <c r="AQ95" s="78" t="s">
        <v>2486</v>
      </c>
      <c r="AS95" s="143" t="s">
        <v>737</v>
      </c>
      <c r="AT95" s="143" t="s">
        <v>736</v>
      </c>
      <c r="AU95" s="143" t="s">
        <v>663</v>
      </c>
      <c r="AV95" s="143">
        <v>4149</v>
      </c>
      <c r="AW95" s="137" t="s">
        <v>2838</v>
      </c>
      <c r="AX95" s="137" t="s">
        <v>2838</v>
      </c>
      <c r="AY95" s="137" t="s">
        <v>2838</v>
      </c>
      <c r="AZ95" s="137" t="s">
        <v>2838</v>
      </c>
      <c r="BA95" s="137" t="s">
        <v>2838</v>
      </c>
      <c r="BB95" s="137" t="s">
        <v>2838</v>
      </c>
      <c r="BC95" s="137" t="s">
        <v>2838</v>
      </c>
      <c r="BD95" s="137" t="s">
        <v>2838</v>
      </c>
      <c r="BE95" s="137" t="s">
        <v>2838</v>
      </c>
      <c r="BF95" s="137" t="s">
        <v>2838</v>
      </c>
      <c r="BI95" s="137" t="s">
        <v>2486</v>
      </c>
      <c r="BJ95" s="137" t="s">
        <v>2486</v>
      </c>
      <c r="BK95" s="190" t="s">
        <v>2486</v>
      </c>
      <c r="BL95" s="190">
        <v>1</v>
      </c>
      <c r="BM95" s="78" t="s">
        <v>2486</v>
      </c>
      <c r="BO95" s="143" t="s">
        <v>737</v>
      </c>
      <c r="BP95" s="143" t="s">
        <v>736</v>
      </c>
      <c r="BQ95" s="143" t="s">
        <v>663</v>
      </c>
      <c r="BR95" s="143">
        <v>4149</v>
      </c>
      <c r="BY95" s="78" t="s">
        <v>2838</v>
      </c>
    </row>
    <row r="96" spans="1:77" x14ac:dyDescent="0.35">
      <c r="A96" s="143" t="s">
        <v>738</v>
      </c>
      <c r="B96" s="143" t="s">
        <v>722</v>
      </c>
      <c r="C96" s="143" t="s">
        <v>663</v>
      </c>
      <c r="D96" s="143">
        <v>2591</v>
      </c>
      <c r="E96" s="137">
        <v>0.16363639999999999</v>
      </c>
      <c r="F96" s="137">
        <v>0.61777320000000002</v>
      </c>
      <c r="G96" s="271">
        <v>0.78140960000000004</v>
      </c>
      <c r="H96" s="137" t="s">
        <v>2487</v>
      </c>
      <c r="I96" s="137">
        <v>0.1666667</v>
      </c>
      <c r="J96" s="137">
        <v>0.66666669999999995</v>
      </c>
      <c r="K96" s="137">
        <v>0.83333330000000005</v>
      </c>
      <c r="M96" s="143" t="s">
        <v>738</v>
      </c>
      <c r="N96" s="143" t="s">
        <v>722</v>
      </c>
      <c r="O96" s="143" t="s">
        <v>663</v>
      </c>
      <c r="P96" s="143">
        <v>2591</v>
      </c>
      <c r="Q96" s="137" t="s">
        <v>2486</v>
      </c>
      <c r="R96" s="137" t="s">
        <v>2486</v>
      </c>
      <c r="S96" s="137" t="s">
        <v>2486</v>
      </c>
      <c r="T96" s="137" t="s">
        <v>2486</v>
      </c>
      <c r="U96" s="137" t="s">
        <v>2487</v>
      </c>
      <c r="V96" s="137" t="s">
        <v>2487</v>
      </c>
      <c r="W96" s="137" t="s">
        <v>2486</v>
      </c>
      <c r="X96" s="137" t="s">
        <v>2486</v>
      </c>
      <c r="Y96" s="137" t="s">
        <v>2486</v>
      </c>
      <c r="Z96" s="137" t="s">
        <v>2486</v>
      </c>
      <c r="AA96" s="137" t="s">
        <v>2487</v>
      </c>
      <c r="AB96" s="137">
        <v>0.72727269999999999</v>
      </c>
      <c r="AD96" s="143" t="s">
        <v>738</v>
      </c>
      <c r="AE96" s="143" t="s">
        <v>722</v>
      </c>
      <c r="AF96" s="143" t="s">
        <v>663</v>
      </c>
      <c r="AG96" s="143">
        <v>2591</v>
      </c>
      <c r="AO96" s="190">
        <v>0.92500000000000004</v>
      </c>
      <c r="AP96" s="190">
        <v>0.92500000000000004</v>
      </c>
      <c r="AQ96" s="78" t="s">
        <v>2487</v>
      </c>
      <c r="AS96" s="143" t="s">
        <v>738</v>
      </c>
      <c r="AT96" s="143" t="s">
        <v>722</v>
      </c>
      <c r="AU96" s="143" t="s">
        <v>663</v>
      </c>
      <c r="AV96" s="143">
        <v>2591</v>
      </c>
      <c r="AW96" s="137" t="s">
        <v>2838</v>
      </c>
      <c r="AX96" s="137" t="s">
        <v>2838</v>
      </c>
      <c r="AY96" s="137" t="s">
        <v>2838</v>
      </c>
      <c r="AZ96" s="137" t="s">
        <v>2838</v>
      </c>
      <c r="BA96" s="137" t="s">
        <v>2838</v>
      </c>
      <c r="BB96" s="137" t="s">
        <v>2838</v>
      </c>
      <c r="BC96" s="137" t="s">
        <v>2838</v>
      </c>
      <c r="BD96" s="137" t="s">
        <v>2838</v>
      </c>
      <c r="BE96" s="137" t="s">
        <v>2838</v>
      </c>
      <c r="BF96" s="137" t="s">
        <v>2838</v>
      </c>
      <c r="BI96" s="137" t="s">
        <v>2486</v>
      </c>
      <c r="BJ96" s="137" t="s">
        <v>2486</v>
      </c>
      <c r="BK96" s="190" t="s">
        <v>2486</v>
      </c>
      <c r="BL96" s="190">
        <v>1</v>
      </c>
      <c r="BM96" s="78" t="s">
        <v>2486</v>
      </c>
      <c r="BO96" s="143" t="s">
        <v>738</v>
      </c>
      <c r="BP96" s="143" t="s">
        <v>722</v>
      </c>
      <c r="BQ96" s="143" t="s">
        <v>663</v>
      </c>
      <c r="BR96" s="143">
        <v>2591</v>
      </c>
      <c r="BY96" s="78" t="s">
        <v>2838</v>
      </c>
    </row>
    <row r="97" spans="1:77" x14ac:dyDescent="0.35">
      <c r="A97" s="143" t="s">
        <v>738</v>
      </c>
      <c r="B97" s="143" t="s">
        <v>722</v>
      </c>
      <c r="C97" s="143" t="s">
        <v>663</v>
      </c>
      <c r="D97" s="143">
        <v>4366</v>
      </c>
      <c r="E97" s="137">
        <v>0.1090909</v>
      </c>
      <c r="F97" s="137">
        <v>0.5573034</v>
      </c>
      <c r="G97" s="271">
        <v>0.66639429999999999</v>
      </c>
      <c r="H97" s="137" t="s">
        <v>2487</v>
      </c>
      <c r="I97" s="137">
        <v>0.2</v>
      </c>
      <c r="J97" s="137">
        <v>0.8</v>
      </c>
      <c r="K97" s="137">
        <v>1</v>
      </c>
      <c r="M97" s="143" t="s">
        <v>738</v>
      </c>
      <c r="N97" s="143" t="s">
        <v>722</v>
      </c>
      <c r="O97" s="143" t="s">
        <v>663</v>
      </c>
      <c r="P97" s="143">
        <v>4366</v>
      </c>
      <c r="Q97" s="137" t="s">
        <v>2487</v>
      </c>
      <c r="R97" s="137" t="s">
        <v>2486</v>
      </c>
      <c r="S97" s="137" t="s">
        <v>2486</v>
      </c>
      <c r="T97" s="137" t="s">
        <v>2486</v>
      </c>
      <c r="U97" s="137" t="s">
        <v>2487</v>
      </c>
      <c r="V97" s="137" t="s">
        <v>2487</v>
      </c>
      <c r="W97" s="137" t="s">
        <v>2486</v>
      </c>
      <c r="X97" s="137" t="s">
        <v>2486</v>
      </c>
      <c r="Y97" s="137" t="s">
        <v>2486</v>
      </c>
      <c r="Z97" s="137" t="s">
        <v>2486</v>
      </c>
      <c r="AA97" s="137" t="s">
        <v>2486</v>
      </c>
      <c r="AB97" s="137">
        <v>0.72727269999999999</v>
      </c>
      <c r="AD97" s="143" t="s">
        <v>738</v>
      </c>
      <c r="AE97" s="143" t="s">
        <v>722</v>
      </c>
      <c r="AF97" s="143" t="s">
        <v>663</v>
      </c>
      <c r="AG97" s="143">
        <v>4366</v>
      </c>
      <c r="AO97" s="190">
        <v>0.97499999999999998</v>
      </c>
      <c r="AP97" s="190">
        <v>0.97499999999999998</v>
      </c>
      <c r="AQ97" s="78" t="s">
        <v>2486</v>
      </c>
      <c r="AS97" s="143" t="s">
        <v>738</v>
      </c>
      <c r="AT97" s="143" t="s">
        <v>722</v>
      </c>
      <c r="AU97" s="143" t="s">
        <v>663</v>
      </c>
      <c r="AV97" s="143">
        <v>4366</v>
      </c>
      <c r="AW97" s="137" t="s">
        <v>2838</v>
      </c>
      <c r="AX97" s="137" t="s">
        <v>2838</v>
      </c>
      <c r="AY97" s="137" t="s">
        <v>2838</v>
      </c>
      <c r="AZ97" s="137" t="s">
        <v>2838</v>
      </c>
      <c r="BA97" s="137" t="s">
        <v>2838</v>
      </c>
      <c r="BB97" s="137" t="s">
        <v>2838</v>
      </c>
      <c r="BC97" s="137" t="s">
        <v>2838</v>
      </c>
      <c r="BD97" s="137" t="s">
        <v>2838</v>
      </c>
      <c r="BE97" s="137" t="s">
        <v>2838</v>
      </c>
      <c r="BF97" s="137" t="s">
        <v>2838</v>
      </c>
      <c r="BI97" s="137" t="s">
        <v>2486</v>
      </c>
      <c r="BJ97" s="137" t="s">
        <v>2486</v>
      </c>
      <c r="BK97" s="190" t="s">
        <v>2486</v>
      </c>
      <c r="BL97" s="190">
        <v>1</v>
      </c>
      <c r="BM97" s="78" t="s">
        <v>2486</v>
      </c>
      <c r="BO97" s="143" t="s">
        <v>738</v>
      </c>
      <c r="BP97" s="143" t="s">
        <v>722</v>
      </c>
      <c r="BQ97" s="143" t="s">
        <v>663</v>
      </c>
      <c r="BR97" s="143">
        <v>4366</v>
      </c>
      <c r="BY97" s="78" t="s">
        <v>2838</v>
      </c>
    </row>
    <row r="98" spans="1:77" x14ac:dyDescent="0.35">
      <c r="A98" s="143" t="s">
        <v>738</v>
      </c>
      <c r="B98" s="143" t="s">
        <v>722</v>
      </c>
      <c r="C98" s="143" t="s">
        <v>663</v>
      </c>
      <c r="D98" s="143">
        <v>4367</v>
      </c>
      <c r="E98" s="137">
        <v>0.2</v>
      </c>
      <c r="F98" s="137">
        <v>0.73789579999999999</v>
      </c>
      <c r="G98" s="271">
        <v>0.93789579999999995</v>
      </c>
      <c r="H98" s="137" t="s">
        <v>2486</v>
      </c>
      <c r="I98" s="137">
        <v>0.2</v>
      </c>
      <c r="J98" s="137">
        <v>4.3445699999999997E-2</v>
      </c>
      <c r="K98" s="137">
        <v>0.24344569999999999</v>
      </c>
      <c r="M98" s="143" t="s">
        <v>738</v>
      </c>
      <c r="N98" s="143" t="s">
        <v>722</v>
      </c>
      <c r="O98" s="143" t="s">
        <v>663</v>
      </c>
      <c r="P98" s="143">
        <v>4367</v>
      </c>
      <c r="Q98" s="137" t="s">
        <v>2487</v>
      </c>
      <c r="R98" s="137" t="s">
        <v>2486</v>
      </c>
      <c r="S98" s="137" t="s">
        <v>2486</v>
      </c>
      <c r="T98" s="137" t="s">
        <v>2486</v>
      </c>
      <c r="U98" s="137" t="s">
        <v>2487</v>
      </c>
      <c r="V98" s="137" t="s">
        <v>2487</v>
      </c>
      <c r="W98" s="137" t="s">
        <v>2487</v>
      </c>
      <c r="X98" s="137" t="s">
        <v>2487</v>
      </c>
      <c r="Y98" s="137" t="s">
        <v>2486</v>
      </c>
      <c r="Z98" s="137" t="s">
        <v>2486</v>
      </c>
      <c r="AA98" s="137" t="s">
        <v>2486</v>
      </c>
      <c r="AB98" s="137">
        <v>0.54545460000000001</v>
      </c>
      <c r="AD98" s="143" t="s">
        <v>738</v>
      </c>
      <c r="AE98" s="143" t="s">
        <v>722</v>
      </c>
      <c r="AF98" s="143" t="s">
        <v>663</v>
      </c>
      <c r="AG98" s="143">
        <v>4367</v>
      </c>
      <c r="AO98" s="190">
        <v>0.91249999999999998</v>
      </c>
      <c r="AP98" s="190">
        <v>0.91249999999999998</v>
      </c>
      <c r="AQ98" s="78" t="s">
        <v>2487</v>
      </c>
      <c r="AS98" s="143" t="s">
        <v>738</v>
      </c>
      <c r="AT98" s="143" t="s">
        <v>722</v>
      </c>
      <c r="AU98" s="143" t="s">
        <v>663</v>
      </c>
      <c r="AV98" s="143">
        <v>4367</v>
      </c>
      <c r="AW98" s="137" t="s">
        <v>2838</v>
      </c>
      <c r="AX98" s="137" t="s">
        <v>2838</v>
      </c>
      <c r="AY98" s="137" t="s">
        <v>2838</v>
      </c>
      <c r="AZ98" s="137" t="s">
        <v>2838</v>
      </c>
      <c r="BA98" s="137" t="s">
        <v>2838</v>
      </c>
      <c r="BB98" s="137" t="s">
        <v>2838</v>
      </c>
      <c r="BC98" s="137" t="s">
        <v>2838</v>
      </c>
      <c r="BD98" s="137" t="s">
        <v>2838</v>
      </c>
      <c r="BE98" s="137" t="s">
        <v>2838</v>
      </c>
      <c r="BF98" s="137" t="s">
        <v>2838</v>
      </c>
      <c r="BI98" s="137" t="s">
        <v>2487</v>
      </c>
      <c r="BJ98" s="137" t="s">
        <v>2486</v>
      </c>
      <c r="BK98" s="190" t="s">
        <v>2486</v>
      </c>
      <c r="BL98" s="190">
        <v>0.66666669999999995</v>
      </c>
      <c r="BM98" s="78" t="s">
        <v>2487</v>
      </c>
      <c r="BO98" s="143" t="s">
        <v>738</v>
      </c>
      <c r="BP98" s="143" t="s">
        <v>722</v>
      </c>
      <c r="BQ98" s="143" t="s">
        <v>663</v>
      </c>
      <c r="BR98" s="143">
        <v>4367</v>
      </c>
      <c r="BY98" s="78" t="s">
        <v>2838</v>
      </c>
    </row>
    <row r="99" spans="1:77" x14ac:dyDescent="0.35">
      <c r="A99" s="143" t="s">
        <v>738</v>
      </c>
      <c r="B99" s="143" t="s">
        <v>722</v>
      </c>
      <c r="C99" s="143" t="s">
        <v>663</v>
      </c>
      <c r="D99" s="143">
        <v>4369</v>
      </c>
      <c r="E99" s="137">
        <v>0.14545449999999999</v>
      </c>
      <c r="F99" s="137">
        <v>0.64800820000000003</v>
      </c>
      <c r="G99" s="271">
        <v>0.79346269999999997</v>
      </c>
      <c r="H99" s="137" t="s">
        <v>2487</v>
      </c>
      <c r="I99" s="137">
        <v>0.2</v>
      </c>
      <c r="J99" s="137">
        <v>0</v>
      </c>
      <c r="K99" s="137">
        <v>0.2</v>
      </c>
      <c r="M99" s="143" t="s">
        <v>738</v>
      </c>
      <c r="N99" s="143" t="s">
        <v>722</v>
      </c>
      <c r="O99" s="143" t="s">
        <v>663</v>
      </c>
      <c r="P99" s="143">
        <v>4369</v>
      </c>
      <c r="Q99" s="137" t="s">
        <v>2487</v>
      </c>
      <c r="R99" s="137" t="s">
        <v>2486</v>
      </c>
      <c r="S99" s="137" t="s">
        <v>2486</v>
      </c>
      <c r="T99" s="137" t="s">
        <v>2486</v>
      </c>
      <c r="U99" s="137" t="s">
        <v>2487</v>
      </c>
      <c r="V99" s="137" t="s">
        <v>2487</v>
      </c>
      <c r="W99" s="137" t="s">
        <v>2486</v>
      </c>
      <c r="X99" s="137" t="s">
        <v>2487</v>
      </c>
      <c r="Y99" s="137" t="s">
        <v>2486</v>
      </c>
      <c r="Z99" s="137" t="s">
        <v>2486</v>
      </c>
      <c r="AA99" s="137" t="s">
        <v>2487</v>
      </c>
      <c r="AB99" s="137">
        <v>0.54545460000000001</v>
      </c>
      <c r="AD99" s="143" t="s">
        <v>738</v>
      </c>
      <c r="AE99" s="143" t="s">
        <v>722</v>
      </c>
      <c r="AF99" s="143" t="s">
        <v>663</v>
      </c>
      <c r="AG99" s="143">
        <v>4369</v>
      </c>
      <c r="AO99" s="190">
        <v>0.96250000000000002</v>
      </c>
      <c r="AP99" s="190">
        <v>0.96250000000000002</v>
      </c>
      <c r="AQ99" s="78" t="s">
        <v>2486</v>
      </c>
      <c r="AS99" s="143" t="s">
        <v>738</v>
      </c>
      <c r="AT99" s="143" t="s">
        <v>722</v>
      </c>
      <c r="AU99" s="143" t="s">
        <v>663</v>
      </c>
      <c r="AV99" s="143">
        <v>4369</v>
      </c>
      <c r="AW99" s="137" t="s">
        <v>2838</v>
      </c>
      <c r="AX99" s="137" t="s">
        <v>2838</v>
      </c>
      <c r="AY99" s="137" t="s">
        <v>2838</v>
      </c>
      <c r="AZ99" s="137" t="s">
        <v>2838</v>
      </c>
      <c r="BA99" s="137" t="s">
        <v>2838</v>
      </c>
      <c r="BB99" s="137" t="s">
        <v>2838</v>
      </c>
      <c r="BC99" s="137" t="s">
        <v>2838</v>
      </c>
      <c r="BD99" s="137" t="s">
        <v>2838</v>
      </c>
      <c r="BE99" s="137" t="s">
        <v>2838</v>
      </c>
      <c r="BF99" s="137" t="s">
        <v>2838</v>
      </c>
      <c r="BI99" s="137" t="s">
        <v>2486</v>
      </c>
      <c r="BJ99" s="137" t="s">
        <v>2486</v>
      </c>
      <c r="BK99" s="190" t="s">
        <v>2487</v>
      </c>
      <c r="BL99" s="190">
        <v>0.66666669999999995</v>
      </c>
      <c r="BM99" s="78" t="s">
        <v>2487</v>
      </c>
      <c r="BO99" s="143" t="s">
        <v>738</v>
      </c>
      <c r="BP99" s="143" t="s">
        <v>722</v>
      </c>
      <c r="BQ99" s="143" t="s">
        <v>663</v>
      </c>
      <c r="BR99" s="143">
        <v>4369</v>
      </c>
      <c r="BY99" s="78" t="s">
        <v>2838</v>
      </c>
    </row>
    <row r="100" spans="1:77" x14ac:dyDescent="0.35">
      <c r="A100" s="143" t="s">
        <v>738</v>
      </c>
      <c r="B100" s="143" t="s">
        <v>722</v>
      </c>
      <c r="C100" s="143" t="s">
        <v>663</v>
      </c>
      <c r="D100" s="143">
        <v>4449</v>
      </c>
      <c r="E100" s="137">
        <v>0.16363639999999999</v>
      </c>
      <c r="F100" s="137">
        <v>0.43391220000000003</v>
      </c>
      <c r="G100" s="271">
        <v>0.59754850000000004</v>
      </c>
      <c r="H100" s="137" t="s">
        <v>2487</v>
      </c>
      <c r="I100" s="137">
        <v>0.1666667</v>
      </c>
      <c r="J100" s="137">
        <v>0.53333339999999996</v>
      </c>
      <c r="K100" s="137">
        <v>0.7</v>
      </c>
      <c r="M100" s="143" t="s">
        <v>738</v>
      </c>
      <c r="N100" s="143" t="s">
        <v>722</v>
      </c>
      <c r="O100" s="143" t="s">
        <v>663</v>
      </c>
      <c r="P100" s="143">
        <v>4449</v>
      </c>
      <c r="Q100" s="137" t="s">
        <v>2486</v>
      </c>
      <c r="R100" s="137" t="s">
        <v>2487</v>
      </c>
      <c r="S100" s="137" t="s">
        <v>2486</v>
      </c>
      <c r="T100" s="137" t="s">
        <v>2486</v>
      </c>
      <c r="U100" s="137" t="s">
        <v>2487</v>
      </c>
      <c r="V100" s="137" t="s">
        <v>2487</v>
      </c>
      <c r="W100" s="137" t="s">
        <v>2486</v>
      </c>
      <c r="X100" s="137" t="s">
        <v>2487</v>
      </c>
      <c r="Y100" s="137" t="s">
        <v>2486</v>
      </c>
      <c r="Z100" s="137" t="s">
        <v>2486</v>
      </c>
      <c r="AA100" s="137" t="s">
        <v>2487</v>
      </c>
      <c r="AB100" s="137">
        <v>0.54545460000000001</v>
      </c>
      <c r="AD100" s="143" t="s">
        <v>738</v>
      </c>
      <c r="AE100" s="143" t="s">
        <v>722</v>
      </c>
      <c r="AF100" s="143" t="s">
        <v>663</v>
      </c>
      <c r="AG100" s="143">
        <v>4449</v>
      </c>
      <c r="AO100" s="190">
        <v>0.97499999999999998</v>
      </c>
      <c r="AP100" s="190">
        <v>0.97499999999999998</v>
      </c>
      <c r="AQ100" s="78" t="s">
        <v>2486</v>
      </c>
      <c r="AS100" s="143" t="s">
        <v>738</v>
      </c>
      <c r="AT100" s="143" t="s">
        <v>722</v>
      </c>
      <c r="AU100" s="143" t="s">
        <v>663</v>
      </c>
      <c r="AV100" s="143">
        <v>4449</v>
      </c>
      <c r="AW100" s="137" t="s">
        <v>2838</v>
      </c>
      <c r="AX100" s="137" t="s">
        <v>2838</v>
      </c>
      <c r="AY100" s="137" t="s">
        <v>2838</v>
      </c>
      <c r="AZ100" s="137" t="s">
        <v>2838</v>
      </c>
      <c r="BA100" s="137" t="s">
        <v>2838</v>
      </c>
      <c r="BB100" s="137" t="s">
        <v>2838</v>
      </c>
      <c r="BC100" s="137" t="s">
        <v>2838</v>
      </c>
      <c r="BD100" s="137" t="s">
        <v>2838</v>
      </c>
      <c r="BE100" s="137" t="s">
        <v>2838</v>
      </c>
      <c r="BF100" s="137" t="s">
        <v>2838</v>
      </c>
      <c r="BI100" s="137" t="s">
        <v>2486</v>
      </c>
      <c r="BJ100" s="137" t="s">
        <v>2486</v>
      </c>
      <c r="BK100" s="190" t="s">
        <v>2487</v>
      </c>
      <c r="BL100" s="190">
        <v>0.66666669999999995</v>
      </c>
      <c r="BM100" s="78" t="s">
        <v>2487</v>
      </c>
      <c r="BO100" s="143" t="s">
        <v>738</v>
      </c>
      <c r="BP100" s="143" t="s">
        <v>722</v>
      </c>
      <c r="BQ100" s="143" t="s">
        <v>663</v>
      </c>
      <c r="BR100" s="143">
        <v>4449</v>
      </c>
      <c r="BY100" s="78" t="s">
        <v>2838</v>
      </c>
    </row>
    <row r="101" spans="1:77" x14ac:dyDescent="0.35">
      <c r="A101" s="143" t="s">
        <v>739</v>
      </c>
      <c r="B101" s="143" t="s">
        <v>720</v>
      </c>
      <c r="C101" s="143" t="s">
        <v>663</v>
      </c>
      <c r="D101" s="143">
        <v>2746</v>
      </c>
      <c r="E101" s="137">
        <v>0.12727269999999999</v>
      </c>
      <c r="F101" s="137">
        <v>0.58181819999999995</v>
      </c>
      <c r="G101" s="271">
        <v>0.70909089999999997</v>
      </c>
      <c r="H101" s="137" t="s">
        <v>2487</v>
      </c>
      <c r="I101" s="137">
        <v>0.1833333</v>
      </c>
      <c r="J101" s="137">
        <v>0.73333329999999997</v>
      </c>
      <c r="K101" s="137">
        <v>0.91666669999999995</v>
      </c>
      <c r="M101" s="143" t="s">
        <v>739</v>
      </c>
      <c r="N101" s="143" t="s">
        <v>720</v>
      </c>
      <c r="O101" s="143" t="s">
        <v>663</v>
      </c>
      <c r="P101" s="143">
        <v>2746</v>
      </c>
      <c r="Q101" s="137" t="s">
        <v>2487</v>
      </c>
      <c r="R101" s="137" t="s">
        <v>2487</v>
      </c>
      <c r="S101" s="137" t="s">
        <v>2486</v>
      </c>
      <c r="T101" s="137" t="s">
        <v>2486</v>
      </c>
      <c r="U101" s="137" t="s">
        <v>2487</v>
      </c>
      <c r="V101" s="137" t="s">
        <v>2487</v>
      </c>
      <c r="W101" s="137" t="s">
        <v>2487</v>
      </c>
      <c r="X101" s="137" t="s">
        <v>2486</v>
      </c>
      <c r="Y101" s="137" t="s">
        <v>2486</v>
      </c>
      <c r="Z101" s="137" t="s">
        <v>2486</v>
      </c>
      <c r="AA101" s="137" t="s">
        <v>2486</v>
      </c>
      <c r="AB101" s="137">
        <v>0.54545460000000001</v>
      </c>
      <c r="AD101" s="143" t="s">
        <v>739</v>
      </c>
      <c r="AE101" s="143" t="s">
        <v>720</v>
      </c>
      <c r="AF101" s="143" t="s">
        <v>663</v>
      </c>
      <c r="AG101" s="143">
        <v>2746</v>
      </c>
      <c r="AO101" s="190">
        <v>0.92500000000000004</v>
      </c>
      <c r="AP101" s="190">
        <v>0.92500000000000004</v>
      </c>
      <c r="AQ101" s="78" t="s">
        <v>2487</v>
      </c>
      <c r="AS101" s="143" t="s">
        <v>739</v>
      </c>
      <c r="AT101" s="143" t="s">
        <v>720</v>
      </c>
      <c r="AU101" s="143" t="s">
        <v>663</v>
      </c>
      <c r="AV101" s="143">
        <v>2746</v>
      </c>
      <c r="AW101" s="137" t="s">
        <v>2838</v>
      </c>
      <c r="AX101" s="137" t="s">
        <v>2838</v>
      </c>
      <c r="AY101" s="137" t="s">
        <v>2838</v>
      </c>
      <c r="AZ101" s="137" t="s">
        <v>2838</v>
      </c>
      <c r="BA101" s="137" t="s">
        <v>2838</v>
      </c>
      <c r="BB101" s="137" t="s">
        <v>2838</v>
      </c>
      <c r="BC101" s="137" t="s">
        <v>2838</v>
      </c>
      <c r="BD101" s="137" t="s">
        <v>2838</v>
      </c>
      <c r="BE101" s="137" t="s">
        <v>2838</v>
      </c>
      <c r="BF101" s="137" t="s">
        <v>2838</v>
      </c>
      <c r="BI101" s="137" t="s">
        <v>2486</v>
      </c>
      <c r="BJ101" s="137" t="s">
        <v>2487</v>
      </c>
      <c r="BK101" s="190" t="s">
        <v>2487</v>
      </c>
      <c r="BL101" s="190">
        <v>0.3333333</v>
      </c>
      <c r="BM101" s="78" t="s">
        <v>2487</v>
      </c>
      <c r="BO101" s="143" t="s">
        <v>739</v>
      </c>
      <c r="BP101" s="143" t="s">
        <v>720</v>
      </c>
      <c r="BQ101" s="143" t="s">
        <v>663</v>
      </c>
      <c r="BR101" s="143">
        <v>2746</v>
      </c>
      <c r="BY101" s="78" t="s">
        <v>2838</v>
      </c>
    </row>
    <row r="102" spans="1:77" x14ac:dyDescent="0.35">
      <c r="A102" s="143" t="s">
        <v>739</v>
      </c>
      <c r="B102" s="143" t="s">
        <v>720</v>
      </c>
      <c r="C102" s="143" t="s">
        <v>663</v>
      </c>
      <c r="D102" s="143">
        <v>4161</v>
      </c>
      <c r="E102" s="137">
        <v>0.14545449999999999</v>
      </c>
      <c r="F102" s="137">
        <v>0.7248213</v>
      </c>
      <c r="G102" s="271">
        <v>0.87027580000000004</v>
      </c>
      <c r="H102" s="137" t="s">
        <v>2487</v>
      </c>
      <c r="I102" s="137">
        <v>0.2</v>
      </c>
      <c r="J102" s="137">
        <v>0.71086139999999998</v>
      </c>
      <c r="K102" s="137">
        <v>0.91086140000000004</v>
      </c>
      <c r="M102" s="143" t="s">
        <v>739</v>
      </c>
      <c r="N102" s="143" t="s">
        <v>720</v>
      </c>
      <c r="O102" s="143" t="s">
        <v>663</v>
      </c>
      <c r="P102" s="143">
        <v>4161</v>
      </c>
      <c r="Q102" s="137" t="s">
        <v>2486</v>
      </c>
      <c r="R102" s="137" t="s">
        <v>2486</v>
      </c>
      <c r="S102" s="137" t="s">
        <v>2487</v>
      </c>
      <c r="T102" s="137" t="s">
        <v>2486</v>
      </c>
      <c r="U102" s="137" t="s">
        <v>2486</v>
      </c>
      <c r="V102" s="137" t="s">
        <v>2486</v>
      </c>
      <c r="W102" s="137" t="s">
        <v>2486</v>
      </c>
      <c r="X102" s="137" t="s">
        <v>2486</v>
      </c>
      <c r="Y102" s="137" t="s">
        <v>2486</v>
      </c>
      <c r="Z102" s="137" t="s">
        <v>2486</v>
      </c>
      <c r="AA102" s="137" t="s">
        <v>2486</v>
      </c>
      <c r="AB102" s="137">
        <v>0.90909090000000004</v>
      </c>
      <c r="AD102" s="143" t="s">
        <v>739</v>
      </c>
      <c r="AE102" s="143" t="s">
        <v>720</v>
      </c>
      <c r="AF102" s="143" t="s">
        <v>663</v>
      </c>
      <c r="AG102" s="143">
        <v>4161</v>
      </c>
      <c r="AO102" s="190">
        <v>0.9375</v>
      </c>
      <c r="AP102" s="190">
        <v>0.9375</v>
      </c>
      <c r="AQ102" s="78" t="s">
        <v>2487</v>
      </c>
      <c r="AS102" s="143" t="s">
        <v>739</v>
      </c>
      <c r="AT102" s="143" t="s">
        <v>720</v>
      </c>
      <c r="AU102" s="143" t="s">
        <v>663</v>
      </c>
      <c r="AV102" s="143">
        <v>4161</v>
      </c>
      <c r="AW102" s="137" t="s">
        <v>2838</v>
      </c>
      <c r="AX102" s="137" t="s">
        <v>2838</v>
      </c>
      <c r="AY102" s="137" t="s">
        <v>2838</v>
      </c>
      <c r="AZ102" s="137" t="s">
        <v>2838</v>
      </c>
      <c r="BA102" s="137" t="s">
        <v>2838</v>
      </c>
      <c r="BB102" s="137" t="s">
        <v>2838</v>
      </c>
      <c r="BC102" s="137" t="s">
        <v>2838</v>
      </c>
      <c r="BD102" s="137" t="s">
        <v>2838</v>
      </c>
      <c r="BE102" s="137" t="s">
        <v>2838</v>
      </c>
      <c r="BF102" s="137" t="s">
        <v>2838</v>
      </c>
      <c r="BI102" s="137" t="s">
        <v>2486</v>
      </c>
      <c r="BJ102" s="137" t="s">
        <v>2486</v>
      </c>
      <c r="BK102" s="190" t="s">
        <v>2486</v>
      </c>
      <c r="BL102" s="190">
        <v>1</v>
      </c>
      <c r="BM102" s="78" t="s">
        <v>2486</v>
      </c>
      <c r="BO102" s="143" t="s">
        <v>739</v>
      </c>
      <c r="BP102" s="143" t="s">
        <v>720</v>
      </c>
      <c r="BQ102" s="143" t="s">
        <v>663</v>
      </c>
      <c r="BR102" s="143">
        <v>4161</v>
      </c>
      <c r="BY102" s="78" t="s">
        <v>2838</v>
      </c>
    </row>
    <row r="103" spans="1:77" x14ac:dyDescent="0.35">
      <c r="A103" s="143" t="s">
        <v>2845</v>
      </c>
      <c r="B103" s="143" t="s">
        <v>734</v>
      </c>
      <c r="C103" s="143" t="s">
        <v>663</v>
      </c>
      <c r="D103" s="143">
        <v>3639</v>
      </c>
      <c r="E103" s="137"/>
      <c r="F103" s="137">
        <v>0.6545455</v>
      </c>
      <c r="G103" s="271">
        <v>0.81818179999999996</v>
      </c>
      <c r="H103" s="137" t="s">
        <v>2487</v>
      </c>
      <c r="I103" s="137"/>
      <c r="J103" s="137">
        <v>0.6</v>
      </c>
      <c r="K103" s="137">
        <v>0.75</v>
      </c>
      <c r="M103" s="143" t="s">
        <v>2845</v>
      </c>
      <c r="N103" s="143" t="s">
        <v>734</v>
      </c>
      <c r="O103" s="143" t="s">
        <v>663</v>
      </c>
      <c r="P103" s="143">
        <v>3639</v>
      </c>
      <c r="Q103" s="137" t="s">
        <v>2838</v>
      </c>
      <c r="R103" s="137" t="s">
        <v>2838</v>
      </c>
      <c r="S103" s="137" t="s">
        <v>2838</v>
      </c>
      <c r="T103" s="137" t="s">
        <v>2838</v>
      </c>
      <c r="U103" s="137" t="s">
        <v>2838</v>
      </c>
      <c r="V103" s="137" t="s">
        <v>2838</v>
      </c>
      <c r="W103" s="137" t="s">
        <v>2838</v>
      </c>
      <c r="X103" s="137" t="s">
        <v>2838</v>
      </c>
      <c r="Y103" s="137" t="s">
        <v>2838</v>
      </c>
      <c r="Z103" s="137" t="s">
        <v>2838</v>
      </c>
      <c r="AA103" s="137" t="s">
        <v>2838</v>
      </c>
      <c r="AB103" s="137">
        <v>0.36363640000000003</v>
      </c>
      <c r="AD103" s="143" t="s">
        <v>2845</v>
      </c>
      <c r="AE103" s="143" t="s">
        <v>734</v>
      </c>
      <c r="AF103" s="143" t="s">
        <v>663</v>
      </c>
      <c r="AG103" s="143">
        <v>3639</v>
      </c>
      <c r="AQ103" s="78" t="s">
        <v>2838</v>
      </c>
      <c r="AS103" s="143" t="s">
        <v>2845</v>
      </c>
      <c r="AT103" s="143" t="s">
        <v>734</v>
      </c>
      <c r="AU103" s="143" t="s">
        <v>663</v>
      </c>
      <c r="AV103" s="143">
        <v>3639</v>
      </c>
      <c r="AW103" s="137" t="s">
        <v>2838</v>
      </c>
      <c r="AX103" s="137" t="s">
        <v>2838</v>
      </c>
      <c r="AY103" s="137" t="s">
        <v>2838</v>
      </c>
      <c r="AZ103" s="137" t="s">
        <v>2838</v>
      </c>
      <c r="BA103" s="137" t="s">
        <v>2838</v>
      </c>
      <c r="BB103" s="137" t="s">
        <v>2838</v>
      </c>
      <c r="BC103" s="137" t="s">
        <v>2838</v>
      </c>
      <c r="BD103" s="137" t="s">
        <v>2838</v>
      </c>
      <c r="BE103" s="137" t="s">
        <v>2838</v>
      </c>
      <c r="BF103" s="137" t="s">
        <v>2838</v>
      </c>
      <c r="BI103" s="137" t="s">
        <v>2838</v>
      </c>
      <c r="BJ103" s="137" t="s">
        <v>2838</v>
      </c>
      <c r="BK103" s="190" t="s">
        <v>2838</v>
      </c>
      <c r="BM103" s="78" t="s">
        <v>2838</v>
      </c>
      <c r="BO103" s="143" t="s">
        <v>2845</v>
      </c>
      <c r="BP103" s="143" t="s">
        <v>734</v>
      </c>
      <c r="BQ103" s="143" t="s">
        <v>663</v>
      </c>
      <c r="BR103" s="143">
        <v>3639</v>
      </c>
      <c r="BY103" s="78" t="s">
        <v>2838</v>
      </c>
    </row>
    <row r="104" spans="1:77" x14ac:dyDescent="0.35">
      <c r="A104" s="143" t="s">
        <v>2845</v>
      </c>
      <c r="B104" s="143" t="s">
        <v>734</v>
      </c>
      <c r="C104" s="143" t="s">
        <v>663</v>
      </c>
      <c r="D104" s="143">
        <v>4249</v>
      </c>
      <c r="E104" s="137"/>
      <c r="F104" s="137">
        <v>0.58181819999999995</v>
      </c>
      <c r="G104" s="271">
        <v>0.72727269999999999</v>
      </c>
      <c r="H104" s="137" t="s">
        <v>2487</v>
      </c>
      <c r="I104" s="137"/>
      <c r="J104" s="137">
        <v>0.4</v>
      </c>
      <c r="K104" s="137">
        <v>0.5</v>
      </c>
      <c r="M104" s="143" t="s">
        <v>2845</v>
      </c>
      <c r="N104" s="143" t="s">
        <v>734</v>
      </c>
      <c r="O104" s="143" t="s">
        <v>663</v>
      </c>
      <c r="P104" s="143">
        <v>4249</v>
      </c>
      <c r="Q104" s="137" t="s">
        <v>2838</v>
      </c>
      <c r="R104" s="137" t="s">
        <v>2838</v>
      </c>
      <c r="S104" s="137" t="s">
        <v>2838</v>
      </c>
      <c r="T104" s="137" t="s">
        <v>2838</v>
      </c>
      <c r="U104" s="137" t="s">
        <v>2838</v>
      </c>
      <c r="V104" s="137" t="s">
        <v>2838</v>
      </c>
      <c r="W104" s="137" t="s">
        <v>2838</v>
      </c>
      <c r="X104" s="137" t="s">
        <v>2838</v>
      </c>
      <c r="Y104" s="137" t="s">
        <v>2838</v>
      </c>
      <c r="Z104" s="137" t="s">
        <v>2838</v>
      </c>
      <c r="AA104" s="137" t="s">
        <v>2838</v>
      </c>
      <c r="AB104" s="137">
        <v>0.72727269999999999</v>
      </c>
      <c r="AD104" s="143" t="s">
        <v>2845</v>
      </c>
      <c r="AE104" s="143" t="s">
        <v>734</v>
      </c>
      <c r="AF104" s="143" t="s">
        <v>663</v>
      </c>
      <c r="AG104" s="143">
        <v>4249</v>
      </c>
      <c r="AQ104" s="78" t="s">
        <v>2838</v>
      </c>
      <c r="AS104" s="143" t="s">
        <v>2845</v>
      </c>
      <c r="AT104" s="143" t="s">
        <v>734</v>
      </c>
      <c r="AU104" s="143" t="s">
        <v>663</v>
      </c>
      <c r="AV104" s="143">
        <v>4249</v>
      </c>
      <c r="AW104" s="137" t="s">
        <v>2838</v>
      </c>
      <c r="AX104" s="137" t="s">
        <v>2838</v>
      </c>
      <c r="AY104" s="137" t="s">
        <v>2838</v>
      </c>
      <c r="AZ104" s="137" t="s">
        <v>2838</v>
      </c>
      <c r="BA104" s="137" t="s">
        <v>2838</v>
      </c>
      <c r="BB104" s="137" t="s">
        <v>2838</v>
      </c>
      <c r="BC104" s="137" t="s">
        <v>2838</v>
      </c>
      <c r="BD104" s="137" t="s">
        <v>2838</v>
      </c>
      <c r="BE104" s="137" t="s">
        <v>2838</v>
      </c>
      <c r="BF104" s="137" t="s">
        <v>2838</v>
      </c>
      <c r="BI104" s="137" t="s">
        <v>2838</v>
      </c>
      <c r="BJ104" s="137" t="s">
        <v>2838</v>
      </c>
      <c r="BK104" s="190" t="s">
        <v>2838</v>
      </c>
      <c r="BM104" s="78" t="s">
        <v>2838</v>
      </c>
      <c r="BO104" s="143" t="s">
        <v>2845</v>
      </c>
      <c r="BP104" s="143" t="s">
        <v>734</v>
      </c>
      <c r="BQ104" s="143" t="s">
        <v>663</v>
      </c>
      <c r="BR104" s="143">
        <v>4249</v>
      </c>
      <c r="BY104" s="78" t="s">
        <v>2838</v>
      </c>
    </row>
    <row r="105" spans="1:77" x14ac:dyDescent="0.35">
      <c r="A105" s="143" t="s">
        <v>2845</v>
      </c>
      <c r="B105" s="143" t="s">
        <v>734</v>
      </c>
      <c r="C105" s="143" t="s">
        <v>663</v>
      </c>
      <c r="D105" s="143">
        <v>4641</v>
      </c>
      <c r="E105" s="137"/>
      <c r="F105" s="137">
        <v>0.60484850000000001</v>
      </c>
      <c r="G105" s="271">
        <v>0.75606059999999997</v>
      </c>
      <c r="H105" s="137" t="s">
        <v>2487</v>
      </c>
      <c r="I105" s="137"/>
      <c r="J105" s="137">
        <v>0.53333339999999996</v>
      </c>
      <c r="K105" s="137">
        <v>0.66666669999999995</v>
      </c>
      <c r="M105" s="143" t="s">
        <v>2845</v>
      </c>
      <c r="N105" s="143" t="s">
        <v>734</v>
      </c>
      <c r="O105" s="143" t="s">
        <v>663</v>
      </c>
      <c r="P105" s="143">
        <v>4641</v>
      </c>
      <c r="Q105" s="137" t="s">
        <v>2838</v>
      </c>
      <c r="R105" s="137" t="s">
        <v>2838</v>
      </c>
      <c r="S105" s="137" t="s">
        <v>2838</v>
      </c>
      <c r="T105" s="137" t="s">
        <v>2838</v>
      </c>
      <c r="U105" s="137" t="s">
        <v>2838</v>
      </c>
      <c r="V105" s="137" t="s">
        <v>2838</v>
      </c>
      <c r="W105" s="137" t="s">
        <v>2838</v>
      </c>
      <c r="X105" s="137" t="s">
        <v>2838</v>
      </c>
      <c r="Y105" s="137" t="s">
        <v>2838</v>
      </c>
      <c r="Z105" s="137" t="s">
        <v>2838</v>
      </c>
      <c r="AA105" s="137" t="s">
        <v>2838</v>
      </c>
      <c r="AB105" s="137">
        <v>0.72727269999999999</v>
      </c>
      <c r="AD105" s="143" t="s">
        <v>2845</v>
      </c>
      <c r="AE105" s="143" t="s">
        <v>734</v>
      </c>
      <c r="AF105" s="143" t="s">
        <v>663</v>
      </c>
      <c r="AG105" s="143">
        <v>4641</v>
      </c>
      <c r="AQ105" s="78" t="s">
        <v>2838</v>
      </c>
      <c r="AS105" s="143" t="s">
        <v>2845</v>
      </c>
      <c r="AT105" s="143" t="s">
        <v>734</v>
      </c>
      <c r="AU105" s="143" t="s">
        <v>663</v>
      </c>
      <c r="AV105" s="143">
        <v>4641</v>
      </c>
      <c r="AW105" s="137" t="s">
        <v>2838</v>
      </c>
      <c r="AX105" s="137" t="s">
        <v>2838</v>
      </c>
      <c r="AY105" s="137" t="s">
        <v>2838</v>
      </c>
      <c r="AZ105" s="137" t="s">
        <v>2838</v>
      </c>
      <c r="BA105" s="137" t="s">
        <v>2838</v>
      </c>
      <c r="BB105" s="137" t="s">
        <v>2838</v>
      </c>
      <c r="BC105" s="137" t="s">
        <v>2838</v>
      </c>
      <c r="BD105" s="137" t="s">
        <v>2838</v>
      </c>
      <c r="BE105" s="137" t="s">
        <v>2838</v>
      </c>
      <c r="BF105" s="137" t="s">
        <v>2838</v>
      </c>
      <c r="BI105" s="137" t="s">
        <v>2838</v>
      </c>
      <c r="BJ105" s="137" t="s">
        <v>2838</v>
      </c>
      <c r="BK105" s="190" t="s">
        <v>2838</v>
      </c>
      <c r="BM105" s="78" t="s">
        <v>2838</v>
      </c>
      <c r="BO105" s="143" t="s">
        <v>2845</v>
      </c>
      <c r="BP105" s="143" t="s">
        <v>734</v>
      </c>
      <c r="BQ105" s="143" t="s">
        <v>663</v>
      </c>
      <c r="BR105" s="143">
        <v>4641</v>
      </c>
      <c r="BY105" s="78" t="s">
        <v>2838</v>
      </c>
    </row>
    <row r="106" spans="1:77" x14ac:dyDescent="0.35">
      <c r="A106" s="143" t="s">
        <v>2845</v>
      </c>
      <c r="B106" s="143" t="s">
        <v>734</v>
      </c>
      <c r="C106" s="143" t="s">
        <v>663</v>
      </c>
      <c r="D106" s="143">
        <v>4642</v>
      </c>
      <c r="E106" s="137"/>
      <c r="F106" s="137">
        <v>0.54060609999999998</v>
      </c>
      <c r="G106" s="271">
        <v>0.67575759999999996</v>
      </c>
      <c r="H106" s="137" t="s">
        <v>2487</v>
      </c>
      <c r="I106" s="137"/>
      <c r="J106" s="137">
        <v>0</v>
      </c>
      <c r="K106" s="137">
        <v>0</v>
      </c>
      <c r="M106" s="143" t="s">
        <v>2845</v>
      </c>
      <c r="N106" s="143" t="s">
        <v>734</v>
      </c>
      <c r="O106" s="143" t="s">
        <v>663</v>
      </c>
      <c r="P106" s="143">
        <v>4642</v>
      </c>
      <c r="Q106" s="137" t="s">
        <v>2838</v>
      </c>
      <c r="R106" s="137" t="s">
        <v>2838</v>
      </c>
      <c r="S106" s="137" t="s">
        <v>2838</v>
      </c>
      <c r="T106" s="137" t="s">
        <v>2838</v>
      </c>
      <c r="U106" s="137" t="s">
        <v>2838</v>
      </c>
      <c r="V106" s="137" t="s">
        <v>2838</v>
      </c>
      <c r="W106" s="137" t="s">
        <v>2838</v>
      </c>
      <c r="X106" s="137" t="s">
        <v>2838</v>
      </c>
      <c r="Y106" s="137" t="s">
        <v>2838</v>
      </c>
      <c r="Z106" s="137" t="s">
        <v>2838</v>
      </c>
      <c r="AA106" s="137" t="s">
        <v>2838</v>
      </c>
      <c r="AB106" s="137">
        <v>0.81818179999999996</v>
      </c>
      <c r="AD106" s="143" t="s">
        <v>2845</v>
      </c>
      <c r="AE106" s="143" t="s">
        <v>734</v>
      </c>
      <c r="AF106" s="143" t="s">
        <v>663</v>
      </c>
      <c r="AG106" s="143">
        <v>4642</v>
      </c>
      <c r="AQ106" s="78" t="s">
        <v>2838</v>
      </c>
      <c r="AS106" s="143" t="s">
        <v>2845</v>
      </c>
      <c r="AT106" s="143" t="s">
        <v>734</v>
      </c>
      <c r="AU106" s="143" t="s">
        <v>663</v>
      </c>
      <c r="AV106" s="143">
        <v>4642</v>
      </c>
      <c r="AW106" s="137" t="s">
        <v>2838</v>
      </c>
      <c r="AX106" s="137" t="s">
        <v>2838</v>
      </c>
      <c r="AY106" s="137" t="s">
        <v>2838</v>
      </c>
      <c r="AZ106" s="137" t="s">
        <v>2838</v>
      </c>
      <c r="BA106" s="137" t="s">
        <v>2838</v>
      </c>
      <c r="BB106" s="137" t="s">
        <v>2838</v>
      </c>
      <c r="BC106" s="137" t="s">
        <v>2838</v>
      </c>
      <c r="BD106" s="137" t="s">
        <v>2838</v>
      </c>
      <c r="BE106" s="137" t="s">
        <v>2838</v>
      </c>
      <c r="BF106" s="137" t="s">
        <v>2838</v>
      </c>
      <c r="BI106" s="137" t="s">
        <v>2838</v>
      </c>
      <c r="BJ106" s="137" t="s">
        <v>2838</v>
      </c>
      <c r="BK106" s="190" t="s">
        <v>2838</v>
      </c>
      <c r="BM106" s="78" t="s">
        <v>2838</v>
      </c>
      <c r="BO106" s="143" t="s">
        <v>2845</v>
      </c>
      <c r="BP106" s="143" t="s">
        <v>734</v>
      </c>
      <c r="BQ106" s="143" t="s">
        <v>663</v>
      </c>
      <c r="BR106" s="143">
        <v>4642</v>
      </c>
      <c r="BY106" s="78" t="s">
        <v>2838</v>
      </c>
    </row>
    <row r="107" spans="1:77" x14ac:dyDescent="0.35">
      <c r="A107" s="143" t="s">
        <v>2845</v>
      </c>
      <c r="B107" s="143" t="s">
        <v>734</v>
      </c>
      <c r="C107" s="143" t="s">
        <v>663</v>
      </c>
      <c r="D107" s="143">
        <v>4645</v>
      </c>
      <c r="E107" s="137"/>
      <c r="F107" s="137">
        <v>0.44848490000000002</v>
      </c>
      <c r="G107" s="271">
        <v>0.5606061</v>
      </c>
      <c r="H107" s="137" t="s">
        <v>2487</v>
      </c>
      <c r="I107" s="137"/>
      <c r="J107" s="137">
        <v>1.1111000000000001E-3</v>
      </c>
      <c r="K107" s="137">
        <v>1.3889E-3</v>
      </c>
      <c r="M107" s="143" t="s">
        <v>2845</v>
      </c>
      <c r="N107" s="143" t="s">
        <v>734</v>
      </c>
      <c r="O107" s="143" t="s">
        <v>663</v>
      </c>
      <c r="P107" s="143">
        <v>4645</v>
      </c>
      <c r="Q107" s="137" t="s">
        <v>2838</v>
      </c>
      <c r="R107" s="137" t="s">
        <v>2838</v>
      </c>
      <c r="S107" s="137" t="s">
        <v>2838</v>
      </c>
      <c r="T107" s="137" t="s">
        <v>2838</v>
      </c>
      <c r="U107" s="137" t="s">
        <v>2838</v>
      </c>
      <c r="V107" s="137" t="s">
        <v>2838</v>
      </c>
      <c r="W107" s="137" t="s">
        <v>2838</v>
      </c>
      <c r="X107" s="137" t="s">
        <v>2838</v>
      </c>
      <c r="Y107" s="137" t="s">
        <v>2838</v>
      </c>
      <c r="Z107" s="137" t="s">
        <v>2838</v>
      </c>
      <c r="AA107" s="137" t="s">
        <v>2838</v>
      </c>
      <c r="AB107" s="137">
        <v>0.81818179999999996</v>
      </c>
      <c r="AD107" s="143" t="s">
        <v>2845</v>
      </c>
      <c r="AE107" s="143" t="s">
        <v>734</v>
      </c>
      <c r="AF107" s="143" t="s">
        <v>663</v>
      </c>
      <c r="AG107" s="143">
        <v>4645</v>
      </c>
      <c r="AQ107" s="78" t="s">
        <v>2838</v>
      </c>
      <c r="AS107" s="143" t="s">
        <v>2845</v>
      </c>
      <c r="AT107" s="143" t="s">
        <v>734</v>
      </c>
      <c r="AU107" s="143" t="s">
        <v>663</v>
      </c>
      <c r="AV107" s="143">
        <v>4645</v>
      </c>
      <c r="AW107" s="137" t="s">
        <v>2838</v>
      </c>
      <c r="AX107" s="137" t="s">
        <v>2838</v>
      </c>
      <c r="AY107" s="137" t="s">
        <v>2838</v>
      </c>
      <c r="AZ107" s="137" t="s">
        <v>2838</v>
      </c>
      <c r="BA107" s="137" t="s">
        <v>2838</v>
      </c>
      <c r="BB107" s="137" t="s">
        <v>2838</v>
      </c>
      <c r="BC107" s="137" t="s">
        <v>2838</v>
      </c>
      <c r="BD107" s="137" t="s">
        <v>2838</v>
      </c>
      <c r="BE107" s="137" t="s">
        <v>2838</v>
      </c>
      <c r="BF107" s="137" t="s">
        <v>2838</v>
      </c>
      <c r="BI107" s="137" t="s">
        <v>2838</v>
      </c>
      <c r="BJ107" s="137" t="s">
        <v>2838</v>
      </c>
      <c r="BK107" s="190" t="s">
        <v>2838</v>
      </c>
      <c r="BM107" s="78" t="s">
        <v>2838</v>
      </c>
      <c r="BO107" s="143" t="s">
        <v>2845</v>
      </c>
      <c r="BP107" s="143" t="s">
        <v>734</v>
      </c>
      <c r="BQ107" s="143" t="s">
        <v>663</v>
      </c>
      <c r="BR107" s="143">
        <v>4645</v>
      </c>
      <c r="BY107" s="78" t="s">
        <v>2838</v>
      </c>
    </row>
    <row r="108" spans="1:77" x14ac:dyDescent="0.35">
      <c r="A108" s="143" t="s">
        <v>2845</v>
      </c>
      <c r="B108" s="143" t="s">
        <v>734</v>
      </c>
      <c r="C108" s="143" t="s">
        <v>663</v>
      </c>
      <c r="D108" s="143">
        <v>4729</v>
      </c>
      <c r="E108" s="137"/>
      <c r="F108" s="137">
        <v>0.45939390000000002</v>
      </c>
      <c r="G108" s="271">
        <v>0.57424240000000004</v>
      </c>
      <c r="H108" s="137" t="s">
        <v>2487</v>
      </c>
      <c r="I108" s="137"/>
      <c r="J108" s="137">
        <v>0.6</v>
      </c>
      <c r="K108" s="137">
        <v>0.75</v>
      </c>
      <c r="M108" s="143" t="s">
        <v>2845</v>
      </c>
      <c r="N108" s="143" t="s">
        <v>734</v>
      </c>
      <c r="O108" s="143" t="s">
        <v>663</v>
      </c>
      <c r="P108" s="143">
        <v>4729</v>
      </c>
      <c r="Q108" s="137" t="s">
        <v>2838</v>
      </c>
      <c r="R108" s="137" t="s">
        <v>2838</v>
      </c>
      <c r="S108" s="137" t="s">
        <v>2838</v>
      </c>
      <c r="T108" s="137" t="s">
        <v>2838</v>
      </c>
      <c r="U108" s="137" t="s">
        <v>2838</v>
      </c>
      <c r="V108" s="137" t="s">
        <v>2838</v>
      </c>
      <c r="W108" s="137" t="s">
        <v>2838</v>
      </c>
      <c r="X108" s="137" t="s">
        <v>2838</v>
      </c>
      <c r="Y108" s="137" t="s">
        <v>2838</v>
      </c>
      <c r="Z108" s="137" t="s">
        <v>2838</v>
      </c>
      <c r="AA108" s="137" t="s">
        <v>2838</v>
      </c>
      <c r="AB108" s="137">
        <v>0.63636360000000003</v>
      </c>
      <c r="AD108" s="143" t="s">
        <v>2845</v>
      </c>
      <c r="AE108" s="143" t="s">
        <v>734</v>
      </c>
      <c r="AF108" s="143" t="s">
        <v>663</v>
      </c>
      <c r="AG108" s="143">
        <v>4729</v>
      </c>
      <c r="AQ108" s="78" t="s">
        <v>2838</v>
      </c>
      <c r="AS108" s="143" t="s">
        <v>2845</v>
      </c>
      <c r="AT108" s="143" t="s">
        <v>734</v>
      </c>
      <c r="AU108" s="143" t="s">
        <v>663</v>
      </c>
      <c r="AV108" s="143">
        <v>4729</v>
      </c>
      <c r="AW108" s="137" t="s">
        <v>2838</v>
      </c>
      <c r="AX108" s="137" t="s">
        <v>2838</v>
      </c>
      <c r="AY108" s="137" t="s">
        <v>2838</v>
      </c>
      <c r="AZ108" s="137" t="s">
        <v>2838</v>
      </c>
      <c r="BA108" s="137" t="s">
        <v>2838</v>
      </c>
      <c r="BB108" s="137" t="s">
        <v>2838</v>
      </c>
      <c r="BC108" s="137" t="s">
        <v>2838</v>
      </c>
      <c r="BD108" s="137" t="s">
        <v>2838</v>
      </c>
      <c r="BE108" s="137" t="s">
        <v>2838</v>
      </c>
      <c r="BF108" s="137" t="s">
        <v>2838</v>
      </c>
      <c r="BI108" s="137" t="s">
        <v>2838</v>
      </c>
      <c r="BJ108" s="137" t="s">
        <v>2838</v>
      </c>
      <c r="BK108" s="190" t="s">
        <v>2838</v>
      </c>
      <c r="BM108" s="78" t="s">
        <v>2838</v>
      </c>
      <c r="BO108" s="143" t="s">
        <v>2845</v>
      </c>
      <c r="BP108" s="143" t="s">
        <v>734</v>
      </c>
      <c r="BQ108" s="143" t="s">
        <v>663</v>
      </c>
      <c r="BR108" s="143">
        <v>4729</v>
      </c>
      <c r="BY108" s="78" t="s">
        <v>2838</v>
      </c>
    </row>
    <row r="109" spans="1:77" x14ac:dyDescent="0.35">
      <c r="A109" s="143" t="s">
        <v>2845</v>
      </c>
      <c r="B109" s="143" t="s">
        <v>734</v>
      </c>
      <c r="C109" s="143" t="s">
        <v>663</v>
      </c>
      <c r="D109" s="143">
        <v>6868</v>
      </c>
      <c r="E109" s="137"/>
      <c r="F109" s="137">
        <v>0.55393939999999997</v>
      </c>
      <c r="G109" s="271">
        <v>0.69242420000000005</v>
      </c>
      <c r="H109" s="137" t="s">
        <v>2487</v>
      </c>
      <c r="I109" s="137"/>
      <c r="J109" s="137">
        <v>0.66333339999999996</v>
      </c>
      <c r="K109" s="137">
        <v>0.82916670000000003</v>
      </c>
      <c r="M109" s="143" t="s">
        <v>2845</v>
      </c>
      <c r="N109" s="143" t="s">
        <v>734</v>
      </c>
      <c r="O109" s="143" t="s">
        <v>663</v>
      </c>
      <c r="P109" s="143">
        <v>6868</v>
      </c>
      <c r="Q109" s="137" t="s">
        <v>2838</v>
      </c>
      <c r="R109" s="137" t="s">
        <v>2838</v>
      </c>
      <c r="S109" s="137" t="s">
        <v>2838</v>
      </c>
      <c r="T109" s="137" t="s">
        <v>2838</v>
      </c>
      <c r="U109" s="137" t="s">
        <v>2838</v>
      </c>
      <c r="V109" s="137" t="s">
        <v>2838</v>
      </c>
      <c r="W109" s="137" t="s">
        <v>2838</v>
      </c>
      <c r="X109" s="137" t="s">
        <v>2838</v>
      </c>
      <c r="Y109" s="137" t="s">
        <v>2838</v>
      </c>
      <c r="Z109" s="137" t="s">
        <v>2838</v>
      </c>
      <c r="AA109" s="137" t="s">
        <v>2838</v>
      </c>
      <c r="AB109" s="137">
        <v>0.45454549999999999</v>
      </c>
      <c r="AD109" s="143" t="s">
        <v>2845</v>
      </c>
      <c r="AE109" s="143" t="s">
        <v>734</v>
      </c>
      <c r="AF109" s="143" t="s">
        <v>663</v>
      </c>
      <c r="AG109" s="143">
        <v>6868</v>
      </c>
      <c r="AQ109" s="78" t="s">
        <v>2838</v>
      </c>
      <c r="AS109" s="143" t="s">
        <v>2845</v>
      </c>
      <c r="AT109" s="143" t="s">
        <v>734</v>
      </c>
      <c r="AU109" s="143" t="s">
        <v>663</v>
      </c>
      <c r="AV109" s="143">
        <v>6868</v>
      </c>
      <c r="AW109" s="137" t="s">
        <v>2838</v>
      </c>
      <c r="AX109" s="137" t="s">
        <v>2838</v>
      </c>
      <c r="AY109" s="137" t="s">
        <v>2838</v>
      </c>
      <c r="AZ109" s="137" t="s">
        <v>2838</v>
      </c>
      <c r="BA109" s="137" t="s">
        <v>2838</v>
      </c>
      <c r="BB109" s="137" t="s">
        <v>2838</v>
      </c>
      <c r="BC109" s="137" t="s">
        <v>2838</v>
      </c>
      <c r="BD109" s="137" t="s">
        <v>2838</v>
      </c>
      <c r="BE109" s="137" t="s">
        <v>2838</v>
      </c>
      <c r="BF109" s="137" t="s">
        <v>2838</v>
      </c>
      <c r="BI109" s="137" t="s">
        <v>2838</v>
      </c>
      <c r="BJ109" s="137" t="s">
        <v>2838</v>
      </c>
      <c r="BK109" s="190" t="s">
        <v>2838</v>
      </c>
      <c r="BM109" s="78" t="s">
        <v>2838</v>
      </c>
      <c r="BO109" s="143" t="s">
        <v>2845</v>
      </c>
      <c r="BP109" s="143" t="s">
        <v>734</v>
      </c>
      <c r="BQ109" s="143" t="s">
        <v>663</v>
      </c>
      <c r="BR109" s="143">
        <v>6868</v>
      </c>
      <c r="BY109" s="78" t="s">
        <v>2838</v>
      </c>
    </row>
    <row r="110" spans="1:77" x14ac:dyDescent="0.35">
      <c r="A110" s="143" t="s">
        <v>2845</v>
      </c>
      <c r="B110" s="143" t="s">
        <v>734</v>
      </c>
      <c r="C110" s="143" t="s">
        <v>663</v>
      </c>
      <c r="D110" s="143">
        <v>10324</v>
      </c>
      <c r="E110" s="137"/>
      <c r="F110" s="137">
        <v>0.54909090000000005</v>
      </c>
      <c r="G110" s="271">
        <v>0.68636359999999996</v>
      </c>
      <c r="H110" s="137" t="s">
        <v>2487</v>
      </c>
      <c r="I110" s="137"/>
      <c r="J110" s="137">
        <v>0.17777780000000001</v>
      </c>
      <c r="K110" s="137">
        <v>0.22222220000000001</v>
      </c>
      <c r="M110" s="143" t="s">
        <v>2845</v>
      </c>
      <c r="N110" s="143" t="s">
        <v>734</v>
      </c>
      <c r="O110" s="143" t="s">
        <v>663</v>
      </c>
      <c r="P110" s="143">
        <v>10324</v>
      </c>
      <c r="Q110" s="137" t="s">
        <v>2838</v>
      </c>
      <c r="R110" s="137" t="s">
        <v>2838</v>
      </c>
      <c r="S110" s="137" t="s">
        <v>2838</v>
      </c>
      <c r="T110" s="137" t="s">
        <v>2838</v>
      </c>
      <c r="U110" s="137" t="s">
        <v>2838</v>
      </c>
      <c r="V110" s="137" t="s">
        <v>2838</v>
      </c>
      <c r="W110" s="137" t="s">
        <v>2838</v>
      </c>
      <c r="X110" s="137" t="s">
        <v>2838</v>
      </c>
      <c r="Y110" s="137" t="s">
        <v>2838</v>
      </c>
      <c r="Z110" s="137" t="s">
        <v>2838</v>
      </c>
      <c r="AA110" s="137" t="s">
        <v>2838</v>
      </c>
      <c r="AB110" s="137">
        <v>0.63636360000000003</v>
      </c>
      <c r="AD110" s="143" t="s">
        <v>2845</v>
      </c>
      <c r="AE110" s="143" t="s">
        <v>734</v>
      </c>
      <c r="AF110" s="143" t="s">
        <v>663</v>
      </c>
      <c r="AG110" s="143">
        <v>10324</v>
      </c>
      <c r="AQ110" s="78" t="s">
        <v>2838</v>
      </c>
      <c r="AS110" s="143" t="s">
        <v>2845</v>
      </c>
      <c r="AT110" s="143" t="s">
        <v>734</v>
      </c>
      <c r="AU110" s="143" t="s">
        <v>663</v>
      </c>
      <c r="AV110" s="143">
        <v>10324</v>
      </c>
      <c r="AW110" s="137" t="s">
        <v>2838</v>
      </c>
      <c r="AX110" s="137" t="s">
        <v>2838</v>
      </c>
      <c r="AY110" s="137" t="s">
        <v>2838</v>
      </c>
      <c r="AZ110" s="137" t="s">
        <v>2838</v>
      </c>
      <c r="BA110" s="137" t="s">
        <v>2838</v>
      </c>
      <c r="BB110" s="137" t="s">
        <v>2838</v>
      </c>
      <c r="BC110" s="137" t="s">
        <v>2838</v>
      </c>
      <c r="BD110" s="137" t="s">
        <v>2838</v>
      </c>
      <c r="BE110" s="137" t="s">
        <v>2838</v>
      </c>
      <c r="BF110" s="137" t="s">
        <v>2838</v>
      </c>
      <c r="BI110" s="137" t="s">
        <v>2838</v>
      </c>
      <c r="BJ110" s="137" t="s">
        <v>2838</v>
      </c>
      <c r="BK110" s="190" t="s">
        <v>2838</v>
      </c>
      <c r="BM110" s="78" t="s">
        <v>2838</v>
      </c>
      <c r="BO110" s="143" t="s">
        <v>2845</v>
      </c>
      <c r="BP110" s="143" t="s">
        <v>734</v>
      </c>
      <c r="BQ110" s="143" t="s">
        <v>663</v>
      </c>
      <c r="BR110" s="143">
        <v>10324</v>
      </c>
      <c r="BY110" s="78" t="s">
        <v>2838</v>
      </c>
    </row>
    <row r="111" spans="1:77" x14ac:dyDescent="0.35">
      <c r="A111" s="143" t="s">
        <v>2846</v>
      </c>
      <c r="B111" s="143" t="s">
        <v>730</v>
      </c>
      <c r="C111" s="143" t="s">
        <v>663</v>
      </c>
      <c r="D111" s="143">
        <v>3639</v>
      </c>
      <c r="E111" s="137">
        <v>0.14545449999999999</v>
      </c>
      <c r="F111" s="137">
        <v>0.6545455</v>
      </c>
      <c r="G111" s="271">
        <v>0.8</v>
      </c>
      <c r="H111" s="137" t="s">
        <v>2487</v>
      </c>
      <c r="I111" s="137">
        <v>0.15</v>
      </c>
      <c r="J111" s="137">
        <v>0.6</v>
      </c>
      <c r="K111" s="137">
        <v>0.75</v>
      </c>
      <c r="M111" s="143" t="s">
        <v>2846</v>
      </c>
      <c r="N111" s="143" t="s">
        <v>730</v>
      </c>
      <c r="O111" s="143" t="s">
        <v>663</v>
      </c>
      <c r="P111" s="143">
        <v>3639</v>
      </c>
      <c r="Q111" s="137" t="s">
        <v>2487</v>
      </c>
      <c r="R111" s="137" t="s">
        <v>2486</v>
      </c>
      <c r="S111" s="137" t="s">
        <v>2486</v>
      </c>
      <c r="T111" s="137" t="s">
        <v>2487</v>
      </c>
      <c r="U111" s="137" t="s">
        <v>2487</v>
      </c>
      <c r="V111" s="137" t="s">
        <v>2487</v>
      </c>
      <c r="W111" s="137" t="s">
        <v>2486</v>
      </c>
      <c r="X111" s="137" t="s">
        <v>2486</v>
      </c>
      <c r="Y111" s="137" t="s">
        <v>2487</v>
      </c>
      <c r="Z111" s="137" t="s">
        <v>2487</v>
      </c>
      <c r="AA111" s="137" t="s">
        <v>2487</v>
      </c>
      <c r="AB111" s="137">
        <v>0.36363640000000003</v>
      </c>
      <c r="AD111" s="143" t="s">
        <v>2846</v>
      </c>
      <c r="AE111" s="143" t="s">
        <v>730</v>
      </c>
      <c r="AF111" s="143" t="s">
        <v>663</v>
      </c>
      <c r="AG111" s="143">
        <v>3639</v>
      </c>
      <c r="AO111" s="190">
        <v>0.78749999999999998</v>
      </c>
      <c r="AP111" s="190">
        <v>0.78749999999999998</v>
      </c>
      <c r="AQ111" s="78" t="s">
        <v>2487</v>
      </c>
      <c r="AS111" s="143" t="s">
        <v>2846</v>
      </c>
      <c r="AT111" s="143" t="s">
        <v>730</v>
      </c>
      <c r="AU111" s="143" t="s">
        <v>663</v>
      </c>
      <c r="AV111" s="143">
        <v>3639</v>
      </c>
      <c r="AW111" s="137" t="s">
        <v>2838</v>
      </c>
      <c r="AX111" s="137" t="s">
        <v>2838</v>
      </c>
      <c r="AY111" s="137" t="s">
        <v>2838</v>
      </c>
      <c r="AZ111" s="137" t="s">
        <v>2838</v>
      </c>
      <c r="BA111" s="137" t="s">
        <v>2838</v>
      </c>
      <c r="BB111" s="137" t="s">
        <v>2838</v>
      </c>
      <c r="BC111" s="137" t="s">
        <v>2838</v>
      </c>
      <c r="BD111" s="137" t="s">
        <v>2838</v>
      </c>
      <c r="BE111" s="137" t="s">
        <v>2838</v>
      </c>
      <c r="BF111" s="137" t="s">
        <v>2838</v>
      </c>
      <c r="BI111" s="137" t="s">
        <v>2486</v>
      </c>
      <c r="BJ111" s="137" t="s">
        <v>2486</v>
      </c>
      <c r="BK111" s="190" t="s">
        <v>2486</v>
      </c>
      <c r="BL111" s="190">
        <v>1</v>
      </c>
      <c r="BM111" s="78" t="s">
        <v>2486</v>
      </c>
      <c r="BO111" s="143" t="s">
        <v>2846</v>
      </c>
      <c r="BP111" s="143" t="s">
        <v>730</v>
      </c>
      <c r="BQ111" s="143" t="s">
        <v>663</v>
      </c>
      <c r="BR111" s="143">
        <v>3639</v>
      </c>
      <c r="BY111" s="78" t="s">
        <v>2838</v>
      </c>
    </row>
    <row r="112" spans="1:77" x14ac:dyDescent="0.35">
      <c r="A112" s="143" t="s">
        <v>2846</v>
      </c>
      <c r="B112" s="143" t="s">
        <v>730</v>
      </c>
      <c r="C112" s="143" t="s">
        <v>663</v>
      </c>
      <c r="D112" s="143">
        <v>4249</v>
      </c>
      <c r="E112" s="137">
        <v>0.16363639999999999</v>
      </c>
      <c r="F112" s="137">
        <v>0.58181819999999995</v>
      </c>
      <c r="G112" s="271">
        <v>0.74545450000000002</v>
      </c>
      <c r="H112" s="137" t="s">
        <v>2487</v>
      </c>
      <c r="I112" s="137">
        <v>0.15</v>
      </c>
      <c r="J112" s="137">
        <v>0.4</v>
      </c>
      <c r="K112" s="137">
        <v>0.55000000000000004</v>
      </c>
      <c r="M112" s="143" t="s">
        <v>2846</v>
      </c>
      <c r="N112" s="143" t="s">
        <v>730</v>
      </c>
      <c r="O112" s="143" t="s">
        <v>663</v>
      </c>
      <c r="P112" s="143">
        <v>4249</v>
      </c>
      <c r="Q112" s="137" t="s">
        <v>2486</v>
      </c>
      <c r="R112" s="137" t="s">
        <v>2486</v>
      </c>
      <c r="S112" s="137" t="s">
        <v>2486</v>
      </c>
      <c r="T112" s="137" t="s">
        <v>2486</v>
      </c>
      <c r="U112" s="137" t="s">
        <v>2487</v>
      </c>
      <c r="V112" s="137" t="s">
        <v>2487</v>
      </c>
      <c r="W112" s="137" t="s">
        <v>2486</v>
      </c>
      <c r="X112" s="137" t="s">
        <v>2486</v>
      </c>
      <c r="Y112" s="137" t="s">
        <v>2486</v>
      </c>
      <c r="Z112" s="137" t="s">
        <v>2487</v>
      </c>
      <c r="AA112" s="137" t="s">
        <v>2486</v>
      </c>
      <c r="AB112" s="137">
        <v>0.72727269999999999</v>
      </c>
      <c r="AD112" s="143" t="s">
        <v>2846</v>
      </c>
      <c r="AE112" s="143" t="s">
        <v>730</v>
      </c>
      <c r="AF112" s="143" t="s">
        <v>663</v>
      </c>
      <c r="AG112" s="143">
        <v>4249</v>
      </c>
      <c r="AO112" s="190">
        <v>0.83750000000000002</v>
      </c>
      <c r="AP112" s="190">
        <v>0.83750000000000002</v>
      </c>
      <c r="AQ112" s="78" t="s">
        <v>2487</v>
      </c>
      <c r="AS112" s="143" t="s">
        <v>2846</v>
      </c>
      <c r="AT112" s="143" t="s">
        <v>730</v>
      </c>
      <c r="AU112" s="143" t="s">
        <v>663</v>
      </c>
      <c r="AV112" s="143">
        <v>4249</v>
      </c>
      <c r="AW112" s="137" t="s">
        <v>2838</v>
      </c>
      <c r="AX112" s="137" t="s">
        <v>2838</v>
      </c>
      <c r="AY112" s="137" t="s">
        <v>2838</v>
      </c>
      <c r="AZ112" s="137" t="s">
        <v>2838</v>
      </c>
      <c r="BA112" s="137" t="s">
        <v>2838</v>
      </c>
      <c r="BB112" s="137" t="s">
        <v>2838</v>
      </c>
      <c r="BC112" s="137" t="s">
        <v>2838</v>
      </c>
      <c r="BD112" s="137" t="s">
        <v>2838</v>
      </c>
      <c r="BE112" s="137" t="s">
        <v>2838</v>
      </c>
      <c r="BF112" s="137" t="s">
        <v>2838</v>
      </c>
      <c r="BI112" s="137" t="s">
        <v>2487</v>
      </c>
      <c r="BJ112" s="137" t="s">
        <v>2487</v>
      </c>
      <c r="BK112" s="190" t="s">
        <v>2487</v>
      </c>
      <c r="BL112" s="190">
        <v>0</v>
      </c>
      <c r="BM112" s="78" t="s">
        <v>2487</v>
      </c>
      <c r="BO112" s="143" t="s">
        <v>2846</v>
      </c>
      <c r="BP112" s="143" t="s">
        <v>730</v>
      </c>
      <c r="BQ112" s="143" t="s">
        <v>663</v>
      </c>
      <c r="BR112" s="143">
        <v>4249</v>
      </c>
      <c r="BY112" s="78" t="s">
        <v>2838</v>
      </c>
    </row>
    <row r="113" spans="1:77" x14ac:dyDescent="0.35">
      <c r="A113" s="143" t="s">
        <v>2846</v>
      </c>
      <c r="B113" s="143" t="s">
        <v>730</v>
      </c>
      <c r="C113" s="143" t="s">
        <v>663</v>
      </c>
      <c r="D113" s="143">
        <v>4641</v>
      </c>
      <c r="E113" s="137">
        <v>7.2727299999999995E-2</v>
      </c>
      <c r="F113" s="137">
        <v>0.56426330000000002</v>
      </c>
      <c r="G113" s="271">
        <v>0.63699059999999996</v>
      </c>
      <c r="H113" s="137" t="s">
        <v>2487</v>
      </c>
      <c r="I113" s="137">
        <v>0.1833333</v>
      </c>
      <c r="J113" s="137">
        <v>0.53333339999999996</v>
      </c>
      <c r="K113" s="137">
        <v>0.71666669999999999</v>
      </c>
      <c r="M113" s="143" t="s">
        <v>2846</v>
      </c>
      <c r="N113" s="143" t="s">
        <v>730</v>
      </c>
      <c r="O113" s="143" t="s">
        <v>663</v>
      </c>
      <c r="P113" s="143">
        <v>4641</v>
      </c>
      <c r="Q113" s="137" t="s">
        <v>2487</v>
      </c>
      <c r="R113" s="137" t="s">
        <v>2486</v>
      </c>
      <c r="S113" s="137" t="s">
        <v>2486</v>
      </c>
      <c r="T113" s="137" t="s">
        <v>2486</v>
      </c>
      <c r="U113" s="137" t="s">
        <v>2487</v>
      </c>
      <c r="V113" s="137" t="s">
        <v>2487</v>
      </c>
      <c r="W113" s="137" t="s">
        <v>2486</v>
      </c>
      <c r="X113" s="137" t="s">
        <v>2486</v>
      </c>
      <c r="Y113" s="137" t="s">
        <v>2486</v>
      </c>
      <c r="Z113" s="137" t="s">
        <v>2486</v>
      </c>
      <c r="AA113" s="137" t="s">
        <v>2486</v>
      </c>
      <c r="AB113" s="137">
        <v>0.72727269999999999</v>
      </c>
      <c r="AD113" s="143" t="s">
        <v>2846</v>
      </c>
      <c r="AE113" s="143" t="s">
        <v>730</v>
      </c>
      <c r="AF113" s="143" t="s">
        <v>663</v>
      </c>
      <c r="AG113" s="143">
        <v>4641</v>
      </c>
      <c r="AO113" s="190">
        <v>0.88749999999999996</v>
      </c>
      <c r="AP113" s="190">
        <v>0.88749999999999996</v>
      </c>
      <c r="AQ113" s="78" t="s">
        <v>2487</v>
      </c>
      <c r="AS113" s="143" t="s">
        <v>2846</v>
      </c>
      <c r="AT113" s="143" t="s">
        <v>730</v>
      </c>
      <c r="AU113" s="143" t="s">
        <v>663</v>
      </c>
      <c r="AV113" s="143">
        <v>4641</v>
      </c>
      <c r="AW113" s="137" t="s">
        <v>2838</v>
      </c>
      <c r="AX113" s="137" t="s">
        <v>2838</v>
      </c>
      <c r="AY113" s="137" t="s">
        <v>2838</v>
      </c>
      <c r="AZ113" s="137" t="s">
        <v>2838</v>
      </c>
      <c r="BA113" s="137" t="s">
        <v>2838</v>
      </c>
      <c r="BB113" s="137" t="s">
        <v>2838</v>
      </c>
      <c r="BC113" s="137" t="s">
        <v>2838</v>
      </c>
      <c r="BD113" s="137" t="s">
        <v>2838</v>
      </c>
      <c r="BE113" s="137" t="s">
        <v>2838</v>
      </c>
      <c r="BF113" s="137" t="s">
        <v>2838</v>
      </c>
      <c r="BI113" s="137" t="s">
        <v>2486</v>
      </c>
      <c r="BJ113" s="137" t="s">
        <v>2486</v>
      </c>
      <c r="BK113" s="190" t="s">
        <v>2486</v>
      </c>
      <c r="BL113" s="190">
        <v>1</v>
      </c>
      <c r="BM113" s="78" t="s">
        <v>2486</v>
      </c>
      <c r="BO113" s="143" t="s">
        <v>2846</v>
      </c>
      <c r="BP113" s="143" t="s">
        <v>730</v>
      </c>
      <c r="BQ113" s="143" t="s">
        <v>663</v>
      </c>
      <c r="BR113" s="143">
        <v>4641</v>
      </c>
      <c r="BY113" s="78" t="s">
        <v>2838</v>
      </c>
    </row>
    <row r="114" spans="1:77" x14ac:dyDescent="0.35">
      <c r="A114" s="143" t="s">
        <v>2846</v>
      </c>
      <c r="B114" s="143" t="s">
        <v>730</v>
      </c>
      <c r="C114" s="143" t="s">
        <v>663</v>
      </c>
      <c r="D114" s="143">
        <v>4642</v>
      </c>
      <c r="E114" s="137">
        <v>0.14545449999999999</v>
      </c>
      <c r="F114" s="137">
        <v>0.42131659999999999</v>
      </c>
      <c r="G114" s="271">
        <v>0.56677109999999997</v>
      </c>
      <c r="H114" s="137" t="s">
        <v>2487</v>
      </c>
      <c r="I114" s="137">
        <v>0.1</v>
      </c>
      <c r="J114" s="137">
        <v>0</v>
      </c>
      <c r="K114" s="137">
        <v>0.1</v>
      </c>
      <c r="M114" s="143" t="s">
        <v>2846</v>
      </c>
      <c r="N114" s="143" t="s">
        <v>730</v>
      </c>
      <c r="O114" s="143" t="s">
        <v>663</v>
      </c>
      <c r="P114" s="143">
        <v>4642</v>
      </c>
      <c r="Q114" s="137" t="s">
        <v>2486</v>
      </c>
      <c r="R114" s="137" t="s">
        <v>2486</v>
      </c>
      <c r="S114" s="137" t="s">
        <v>2486</v>
      </c>
      <c r="T114" s="137" t="s">
        <v>2486</v>
      </c>
      <c r="U114" s="137" t="s">
        <v>2487</v>
      </c>
      <c r="V114" s="137" t="s">
        <v>2487</v>
      </c>
      <c r="W114" s="137" t="s">
        <v>2486</v>
      </c>
      <c r="X114" s="137" t="s">
        <v>2486</v>
      </c>
      <c r="Y114" s="137" t="s">
        <v>2486</v>
      </c>
      <c r="Z114" s="137" t="s">
        <v>2486</v>
      </c>
      <c r="AA114" s="137" t="s">
        <v>2486</v>
      </c>
      <c r="AB114" s="137">
        <v>0.81818179999999996</v>
      </c>
      <c r="AD114" s="143" t="s">
        <v>2846</v>
      </c>
      <c r="AE114" s="143" t="s">
        <v>730</v>
      </c>
      <c r="AF114" s="143" t="s">
        <v>663</v>
      </c>
      <c r="AG114" s="143">
        <v>4642</v>
      </c>
      <c r="AO114" s="190">
        <v>0.85</v>
      </c>
      <c r="AP114" s="190">
        <v>0.85</v>
      </c>
      <c r="AQ114" s="78" t="s">
        <v>2487</v>
      </c>
      <c r="AS114" s="143" t="s">
        <v>2846</v>
      </c>
      <c r="AT114" s="143" t="s">
        <v>730</v>
      </c>
      <c r="AU114" s="143" t="s">
        <v>663</v>
      </c>
      <c r="AV114" s="143">
        <v>4642</v>
      </c>
      <c r="AW114" s="137" t="s">
        <v>2838</v>
      </c>
      <c r="AX114" s="137" t="s">
        <v>2838</v>
      </c>
      <c r="AY114" s="137" t="s">
        <v>2838</v>
      </c>
      <c r="AZ114" s="137" t="s">
        <v>2838</v>
      </c>
      <c r="BA114" s="137" t="s">
        <v>2838</v>
      </c>
      <c r="BB114" s="137" t="s">
        <v>2838</v>
      </c>
      <c r="BC114" s="137" t="s">
        <v>2838</v>
      </c>
      <c r="BD114" s="137" t="s">
        <v>2838</v>
      </c>
      <c r="BE114" s="137" t="s">
        <v>2838</v>
      </c>
      <c r="BF114" s="137" t="s">
        <v>2838</v>
      </c>
      <c r="BI114" s="137" t="s">
        <v>2487</v>
      </c>
      <c r="BJ114" s="137" t="s">
        <v>2487</v>
      </c>
      <c r="BK114" s="190" t="s">
        <v>2487</v>
      </c>
      <c r="BL114" s="190">
        <v>0</v>
      </c>
      <c r="BM114" s="78" t="s">
        <v>2487</v>
      </c>
      <c r="BO114" s="143" t="s">
        <v>2846</v>
      </c>
      <c r="BP114" s="143" t="s">
        <v>730</v>
      </c>
      <c r="BQ114" s="143" t="s">
        <v>663</v>
      </c>
      <c r="BR114" s="143">
        <v>4642</v>
      </c>
      <c r="BY114" s="78" t="s">
        <v>2838</v>
      </c>
    </row>
    <row r="115" spans="1:77" x14ac:dyDescent="0.35">
      <c r="A115" s="143" t="s">
        <v>2846</v>
      </c>
      <c r="B115" s="143" t="s">
        <v>730</v>
      </c>
      <c r="C115" s="143" t="s">
        <v>663</v>
      </c>
      <c r="D115" s="143">
        <v>4645</v>
      </c>
      <c r="E115" s="137">
        <v>7.2727299999999995E-2</v>
      </c>
      <c r="F115" s="137">
        <v>0.35611290000000001</v>
      </c>
      <c r="G115" s="271">
        <v>0.4288401</v>
      </c>
      <c r="H115" s="137" t="s">
        <v>2487</v>
      </c>
      <c r="I115" s="137">
        <v>0.15</v>
      </c>
      <c r="J115" s="137">
        <v>4.5976999999999997E-3</v>
      </c>
      <c r="K115" s="137">
        <v>0.1545977</v>
      </c>
      <c r="M115" s="143" t="s">
        <v>2846</v>
      </c>
      <c r="N115" s="143" t="s">
        <v>730</v>
      </c>
      <c r="O115" s="143" t="s">
        <v>663</v>
      </c>
      <c r="P115" s="143">
        <v>4645</v>
      </c>
      <c r="Q115" s="137" t="s">
        <v>2486</v>
      </c>
      <c r="R115" s="137" t="s">
        <v>2486</v>
      </c>
      <c r="S115" s="137" t="s">
        <v>2486</v>
      </c>
      <c r="T115" s="137" t="s">
        <v>2486</v>
      </c>
      <c r="U115" s="137" t="s">
        <v>2487</v>
      </c>
      <c r="V115" s="137" t="s">
        <v>2487</v>
      </c>
      <c r="W115" s="137" t="s">
        <v>2486</v>
      </c>
      <c r="X115" s="137" t="s">
        <v>2486</v>
      </c>
      <c r="Y115" s="137" t="s">
        <v>2486</v>
      </c>
      <c r="Z115" s="137" t="s">
        <v>2486</v>
      </c>
      <c r="AA115" s="137" t="s">
        <v>2486</v>
      </c>
      <c r="AB115" s="137">
        <v>0.81818179999999996</v>
      </c>
      <c r="AD115" s="143" t="s">
        <v>2846</v>
      </c>
      <c r="AE115" s="143" t="s">
        <v>730</v>
      </c>
      <c r="AF115" s="143" t="s">
        <v>663</v>
      </c>
      <c r="AG115" s="143">
        <v>4645</v>
      </c>
      <c r="AO115" s="190">
        <v>0.875</v>
      </c>
      <c r="AP115" s="190">
        <v>0.875</v>
      </c>
      <c r="AQ115" s="78" t="s">
        <v>2487</v>
      </c>
      <c r="AS115" s="143" t="s">
        <v>2846</v>
      </c>
      <c r="AT115" s="143" t="s">
        <v>730</v>
      </c>
      <c r="AU115" s="143" t="s">
        <v>663</v>
      </c>
      <c r="AV115" s="143">
        <v>4645</v>
      </c>
      <c r="AW115" s="137" t="s">
        <v>2838</v>
      </c>
      <c r="AX115" s="137" t="s">
        <v>2838</v>
      </c>
      <c r="AY115" s="137" t="s">
        <v>2838</v>
      </c>
      <c r="AZ115" s="137" t="s">
        <v>2838</v>
      </c>
      <c r="BA115" s="137" t="s">
        <v>2838</v>
      </c>
      <c r="BB115" s="137" t="s">
        <v>2838</v>
      </c>
      <c r="BC115" s="137" t="s">
        <v>2838</v>
      </c>
      <c r="BD115" s="137" t="s">
        <v>2838</v>
      </c>
      <c r="BE115" s="137" t="s">
        <v>2838</v>
      </c>
      <c r="BF115" s="137" t="s">
        <v>2838</v>
      </c>
      <c r="BI115" s="137" t="s">
        <v>2487</v>
      </c>
      <c r="BJ115" s="137" t="s">
        <v>2486</v>
      </c>
      <c r="BK115" s="190" t="s">
        <v>2487</v>
      </c>
      <c r="BL115" s="190">
        <v>0.3333333</v>
      </c>
      <c r="BM115" s="78" t="s">
        <v>2487</v>
      </c>
      <c r="BO115" s="143" t="s">
        <v>2846</v>
      </c>
      <c r="BP115" s="143" t="s">
        <v>730</v>
      </c>
      <c r="BQ115" s="143" t="s">
        <v>663</v>
      </c>
      <c r="BR115" s="143">
        <v>4645</v>
      </c>
      <c r="BY115" s="78" t="s">
        <v>2838</v>
      </c>
    </row>
    <row r="116" spans="1:77" x14ac:dyDescent="0.35">
      <c r="A116" s="143" t="s">
        <v>2846</v>
      </c>
      <c r="B116" s="143" t="s">
        <v>730</v>
      </c>
      <c r="C116" s="143" t="s">
        <v>663</v>
      </c>
      <c r="D116" s="143">
        <v>4729</v>
      </c>
      <c r="E116" s="137">
        <v>0.12727269999999999</v>
      </c>
      <c r="F116" s="137">
        <v>0.36614419999999998</v>
      </c>
      <c r="G116" s="271">
        <v>0.49341689999999999</v>
      </c>
      <c r="H116" s="137" t="s">
        <v>2487</v>
      </c>
      <c r="I116" s="137">
        <v>0.1833333</v>
      </c>
      <c r="J116" s="137">
        <v>0.6</v>
      </c>
      <c r="K116" s="137">
        <v>0.78333339999999996</v>
      </c>
      <c r="M116" s="143" t="s">
        <v>2846</v>
      </c>
      <c r="N116" s="143" t="s">
        <v>730</v>
      </c>
      <c r="O116" s="143" t="s">
        <v>663</v>
      </c>
      <c r="P116" s="143">
        <v>4729</v>
      </c>
      <c r="Q116" s="137" t="s">
        <v>2487</v>
      </c>
      <c r="R116" s="137" t="s">
        <v>2486</v>
      </c>
      <c r="S116" s="137" t="s">
        <v>2486</v>
      </c>
      <c r="T116" s="137" t="s">
        <v>2487</v>
      </c>
      <c r="U116" s="137" t="s">
        <v>2487</v>
      </c>
      <c r="V116" s="137" t="s">
        <v>2487</v>
      </c>
      <c r="W116" s="137" t="s">
        <v>2486</v>
      </c>
      <c r="X116" s="137" t="s">
        <v>2486</v>
      </c>
      <c r="Y116" s="137" t="s">
        <v>2486</v>
      </c>
      <c r="Z116" s="137" t="s">
        <v>2486</v>
      </c>
      <c r="AA116" s="137" t="s">
        <v>2486</v>
      </c>
      <c r="AB116" s="137">
        <v>0.63636360000000003</v>
      </c>
      <c r="AD116" s="143" t="s">
        <v>2846</v>
      </c>
      <c r="AE116" s="143" t="s">
        <v>730</v>
      </c>
      <c r="AF116" s="143" t="s">
        <v>663</v>
      </c>
      <c r="AG116" s="143">
        <v>4729</v>
      </c>
      <c r="AO116" s="190">
        <v>0.86250000000000004</v>
      </c>
      <c r="AP116" s="190">
        <v>0.86250000000000004</v>
      </c>
      <c r="AQ116" s="78" t="s">
        <v>2487</v>
      </c>
      <c r="AS116" s="143" t="s">
        <v>2846</v>
      </c>
      <c r="AT116" s="143" t="s">
        <v>730</v>
      </c>
      <c r="AU116" s="143" t="s">
        <v>663</v>
      </c>
      <c r="AV116" s="143">
        <v>4729</v>
      </c>
      <c r="AW116" s="137" t="s">
        <v>2838</v>
      </c>
      <c r="AX116" s="137" t="s">
        <v>2838</v>
      </c>
      <c r="AY116" s="137" t="s">
        <v>2838</v>
      </c>
      <c r="AZ116" s="137" t="s">
        <v>2838</v>
      </c>
      <c r="BA116" s="137" t="s">
        <v>2838</v>
      </c>
      <c r="BB116" s="137" t="s">
        <v>2838</v>
      </c>
      <c r="BC116" s="137" t="s">
        <v>2838</v>
      </c>
      <c r="BD116" s="137" t="s">
        <v>2838</v>
      </c>
      <c r="BE116" s="137" t="s">
        <v>2838</v>
      </c>
      <c r="BF116" s="137" t="s">
        <v>2838</v>
      </c>
      <c r="BI116" s="137" t="s">
        <v>2486</v>
      </c>
      <c r="BJ116" s="137" t="s">
        <v>2487</v>
      </c>
      <c r="BK116" s="190" t="s">
        <v>2486</v>
      </c>
      <c r="BL116" s="190">
        <v>0.66666669999999995</v>
      </c>
      <c r="BM116" s="78" t="s">
        <v>2487</v>
      </c>
      <c r="BO116" s="143" t="s">
        <v>2846</v>
      </c>
      <c r="BP116" s="143" t="s">
        <v>730</v>
      </c>
      <c r="BQ116" s="143" t="s">
        <v>663</v>
      </c>
      <c r="BR116" s="143">
        <v>4729</v>
      </c>
      <c r="BY116" s="78" t="s">
        <v>2838</v>
      </c>
    </row>
    <row r="117" spans="1:77" x14ac:dyDescent="0.35">
      <c r="A117" s="143" t="s">
        <v>2846</v>
      </c>
      <c r="B117" s="143" t="s">
        <v>730</v>
      </c>
      <c r="C117" s="143" t="s">
        <v>663</v>
      </c>
      <c r="D117" s="143">
        <v>6868</v>
      </c>
      <c r="E117" s="137">
        <v>0.14545449999999999</v>
      </c>
      <c r="F117" s="137">
        <v>0.50909090000000001</v>
      </c>
      <c r="G117" s="271">
        <v>0.65454540000000005</v>
      </c>
      <c r="H117" s="137" t="s">
        <v>2487</v>
      </c>
      <c r="I117" s="137">
        <v>0.1666667</v>
      </c>
      <c r="J117" s="137">
        <v>0.66666669999999995</v>
      </c>
      <c r="K117" s="137">
        <v>0.83333330000000005</v>
      </c>
      <c r="M117" s="143" t="s">
        <v>2846</v>
      </c>
      <c r="N117" s="143" t="s">
        <v>730</v>
      </c>
      <c r="O117" s="143" t="s">
        <v>663</v>
      </c>
      <c r="P117" s="143">
        <v>6868</v>
      </c>
      <c r="Q117" s="137" t="s">
        <v>2486</v>
      </c>
      <c r="R117" s="137" t="s">
        <v>2486</v>
      </c>
      <c r="S117" s="137" t="s">
        <v>2487</v>
      </c>
      <c r="T117" s="137" t="s">
        <v>2486</v>
      </c>
      <c r="U117" s="137" t="s">
        <v>2487</v>
      </c>
      <c r="V117" s="137" t="s">
        <v>2487</v>
      </c>
      <c r="W117" s="137" t="s">
        <v>2486</v>
      </c>
      <c r="X117" s="137" t="s">
        <v>2486</v>
      </c>
      <c r="Y117" s="137" t="s">
        <v>2487</v>
      </c>
      <c r="Z117" s="137" t="s">
        <v>2487</v>
      </c>
      <c r="AA117" s="137" t="s">
        <v>2487</v>
      </c>
      <c r="AB117" s="137">
        <v>0.45454549999999999</v>
      </c>
      <c r="AD117" s="143" t="s">
        <v>2846</v>
      </c>
      <c r="AE117" s="143" t="s">
        <v>730</v>
      </c>
      <c r="AF117" s="143" t="s">
        <v>663</v>
      </c>
      <c r="AG117" s="143">
        <v>6868</v>
      </c>
      <c r="AO117" s="190">
        <v>0.92500000000000004</v>
      </c>
      <c r="AP117" s="190">
        <v>0.92500000000000004</v>
      </c>
      <c r="AQ117" s="78" t="s">
        <v>2487</v>
      </c>
      <c r="AS117" s="143" t="s">
        <v>2846</v>
      </c>
      <c r="AT117" s="143" t="s">
        <v>730</v>
      </c>
      <c r="AU117" s="143" t="s">
        <v>663</v>
      </c>
      <c r="AV117" s="143">
        <v>6868</v>
      </c>
      <c r="AW117" s="137" t="s">
        <v>2838</v>
      </c>
      <c r="AX117" s="137" t="s">
        <v>2838</v>
      </c>
      <c r="AY117" s="137" t="s">
        <v>2838</v>
      </c>
      <c r="AZ117" s="137" t="s">
        <v>2838</v>
      </c>
      <c r="BA117" s="137" t="s">
        <v>2838</v>
      </c>
      <c r="BB117" s="137" t="s">
        <v>2838</v>
      </c>
      <c r="BC117" s="137" t="s">
        <v>2838</v>
      </c>
      <c r="BD117" s="137" t="s">
        <v>2838</v>
      </c>
      <c r="BE117" s="137" t="s">
        <v>2838</v>
      </c>
      <c r="BF117" s="137" t="s">
        <v>2838</v>
      </c>
      <c r="BI117" s="137" t="s">
        <v>2486</v>
      </c>
      <c r="BJ117" s="137" t="s">
        <v>2487</v>
      </c>
      <c r="BK117" s="190" t="s">
        <v>2487</v>
      </c>
      <c r="BL117" s="190">
        <v>0.3333333</v>
      </c>
      <c r="BM117" s="78" t="s">
        <v>2487</v>
      </c>
      <c r="BO117" s="143" t="s">
        <v>2846</v>
      </c>
      <c r="BP117" s="143" t="s">
        <v>730</v>
      </c>
      <c r="BQ117" s="143" t="s">
        <v>663</v>
      </c>
      <c r="BR117" s="143">
        <v>6868</v>
      </c>
      <c r="BY117" s="78" t="s">
        <v>2838</v>
      </c>
    </row>
    <row r="118" spans="1:77" x14ac:dyDescent="0.35">
      <c r="A118" s="143" t="s">
        <v>2846</v>
      </c>
      <c r="B118" s="143" t="s">
        <v>730</v>
      </c>
      <c r="C118" s="143" t="s">
        <v>663</v>
      </c>
      <c r="D118" s="143">
        <v>10324</v>
      </c>
      <c r="E118" s="137">
        <v>0.1090909</v>
      </c>
      <c r="F118" s="137">
        <v>0.36363640000000003</v>
      </c>
      <c r="G118" s="271">
        <v>0.47272730000000002</v>
      </c>
      <c r="H118" s="137" t="s">
        <v>2487</v>
      </c>
      <c r="I118" s="137">
        <v>0.13333329999999999</v>
      </c>
      <c r="J118" s="137">
        <v>0</v>
      </c>
      <c r="K118" s="137">
        <v>0.13333329999999999</v>
      </c>
      <c r="M118" s="143" t="s">
        <v>2846</v>
      </c>
      <c r="N118" s="143" t="s">
        <v>730</v>
      </c>
      <c r="O118" s="143" t="s">
        <v>663</v>
      </c>
      <c r="P118" s="143">
        <v>10324</v>
      </c>
      <c r="Q118" s="137" t="s">
        <v>2486</v>
      </c>
      <c r="R118" s="137" t="s">
        <v>2486</v>
      </c>
      <c r="S118" s="137" t="s">
        <v>2486</v>
      </c>
      <c r="T118" s="137" t="s">
        <v>2486</v>
      </c>
      <c r="U118" s="137" t="s">
        <v>2487</v>
      </c>
      <c r="V118" s="137" t="s">
        <v>2487</v>
      </c>
      <c r="W118" s="137" t="s">
        <v>2486</v>
      </c>
      <c r="X118" s="137" t="s">
        <v>2486</v>
      </c>
      <c r="Y118" s="137" t="s">
        <v>2487</v>
      </c>
      <c r="Z118" s="137" t="s">
        <v>2486</v>
      </c>
      <c r="AA118" s="137" t="s">
        <v>2487</v>
      </c>
      <c r="AB118" s="137">
        <v>0.63636360000000003</v>
      </c>
      <c r="AD118" s="143" t="s">
        <v>2846</v>
      </c>
      <c r="AE118" s="143" t="s">
        <v>730</v>
      </c>
      <c r="AF118" s="143" t="s">
        <v>663</v>
      </c>
      <c r="AG118" s="143">
        <v>10324</v>
      </c>
      <c r="AO118" s="190">
        <v>0.75</v>
      </c>
      <c r="AP118" s="190">
        <v>0.75</v>
      </c>
      <c r="AQ118" s="78" t="s">
        <v>2487</v>
      </c>
      <c r="AS118" s="143" t="s">
        <v>2846</v>
      </c>
      <c r="AT118" s="143" t="s">
        <v>730</v>
      </c>
      <c r="AU118" s="143" t="s">
        <v>663</v>
      </c>
      <c r="AV118" s="143">
        <v>10324</v>
      </c>
      <c r="AW118" s="137" t="s">
        <v>2838</v>
      </c>
      <c r="AX118" s="137" t="s">
        <v>2838</v>
      </c>
      <c r="AY118" s="137" t="s">
        <v>2838</v>
      </c>
      <c r="AZ118" s="137" t="s">
        <v>2838</v>
      </c>
      <c r="BA118" s="137" t="s">
        <v>2838</v>
      </c>
      <c r="BB118" s="137" t="s">
        <v>2838</v>
      </c>
      <c r="BC118" s="137" t="s">
        <v>2838</v>
      </c>
      <c r="BD118" s="137" t="s">
        <v>2838</v>
      </c>
      <c r="BE118" s="137" t="s">
        <v>2838</v>
      </c>
      <c r="BF118" s="137" t="s">
        <v>2838</v>
      </c>
      <c r="BI118" s="137" t="s">
        <v>2487</v>
      </c>
      <c r="BJ118" s="137" t="s">
        <v>2486</v>
      </c>
      <c r="BK118" s="190" t="s">
        <v>2486</v>
      </c>
      <c r="BL118" s="190">
        <v>0.66666669999999995</v>
      </c>
      <c r="BM118" s="78" t="s">
        <v>2487</v>
      </c>
      <c r="BO118" s="143" t="s">
        <v>2846</v>
      </c>
      <c r="BP118" s="143" t="s">
        <v>730</v>
      </c>
      <c r="BQ118" s="143" t="s">
        <v>663</v>
      </c>
      <c r="BR118" s="143">
        <v>10324</v>
      </c>
      <c r="BY118" s="78" t="s">
        <v>2838</v>
      </c>
    </row>
    <row r="119" spans="1:77" x14ac:dyDescent="0.35">
      <c r="A119" s="143" t="s">
        <v>741</v>
      </c>
      <c r="B119" s="143" t="s">
        <v>736</v>
      </c>
      <c r="C119" s="143" t="s">
        <v>2452</v>
      </c>
      <c r="D119" s="143">
        <v>50</v>
      </c>
      <c r="E119" s="137">
        <v>0.14000000000000001</v>
      </c>
      <c r="F119" s="137">
        <v>0.72088890000000005</v>
      </c>
      <c r="G119" s="271">
        <v>0.86088889999999996</v>
      </c>
      <c r="H119" s="137" t="s">
        <v>2487</v>
      </c>
      <c r="I119" s="137">
        <v>0.1666667</v>
      </c>
      <c r="J119" s="137">
        <v>0.38426969999999999</v>
      </c>
      <c r="K119" s="137">
        <v>0.55093630000000005</v>
      </c>
      <c r="M119" s="143" t="s">
        <v>741</v>
      </c>
      <c r="N119" s="143" t="s">
        <v>736</v>
      </c>
      <c r="O119" s="143" t="s">
        <v>2452</v>
      </c>
      <c r="P119" s="143">
        <v>50</v>
      </c>
      <c r="Q119" s="137" t="s">
        <v>2486</v>
      </c>
      <c r="R119" s="137" t="s">
        <v>2486</v>
      </c>
      <c r="S119" s="137" t="s">
        <v>2486</v>
      </c>
      <c r="T119" s="137" t="s">
        <v>2486</v>
      </c>
      <c r="U119" s="137" t="s">
        <v>2486</v>
      </c>
      <c r="V119" s="137" t="s">
        <v>2486</v>
      </c>
      <c r="W119" s="137" t="s">
        <v>2486</v>
      </c>
      <c r="X119" s="137" t="s">
        <v>2486</v>
      </c>
      <c r="Y119" s="137" t="s">
        <v>2486</v>
      </c>
      <c r="Z119" s="137" t="s">
        <v>2486</v>
      </c>
      <c r="AA119" s="137" t="s">
        <v>2486</v>
      </c>
      <c r="AB119" s="137">
        <v>1</v>
      </c>
      <c r="AD119" s="143" t="s">
        <v>741</v>
      </c>
      <c r="AE119" s="143" t="s">
        <v>736</v>
      </c>
      <c r="AF119" s="143" t="s">
        <v>2452</v>
      </c>
      <c r="AG119" s="143">
        <v>50</v>
      </c>
      <c r="AH119" s="137">
        <v>1</v>
      </c>
      <c r="AI119" s="137">
        <v>1</v>
      </c>
      <c r="AJ119" s="137">
        <v>1</v>
      </c>
      <c r="AK119" s="137">
        <v>1</v>
      </c>
      <c r="AL119" s="137">
        <v>1</v>
      </c>
      <c r="AM119" s="137">
        <v>1</v>
      </c>
      <c r="AN119" s="137">
        <v>1</v>
      </c>
      <c r="AO119" s="190">
        <v>1</v>
      </c>
      <c r="AP119" s="190">
        <v>1</v>
      </c>
      <c r="AQ119" s="78" t="s">
        <v>2486</v>
      </c>
      <c r="AS119" s="143" t="s">
        <v>741</v>
      </c>
      <c r="AT119" s="143" t="s">
        <v>736</v>
      </c>
      <c r="AU119" s="143" t="s">
        <v>2452</v>
      </c>
      <c r="AV119" s="143">
        <v>50</v>
      </c>
      <c r="AW119" s="137" t="s">
        <v>2486</v>
      </c>
      <c r="AX119" s="137" t="s">
        <v>2486</v>
      </c>
      <c r="AY119" s="137" t="s">
        <v>2486</v>
      </c>
      <c r="AZ119" s="137" t="s">
        <v>2486</v>
      </c>
      <c r="BA119" s="137" t="s">
        <v>2486</v>
      </c>
      <c r="BB119" s="137" t="s">
        <v>2486</v>
      </c>
      <c r="BC119" s="137" t="s">
        <v>2486</v>
      </c>
      <c r="BD119" s="137" t="s">
        <v>2486</v>
      </c>
      <c r="BE119" s="137" t="s">
        <v>2486</v>
      </c>
      <c r="BF119" s="137" t="s">
        <v>2486</v>
      </c>
      <c r="BI119" s="137" t="s">
        <v>2838</v>
      </c>
      <c r="BJ119" s="137" t="s">
        <v>2838</v>
      </c>
      <c r="BK119" s="190" t="s">
        <v>2838</v>
      </c>
      <c r="BL119" s="190">
        <v>1</v>
      </c>
      <c r="BM119" s="78" t="s">
        <v>2486</v>
      </c>
      <c r="BO119" s="143" t="s">
        <v>741</v>
      </c>
      <c r="BP119" s="143" t="s">
        <v>736</v>
      </c>
      <c r="BQ119" s="143" t="s">
        <v>2452</v>
      </c>
      <c r="BR119" s="143">
        <v>50</v>
      </c>
      <c r="BS119" s="156">
        <v>3</v>
      </c>
      <c r="BT119" s="156">
        <v>1</v>
      </c>
      <c r="BU119" s="156">
        <v>1</v>
      </c>
      <c r="BV119" s="156">
        <v>1</v>
      </c>
      <c r="BW119" s="169">
        <v>1</v>
      </c>
      <c r="BX119" s="169">
        <v>1</v>
      </c>
      <c r="BY119" s="78" t="s">
        <v>2486</v>
      </c>
    </row>
    <row r="120" spans="1:77" x14ac:dyDescent="0.35">
      <c r="A120" s="143" t="s">
        <v>741</v>
      </c>
      <c r="B120" s="143" t="s">
        <v>736</v>
      </c>
      <c r="C120" s="143" t="s">
        <v>663</v>
      </c>
      <c r="D120" s="143">
        <v>2292</v>
      </c>
      <c r="E120" s="137">
        <v>0.16363639999999999</v>
      </c>
      <c r="F120" s="137">
        <v>0.54994889999999996</v>
      </c>
      <c r="G120" s="271">
        <v>0.71358529999999998</v>
      </c>
      <c r="H120" s="137" t="s">
        <v>2487</v>
      </c>
      <c r="I120" s="137">
        <v>0.1666667</v>
      </c>
      <c r="J120" s="137">
        <v>6.6666699999999995E-2</v>
      </c>
      <c r="K120" s="137">
        <v>0.23333329999999999</v>
      </c>
      <c r="M120" s="143" t="s">
        <v>741</v>
      </c>
      <c r="N120" s="143" t="s">
        <v>736</v>
      </c>
      <c r="O120" s="143" t="s">
        <v>663</v>
      </c>
      <c r="P120" s="143">
        <v>2292</v>
      </c>
      <c r="Q120" s="137" t="s">
        <v>2487</v>
      </c>
      <c r="R120" s="137" t="s">
        <v>2486</v>
      </c>
      <c r="S120" s="137" t="s">
        <v>2487</v>
      </c>
      <c r="T120" s="137" t="s">
        <v>2486</v>
      </c>
      <c r="U120" s="137" t="s">
        <v>2487</v>
      </c>
      <c r="V120" s="137" t="s">
        <v>2487</v>
      </c>
      <c r="W120" s="137" t="s">
        <v>2486</v>
      </c>
      <c r="X120" s="137" t="s">
        <v>2486</v>
      </c>
      <c r="Y120" s="137" t="s">
        <v>2486</v>
      </c>
      <c r="Z120" s="137" t="s">
        <v>2486</v>
      </c>
      <c r="AA120" s="137" t="s">
        <v>2486</v>
      </c>
      <c r="AB120" s="137">
        <v>0.63636360000000003</v>
      </c>
      <c r="AD120" s="143" t="s">
        <v>741</v>
      </c>
      <c r="AE120" s="143" t="s">
        <v>736</v>
      </c>
      <c r="AF120" s="143" t="s">
        <v>663</v>
      </c>
      <c r="AG120" s="143">
        <v>2292</v>
      </c>
      <c r="AO120" s="190">
        <v>0.85</v>
      </c>
      <c r="AP120" s="190">
        <v>0.85</v>
      </c>
      <c r="AQ120" s="78" t="s">
        <v>2487</v>
      </c>
      <c r="AS120" s="143" t="s">
        <v>741</v>
      </c>
      <c r="AT120" s="143" t="s">
        <v>736</v>
      </c>
      <c r="AU120" s="143" t="s">
        <v>663</v>
      </c>
      <c r="AV120" s="143">
        <v>2292</v>
      </c>
      <c r="AW120" s="137" t="s">
        <v>2838</v>
      </c>
      <c r="AX120" s="137" t="s">
        <v>2838</v>
      </c>
      <c r="AY120" s="137" t="s">
        <v>2838</v>
      </c>
      <c r="AZ120" s="137" t="s">
        <v>2838</v>
      </c>
      <c r="BA120" s="137" t="s">
        <v>2838</v>
      </c>
      <c r="BB120" s="137" t="s">
        <v>2838</v>
      </c>
      <c r="BC120" s="137" t="s">
        <v>2838</v>
      </c>
      <c r="BD120" s="137" t="s">
        <v>2838</v>
      </c>
      <c r="BE120" s="137" t="s">
        <v>2838</v>
      </c>
      <c r="BF120" s="137" t="s">
        <v>2838</v>
      </c>
      <c r="BI120" s="137" t="s">
        <v>2486</v>
      </c>
      <c r="BJ120" s="137" t="s">
        <v>2486</v>
      </c>
      <c r="BK120" s="190" t="s">
        <v>2486</v>
      </c>
      <c r="BL120" s="190">
        <v>1</v>
      </c>
      <c r="BM120" s="78" t="s">
        <v>2486</v>
      </c>
      <c r="BO120" s="143" t="s">
        <v>741</v>
      </c>
      <c r="BP120" s="143" t="s">
        <v>736</v>
      </c>
      <c r="BQ120" s="143" t="s">
        <v>663</v>
      </c>
      <c r="BR120" s="143">
        <v>2292</v>
      </c>
      <c r="BY120" s="78" t="s">
        <v>2838</v>
      </c>
    </row>
    <row r="121" spans="1:77" x14ac:dyDescent="0.35">
      <c r="A121" s="143" t="s">
        <v>741</v>
      </c>
      <c r="B121" s="143" t="s">
        <v>736</v>
      </c>
      <c r="C121" s="143" t="s">
        <v>663</v>
      </c>
      <c r="D121" s="143">
        <v>2298</v>
      </c>
      <c r="E121" s="137">
        <v>0.18181820000000001</v>
      </c>
      <c r="F121" s="137">
        <v>0.1650664</v>
      </c>
      <c r="G121" s="271">
        <v>0.34688459999999999</v>
      </c>
      <c r="H121" s="137" t="s">
        <v>2487</v>
      </c>
      <c r="I121" s="137">
        <v>0.2</v>
      </c>
      <c r="J121" s="137">
        <v>0</v>
      </c>
      <c r="K121" s="137">
        <v>0.2</v>
      </c>
      <c r="M121" s="143" t="s">
        <v>741</v>
      </c>
      <c r="N121" s="143" t="s">
        <v>736</v>
      </c>
      <c r="O121" s="143" t="s">
        <v>663</v>
      </c>
      <c r="P121" s="143">
        <v>2298</v>
      </c>
      <c r="Q121" s="137" t="s">
        <v>2486</v>
      </c>
      <c r="R121" s="137" t="s">
        <v>2486</v>
      </c>
      <c r="S121" s="137" t="s">
        <v>2487</v>
      </c>
      <c r="T121" s="137" t="s">
        <v>2486</v>
      </c>
      <c r="U121" s="137" t="s">
        <v>2487</v>
      </c>
      <c r="V121" s="137" t="s">
        <v>2487</v>
      </c>
      <c r="W121" s="137" t="s">
        <v>2486</v>
      </c>
      <c r="X121" s="137" t="s">
        <v>2486</v>
      </c>
      <c r="Y121" s="137" t="s">
        <v>2486</v>
      </c>
      <c r="Z121" s="137" t="s">
        <v>2486</v>
      </c>
      <c r="AA121" s="137" t="s">
        <v>2486</v>
      </c>
      <c r="AB121" s="137">
        <v>0.72727269999999999</v>
      </c>
      <c r="AD121" s="143" t="s">
        <v>741</v>
      </c>
      <c r="AE121" s="143" t="s">
        <v>736</v>
      </c>
      <c r="AF121" s="143" t="s">
        <v>663</v>
      </c>
      <c r="AG121" s="143">
        <v>2298</v>
      </c>
      <c r="AO121" s="190">
        <v>0.875</v>
      </c>
      <c r="AP121" s="190">
        <v>0.875</v>
      </c>
      <c r="AQ121" s="78" t="s">
        <v>2487</v>
      </c>
      <c r="AS121" s="143" t="s">
        <v>741</v>
      </c>
      <c r="AT121" s="143" t="s">
        <v>736</v>
      </c>
      <c r="AU121" s="143" t="s">
        <v>663</v>
      </c>
      <c r="AV121" s="143">
        <v>2298</v>
      </c>
      <c r="AW121" s="137" t="s">
        <v>2838</v>
      </c>
      <c r="AX121" s="137" t="s">
        <v>2838</v>
      </c>
      <c r="AY121" s="137" t="s">
        <v>2838</v>
      </c>
      <c r="AZ121" s="137" t="s">
        <v>2838</v>
      </c>
      <c r="BA121" s="137" t="s">
        <v>2838</v>
      </c>
      <c r="BB121" s="137" t="s">
        <v>2838</v>
      </c>
      <c r="BC121" s="137" t="s">
        <v>2838</v>
      </c>
      <c r="BD121" s="137" t="s">
        <v>2838</v>
      </c>
      <c r="BE121" s="137" t="s">
        <v>2838</v>
      </c>
      <c r="BF121" s="137" t="s">
        <v>2838</v>
      </c>
      <c r="BI121" s="137" t="s">
        <v>2486</v>
      </c>
      <c r="BJ121" s="137" t="s">
        <v>2486</v>
      </c>
      <c r="BK121" s="190" t="s">
        <v>2486</v>
      </c>
      <c r="BL121" s="190">
        <v>1</v>
      </c>
      <c r="BM121" s="78" t="s">
        <v>2486</v>
      </c>
      <c r="BO121" s="143" t="s">
        <v>741</v>
      </c>
      <c r="BP121" s="143" t="s">
        <v>736</v>
      </c>
      <c r="BQ121" s="143" t="s">
        <v>663</v>
      </c>
      <c r="BR121" s="143">
        <v>2298</v>
      </c>
      <c r="BY121" s="78" t="s">
        <v>2838</v>
      </c>
    </row>
    <row r="122" spans="1:77" x14ac:dyDescent="0.35">
      <c r="A122" s="143" t="s">
        <v>741</v>
      </c>
      <c r="B122" s="143" t="s">
        <v>736</v>
      </c>
      <c r="C122" s="143" t="s">
        <v>663</v>
      </c>
      <c r="D122" s="143">
        <v>3033</v>
      </c>
      <c r="E122" s="137">
        <v>0.12727269999999999</v>
      </c>
      <c r="F122" s="137">
        <v>0.53278859999999995</v>
      </c>
      <c r="G122" s="271">
        <v>0.66006129999999996</v>
      </c>
      <c r="H122" s="137" t="s">
        <v>2487</v>
      </c>
      <c r="I122" s="137">
        <v>0.1</v>
      </c>
      <c r="J122" s="137">
        <v>0</v>
      </c>
      <c r="K122" s="137">
        <v>0.1</v>
      </c>
      <c r="M122" s="143" t="s">
        <v>741</v>
      </c>
      <c r="N122" s="143" t="s">
        <v>736</v>
      </c>
      <c r="O122" s="143" t="s">
        <v>663</v>
      </c>
      <c r="P122" s="143">
        <v>3033</v>
      </c>
      <c r="Q122" s="137" t="s">
        <v>2486</v>
      </c>
      <c r="R122" s="137" t="s">
        <v>2486</v>
      </c>
      <c r="S122" s="137" t="s">
        <v>2487</v>
      </c>
      <c r="T122" s="137" t="s">
        <v>2486</v>
      </c>
      <c r="U122" s="137" t="s">
        <v>2487</v>
      </c>
      <c r="V122" s="137" t="s">
        <v>2487</v>
      </c>
      <c r="W122" s="137" t="s">
        <v>2486</v>
      </c>
      <c r="X122" s="137" t="s">
        <v>2486</v>
      </c>
      <c r="Y122" s="137" t="s">
        <v>2486</v>
      </c>
      <c r="Z122" s="137" t="s">
        <v>2486</v>
      </c>
      <c r="AA122" s="137" t="s">
        <v>2486</v>
      </c>
      <c r="AB122" s="137">
        <v>0.72727269999999999</v>
      </c>
      <c r="AD122" s="143" t="s">
        <v>741</v>
      </c>
      <c r="AE122" s="143" t="s">
        <v>736</v>
      </c>
      <c r="AF122" s="143" t="s">
        <v>663</v>
      </c>
      <c r="AG122" s="143">
        <v>3033</v>
      </c>
      <c r="AO122" s="190">
        <v>0.8</v>
      </c>
      <c r="AP122" s="190">
        <v>0.8</v>
      </c>
      <c r="AQ122" s="78" t="s">
        <v>2487</v>
      </c>
      <c r="AS122" s="143" t="s">
        <v>741</v>
      </c>
      <c r="AT122" s="143" t="s">
        <v>736</v>
      </c>
      <c r="AU122" s="143" t="s">
        <v>663</v>
      </c>
      <c r="AV122" s="143">
        <v>3033</v>
      </c>
      <c r="AW122" s="137" t="s">
        <v>2838</v>
      </c>
      <c r="AX122" s="137" t="s">
        <v>2838</v>
      </c>
      <c r="AY122" s="137" t="s">
        <v>2838</v>
      </c>
      <c r="AZ122" s="137" t="s">
        <v>2838</v>
      </c>
      <c r="BA122" s="137" t="s">
        <v>2838</v>
      </c>
      <c r="BB122" s="137" t="s">
        <v>2838</v>
      </c>
      <c r="BC122" s="137" t="s">
        <v>2838</v>
      </c>
      <c r="BD122" s="137" t="s">
        <v>2838</v>
      </c>
      <c r="BE122" s="137" t="s">
        <v>2838</v>
      </c>
      <c r="BF122" s="137" t="s">
        <v>2838</v>
      </c>
      <c r="BI122" s="137" t="s">
        <v>2486</v>
      </c>
      <c r="BJ122" s="137" t="s">
        <v>2486</v>
      </c>
      <c r="BK122" s="190" t="s">
        <v>2486</v>
      </c>
      <c r="BL122" s="190">
        <v>1</v>
      </c>
      <c r="BM122" s="78" t="s">
        <v>2486</v>
      </c>
      <c r="BO122" s="143" t="s">
        <v>741</v>
      </c>
      <c r="BP122" s="143" t="s">
        <v>736</v>
      </c>
      <c r="BQ122" s="143" t="s">
        <v>663</v>
      </c>
      <c r="BR122" s="143">
        <v>3033</v>
      </c>
      <c r="BY122" s="78" t="s">
        <v>2838</v>
      </c>
    </row>
    <row r="123" spans="1:77" x14ac:dyDescent="0.35">
      <c r="A123" s="143" t="s">
        <v>741</v>
      </c>
      <c r="B123" s="143" t="s">
        <v>736</v>
      </c>
      <c r="C123" s="143" t="s">
        <v>663</v>
      </c>
      <c r="D123" s="143">
        <v>3135</v>
      </c>
      <c r="E123" s="137">
        <v>0.14545449999999999</v>
      </c>
      <c r="F123" s="137">
        <v>0.6815118</v>
      </c>
      <c r="G123" s="271">
        <v>0.82696630000000004</v>
      </c>
      <c r="H123" s="137" t="s">
        <v>2487</v>
      </c>
      <c r="I123" s="137">
        <v>0.15</v>
      </c>
      <c r="J123" s="137">
        <v>0.48614230000000003</v>
      </c>
      <c r="K123" s="137">
        <v>0.63614230000000005</v>
      </c>
      <c r="M123" s="143" t="s">
        <v>741</v>
      </c>
      <c r="N123" s="143" t="s">
        <v>736</v>
      </c>
      <c r="O123" s="143" t="s">
        <v>663</v>
      </c>
      <c r="P123" s="143">
        <v>3135</v>
      </c>
      <c r="Q123" s="137" t="s">
        <v>2486</v>
      </c>
      <c r="R123" s="137" t="s">
        <v>2486</v>
      </c>
      <c r="S123" s="137" t="s">
        <v>2486</v>
      </c>
      <c r="T123" s="137" t="s">
        <v>2486</v>
      </c>
      <c r="U123" s="137" t="s">
        <v>2487</v>
      </c>
      <c r="V123" s="137" t="s">
        <v>2487</v>
      </c>
      <c r="W123" s="137" t="s">
        <v>2486</v>
      </c>
      <c r="X123" s="137" t="s">
        <v>2486</v>
      </c>
      <c r="Y123" s="137" t="s">
        <v>2486</v>
      </c>
      <c r="Z123" s="137" t="s">
        <v>2486</v>
      </c>
      <c r="AA123" s="137" t="s">
        <v>2486</v>
      </c>
      <c r="AB123" s="137">
        <v>0.81818179999999996</v>
      </c>
      <c r="AD123" s="143" t="s">
        <v>741</v>
      </c>
      <c r="AE123" s="143" t="s">
        <v>736</v>
      </c>
      <c r="AF123" s="143" t="s">
        <v>663</v>
      </c>
      <c r="AG123" s="143">
        <v>3135</v>
      </c>
      <c r="AO123" s="190">
        <v>0.82499999999999996</v>
      </c>
      <c r="AP123" s="190">
        <v>0.82499999999999996</v>
      </c>
      <c r="AQ123" s="78" t="s">
        <v>2487</v>
      </c>
      <c r="AS123" s="143" t="s">
        <v>741</v>
      </c>
      <c r="AT123" s="143" t="s">
        <v>736</v>
      </c>
      <c r="AU123" s="143" t="s">
        <v>663</v>
      </c>
      <c r="AV123" s="143">
        <v>3135</v>
      </c>
      <c r="AW123" s="137" t="s">
        <v>2838</v>
      </c>
      <c r="AX123" s="137" t="s">
        <v>2838</v>
      </c>
      <c r="AY123" s="137" t="s">
        <v>2838</v>
      </c>
      <c r="AZ123" s="137" t="s">
        <v>2838</v>
      </c>
      <c r="BA123" s="137" t="s">
        <v>2838</v>
      </c>
      <c r="BB123" s="137" t="s">
        <v>2838</v>
      </c>
      <c r="BC123" s="137" t="s">
        <v>2838</v>
      </c>
      <c r="BD123" s="137" t="s">
        <v>2838</v>
      </c>
      <c r="BE123" s="137" t="s">
        <v>2838</v>
      </c>
      <c r="BF123" s="137" t="s">
        <v>2838</v>
      </c>
      <c r="BI123" s="137" t="s">
        <v>2486</v>
      </c>
      <c r="BJ123" s="137" t="s">
        <v>2486</v>
      </c>
      <c r="BK123" s="190" t="s">
        <v>2486</v>
      </c>
      <c r="BL123" s="190">
        <v>1</v>
      </c>
      <c r="BM123" s="78" t="s">
        <v>2486</v>
      </c>
      <c r="BO123" s="143" t="s">
        <v>741</v>
      </c>
      <c r="BP123" s="143" t="s">
        <v>736</v>
      </c>
      <c r="BQ123" s="143" t="s">
        <v>663</v>
      </c>
      <c r="BR123" s="143">
        <v>3135</v>
      </c>
      <c r="BY123" s="78" t="s">
        <v>2838</v>
      </c>
    </row>
    <row r="124" spans="1:77" x14ac:dyDescent="0.35">
      <c r="A124" s="143" t="s">
        <v>742</v>
      </c>
      <c r="B124" s="143" t="s">
        <v>743</v>
      </c>
      <c r="C124" s="143" t="s">
        <v>2452</v>
      </c>
      <c r="D124" s="143">
        <v>682</v>
      </c>
      <c r="E124" s="137">
        <v>0.2</v>
      </c>
      <c r="F124" s="137">
        <v>0.68711109999999997</v>
      </c>
      <c r="G124" s="271">
        <v>0.88711110000000004</v>
      </c>
      <c r="H124" s="137" t="s">
        <v>2487</v>
      </c>
      <c r="I124" s="137">
        <v>0.2</v>
      </c>
      <c r="J124" s="137">
        <v>0.79325840000000003</v>
      </c>
      <c r="K124" s="137">
        <v>0.99325839999999999</v>
      </c>
      <c r="M124" s="143" t="s">
        <v>742</v>
      </c>
      <c r="N124" s="143" t="s">
        <v>743</v>
      </c>
      <c r="O124" s="143" t="s">
        <v>2452</v>
      </c>
      <c r="P124" s="143">
        <v>682</v>
      </c>
      <c r="Q124" s="137" t="s">
        <v>2486</v>
      </c>
      <c r="R124" s="137" t="s">
        <v>2486</v>
      </c>
      <c r="S124" s="137" t="s">
        <v>2486</v>
      </c>
      <c r="T124" s="137" t="s">
        <v>2486</v>
      </c>
      <c r="U124" s="137" t="s">
        <v>2486</v>
      </c>
      <c r="V124" s="137" t="s">
        <v>2486</v>
      </c>
      <c r="W124" s="137" t="s">
        <v>2486</v>
      </c>
      <c r="X124" s="137" t="s">
        <v>2486</v>
      </c>
      <c r="Y124" s="137" t="s">
        <v>2486</v>
      </c>
      <c r="Z124" s="137" t="s">
        <v>2486</v>
      </c>
      <c r="AA124" s="137" t="s">
        <v>2486</v>
      </c>
      <c r="AB124" s="137">
        <v>1</v>
      </c>
      <c r="AD124" s="143" t="s">
        <v>742</v>
      </c>
      <c r="AE124" s="143" t="s">
        <v>743</v>
      </c>
      <c r="AF124" s="143" t="s">
        <v>2452</v>
      </c>
      <c r="AG124" s="143">
        <v>682</v>
      </c>
      <c r="AH124" s="137">
        <v>0.98461540000000003</v>
      </c>
      <c r="AI124" s="137">
        <v>0.92</v>
      </c>
      <c r="AJ124" s="137">
        <v>1</v>
      </c>
      <c r="AK124" s="137">
        <v>1</v>
      </c>
      <c r="AL124" s="137">
        <v>1</v>
      </c>
      <c r="AM124" s="137">
        <v>1</v>
      </c>
      <c r="AN124" s="137">
        <v>1</v>
      </c>
      <c r="AO124" s="190">
        <v>1</v>
      </c>
      <c r="AP124" s="190">
        <v>0.98689959999999999</v>
      </c>
      <c r="AQ124" s="78" t="s">
        <v>2486</v>
      </c>
      <c r="AS124" s="143" t="s">
        <v>742</v>
      </c>
      <c r="AT124" s="143" t="s">
        <v>743</v>
      </c>
      <c r="AU124" s="143" t="s">
        <v>2452</v>
      </c>
      <c r="AV124" s="143">
        <v>682</v>
      </c>
      <c r="AW124" s="137" t="s">
        <v>2486</v>
      </c>
      <c r="AX124" s="137" t="s">
        <v>2486</v>
      </c>
      <c r="AY124" s="137" t="s">
        <v>2486</v>
      </c>
      <c r="AZ124" s="137" t="s">
        <v>2487</v>
      </c>
      <c r="BA124" s="137" t="s">
        <v>2486</v>
      </c>
      <c r="BB124" s="137" t="s">
        <v>2486</v>
      </c>
      <c r="BC124" s="137" t="s">
        <v>2486</v>
      </c>
      <c r="BD124" s="137" t="s">
        <v>2486</v>
      </c>
      <c r="BE124" s="137" t="s">
        <v>2486</v>
      </c>
      <c r="BF124" s="137" t="s">
        <v>2486</v>
      </c>
      <c r="BI124" s="137" t="s">
        <v>2838</v>
      </c>
      <c r="BJ124" s="137" t="s">
        <v>2838</v>
      </c>
      <c r="BK124" s="190" t="s">
        <v>2838</v>
      </c>
      <c r="BL124" s="190">
        <v>0.9</v>
      </c>
      <c r="BM124" s="78" t="s">
        <v>2487</v>
      </c>
      <c r="BO124" s="143" t="s">
        <v>742</v>
      </c>
      <c r="BP124" s="143" t="s">
        <v>743</v>
      </c>
      <c r="BQ124" s="143" t="s">
        <v>2452</v>
      </c>
      <c r="BR124" s="143">
        <v>682</v>
      </c>
      <c r="BS124" s="156">
        <v>3</v>
      </c>
      <c r="BT124" s="156">
        <v>1</v>
      </c>
      <c r="BU124" s="156">
        <v>1</v>
      </c>
      <c r="BV124" s="156">
        <v>0.32500000000000001</v>
      </c>
      <c r="BW124" s="169">
        <v>1</v>
      </c>
      <c r="BX124" s="169">
        <v>0.83125000000000004</v>
      </c>
      <c r="BY124" s="78" t="s">
        <v>2487</v>
      </c>
    </row>
    <row r="125" spans="1:77" x14ac:dyDescent="0.35">
      <c r="A125" s="143" t="s">
        <v>742</v>
      </c>
      <c r="B125" s="143" t="s">
        <v>743</v>
      </c>
      <c r="C125" s="143" t="s">
        <v>663</v>
      </c>
      <c r="D125" s="143">
        <v>2978</v>
      </c>
      <c r="E125" s="137">
        <v>0.14545449999999999</v>
      </c>
      <c r="F125" s="137">
        <v>0.64555669999999998</v>
      </c>
      <c r="G125" s="271">
        <v>0.79101120000000003</v>
      </c>
      <c r="H125" s="137" t="s">
        <v>2487</v>
      </c>
      <c r="I125" s="137">
        <v>0.1833333</v>
      </c>
      <c r="J125" s="137">
        <v>0.71235950000000003</v>
      </c>
      <c r="K125" s="137">
        <v>0.89569290000000001</v>
      </c>
      <c r="M125" s="143" t="s">
        <v>742</v>
      </c>
      <c r="N125" s="143" t="s">
        <v>743</v>
      </c>
      <c r="O125" s="143" t="s">
        <v>663</v>
      </c>
      <c r="P125" s="143">
        <v>2978</v>
      </c>
      <c r="Q125" s="137" t="s">
        <v>2486</v>
      </c>
      <c r="R125" s="137" t="s">
        <v>2486</v>
      </c>
      <c r="S125" s="137" t="s">
        <v>2486</v>
      </c>
      <c r="T125" s="137" t="s">
        <v>2487</v>
      </c>
      <c r="U125" s="137" t="s">
        <v>2487</v>
      </c>
      <c r="V125" s="137" t="s">
        <v>2487</v>
      </c>
      <c r="W125" s="137" t="s">
        <v>2486</v>
      </c>
      <c r="X125" s="137" t="s">
        <v>2487</v>
      </c>
      <c r="Y125" s="137" t="s">
        <v>2486</v>
      </c>
      <c r="Z125" s="137" t="s">
        <v>2486</v>
      </c>
      <c r="AA125" s="137" t="s">
        <v>2486</v>
      </c>
      <c r="AB125" s="137">
        <v>0.63636360000000003</v>
      </c>
      <c r="AD125" s="143" t="s">
        <v>742</v>
      </c>
      <c r="AE125" s="143" t="s">
        <v>743</v>
      </c>
      <c r="AF125" s="143" t="s">
        <v>663</v>
      </c>
      <c r="AG125" s="143">
        <v>2978</v>
      </c>
      <c r="AO125" s="190">
        <v>0.95</v>
      </c>
      <c r="AP125" s="190">
        <v>0.95</v>
      </c>
      <c r="AQ125" s="78" t="s">
        <v>2487</v>
      </c>
      <c r="AS125" s="143" t="s">
        <v>742</v>
      </c>
      <c r="AT125" s="143" t="s">
        <v>743</v>
      </c>
      <c r="AU125" s="143" t="s">
        <v>663</v>
      </c>
      <c r="AV125" s="143">
        <v>2978</v>
      </c>
      <c r="AW125" s="137" t="s">
        <v>2838</v>
      </c>
      <c r="AX125" s="137" t="s">
        <v>2838</v>
      </c>
      <c r="AY125" s="137" t="s">
        <v>2838</v>
      </c>
      <c r="AZ125" s="137" t="s">
        <v>2838</v>
      </c>
      <c r="BA125" s="137" t="s">
        <v>2838</v>
      </c>
      <c r="BB125" s="137" t="s">
        <v>2838</v>
      </c>
      <c r="BC125" s="137" t="s">
        <v>2838</v>
      </c>
      <c r="BD125" s="137" t="s">
        <v>2838</v>
      </c>
      <c r="BE125" s="137" t="s">
        <v>2838</v>
      </c>
      <c r="BF125" s="137" t="s">
        <v>2838</v>
      </c>
      <c r="BI125" s="137" t="s">
        <v>2486</v>
      </c>
      <c r="BJ125" s="137" t="s">
        <v>2486</v>
      </c>
      <c r="BK125" s="190" t="s">
        <v>2486</v>
      </c>
      <c r="BL125" s="190">
        <v>1</v>
      </c>
      <c r="BM125" s="78" t="s">
        <v>2486</v>
      </c>
      <c r="BO125" s="143" t="s">
        <v>742</v>
      </c>
      <c r="BP125" s="143" t="s">
        <v>743</v>
      </c>
      <c r="BQ125" s="143" t="s">
        <v>663</v>
      </c>
      <c r="BR125" s="143">
        <v>2978</v>
      </c>
      <c r="BY125" s="78" t="s">
        <v>2838</v>
      </c>
    </row>
    <row r="126" spans="1:77" x14ac:dyDescent="0.35">
      <c r="A126" s="143" t="s">
        <v>742</v>
      </c>
      <c r="B126" s="143" t="s">
        <v>743</v>
      </c>
      <c r="C126" s="143" t="s">
        <v>663</v>
      </c>
      <c r="D126" s="143">
        <v>4395</v>
      </c>
      <c r="E126" s="137">
        <v>0.12727269999999999</v>
      </c>
      <c r="F126" s="137">
        <v>0.437998</v>
      </c>
      <c r="G126" s="271">
        <v>0.56527070000000001</v>
      </c>
      <c r="H126" s="137" t="s">
        <v>2487</v>
      </c>
      <c r="I126" s="137">
        <v>0.2</v>
      </c>
      <c r="J126" s="137">
        <v>0.78277149999999995</v>
      </c>
      <c r="K126" s="137">
        <v>0.98277150000000002</v>
      </c>
      <c r="M126" s="143" t="s">
        <v>742</v>
      </c>
      <c r="N126" s="143" t="s">
        <v>743</v>
      </c>
      <c r="O126" s="143" t="s">
        <v>663</v>
      </c>
      <c r="P126" s="143">
        <v>4395</v>
      </c>
      <c r="Q126" s="137" t="s">
        <v>2486</v>
      </c>
      <c r="R126" s="137" t="s">
        <v>2486</v>
      </c>
      <c r="S126" s="137" t="s">
        <v>2486</v>
      </c>
      <c r="T126" s="137" t="s">
        <v>2486</v>
      </c>
      <c r="U126" s="137" t="s">
        <v>2487</v>
      </c>
      <c r="V126" s="137" t="s">
        <v>2487</v>
      </c>
      <c r="W126" s="137" t="s">
        <v>2486</v>
      </c>
      <c r="X126" s="137" t="s">
        <v>2486</v>
      </c>
      <c r="Y126" s="137" t="s">
        <v>2486</v>
      </c>
      <c r="Z126" s="137" t="s">
        <v>2486</v>
      </c>
      <c r="AA126" s="137" t="s">
        <v>2486</v>
      </c>
      <c r="AB126" s="137">
        <v>0.81818179999999996</v>
      </c>
      <c r="AD126" s="143" t="s">
        <v>742</v>
      </c>
      <c r="AE126" s="143" t="s">
        <v>743</v>
      </c>
      <c r="AF126" s="143" t="s">
        <v>663</v>
      </c>
      <c r="AG126" s="143">
        <v>4395</v>
      </c>
      <c r="AO126" s="190">
        <v>0.98750000000000004</v>
      </c>
      <c r="AP126" s="190">
        <v>0.98750000000000004</v>
      </c>
      <c r="AQ126" s="78" t="s">
        <v>2486</v>
      </c>
      <c r="AS126" s="143" t="s">
        <v>742</v>
      </c>
      <c r="AT126" s="143" t="s">
        <v>743</v>
      </c>
      <c r="AU126" s="143" t="s">
        <v>663</v>
      </c>
      <c r="AV126" s="143">
        <v>4395</v>
      </c>
      <c r="AW126" s="137" t="s">
        <v>2838</v>
      </c>
      <c r="AX126" s="137" t="s">
        <v>2838</v>
      </c>
      <c r="AY126" s="137" t="s">
        <v>2838</v>
      </c>
      <c r="AZ126" s="137" t="s">
        <v>2838</v>
      </c>
      <c r="BA126" s="137" t="s">
        <v>2838</v>
      </c>
      <c r="BB126" s="137" t="s">
        <v>2838</v>
      </c>
      <c r="BC126" s="137" t="s">
        <v>2838</v>
      </c>
      <c r="BD126" s="137" t="s">
        <v>2838</v>
      </c>
      <c r="BE126" s="137" t="s">
        <v>2838</v>
      </c>
      <c r="BF126" s="137" t="s">
        <v>2838</v>
      </c>
      <c r="BI126" s="137" t="s">
        <v>2486</v>
      </c>
      <c r="BJ126" s="137" t="s">
        <v>2486</v>
      </c>
      <c r="BK126" s="190" t="s">
        <v>2486</v>
      </c>
      <c r="BL126" s="190">
        <v>1</v>
      </c>
      <c r="BM126" s="78" t="s">
        <v>2486</v>
      </c>
      <c r="BO126" s="143" t="s">
        <v>742</v>
      </c>
      <c r="BP126" s="143" t="s">
        <v>743</v>
      </c>
      <c r="BQ126" s="143" t="s">
        <v>663</v>
      </c>
      <c r="BR126" s="143">
        <v>4395</v>
      </c>
      <c r="BY126" s="78" t="s">
        <v>2838</v>
      </c>
    </row>
    <row r="127" spans="1:77" x14ac:dyDescent="0.35">
      <c r="A127" s="143" t="s">
        <v>742</v>
      </c>
      <c r="B127" s="143" t="s">
        <v>743</v>
      </c>
      <c r="C127" s="143" t="s">
        <v>663</v>
      </c>
      <c r="D127" s="143">
        <v>4396</v>
      </c>
      <c r="E127" s="137">
        <v>0.2</v>
      </c>
      <c r="F127" s="137">
        <v>0.78365680000000004</v>
      </c>
      <c r="G127" s="271">
        <v>0.9836568</v>
      </c>
      <c r="H127" s="137" t="s">
        <v>2486</v>
      </c>
      <c r="I127" s="137">
        <v>0.2</v>
      </c>
      <c r="J127" s="137">
        <v>0.8</v>
      </c>
      <c r="K127" s="137">
        <v>1</v>
      </c>
      <c r="M127" s="143" t="s">
        <v>742</v>
      </c>
      <c r="N127" s="143" t="s">
        <v>743</v>
      </c>
      <c r="O127" s="143" t="s">
        <v>663</v>
      </c>
      <c r="P127" s="143">
        <v>4396</v>
      </c>
      <c r="Q127" s="137" t="s">
        <v>2486</v>
      </c>
      <c r="R127" s="137" t="s">
        <v>2486</v>
      </c>
      <c r="S127" s="137" t="s">
        <v>2486</v>
      </c>
      <c r="T127" s="137" t="s">
        <v>2486</v>
      </c>
      <c r="U127" s="137" t="s">
        <v>2487</v>
      </c>
      <c r="V127" s="137" t="s">
        <v>2487</v>
      </c>
      <c r="W127" s="137" t="s">
        <v>2486</v>
      </c>
      <c r="X127" s="137" t="s">
        <v>2486</v>
      </c>
      <c r="Y127" s="137" t="s">
        <v>2486</v>
      </c>
      <c r="Z127" s="137" t="s">
        <v>2486</v>
      </c>
      <c r="AA127" s="137" t="s">
        <v>2486</v>
      </c>
      <c r="AB127" s="137">
        <v>0.81818179999999996</v>
      </c>
      <c r="AD127" s="143" t="s">
        <v>742</v>
      </c>
      <c r="AE127" s="143" t="s">
        <v>743</v>
      </c>
      <c r="AF127" s="143" t="s">
        <v>663</v>
      </c>
      <c r="AG127" s="143">
        <v>4396</v>
      </c>
      <c r="AO127" s="190">
        <v>0.97499999999999998</v>
      </c>
      <c r="AP127" s="190">
        <v>0.97499999999999998</v>
      </c>
      <c r="AQ127" s="78" t="s">
        <v>2486</v>
      </c>
      <c r="AS127" s="143" t="s">
        <v>742</v>
      </c>
      <c r="AT127" s="143" t="s">
        <v>743</v>
      </c>
      <c r="AU127" s="143" t="s">
        <v>663</v>
      </c>
      <c r="AV127" s="143">
        <v>4396</v>
      </c>
      <c r="AW127" s="137" t="s">
        <v>2838</v>
      </c>
      <c r="AX127" s="137" t="s">
        <v>2838</v>
      </c>
      <c r="AY127" s="137" t="s">
        <v>2838</v>
      </c>
      <c r="AZ127" s="137" t="s">
        <v>2838</v>
      </c>
      <c r="BA127" s="137" t="s">
        <v>2838</v>
      </c>
      <c r="BB127" s="137" t="s">
        <v>2838</v>
      </c>
      <c r="BC127" s="137" t="s">
        <v>2838</v>
      </c>
      <c r="BD127" s="137" t="s">
        <v>2838</v>
      </c>
      <c r="BE127" s="137" t="s">
        <v>2838</v>
      </c>
      <c r="BF127" s="137" t="s">
        <v>2838</v>
      </c>
      <c r="BI127" s="137" t="s">
        <v>2486</v>
      </c>
      <c r="BJ127" s="137" t="s">
        <v>2486</v>
      </c>
      <c r="BK127" s="190" t="s">
        <v>2486</v>
      </c>
      <c r="BL127" s="190">
        <v>1</v>
      </c>
      <c r="BM127" s="78" t="s">
        <v>2486</v>
      </c>
      <c r="BO127" s="143" t="s">
        <v>742</v>
      </c>
      <c r="BP127" s="143" t="s">
        <v>743</v>
      </c>
      <c r="BQ127" s="143" t="s">
        <v>663</v>
      </c>
      <c r="BR127" s="143">
        <v>4396</v>
      </c>
      <c r="BY127" s="78" t="s">
        <v>2838</v>
      </c>
    </row>
    <row r="128" spans="1:77" x14ac:dyDescent="0.35">
      <c r="A128" s="143" t="s">
        <v>742</v>
      </c>
      <c r="B128" s="143" t="s">
        <v>743</v>
      </c>
      <c r="C128" s="143" t="s">
        <v>663</v>
      </c>
      <c r="D128" s="143">
        <v>4399</v>
      </c>
      <c r="E128" s="137">
        <v>0.14545449999999999</v>
      </c>
      <c r="F128" s="137">
        <v>0.51235960000000003</v>
      </c>
      <c r="G128" s="271">
        <v>0.65781409999999996</v>
      </c>
      <c r="H128" s="137" t="s">
        <v>2487</v>
      </c>
      <c r="I128" s="137">
        <v>0.2</v>
      </c>
      <c r="J128" s="137">
        <v>0.60224719999999998</v>
      </c>
      <c r="K128" s="137">
        <v>0.80224720000000005</v>
      </c>
      <c r="M128" s="143" t="s">
        <v>742</v>
      </c>
      <c r="N128" s="143" t="s">
        <v>743</v>
      </c>
      <c r="O128" s="143" t="s">
        <v>663</v>
      </c>
      <c r="P128" s="143">
        <v>4399</v>
      </c>
      <c r="Q128" s="137" t="s">
        <v>2486</v>
      </c>
      <c r="R128" s="137" t="s">
        <v>2486</v>
      </c>
      <c r="S128" s="137" t="s">
        <v>2486</v>
      </c>
      <c r="T128" s="137" t="s">
        <v>2486</v>
      </c>
      <c r="U128" s="137" t="s">
        <v>2487</v>
      </c>
      <c r="V128" s="137" t="s">
        <v>2487</v>
      </c>
      <c r="W128" s="137" t="s">
        <v>2486</v>
      </c>
      <c r="X128" s="137" t="s">
        <v>2486</v>
      </c>
      <c r="Y128" s="137" t="s">
        <v>2486</v>
      </c>
      <c r="Z128" s="137" t="s">
        <v>2486</v>
      </c>
      <c r="AA128" s="137" t="s">
        <v>2486</v>
      </c>
      <c r="AB128" s="137">
        <v>0.81818179999999996</v>
      </c>
      <c r="AD128" s="143" t="s">
        <v>742</v>
      </c>
      <c r="AE128" s="143" t="s">
        <v>743</v>
      </c>
      <c r="AF128" s="143" t="s">
        <v>663</v>
      </c>
      <c r="AG128" s="143">
        <v>4399</v>
      </c>
      <c r="AO128" s="190">
        <v>0.86250000000000004</v>
      </c>
      <c r="AP128" s="190">
        <v>0.86250000000000004</v>
      </c>
      <c r="AQ128" s="78" t="s">
        <v>2487</v>
      </c>
      <c r="AS128" s="143" t="s">
        <v>742</v>
      </c>
      <c r="AT128" s="143" t="s">
        <v>743</v>
      </c>
      <c r="AU128" s="143" t="s">
        <v>663</v>
      </c>
      <c r="AV128" s="143">
        <v>4399</v>
      </c>
      <c r="AW128" s="137" t="s">
        <v>2838</v>
      </c>
      <c r="AX128" s="137" t="s">
        <v>2838</v>
      </c>
      <c r="AY128" s="137" t="s">
        <v>2838</v>
      </c>
      <c r="AZ128" s="137" t="s">
        <v>2838</v>
      </c>
      <c r="BA128" s="137" t="s">
        <v>2838</v>
      </c>
      <c r="BB128" s="137" t="s">
        <v>2838</v>
      </c>
      <c r="BC128" s="137" t="s">
        <v>2838</v>
      </c>
      <c r="BD128" s="137" t="s">
        <v>2838</v>
      </c>
      <c r="BE128" s="137" t="s">
        <v>2838</v>
      </c>
      <c r="BF128" s="137" t="s">
        <v>2838</v>
      </c>
      <c r="BI128" s="137" t="s">
        <v>2486</v>
      </c>
      <c r="BJ128" s="137" t="s">
        <v>2486</v>
      </c>
      <c r="BK128" s="190" t="s">
        <v>2486</v>
      </c>
      <c r="BL128" s="190">
        <v>1</v>
      </c>
      <c r="BM128" s="78" t="s">
        <v>2486</v>
      </c>
      <c r="BO128" s="143" t="s">
        <v>742</v>
      </c>
      <c r="BP128" s="143" t="s">
        <v>743</v>
      </c>
      <c r="BQ128" s="143" t="s">
        <v>663</v>
      </c>
      <c r="BR128" s="143">
        <v>4399</v>
      </c>
      <c r="BY128" s="78" t="s">
        <v>2838</v>
      </c>
    </row>
    <row r="129" spans="1:77" x14ac:dyDescent="0.35">
      <c r="A129" s="143" t="s">
        <v>742</v>
      </c>
      <c r="B129" s="143" t="s">
        <v>743</v>
      </c>
      <c r="C129" s="143" t="s">
        <v>663</v>
      </c>
      <c r="D129" s="143">
        <v>4402</v>
      </c>
      <c r="E129" s="137">
        <v>0.18181820000000001</v>
      </c>
      <c r="F129" s="137">
        <v>0.45760980000000001</v>
      </c>
      <c r="G129" s="271">
        <v>0.639428</v>
      </c>
      <c r="H129" s="137" t="s">
        <v>2487</v>
      </c>
      <c r="I129" s="137">
        <v>0.1833333</v>
      </c>
      <c r="J129" s="137">
        <v>0.2</v>
      </c>
      <c r="K129" s="137">
        <v>0.38333329999999999</v>
      </c>
      <c r="M129" s="143" t="s">
        <v>742</v>
      </c>
      <c r="N129" s="143" t="s">
        <v>743</v>
      </c>
      <c r="O129" s="143" t="s">
        <v>663</v>
      </c>
      <c r="P129" s="143">
        <v>4402</v>
      </c>
      <c r="Q129" s="137" t="s">
        <v>2487</v>
      </c>
      <c r="R129" s="137" t="s">
        <v>2486</v>
      </c>
      <c r="S129" s="137" t="s">
        <v>2486</v>
      </c>
      <c r="T129" s="137" t="s">
        <v>2486</v>
      </c>
      <c r="U129" s="137" t="s">
        <v>2487</v>
      </c>
      <c r="V129" s="137" t="s">
        <v>2487</v>
      </c>
      <c r="W129" s="137" t="s">
        <v>2487</v>
      </c>
      <c r="X129" s="137" t="s">
        <v>2487</v>
      </c>
      <c r="Y129" s="137" t="s">
        <v>2487</v>
      </c>
      <c r="Z129" s="137" t="s">
        <v>2486</v>
      </c>
      <c r="AA129" s="137" t="s">
        <v>2486</v>
      </c>
      <c r="AB129" s="137">
        <v>0.45454549999999999</v>
      </c>
      <c r="AD129" s="143" t="s">
        <v>742</v>
      </c>
      <c r="AE129" s="143" t="s">
        <v>743</v>
      </c>
      <c r="AF129" s="143" t="s">
        <v>663</v>
      </c>
      <c r="AG129" s="143">
        <v>4402</v>
      </c>
      <c r="AO129" s="190">
        <v>0.9375</v>
      </c>
      <c r="AP129" s="190">
        <v>0.9375</v>
      </c>
      <c r="AQ129" s="78" t="s">
        <v>2487</v>
      </c>
      <c r="AS129" s="143" t="s">
        <v>742</v>
      </c>
      <c r="AT129" s="143" t="s">
        <v>743</v>
      </c>
      <c r="AU129" s="143" t="s">
        <v>663</v>
      </c>
      <c r="AV129" s="143">
        <v>4402</v>
      </c>
      <c r="AW129" s="137" t="s">
        <v>2838</v>
      </c>
      <c r="AX129" s="137" t="s">
        <v>2838</v>
      </c>
      <c r="AY129" s="137" t="s">
        <v>2838</v>
      </c>
      <c r="AZ129" s="137" t="s">
        <v>2838</v>
      </c>
      <c r="BA129" s="137" t="s">
        <v>2838</v>
      </c>
      <c r="BB129" s="137" t="s">
        <v>2838</v>
      </c>
      <c r="BC129" s="137" t="s">
        <v>2838</v>
      </c>
      <c r="BD129" s="137" t="s">
        <v>2838</v>
      </c>
      <c r="BE129" s="137" t="s">
        <v>2838</v>
      </c>
      <c r="BF129" s="137" t="s">
        <v>2838</v>
      </c>
      <c r="BI129" s="137" t="s">
        <v>2486</v>
      </c>
      <c r="BJ129" s="137" t="s">
        <v>2486</v>
      </c>
      <c r="BK129" s="190" t="s">
        <v>2486</v>
      </c>
      <c r="BL129" s="190">
        <v>1</v>
      </c>
      <c r="BM129" s="78" t="s">
        <v>2486</v>
      </c>
      <c r="BO129" s="143" t="s">
        <v>742</v>
      </c>
      <c r="BP129" s="143" t="s">
        <v>743</v>
      </c>
      <c r="BQ129" s="143" t="s">
        <v>663</v>
      </c>
      <c r="BR129" s="143">
        <v>4402</v>
      </c>
      <c r="BY129" s="78" t="s">
        <v>2838</v>
      </c>
    </row>
    <row r="130" spans="1:77" x14ac:dyDescent="0.35">
      <c r="A130" s="143" t="s">
        <v>744</v>
      </c>
      <c r="B130" s="143" t="s">
        <v>743</v>
      </c>
      <c r="C130" s="143" t="s">
        <v>663</v>
      </c>
      <c r="D130" s="143">
        <v>2023</v>
      </c>
      <c r="E130" s="137">
        <v>0.2</v>
      </c>
      <c r="F130" s="137">
        <v>0.8</v>
      </c>
      <c r="G130" s="271">
        <v>1</v>
      </c>
      <c r="H130" s="137" t="s">
        <v>2486</v>
      </c>
      <c r="I130" s="137">
        <v>0.2</v>
      </c>
      <c r="J130" s="137">
        <v>0.8</v>
      </c>
      <c r="K130" s="137">
        <v>1</v>
      </c>
      <c r="M130" s="143" t="s">
        <v>744</v>
      </c>
      <c r="N130" s="143" t="s">
        <v>743</v>
      </c>
      <c r="O130" s="143" t="s">
        <v>663</v>
      </c>
      <c r="P130" s="143">
        <v>2023</v>
      </c>
      <c r="Q130" s="137" t="s">
        <v>2486</v>
      </c>
      <c r="R130" s="137" t="s">
        <v>2486</v>
      </c>
      <c r="S130" s="137" t="s">
        <v>2486</v>
      </c>
      <c r="T130" s="137" t="s">
        <v>2486</v>
      </c>
      <c r="U130" s="137" t="s">
        <v>2487</v>
      </c>
      <c r="V130" s="137" t="s">
        <v>2487</v>
      </c>
      <c r="W130" s="137" t="s">
        <v>2486</v>
      </c>
      <c r="X130" s="137" t="s">
        <v>2486</v>
      </c>
      <c r="Y130" s="137" t="s">
        <v>2486</v>
      </c>
      <c r="Z130" s="137" t="s">
        <v>2486</v>
      </c>
      <c r="AA130" s="137" t="s">
        <v>2486</v>
      </c>
      <c r="AB130" s="137">
        <v>0.81818179999999996</v>
      </c>
      <c r="AD130" s="143" t="s">
        <v>744</v>
      </c>
      <c r="AE130" s="143" t="s">
        <v>743</v>
      </c>
      <c r="AF130" s="143" t="s">
        <v>663</v>
      </c>
      <c r="AG130" s="143">
        <v>2023</v>
      </c>
      <c r="AO130" s="190">
        <v>0.98750000000000004</v>
      </c>
      <c r="AP130" s="190">
        <v>0.98750000000000004</v>
      </c>
      <c r="AQ130" s="78" t="s">
        <v>2486</v>
      </c>
      <c r="AS130" s="143" t="s">
        <v>744</v>
      </c>
      <c r="AT130" s="143" t="s">
        <v>743</v>
      </c>
      <c r="AU130" s="143" t="s">
        <v>663</v>
      </c>
      <c r="AV130" s="143">
        <v>2023</v>
      </c>
      <c r="AW130" s="137" t="s">
        <v>2838</v>
      </c>
      <c r="AX130" s="137" t="s">
        <v>2838</v>
      </c>
      <c r="AY130" s="137" t="s">
        <v>2838</v>
      </c>
      <c r="AZ130" s="137" t="s">
        <v>2838</v>
      </c>
      <c r="BA130" s="137" t="s">
        <v>2838</v>
      </c>
      <c r="BB130" s="137" t="s">
        <v>2838</v>
      </c>
      <c r="BC130" s="137" t="s">
        <v>2838</v>
      </c>
      <c r="BD130" s="137" t="s">
        <v>2838</v>
      </c>
      <c r="BE130" s="137" t="s">
        <v>2838</v>
      </c>
      <c r="BF130" s="137" t="s">
        <v>2838</v>
      </c>
      <c r="BI130" s="137" t="s">
        <v>2486</v>
      </c>
      <c r="BJ130" s="137" t="s">
        <v>2486</v>
      </c>
      <c r="BK130" s="190" t="s">
        <v>2486</v>
      </c>
      <c r="BL130" s="190">
        <v>1</v>
      </c>
      <c r="BM130" s="78" t="s">
        <v>2486</v>
      </c>
      <c r="BO130" s="143" t="s">
        <v>744</v>
      </c>
      <c r="BP130" s="143" t="s">
        <v>743</v>
      </c>
      <c r="BQ130" s="143" t="s">
        <v>663</v>
      </c>
      <c r="BR130" s="143">
        <v>2023</v>
      </c>
      <c r="BY130" s="78" t="s">
        <v>2838</v>
      </c>
    </row>
    <row r="131" spans="1:77" x14ac:dyDescent="0.35">
      <c r="A131" s="143" t="s">
        <v>744</v>
      </c>
      <c r="B131" s="143" t="s">
        <v>743</v>
      </c>
      <c r="C131" s="143" t="s">
        <v>663</v>
      </c>
      <c r="D131" s="143">
        <v>2708</v>
      </c>
      <c r="E131" s="137">
        <v>0.18181820000000001</v>
      </c>
      <c r="F131" s="137">
        <v>0.71746679999999996</v>
      </c>
      <c r="G131" s="271">
        <v>0.899285</v>
      </c>
      <c r="H131" s="137" t="s">
        <v>2487</v>
      </c>
      <c r="I131" s="137">
        <v>0.2</v>
      </c>
      <c r="J131" s="137">
        <v>0.35505619999999999</v>
      </c>
      <c r="K131" s="137">
        <v>0.5550562</v>
      </c>
      <c r="M131" s="143" t="s">
        <v>744</v>
      </c>
      <c r="N131" s="143" t="s">
        <v>743</v>
      </c>
      <c r="O131" s="143" t="s">
        <v>663</v>
      </c>
      <c r="P131" s="143">
        <v>2708</v>
      </c>
      <c r="Q131" s="137" t="s">
        <v>2487</v>
      </c>
      <c r="R131" s="137" t="s">
        <v>2486</v>
      </c>
      <c r="S131" s="137" t="s">
        <v>2486</v>
      </c>
      <c r="T131" s="137" t="s">
        <v>2486</v>
      </c>
      <c r="U131" s="137" t="s">
        <v>2487</v>
      </c>
      <c r="V131" s="137" t="s">
        <v>2487</v>
      </c>
      <c r="W131" s="137" t="s">
        <v>2486</v>
      </c>
      <c r="X131" s="137" t="s">
        <v>2486</v>
      </c>
      <c r="Y131" s="137" t="s">
        <v>2486</v>
      </c>
      <c r="Z131" s="137" t="s">
        <v>2486</v>
      </c>
      <c r="AA131" s="137" t="s">
        <v>2486</v>
      </c>
      <c r="AB131" s="137">
        <v>0.72727269999999999</v>
      </c>
      <c r="AD131" s="143" t="s">
        <v>744</v>
      </c>
      <c r="AE131" s="143" t="s">
        <v>743</v>
      </c>
      <c r="AF131" s="143" t="s">
        <v>663</v>
      </c>
      <c r="AG131" s="143">
        <v>2708</v>
      </c>
      <c r="AO131" s="190">
        <v>0.97499999999999998</v>
      </c>
      <c r="AP131" s="190">
        <v>0.97499999999999998</v>
      </c>
      <c r="AQ131" s="78" t="s">
        <v>2486</v>
      </c>
      <c r="AS131" s="143" t="s">
        <v>744</v>
      </c>
      <c r="AT131" s="143" t="s">
        <v>743</v>
      </c>
      <c r="AU131" s="143" t="s">
        <v>663</v>
      </c>
      <c r="AV131" s="143">
        <v>2708</v>
      </c>
      <c r="AW131" s="137" t="s">
        <v>2838</v>
      </c>
      <c r="AX131" s="137" t="s">
        <v>2838</v>
      </c>
      <c r="AY131" s="137" t="s">
        <v>2838</v>
      </c>
      <c r="AZ131" s="137" t="s">
        <v>2838</v>
      </c>
      <c r="BA131" s="137" t="s">
        <v>2838</v>
      </c>
      <c r="BB131" s="137" t="s">
        <v>2838</v>
      </c>
      <c r="BC131" s="137" t="s">
        <v>2838</v>
      </c>
      <c r="BD131" s="137" t="s">
        <v>2838</v>
      </c>
      <c r="BE131" s="137" t="s">
        <v>2838</v>
      </c>
      <c r="BF131" s="137" t="s">
        <v>2838</v>
      </c>
      <c r="BI131" s="137" t="s">
        <v>2486</v>
      </c>
      <c r="BJ131" s="137" t="s">
        <v>2486</v>
      </c>
      <c r="BK131" s="190" t="s">
        <v>2486</v>
      </c>
      <c r="BL131" s="190">
        <v>1</v>
      </c>
      <c r="BM131" s="78" t="s">
        <v>2486</v>
      </c>
      <c r="BO131" s="143" t="s">
        <v>744</v>
      </c>
      <c r="BP131" s="143" t="s">
        <v>743</v>
      </c>
      <c r="BQ131" s="143" t="s">
        <v>663</v>
      </c>
      <c r="BR131" s="143">
        <v>2708</v>
      </c>
      <c r="BY131" s="78" t="s">
        <v>2838</v>
      </c>
    </row>
    <row r="132" spans="1:77" x14ac:dyDescent="0.35">
      <c r="A132" s="143" t="s">
        <v>744</v>
      </c>
      <c r="B132" s="143" t="s">
        <v>743</v>
      </c>
      <c r="C132" s="143" t="s">
        <v>663</v>
      </c>
      <c r="D132" s="143">
        <v>3171</v>
      </c>
      <c r="E132" s="137">
        <v>0.14545449999999999</v>
      </c>
      <c r="F132" s="137">
        <v>0.63901940000000002</v>
      </c>
      <c r="G132" s="271">
        <v>0.784474</v>
      </c>
      <c r="H132" s="137" t="s">
        <v>2487</v>
      </c>
      <c r="I132" s="137">
        <v>0.2</v>
      </c>
      <c r="J132" s="137">
        <v>0.73333329999999997</v>
      </c>
      <c r="K132" s="137">
        <v>0.93333330000000003</v>
      </c>
      <c r="M132" s="143" t="s">
        <v>744</v>
      </c>
      <c r="N132" s="143" t="s">
        <v>743</v>
      </c>
      <c r="O132" s="143" t="s">
        <v>663</v>
      </c>
      <c r="P132" s="143">
        <v>3171</v>
      </c>
      <c r="Q132" s="137" t="s">
        <v>2486</v>
      </c>
      <c r="R132" s="137" t="s">
        <v>2486</v>
      </c>
      <c r="S132" s="137" t="s">
        <v>2486</v>
      </c>
      <c r="T132" s="137" t="s">
        <v>2486</v>
      </c>
      <c r="U132" s="137" t="s">
        <v>2487</v>
      </c>
      <c r="V132" s="137" t="s">
        <v>2487</v>
      </c>
      <c r="W132" s="137" t="s">
        <v>2486</v>
      </c>
      <c r="X132" s="137" t="s">
        <v>2486</v>
      </c>
      <c r="Y132" s="137" t="s">
        <v>2486</v>
      </c>
      <c r="Z132" s="137" t="s">
        <v>2486</v>
      </c>
      <c r="AA132" s="137" t="s">
        <v>2486</v>
      </c>
      <c r="AB132" s="137">
        <v>0.81818179999999996</v>
      </c>
      <c r="AD132" s="143" t="s">
        <v>744</v>
      </c>
      <c r="AE132" s="143" t="s">
        <v>743</v>
      </c>
      <c r="AF132" s="143" t="s">
        <v>663</v>
      </c>
      <c r="AG132" s="143">
        <v>3171</v>
      </c>
      <c r="AO132" s="190">
        <v>0.98750000000000004</v>
      </c>
      <c r="AP132" s="190">
        <v>0.98750000000000004</v>
      </c>
      <c r="AQ132" s="78" t="s">
        <v>2486</v>
      </c>
      <c r="AS132" s="143" t="s">
        <v>744</v>
      </c>
      <c r="AT132" s="143" t="s">
        <v>743</v>
      </c>
      <c r="AU132" s="143" t="s">
        <v>663</v>
      </c>
      <c r="AV132" s="143">
        <v>3171</v>
      </c>
      <c r="AW132" s="137" t="s">
        <v>2838</v>
      </c>
      <c r="AX132" s="137" t="s">
        <v>2838</v>
      </c>
      <c r="AY132" s="137" t="s">
        <v>2838</v>
      </c>
      <c r="AZ132" s="137" t="s">
        <v>2838</v>
      </c>
      <c r="BA132" s="137" t="s">
        <v>2838</v>
      </c>
      <c r="BB132" s="137" t="s">
        <v>2838</v>
      </c>
      <c r="BC132" s="137" t="s">
        <v>2838</v>
      </c>
      <c r="BD132" s="137" t="s">
        <v>2838</v>
      </c>
      <c r="BE132" s="137" t="s">
        <v>2838</v>
      </c>
      <c r="BF132" s="137" t="s">
        <v>2838</v>
      </c>
      <c r="BI132" s="137" t="s">
        <v>2486</v>
      </c>
      <c r="BJ132" s="137" t="s">
        <v>2486</v>
      </c>
      <c r="BK132" s="190" t="s">
        <v>2486</v>
      </c>
      <c r="BL132" s="190">
        <v>1</v>
      </c>
      <c r="BM132" s="78" t="s">
        <v>2486</v>
      </c>
      <c r="BO132" s="143" t="s">
        <v>744</v>
      </c>
      <c r="BP132" s="143" t="s">
        <v>743</v>
      </c>
      <c r="BQ132" s="143" t="s">
        <v>663</v>
      </c>
      <c r="BR132" s="143">
        <v>3171</v>
      </c>
      <c r="BY132" s="78" t="s">
        <v>2838</v>
      </c>
    </row>
    <row r="133" spans="1:77" x14ac:dyDescent="0.35">
      <c r="A133" s="143" t="s">
        <v>744</v>
      </c>
      <c r="B133" s="258" t="s">
        <v>743</v>
      </c>
      <c r="C133" s="143" t="s">
        <v>663</v>
      </c>
      <c r="D133" s="143">
        <v>3172</v>
      </c>
      <c r="E133" s="137">
        <v>0.12727269999999999</v>
      </c>
      <c r="F133" s="137">
        <v>0.71664969999999995</v>
      </c>
      <c r="G133" s="271">
        <v>0.84392239999999996</v>
      </c>
      <c r="H133" s="137" t="s">
        <v>2487</v>
      </c>
      <c r="I133" s="137">
        <v>0.1833333</v>
      </c>
      <c r="J133" s="137">
        <v>0.77453179999999999</v>
      </c>
      <c r="K133" s="137">
        <v>0.95786519999999997</v>
      </c>
      <c r="M133" s="143" t="s">
        <v>744</v>
      </c>
      <c r="N133" s="143" t="s">
        <v>743</v>
      </c>
      <c r="O133" s="143" t="s">
        <v>663</v>
      </c>
      <c r="P133" s="143">
        <v>3172</v>
      </c>
      <c r="Q133" s="137" t="s">
        <v>2486</v>
      </c>
      <c r="R133" s="137" t="s">
        <v>2486</v>
      </c>
      <c r="S133" s="137" t="s">
        <v>2486</v>
      </c>
      <c r="T133" s="137" t="s">
        <v>2486</v>
      </c>
      <c r="U133" s="137" t="s">
        <v>2487</v>
      </c>
      <c r="V133" s="137" t="s">
        <v>2487</v>
      </c>
      <c r="W133" s="137" t="s">
        <v>2486</v>
      </c>
      <c r="X133" s="137" t="s">
        <v>2486</v>
      </c>
      <c r="Y133" s="137" t="s">
        <v>2486</v>
      </c>
      <c r="Z133" s="137" t="s">
        <v>2486</v>
      </c>
      <c r="AA133" s="137" t="s">
        <v>2486</v>
      </c>
      <c r="AB133" s="137">
        <v>0.81818179999999996</v>
      </c>
      <c r="AD133" s="143" t="s">
        <v>744</v>
      </c>
      <c r="AE133" s="143" t="s">
        <v>743</v>
      </c>
      <c r="AF133" s="143" t="s">
        <v>663</v>
      </c>
      <c r="AG133" s="143">
        <v>3172</v>
      </c>
      <c r="AO133" s="190">
        <v>0.98750000000000004</v>
      </c>
      <c r="AP133" s="190">
        <v>0.98750000000000004</v>
      </c>
      <c r="AQ133" s="78" t="s">
        <v>2486</v>
      </c>
      <c r="AS133" s="143" t="s">
        <v>744</v>
      </c>
      <c r="AT133" s="143" t="s">
        <v>743</v>
      </c>
      <c r="AU133" s="143" t="s">
        <v>663</v>
      </c>
      <c r="AV133" s="143">
        <v>3172</v>
      </c>
      <c r="AW133" s="137" t="s">
        <v>2838</v>
      </c>
      <c r="AX133" s="137" t="s">
        <v>2838</v>
      </c>
      <c r="AY133" s="137" t="s">
        <v>2838</v>
      </c>
      <c r="AZ133" s="137" t="s">
        <v>2838</v>
      </c>
      <c r="BA133" s="137" t="s">
        <v>2838</v>
      </c>
      <c r="BB133" s="137" t="s">
        <v>2838</v>
      </c>
      <c r="BC133" s="137" t="s">
        <v>2838</v>
      </c>
      <c r="BD133" s="137" t="s">
        <v>2838</v>
      </c>
      <c r="BE133" s="137" t="s">
        <v>2838</v>
      </c>
      <c r="BF133" s="137" t="s">
        <v>2838</v>
      </c>
      <c r="BI133" s="137" t="s">
        <v>2486</v>
      </c>
      <c r="BJ133" s="137" t="s">
        <v>2486</v>
      </c>
      <c r="BK133" s="190" t="s">
        <v>2486</v>
      </c>
      <c r="BL133" s="190">
        <v>1</v>
      </c>
      <c r="BM133" s="78" t="s">
        <v>2486</v>
      </c>
      <c r="BO133" s="143" t="s">
        <v>744</v>
      </c>
      <c r="BP133" s="143" t="s">
        <v>743</v>
      </c>
      <c r="BQ133" s="143" t="s">
        <v>663</v>
      </c>
      <c r="BR133" s="143">
        <v>3172</v>
      </c>
      <c r="BY133" s="78" t="s">
        <v>2838</v>
      </c>
    </row>
    <row r="134" spans="1:77" x14ac:dyDescent="0.35">
      <c r="A134" s="143" t="s">
        <v>744</v>
      </c>
      <c r="B134" s="258" t="s">
        <v>743</v>
      </c>
      <c r="C134" s="143" t="s">
        <v>663</v>
      </c>
      <c r="D134" s="143">
        <v>3298</v>
      </c>
      <c r="E134" s="137">
        <v>0.1090909</v>
      </c>
      <c r="F134" s="137">
        <v>0.71664969999999995</v>
      </c>
      <c r="G134" s="271">
        <v>0.82574060000000005</v>
      </c>
      <c r="H134" s="137" t="s">
        <v>2487</v>
      </c>
      <c r="I134" s="137">
        <v>0.13333329999999999</v>
      </c>
      <c r="J134" s="137">
        <v>0.8</v>
      </c>
      <c r="K134" s="137">
        <v>0.93333330000000003</v>
      </c>
      <c r="M134" s="143" t="s">
        <v>744</v>
      </c>
      <c r="N134" s="143" t="s">
        <v>743</v>
      </c>
      <c r="O134" s="143" t="s">
        <v>663</v>
      </c>
      <c r="P134" s="143">
        <v>3298</v>
      </c>
      <c r="Q134" s="137" t="s">
        <v>2486</v>
      </c>
      <c r="R134" s="137" t="s">
        <v>2487</v>
      </c>
      <c r="S134" s="137" t="s">
        <v>2486</v>
      </c>
      <c r="T134" s="137" t="s">
        <v>2486</v>
      </c>
      <c r="U134" s="137" t="s">
        <v>2487</v>
      </c>
      <c r="V134" s="137" t="s">
        <v>2487</v>
      </c>
      <c r="W134" s="137" t="s">
        <v>2486</v>
      </c>
      <c r="X134" s="137" t="s">
        <v>2486</v>
      </c>
      <c r="Y134" s="137" t="s">
        <v>2486</v>
      </c>
      <c r="Z134" s="137" t="s">
        <v>2486</v>
      </c>
      <c r="AA134" s="137" t="s">
        <v>2486</v>
      </c>
      <c r="AB134" s="137">
        <v>0.72727269999999999</v>
      </c>
      <c r="AD134" s="143" t="s">
        <v>744</v>
      </c>
      <c r="AE134" s="143" t="s">
        <v>743</v>
      </c>
      <c r="AF134" s="143" t="s">
        <v>663</v>
      </c>
      <c r="AG134" s="143">
        <v>3298</v>
      </c>
      <c r="AO134" s="190">
        <v>0.96250000000000002</v>
      </c>
      <c r="AP134" s="190">
        <v>0.96250000000000002</v>
      </c>
      <c r="AQ134" s="78" t="s">
        <v>2486</v>
      </c>
      <c r="AS134" s="143" t="s">
        <v>744</v>
      </c>
      <c r="AT134" s="143" t="s">
        <v>743</v>
      </c>
      <c r="AU134" s="143" t="s">
        <v>663</v>
      </c>
      <c r="AV134" s="143">
        <v>3298</v>
      </c>
      <c r="AW134" s="137" t="s">
        <v>2838</v>
      </c>
      <c r="AX134" s="137" t="s">
        <v>2838</v>
      </c>
      <c r="AY134" s="137" t="s">
        <v>2838</v>
      </c>
      <c r="AZ134" s="137" t="s">
        <v>2838</v>
      </c>
      <c r="BA134" s="137" t="s">
        <v>2838</v>
      </c>
      <c r="BB134" s="137" t="s">
        <v>2838</v>
      </c>
      <c r="BC134" s="137" t="s">
        <v>2838</v>
      </c>
      <c r="BD134" s="137" t="s">
        <v>2838</v>
      </c>
      <c r="BE134" s="137" t="s">
        <v>2838</v>
      </c>
      <c r="BF134" s="137" t="s">
        <v>2838</v>
      </c>
      <c r="BI134" s="137" t="s">
        <v>2486</v>
      </c>
      <c r="BJ134" s="137" t="s">
        <v>2486</v>
      </c>
      <c r="BK134" s="190" t="s">
        <v>2486</v>
      </c>
      <c r="BL134" s="190">
        <v>1</v>
      </c>
      <c r="BM134" s="78" t="s">
        <v>2486</v>
      </c>
      <c r="BO134" s="143" t="s">
        <v>744</v>
      </c>
      <c r="BP134" s="143" t="s">
        <v>743</v>
      </c>
      <c r="BQ134" s="143" t="s">
        <v>663</v>
      </c>
      <c r="BR134" s="143">
        <v>3298</v>
      </c>
      <c r="BY134" s="78" t="s">
        <v>2838</v>
      </c>
    </row>
    <row r="135" spans="1:77" x14ac:dyDescent="0.35">
      <c r="A135" s="143" t="s">
        <v>744</v>
      </c>
      <c r="B135" s="258" t="s">
        <v>743</v>
      </c>
      <c r="C135" s="143" t="s">
        <v>663</v>
      </c>
      <c r="D135" s="143">
        <v>3300</v>
      </c>
      <c r="E135" s="137">
        <v>0.1090909</v>
      </c>
      <c r="F135" s="137">
        <v>0.57282940000000004</v>
      </c>
      <c r="G135" s="271">
        <v>0.68192030000000003</v>
      </c>
      <c r="H135" s="137" t="s">
        <v>2487</v>
      </c>
      <c r="I135" s="137">
        <v>0.1833333</v>
      </c>
      <c r="J135" s="137">
        <v>0.66666669999999995</v>
      </c>
      <c r="K135" s="137">
        <v>0.85</v>
      </c>
      <c r="M135" s="143" t="s">
        <v>744</v>
      </c>
      <c r="N135" s="143" t="s">
        <v>743</v>
      </c>
      <c r="O135" s="143" t="s">
        <v>663</v>
      </c>
      <c r="P135" s="143">
        <v>3300</v>
      </c>
      <c r="Q135" s="137" t="s">
        <v>2486</v>
      </c>
      <c r="R135" s="137" t="s">
        <v>2486</v>
      </c>
      <c r="S135" s="137" t="s">
        <v>2486</v>
      </c>
      <c r="T135" s="137" t="s">
        <v>2487</v>
      </c>
      <c r="U135" s="137" t="s">
        <v>2487</v>
      </c>
      <c r="V135" s="137" t="s">
        <v>2487</v>
      </c>
      <c r="W135" s="137" t="s">
        <v>2486</v>
      </c>
      <c r="X135" s="137" t="s">
        <v>2487</v>
      </c>
      <c r="Y135" s="137" t="s">
        <v>2486</v>
      </c>
      <c r="Z135" s="137" t="s">
        <v>2487</v>
      </c>
      <c r="AA135" s="137" t="s">
        <v>2486</v>
      </c>
      <c r="AB135" s="137">
        <v>0.54545460000000001</v>
      </c>
      <c r="AD135" s="143" t="s">
        <v>744</v>
      </c>
      <c r="AE135" s="143" t="s">
        <v>743</v>
      </c>
      <c r="AF135" s="143" t="s">
        <v>663</v>
      </c>
      <c r="AG135" s="143">
        <v>3300</v>
      </c>
      <c r="AO135" s="190">
        <v>0.97499999999999998</v>
      </c>
      <c r="AP135" s="190">
        <v>0.97499999999999998</v>
      </c>
      <c r="AQ135" s="78" t="s">
        <v>2486</v>
      </c>
      <c r="AS135" s="143" t="s">
        <v>744</v>
      </c>
      <c r="AT135" s="143" t="s">
        <v>743</v>
      </c>
      <c r="AU135" s="143" t="s">
        <v>663</v>
      </c>
      <c r="AV135" s="143">
        <v>3300</v>
      </c>
      <c r="AW135" s="137" t="s">
        <v>2838</v>
      </c>
      <c r="AX135" s="137" t="s">
        <v>2838</v>
      </c>
      <c r="AY135" s="137" t="s">
        <v>2838</v>
      </c>
      <c r="AZ135" s="137" t="s">
        <v>2838</v>
      </c>
      <c r="BA135" s="137" t="s">
        <v>2838</v>
      </c>
      <c r="BB135" s="137" t="s">
        <v>2838</v>
      </c>
      <c r="BC135" s="137" t="s">
        <v>2838</v>
      </c>
      <c r="BD135" s="137" t="s">
        <v>2838</v>
      </c>
      <c r="BE135" s="137" t="s">
        <v>2838</v>
      </c>
      <c r="BF135" s="137" t="s">
        <v>2838</v>
      </c>
      <c r="BI135" s="137" t="s">
        <v>2486</v>
      </c>
      <c r="BJ135" s="137" t="s">
        <v>2487</v>
      </c>
      <c r="BK135" s="190" t="s">
        <v>2487</v>
      </c>
      <c r="BL135" s="190">
        <v>0.3333333</v>
      </c>
      <c r="BM135" s="78" t="s">
        <v>2487</v>
      </c>
      <c r="BO135" s="143" t="s">
        <v>744</v>
      </c>
      <c r="BP135" s="143" t="s">
        <v>743</v>
      </c>
      <c r="BQ135" s="143" t="s">
        <v>663</v>
      </c>
      <c r="BR135" s="143">
        <v>3300</v>
      </c>
      <c r="BY135" s="78" t="s">
        <v>2838</v>
      </c>
    </row>
    <row r="136" spans="1:77" x14ac:dyDescent="0.35">
      <c r="A136" s="143" t="s">
        <v>745</v>
      </c>
      <c r="B136" s="258" t="s">
        <v>730</v>
      </c>
      <c r="C136" s="143" t="s">
        <v>663</v>
      </c>
      <c r="D136" s="143">
        <v>2515</v>
      </c>
      <c r="E136" s="137">
        <v>0.1090909</v>
      </c>
      <c r="F136" s="137">
        <v>0.64065369999999999</v>
      </c>
      <c r="G136" s="271">
        <v>0.74974470000000004</v>
      </c>
      <c r="H136" s="137" t="s">
        <v>2487</v>
      </c>
      <c r="I136" s="137">
        <v>0.1166667</v>
      </c>
      <c r="J136" s="137">
        <v>0.60299630000000004</v>
      </c>
      <c r="K136" s="137">
        <v>0.71966289999999999</v>
      </c>
      <c r="M136" s="143" t="s">
        <v>745</v>
      </c>
      <c r="N136" s="143" t="s">
        <v>730</v>
      </c>
      <c r="O136" s="143" t="s">
        <v>663</v>
      </c>
      <c r="P136" s="143">
        <v>2515</v>
      </c>
      <c r="Q136" s="137" t="s">
        <v>2486</v>
      </c>
      <c r="R136" s="137" t="s">
        <v>2486</v>
      </c>
      <c r="S136" s="137" t="s">
        <v>2486</v>
      </c>
      <c r="T136" s="137" t="s">
        <v>2486</v>
      </c>
      <c r="U136" s="137" t="s">
        <v>2487</v>
      </c>
      <c r="V136" s="137" t="s">
        <v>2487</v>
      </c>
      <c r="W136" s="137" t="s">
        <v>2486</v>
      </c>
      <c r="X136" s="137" t="s">
        <v>2486</v>
      </c>
      <c r="Y136" s="137" t="s">
        <v>2486</v>
      </c>
      <c r="Z136" s="137" t="s">
        <v>2486</v>
      </c>
      <c r="AA136" s="137" t="s">
        <v>2487</v>
      </c>
      <c r="AB136" s="137">
        <v>0.72727269999999999</v>
      </c>
      <c r="AD136" s="143" t="s">
        <v>745</v>
      </c>
      <c r="AE136" s="143" t="s">
        <v>730</v>
      </c>
      <c r="AF136" s="143" t="s">
        <v>663</v>
      </c>
      <c r="AG136" s="143">
        <v>2515</v>
      </c>
      <c r="AO136" s="190">
        <v>0.875</v>
      </c>
      <c r="AP136" s="190">
        <v>0.875</v>
      </c>
      <c r="AQ136" s="78" t="s">
        <v>2487</v>
      </c>
      <c r="AS136" s="143" t="s">
        <v>745</v>
      </c>
      <c r="AT136" s="143" t="s">
        <v>730</v>
      </c>
      <c r="AU136" s="143" t="s">
        <v>663</v>
      </c>
      <c r="AV136" s="143">
        <v>2515</v>
      </c>
      <c r="AW136" s="137" t="s">
        <v>2838</v>
      </c>
      <c r="AX136" s="137" t="s">
        <v>2838</v>
      </c>
      <c r="AY136" s="137" t="s">
        <v>2838</v>
      </c>
      <c r="AZ136" s="137" t="s">
        <v>2838</v>
      </c>
      <c r="BA136" s="137" t="s">
        <v>2838</v>
      </c>
      <c r="BB136" s="137" t="s">
        <v>2838</v>
      </c>
      <c r="BC136" s="137" t="s">
        <v>2838</v>
      </c>
      <c r="BD136" s="137" t="s">
        <v>2838</v>
      </c>
      <c r="BE136" s="137" t="s">
        <v>2838</v>
      </c>
      <c r="BF136" s="137" t="s">
        <v>2838</v>
      </c>
      <c r="BI136" s="137" t="s">
        <v>2486</v>
      </c>
      <c r="BJ136" s="137" t="s">
        <v>2487</v>
      </c>
      <c r="BK136" s="190" t="s">
        <v>2486</v>
      </c>
      <c r="BL136" s="190">
        <v>0.66666669999999995</v>
      </c>
      <c r="BM136" s="78" t="s">
        <v>2487</v>
      </c>
      <c r="BO136" s="143" t="s">
        <v>745</v>
      </c>
      <c r="BP136" s="143" t="s">
        <v>730</v>
      </c>
      <c r="BQ136" s="143" t="s">
        <v>663</v>
      </c>
      <c r="BR136" s="143">
        <v>2515</v>
      </c>
      <c r="BY136" s="78" t="s">
        <v>2838</v>
      </c>
    </row>
    <row r="137" spans="1:77" x14ac:dyDescent="0.35">
      <c r="A137" s="143" t="s">
        <v>745</v>
      </c>
      <c r="B137" s="258" t="s">
        <v>730</v>
      </c>
      <c r="C137" s="143" t="s">
        <v>663</v>
      </c>
      <c r="D137" s="143">
        <v>2650</v>
      </c>
      <c r="E137" s="137">
        <v>9.0909100000000007E-2</v>
      </c>
      <c r="F137" s="137">
        <v>0.30153219999999997</v>
      </c>
      <c r="G137" s="271">
        <v>0.39244129999999999</v>
      </c>
      <c r="H137" s="137" t="s">
        <v>2487</v>
      </c>
      <c r="I137" s="137">
        <v>0</v>
      </c>
      <c r="J137" s="137">
        <v>0</v>
      </c>
      <c r="K137" s="137">
        <v>0</v>
      </c>
      <c r="M137" s="143" t="s">
        <v>745</v>
      </c>
      <c r="N137" s="143" t="s">
        <v>730</v>
      </c>
      <c r="O137" s="143" t="s">
        <v>663</v>
      </c>
      <c r="P137" s="143">
        <v>2650</v>
      </c>
      <c r="Q137" s="137" t="s">
        <v>2486</v>
      </c>
      <c r="R137" s="137" t="s">
        <v>2486</v>
      </c>
      <c r="S137" s="137" t="s">
        <v>2486</v>
      </c>
      <c r="T137" s="137" t="s">
        <v>2486</v>
      </c>
      <c r="U137" s="137" t="s">
        <v>2487</v>
      </c>
      <c r="V137" s="137" t="s">
        <v>2487</v>
      </c>
      <c r="W137" s="137" t="s">
        <v>2486</v>
      </c>
      <c r="X137" s="137" t="s">
        <v>2487</v>
      </c>
      <c r="Y137" s="137" t="s">
        <v>2487</v>
      </c>
      <c r="Z137" s="137" t="s">
        <v>2486</v>
      </c>
      <c r="AA137" s="137" t="s">
        <v>2486</v>
      </c>
      <c r="AB137" s="137">
        <v>0.63636360000000003</v>
      </c>
      <c r="AD137" s="143" t="s">
        <v>745</v>
      </c>
      <c r="AE137" s="143" t="s">
        <v>730</v>
      </c>
      <c r="AF137" s="143" t="s">
        <v>663</v>
      </c>
      <c r="AG137" s="143">
        <v>2650</v>
      </c>
      <c r="AO137" s="190">
        <v>0.88749999999999996</v>
      </c>
      <c r="AP137" s="190">
        <v>0.88749999999999996</v>
      </c>
      <c r="AQ137" s="78" t="s">
        <v>2487</v>
      </c>
      <c r="AS137" s="143" t="s">
        <v>745</v>
      </c>
      <c r="AT137" s="143" t="s">
        <v>730</v>
      </c>
      <c r="AU137" s="143" t="s">
        <v>663</v>
      </c>
      <c r="AV137" s="143">
        <v>2650</v>
      </c>
      <c r="AW137" s="137" t="s">
        <v>2838</v>
      </c>
      <c r="AX137" s="137" t="s">
        <v>2838</v>
      </c>
      <c r="AY137" s="137" t="s">
        <v>2838</v>
      </c>
      <c r="AZ137" s="137" t="s">
        <v>2838</v>
      </c>
      <c r="BA137" s="137" t="s">
        <v>2838</v>
      </c>
      <c r="BB137" s="137" t="s">
        <v>2838</v>
      </c>
      <c r="BC137" s="137" t="s">
        <v>2838</v>
      </c>
      <c r="BD137" s="137" t="s">
        <v>2838</v>
      </c>
      <c r="BE137" s="137" t="s">
        <v>2838</v>
      </c>
      <c r="BF137" s="137" t="s">
        <v>2838</v>
      </c>
      <c r="BI137" s="137" t="s">
        <v>2486</v>
      </c>
      <c r="BJ137" s="137" t="s">
        <v>2486</v>
      </c>
      <c r="BK137" s="190" t="s">
        <v>2487</v>
      </c>
      <c r="BL137" s="190">
        <v>0.66666669999999995</v>
      </c>
      <c r="BM137" s="78" t="s">
        <v>2487</v>
      </c>
      <c r="BO137" s="143" t="s">
        <v>745</v>
      </c>
      <c r="BP137" s="143" t="s">
        <v>730</v>
      </c>
      <c r="BQ137" s="143" t="s">
        <v>663</v>
      </c>
      <c r="BR137" s="143">
        <v>2650</v>
      </c>
      <c r="BY137" s="78" t="s">
        <v>2838</v>
      </c>
    </row>
    <row r="138" spans="1:77" x14ac:dyDescent="0.35">
      <c r="A138" s="143" t="s">
        <v>745</v>
      </c>
      <c r="B138" s="258" t="s">
        <v>730</v>
      </c>
      <c r="C138" s="143" t="s">
        <v>663</v>
      </c>
      <c r="D138" s="143">
        <v>2835</v>
      </c>
      <c r="E138" s="137">
        <v>0.16363639999999999</v>
      </c>
      <c r="F138" s="137">
        <v>0.55648620000000004</v>
      </c>
      <c r="G138" s="271">
        <v>0.72012259999999995</v>
      </c>
      <c r="H138" s="137" t="s">
        <v>2487</v>
      </c>
      <c r="I138" s="137">
        <v>0.15</v>
      </c>
      <c r="J138" s="137">
        <v>0.31385770000000002</v>
      </c>
      <c r="K138" s="137">
        <v>0.46385769999999998</v>
      </c>
      <c r="M138" s="143" t="s">
        <v>745</v>
      </c>
      <c r="N138" s="143" t="s">
        <v>730</v>
      </c>
      <c r="O138" s="143" t="s">
        <v>663</v>
      </c>
      <c r="P138" s="143">
        <v>2835</v>
      </c>
      <c r="Q138" s="137" t="s">
        <v>2487</v>
      </c>
      <c r="R138" s="137" t="s">
        <v>2486</v>
      </c>
      <c r="S138" s="137" t="s">
        <v>2486</v>
      </c>
      <c r="T138" s="137" t="s">
        <v>2486</v>
      </c>
      <c r="U138" s="137" t="s">
        <v>2487</v>
      </c>
      <c r="V138" s="137" t="s">
        <v>2487</v>
      </c>
      <c r="W138" s="137" t="s">
        <v>2486</v>
      </c>
      <c r="X138" s="137" t="s">
        <v>2486</v>
      </c>
      <c r="Y138" s="137" t="s">
        <v>2486</v>
      </c>
      <c r="Z138" s="137" t="s">
        <v>2486</v>
      </c>
      <c r="AA138" s="137" t="s">
        <v>2487</v>
      </c>
      <c r="AB138" s="137">
        <v>0.63636360000000003</v>
      </c>
      <c r="AD138" s="143" t="s">
        <v>745</v>
      </c>
      <c r="AE138" s="143" t="s">
        <v>730</v>
      </c>
      <c r="AF138" s="143" t="s">
        <v>663</v>
      </c>
      <c r="AG138" s="143">
        <v>2835</v>
      </c>
      <c r="AO138" s="190">
        <v>0.96250000000000002</v>
      </c>
      <c r="AP138" s="190">
        <v>0.96250000000000002</v>
      </c>
      <c r="AQ138" s="78" t="s">
        <v>2486</v>
      </c>
      <c r="AS138" s="143" t="s">
        <v>745</v>
      </c>
      <c r="AT138" s="143" t="s">
        <v>730</v>
      </c>
      <c r="AU138" s="143" t="s">
        <v>663</v>
      </c>
      <c r="AV138" s="143">
        <v>2835</v>
      </c>
      <c r="AW138" s="137" t="s">
        <v>2838</v>
      </c>
      <c r="AX138" s="137" t="s">
        <v>2838</v>
      </c>
      <c r="AY138" s="137" t="s">
        <v>2838</v>
      </c>
      <c r="AZ138" s="137" t="s">
        <v>2838</v>
      </c>
      <c r="BA138" s="137" t="s">
        <v>2838</v>
      </c>
      <c r="BB138" s="137" t="s">
        <v>2838</v>
      </c>
      <c r="BC138" s="137" t="s">
        <v>2838</v>
      </c>
      <c r="BD138" s="137" t="s">
        <v>2838</v>
      </c>
      <c r="BE138" s="137" t="s">
        <v>2838</v>
      </c>
      <c r="BF138" s="137" t="s">
        <v>2838</v>
      </c>
      <c r="BI138" s="137" t="s">
        <v>2486</v>
      </c>
      <c r="BJ138" s="137" t="s">
        <v>2486</v>
      </c>
      <c r="BK138" s="190" t="s">
        <v>2486</v>
      </c>
      <c r="BL138" s="190">
        <v>1</v>
      </c>
      <c r="BM138" s="78" t="s">
        <v>2486</v>
      </c>
      <c r="BO138" s="143" t="s">
        <v>745</v>
      </c>
      <c r="BP138" s="143" t="s">
        <v>730</v>
      </c>
      <c r="BQ138" s="143" t="s">
        <v>663</v>
      </c>
      <c r="BR138" s="143">
        <v>2835</v>
      </c>
      <c r="BY138" s="78" t="s">
        <v>2838</v>
      </c>
    </row>
    <row r="139" spans="1:77" x14ac:dyDescent="0.35">
      <c r="A139" s="143" t="s">
        <v>745</v>
      </c>
      <c r="B139" s="258" t="s">
        <v>730</v>
      </c>
      <c r="C139" s="143" t="s">
        <v>663</v>
      </c>
      <c r="D139" s="143">
        <v>3062</v>
      </c>
      <c r="E139" s="137">
        <v>9.0909100000000007E-2</v>
      </c>
      <c r="F139" s="137">
        <v>0.56629220000000002</v>
      </c>
      <c r="G139" s="271">
        <v>0.65720120000000004</v>
      </c>
      <c r="H139" s="137" t="s">
        <v>2487</v>
      </c>
      <c r="I139" s="137">
        <v>0.1833333</v>
      </c>
      <c r="J139" s="137">
        <v>0</v>
      </c>
      <c r="K139" s="137">
        <v>0.1833333</v>
      </c>
      <c r="M139" s="143" t="s">
        <v>745</v>
      </c>
      <c r="N139" s="143" t="s">
        <v>730</v>
      </c>
      <c r="O139" s="143" t="s">
        <v>663</v>
      </c>
      <c r="P139" s="143">
        <v>3062</v>
      </c>
      <c r="Q139" s="137" t="s">
        <v>2487</v>
      </c>
      <c r="R139" s="137" t="s">
        <v>2486</v>
      </c>
      <c r="S139" s="137" t="s">
        <v>2487</v>
      </c>
      <c r="T139" s="137" t="s">
        <v>2486</v>
      </c>
      <c r="U139" s="137" t="s">
        <v>2487</v>
      </c>
      <c r="V139" s="137" t="s">
        <v>2487</v>
      </c>
      <c r="W139" s="137" t="s">
        <v>2486</v>
      </c>
      <c r="X139" s="137" t="s">
        <v>2487</v>
      </c>
      <c r="Y139" s="137" t="s">
        <v>2487</v>
      </c>
      <c r="Z139" s="137" t="s">
        <v>2486</v>
      </c>
      <c r="AA139" s="137" t="s">
        <v>2487</v>
      </c>
      <c r="AB139" s="137">
        <v>0.36363640000000003</v>
      </c>
      <c r="AD139" s="143" t="s">
        <v>745</v>
      </c>
      <c r="AE139" s="143" t="s">
        <v>730</v>
      </c>
      <c r="AF139" s="143" t="s">
        <v>663</v>
      </c>
      <c r="AG139" s="143">
        <v>3062</v>
      </c>
      <c r="AO139" s="190">
        <v>0.8125</v>
      </c>
      <c r="AP139" s="190">
        <v>0.8125</v>
      </c>
      <c r="AQ139" s="78" t="s">
        <v>2487</v>
      </c>
      <c r="AS139" s="143" t="s">
        <v>745</v>
      </c>
      <c r="AT139" s="143" t="s">
        <v>730</v>
      </c>
      <c r="AU139" s="143" t="s">
        <v>663</v>
      </c>
      <c r="AV139" s="143">
        <v>3062</v>
      </c>
      <c r="AW139" s="137" t="s">
        <v>2838</v>
      </c>
      <c r="AX139" s="137" t="s">
        <v>2838</v>
      </c>
      <c r="AY139" s="137" t="s">
        <v>2838</v>
      </c>
      <c r="AZ139" s="137" t="s">
        <v>2838</v>
      </c>
      <c r="BA139" s="137" t="s">
        <v>2838</v>
      </c>
      <c r="BB139" s="137" t="s">
        <v>2838</v>
      </c>
      <c r="BC139" s="137" t="s">
        <v>2838</v>
      </c>
      <c r="BD139" s="137" t="s">
        <v>2838</v>
      </c>
      <c r="BE139" s="137" t="s">
        <v>2838</v>
      </c>
      <c r="BF139" s="137" t="s">
        <v>2838</v>
      </c>
      <c r="BI139" s="137" t="s">
        <v>2486</v>
      </c>
      <c r="BJ139" s="137" t="s">
        <v>2486</v>
      </c>
      <c r="BK139" s="190" t="s">
        <v>2486</v>
      </c>
      <c r="BL139" s="190">
        <v>1</v>
      </c>
      <c r="BM139" s="78" t="s">
        <v>2486</v>
      </c>
      <c r="BO139" s="143" t="s">
        <v>745</v>
      </c>
      <c r="BP139" s="143" t="s">
        <v>730</v>
      </c>
      <c r="BQ139" s="143" t="s">
        <v>663</v>
      </c>
      <c r="BR139" s="143">
        <v>3062</v>
      </c>
      <c r="BY139" s="78" t="s">
        <v>2838</v>
      </c>
    </row>
    <row r="140" spans="1:77" x14ac:dyDescent="0.35">
      <c r="A140" s="143" t="s">
        <v>746</v>
      </c>
      <c r="B140" s="143" t="s">
        <v>743</v>
      </c>
      <c r="C140" s="143" t="s">
        <v>2452</v>
      </c>
      <c r="D140" s="143">
        <v>356</v>
      </c>
      <c r="E140" s="137">
        <v>0.18</v>
      </c>
      <c r="F140" s="137">
        <v>0.62755550000000004</v>
      </c>
      <c r="G140" s="271">
        <v>0.80755560000000004</v>
      </c>
      <c r="H140" s="137" t="s">
        <v>2487</v>
      </c>
      <c r="I140" s="137">
        <v>0.17777780000000001</v>
      </c>
      <c r="J140" s="137">
        <v>0.71535579999999999</v>
      </c>
      <c r="K140" s="137">
        <v>0.89313359999999997</v>
      </c>
      <c r="M140" s="143" t="s">
        <v>746</v>
      </c>
      <c r="N140" s="143" t="s">
        <v>743</v>
      </c>
      <c r="O140" s="143" t="s">
        <v>2452</v>
      </c>
      <c r="P140" s="143">
        <v>356</v>
      </c>
      <c r="Q140" s="137" t="s">
        <v>2487</v>
      </c>
      <c r="R140" s="137" t="s">
        <v>2486</v>
      </c>
      <c r="S140" s="137" t="s">
        <v>2486</v>
      </c>
      <c r="T140" s="137" t="s">
        <v>2486</v>
      </c>
      <c r="U140" s="137" t="s">
        <v>2486</v>
      </c>
      <c r="V140" s="137" t="s">
        <v>2486</v>
      </c>
      <c r="W140" s="137" t="s">
        <v>2486</v>
      </c>
      <c r="X140" s="137" t="s">
        <v>2486</v>
      </c>
      <c r="Y140" s="137" t="s">
        <v>2486</v>
      </c>
      <c r="Z140" s="137" t="s">
        <v>2486</v>
      </c>
      <c r="AA140" s="137" t="s">
        <v>2487</v>
      </c>
      <c r="AB140" s="137">
        <v>0.81818179999999996</v>
      </c>
      <c r="AD140" s="143" t="s">
        <v>746</v>
      </c>
      <c r="AE140" s="143" t="s">
        <v>743</v>
      </c>
      <c r="AF140" s="143" t="s">
        <v>2452</v>
      </c>
      <c r="AG140" s="143">
        <v>356</v>
      </c>
      <c r="AH140" s="137">
        <v>0.98461540000000003</v>
      </c>
      <c r="AI140" s="137">
        <v>0.96</v>
      </c>
      <c r="AJ140" s="137">
        <v>0.9473684</v>
      </c>
      <c r="AK140" s="137">
        <v>1</v>
      </c>
      <c r="AL140" s="137">
        <v>1</v>
      </c>
      <c r="AM140" s="137">
        <v>1</v>
      </c>
      <c r="AN140" s="137">
        <v>0.96969700000000003</v>
      </c>
      <c r="AO140" s="190">
        <v>1</v>
      </c>
      <c r="AP140" s="190">
        <v>0.98253270000000004</v>
      </c>
      <c r="AQ140" s="78" t="s">
        <v>2486</v>
      </c>
      <c r="AS140" s="143" t="s">
        <v>746</v>
      </c>
      <c r="AT140" s="143" t="s">
        <v>743</v>
      </c>
      <c r="AU140" s="143" t="s">
        <v>2452</v>
      </c>
      <c r="AV140" s="143">
        <v>356</v>
      </c>
      <c r="AW140" s="137" t="s">
        <v>2486</v>
      </c>
      <c r="AX140" s="137" t="s">
        <v>2486</v>
      </c>
      <c r="AY140" s="137" t="s">
        <v>2486</v>
      </c>
      <c r="AZ140" s="137" t="s">
        <v>2486</v>
      </c>
      <c r="BA140" s="137" t="s">
        <v>2486</v>
      </c>
      <c r="BB140" s="137" t="s">
        <v>2486</v>
      </c>
      <c r="BC140" s="137" t="s">
        <v>2486</v>
      </c>
      <c r="BD140" s="137" t="s">
        <v>2486</v>
      </c>
      <c r="BE140" s="137" t="s">
        <v>2486</v>
      </c>
      <c r="BF140" s="137" t="s">
        <v>2486</v>
      </c>
      <c r="BI140" s="137" t="s">
        <v>2838</v>
      </c>
      <c r="BJ140" s="137" t="s">
        <v>2838</v>
      </c>
      <c r="BK140" s="190" t="s">
        <v>2838</v>
      </c>
      <c r="BL140" s="190">
        <v>1</v>
      </c>
      <c r="BM140" s="78" t="s">
        <v>2486</v>
      </c>
      <c r="BO140" s="143" t="s">
        <v>746</v>
      </c>
      <c r="BP140" s="143" t="s">
        <v>743</v>
      </c>
      <c r="BQ140" s="143" t="s">
        <v>2452</v>
      </c>
      <c r="BR140" s="143">
        <v>356</v>
      </c>
      <c r="BS140" s="156">
        <v>3</v>
      </c>
      <c r="BT140" s="156">
        <v>1</v>
      </c>
      <c r="BU140" s="156">
        <v>1</v>
      </c>
      <c r="BV140" s="156">
        <v>1</v>
      </c>
      <c r="BW140" s="169">
        <v>1</v>
      </c>
      <c r="BX140" s="169">
        <v>1</v>
      </c>
      <c r="BY140" s="78" t="s">
        <v>2486</v>
      </c>
    </row>
    <row r="141" spans="1:77" x14ac:dyDescent="0.35">
      <c r="A141" s="143" t="s">
        <v>746</v>
      </c>
      <c r="B141" s="143" t="s">
        <v>743</v>
      </c>
      <c r="C141" s="143" t="s">
        <v>663</v>
      </c>
      <c r="D141" s="143">
        <v>2959</v>
      </c>
      <c r="E141" s="137">
        <v>0.12727269999999999</v>
      </c>
      <c r="F141" s="137">
        <v>0.58998980000000001</v>
      </c>
      <c r="G141" s="271">
        <v>0.71726250000000003</v>
      </c>
      <c r="H141" s="137" t="s">
        <v>2487</v>
      </c>
      <c r="I141" s="137">
        <v>0.1</v>
      </c>
      <c r="J141" s="137">
        <v>0.19850190000000001</v>
      </c>
      <c r="K141" s="137">
        <v>0.29850189999999999</v>
      </c>
      <c r="M141" s="143" t="s">
        <v>746</v>
      </c>
      <c r="N141" s="143" t="s">
        <v>743</v>
      </c>
      <c r="O141" s="143" t="s">
        <v>663</v>
      </c>
      <c r="P141" s="143">
        <v>2959</v>
      </c>
      <c r="Q141" s="137" t="s">
        <v>2486</v>
      </c>
      <c r="R141" s="137" t="s">
        <v>2486</v>
      </c>
      <c r="S141" s="137" t="s">
        <v>2486</v>
      </c>
      <c r="T141" s="137" t="s">
        <v>2486</v>
      </c>
      <c r="U141" s="137" t="s">
        <v>2487</v>
      </c>
      <c r="V141" s="137" t="s">
        <v>2487</v>
      </c>
      <c r="W141" s="137" t="s">
        <v>2486</v>
      </c>
      <c r="X141" s="137" t="s">
        <v>2486</v>
      </c>
      <c r="Y141" s="137" t="s">
        <v>2486</v>
      </c>
      <c r="Z141" s="137" t="s">
        <v>2486</v>
      </c>
      <c r="AA141" s="137" t="s">
        <v>2486</v>
      </c>
      <c r="AB141" s="137">
        <v>0.81818179999999996</v>
      </c>
      <c r="AD141" s="143" t="s">
        <v>746</v>
      </c>
      <c r="AE141" s="143" t="s">
        <v>743</v>
      </c>
      <c r="AF141" s="143" t="s">
        <v>663</v>
      </c>
      <c r="AG141" s="143">
        <v>2959</v>
      </c>
      <c r="AO141" s="190">
        <v>0.9375</v>
      </c>
      <c r="AP141" s="190">
        <v>0.9375</v>
      </c>
      <c r="AQ141" s="78" t="s">
        <v>2487</v>
      </c>
      <c r="AS141" s="143" t="s">
        <v>746</v>
      </c>
      <c r="AT141" s="143" t="s">
        <v>743</v>
      </c>
      <c r="AU141" s="143" t="s">
        <v>663</v>
      </c>
      <c r="AV141" s="143">
        <v>2959</v>
      </c>
      <c r="AW141" s="137" t="s">
        <v>2838</v>
      </c>
      <c r="AX141" s="137" t="s">
        <v>2838</v>
      </c>
      <c r="AY141" s="137" t="s">
        <v>2838</v>
      </c>
      <c r="AZ141" s="137" t="s">
        <v>2838</v>
      </c>
      <c r="BA141" s="137" t="s">
        <v>2838</v>
      </c>
      <c r="BB141" s="137" t="s">
        <v>2838</v>
      </c>
      <c r="BC141" s="137" t="s">
        <v>2838</v>
      </c>
      <c r="BD141" s="137" t="s">
        <v>2838</v>
      </c>
      <c r="BE141" s="137" t="s">
        <v>2838</v>
      </c>
      <c r="BF141" s="137" t="s">
        <v>2838</v>
      </c>
      <c r="BI141" s="137" t="s">
        <v>2486</v>
      </c>
      <c r="BJ141" s="137" t="s">
        <v>2486</v>
      </c>
      <c r="BK141" s="190" t="s">
        <v>2487</v>
      </c>
      <c r="BL141" s="190">
        <v>0.66666669999999995</v>
      </c>
      <c r="BM141" s="78" t="s">
        <v>2487</v>
      </c>
      <c r="BO141" s="143" t="s">
        <v>746</v>
      </c>
      <c r="BP141" s="143" t="s">
        <v>743</v>
      </c>
      <c r="BQ141" s="143" t="s">
        <v>663</v>
      </c>
      <c r="BR141" s="143">
        <v>2959</v>
      </c>
      <c r="BY141" s="78" t="s">
        <v>2838</v>
      </c>
    </row>
    <row r="142" spans="1:77" x14ac:dyDescent="0.35">
      <c r="A142" s="143" t="s">
        <v>746</v>
      </c>
      <c r="B142" s="143" t="s">
        <v>743</v>
      </c>
      <c r="C142" s="143" t="s">
        <v>663</v>
      </c>
      <c r="D142" s="143">
        <v>3078</v>
      </c>
      <c r="E142" s="137">
        <v>0.14545449999999999</v>
      </c>
      <c r="F142" s="137">
        <v>0.67824309999999999</v>
      </c>
      <c r="G142" s="271">
        <v>0.82369760000000003</v>
      </c>
      <c r="H142" s="137" t="s">
        <v>2487</v>
      </c>
      <c r="I142" s="137">
        <v>0.1666667</v>
      </c>
      <c r="J142" s="137">
        <v>0.69138569999999999</v>
      </c>
      <c r="K142" s="137">
        <v>0.85805240000000005</v>
      </c>
      <c r="M142" s="143" t="s">
        <v>746</v>
      </c>
      <c r="N142" s="143" t="s">
        <v>743</v>
      </c>
      <c r="O142" s="143" t="s">
        <v>663</v>
      </c>
      <c r="P142" s="143">
        <v>3078</v>
      </c>
      <c r="Q142" s="137" t="s">
        <v>2487</v>
      </c>
      <c r="R142" s="137" t="s">
        <v>2486</v>
      </c>
      <c r="S142" s="137" t="s">
        <v>2486</v>
      </c>
      <c r="T142" s="137" t="s">
        <v>2486</v>
      </c>
      <c r="U142" s="137" t="s">
        <v>2487</v>
      </c>
      <c r="V142" s="137" t="s">
        <v>2487</v>
      </c>
      <c r="W142" s="137" t="s">
        <v>2486</v>
      </c>
      <c r="X142" s="137" t="s">
        <v>2486</v>
      </c>
      <c r="Y142" s="137" t="s">
        <v>2486</v>
      </c>
      <c r="Z142" s="137" t="s">
        <v>2486</v>
      </c>
      <c r="AA142" s="137" t="s">
        <v>2487</v>
      </c>
      <c r="AB142" s="137">
        <v>0.63636360000000003</v>
      </c>
      <c r="AD142" s="143" t="s">
        <v>746</v>
      </c>
      <c r="AE142" s="143" t="s">
        <v>743</v>
      </c>
      <c r="AF142" s="143" t="s">
        <v>663</v>
      </c>
      <c r="AG142" s="143">
        <v>3078</v>
      </c>
      <c r="AO142" s="190">
        <v>0.97499999999999998</v>
      </c>
      <c r="AP142" s="190">
        <v>0.97499999999999998</v>
      </c>
      <c r="AQ142" s="78" t="s">
        <v>2486</v>
      </c>
      <c r="AS142" s="143" t="s">
        <v>746</v>
      </c>
      <c r="AT142" s="143" t="s">
        <v>743</v>
      </c>
      <c r="AU142" s="143" t="s">
        <v>663</v>
      </c>
      <c r="AV142" s="143">
        <v>3078</v>
      </c>
      <c r="AW142" s="137" t="s">
        <v>2838</v>
      </c>
      <c r="AX142" s="137" t="s">
        <v>2838</v>
      </c>
      <c r="AY142" s="137" t="s">
        <v>2838</v>
      </c>
      <c r="AZ142" s="137" t="s">
        <v>2838</v>
      </c>
      <c r="BA142" s="137" t="s">
        <v>2838</v>
      </c>
      <c r="BB142" s="137" t="s">
        <v>2838</v>
      </c>
      <c r="BC142" s="137" t="s">
        <v>2838</v>
      </c>
      <c r="BD142" s="137" t="s">
        <v>2838</v>
      </c>
      <c r="BE142" s="137" t="s">
        <v>2838</v>
      </c>
      <c r="BF142" s="137" t="s">
        <v>2838</v>
      </c>
      <c r="BI142" s="137" t="s">
        <v>2486</v>
      </c>
      <c r="BJ142" s="137" t="s">
        <v>2487</v>
      </c>
      <c r="BK142" s="190" t="s">
        <v>2487</v>
      </c>
      <c r="BL142" s="190">
        <v>0.3333333</v>
      </c>
      <c r="BM142" s="78" t="s">
        <v>2487</v>
      </c>
      <c r="BO142" s="143" t="s">
        <v>746</v>
      </c>
      <c r="BP142" s="143" t="s">
        <v>743</v>
      </c>
      <c r="BQ142" s="143" t="s">
        <v>663</v>
      </c>
      <c r="BR142" s="143">
        <v>3078</v>
      </c>
      <c r="BY142" s="78" t="s">
        <v>2838</v>
      </c>
    </row>
    <row r="143" spans="1:77" x14ac:dyDescent="0.35">
      <c r="A143" s="143" t="s">
        <v>746</v>
      </c>
      <c r="B143" s="143" t="s">
        <v>743</v>
      </c>
      <c r="C143" s="143" t="s">
        <v>663</v>
      </c>
      <c r="D143" s="143">
        <v>3817</v>
      </c>
      <c r="E143" s="137">
        <v>0.2</v>
      </c>
      <c r="F143" s="137">
        <v>0.8</v>
      </c>
      <c r="G143" s="271">
        <v>1</v>
      </c>
      <c r="H143" s="137" t="s">
        <v>2486</v>
      </c>
      <c r="I143" s="137">
        <v>0.13333329999999999</v>
      </c>
      <c r="J143" s="137">
        <v>0.13333329999999999</v>
      </c>
      <c r="K143" s="137">
        <v>0.26666669999999998</v>
      </c>
      <c r="M143" s="143" t="s">
        <v>746</v>
      </c>
      <c r="N143" s="143" t="s">
        <v>743</v>
      </c>
      <c r="O143" s="143" t="s">
        <v>663</v>
      </c>
      <c r="P143" s="143">
        <v>3817</v>
      </c>
      <c r="Q143" s="137" t="s">
        <v>2487</v>
      </c>
      <c r="R143" s="137" t="s">
        <v>2487</v>
      </c>
      <c r="S143" s="137" t="s">
        <v>2486</v>
      </c>
      <c r="T143" s="137" t="s">
        <v>2486</v>
      </c>
      <c r="U143" s="137" t="s">
        <v>2487</v>
      </c>
      <c r="V143" s="137" t="s">
        <v>2487</v>
      </c>
      <c r="W143" s="137" t="s">
        <v>2486</v>
      </c>
      <c r="X143" s="137" t="s">
        <v>2486</v>
      </c>
      <c r="Y143" s="137" t="s">
        <v>2486</v>
      </c>
      <c r="Z143" s="137" t="s">
        <v>2486</v>
      </c>
      <c r="AA143" s="137" t="s">
        <v>2486</v>
      </c>
      <c r="AB143" s="137">
        <v>0.63636360000000003</v>
      </c>
      <c r="AD143" s="143" t="s">
        <v>746</v>
      </c>
      <c r="AE143" s="143" t="s">
        <v>743</v>
      </c>
      <c r="AF143" s="143" t="s">
        <v>663</v>
      </c>
      <c r="AG143" s="143">
        <v>3817</v>
      </c>
      <c r="AO143" s="190">
        <v>0.95</v>
      </c>
      <c r="AP143" s="190">
        <v>0.95</v>
      </c>
      <c r="AQ143" s="78" t="s">
        <v>2487</v>
      </c>
      <c r="AS143" s="143" t="s">
        <v>746</v>
      </c>
      <c r="AT143" s="143" t="s">
        <v>743</v>
      </c>
      <c r="AU143" s="143" t="s">
        <v>663</v>
      </c>
      <c r="AV143" s="143">
        <v>3817</v>
      </c>
      <c r="AW143" s="137" t="s">
        <v>2838</v>
      </c>
      <c r="AX143" s="137" t="s">
        <v>2838</v>
      </c>
      <c r="AY143" s="137" t="s">
        <v>2838</v>
      </c>
      <c r="AZ143" s="137" t="s">
        <v>2838</v>
      </c>
      <c r="BA143" s="137" t="s">
        <v>2838</v>
      </c>
      <c r="BB143" s="137" t="s">
        <v>2838</v>
      </c>
      <c r="BC143" s="137" t="s">
        <v>2838</v>
      </c>
      <c r="BD143" s="137" t="s">
        <v>2838</v>
      </c>
      <c r="BE143" s="137" t="s">
        <v>2838</v>
      </c>
      <c r="BF143" s="137" t="s">
        <v>2838</v>
      </c>
      <c r="BI143" s="137" t="s">
        <v>2486</v>
      </c>
      <c r="BJ143" s="137" t="s">
        <v>2486</v>
      </c>
      <c r="BK143" s="190" t="s">
        <v>2486</v>
      </c>
      <c r="BL143" s="190">
        <v>1</v>
      </c>
      <c r="BM143" s="78" t="s">
        <v>2486</v>
      </c>
      <c r="BO143" s="143" t="s">
        <v>746</v>
      </c>
      <c r="BP143" s="143" t="s">
        <v>743</v>
      </c>
      <c r="BQ143" s="143" t="s">
        <v>663</v>
      </c>
      <c r="BR143" s="143">
        <v>3817</v>
      </c>
      <c r="BY143" s="78" t="s">
        <v>2838</v>
      </c>
    </row>
    <row r="144" spans="1:77" x14ac:dyDescent="0.35">
      <c r="A144" s="143" t="s">
        <v>746</v>
      </c>
      <c r="B144" s="143" t="s">
        <v>743</v>
      </c>
      <c r="C144" s="143" t="s">
        <v>663</v>
      </c>
      <c r="D144" s="143">
        <v>4002</v>
      </c>
      <c r="E144" s="137">
        <v>0.2</v>
      </c>
      <c r="F144" s="137">
        <v>0.78038819999999998</v>
      </c>
      <c r="G144" s="271">
        <v>0.98038820000000004</v>
      </c>
      <c r="H144" s="137" t="s">
        <v>2486</v>
      </c>
      <c r="I144" s="137">
        <v>0.2</v>
      </c>
      <c r="J144" s="137">
        <v>0.74232209999999998</v>
      </c>
      <c r="K144" s="137">
        <v>0.94232210000000005</v>
      </c>
      <c r="M144" s="143" t="s">
        <v>746</v>
      </c>
      <c r="N144" s="143" t="s">
        <v>743</v>
      </c>
      <c r="O144" s="143" t="s">
        <v>663</v>
      </c>
      <c r="P144" s="143">
        <v>4002</v>
      </c>
      <c r="Q144" s="137" t="s">
        <v>2487</v>
      </c>
      <c r="R144" s="137" t="s">
        <v>2486</v>
      </c>
      <c r="S144" s="137" t="s">
        <v>2486</v>
      </c>
      <c r="T144" s="137" t="s">
        <v>2486</v>
      </c>
      <c r="U144" s="137" t="s">
        <v>2487</v>
      </c>
      <c r="V144" s="137" t="s">
        <v>2487</v>
      </c>
      <c r="W144" s="137" t="s">
        <v>2486</v>
      </c>
      <c r="X144" s="137" t="s">
        <v>2486</v>
      </c>
      <c r="Y144" s="137" t="s">
        <v>2486</v>
      </c>
      <c r="Z144" s="137" t="s">
        <v>2486</v>
      </c>
      <c r="AA144" s="137" t="s">
        <v>2487</v>
      </c>
      <c r="AB144" s="137">
        <v>0.63636360000000003</v>
      </c>
      <c r="AD144" s="143" t="s">
        <v>746</v>
      </c>
      <c r="AE144" s="143" t="s">
        <v>743</v>
      </c>
      <c r="AF144" s="143" t="s">
        <v>663</v>
      </c>
      <c r="AG144" s="143">
        <v>4002</v>
      </c>
      <c r="AO144" s="190">
        <v>0.9375</v>
      </c>
      <c r="AP144" s="190">
        <v>0.9375</v>
      </c>
      <c r="AQ144" s="78" t="s">
        <v>2487</v>
      </c>
      <c r="AS144" s="143" t="s">
        <v>746</v>
      </c>
      <c r="AT144" s="143" t="s">
        <v>743</v>
      </c>
      <c r="AU144" s="143" t="s">
        <v>663</v>
      </c>
      <c r="AV144" s="143">
        <v>4002</v>
      </c>
      <c r="AW144" s="137" t="s">
        <v>2838</v>
      </c>
      <c r="AX144" s="137" t="s">
        <v>2838</v>
      </c>
      <c r="AY144" s="137" t="s">
        <v>2838</v>
      </c>
      <c r="AZ144" s="137" t="s">
        <v>2838</v>
      </c>
      <c r="BA144" s="137" t="s">
        <v>2838</v>
      </c>
      <c r="BB144" s="137" t="s">
        <v>2838</v>
      </c>
      <c r="BC144" s="137" t="s">
        <v>2838</v>
      </c>
      <c r="BD144" s="137" t="s">
        <v>2838</v>
      </c>
      <c r="BE144" s="137" t="s">
        <v>2838</v>
      </c>
      <c r="BF144" s="137" t="s">
        <v>2838</v>
      </c>
      <c r="BI144" s="137" t="s">
        <v>2486</v>
      </c>
      <c r="BJ144" s="137" t="s">
        <v>2486</v>
      </c>
      <c r="BK144" s="190" t="s">
        <v>2486</v>
      </c>
      <c r="BL144" s="190">
        <v>1</v>
      </c>
      <c r="BM144" s="78" t="s">
        <v>2486</v>
      </c>
      <c r="BO144" s="143" t="s">
        <v>746</v>
      </c>
      <c r="BP144" s="143" t="s">
        <v>743</v>
      </c>
      <c r="BQ144" s="143" t="s">
        <v>663</v>
      </c>
      <c r="BR144" s="143">
        <v>4002</v>
      </c>
      <c r="BY144" s="78" t="s">
        <v>2838</v>
      </c>
    </row>
    <row r="145" spans="1:77" x14ac:dyDescent="0.35">
      <c r="A145" s="143" t="s">
        <v>746</v>
      </c>
      <c r="B145" s="143" t="s">
        <v>743</v>
      </c>
      <c r="C145" s="143" t="s">
        <v>663</v>
      </c>
      <c r="D145" s="143">
        <v>4012</v>
      </c>
      <c r="E145" s="137">
        <v>0.2</v>
      </c>
      <c r="F145" s="137">
        <v>0.68804900000000002</v>
      </c>
      <c r="G145" s="271">
        <v>0.88804899999999998</v>
      </c>
      <c r="H145" s="137" t="s">
        <v>2487</v>
      </c>
      <c r="I145" s="137">
        <v>0.1666667</v>
      </c>
      <c r="J145" s="137">
        <v>0.50187269999999995</v>
      </c>
      <c r="K145" s="137">
        <v>0.66853929999999995</v>
      </c>
      <c r="M145" s="143" t="s">
        <v>746</v>
      </c>
      <c r="N145" s="143" t="s">
        <v>743</v>
      </c>
      <c r="O145" s="143" t="s">
        <v>663</v>
      </c>
      <c r="P145" s="143">
        <v>4012</v>
      </c>
      <c r="Q145" s="137" t="s">
        <v>2487</v>
      </c>
      <c r="R145" s="137" t="s">
        <v>2486</v>
      </c>
      <c r="S145" s="137" t="s">
        <v>2487</v>
      </c>
      <c r="T145" s="137" t="s">
        <v>2486</v>
      </c>
      <c r="U145" s="137" t="s">
        <v>2487</v>
      </c>
      <c r="V145" s="137" t="s">
        <v>2487</v>
      </c>
      <c r="W145" s="137" t="s">
        <v>2486</v>
      </c>
      <c r="X145" s="137" t="s">
        <v>2486</v>
      </c>
      <c r="Y145" s="137" t="s">
        <v>2486</v>
      </c>
      <c r="Z145" s="137" t="s">
        <v>2486</v>
      </c>
      <c r="AA145" s="137" t="s">
        <v>2487</v>
      </c>
      <c r="AB145" s="137">
        <v>0.54545460000000001</v>
      </c>
      <c r="AD145" s="143" t="s">
        <v>746</v>
      </c>
      <c r="AE145" s="143" t="s">
        <v>743</v>
      </c>
      <c r="AF145" s="143" t="s">
        <v>663</v>
      </c>
      <c r="AG145" s="143">
        <v>4012</v>
      </c>
      <c r="AO145" s="190">
        <v>0.95</v>
      </c>
      <c r="AP145" s="190">
        <v>0.95</v>
      </c>
      <c r="AQ145" s="78" t="s">
        <v>2487</v>
      </c>
      <c r="AS145" s="143" t="s">
        <v>746</v>
      </c>
      <c r="AT145" s="143" t="s">
        <v>743</v>
      </c>
      <c r="AU145" s="143" t="s">
        <v>663</v>
      </c>
      <c r="AV145" s="143">
        <v>4012</v>
      </c>
      <c r="AW145" s="137" t="s">
        <v>2838</v>
      </c>
      <c r="AX145" s="137" t="s">
        <v>2838</v>
      </c>
      <c r="AY145" s="137" t="s">
        <v>2838</v>
      </c>
      <c r="AZ145" s="137" t="s">
        <v>2838</v>
      </c>
      <c r="BA145" s="137" t="s">
        <v>2838</v>
      </c>
      <c r="BB145" s="137" t="s">
        <v>2838</v>
      </c>
      <c r="BC145" s="137" t="s">
        <v>2838</v>
      </c>
      <c r="BD145" s="137" t="s">
        <v>2838</v>
      </c>
      <c r="BE145" s="137" t="s">
        <v>2838</v>
      </c>
      <c r="BF145" s="137" t="s">
        <v>2838</v>
      </c>
      <c r="BI145" s="137" t="s">
        <v>2486</v>
      </c>
      <c r="BJ145" s="137" t="s">
        <v>2486</v>
      </c>
      <c r="BK145" s="190" t="s">
        <v>2486</v>
      </c>
      <c r="BL145" s="190">
        <v>1</v>
      </c>
      <c r="BM145" s="78" t="s">
        <v>2486</v>
      </c>
      <c r="BO145" s="143" t="s">
        <v>746</v>
      </c>
      <c r="BP145" s="143" t="s">
        <v>743</v>
      </c>
      <c r="BQ145" s="143" t="s">
        <v>663</v>
      </c>
      <c r="BR145" s="143">
        <v>4012</v>
      </c>
      <c r="BY145" s="78" t="s">
        <v>2838</v>
      </c>
    </row>
    <row r="146" spans="1:77" x14ac:dyDescent="0.35">
      <c r="A146" s="143" t="s">
        <v>747</v>
      </c>
      <c r="B146" s="143" t="s">
        <v>748</v>
      </c>
      <c r="C146" s="143" t="s">
        <v>663</v>
      </c>
      <c r="D146" s="143">
        <v>2576</v>
      </c>
      <c r="E146" s="137">
        <v>0.18181820000000001</v>
      </c>
      <c r="F146" s="137">
        <v>0.72727269999999999</v>
      </c>
      <c r="G146" s="271">
        <v>0.90909090000000004</v>
      </c>
      <c r="H146" s="137" t="s">
        <v>2486</v>
      </c>
      <c r="I146" s="137">
        <v>0.2</v>
      </c>
      <c r="J146" s="137">
        <v>6.6666699999999995E-2</v>
      </c>
      <c r="K146" s="137">
        <v>0.26666669999999998</v>
      </c>
      <c r="M146" s="143" t="s">
        <v>747</v>
      </c>
      <c r="N146" s="143" t="s">
        <v>748</v>
      </c>
      <c r="O146" s="143" t="s">
        <v>663</v>
      </c>
      <c r="P146" s="143">
        <v>2576</v>
      </c>
      <c r="Q146" s="137" t="s">
        <v>2486</v>
      </c>
      <c r="R146" s="137" t="s">
        <v>2487</v>
      </c>
      <c r="S146" s="137" t="s">
        <v>2487</v>
      </c>
      <c r="T146" s="137" t="s">
        <v>2486</v>
      </c>
      <c r="U146" s="137" t="s">
        <v>2487</v>
      </c>
      <c r="V146" s="137" t="s">
        <v>2487</v>
      </c>
      <c r="W146" s="137" t="s">
        <v>2486</v>
      </c>
      <c r="X146" s="137" t="s">
        <v>2486</v>
      </c>
      <c r="Y146" s="137" t="s">
        <v>2486</v>
      </c>
      <c r="Z146" s="137" t="s">
        <v>2486</v>
      </c>
      <c r="AA146" s="137" t="s">
        <v>2486</v>
      </c>
      <c r="AB146" s="137">
        <v>0.63636360000000003</v>
      </c>
      <c r="AD146" s="143" t="s">
        <v>747</v>
      </c>
      <c r="AE146" s="143" t="s">
        <v>748</v>
      </c>
      <c r="AF146" s="143" t="s">
        <v>663</v>
      </c>
      <c r="AG146" s="143">
        <v>2576</v>
      </c>
      <c r="AO146" s="190">
        <v>0.9</v>
      </c>
      <c r="AP146" s="190">
        <v>0.9</v>
      </c>
      <c r="AQ146" s="78" t="s">
        <v>2487</v>
      </c>
      <c r="AS146" s="143" t="s">
        <v>747</v>
      </c>
      <c r="AT146" s="143" t="s">
        <v>748</v>
      </c>
      <c r="AU146" s="143" t="s">
        <v>663</v>
      </c>
      <c r="AV146" s="143">
        <v>2576</v>
      </c>
      <c r="AW146" s="137" t="s">
        <v>2838</v>
      </c>
      <c r="AX146" s="137" t="s">
        <v>2838</v>
      </c>
      <c r="AY146" s="137" t="s">
        <v>2838</v>
      </c>
      <c r="AZ146" s="137" t="s">
        <v>2838</v>
      </c>
      <c r="BA146" s="137" t="s">
        <v>2838</v>
      </c>
      <c r="BB146" s="137" t="s">
        <v>2838</v>
      </c>
      <c r="BC146" s="137" t="s">
        <v>2838</v>
      </c>
      <c r="BD146" s="137" t="s">
        <v>2838</v>
      </c>
      <c r="BE146" s="137" t="s">
        <v>2838</v>
      </c>
      <c r="BF146" s="137" t="s">
        <v>2838</v>
      </c>
      <c r="BI146" s="137" t="s">
        <v>2486</v>
      </c>
      <c r="BJ146" s="137" t="s">
        <v>2486</v>
      </c>
      <c r="BK146" s="190" t="s">
        <v>2486</v>
      </c>
      <c r="BL146" s="190">
        <v>1</v>
      </c>
      <c r="BM146" s="78" t="s">
        <v>2486</v>
      </c>
      <c r="BO146" s="143" t="s">
        <v>747</v>
      </c>
      <c r="BP146" s="143" t="s">
        <v>748</v>
      </c>
      <c r="BQ146" s="143" t="s">
        <v>663</v>
      </c>
      <c r="BR146" s="143">
        <v>2576</v>
      </c>
      <c r="BY146" s="78" t="s">
        <v>2838</v>
      </c>
    </row>
    <row r="147" spans="1:77" x14ac:dyDescent="0.35">
      <c r="A147" s="143" t="s">
        <v>747</v>
      </c>
      <c r="B147" s="143" t="s">
        <v>748</v>
      </c>
      <c r="C147" s="143" t="s">
        <v>663</v>
      </c>
      <c r="D147" s="143">
        <v>2802</v>
      </c>
      <c r="E147" s="137">
        <v>0.14545449999999999</v>
      </c>
      <c r="F147" s="137">
        <v>0.6545455</v>
      </c>
      <c r="G147" s="271">
        <v>0.8</v>
      </c>
      <c r="H147" s="137" t="s">
        <v>2487</v>
      </c>
      <c r="I147" s="137">
        <v>0.2</v>
      </c>
      <c r="J147" s="137">
        <v>0</v>
      </c>
      <c r="K147" s="137">
        <v>0.2</v>
      </c>
      <c r="M147" s="143" t="s">
        <v>747</v>
      </c>
      <c r="N147" s="143" t="s">
        <v>748</v>
      </c>
      <c r="O147" s="143" t="s">
        <v>663</v>
      </c>
      <c r="P147" s="143">
        <v>2802</v>
      </c>
      <c r="Q147" s="137" t="s">
        <v>2487</v>
      </c>
      <c r="R147" s="137" t="s">
        <v>2487</v>
      </c>
      <c r="S147" s="137" t="s">
        <v>2486</v>
      </c>
      <c r="T147" s="137" t="s">
        <v>2486</v>
      </c>
      <c r="U147" s="137" t="s">
        <v>2487</v>
      </c>
      <c r="V147" s="137" t="s">
        <v>2487</v>
      </c>
      <c r="W147" s="137" t="s">
        <v>2486</v>
      </c>
      <c r="X147" s="137" t="s">
        <v>2486</v>
      </c>
      <c r="Y147" s="137" t="s">
        <v>2486</v>
      </c>
      <c r="Z147" s="137" t="s">
        <v>2486</v>
      </c>
      <c r="AA147" s="137" t="s">
        <v>2487</v>
      </c>
      <c r="AB147" s="137">
        <v>0.54545460000000001</v>
      </c>
      <c r="AD147" s="143" t="s">
        <v>747</v>
      </c>
      <c r="AE147" s="143" t="s">
        <v>748</v>
      </c>
      <c r="AF147" s="143" t="s">
        <v>663</v>
      </c>
      <c r="AG147" s="143">
        <v>2802</v>
      </c>
      <c r="AO147" s="190">
        <v>0.9375</v>
      </c>
      <c r="AP147" s="190">
        <v>0.9375</v>
      </c>
      <c r="AQ147" s="78" t="s">
        <v>2487</v>
      </c>
      <c r="AS147" s="143" t="s">
        <v>747</v>
      </c>
      <c r="AT147" s="143" t="s">
        <v>748</v>
      </c>
      <c r="AU147" s="143" t="s">
        <v>663</v>
      </c>
      <c r="AV147" s="143">
        <v>2802</v>
      </c>
      <c r="AW147" s="137" t="s">
        <v>2838</v>
      </c>
      <c r="AX147" s="137" t="s">
        <v>2838</v>
      </c>
      <c r="AY147" s="137" t="s">
        <v>2838</v>
      </c>
      <c r="AZ147" s="137" t="s">
        <v>2838</v>
      </c>
      <c r="BA147" s="137" t="s">
        <v>2838</v>
      </c>
      <c r="BB147" s="137" t="s">
        <v>2838</v>
      </c>
      <c r="BC147" s="137" t="s">
        <v>2838</v>
      </c>
      <c r="BD147" s="137" t="s">
        <v>2838</v>
      </c>
      <c r="BE147" s="137" t="s">
        <v>2838</v>
      </c>
      <c r="BF147" s="137" t="s">
        <v>2838</v>
      </c>
      <c r="BI147" s="137" t="s">
        <v>2486</v>
      </c>
      <c r="BJ147" s="137" t="s">
        <v>2486</v>
      </c>
      <c r="BK147" s="190" t="s">
        <v>2486</v>
      </c>
      <c r="BL147" s="190">
        <v>1</v>
      </c>
      <c r="BM147" s="78" t="s">
        <v>2486</v>
      </c>
      <c r="BO147" s="143" t="s">
        <v>747</v>
      </c>
      <c r="BP147" s="143" t="s">
        <v>748</v>
      </c>
      <c r="BQ147" s="143" t="s">
        <v>663</v>
      </c>
      <c r="BR147" s="143">
        <v>2802</v>
      </c>
      <c r="BY147" s="78" t="s">
        <v>2838</v>
      </c>
    </row>
    <row r="148" spans="1:77" x14ac:dyDescent="0.35">
      <c r="A148" s="143" t="s">
        <v>747</v>
      </c>
      <c r="B148" s="143" t="s">
        <v>748</v>
      </c>
      <c r="C148" s="143" t="s">
        <v>663</v>
      </c>
      <c r="D148" s="143">
        <v>3810</v>
      </c>
      <c r="E148" s="137">
        <v>0.2</v>
      </c>
      <c r="F148" s="137">
        <v>0.75178750000000005</v>
      </c>
      <c r="G148" s="271">
        <v>0.95178750000000001</v>
      </c>
      <c r="H148" s="137" t="s">
        <v>2486</v>
      </c>
      <c r="I148" s="137">
        <v>0.1</v>
      </c>
      <c r="J148" s="137">
        <v>0.4</v>
      </c>
      <c r="K148" s="137">
        <v>0.5</v>
      </c>
      <c r="M148" s="143" t="s">
        <v>747</v>
      </c>
      <c r="N148" s="143" t="s">
        <v>748</v>
      </c>
      <c r="O148" s="143" t="s">
        <v>663</v>
      </c>
      <c r="P148" s="143">
        <v>3810</v>
      </c>
      <c r="Q148" s="137" t="s">
        <v>2486</v>
      </c>
      <c r="R148" s="137" t="s">
        <v>2486</v>
      </c>
      <c r="S148" s="137" t="s">
        <v>2486</v>
      </c>
      <c r="T148" s="137" t="s">
        <v>2486</v>
      </c>
      <c r="U148" s="137" t="s">
        <v>2487</v>
      </c>
      <c r="V148" s="137" t="s">
        <v>2487</v>
      </c>
      <c r="W148" s="137" t="s">
        <v>2486</v>
      </c>
      <c r="X148" s="137" t="s">
        <v>2486</v>
      </c>
      <c r="Y148" s="137" t="s">
        <v>2486</v>
      </c>
      <c r="Z148" s="137" t="s">
        <v>2486</v>
      </c>
      <c r="AA148" s="137" t="s">
        <v>2486</v>
      </c>
      <c r="AB148" s="137">
        <v>0.81818179999999996</v>
      </c>
      <c r="AD148" s="143" t="s">
        <v>747</v>
      </c>
      <c r="AE148" s="143" t="s">
        <v>748</v>
      </c>
      <c r="AF148" s="143" t="s">
        <v>663</v>
      </c>
      <c r="AG148" s="143">
        <v>3810</v>
      </c>
      <c r="AO148" s="190">
        <v>0.95</v>
      </c>
      <c r="AP148" s="190">
        <v>0.95</v>
      </c>
      <c r="AQ148" s="78" t="s">
        <v>2487</v>
      </c>
      <c r="AS148" s="143" t="s">
        <v>747</v>
      </c>
      <c r="AT148" s="143" t="s">
        <v>748</v>
      </c>
      <c r="AU148" s="143" t="s">
        <v>663</v>
      </c>
      <c r="AV148" s="143">
        <v>3810</v>
      </c>
      <c r="AW148" s="137" t="s">
        <v>2838</v>
      </c>
      <c r="AX148" s="137" t="s">
        <v>2838</v>
      </c>
      <c r="AY148" s="137" t="s">
        <v>2838</v>
      </c>
      <c r="AZ148" s="137" t="s">
        <v>2838</v>
      </c>
      <c r="BA148" s="137" t="s">
        <v>2838</v>
      </c>
      <c r="BB148" s="137" t="s">
        <v>2838</v>
      </c>
      <c r="BC148" s="137" t="s">
        <v>2838</v>
      </c>
      <c r="BD148" s="137" t="s">
        <v>2838</v>
      </c>
      <c r="BE148" s="137" t="s">
        <v>2838</v>
      </c>
      <c r="BF148" s="137" t="s">
        <v>2838</v>
      </c>
      <c r="BI148" s="137" t="s">
        <v>2486</v>
      </c>
      <c r="BJ148" s="137" t="s">
        <v>2486</v>
      </c>
      <c r="BK148" s="190" t="s">
        <v>2486</v>
      </c>
      <c r="BL148" s="190">
        <v>1</v>
      </c>
      <c r="BM148" s="78" t="s">
        <v>2486</v>
      </c>
      <c r="BO148" s="143" t="s">
        <v>747</v>
      </c>
      <c r="BP148" s="143" t="s">
        <v>748</v>
      </c>
      <c r="BQ148" s="143" t="s">
        <v>663</v>
      </c>
      <c r="BR148" s="143">
        <v>3810</v>
      </c>
      <c r="BY148" s="78" t="s">
        <v>2838</v>
      </c>
    </row>
    <row r="149" spans="1:77" x14ac:dyDescent="0.35">
      <c r="A149" s="143" t="s">
        <v>749</v>
      </c>
      <c r="B149" s="143" t="s">
        <v>730</v>
      </c>
      <c r="C149" s="143" t="s">
        <v>663</v>
      </c>
      <c r="D149" s="143">
        <v>2428</v>
      </c>
      <c r="E149" s="137">
        <v>5.4545499999999997E-2</v>
      </c>
      <c r="F149" s="137">
        <v>0.478856</v>
      </c>
      <c r="G149" s="271">
        <v>0.53340140000000003</v>
      </c>
      <c r="H149" s="137" t="s">
        <v>2487</v>
      </c>
      <c r="I149" s="137">
        <v>0.1666667</v>
      </c>
      <c r="J149" s="137">
        <v>0.29812739999999999</v>
      </c>
      <c r="K149" s="137">
        <v>0.46479399999999998</v>
      </c>
      <c r="M149" s="143" t="s">
        <v>749</v>
      </c>
      <c r="N149" s="143" t="s">
        <v>730</v>
      </c>
      <c r="O149" s="143" t="s">
        <v>663</v>
      </c>
      <c r="P149" s="143">
        <v>2428</v>
      </c>
      <c r="Q149" s="137" t="s">
        <v>2487</v>
      </c>
      <c r="R149" s="137" t="s">
        <v>2486</v>
      </c>
      <c r="S149" s="137" t="s">
        <v>2486</v>
      </c>
      <c r="T149" s="137" t="s">
        <v>2486</v>
      </c>
      <c r="U149" s="137" t="s">
        <v>2487</v>
      </c>
      <c r="V149" s="137" t="s">
        <v>2487</v>
      </c>
      <c r="W149" s="137" t="s">
        <v>2486</v>
      </c>
      <c r="X149" s="137" t="s">
        <v>2486</v>
      </c>
      <c r="Y149" s="137" t="s">
        <v>2486</v>
      </c>
      <c r="Z149" s="137" t="s">
        <v>2486</v>
      </c>
      <c r="AA149" s="137" t="s">
        <v>2487</v>
      </c>
      <c r="AB149" s="137">
        <v>0.63636360000000003</v>
      </c>
      <c r="AD149" s="143" t="s">
        <v>749</v>
      </c>
      <c r="AE149" s="143" t="s">
        <v>730</v>
      </c>
      <c r="AF149" s="143" t="s">
        <v>663</v>
      </c>
      <c r="AG149" s="143">
        <v>2428</v>
      </c>
      <c r="AO149" s="190">
        <v>0.9</v>
      </c>
      <c r="AP149" s="190">
        <v>0.9</v>
      </c>
      <c r="AQ149" s="78" t="s">
        <v>2487</v>
      </c>
      <c r="AS149" s="143" t="s">
        <v>749</v>
      </c>
      <c r="AT149" s="143" t="s">
        <v>730</v>
      </c>
      <c r="AU149" s="143" t="s">
        <v>663</v>
      </c>
      <c r="AV149" s="143">
        <v>2428</v>
      </c>
      <c r="AW149" s="137" t="s">
        <v>2838</v>
      </c>
      <c r="AX149" s="137" t="s">
        <v>2838</v>
      </c>
      <c r="AY149" s="137" t="s">
        <v>2838</v>
      </c>
      <c r="AZ149" s="137" t="s">
        <v>2838</v>
      </c>
      <c r="BA149" s="137" t="s">
        <v>2838</v>
      </c>
      <c r="BB149" s="137" t="s">
        <v>2838</v>
      </c>
      <c r="BC149" s="137" t="s">
        <v>2838</v>
      </c>
      <c r="BD149" s="137" t="s">
        <v>2838</v>
      </c>
      <c r="BE149" s="137" t="s">
        <v>2838</v>
      </c>
      <c r="BF149" s="137" t="s">
        <v>2838</v>
      </c>
      <c r="BI149" s="137" t="s">
        <v>2486</v>
      </c>
      <c r="BJ149" s="137" t="s">
        <v>2486</v>
      </c>
      <c r="BK149" s="190" t="s">
        <v>2486</v>
      </c>
      <c r="BL149" s="190">
        <v>1</v>
      </c>
      <c r="BM149" s="78" t="s">
        <v>2486</v>
      </c>
      <c r="BO149" s="143" t="s">
        <v>749</v>
      </c>
      <c r="BP149" s="143" t="s">
        <v>730</v>
      </c>
      <c r="BQ149" s="143" t="s">
        <v>663</v>
      </c>
      <c r="BR149" s="143">
        <v>2428</v>
      </c>
      <c r="BY149" s="78" t="s">
        <v>2838</v>
      </c>
    </row>
    <row r="150" spans="1:77" x14ac:dyDescent="0.35">
      <c r="A150" s="143" t="s">
        <v>749</v>
      </c>
      <c r="B150" s="143" t="s">
        <v>730</v>
      </c>
      <c r="C150" s="143" t="s">
        <v>663</v>
      </c>
      <c r="D150" s="143">
        <v>3075</v>
      </c>
      <c r="E150" s="137">
        <v>9.0909100000000007E-2</v>
      </c>
      <c r="F150" s="137">
        <v>0.61613890000000004</v>
      </c>
      <c r="G150" s="271">
        <v>0.70704800000000001</v>
      </c>
      <c r="H150" s="137" t="s">
        <v>2487</v>
      </c>
      <c r="I150" s="137">
        <v>6.6666699999999995E-2</v>
      </c>
      <c r="J150" s="137">
        <v>0.59925090000000003</v>
      </c>
      <c r="K150" s="137">
        <v>0.6659176</v>
      </c>
      <c r="M150" s="143" t="s">
        <v>749</v>
      </c>
      <c r="N150" s="143" t="s">
        <v>730</v>
      </c>
      <c r="O150" s="143" t="s">
        <v>663</v>
      </c>
      <c r="P150" s="143">
        <v>3075</v>
      </c>
      <c r="Q150" s="137" t="s">
        <v>2487</v>
      </c>
      <c r="R150" s="137" t="s">
        <v>2486</v>
      </c>
      <c r="S150" s="137" t="s">
        <v>2486</v>
      </c>
      <c r="T150" s="137" t="s">
        <v>2487</v>
      </c>
      <c r="U150" s="137" t="s">
        <v>2487</v>
      </c>
      <c r="V150" s="137" t="s">
        <v>2487</v>
      </c>
      <c r="W150" s="137" t="s">
        <v>2487</v>
      </c>
      <c r="X150" s="137" t="s">
        <v>2487</v>
      </c>
      <c r="Y150" s="137" t="s">
        <v>2486</v>
      </c>
      <c r="Z150" s="137" t="s">
        <v>2487</v>
      </c>
      <c r="AA150" s="137" t="s">
        <v>2487</v>
      </c>
      <c r="AB150" s="137">
        <v>0.27272730000000001</v>
      </c>
      <c r="AD150" s="143" t="s">
        <v>749</v>
      </c>
      <c r="AE150" s="143" t="s">
        <v>730</v>
      </c>
      <c r="AF150" s="143" t="s">
        <v>663</v>
      </c>
      <c r="AG150" s="143">
        <v>3075</v>
      </c>
      <c r="AO150" s="190">
        <v>0.8</v>
      </c>
      <c r="AP150" s="190">
        <v>0.8</v>
      </c>
      <c r="AQ150" s="78" t="s">
        <v>2487</v>
      </c>
      <c r="AS150" s="143" t="s">
        <v>749</v>
      </c>
      <c r="AT150" s="143" t="s">
        <v>730</v>
      </c>
      <c r="AU150" s="143" t="s">
        <v>663</v>
      </c>
      <c r="AV150" s="143">
        <v>3075</v>
      </c>
      <c r="AW150" s="137" t="s">
        <v>2838</v>
      </c>
      <c r="AX150" s="137" t="s">
        <v>2838</v>
      </c>
      <c r="AY150" s="137" t="s">
        <v>2838</v>
      </c>
      <c r="AZ150" s="137" t="s">
        <v>2838</v>
      </c>
      <c r="BA150" s="137" t="s">
        <v>2838</v>
      </c>
      <c r="BB150" s="137" t="s">
        <v>2838</v>
      </c>
      <c r="BC150" s="137" t="s">
        <v>2838</v>
      </c>
      <c r="BD150" s="137" t="s">
        <v>2838</v>
      </c>
      <c r="BE150" s="137" t="s">
        <v>2838</v>
      </c>
      <c r="BF150" s="137" t="s">
        <v>2838</v>
      </c>
      <c r="BI150" s="137" t="s">
        <v>2486</v>
      </c>
      <c r="BJ150" s="137" t="s">
        <v>2486</v>
      </c>
      <c r="BK150" s="190" t="s">
        <v>2486</v>
      </c>
      <c r="BL150" s="190">
        <v>1</v>
      </c>
      <c r="BM150" s="78" t="s">
        <v>2486</v>
      </c>
      <c r="BO150" s="143" t="s">
        <v>749</v>
      </c>
      <c r="BP150" s="143" t="s">
        <v>730</v>
      </c>
      <c r="BQ150" s="143" t="s">
        <v>663</v>
      </c>
      <c r="BR150" s="143">
        <v>3075</v>
      </c>
      <c r="BY150" s="78" t="s">
        <v>2838</v>
      </c>
    </row>
    <row r="151" spans="1:77" x14ac:dyDescent="0.35">
      <c r="A151" s="143" t="s">
        <v>749</v>
      </c>
      <c r="B151" s="143" t="s">
        <v>730</v>
      </c>
      <c r="C151" s="143" t="s">
        <v>663</v>
      </c>
      <c r="D151" s="143">
        <v>3933</v>
      </c>
      <c r="E151" s="137">
        <v>7.2727299999999995E-2</v>
      </c>
      <c r="F151" s="137">
        <v>0.47803879999999999</v>
      </c>
      <c r="G151" s="271">
        <v>0.55076610000000004</v>
      </c>
      <c r="H151" s="137" t="s">
        <v>2487</v>
      </c>
      <c r="I151" s="137">
        <v>0.13333329999999999</v>
      </c>
      <c r="J151" s="137">
        <v>0.29962549999999999</v>
      </c>
      <c r="K151" s="137">
        <v>0.43295879999999998</v>
      </c>
      <c r="M151" s="143" t="s">
        <v>749</v>
      </c>
      <c r="N151" s="143" t="s">
        <v>730</v>
      </c>
      <c r="O151" s="143" t="s">
        <v>663</v>
      </c>
      <c r="P151" s="143">
        <v>3933</v>
      </c>
      <c r="Q151" s="137" t="s">
        <v>2486</v>
      </c>
      <c r="R151" s="137" t="s">
        <v>2486</v>
      </c>
      <c r="S151" s="137" t="s">
        <v>2486</v>
      </c>
      <c r="T151" s="137" t="s">
        <v>2487</v>
      </c>
      <c r="U151" s="137" t="s">
        <v>2487</v>
      </c>
      <c r="V151" s="137" t="s">
        <v>2487</v>
      </c>
      <c r="W151" s="137" t="s">
        <v>2486</v>
      </c>
      <c r="X151" s="137" t="s">
        <v>2487</v>
      </c>
      <c r="Y151" s="137" t="s">
        <v>2487</v>
      </c>
      <c r="Z151" s="137" t="s">
        <v>2486</v>
      </c>
      <c r="AA151" s="137" t="s">
        <v>2487</v>
      </c>
      <c r="AB151" s="137">
        <v>0.45454549999999999</v>
      </c>
      <c r="AD151" s="143" t="s">
        <v>749</v>
      </c>
      <c r="AE151" s="143" t="s">
        <v>730</v>
      </c>
      <c r="AF151" s="143" t="s">
        <v>663</v>
      </c>
      <c r="AG151" s="143">
        <v>3933</v>
      </c>
      <c r="AO151" s="190">
        <v>0.86250000000000004</v>
      </c>
      <c r="AP151" s="190">
        <v>0.86250000000000004</v>
      </c>
      <c r="AQ151" s="78" t="s">
        <v>2487</v>
      </c>
      <c r="AS151" s="143" t="s">
        <v>749</v>
      </c>
      <c r="AT151" s="143" t="s">
        <v>730</v>
      </c>
      <c r="AU151" s="143" t="s">
        <v>663</v>
      </c>
      <c r="AV151" s="143">
        <v>3933</v>
      </c>
      <c r="AW151" s="137" t="s">
        <v>2838</v>
      </c>
      <c r="AX151" s="137" t="s">
        <v>2838</v>
      </c>
      <c r="AY151" s="137" t="s">
        <v>2838</v>
      </c>
      <c r="AZ151" s="137" t="s">
        <v>2838</v>
      </c>
      <c r="BA151" s="137" t="s">
        <v>2838</v>
      </c>
      <c r="BB151" s="137" t="s">
        <v>2838</v>
      </c>
      <c r="BC151" s="137" t="s">
        <v>2838</v>
      </c>
      <c r="BD151" s="137" t="s">
        <v>2838</v>
      </c>
      <c r="BE151" s="137" t="s">
        <v>2838</v>
      </c>
      <c r="BF151" s="137" t="s">
        <v>2838</v>
      </c>
      <c r="BI151" s="137" t="s">
        <v>2486</v>
      </c>
      <c r="BJ151" s="137" t="s">
        <v>2486</v>
      </c>
      <c r="BK151" s="190" t="s">
        <v>2486</v>
      </c>
      <c r="BL151" s="190">
        <v>1</v>
      </c>
      <c r="BM151" s="78" t="s">
        <v>2486</v>
      </c>
      <c r="BO151" s="143" t="s">
        <v>749</v>
      </c>
      <c r="BP151" s="143" t="s">
        <v>730</v>
      </c>
      <c r="BQ151" s="143" t="s">
        <v>663</v>
      </c>
      <c r="BR151" s="143">
        <v>3933</v>
      </c>
      <c r="BY151" s="78" t="s">
        <v>2838</v>
      </c>
    </row>
    <row r="152" spans="1:77" x14ac:dyDescent="0.35">
      <c r="A152" s="143" t="s">
        <v>749</v>
      </c>
      <c r="B152" s="143" t="s">
        <v>730</v>
      </c>
      <c r="C152" s="143" t="s">
        <v>663</v>
      </c>
      <c r="D152" s="143">
        <v>4118</v>
      </c>
      <c r="E152" s="137">
        <v>9.0909100000000007E-2</v>
      </c>
      <c r="F152" s="137">
        <v>0.17650660000000001</v>
      </c>
      <c r="G152" s="271">
        <v>0.26741569999999998</v>
      </c>
      <c r="H152" s="137" t="s">
        <v>2487</v>
      </c>
      <c r="I152" s="137">
        <v>0.15</v>
      </c>
      <c r="J152" s="137">
        <v>0.2074906</v>
      </c>
      <c r="K152" s="137">
        <v>0.35749059999999999</v>
      </c>
      <c r="M152" s="143" t="s">
        <v>749</v>
      </c>
      <c r="N152" s="143" t="s">
        <v>730</v>
      </c>
      <c r="O152" s="143" t="s">
        <v>663</v>
      </c>
      <c r="P152" s="143">
        <v>4118</v>
      </c>
      <c r="Q152" s="137" t="s">
        <v>2486</v>
      </c>
      <c r="R152" s="137" t="s">
        <v>2487</v>
      </c>
      <c r="S152" s="137" t="s">
        <v>2486</v>
      </c>
      <c r="T152" s="137" t="s">
        <v>2486</v>
      </c>
      <c r="U152" s="137" t="s">
        <v>2487</v>
      </c>
      <c r="V152" s="137" t="s">
        <v>2487</v>
      </c>
      <c r="W152" s="137" t="s">
        <v>2486</v>
      </c>
      <c r="X152" s="137" t="s">
        <v>2486</v>
      </c>
      <c r="Y152" s="137" t="s">
        <v>2486</v>
      </c>
      <c r="Z152" s="137" t="s">
        <v>2486</v>
      </c>
      <c r="AA152" s="137" t="s">
        <v>2486</v>
      </c>
      <c r="AB152" s="137">
        <v>0.72727269999999999</v>
      </c>
      <c r="AD152" s="143" t="s">
        <v>749</v>
      </c>
      <c r="AE152" s="143" t="s">
        <v>730</v>
      </c>
      <c r="AF152" s="143" t="s">
        <v>663</v>
      </c>
      <c r="AG152" s="143">
        <v>4118</v>
      </c>
      <c r="AO152" s="190">
        <v>0.76249999999999996</v>
      </c>
      <c r="AP152" s="190">
        <v>0.76249999999999996</v>
      </c>
      <c r="AQ152" s="78" t="s">
        <v>2487</v>
      </c>
      <c r="AS152" s="143" t="s">
        <v>749</v>
      </c>
      <c r="AT152" s="143" t="s">
        <v>730</v>
      </c>
      <c r="AU152" s="143" t="s">
        <v>663</v>
      </c>
      <c r="AV152" s="143">
        <v>4118</v>
      </c>
      <c r="AW152" s="137" t="s">
        <v>2838</v>
      </c>
      <c r="AX152" s="137" t="s">
        <v>2838</v>
      </c>
      <c r="AY152" s="137" t="s">
        <v>2838</v>
      </c>
      <c r="AZ152" s="137" t="s">
        <v>2838</v>
      </c>
      <c r="BA152" s="137" t="s">
        <v>2838</v>
      </c>
      <c r="BB152" s="137" t="s">
        <v>2838</v>
      </c>
      <c r="BC152" s="137" t="s">
        <v>2838</v>
      </c>
      <c r="BD152" s="137" t="s">
        <v>2838</v>
      </c>
      <c r="BE152" s="137" t="s">
        <v>2838</v>
      </c>
      <c r="BF152" s="137" t="s">
        <v>2838</v>
      </c>
      <c r="BI152" s="137" t="s">
        <v>2486</v>
      </c>
      <c r="BJ152" s="137" t="s">
        <v>2486</v>
      </c>
      <c r="BK152" s="190" t="s">
        <v>2486</v>
      </c>
      <c r="BL152" s="190">
        <v>1</v>
      </c>
      <c r="BM152" s="78" t="s">
        <v>2486</v>
      </c>
      <c r="BO152" s="143" t="s">
        <v>749</v>
      </c>
      <c r="BP152" s="143" t="s">
        <v>730</v>
      </c>
      <c r="BQ152" s="143" t="s">
        <v>663</v>
      </c>
      <c r="BR152" s="143">
        <v>4118</v>
      </c>
      <c r="BY152" s="78" t="s">
        <v>2838</v>
      </c>
    </row>
    <row r="153" spans="1:77" x14ac:dyDescent="0.35">
      <c r="A153" s="143" t="s">
        <v>750</v>
      </c>
      <c r="B153" s="143" t="s">
        <v>751</v>
      </c>
      <c r="C153" s="143" t="s">
        <v>2452</v>
      </c>
      <c r="D153" s="143">
        <v>686</v>
      </c>
      <c r="E153" s="137">
        <v>0.14000000000000001</v>
      </c>
      <c r="F153" s="137">
        <v>0.60444439999999999</v>
      </c>
      <c r="G153" s="271">
        <v>0.74444440000000001</v>
      </c>
      <c r="H153" s="137" t="s">
        <v>2487</v>
      </c>
      <c r="I153" s="137">
        <v>0.15555559999999999</v>
      </c>
      <c r="J153" s="137">
        <v>0.42696630000000002</v>
      </c>
      <c r="K153" s="137">
        <v>0.58252190000000004</v>
      </c>
      <c r="M153" s="143" t="s">
        <v>750</v>
      </c>
      <c r="N153" s="143" t="s">
        <v>751</v>
      </c>
      <c r="O153" s="143" t="s">
        <v>2452</v>
      </c>
      <c r="P153" s="143">
        <v>686</v>
      </c>
      <c r="Q153" s="137" t="s">
        <v>2486</v>
      </c>
      <c r="R153" s="137" t="s">
        <v>2486</v>
      </c>
      <c r="S153" s="137" t="s">
        <v>2486</v>
      </c>
      <c r="T153" s="137" t="s">
        <v>2486</v>
      </c>
      <c r="U153" s="137" t="s">
        <v>2486</v>
      </c>
      <c r="V153" s="137" t="s">
        <v>2486</v>
      </c>
      <c r="W153" s="137" t="s">
        <v>2486</v>
      </c>
      <c r="X153" s="137" t="s">
        <v>2486</v>
      </c>
      <c r="Y153" s="137" t="s">
        <v>2486</v>
      </c>
      <c r="Z153" s="137" t="s">
        <v>2486</v>
      </c>
      <c r="AA153" s="137" t="s">
        <v>2486</v>
      </c>
      <c r="AB153" s="137">
        <v>1</v>
      </c>
      <c r="AD153" s="143" t="s">
        <v>750</v>
      </c>
      <c r="AE153" s="143" t="s">
        <v>751</v>
      </c>
      <c r="AF153" s="143" t="s">
        <v>2452</v>
      </c>
      <c r="AG153" s="143">
        <v>686</v>
      </c>
      <c r="AH153" s="137">
        <v>0.95384619999999998</v>
      </c>
      <c r="AI153" s="137">
        <v>1</v>
      </c>
      <c r="AJ153" s="137">
        <v>0.9473684</v>
      </c>
      <c r="AK153" s="137">
        <v>0.95454539999999999</v>
      </c>
      <c r="AL153" s="137">
        <v>1</v>
      </c>
      <c r="AM153" s="137">
        <v>1</v>
      </c>
      <c r="AN153" s="137">
        <v>1</v>
      </c>
      <c r="AO153" s="190">
        <v>1</v>
      </c>
      <c r="AP153" s="190">
        <v>0.97816590000000003</v>
      </c>
      <c r="AQ153" s="78" t="s">
        <v>2486</v>
      </c>
      <c r="AS153" s="143" t="s">
        <v>750</v>
      </c>
      <c r="AT153" s="143" t="s">
        <v>751</v>
      </c>
      <c r="AU153" s="143" t="s">
        <v>2452</v>
      </c>
      <c r="AV153" s="143">
        <v>686</v>
      </c>
      <c r="AW153" s="137" t="s">
        <v>2486</v>
      </c>
      <c r="AX153" s="137" t="s">
        <v>2486</v>
      </c>
      <c r="AY153" s="137" t="s">
        <v>2486</v>
      </c>
      <c r="AZ153" s="137" t="s">
        <v>2486</v>
      </c>
      <c r="BA153" s="137" t="s">
        <v>2486</v>
      </c>
      <c r="BB153" s="137" t="s">
        <v>2486</v>
      </c>
      <c r="BC153" s="137" t="s">
        <v>2486</v>
      </c>
      <c r="BD153" s="137" t="s">
        <v>2486</v>
      </c>
      <c r="BE153" s="137" t="s">
        <v>2486</v>
      </c>
      <c r="BF153" s="137" t="s">
        <v>2486</v>
      </c>
      <c r="BI153" s="137" t="s">
        <v>2838</v>
      </c>
      <c r="BJ153" s="137" t="s">
        <v>2838</v>
      </c>
      <c r="BK153" s="190" t="s">
        <v>2838</v>
      </c>
      <c r="BL153" s="190">
        <v>1</v>
      </c>
      <c r="BM153" s="78" t="s">
        <v>2486</v>
      </c>
      <c r="BO153" s="143" t="s">
        <v>750</v>
      </c>
      <c r="BP153" s="143" t="s">
        <v>751</v>
      </c>
      <c r="BQ153" s="143" t="s">
        <v>2452</v>
      </c>
      <c r="BR153" s="143">
        <v>686</v>
      </c>
      <c r="BS153" s="156">
        <v>3</v>
      </c>
      <c r="BT153" s="156">
        <v>1</v>
      </c>
      <c r="BU153" s="156">
        <v>1</v>
      </c>
      <c r="BV153" s="156">
        <v>1</v>
      </c>
      <c r="BW153" s="169">
        <v>1</v>
      </c>
      <c r="BX153" s="169">
        <v>1</v>
      </c>
      <c r="BY153" s="78" t="s">
        <v>2486</v>
      </c>
    </row>
    <row r="154" spans="1:77" x14ac:dyDescent="0.35">
      <c r="A154" s="143" t="s">
        <v>750</v>
      </c>
      <c r="B154" s="143" t="s">
        <v>751</v>
      </c>
      <c r="C154" s="143" t="s">
        <v>663</v>
      </c>
      <c r="D154" s="143">
        <v>2210</v>
      </c>
      <c r="E154" s="137">
        <v>0.2</v>
      </c>
      <c r="F154" s="137">
        <v>0.8</v>
      </c>
      <c r="G154" s="271">
        <v>1</v>
      </c>
      <c r="H154" s="137" t="s">
        <v>2486</v>
      </c>
      <c r="I154" s="137">
        <v>0.2</v>
      </c>
      <c r="J154" s="137">
        <v>0.8</v>
      </c>
      <c r="K154" s="137">
        <v>1</v>
      </c>
      <c r="M154" s="143" t="s">
        <v>750</v>
      </c>
      <c r="N154" s="143" t="s">
        <v>751</v>
      </c>
      <c r="O154" s="143" t="s">
        <v>663</v>
      </c>
      <c r="P154" s="143">
        <v>2210</v>
      </c>
      <c r="Q154" s="137" t="s">
        <v>2487</v>
      </c>
      <c r="R154" s="137" t="s">
        <v>2486</v>
      </c>
      <c r="S154" s="137" t="s">
        <v>2486</v>
      </c>
      <c r="T154" s="137" t="s">
        <v>2486</v>
      </c>
      <c r="U154" s="137" t="s">
        <v>2487</v>
      </c>
      <c r="V154" s="137" t="s">
        <v>2487</v>
      </c>
      <c r="W154" s="137" t="s">
        <v>2486</v>
      </c>
      <c r="X154" s="137" t="s">
        <v>2486</v>
      </c>
      <c r="Y154" s="137" t="s">
        <v>2486</v>
      </c>
      <c r="Z154" s="137" t="s">
        <v>2486</v>
      </c>
      <c r="AA154" s="137" t="s">
        <v>2486</v>
      </c>
      <c r="AB154" s="137">
        <v>0.72727269999999999</v>
      </c>
      <c r="AD154" s="143" t="s">
        <v>750</v>
      </c>
      <c r="AE154" s="143" t="s">
        <v>751</v>
      </c>
      <c r="AF154" s="143" t="s">
        <v>663</v>
      </c>
      <c r="AG154" s="143">
        <v>2210</v>
      </c>
      <c r="AO154" s="190">
        <v>0.97499999999999998</v>
      </c>
      <c r="AP154" s="190">
        <v>0.97499999999999998</v>
      </c>
      <c r="AQ154" s="78" t="s">
        <v>2486</v>
      </c>
      <c r="AS154" s="143" t="s">
        <v>750</v>
      </c>
      <c r="AT154" s="143" t="s">
        <v>751</v>
      </c>
      <c r="AU154" s="143" t="s">
        <v>663</v>
      </c>
      <c r="AV154" s="143">
        <v>2210</v>
      </c>
      <c r="AW154" s="137" t="s">
        <v>2838</v>
      </c>
      <c r="AX154" s="137" t="s">
        <v>2838</v>
      </c>
      <c r="AY154" s="137" t="s">
        <v>2838</v>
      </c>
      <c r="AZ154" s="137" t="s">
        <v>2838</v>
      </c>
      <c r="BA154" s="137" t="s">
        <v>2838</v>
      </c>
      <c r="BB154" s="137" t="s">
        <v>2838</v>
      </c>
      <c r="BC154" s="137" t="s">
        <v>2838</v>
      </c>
      <c r="BD154" s="137" t="s">
        <v>2838</v>
      </c>
      <c r="BE154" s="137" t="s">
        <v>2838</v>
      </c>
      <c r="BF154" s="137" t="s">
        <v>2838</v>
      </c>
      <c r="BI154" s="137" t="s">
        <v>2486</v>
      </c>
      <c r="BJ154" s="137" t="s">
        <v>2486</v>
      </c>
      <c r="BK154" s="190" t="s">
        <v>2486</v>
      </c>
      <c r="BL154" s="190">
        <v>1</v>
      </c>
      <c r="BM154" s="78" t="s">
        <v>2486</v>
      </c>
      <c r="BO154" s="143" t="s">
        <v>750</v>
      </c>
      <c r="BP154" s="143" t="s">
        <v>751</v>
      </c>
      <c r="BQ154" s="143" t="s">
        <v>663</v>
      </c>
      <c r="BR154" s="143">
        <v>2210</v>
      </c>
      <c r="BY154" s="78" t="s">
        <v>2838</v>
      </c>
    </row>
    <row r="155" spans="1:77" x14ac:dyDescent="0.35">
      <c r="A155" s="143" t="s">
        <v>750</v>
      </c>
      <c r="B155" s="143" t="s">
        <v>751</v>
      </c>
      <c r="C155" s="143" t="s">
        <v>663</v>
      </c>
      <c r="D155" s="143">
        <v>2704</v>
      </c>
      <c r="E155" s="137">
        <v>0.16363639999999999</v>
      </c>
      <c r="F155" s="137">
        <v>0.6545455</v>
      </c>
      <c r="G155" s="271">
        <v>0.81818179999999996</v>
      </c>
      <c r="H155" s="137" t="s">
        <v>2487</v>
      </c>
      <c r="I155" s="137">
        <v>0.2</v>
      </c>
      <c r="J155" s="137">
        <v>0.8</v>
      </c>
      <c r="K155" s="137">
        <v>1</v>
      </c>
      <c r="M155" s="143" t="s">
        <v>750</v>
      </c>
      <c r="N155" s="143" t="s">
        <v>751</v>
      </c>
      <c r="O155" s="143" t="s">
        <v>663</v>
      </c>
      <c r="P155" s="143">
        <v>2704</v>
      </c>
      <c r="Q155" s="137" t="s">
        <v>2486</v>
      </c>
      <c r="R155" s="137" t="s">
        <v>2486</v>
      </c>
      <c r="S155" s="137" t="s">
        <v>2486</v>
      </c>
      <c r="T155" s="137" t="s">
        <v>2486</v>
      </c>
      <c r="U155" s="137" t="s">
        <v>2487</v>
      </c>
      <c r="V155" s="137" t="s">
        <v>2486</v>
      </c>
      <c r="W155" s="137" t="s">
        <v>2486</v>
      </c>
      <c r="X155" s="137" t="s">
        <v>2486</v>
      </c>
      <c r="Y155" s="137" t="s">
        <v>2486</v>
      </c>
      <c r="Z155" s="137" t="s">
        <v>2486</v>
      </c>
      <c r="AA155" s="137" t="s">
        <v>2486</v>
      </c>
      <c r="AB155" s="137">
        <v>0.90909090000000004</v>
      </c>
      <c r="AD155" s="143" t="s">
        <v>750</v>
      </c>
      <c r="AE155" s="143" t="s">
        <v>751</v>
      </c>
      <c r="AF155" s="143" t="s">
        <v>663</v>
      </c>
      <c r="AG155" s="143">
        <v>2704</v>
      </c>
      <c r="AO155" s="190">
        <v>0.96250000000000002</v>
      </c>
      <c r="AP155" s="190">
        <v>0.96250000000000002</v>
      </c>
      <c r="AQ155" s="78" t="s">
        <v>2486</v>
      </c>
      <c r="AS155" s="143" t="s">
        <v>750</v>
      </c>
      <c r="AT155" s="143" t="s">
        <v>751</v>
      </c>
      <c r="AU155" s="143" t="s">
        <v>663</v>
      </c>
      <c r="AV155" s="143">
        <v>2704</v>
      </c>
      <c r="AW155" s="137" t="s">
        <v>2838</v>
      </c>
      <c r="AX155" s="137" t="s">
        <v>2838</v>
      </c>
      <c r="AY155" s="137" t="s">
        <v>2838</v>
      </c>
      <c r="AZ155" s="137" t="s">
        <v>2838</v>
      </c>
      <c r="BA155" s="137" t="s">
        <v>2838</v>
      </c>
      <c r="BB155" s="137" t="s">
        <v>2838</v>
      </c>
      <c r="BC155" s="137" t="s">
        <v>2838</v>
      </c>
      <c r="BD155" s="137" t="s">
        <v>2838</v>
      </c>
      <c r="BE155" s="137" t="s">
        <v>2838</v>
      </c>
      <c r="BF155" s="137" t="s">
        <v>2838</v>
      </c>
      <c r="BI155" s="137" t="s">
        <v>2486</v>
      </c>
      <c r="BJ155" s="137" t="s">
        <v>2486</v>
      </c>
      <c r="BK155" s="190" t="s">
        <v>2486</v>
      </c>
      <c r="BL155" s="190">
        <v>1</v>
      </c>
      <c r="BM155" s="78" t="s">
        <v>2486</v>
      </c>
      <c r="BO155" s="143" t="s">
        <v>750</v>
      </c>
      <c r="BP155" s="143" t="s">
        <v>751</v>
      </c>
      <c r="BQ155" s="143" t="s">
        <v>663</v>
      </c>
      <c r="BR155" s="143">
        <v>2704</v>
      </c>
      <c r="BY155" s="78" t="s">
        <v>2838</v>
      </c>
    </row>
    <row r="156" spans="1:77" x14ac:dyDescent="0.35">
      <c r="A156" s="143" t="s">
        <v>750</v>
      </c>
      <c r="B156" s="143" t="s">
        <v>751</v>
      </c>
      <c r="C156" s="143" t="s">
        <v>663</v>
      </c>
      <c r="D156" s="143">
        <v>2795</v>
      </c>
      <c r="E156" s="137">
        <v>0.16363639999999999</v>
      </c>
      <c r="F156" s="137">
        <v>0.71583249999999998</v>
      </c>
      <c r="G156" s="271">
        <v>0.8794689</v>
      </c>
      <c r="H156" s="137" t="s">
        <v>2487</v>
      </c>
      <c r="I156" s="137">
        <v>0.2</v>
      </c>
      <c r="J156" s="137">
        <v>0.46666669999999999</v>
      </c>
      <c r="K156" s="137">
        <v>0.66666669999999995</v>
      </c>
      <c r="M156" s="143" t="s">
        <v>750</v>
      </c>
      <c r="N156" s="143" t="s">
        <v>751</v>
      </c>
      <c r="O156" s="143" t="s">
        <v>663</v>
      </c>
      <c r="P156" s="143">
        <v>2795</v>
      </c>
      <c r="Q156" s="137" t="s">
        <v>2486</v>
      </c>
      <c r="R156" s="137" t="s">
        <v>2486</v>
      </c>
      <c r="S156" s="137" t="s">
        <v>2486</v>
      </c>
      <c r="T156" s="137" t="s">
        <v>2486</v>
      </c>
      <c r="U156" s="137" t="s">
        <v>2486</v>
      </c>
      <c r="V156" s="137" t="s">
        <v>2486</v>
      </c>
      <c r="W156" s="137" t="s">
        <v>2486</v>
      </c>
      <c r="X156" s="137" t="s">
        <v>2486</v>
      </c>
      <c r="Y156" s="137" t="s">
        <v>2486</v>
      </c>
      <c r="Z156" s="137" t="s">
        <v>2486</v>
      </c>
      <c r="AA156" s="137" t="s">
        <v>2486</v>
      </c>
      <c r="AB156" s="137">
        <v>1</v>
      </c>
      <c r="AD156" s="143" t="s">
        <v>750</v>
      </c>
      <c r="AE156" s="143" t="s">
        <v>751</v>
      </c>
      <c r="AF156" s="143" t="s">
        <v>663</v>
      </c>
      <c r="AG156" s="143">
        <v>2795</v>
      </c>
      <c r="AO156" s="190">
        <v>0.91249999999999998</v>
      </c>
      <c r="AP156" s="190">
        <v>0.91249999999999998</v>
      </c>
      <c r="AQ156" s="78" t="s">
        <v>2487</v>
      </c>
      <c r="AS156" s="143" t="s">
        <v>750</v>
      </c>
      <c r="AT156" s="143" t="s">
        <v>751</v>
      </c>
      <c r="AU156" s="143" t="s">
        <v>663</v>
      </c>
      <c r="AV156" s="143">
        <v>2795</v>
      </c>
      <c r="AW156" s="137" t="s">
        <v>2838</v>
      </c>
      <c r="AX156" s="137" t="s">
        <v>2838</v>
      </c>
      <c r="AY156" s="137" t="s">
        <v>2838</v>
      </c>
      <c r="AZ156" s="137" t="s">
        <v>2838</v>
      </c>
      <c r="BA156" s="137" t="s">
        <v>2838</v>
      </c>
      <c r="BB156" s="137" t="s">
        <v>2838</v>
      </c>
      <c r="BC156" s="137" t="s">
        <v>2838</v>
      </c>
      <c r="BD156" s="137" t="s">
        <v>2838</v>
      </c>
      <c r="BE156" s="137" t="s">
        <v>2838</v>
      </c>
      <c r="BF156" s="137" t="s">
        <v>2838</v>
      </c>
      <c r="BI156" s="137" t="s">
        <v>2486</v>
      </c>
      <c r="BJ156" s="137" t="s">
        <v>2486</v>
      </c>
      <c r="BK156" s="190" t="s">
        <v>2486</v>
      </c>
      <c r="BL156" s="190">
        <v>1</v>
      </c>
      <c r="BM156" s="78" t="s">
        <v>2486</v>
      </c>
      <c r="BO156" s="143" t="s">
        <v>750</v>
      </c>
      <c r="BP156" s="143" t="s">
        <v>751</v>
      </c>
      <c r="BQ156" s="143" t="s">
        <v>663</v>
      </c>
      <c r="BR156" s="143">
        <v>2795</v>
      </c>
      <c r="BY156" s="78" t="s">
        <v>2838</v>
      </c>
    </row>
    <row r="157" spans="1:77" x14ac:dyDescent="0.35">
      <c r="A157" s="143" t="s">
        <v>750</v>
      </c>
      <c r="B157" s="143" t="s">
        <v>751</v>
      </c>
      <c r="C157" s="143" t="s">
        <v>663</v>
      </c>
      <c r="D157" s="143">
        <v>3868</v>
      </c>
      <c r="E157" s="137">
        <v>0.2</v>
      </c>
      <c r="F157" s="137">
        <v>0.77548519999999999</v>
      </c>
      <c r="G157" s="271">
        <v>0.97548520000000005</v>
      </c>
      <c r="H157" s="137" t="s">
        <v>2486</v>
      </c>
      <c r="I157" s="137">
        <v>0.2</v>
      </c>
      <c r="J157" s="137">
        <v>0.8</v>
      </c>
      <c r="K157" s="137">
        <v>1</v>
      </c>
      <c r="M157" s="143" t="s">
        <v>750</v>
      </c>
      <c r="N157" s="143" t="s">
        <v>751</v>
      </c>
      <c r="O157" s="143" t="s">
        <v>663</v>
      </c>
      <c r="P157" s="143">
        <v>3868</v>
      </c>
      <c r="Q157" s="137" t="s">
        <v>2486</v>
      </c>
      <c r="R157" s="137" t="s">
        <v>2486</v>
      </c>
      <c r="S157" s="137" t="s">
        <v>2486</v>
      </c>
      <c r="T157" s="137" t="s">
        <v>2486</v>
      </c>
      <c r="U157" s="137" t="s">
        <v>2486</v>
      </c>
      <c r="V157" s="137" t="s">
        <v>2486</v>
      </c>
      <c r="W157" s="137" t="s">
        <v>2486</v>
      </c>
      <c r="X157" s="137" t="s">
        <v>2486</v>
      </c>
      <c r="Y157" s="137" t="s">
        <v>2486</v>
      </c>
      <c r="Z157" s="137" t="s">
        <v>2486</v>
      </c>
      <c r="AA157" s="137" t="s">
        <v>2486</v>
      </c>
      <c r="AB157" s="137">
        <v>1</v>
      </c>
      <c r="AD157" s="143" t="s">
        <v>750</v>
      </c>
      <c r="AE157" s="143" t="s">
        <v>751</v>
      </c>
      <c r="AF157" s="143" t="s">
        <v>663</v>
      </c>
      <c r="AG157" s="143">
        <v>3868</v>
      </c>
      <c r="AO157" s="190">
        <v>0.9375</v>
      </c>
      <c r="AP157" s="190">
        <v>0.9375</v>
      </c>
      <c r="AQ157" s="78" t="s">
        <v>2487</v>
      </c>
      <c r="AS157" s="143" t="s">
        <v>750</v>
      </c>
      <c r="AT157" s="143" t="s">
        <v>751</v>
      </c>
      <c r="AU157" s="143" t="s">
        <v>663</v>
      </c>
      <c r="AV157" s="143">
        <v>3868</v>
      </c>
      <c r="AW157" s="137" t="s">
        <v>2838</v>
      </c>
      <c r="AX157" s="137" t="s">
        <v>2838</v>
      </c>
      <c r="AY157" s="137" t="s">
        <v>2838</v>
      </c>
      <c r="AZ157" s="137" t="s">
        <v>2838</v>
      </c>
      <c r="BA157" s="137" t="s">
        <v>2838</v>
      </c>
      <c r="BB157" s="137" t="s">
        <v>2838</v>
      </c>
      <c r="BC157" s="137" t="s">
        <v>2838</v>
      </c>
      <c r="BD157" s="137" t="s">
        <v>2838</v>
      </c>
      <c r="BE157" s="137" t="s">
        <v>2838</v>
      </c>
      <c r="BF157" s="137" t="s">
        <v>2838</v>
      </c>
      <c r="BI157" s="137" t="s">
        <v>2486</v>
      </c>
      <c r="BJ157" s="137" t="s">
        <v>2486</v>
      </c>
      <c r="BK157" s="190" t="s">
        <v>2486</v>
      </c>
      <c r="BL157" s="190">
        <v>1</v>
      </c>
      <c r="BM157" s="78" t="s">
        <v>2486</v>
      </c>
      <c r="BO157" s="143" t="s">
        <v>750</v>
      </c>
      <c r="BP157" s="143" t="s">
        <v>751</v>
      </c>
      <c r="BQ157" s="143" t="s">
        <v>663</v>
      </c>
      <c r="BR157" s="143">
        <v>3868</v>
      </c>
      <c r="BY157" s="78" t="s">
        <v>2838</v>
      </c>
    </row>
    <row r="158" spans="1:77" x14ac:dyDescent="0.35">
      <c r="A158" s="143" t="s">
        <v>2866</v>
      </c>
      <c r="B158" s="143" t="s">
        <v>765</v>
      </c>
      <c r="C158" s="143" t="s">
        <v>663</v>
      </c>
      <c r="D158" s="143">
        <v>2141</v>
      </c>
      <c r="E158" s="137"/>
      <c r="F158" s="137">
        <v>0.58181819999999995</v>
      </c>
      <c r="G158" s="271">
        <v>0.72727269999999999</v>
      </c>
      <c r="H158" s="137" t="s">
        <v>2487</v>
      </c>
      <c r="I158" s="137"/>
      <c r="J158" s="137">
        <v>0.8</v>
      </c>
      <c r="K158" s="137">
        <v>1</v>
      </c>
      <c r="M158" s="143" t="s">
        <v>2866</v>
      </c>
      <c r="N158" s="143" t="s">
        <v>765</v>
      </c>
      <c r="O158" s="143" t="s">
        <v>663</v>
      </c>
      <c r="P158" s="143">
        <v>2141</v>
      </c>
      <c r="Q158" s="137" t="s">
        <v>2838</v>
      </c>
      <c r="R158" s="137" t="s">
        <v>2838</v>
      </c>
      <c r="S158" s="137" t="s">
        <v>2838</v>
      </c>
      <c r="T158" s="137" t="s">
        <v>2838</v>
      </c>
      <c r="U158" s="137" t="s">
        <v>2838</v>
      </c>
      <c r="V158" s="137" t="s">
        <v>2838</v>
      </c>
      <c r="W158" s="137" t="s">
        <v>2838</v>
      </c>
      <c r="X158" s="137" t="s">
        <v>2838</v>
      </c>
      <c r="Y158" s="137" t="s">
        <v>2838</v>
      </c>
      <c r="Z158" s="137" t="s">
        <v>2838</v>
      </c>
      <c r="AA158" s="137" t="s">
        <v>2838</v>
      </c>
      <c r="AB158" s="137">
        <v>0.54545460000000001</v>
      </c>
      <c r="AD158" s="143" t="s">
        <v>2866</v>
      </c>
      <c r="AE158" s="143" t="s">
        <v>765</v>
      </c>
      <c r="AF158" s="143" t="s">
        <v>663</v>
      </c>
      <c r="AG158" s="143">
        <v>2141</v>
      </c>
      <c r="AQ158" s="78" t="s">
        <v>2838</v>
      </c>
      <c r="AS158" s="143" t="s">
        <v>2866</v>
      </c>
      <c r="AT158" s="143" t="s">
        <v>765</v>
      </c>
      <c r="AU158" s="143" t="s">
        <v>663</v>
      </c>
      <c r="AV158" s="143">
        <v>2141</v>
      </c>
      <c r="AW158" s="137" t="s">
        <v>2838</v>
      </c>
      <c r="AX158" s="137" t="s">
        <v>2838</v>
      </c>
      <c r="AY158" s="137" t="s">
        <v>2838</v>
      </c>
      <c r="AZ158" s="137" t="s">
        <v>2838</v>
      </c>
      <c r="BA158" s="137" t="s">
        <v>2838</v>
      </c>
      <c r="BB158" s="137" t="s">
        <v>2838</v>
      </c>
      <c r="BC158" s="137" t="s">
        <v>2838</v>
      </c>
      <c r="BD158" s="137" t="s">
        <v>2838</v>
      </c>
      <c r="BE158" s="137" t="s">
        <v>2838</v>
      </c>
      <c r="BF158" s="137" t="s">
        <v>2838</v>
      </c>
      <c r="BI158" s="137" t="s">
        <v>2838</v>
      </c>
      <c r="BJ158" s="137" t="s">
        <v>2838</v>
      </c>
      <c r="BK158" s="190" t="s">
        <v>2838</v>
      </c>
      <c r="BM158" s="78" t="s">
        <v>2838</v>
      </c>
      <c r="BO158" s="143" t="s">
        <v>2866</v>
      </c>
      <c r="BP158" s="143" t="s">
        <v>765</v>
      </c>
      <c r="BQ158" s="143" t="s">
        <v>663</v>
      </c>
      <c r="BR158" s="143">
        <v>2141</v>
      </c>
      <c r="BY158" s="78" t="s">
        <v>2838</v>
      </c>
    </row>
    <row r="159" spans="1:77" x14ac:dyDescent="0.35">
      <c r="A159" s="143" t="s">
        <v>2866</v>
      </c>
      <c r="B159" s="143" t="s">
        <v>765</v>
      </c>
      <c r="C159" s="143" t="s">
        <v>663</v>
      </c>
      <c r="D159" s="143">
        <v>2695</v>
      </c>
      <c r="E159" s="137"/>
      <c r="F159" s="137">
        <v>0</v>
      </c>
      <c r="G159" s="271">
        <v>0</v>
      </c>
      <c r="H159" s="137" t="s">
        <v>2487</v>
      </c>
      <c r="I159" s="137"/>
      <c r="J159" s="137">
        <v>0</v>
      </c>
      <c r="K159" s="137">
        <v>0</v>
      </c>
      <c r="M159" s="143" t="s">
        <v>2866</v>
      </c>
      <c r="N159" s="143" t="s">
        <v>765</v>
      </c>
      <c r="O159" s="143" t="s">
        <v>663</v>
      </c>
      <c r="P159" s="143">
        <v>2695</v>
      </c>
      <c r="Q159" s="137" t="s">
        <v>2838</v>
      </c>
      <c r="R159" s="137" t="s">
        <v>2838</v>
      </c>
      <c r="S159" s="137" t="s">
        <v>2838</v>
      </c>
      <c r="T159" s="137" t="s">
        <v>2838</v>
      </c>
      <c r="U159" s="137" t="s">
        <v>2838</v>
      </c>
      <c r="V159" s="137" t="s">
        <v>2838</v>
      </c>
      <c r="W159" s="137" t="s">
        <v>2838</v>
      </c>
      <c r="X159" s="137" t="s">
        <v>2838</v>
      </c>
      <c r="Y159" s="137" t="s">
        <v>2838</v>
      </c>
      <c r="Z159" s="137" t="s">
        <v>2838</v>
      </c>
      <c r="AA159" s="137" t="s">
        <v>2838</v>
      </c>
      <c r="AB159" s="137">
        <v>0.72727269999999999</v>
      </c>
      <c r="AD159" s="143" t="s">
        <v>2866</v>
      </c>
      <c r="AE159" s="143" t="s">
        <v>765</v>
      </c>
      <c r="AF159" s="143" t="s">
        <v>663</v>
      </c>
      <c r="AG159" s="143">
        <v>2695</v>
      </c>
      <c r="AQ159" s="78" t="s">
        <v>2838</v>
      </c>
      <c r="AS159" s="143" t="s">
        <v>2866</v>
      </c>
      <c r="AT159" s="143" t="s">
        <v>765</v>
      </c>
      <c r="AU159" s="143" t="s">
        <v>663</v>
      </c>
      <c r="AV159" s="143">
        <v>2695</v>
      </c>
      <c r="AW159" s="137" t="s">
        <v>2838</v>
      </c>
      <c r="AX159" s="137" t="s">
        <v>2838</v>
      </c>
      <c r="AY159" s="137" t="s">
        <v>2838</v>
      </c>
      <c r="AZ159" s="137" t="s">
        <v>2838</v>
      </c>
      <c r="BA159" s="137" t="s">
        <v>2838</v>
      </c>
      <c r="BB159" s="137" t="s">
        <v>2838</v>
      </c>
      <c r="BC159" s="137" t="s">
        <v>2838</v>
      </c>
      <c r="BD159" s="137" t="s">
        <v>2838</v>
      </c>
      <c r="BE159" s="137" t="s">
        <v>2838</v>
      </c>
      <c r="BF159" s="137" t="s">
        <v>2838</v>
      </c>
      <c r="BI159" s="137" t="s">
        <v>2838</v>
      </c>
      <c r="BJ159" s="137" t="s">
        <v>2838</v>
      </c>
      <c r="BK159" s="190" t="s">
        <v>2838</v>
      </c>
      <c r="BM159" s="78" t="s">
        <v>2838</v>
      </c>
      <c r="BO159" s="143" t="s">
        <v>2866</v>
      </c>
      <c r="BP159" s="143" t="s">
        <v>765</v>
      </c>
      <c r="BQ159" s="143" t="s">
        <v>663</v>
      </c>
      <c r="BR159" s="143">
        <v>2695</v>
      </c>
      <c r="BY159" s="78" t="s">
        <v>2838</v>
      </c>
    </row>
    <row r="160" spans="1:77" x14ac:dyDescent="0.35">
      <c r="A160" s="143" t="s">
        <v>2866</v>
      </c>
      <c r="B160" s="143" t="s">
        <v>765</v>
      </c>
      <c r="C160" s="143" t="s">
        <v>663</v>
      </c>
      <c r="D160" s="143">
        <v>2696</v>
      </c>
      <c r="E160" s="137"/>
      <c r="F160" s="137">
        <v>0.22303029999999999</v>
      </c>
      <c r="G160" s="271">
        <v>0.27878789999999998</v>
      </c>
      <c r="H160" s="137" t="s">
        <v>2487</v>
      </c>
      <c r="I160" s="137"/>
      <c r="J160" s="137">
        <v>0.53333339999999996</v>
      </c>
      <c r="K160" s="137">
        <v>0.66666669999999995</v>
      </c>
      <c r="M160" s="143" t="s">
        <v>2866</v>
      </c>
      <c r="N160" s="143" t="s">
        <v>765</v>
      </c>
      <c r="O160" s="143" t="s">
        <v>663</v>
      </c>
      <c r="P160" s="143">
        <v>2696</v>
      </c>
      <c r="Q160" s="137" t="s">
        <v>2838</v>
      </c>
      <c r="R160" s="137" t="s">
        <v>2838</v>
      </c>
      <c r="S160" s="137" t="s">
        <v>2838</v>
      </c>
      <c r="T160" s="137" t="s">
        <v>2838</v>
      </c>
      <c r="U160" s="137" t="s">
        <v>2838</v>
      </c>
      <c r="V160" s="137" t="s">
        <v>2838</v>
      </c>
      <c r="W160" s="137" t="s">
        <v>2838</v>
      </c>
      <c r="X160" s="137" t="s">
        <v>2838</v>
      </c>
      <c r="Y160" s="137" t="s">
        <v>2838</v>
      </c>
      <c r="Z160" s="137" t="s">
        <v>2838</v>
      </c>
      <c r="AA160" s="137" t="s">
        <v>2838</v>
      </c>
      <c r="AB160" s="137">
        <v>0.81818179999999996</v>
      </c>
      <c r="AD160" s="143" t="s">
        <v>2866</v>
      </c>
      <c r="AE160" s="143" t="s">
        <v>765</v>
      </c>
      <c r="AF160" s="143" t="s">
        <v>663</v>
      </c>
      <c r="AG160" s="143">
        <v>2696</v>
      </c>
      <c r="AQ160" s="78" t="s">
        <v>2838</v>
      </c>
      <c r="AS160" s="143" t="s">
        <v>2866</v>
      </c>
      <c r="AT160" s="143" t="s">
        <v>765</v>
      </c>
      <c r="AU160" s="143" t="s">
        <v>663</v>
      </c>
      <c r="AV160" s="143">
        <v>2696</v>
      </c>
      <c r="AW160" s="137" t="s">
        <v>2838</v>
      </c>
      <c r="AX160" s="137" t="s">
        <v>2838</v>
      </c>
      <c r="AY160" s="137" t="s">
        <v>2838</v>
      </c>
      <c r="AZ160" s="137" t="s">
        <v>2838</v>
      </c>
      <c r="BA160" s="137" t="s">
        <v>2838</v>
      </c>
      <c r="BB160" s="137" t="s">
        <v>2838</v>
      </c>
      <c r="BC160" s="137" t="s">
        <v>2838</v>
      </c>
      <c r="BD160" s="137" t="s">
        <v>2838</v>
      </c>
      <c r="BE160" s="137" t="s">
        <v>2838</v>
      </c>
      <c r="BF160" s="137" t="s">
        <v>2838</v>
      </c>
      <c r="BI160" s="137" t="s">
        <v>2838</v>
      </c>
      <c r="BJ160" s="137" t="s">
        <v>2838</v>
      </c>
      <c r="BK160" s="190" t="s">
        <v>2838</v>
      </c>
      <c r="BM160" s="78" t="s">
        <v>2838</v>
      </c>
      <c r="BO160" s="143" t="s">
        <v>2866</v>
      </c>
      <c r="BP160" s="143" t="s">
        <v>765</v>
      </c>
      <c r="BQ160" s="143" t="s">
        <v>663</v>
      </c>
      <c r="BR160" s="143">
        <v>2696</v>
      </c>
      <c r="BY160" s="78" t="s">
        <v>2838</v>
      </c>
    </row>
    <row r="161" spans="1:77" x14ac:dyDescent="0.35">
      <c r="A161" s="143" t="s">
        <v>2866</v>
      </c>
      <c r="B161" s="143" t="s">
        <v>765</v>
      </c>
      <c r="C161" s="143" t="s">
        <v>663</v>
      </c>
      <c r="D161" s="143">
        <v>2697</v>
      </c>
      <c r="E161" s="137"/>
      <c r="F161" s="137">
        <v>0.4</v>
      </c>
      <c r="G161" s="271">
        <v>0.5</v>
      </c>
      <c r="H161" s="137" t="s">
        <v>2487</v>
      </c>
      <c r="I161" s="137"/>
      <c r="J161" s="137">
        <v>0.4</v>
      </c>
      <c r="K161" s="137">
        <v>0.5</v>
      </c>
      <c r="M161" s="143" t="s">
        <v>2866</v>
      </c>
      <c r="N161" s="143" t="s">
        <v>765</v>
      </c>
      <c r="O161" s="143" t="s">
        <v>663</v>
      </c>
      <c r="P161" s="143">
        <v>2697</v>
      </c>
      <c r="Q161" s="137" t="s">
        <v>2838</v>
      </c>
      <c r="R161" s="137" t="s">
        <v>2838</v>
      </c>
      <c r="S161" s="137" t="s">
        <v>2838</v>
      </c>
      <c r="T161" s="137" t="s">
        <v>2838</v>
      </c>
      <c r="U161" s="137" t="s">
        <v>2838</v>
      </c>
      <c r="V161" s="137" t="s">
        <v>2838</v>
      </c>
      <c r="W161" s="137" t="s">
        <v>2838</v>
      </c>
      <c r="X161" s="137" t="s">
        <v>2838</v>
      </c>
      <c r="Y161" s="137" t="s">
        <v>2838</v>
      </c>
      <c r="Z161" s="137" t="s">
        <v>2838</v>
      </c>
      <c r="AA161" s="137" t="s">
        <v>2838</v>
      </c>
      <c r="AB161" s="137">
        <v>0.54545460000000001</v>
      </c>
      <c r="AD161" s="143" t="s">
        <v>2866</v>
      </c>
      <c r="AE161" s="143" t="s">
        <v>765</v>
      </c>
      <c r="AF161" s="143" t="s">
        <v>663</v>
      </c>
      <c r="AG161" s="143">
        <v>2697</v>
      </c>
      <c r="AQ161" s="78" t="s">
        <v>2838</v>
      </c>
      <c r="AS161" s="143" t="s">
        <v>2866</v>
      </c>
      <c r="AT161" s="143" t="s">
        <v>765</v>
      </c>
      <c r="AU161" s="143" t="s">
        <v>663</v>
      </c>
      <c r="AV161" s="143">
        <v>2697</v>
      </c>
      <c r="AW161" s="137" t="s">
        <v>2838</v>
      </c>
      <c r="AX161" s="137" t="s">
        <v>2838</v>
      </c>
      <c r="AY161" s="137" t="s">
        <v>2838</v>
      </c>
      <c r="AZ161" s="137" t="s">
        <v>2838</v>
      </c>
      <c r="BA161" s="137" t="s">
        <v>2838</v>
      </c>
      <c r="BB161" s="137" t="s">
        <v>2838</v>
      </c>
      <c r="BC161" s="137" t="s">
        <v>2838</v>
      </c>
      <c r="BD161" s="137" t="s">
        <v>2838</v>
      </c>
      <c r="BE161" s="137" t="s">
        <v>2838</v>
      </c>
      <c r="BF161" s="137" t="s">
        <v>2838</v>
      </c>
      <c r="BI161" s="137" t="s">
        <v>2838</v>
      </c>
      <c r="BJ161" s="137" t="s">
        <v>2838</v>
      </c>
      <c r="BK161" s="190" t="s">
        <v>2838</v>
      </c>
      <c r="BM161" s="78" t="s">
        <v>2838</v>
      </c>
      <c r="BO161" s="143" t="s">
        <v>2866</v>
      </c>
      <c r="BP161" s="143" t="s">
        <v>765</v>
      </c>
      <c r="BQ161" s="143" t="s">
        <v>663</v>
      </c>
      <c r="BR161" s="143">
        <v>2697</v>
      </c>
      <c r="BY161" s="78" t="s">
        <v>2838</v>
      </c>
    </row>
    <row r="162" spans="1:77" x14ac:dyDescent="0.35">
      <c r="A162" s="143" t="s">
        <v>2866</v>
      </c>
      <c r="B162" s="143" t="s">
        <v>765</v>
      </c>
      <c r="C162" s="143" t="s">
        <v>663</v>
      </c>
      <c r="D162" s="143">
        <v>3222</v>
      </c>
      <c r="E162" s="137"/>
      <c r="F162" s="137">
        <v>0.55757579999999995</v>
      </c>
      <c r="G162" s="271">
        <v>0.69696970000000003</v>
      </c>
      <c r="H162" s="137" t="s">
        <v>2487</v>
      </c>
      <c r="I162" s="137"/>
      <c r="J162" s="137">
        <v>0.26666669999999998</v>
      </c>
      <c r="K162" s="137">
        <v>0.3333333</v>
      </c>
      <c r="M162" s="143" t="s">
        <v>2866</v>
      </c>
      <c r="N162" s="143" t="s">
        <v>765</v>
      </c>
      <c r="O162" s="143" t="s">
        <v>663</v>
      </c>
      <c r="P162" s="143">
        <v>3222</v>
      </c>
      <c r="Q162" s="137" t="s">
        <v>2838</v>
      </c>
      <c r="R162" s="137" t="s">
        <v>2838</v>
      </c>
      <c r="S162" s="137" t="s">
        <v>2838</v>
      </c>
      <c r="T162" s="137" t="s">
        <v>2838</v>
      </c>
      <c r="U162" s="137" t="s">
        <v>2838</v>
      </c>
      <c r="V162" s="137" t="s">
        <v>2838</v>
      </c>
      <c r="W162" s="137" t="s">
        <v>2838</v>
      </c>
      <c r="X162" s="137" t="s">
        <v>2838</v>
      </c>
      <c r="Y162" s="137" t="s">
        <v>2838</v>
      </c>
      <c r="Z162" s="137" t="s">
        <v>2838</v>
      </c>
      <c r="AA162" s="137" t="s">
        <v>2838</v>
      </c>
      <c r="AB162" s="137">
        <v>0.81818179999999996</v>
      </c>
      <c r="AD162" s="143" t="s">
        <v>2866</v>
      </c>
      <c r="AE162" s="143" t="s">
        <v>765</v>
      </c>
      <c r="AF162" s="143" t="s">
        <v>663</v>
      </c>
      <c r="AG162" s="143">
        <v>3222</v>
      </c>
      <c r="AQ162" s="78" t="s">
        <v>2838</v>
      </c>
      <c r="AS162" s="143" t="s">
        <v>2866</v>
      </c>
      <c r="AT162" s="143" t="s">
        <v>765</v>
      </c>
      <c r="AU162" s="143" t="s">
        <v>663</v>
      </c>
      <c r="AV162" s="143">
        <v>3222</v>
      </c>
      <c r="AW162" s="137" t="s">
        <v>2838</v>
      </c>
      <c r="AX162" s="137" t="s">
        <v>2838</v>
      </c>
      <c r="AY162" s="137" t="s">
        <v>2838</v>
      </c>
      <c r="AZ162" s="137" t="s">
        <v>2838</v>
      </c>
      <c r="BA162" s="137" t="s">
        <v>2838</v>
      </c>
      <c r="BB162" s="137" t="s">
        <v>2838</v>
      </c>
      <c r="BC162" s="137" t="s">
        <v>2838</v>
      </c>
      <c r="BD162" s="137" t="s">
        <v>2838</v>
      </c>
      <c r="BE162" s="137" t="s">
        <v>2838</v>
      </c>
      <c r="BF162" s="137" t="s">
        <v>2838</v>
      </c>
      <c r="BI162" s="137" t="s">
        <v>2838</v>
      </c>
      <c r="BJ162" s="137" t="s">
        <v>2838</v>
      </c>
      <c r="BK162" s="190" t="s">
        <v>2838</v>
      </c>
      <c r="BM162" s="78" t="s">
        <v>2838</v>
      </c>
      <c r="BO162" s="143" t="s">
        <v>2866</v>
      </c>
      <c r="BP162" s="143" t="s">
        <v>765</v>
      </c>
      <c r="BQ162" s="143" t="s">
        <v>663</v>
      </c>
      <c r="BR162" s="143">
        <v>3222</v>
      </c>
      <c r="BY162" s="78" t="s">
        <v>2838</v>
      </c>
    </row>
    <row r="163" spans="1:77" x14ac:dyDescent="0.35">
      <c r="A163" s="143" t="s">
        <v>2866</v>
      </c>
      <c r="B163" s="143" t="s">
        <v>765</v>
      </c>
      <c r="C163" s="143" t="s">
        <v>663</v>
      </c>
      <c r="D163" s="143">
        <v>3488</v>
      </c>
      <c r="E163" s="137"/>
      <c r="F163" s="137">
        <v>0.34909089999999998</v>
      </c>
      <c r="G163" s="271">
        <v>0.43636360000000002</v>
      </c>
      <c r="H163" s="137" t="s">
        <v>2487</v>
      </c>
      <c r="I163" s="137"/>
      <c r="J163" s="137">
        <v>0</v>
      </c>
      <c r="K163" s="137">
        <v>0</v>
      </c>
      <c r="M163" s="143" t="s">
        <v>2866</v>
      </c>
      <c r="N163" s="143" t="s">
        <v>765</v>
      </c>
      <c r="O163" s="143" t="s">
        <v>663</v>
      </c>
      <c r="P163" s="143">
        <v>3488</v>
      </c>
      <c r="Q163" s="137" t="s">
        <v>2838</v>
      </c>
      <c r="R163" s="137" t="s">
        <v>2838</v>
      </c>
      <c r="S163" s="137" t="s">
        <v>2838</v>
      </c>
      <c r="T163" s="137" t="s">
        <v>2838</v>
      </c>
      <c r="U163" s="137" t="s">
        <v>2838</v>
      </c>
      <c r="V163" s="137" t="s">
        <v>2838</v>
      </c>
      <c r="W163" s="137" t="s">
        <v>2838</v>
      </c>
      <c r="X163" s="137" t="s">
        <v>2838</v>
      </c>
      <c r="Y163" s="137" t="s">
        <v>2838</v>
      </c>
      <c r="Z163" s="137" t="s">
        <v>2838</v>
      </c>
      <c r="AA163" s="137" t="s">
        <v>2838</v>
      </c>
      <c r="AB163" s="137">
        <v>0.63636360000000003</v>
      </c>
      <c r="AD163" s="143" t="s">
        <v>2866</v>
      </c>
      <c r="AE163" s="143" t="s">
        <v>765</v>
      </c>
      <c r="AF163" s="143" t="s">
        <v>663</v>
      </c>
      <c r="AG163" s="143">
        <v>3488</v>
      </c>
      <c r="AQ163" s="78" t="s">
        <v>2838</v>
      </c>
      <c r="AS163" s="143" t="s">
        <v>2866</v>
      </c>
      <c r="AT163" s="143" t="s">
        <v>765</v>
      </c>
      <c r="AU163" s="143" t="s">
        <v>663</v>
      </c>
      <c r="AV163" s="143">
        <v>3488</v>
      </c>
      <c r="AW163" s="137" t="s">
        <v>2838</v>
      </c>
      <c r="AX163" s="137" t="s">
        <v>2838</v>
      </c>
      <c r="AY163" s="137" t="s">
        <v>2838</v>
      </c>
      <c r="AZ163" s="137" t="s">
        <v>2838</v>
      </c>
      <c r="BA163" s="137" t="s">
        <v>2838</v>
      </c>
      <c r="BB163" s="137" t="s">
        <v>2838</v>
      </c>
      <c r="BC163" s="137" t="s">
        <v>2838</v>
      </c>
      <c r="BD163" s="137" t="s">
        <v>2838</v>
      </c>
      <c r="BE163" s="137" t="s">
        <v>2838</v>
      </c>
      <c r="BF163" s="137" t="s">
        <v>2838</v>
      </c>
      <c r="BI163" s="137" t="s">
        <v>2838</v>
      </c>
      <c r="BJ163" s="137" t="s">
        <v>2838</v>
      </c>
      <c r="BK163" s="190" t="s">
        <v>2838</v>
      </c>
      <c r="BM163" s="78" t="s">
        <v>2838</v>
      </c>
      <c r="BO163" s="143" t="s">
        <v>2866</v>
      </c>
      <c r="BP163" s="143" t="s">
        <v>765</v>
      </c>
      <c r="BQ163" s="143" t="s">
        <v>663</v>
      </c>
      <c r="BR163" s="143">
        <v>3488</v>
      </c>
      <c r="BY163" s="78" t="s">
        <v>2838</v>
      </c>
    </row>
    <row r="164" spans="1:77" x14ac:dyDescent="0.35">
      <c r="A164" s="143" t="s">
        <v>2866</v>
      </c>
      <c r="B164" s="143" t="s">
        <v>765</v>
      </c>
      <c r="C164" s="143" t="s">
        <v>663</v>
      </c>
      <c r="D164" s="143">
        <v>3763</v>
      </c>
      <c r="E164" s="137"/>
      <c r="F164" s="137">
        <v>0.3939394</v>
      </c>
      <c r="G164" s="271">
        <v>0.49242419999999998</v>
      </c>
      <c r="H164" s="137" t="s">
        <v>2487</v>
      </c>
      <c r="I164" s="137"/>
      <c r="J164" s="137">
        <v>0.20111109999999999</v>
      </c>
      <c r="K164" s="137">
        <v>0.25138890000000003</v>
      </c>
      <c r="M164" s="143" t="s">
        <v>2866</v>
      </c>
      <c r="N164" s="143" t="s">
        <v>765</v>
      </c>
      <c r="O164" s="143" t="s">
        <v>663</v>
      </c>
      <c r="P164" s="143">
        <v>3763</v>
      </c>
      <c r="Q164" s="137" t="s">
        <v>2838</v>
      </c>
      <c r="R164" s="137" t="s">
        <v>2838</v>
      </c>
      <c r="S164" s="137" t="s">
        <v>2838</v>
      </c>
      <c r="T164" s="137" t="s">
        <v>2838</v>
      </c>
      <c r="U164" s="137" t="s">
        <v>2838</v>
      </c>
      <c r="V164" s="137" t="s">
        <v>2838</v>
      </c>
      <c r="W164" s="137" t="s">
        <v>2838</v>
      </c>
      <c r="X164" s="137" t="s">
        <v>2838</v>
      </c>
      <c r="Y164" s="137" t="s">
        <v>2838</v>
      </c>
      <c r="Z164" s="137" t="s">
        <v>2838</v>
      </c>
      <c r="AA164" s="137" t="s">
        <v>2838</v>
      </c>
      <c r="AB164" s="137">
        <v>0.90909090000000004</v>
      </c>
      <c r="AD164" s="143" t="s">
        <v>2866</v>
      </c>
      <c r="AE164" s="143" t="s">
        <v>765</v>
      </c>
      <c r="AF164" s="143" t="s">
        <v>663</v>
      </c>
      <c r="AG164" s="143">
        <v>3763</v>
      </c>
      <c r="AQ164" s="78" t="s">
        <v>2838</v>
      </c>
      <c r="AS164" s="143" t="s">
        <v>2866</v>
      </c>
      <c r="AT164" s="143" t="s">
        <v>765</v>
      </c>
      <c r="AU164" s="143" t="s">
        <v>663</v>
      </c>
      <c r="AV164" s="143">
        <v>3763</v>
      </c>
      <c r="AW164" s="137" t="s">
        <v>2838</v>
      </c>
      <c r="AX164" s="137" t="s">
        <v>2838</v>
      </c>
      <c r="AY164" s="137" t="s">
        <v>2838</v>
      </c>
      <c r="AZ164" s="137" t="s">
        <v>2838</v>
      </c>
      <c r="BA164" s="137" t="s">
        <v>2838</v>
      </c>
      <c r="BB164" s="137" t="s">
        <v>2838</v>
      </c>
      <c r="BC164" s="137" t="s">
        <v>2838</v>
      </c>
      <c r="BD164" s="137" t="s">
        <v>2838</v>
      </c>
      <c r="BE164" s="137" t="s">
        <v>2838</v>
      </c>
      <c r="BF164" s="137" t="s">
        <v>2838</v>
      </c>
      <c r="BI164" s="137" t="s">
        <v>2838</v>
      </c>
      <c r="BJ164" s="137" t="s">
        <v>2838</v>
      </c>
      <c r="BK164" s="190" t="s">
        <v>2838</v>
      </c>
      <c r="BM164" s="78" t="s">
        <v>2838</v>
      </c>
      <c r="BO164" s="143" t="s">
        <v>2866</v>
      </c>
      <c r="BP164" s="143" t="s">
        <v>765</v>
      </c>
      <c r="BQ164" s="143" t="s">
        <v>663</v>
      </c>
      <c r="BR164" s="143">
        <v>3763</v>
      </c>
      <c r="BY164" s="78" t="s">
        <v>2838</v>
      </c>
    </row>
    <row r="165" spans="1:77" x14ac:dyDescent="0.35">
      <c r="A165" s="143" t="s">
        <v>2867</v>
      </c>
      <c r="B165" s="143" t="s">
        <v>753</v>
      </c>
      <c r="C165" s="143" t="s">
        <v>663</v>
      </c>
      <c r="D165" s="143">
        <v>2141</v>
      </c>
      <c r="E165" s="137">
        <v>0.16363639999999999</v>
      </c>
      <c r="F165" s="137">
        <v>0.50909090000000001</v>
      </c>
      <c r="G165" s="271">
        <v>0.67272730000000003</v>
      </c>
      <c r="H165" s="137" t="s">
        <v>2487</v>
      </c>
      <c r="I165" s="137">
        <v>0.2</v>
      </c>
      <c r="J165" s="137">
        <v>0.8</v>
      </c>
      <c r="K165" s="137">
        <v>1</v>
      </c>
      <c r="M165" s="143" t="s">
        <v>2867</v>
      </c>
      <c r="N165" s="143" t="s">
        <v>753</v>
      </c>
      <c r="O165" s="143" t="s">
        <v>663</v>
      </c>
      <c r="P165" s="143">
        <v>2141</v>
      </c>
      <c r="Q165" s="137" t="s">
        <v>2486</v>
      </c>
      <c r="R165" s="137" t="s">
        <v>2486</v>
      </c>
      <c r="S165" s="137" t="s">
        <v>2486</v>
      </c>
      <c r="T165" s="137" t="s">
        <v>2487</v>
      </c>
      <c r="U165" s="137" t="s">
        <v>2487</v>
      </c>
      <c r="V165" s="137" t="s">
        <v>2487</v>
      </c>
      <c r="W165" s="137" t="s">
        <v>2486</v>
      </c>
      <c r="X165" s="137" t="s">
        <v>2486</v>
      </c>
      <c r="Y165" s="137" t="s">
        <v>2486</v>
      </c>
      <c r="Z165" s="137" t="s">
        <v>2487</v>
      </c>
      <c r="AA165" s="137" t="s">
        <v>2487</v>
      </c>
      <c r="AB165" s="137">
        <v>0.54545460000000001</v>
      </c>
      <c r="AD165" s="143" t="s">
        <v>2867</v>
      </c>
      <c r="AE165" s="143" t="s">
        <v>753</v>
      </c>
      <c r="AF165" s="143" t="s">
        <v>663</v>
      </c>
      <c r="AG165" s="143">
        <v>2141</v>
      </c>
      <c r="AO165" s="190">
        <v>0.66249999999999998</v>
      </c>
      <c r="AP165" s="190">
        <v>0.66249999999999998</v>
      </c>
      <c r="AQ165" s="78" t="s">
        <v>2487</v>
      </c>
      <c r="AS165" s="143" t="s">
        <v>2867</v>
      </c>
      <c r="AT165" s="143" t="s">
        <v>753</v>
      </c>
      <c r="AU165" s="143" t="s">
        <v>663</v>
      </c>
      <c r="AV165" s="143">
        <v>2141</v>
      </c>
      <c r="AW165" s="137" t="s">
        <v>2838</v>
      </c>
      <c r="AX165" s="137" t="s">
        <v>2838</v>
      </c>
      <c r="AY165" s="137" t="s">
        <v>2838</v>
      </c>
      <c r="AZ165" s="137" t="s">
        <v>2838</v>
      </c>
      <c r="BA165" s="137" t="s">
        <v>2838</v>
      </c>
      <c r="BB165" s="137" t="s">
        <v>2838</v>
      </c>
      <c r="BC165" s="137" t="s">
        <v>2838</v>
      </c>
      <c r="BD165" s="137" t="s">
        <v>2838</v>
      </c>
      <c r="BE165" s="137" t="s">
        <v>2838</v>
      </c>
      <c r="BF165" s="137" t="s">
        <v>2838</v>
      </c>
      <c r="BI165" s="137" t="s">
        <v>2486</v>
      </c>
      <c r="BJ165" s="137" t="s">
        <v>2486</v>
      </c>
      <c r="BK165" s="190" t="s">
        <v>2486</v>
      </c>
      <c r="BL165" s="190">
        <v>1</v>
      </c>
      <c r="BM165" s="78" t="s">
        <v>2486</v>
      </c>
      <c r="BO165" s="143" t="s">
        <v>2867</v>
      </c>
      <c r="BP165" s="143" t="s">
        <v>753</v>
      </c>
      <c r="BQ165" s="143" t="s">
        <v>663</v>
      </c>
      <c r="BR165" s="143">
        <v>2141</v>
      </c>
      <c r="BY165" s="78" t="s">
        <v>2838</v>
      </c>
    </row>
    <row r="166" spans="1:77" x14ac:dyDescent="0.35">
      <c r="A166" s="143" t="s">
        <v>2867</v>
      </c>
      <c r="B166" s="143" t="s">
        <v>753</v>
      </c>
      <c r="C166" s="143" t="s">
        <v>663</v>
      </c>
      <c r="D166" s="143">
        <v>2695</v>
      </c>
      <c r="E166" s="137">
        <v>0.14545449999999999</v>
      </c>
      <c r="F166" s="137">
        <v>0</v>
      </c>
      <c r="G166" s="271">
        <v>0.14545449999999999</v>
      </c>
      <c r="H166" s="137" t="s">
        <v>2487</v>
      </c>
      <c r="I166" s="137">
        <v>0.1666667</v>
      </c>
      <c r="J166" s="137">
        <v>0</v>
      </c>
      <c r="K166" s="137">
        <v>0.1666667</v>
      </c>
      <c r="M166" s="143" t="s">
        <v>2867</v>
      </c>
      <c r="N166" s="143" t="s">
        <v>753</v>
      </c>
      <c r="O166" s="143" t="s">
        <v>663</v>
      </c>
      <c r="P166" s="143">
        <v>2695</v>
      </c>
      <c r="Q166" s="137" t="s">
        <v>2486</v>
      </c>
      <c r="R166" s="137" t="s">
        <v>2486</v>
      </c>
      <c r="S166" s="137" t="s">
        <v>2486</v>
      </c>
      <c r="T166" s="137" t="s">
        <v>2486</v>
      </c>
      <c r="U166" s="137" t="s">
        <v>2487</v>
      </c>
      <c r="V166" s="137" t="s">
        <v>2487</v>
      </c>
      <c r="W166" s="137" t="s">
        <v>2486</v>
      </c>
      <c r="X166" s="137" t="s">
        <v>2486</v>
      </c>
      <c r="Y166" s="137" t="s">
        <v>2486</v>
      </c>
      <c r="Z166" s="137" t="s">
        <v>2486</v>
      </c>
      <c r="AA166" s="137" t="s">
        <v>2487</v>
      </c>
      <c r="AB166" s="137">
        <v>0.72727269999999999</v>
      </c>
      <c r="AD166" s="143" t="s">
        <v>2867</v>
      </c>
      <c r="AE166" s="143" t="s">
        <v>753</v>
      </c>
      <c r="AF166" s="143" t="s">
        <v>663</v>
      </c>
      <c r="AG166" s="143">
        <v>2695</v>
      </c>
      <c r="AO166" s="190">
        <v>0.83750000000000002</v>
      </c>
      <c r="AP166" s="190">
        <v>0.83750000000000002</v>
      </c>
      <c r="AQ166" s="78" t="s">
        <v>2487</v>
      </c>
      <c r="AS166" s="143" t="s">
        <v>2867</v>
      </c>
      <c r="AT166" s="143" t="s">
        <v>753</v>
      </c>
      <c r="AU166" s="143" t="s">
        <v>663</v>
      </c>
      <c r="AV166" s="143">
        <v>2695</v>
      </c>
      <c r="AW166" s="137" t="s">
        <v>2838</v>
      </c>
      <c r="AX166" s="137" t="s">
        <v>2838</v>
      </c>
      <c r="AY166" s="137" t="s">
        <v>2838</v>
      </c>
      <c r="AZ166" s="137" t="s">
        <v>2838</v>
      </c>
      <c r="BA166" s="137" t="s">
        <v>2838</v>
      </c>
      <c r="BB166" s="137" t="s">
        <v>2838</v>
      </c>
      <c r="BC166" s="137" t="s">
        <v>2838</v>
      </c>
      <c r="BD166" s="137" t="s">
        <v>2838</v>
      </c>
      <c r="BE166" s="137" t="s">
        <v>2838</v>
      </c>
      <c r="BF166" s="137" t="s">
        <v>2838</v>
      </c>
      <c r="BI166" s="137" t="s">
        <v>2486</v>
      </c>
      <c r="BJ166" s="137" t="s">
        <v>2486</v>
      </c>
      <c r="BK166" s="190" t="s">
        <v>2486</v>
      </c>
      <c r="BL166" s="190">
        <v>1</v>
      </c>
      <c r="BM166" s="78" t="s">
        <v>2486</v>
      </c>
      <c r="BO166" s="143" t="s">
        <v>2867</v>
      </c>
      <c r="BP166" s="143" t="s">
        <v>753</v>
      </c>
      <c r="BQ166" s="143" t="s">
        <v>663</v>
      </c>
      <c r="BR166" s="143">
        <v>2695</v>
      </c>
      <c r="BY166" s="78" t="s">
        <v>2838</v>
      </c>
    </row>
    <row r="167" spans="1:77" x14ac:dyDescent="0.35">
      <c r="A167" s="143" t="s">
        <v>2867</v>
      </c>
      <c r="B167" s="143" t="s">
        <v>753</v>
      </c>
      <c r="C167" s="143" t="s">
        <v>663</v>
      </c>
      <c r="D167" s="143">
        <v>2696</v>
      </c>
      <c r="E167" s="137">
        <v>5.4545499999999997E-2</v>
      </c>
      <c r="F167" s="137">
        <v>0.21818180000000001</v>
      </c>
      <c r="G167" s="271">
        <v>0.27272730000000001</v>
      </c>
      <c r="H167" s="137" t="s">
        <v>2487</v>
      </c>
      <c r="I167" s="137">
        <v>0.13333329999999999</v>
      </c>
      <c r="J167" s="137">
        <v>0.53333339999999996</v>
      </c>
      <c r="K167" s="137">
        <v>0.66666669999999995</v>
      </c>
      <c r="M167" s="143" t="s">
        <v>2867</v>
      </c>
      <c r="N167" s="143" t="s">
        <v>753</v>
      </c>
      <c r="O167" s="143" t="s">
        <v>663</v>
      </c>
      <c r="P167" s="143">
        <v>2696</v>
      </c>
      <c r="Q167" s="137" t="s">
        <v>2486</v>
      </c>
      <c r="R167" s="137" t="s">
        <v>2486</v>
      </c>
      <c r="S167" s="137" t="s">
        <v>2486</v>
      </c>
      <c r="T167" s="137" t="s">
        <v>2486</v>
      </c>
      <c r="U167" s="137" t="s">
        <v>2487</v>
      </c>
      <c r="V167" s="137" t="s">
        <v>2487</v>
      </c>
      <c r="W167" s="137" t="s">
        <v>2486</v>
      </c>
      <c r="X167" s="137" t="s">
        <v>2486</v>
      </c>
      <c r="Y167" s="137" t="s">
        <v>2486</v>
      </c>
      <c r="Z167" s="137" t="s">
        <v>2486</v>
      </c>
      <c r="AA167" s="137" t="s">
        <v>2486</v>
      </c>
      <c r="AB167" s="137">
        <v>0.81818179999999996</v>
      </c>
      <c r="AD167" s="143" t="s">
        <v>2867</v>
      </c>
      <c r="AE167" s="143" t="s">
        <v>753</v>
      </c>
      <c r="AF167" s="143" t="s">
        <v>663</v>
      </c>
      <c r="AG167" s="143">
        <v>2696</v>
      </c>
      <c r="AO167" s="190">
        <v>0.8</v>
      </c>
      <c r="AP167" s="190">
        <v>0.8</v>
      </c>
      <c r="AQ167" s="78" t="s">
        <v>2487</v>
      </c>
      <c r="AS167" s="143" t="s">
        <v>2867</v>
      </c>
      <c r="AT167" s="143" t="s">
        <v>753</v>
      </c>
      <c r="AU167" s="143" t="s">
        <v>663</v>
      </c>
      <c r="AV167" s="143">
        <v>2696</v>
      </c>
      <c r="AW167" s="137" t="s">
        <v>2838</v>
      </c>
      <c r="AX167" s="137" t="s">
        <v>2838</v>
      </c>
      <c r="AY167" s="137" t="s">
        <v>2838</v>
      </c>
      <c r="AZ167" s="137" t="s">
        <v>2838</v>
      </c>
      <c r="BA167" s="137" t="s">
        <v>2838</v>
      </c>
      <c r="BB167" s="137" t="s">
        <v>2838</v>
      </c>
      <c r="BC167" s="137" t="s">
        <v>2838</v>
      </c>
      <c r="BD167" s="137" t="s">
        <v>2838</v>
      </c>
      <c r="BE167" s="137" t="s">
        <v>2838</v>
      </c>
      <c r="BF167" s="137" t="s">
        <v>2838</v>
      </c>
      <c r="BI167" s="137" t="s">
        <v>2486</v>
      </c>
      <c r="BJ167" s="137" t="s">
        <v>2486</v>
      </c>
      <c r="BK167" s="190" t="s">
        <v>2486</v>
      </c>
      <c r="BL167" s="190">
        <v>1</v>
      </c>
      <c r="BM167" s="78" t="s">
        <v>2486</v>
      </c>
      <c r="BO167" s="143" t="s">
        <v>2867</v>
      </c>
      <c r="BP167" s="143" t="s">
        <v>753</v>
      </c>
      <c r="BQ167" s="143" t="s">
        <v>663</v>
      </c>
      <c r="BR167" s="143">
        <v>2696</v>
      </c>
      <c r="BY167" s="78" t="s">
        <v>2838</v>
      </c>
    </row>
    <row r="168" spans="1:77" x14ac:dyDescent="0.35">
      <c r="A168" s="143" t="s">
        <v>2867</v>
      </c>
      <c r="B168" s="143" t="s">
        <v>753</v>
      </c>
      <c r="C168" s="143" t="s">
        <v>663</v>
      </c>
      <c r="D168" s="143">
        <v>2697</v>
      </c>
      <c r="E168" s="137">
        <v>0.14545449999999999</v>
      </c>
      <c r="F168" s="137">
        <v>0.21818180000000001</v>
      </c>
      <c r="G168" s="271">
        <v>0.36363640000000003</v>
      </c>
      <c r="H168" s="137" t="s">
        <v>2487</v>
      </c>
      <c r="I168" s="137">
        <v>0.13333329999999999</v>
      </c>
      <c r="J168" s="137">
        <v>0.4</v>
      </c>
      <c r="K168" s="137">
        <v>0.53333339999999996</v>
      </c>
      <c r="M168" s="143" t="s">
        <v>2867</v>
      </c>
      <c r="N168" s="143" t="s">
        <v>753</v>
      </c>
      <c r="O168" s="143" t="s">
        <v>663</v>
      </c>
      <c r="P168" s="143">
        <v>2697</v>
      </c>
      <c r="Q168" s="137" t="s">
        <v>2486</v>
      </c>
      <c r="R168" s="137" t="s">
        <v>2486</v>
      </c>
      <c r="S168" s="137" t="s">
        <v>2486</v>
      </c>
      <c r="T168" s="137" t="s">
        <v>2487</v>
      </c>
      <c r="U168" s="137" t="s">
        <v>2487</v>
      </c>
      <c r="V168" s="137" t="s">
        <v>2487</v>
      </c>
      <c r="W168" s="137" t="s">
        <v>2487</v>
      </c>
      <c r="X168" s="137" t="s">
        <v>2486</v>
      </c>
      <c r="Y168" s="137" t="s">
        <v>2486</v>
      </c>
      <c r="Z168" s="137" t="s">
        <v>2486</v>
      </c>
      <c r="AA168" s="137" t="s">
        <v>2487</v>
      </c>
      <c r="AB168" s="137">
        <v>0.54545460000000001</v>
      </c>
      <c r="AD168" s="143" t="s">
        <v>2867</v>
      </c>
      <c r="AE168" s="143" t="s">
        <v>753</v>
      </c>
      <c r="AF168" s="143" t="s">
        <v>663</v>
      </c>
      <c r="AG168" s="143">
        <v>2697</v>
      </c>
      <c r="AO168" s="190">
        <v>0.8125</v>
      </c>
      <c r="AP168" s="190">
        <v>0.8125</v>
      </c>
      <c r="AQ168" s="78" t="s">
        <v>2487</v>
      </c>
      <c r="AS168" s="143" t="s">
        <v>2867</v>
      </c>
      <c r="AT168" s="143" t="s">
        <v>753</v>
      </c>
      <c r="AU168" s="143" t="s">
        <v>663</v>
      </c>
      <c r="AV168" s="143">
        <v>2697</v>
      </c>
      <c r="AW168" s="137" t="s">
        <v>2838</v>
      </c>
      <c r="AX168" s="137" t="s">
        <v>2838</v>
      </c>
      <c r="AY168" s="137" t="s">
        <v>2838</v>
      </c>
      <c r="AZ168" s="137" t="s">
        <v>2838</v>
      </c>
      <c r="BA168" s="137" t="s">
        <v>2838</v>
      </c>
      <c r="BB168" s="137" t="s">
        <v>2838</v>
      </c>
      <c r="BC168" s="137" t="s">
        <v>2838</v>
      </c>
      <c r="BD168" s="137" t="s">
        <v>2838</v>
      </c>
      <c r="BE168" s="137" t="s">
        <v>2838</v>
      </c>
      <c r="BF168" s="137" t="s">
        <v>2838</v>
      </c>
      <c r="BI168" s="137" t="s">
        <v>2486</v>
      </c>
      <c r="BJ168" s="137" t="s">
        <v>2486</v>
      </c>
      <c r="BK168" s="190" t="s">
        <v>2486</v>
      </c>
      <c r="BL168" s="190">
        <v>1</v>
      </c>
      <c r="BM168" s="78" t="s">
        <v>2486</v>
      </c>
      <c r="BO168" s="143" t="s">
        <v>2867</v>
      </c>
      <c r="BP168" s="143" t="s">
        <v>753</v>
      </c>
      <c r="BQ168" s="143" t="s">
        <v>663</v>
      </c>
      <c r="BR168" s="143">
        <v>2697</v>
      </c>
      <c r="BY168" s="78" t="s">
        <v>2838</v>
      </c>
    </row>
    <row r="169" spans="1:77" x14ac:dyDescent="0.35">
      <c r="A169" s="143" t="s">
        <v>2867</v>
      </c>
      <c r="B169" s="143" t="s">
        <v>753</v>
      </c>
      <c r="C169" s="143" t="s">
        <v>663</v>
      </c>
      <c r="D169" s="143">
        <v>3222</v>
      </c>
      <c r="E169" s="137">
        <v>0.1090909</v>
      </c>
      <c r="F169" s="137">
        <v>0.50909090000000001</v>
      </c>
      <c r="G169" s="271">
        <v>0.6181818</v>
      </c>
      <c r="H169" s="137" t="s">
        <v>2487</v>
      </c>
      <c r="I169" s="137">
        <v>0.15</v>
      </c>
      <c r="J169" s="137">
        <v>0.26666669999999998</v>
      </c>
      <c r="K169" s="137">
        <v>0.4166667</v>
      </c>
      <c r="M169" s="143" t="s">
        <v>2867</v>
      </c>
      <c r="N169" s="143" t="s">
        <v>753</v>
      </c>
      <c r="O169" s="143" t="s">
        <v>663</v>
      </c>
      <c r="P169" s="143">
        <v>3222</v>
      </c>
      <c r="Q169" s="137" t="s">
        <v>2486</v>
      </c>
      <c r="R169" s="137" t="s">
        <v>2486</v>
      </c>
      <c r="S169" s="137" t="s">
        <v>2486</v>
      </c>
      <c r="T169" s="137" t="s">
        <v>2486</v>
      </c>
      <c r="U169" s="137" t="s">
        <v>2487</v>
      </c>
      <c r="V169" s="137" t="s">
        <v>2487</v>
      </c>
      <c r="W169" s="137" t="s">
        <v>2486</v>
      </c>
      <c r="X169" s="137" t="s">
        <v>2486</v>
      </c>
      <c r="Y169" s="137" t="s">
        <v>2486</v>
      </c>
      <c r="Z169" s="137" t="s">
        <v>2486</v>
      </c>
      <c r="AA169" s="137" t="s">
        <v>2486</v>
      </c>
      <c r="AB169" s="137">
        <v>0.81818179999999996</v>
      </c>
      <c r="AD169" s="143" t="s">
        <v>2867</v>
      </c>
      <c r="AE169" s="143" t="s">
        <v>753</v>
      </c>
      <c r="AF169" s="143" t="s">
        <v>663</v>
      </c>
      <c r="AG169" s="143">
        <v>3222</v>
      </c>
      <c r="AO169" s="190">
        <v>0.875</v>
      </c>
      <c r="AP169" s="190">
        <v>0.875</v>
      </c>
      <c r="AQ169" s="78" t="s">
        <v>2487</v>
      </c>
      <c r="AS169" s="143" t="s">
        <v>2867</v>
      </c>
      <c r="AT169" s="143" t="s">
        <v>753</v>
      </c>
      <c r="AU169" s="143" t="s">
        <v>663</v>
      </c>
      <c r="AV169" s="143">
        <v>3222</v>
      </c>
      <c r="AW169" s="137" t="s">
        <v>2838</v>
      </c>
      <c r="AX169" s="137" t="s">
        <v>2838</v>
      </c>
      <c r="AY169" s="137" t="s">
        <v>2838</v>
      </c>
      <c r="AZ169" s="137" t="s">
        <v>2838</v>
      </c>
      <c r="BA169" s="137" t="s">
        <v>2838</v>
      </c>
      <c r="BB169" s="137" t="s">
        <v>2838</v>
      </c>
      <c r="BC169" s="137" t="s">
        <v>2838</v>
      </c>
      <c r="BD169" s="137" t="s">
        <v>2838</v>
      </c>
      <c r="BE169" s="137" t="s">
        <v>2838</v>
      </c>
      <c r="BF169" s="137" t="s">
        <v>2838</v>
      </c>
      <c r="BI169" s="137" t="s">
        <v>2486</v>
      </c>
      <c r="BJ169" s="137" t="s">
        <v>2486</v>
      </c>
      <c r="BK169" s="190" t="s">
        <v>2486</v>
      </c>
      <c r="BL169" s="190">
        <v>1</v>
      </c>
      <c r="BM169" s="78" t="s">
        <v>2486</v>
      </c>
      <c r="BO169" s="143" t="s">
        <v>2867</v>
      </c>
      <c r="BP169" s="143" t="s">
        <v>753</v>
      </c>
      <c r="BQ169" s="143" t="s">
        <v>663</v>
      </c>
      <c r="BR169" s="143">
        <v>3222</v>
      </c>
      <c r="BY169" s="78" t="s">
        <v>2838</v>
      </c>
    </row>
    <row r="170" spans="1:77" x14ac:dyDescent="0.35">
      <c r="A170" s="143" t="s">
        <v>2867</v>
      </c>
      <c r="B170" s="143" t="s">
        <v>753</v>
      </c>
      <c r="C170" s="143" t="s">
        <v>663</v>
      </c>
      <c r="D170" s="143">
        <v>3488</v>
      </c>
      <c r="E170" s="137">
        <v>9.0909100000000007E-2</v>
      </c>
      <c r="F170" s="137">
        <v>0.29090909999999998</v>
      </c>
      <c r="G170" s="271">
        <v>0.3818182</v>
      </c>
      <c r="H170" s="137" t="s">
        <v>2487</v>
      </c>
      <c r="I170" s="137">
        <v>0.1166667</v>
      </c>
      <c r="J170" s="137">
        <v>0</v>
      </c>
      <c r="K170" s="137">
        <v>0.1166667</v>
      </c>
      <c r="M170" s="143" t="s">
        <v>2867</v>
      </c>
      <c r="N170" s="143" t="s">
        <v>753</v>
      </c>
      <c r="O170" s="143" t="s">
        <v>663</v>
      </c>
      <c r="P170" s="143">
        <v>3488</v>
      </c>
      <c r="Q170" s="137" t="s">
        <v>2486</v>
      </c>
      <c r="R170" s="137" t="s">
        <v>2486</v>
      </c>
      <c r="S170" s="137" t="s">
        <v>2487</v>
      </c>
      <c r="T170" s="137" t="s">
        <v>2486</v>
      </c>
      <c r="U170" s="137" t="s">
        <v>2487</v>
      </c>
      <c r="V170" s="137" t="s">
        <v>2487</v>
      </c>
      <c r="W170" s="137" t="s">
        <v>2486</v>
      </c>
      <c r="X170" s="137" t="s">
        <v>2486</v>
      </c>
      <c r="Y170" s="137" t="s">
        <v>2486</v>
      </c>
      <c r="Z170" s="137" t="s">
        <v>2486</v>
      </c>
      <c r="AA170" s="137" t="s">
        <v>2487</v>
      </c>
      <c r="AB170" s="137">
        <v>0.63636360000000003</v>
      </c>
      <c r="AD170" s="143" t="s">
        <v>2867</v>
      </c>
      <c r="AE170" s="143" t="s">
        <v>753</v>
      </c>
      <c r="AF170" s="143" t="s">
        <v>663</v>
      </c>
      <c r="AG170" s="143">
        <v>3488</v>
      </c>
      <c r="AO170" s="190">
        <v>0.8125</v>
      </c>
      <c r="AP170" s="190">
        <v>0.8125</v>
      </c>
      <c r="AQ170" s="78" t="s">
        <v>2487</v>
      </c>
      <c r="AS170" s="143" t="s">
        <v>2867</v>
      </c>
      <c r="AT170" s="143" t="s">
        <v>753</v>
      </c>
      <c r="AU170" s="143" t="s">
        <v>663</v>
      </c>
      <c r="AV170" s="143">
        <v>3488</v>
      </c>
      <c r="AW170" s="137" t="s">
        <v>2838</v>
      </c>
      <c r="AX170" s="137" t="s">
        <v>2838</v>
      </c>
      <c r="AY170" s="137" t="s">
        <v>2838</v>
      </c>
      <c r="AZ170" s="137" t="s">
        <v>2838</v>
      </c>
      <c r="BA170" s="137" t="s">
        <v>2838</v>
      </c>
      <c r="BB170" s="137" t="s">
        <v>2838</v>
      </c>
      <c r="BC170" s="137" t="s">
        <v>2838</v>
      </c>
      <c r="BD170" s="137" t="s">
        <v>2838</v>
      </c>
      <c r="BE170" s="137" t="s">
        <v>2838</v>
      </c>
      <c r="BF170" s="137" t="s">
        <v>2838</v>
      </c>
      <c r="BI170" s="137" t="s">
        <v>2486</v>
      </c>
      <c r="BJ170" s="137" t="s">
        <v>2486</v>
      </c>
      <c r="BK170" s="190" t="s">
        <v>2486</v>
      </c>
      <c r="BL170" s="190">
        <v>1</v>
      </c>
      <c r="BM170" s="78" t="s">
        <v>2486</v>
      </c>
      <c r="BO170" s="143" t="s">
        <v>2867</v>
      </c>
      <c r="BP170" s="143" t="s">
        <v>753</v>
      </c>
      <c r="BQ170" s="143" t="s">
        <v>663</v>
      </c>
      <c r="BR170" s="143">
        <v>3488</v>
      </c>
      <c r="BY170" s="78" t="s">
        <v>2838</v>
      </c>
    </row>
    <row r="171" spans="1:77" x14ac:dyDescent="0.35">
      <c r="A171" s="143" t="s">
        <v>2867</v>
      </c>
      <c r="B171" s="143" t="s">
        <v>753</v>
      </c>
      <c r="C171" s="143" t="s">
        <v>663</v>
      </c>
      <c r="D171" s="143">
        <v>3763</v>
      </c>
      <c r="E171" s="137">
        <v>0.14545449999999999</v>
      </c>
      <c r="F171" s="137">
        <v>0.43636360000000002</v>
      </c>
      <c r="G171" s="271">
        <v>0.58181819999999995</v>
      </c>
      <c r="H171" s="137" t="s">
        <v>2487</v>
      </c>
      <c r="I171" s="137">
        <v>0.1666667</v>
      </c>
      <c r="J171" s="137">
        <v>0.26666669999999998</v>
      </c>
      <c r="K171" s="137">
        <v>0.43333329999999998</v>
      </c>
      <c r="M171" s="143" t="s">
        <v>2867</v>
      </c>
      <c r="N171" s="143" t="s">
        <v>753</v>
      </c>
      <c r="O171" s="143" t="s">
        <v>663</v>
      </c>
      <c r="P171" s="143">
        <v>3763</v>
      </c>
      <c r="Q171" s="137" t="s">
        <v>2486</v>
      </c>
      <c r="R171" s="137" t="s">
        <v>2486</v>
      </c>
      <c r="S171" s="137" t="s">
        <v>2486</v>
      </c>
      <c r="T171" s="137" t="s">
        <v>2486</v>
      </c>
      <c r="U171" s="137" t="s">
        <v>2487</v>
      </c>
      <c r="V171" s="137" t="s">
        <v>2486</v>
      </c>
      <c r="W171" s="137" t="s">
        <v>2486</v>
      </c>
      <c r="X171" s="137" t="s">
        <v>2486</v>
      </c>
      <c r="Y171" s="137" t="s">
        <v>2486</v>
      </c>
      <c r="Z171" s="137" t="s">
        <v>2486</v>
      </c>
      <c r="AA171" s="137" t="s">
        <v>2486</v>
      </c>
      <c r="AB171" s="137">
        <v>0.90909090000000004</v>
      </c>
      <c r="AD171" s="143" t="s">
        <v>2867</v>
      </c>
      <c r="AE171" s="143" t="s">
        <v>753</v>
      </c>
      <c r="AF171" s="143" t="s">
        <v>663</v>
      </c>
      <c r="AG171" s="143">
        <v>3763</v>
      </c>
      <c r="AO171" s="190">
        <v>0.78749999999999998</v>
      </c>
      <c r="AP171" s="190">
        <v>0.78749999999999998</v>
      </c>
      <c r="AQ171" s="78" t="s">
        <v>2487</v>
      </c>
      <c r="AS171" s="143" t="s">
        <v>2867</v>
      </c>
      <c r="AT171" s="143" t="s">
        <v>753</v>
      </c>
      <c r="AU171" s="143" t="s">
        <v>663</v>
      </c>
      <c r="AV171" s="143">
        <v>3763</v>
      </c>
      <c r="AW171" s="137" t="s">
        <v>2838</v>
      </c>
      <c r="AX171" s="137" t="s">
        <v>2838</v>
      </c>
      <c r="AY171" s="137" t="s">
        <v>2838</v>
      </c>
      <c r="AZ171" s="137" t="s">
        <v>2838</v>
      </c>
      <c r="BA171" s="137" t="s">
        <v>2838</v>
      </c>
      <c r="BB171" s="137" t="s">
        <v>2838</v>
      </c>
      <c r="BC171" s="137" t="s">
        <v>2838</v>
      </c>
      <c r="BD171" s="137" t="s">
        <v>2838</v>
      </c>
      <c r="BE171" s="137" t="s">
        <v>2838</v>
      </c>
      <c r="BF171" s="137" t="s">
        <v>2838</v>
      </c>
      <c r="BI171" s="137" t="s">
        <v>2486</v>
      </c>
      <c r="BJ171" s="137" t="s">
        <v>2486</v>
      </c>
      <c r="BK171" s="190" t="s">
        <v>2486</v>
      </c>
      <c r="BL171" s="190">
        <v>1</v>
      </c>
      <c r="BM171" s="78" t="s">
        <v>2486</v>
      </c>
      <c r="BO171" s="143" t="s">
        <v>2867</v>
      </c>
      <c r="BP171" s="143" t="s">
        <v>753</v>
      </c>
      <c r="BQ171" s="143" t="s">
        <v>663</v>
      </c>
      <c r="BR171" s="143">
        <v>3763</v>
      </c>
      <c r="BY171" s="78" t="s">
        <v>2838</v>
      </c>
    </row>
    <row r="172" spans="1:77" x14ac:dyDescent="0.35">
      <c r="A172" s="143" t="s">
        <v>754</v>
      </c>
      <c r="B172" s="143" t="s">
        <v>736</v>
      </c>
      <c r="C172" s="143" t="s">
        <v>663</v>
      </c>
      <c r="D172" s="143">
        <v>2748</v>
      </c>
      <c r="E172" s="137">
        <v>0.16363639999999999</v>
      </c>
      <c r="F172" s="137">
        <v>0.6545455</v>
      </c>
      <c r="G172" s="271">
        <v>0.81818179999999996</v>
      </c>
      <c r="H172" s="137" t="s">
        <v>2487</v>
      </c>
      <c r="I172" s="137">
        <v>0.2</v>
      </c>
      <c r="J172" s="137">
        <v>0.26666669999999998</v>
      </c>
      <c r="K172" s="137">
        <v>0.46666669999999999</v>
      </c>
      <c r="M172" s="143" t="s">
        <v>754</v>
      </c>
      <c r="N172" s="143" t="s">
        <v>736</v>
      </c>
      <c r="O172" s="143" t="s">
        <v>663</v>
      </c>
      <c r="P172" s="143">
        <v>2748</v>
      </c>
      <c r="Q172" s="137" t="s">
        <v>2486</v>
      </c>
      <c r="R172" s="137" t="s">
        <v>2486</v>
      </c>
      <c r="S172" s="137" t="s">
        <v>2486</v>
      </c>
      <c r="T172" s="137" t="s">
        <v>2486</v>
      </c>
      <c r="U172" s="137" t="s">
        <v>2487</v>
      </c>
      <c r="V172" s="137" t="s">
        <v>2487</v>
      </c>
      <c r="W172" s="137" t="s">
        <v>2486</v>
      </c>
      <c r="X172" s="137" t="s">
        <v>2486</v>
      </c>
      <c r="Y172" s="137" t="s">
        <v>2486</v>
      </c>
      <c r="Z172" s="137" t="s">
        <v>2486</v>
      </c>
      <c r="AA172" s="137" t="s">
        <v>2486</v>
      </c>
      <c r="AB172" s="137">
        <v>0.81818179999999996</v>
      </c>
      <c r="AD172" s="143" t="s">
        <v>754</v>
      </c>
      <c r="AE172" s="143" t="s">
        <v>736</v>
      </c>
      <c r="AF172" s="143" t="s">
        <v>663</v>
      </c>
      <c r="AG172" s="143">
        <v>2748</v>
      </c>
      <c r="AO172" s="190">
        <v>0.95</v>
      </c>
      <c r="AP172" s="190">
        <v>0.95</v>
      </c>
      <c r="AQ172" s="78" t="s">
        <v>2487</v>
      </c>
      <c r="AS172" s="143" t="s">
        <v>754</v>
      </c>
      <c r="AT172" s="143" t="s">
        <v>736</v>
      </c>
      <c r="AU172" s="143" t="s">
        <v>663</v>
      </c>
      <c r="AV172" s="143">
        <v>2748</v>
      </c>
      <c r="AW172" s="137" t="s">
        <v>2838</v>
      </c>
      <c r="AX172" s="137" t="s">
        <v>2838</v>
      </c>
      <c r="AY172" s="137" t="s">
        <v>2838</v>
      </c>
      <c r="AZ172" s="137" t="s">
        <v>2838</v>
      </c>
      <c r="BA172" s="137" t="s">
        <v>2838</v>
      </c>
      <c r="BB172" s="137" t="s">
        <v>2838</v>
      </c>
      <c r="BC172" s="137" t="s">
        <v>2838</v>
      </c>
      <c r="BD172" s="137" t="s">
        <v>2838</v>
      </c>
      <c r="BE172" s="137" t="s">
        <v>2838</v>
      </c>
      <c r="BF172" s="137" t="s">
        <v>2838</v>
      </c>
      <c r="BI172" s="137" t="s">
        <v>2486</v>
      </c>
      <c r="BJ172" s="137" t="s">
        <v>2486</v>
      </c>
      <c r="BK172" s="190" t="s">
        <v>2486</v>
      </c>
      <c r="BL172" s="190">
        <v>1</v>
      </c>
      <c r="BM172" s="78" t="s">
        <v>2486</v>
      </c>
      <c r="BO172" s="143" t="s">
        <v>754</v>
      </c>
      <c r="BP172" s="143" t="s">
        <v>736</v>
      </c>
      <c r="BQ172" s="143" t="s">
        <v>663</v>
      </c>
      <c r="BR172" s="143">
        <v>2748</v>
      </c>
      <c r="BY172" s="78" t="s">
        <v>2838</v>
      </c>
    </row>
    <row r="173" spans="1:77" x14ac:dyDescent="0.35">
      <c r="A173" s="143" t="s">
        <v>754</v>
      </c>
      <c r="B173" s="143" t="s">
        <v>736</v>
      </c>
      <c r="C173" s="143" t="s">
        <v>663</v>
      </c>
      <c r="D173" s="143">
        <v>2750</v>
      </c>
      <c r="E173" s="137">
        <v>0.18181820000000001</v>
      </c>
      <c r="F173" s="137">
        <v>0.71501539999999997</v>
      </c>
      <c r="G173" s="271">
        <v>0.89683349999999995</v>
      </c>
      <c r="H173" s="137" t="s">
        <v>2487</v>
      </c>
      <c r="I173" s="137">
        <v>0.1666667</v>
      </c>
      <c r="J173" s="137">
        <v>0.49513109999999999</v>
      </c>
      <c r="K173" s="137">
        <v>0.66179779999999999</v>
      </c>
      <c r="M173" s="143" t="s">
        <v>754</v>
      </c>
      <c r="N173" s="143" t="s">
        <v>736</v>
      </c>
      <c r="O173" s="143" t="s">
        <v>663</v>
      </c>
      <c r="P173" s="143">
        <v>2750</v>
      </c>
      <c r="Q173" s="137" t="s">
        <v>2487</v>
      </c>
      <c r="R173" s="137" t="s">
        <v>2486</v>
      </c>
      <c r="S173" s="137" t="s">
        <v>2486</v>
      </c>
      <c r="T173" s="137" t="s">
        <v>2486</v>
      </c>
      <c r="U173" s="137" t="s">
        <v>2487</v>
      </c>
      <c r="V173" s="137" t="s">
        <v>2487</v>
      </c>
      <c r="W173" s="137" t="s">
        <v>2486</v>
      </c>
      <c r="X173" s="137" t="s">
        <v>2486</v>
      </c>
      <c r="Y173" s="137" t="s">
        <v>2486</v>
      </c>
      <c r="Z173" s="137" t="s">
        <v>2486</v>
      </c>
      <c r="AA173" s="137" t="s">
        <v>2487</v>
      </c>
      <c r="AB173" s="137">
        <v>0.63636360000000003</v>
      </c>
      <c r="AD173" s="143" t="s">
        <v>754</v>
      </c>
      <c r="AE173" s="143" t="s">
        <v>736</v>
      </c>
      <c r="AF173" s="143" t="s">
        <v>663</v>
      </c>
      <c r="AG173" s="143">
        <v>2750</v>
      </c>
      <c r="AO173" s="190">
        <v>0.92500000000000004</v>
      </c>
      <c r="AP173" s="190">
        <v>0.92500000000000004</v>
      </c>
      <c r="AQ173" s="78" t="s">
        <v>2487</v>
      </c>
      <c r="AS173" s="143" t="s">
        <v>754</v>
      </c>
      <c r="AT173" s="143" t="s">
        <v>736</v>
      </c>
      <c r="AU173" s="143" t="s">
        <v>663</v>
      </c>
      <c r="AV173" s="143">
        <v>2750</v>
      </c>
      <c r="AW173" s="137" t="s">
        <v>2838</v>
      </c>
      <c r="AX173" s="137" t="s">
        <v>2838</v>
      </c>
      <c r="AY173" s="137" t="s">
        <v>2838</v>
      </c>
      <c r="AZ173" s="137" t="s">
        <v>2838</v>
      </c>
      <c r="BA173" s="137" t="s">
        <v>2838</v>
      </c>
      <c r="BB173" s="137" t="s">
        <v>2838</v>
      </c>
      <c r="BC173" s="137" t="s">
        <v>2838</v>
      </c>
      <c r="BD173" s="137" t="s">
        <v>2838</v>
      </c>
      <c r="BE173" s="137" t="s">
        <v>2838</v>
      </c>
      <c r="BF173" s="137" t="s">
        <v>2838</v>
      </c>
      <c r="BI173" s="137" t="s">
        <v>2486</v>
      </c>
      <c r="BJ173" s="137" t="s">
        <v>2486</v>
      </c>
      <c r="BK173" s="190" t="s">
        <v>2486</v>
      </c>
      <c r="BL173" s="190">
        <v>1</v>
      </c>
      <c r="BM173" s="78" t="s">
        <v>2486</v>
      </c>
      <c r="BO173" s="143" t="s">
        <v>754</v>
      </c>
      <c r="BP173" s="143" t="s">
        <v>736</v>
      </c>
      <c r="BQ173" s="143" t="s">
        <v>663</v>
      </c>
      <c r="BR173" s="143">
        <v>2750</v>
      </c>
      <c r="BY173" s="78" t="s">
        <v>2838</v>
      </c>
    </row>
    <row r="174" spans="1:77" x14ac:dyDescent="0.35">
      <c r="A174" s="143" t="s">
        <v>754</v>
      </c>
      <c r="B174" s="143" t="s">
        <v>736</v>
      </c>
      <c r="C174" s="143" t="s">
        <v>663</v>
      </c>
      <c r="D174" s="143">
        <v>2751</v>
      </c>
      <c r="E174" s="137">
        <v>0.2</v>
      </c>
      <c r="F174" s="137">
        <v>0.79182839999999999</v>
      </c>
      <c r="G174" s="271">
        <v>0.99182840000000005</v>
      </c>
      <c r="H174" s="137" t="s">
        <v>2486</v>
      </c>
      <c r="I174" s="137">
        <v>0.2</v>
      </c>
      <c r="J174" s="137">
        <v>0</v>
      </c>
      <c r="K174" s="137">
        <v>0.2</v>
      </c>
      <c r="M174" s="143" t="s">
        <v>754</v>
      </c>
      <c r="N174" s="143" t="s">
        <v>736</v>
      </c>
      <c r="O174" s="143" t="s">
        <v>663</v>
      </c>
      <c r="P174" s="143">
        <v>2751</v>
      </c>
      <c r="Q174" s="137" t="s">
        <v>2486</v>
      </c>
      <c r="R174" s="137" t="s">
        <v>2486</v>
      </c>
      <c r="S174" s="137" t="s">
        <v>2486</v>
      </c>
      <c r="T174" s="137" t="s">
        <v>2486</v>
      </c>
      <c r="U174" s="137" t="s">
        <v>2487</v>
      </c>
      <c r="V174" s="137" t="s">
        <v>2487</v>
      </c>
      <c r="W174" s="137" t="s">
        <v>2486</v>
      </c>
      <c r="X174" s="137" t="s">
        <v>2486</v>
      </c>
      <c r="Y174" s="137" t="s">
        <v>2486</v>
      </c>
      <c r="Z174" s="137" t="s">
        <v>2486</v>
      </c>
      <c r="AA174" s="137" t="s">
        <v>2486</v>
      </c>
      <c r="AB174" s="137">
        <v>0.81818179999999996</v>
      </c>
      <c r="AD174" s="143" t="s">
        <v>754</v>
      </c>
      <c r="AE174" s="143" t="s">
        <v>736</v>
      </c>
      <c r="AF174" s="143" t="s">
        <v>663</v>
      </c>
      <c r="AG174" s="143">
        <v>2751</v>
      </c>
      <c r="AO174" s="190">
        <v>0.9375</v>
      </c>
      <c r="AP174" s="190">
        <v>0.9375</v>
      </c>
      <c r="AQ174" s="78" t="s">
        <v>2487</v>
      </c>
      <c r="AS174" s="143" t="s">
        <v>754</v>
      </c>
      <c r="AT174" s="143" t="s">
        <v>736</v>
      </c>
      <c r="AU174" s="143" t="s">
        <v>663</v>
      </c>
      <c r="AV174" s="143">
        <v>2751</v>
      </c>
      <c r="AW174" s="137" t="s">
        <v>2838</v>
      </c>
      <c r="AX174" s="137" t="s">
        <v>2838</v>
      </c>
      <c r="AY174" s="137" t="s">
        <v>2838</v>
      </c>
      <c r="AZ174" s="137" t="s">
        <v>2838</v>
      </c>
      <c r="BA174" s="137" t="s">
        <v>2838</v>
      </c>
      <c r="BB174" s="137" t="s">
        <v>2838</v>
      </c>
      <c r="BC174" s="137" t="s">
        <v>2838</v>
      </c>
      <c r="BD174" s="137" t="s">
        <v>2838</v>
      </c>
      <c r="BE174" s="137" t="s">
        <v>2838</v>
      </c>
      <c r="BF174" s="137" t="s">
        <v>2838</v>
      </c>
      <c r="BI174" s="137" t="s">
        <v>2486</v>
      </c>
      <c r="BJ174" s="137" t="s">
        <v>2486</v>
      </c>
      <c r="BK174" s="190" t="s">
        <v>2486</v>
      </c>
      <c r="BL174" s="190">
        <v>1</v>
      </c>
      <c r="BM174" s="78" t="s">
        <v>2486</v>
      </c>
      <c r="BO174" s="143" t="s">
        <v>754</v>
      </c>
      <c r="BP174" s="143" t="s">
        <v>736</v>
      </c>
      <c r="BQ174" s="143" t="s">
        <v>663</v>
      </c>
      <c r="BR174" s="143">
        <v>2751</v>
      </c>
      <c r="BY174" s="78" t="s">
        <v>2838</v>
      </c>
    </row>
    <row r="175" spans="1:77" x14ac:dyDescent="0.35">
      <c r="A175" s="143" t="s">
        <v>754</v>
      </c>
      <c r="B175" s="143" t="s">
        <v>736</v>
      </c>
      <c r="C175" s="143" t="s">
        <v>663</v>
      </c>
      <c r="D175" s="143">
        <v>3705</v>
      </c>
      <c r="E175" s="137">
        <v>0.18181820000000001</v>
      </c>
      <c r="F175" s="137">
        <v>0.57119509999999996</v>
      </c>
      <c r="G175" s="271">
        <v>0.7530133</v>
      </c>
      <c r="H175" s="137" t="s">
        <v>2487</v>
      </c>
      <c r="I175" s="137">
        <v>0.2</v>
      </c>
      <c r="J175" s="137">
        <v>0.22771540000000001</v>
      </c>
      <c r="K175" s="137">
        <v>0.42771540000000002</v>
      </c>
      <c r="M175" s="143" t="s">
        <v>754</v>
      </c>
      <c r="N175" s="143" t="s">
        <v>736</v>
      </c>
      <c r="O175" s="143" t="s">
        <v>663</v>
      </c>
      <c r="P175" s="143">
        <v>3705</v>
      </c>
      <c r="Q175" s="137" t="s">
        <v>2487</v>
      </c>
      <c r="R175" s="137" t="s">
        <v>2486</v>
      </c>
      <c r="S175" s="137" t="s">
        <v>2486</v>
      </c>
      <c r="T175" s="137" t="s">
        <v>2486</v>
      </c>
      <c r="U175" s="137" t="s">
        <v>2487</v>
      </c>
      <c r="V175" s="137" t="s">
        <v>2487</v>
      </c>
      <c r="W175" s="137" t="s">
        <v>2486</v>
      </c>
      <c r="X175" s="137" t="s">
        <v>2486</v>
      </c>
      <c r="Y175" s="137" t="s">
        <v>2486</v>
      </c>
      <c r="Z175" s="137" t="s">
        <v>2487</v>
      </c>
      <c r="AA175" s="137" t="s">
        <v>2486</v>
      </c>
      <c r="AB175" s="137">
        <v>0.63636360000000003</v>
      </c>
      <c r="AD175" s="143" t="s">
        <v>754</v>
      </c>
      <c r="AE175" s="143" t="s">
        <v>736</v>
      </c>
      <c r="AF175" s="143" t="s">
        <v>663</v>
      </c>
      <c r="AG175" s="143">
        <v>3705</v>
      </c>
      <c r="AO175" s="190">
        <v>0.91249999999999998</v>
      </c>
      <c r="AP175" s="190">
        <v>0.91249999999999998</v>
      </c>
      <c r="AQ175" s="78" t="s">
        <v>2487</v>
      </c>
      <c r="AS175" s="143" t="s">
        <v>754</v>
      </c>
      <c r="AT175" s="143" t="s">
        <v>736</v>
      </c>
      <c r="AU175" s="143" t="s">
        <v>663</v>
      </c>
      <c r="AV175" s="143">
        <v>3705</v>
      </c>
      <c r="AW175" s="137" t="s">
        <v>2838</v>
      </c>
      <c r="AX175" s="137" t="s">
        <v>2838</v>
      </c>
      <c r="AY175" s="137" t="s">
        <v>2838</v>
      </c>
      <c r="AZ175" s="137" t="s">
        <v>2838</v>
      </c>
      <c r="BA175" s="137" t="s">
        <v>2838</v>
      </c>
      <c r="BB175" s="137" t="s">
        <v>2838</v>
      </c>
      <c r="BC175" s="137" t="s">
        <v>2838</v>
      </c>
      <c r="BD175" s="137" t="s">
        <v>2838</v>
      </c>
      <c r="BE175" s="137" t="s">
        <v>2838</v>
      </c>
      <c r="BF175" s="137" t="s">
        <v>2838</v>
      </c>
      <c r="BI175" s="137" t="s">
        <v>2486</v>
      </c>
      <c r="BJ175" s="137" t="s">
        <v>2486</v>
      </c>
      <c r="BK175" s="190" t="s">
        <v>2486</v>
      </c>
      <c r="BL175" s="190">
        <v>1</v>
      </c>
      <c r="BM175" s="78" t="s">
        <v>2486</v>
      </c>
      <c r="BO175" s="143" t="s">
        <v>754</v>
      </c>
      <c r="BP175" s="143" t="s">
        <v>736</v>
      </c>
      <c r="BQ175" s="143" t="s">
        <v>663</v>
      </c>
      <c r="BR175" s="143">
        <v>3705</v>
      </c>
      <c r="BY175" s="78" t="s">
        <v>2838</v>
      </c>
    </row>
    <row r="176" spans="1:77" x14ac:dyDescent="0.35">
      <c r="A176" s="143" t="s">
        <v>754</v>
      </c>
      <c r="B176" s="143" t="s">
        <v>736</v>
      </c>
      <c r="C176" s="143" t="s">
        <v>663</v>
      </c>
      <c r="D176" s="143">
        <v>4339</v>
      </c>
      <c r="E176" s="137">
        <v>0.18181820000000001</v>
      </c>
      <c r="F176" s="137">
        <v>0.66761999999999999</v>
      </c>
      <c r="G176" s="271">
        <v>0.84943820000000003</v>
      </c>
      <c r="H176" s="137" t="s">
        <v>2487</v>
      </c>
      <c r="I176" s="137">
        <v>0.1833333</v>
      </c>
      <c r="J176" s="137">
        <v>0.73333329999999997</v>
      </c>
      <c r="K176" s="137">
        <v>0.91666669999999995</v>
      </c>
      <c r="M176" s="143" t="s">
        <v>754</v>
      </c>
      <c r="N176" s="143" t="s">
        <v>736</v>
      </c>
      <c r="O176" s="143" t="s">
        <v>663</v>
      </c>
      <c r="P176" s="143">
        <v>4339</v>
      </c>
      <c r="Q176" s="137" t="s">
        <v>2486</v>
      </c>
      <c r="R176" s="137" t="s">
        <v>2486</v>
      </c>
      <c r="S176" s="137" t="s">
        <v>2486</v>
      </c>
      <c r="T176" s="137" t="s">
        <v>2486</v>
      </c>
      <c r="U176" s="137" t="s">
        <v>2487</v>
      </c>
      <c r="V176" s="137" t="s">
        <v>2487</v>
      </c>
      <c r="W176" s="137" t="s">
        <v>2486</v>
      </c>
      <c r="X176" s="137" t="s">
        <v>2486</v>
      </c>
      <c r="Y176" s="137" t="s">
        <v>2486</v>
      </c>
      <c r="Z176" s="137" t="s">
        <v>2486</v>
      </c>
      <c r="AA176" s="137" t="s">
        <v>2486</v>
      </c>
      <c r="AB176" s="137">
        <v>0.81818179999999996</v>
      </c>
      <c r="AD176" s="143" t="s">
        <v>754</v>
      </c>
      <c r="AE176" s="143" t="s">
        <v>736</v>
      </c>
      <c r="AF176" s="143" t="s">
        <v>663</v>
      </c>
      <c r="AG176" s="143">
        <v>4339</v>
      </c>
      <c r="AO176" s="190">
        <v>0.88749999999999996</v>
      </c>
      <c r="AP176" s="190">
        <v>0.88749999999999996</v>
      </c>
      <c r="AQ176" s="78" t="s">
        <v>2487</v>
      </c>
      <c r="AS176" s="143" t="s">
        <v>754</v>
      </c>
      <c r="AT176" s="143" t="s">
        <v>736</v>
      </c>
      <c r="AU176" s="143" t="s">
        <v>663</v>
      </c>
      <c r="AV176" s="143">
        <v>4339</v>
      </c>
      <c r="AW176" s="137" t="s">
        <v>2838</v>
      </c>
      <c r="AX176" s="137" t="s">
        <v>2838</v>
      </c>
      <c r="AY176" s="137" t="s">
        <v>2838</v>
      </c>
      <c r="AZ176" s="137" t="s">
        <v>2838</v>
      </c>
      <c r="BA176" s="137" t="s">
        <v>2838</v>
      </c>
      <c r="BB176" s="137" t="s">
        <v>2838</v>
      </c>
      <c r="BC176" s="137" t="s">
        <v>2838</v>
      </c>
      <c r="BD176" s="137" t="s">
        <v>2838</v>
      </c>
      <c r="BE176" s="137" t="s">
        <v>2838</v>
      </c>
      <c r="BF176" s="137" t="s">
        <v>2838</v>
      </c>
      <c r="BI176" s="137" t="s">
        <v>2486</v>
      </c>
      <c r="BJ176" s="137" t="s">
        <v>2486</v>
      </c>
      <c r="BK176" s="190" t="s">
        <v>2486</v>
      </c>
      <c r="BL176" s="190">
        <v>1</v>
      </c>
      <c r="BM176" s="78" t="s">
        <v>2486</v>
      </c>
      <c r="BO176" s="143" t="s">
        <v>754</v>
      </c>
      <c r="BP176" s="143" t="s">
        <v>736</v>
      </c>
      <c r="BQ176" s="143" t="s">
        <v>663</v>
      </c>
      <c r="BR176" s="143">
        <v>4339</v>
      </c>
      <c r="BY176" s="78" t="s">
        <v>2838</v>
      </c>
    </row>
    <row r="177" spans="1:77" x14ac:dyDescent="0.35">
      <c r="A177" s="143" t="s">
        <v>755</v>
      </c>
      <c r="B177" s="143" t="s">
        <v>753</v>
      </c>
      <c r="C177" s="143" t="s">
        <v>663</v>
      </c>
      <c r="D177" s="143">
        <v>2306</v>
      </c>
      <c r="E177" s="137">
        <v>0.2</v>
      </c>
      <c r="F177" s="137">
        <v>0.8</v>
      </c>
      <c r="G177" s="271">
        <v>1</v>
      </c>
      <c r="H177" s="137" t="s">
        <v>2486</v>
      </c>
      <c r="I177" s="137">
        <v>0.1833333</v>
      </c>
      <c r="J177" s="137">
        <v>0.73333329999999997</v>
      </c>
      <c r="K177" s="137">
        <v>0.91666669999999995</v>
      </c>
      <c r="M177" s="143" t="s">
        <v>755</v>
      </c>
      <c r="N177" s="143" t="s">
        <v>753</v>
      </c>
      <c r="O177" s="143" t="s">
        <v>663</v>
      </c>
      <c r="P177" s="143">
        <v>2306</v>
      </c>
      <c r="Q177" s="137" t="s">
        <v>2487</v>
      </c>
      <c r="R177" s="137" t="s">
        <v>2486</v>
      </c>
      <c r="S177" s="137" t="s">
        <v>2486</v>
      </c>
      <c r="T177" s="137" t="s">
        <v>2486</v>
      </c>
      <c r="U177" s="137" t="s">
        <v>2487</v>
      </c>
      <c r="V177" s="137" t="s">
        <v>2487</v>
      </c>
      <c r="W177" s="137" t="s">
        <v>2486</v>
      </c>
      <c r="X177" s="137" t="s">
        <v>2486</v>
      </c>
      <c r="Y177" s="137" t="s">
        <v>2486</v>
      </c>
      <c r="Z177" s="137" t="s">
        <v>2486</v>
      </c>
      <c r="AA177" s="137" t="s">
        <v>2486</v>
      </c>
      <c r="AB177" s="137">
        <v>0.72727269999999999</v>
      </c>
      <c r="AD177" s="143" t="s">
        <v>755</v>
      </c>
      <c r="AE177" s="143" t="s">
        <v>753</v>
      </c>
      <c r="AF177" s="143" t="s">
        <v>663</v>
      </c>
      <c r="AG177" s="143">
        <v>2306</v>
      </c>
      <c r="AO177" s="190">
        <v>0.98750000000000004</v>
      </c>
      <c r="AP177" s="190">
        <v>0.98750000000000004</v>
      </c>
      <c r="AQ177" s="78" t="s">
        <v>2486</v>
      </c>
      <c r="AS177" s="143" t="s">
        <v>755</v>
      </c>
      <c r="AT177" s="143" t="s">
        <v>753</v>
      </c>
      <c r="AU177" s="143" t="s">
        <v>663</v>
      </c>
      <c r="AV177" s="143">
        <v>2306</v>
      </c>
      <c r="AW177" s="137" t="s">
        <v>2838</v>
      </c>
      <c r="AX177" s="137" t="s">
        <v>2838</v>
      </c>
      <c r="AY177" s="137" t="s">
        <v>2838</v>
      </c>
      <c r="AZ177" s="137" t="s">
        <v>2838</v>
      </c>
      <c r="BA177" s="137" t="s">
        <v>2838</v>
      </c>
      <c r="BB177" s="137" t="s">
        <v>2838</v>
      </c>
      <c r="BC177" s="137" t="s">
        <v>2838</v>
      </c>
      <c r="BD177" s="137" t="s">
        <v>2838</v>
      </c>
      <c r="BE177" s="137" t="s">
        <v>2838</v>
      </c>
      <c r="BF177" s="137" t="s">
        <v>2838</v>
      </c>
      <c r="BI177" s="137" t="s">
        <v>2486</v>
      </c>
      <c r="BJ177" s="137" t="s">
        <v>2486</v>
      </c>
      <c r="BK177" s="190" t="s">
        <v>2486</v>
      </c>
      <c r="BL177" s="190">
        <v>1</v>
      </c>
      <c r="BM177" s="78" t="s">
        <v>2486</v>
      </c>
      <c r="BO177" s="143" t="s">
        <v>755</v>
      </c>
      <c r="BP177" s="143" t="s">
        <v>753</v>
      </c>
      <c r="BQ177" s="143" t="s">
        <v>663</v>
      </c>
      <c r="BR177" s="143">
        <v>2306</v>
      </c>
      <c r="BY177" s="78" t="s">
        <v>2838</v>
      </c>
    </row>
    <row r="178" spans="1:77" x14ac:dyDescent="0.35">
      <c r="A178" s="143" t="s">
        <v>755</v>
      </c>
      <c r="B178" s="143" t="s">
        <v>753</v>
      </c>
      <c r="C178" s="143" t="s">
        <v>663</v>
      </c>
      <c r="D178" s="143">
        <v>2542</v>
      </c>
      <c r="E178" s="137">
        <v>0.2</v>
      </c>
      <c r="F178" s="137">
        <v>0.77548519999999999</v>
      </c>
      <c r="G178" s="271">
        <v>0.97548520000000005</v>
      </c>
      <c r="H178" s="137" t="s">
        <v>2486</v>
      </c>
      <c r="I178" s="137">
        <v>0.1666667</v>
      </c>
      <c r="J178" s="137">
        <v>6.6666699999999995E-2</v>
      </c>
      <c r="K178" s="137">
        <v>0.23333329999999999</v>
      </c>
      <c r="M178" s="143" t="s">
        <v>755</v>
      </c>
      <c r="N178" s="143" t="s">
        <v>753</v>
      </c>
      <c r="O178" s="143" t="s">
        <v>663</v>
      </c>
      <c r="P178" s="143">
        <v>2542</v>
      </c>
      <c r="Q178" s="137" t="s">
        <v>2487</v>
      </c>
      <c r="R178" s="137" t="s">
        <v>2487</v>
      </c>
      <c r="S178" s="137" t="s">
        <v>2486</v>
      </c>
      <c r="T178" s="137" t="s">
        <v>2486</v>
      </c>
      <c r="U178" s="137" t="s">
        <v>2487</v>
      </c>
      <c r="V178" s="137" t="s">
        <v>2487</v>
      </c>
      <c r="W178" s="137" t="s">
        <v>2486</v>
      </c>
      <c r="X178" s="137" t="s">
        <v>2486</v>
      </c>
      <c r="Y178" s="137" t="s">
        <v>2486</v>
      </c>
      <c r="Z178" s="137" t="s">
        <v>2486</v>
      </c>
      <c r="AA178" s="137" t="s">
        <v>2486</v>
      </c>
      <c r="AB178" s="137">
        <v>0.63636360000000003</v>
      </c>
      <c r="AD178" s="143" t="s">
        <v>755</v>
      </c>
      <c r="AE178" s="143" t="s">
        <v>753</v>
      </c>
      <c r="AF178" s="143" t="s">
        <v>663</v>
      </c>
      <c r="AG178" s="143">
        <v>2542</v>
      </c>
      <c r="AO178" s="190">
        <v>0.97499999999999998</v>
      </c>
      <c r="AP178" s="190">
        <v>0.97499999999999998</v>
      </c>
      <c r="AQ178" s="78" t="s">
        <v>2486</v>
      </c>
      <c r="AS178" s="143" t="s">
        <v>755</v>
      </c>
      <c r="AT178" s="143" t="s">
        <v>753</v>
      </c>
      <c r="AU178" s="143" t="s">
        <v>663</v>
      </c>
      <c r="AV178" s="143">
        <v>2542</v>
      </c>
      <c r="AW178" s="137" t="s">
        <v>2838</v>
      </c>
      <c r="AX178" s="137" t="s">
        <v>2838</v>
      </c>
      <c r="AY178" s="137" t="s">
        <v>2838</v>
      </c>
      <c r="AZ178" s="137" t="s">
        <v>2838</v>
      </c>
      <c r="BA178" s="137" t="s">
        <v>2838</v>
      </c>
      <c r="BB178" s="137" t="s">
        <v>2838</v>
      </c>
      <c r="BC178" s="137" t="s">
        <v>2838</v>
      </c>
      <c r="BD178" s="137" t="s">
        <v>2838</v>
      </c>
      <c r="BE178" s="137" t="s">
        <v>2838</v>
      </c>
      <c r="BF178" s="137" t="s">
        <v>2838</v>
      </c>
      <c r="BI178" s="137" t="s">
        <v>2486</v>
      </c>
      <c r="BJ178" s="137" t="s">
        <v>2486</v>
      </c>
      <c r="BK178" s="190" t="s">
        <v>2486</v>
      </c>
      <c r="BL178" s="190">
        <v>1</v>
      </c>
      <c r="BM178" s="78" t="s">
        <v>2486</v>
      </c>
      <c r="BO178" s="143" t="s">
        <v>755</v>
      </c>
      <c r="BP178" s="143" t="s">
        <v>753</v>
      </c>
      <c r="BQ178" s="143" t="s">
        <v>663</v>
      </c>
      <c r="BR178" s="143">
        <v>2542</v>
      </c>
      <c r="BY178" s="78" t="s">
        <v>2838</v>
      </c>
    </row>
    <row r="179" spans="1:77" x14ac:dyDescent="0.35">
      <c r="A179" s="143" t="s">
        <v>755</v>
      </c>
      <c r="B179" s="143" t="s">
        <v>753</v>
      </c>
      <c r="C179" s="143" t="s">
        <v>663</v>
      </c>
      <c r="D179" s="143">
        <v>3410</v>
      </c>
      <c r="E179" s="137">
        <v>0.2</v>
      </c>
      <c r="F179" s="137">
        <v>0.78610829999999998</v>
      </c>
      <c r="G179" s="271">
        <v>0.98610819999999999</v>
      </c>
      <c r="H179" s="137" t="s">
        <v>2486</v>
      </c>
      <c r="I179" s="137">
        <v>0.2</v>
      </c>
      <c r="J179" s="137">
        <v>0.8</v>
      </c>
      <c r="K179" s="137">
        <v>1</v>
      </c>
      <c r="M179" s="143" t="s">
        <v>755</v>
      </c>
      <c r="N179" s="143" t="s">
        <v>753</v>
      </c>
      <c r="O179" s="143" t="s">
        <v>663</v>
      </c>
      <c r="P179" s="143">
        <v>3410</v>
      </c>
      <c r="Q179" s="137" t="s">
        <v>2487</v>
      </c>
      <c r="R179" s="137" t="s">
        <v>2486</v>
      </c>
      <c r="S179" s="137" t="s">
        <v>2486</v>
      </c>
      <c r="T179" s="137" t="s">
        <v>2486</v>
      </c>
      <c r="U179" s="137" t="s">
        <v>2487</v>
      </c>
      <c r="V179" s="137" t="s">
        <v>2487</v>
      </c>
      <c r="W179" s="137" t="s">
        <v>2486</v>
      </c>
      <c r="X179" s="137" t="s">
        <v>2486</v>
      </c>
      <c r="Y179" s="137" t="s">
        <v>2486</v>
      </c>
      <c r="Z179" s="137" t="s">
        <v>2486</v>
      </c>
      <c r="AA179" s="137" t="s">
        <v>2486</v>
      </c>
      <c r="AB179" s="137">
        <v>0.72727269999999999</v>
      </c>
      <c r="AD179" s="143" t="s">
        <v>755</v>
      </c>
      <c r="AE179" s="143" t="s">
        <v>753</v>
      </c>
      <c r="AF179" s="143" t="s">
        <v>663</v>
      </c>
      <c r="AG179" s="143">
        <v>3410</v>
      </c>
      <c r="AO179" s="190">
        <v>0.97499999999999998</v>
      </c>
      <c r="AP179" s="190">
        <v>0.97499999999999998</v>
      </c>
      <c r="AQ179" s="78" t="s">
        <v>2486</v>
      </c>
      <c r="AS179" s="143" t="s">
        <v>755</v>
      </c>
      <c r="AT179" s="143" t="s">
        <v>753</v>
      </c>
      <c r="AU179" s="143" t="s">
        <v>663</v>
      </c>
      <c r="AV179" s="143">
        <v>3410</v>
      </c>
      <c r="AW179" s="137" t="s">
        <v>2838</v>
      </c>
      <c r="AX179" s="137" t="s">
        <v>2838</v>
      </c>
      <c r="AY179" s="137" t="s">
        <v>2838</v>
      </c>
      <c r="AZ179" s="137" t="s">
        <v>2838</v>
      </c>
      <c r="BA179" s="137" t="s">
        <v>2838</v>
      </c>
      <c r="BB179" s="137" t="s">
        <v>2838</v>
      </c>
      <c r="BC179" s="137" t="s">
        <v>2838</v>
      </c>
      <c r="BD179" s="137" t="s">
        <v>2838</v>
      </c>
      <c r="BE179" s="137" t="s">
        <v>2838</v>
      </c>
      <c r="BF179" s="137" t="s">
        <v>2838</v>
      </c>
      <c r="BI179" s="137" t="s">
        <v>2486</v>
      </c>
      <c r="BJ179" s="137" t="s">
        <v>2486</v>
      </c>
      <c r="BK179" s="190" t="s">
        <v>2486</v>
      </c>
      <c r="BL179" s="190">
        <v>1</v>
      </c>
      <c r="BM179" s="78" t="s">
        <v>2486</v>
      </c>
      <c r="BO179" s="143" t="s">
        <v>755</v>
      </c>
      <c r="BP179" s="143" t="s">
        <v>753</v>
      </c>
      <c r="BQ179" s="143" t="s">
        <v>663</v>
      </c>
      <c r="BR179" s="143">
        <v>3410</v>
      </c>
      <c r="BY179" s="78" t="s">
        <v>2838</v>
      </c>
    </row>
    <row r="180" spans="1:77" x14ac:dyDescent="0.35">
      <c r="A180" s="143" t="s">
        <v>755</v>
      </c>
      <c r="B180" s="143" t="s">
        <v>753</v>
      </c>
      <c r="C180" s="143" t="s">
        <v>663</v>
      </c>
      <c r="D180" s="143">
        <v>3411</v>
      </c>
      <c r="E180" s="137">
        <v>0.12727269999999999</v>
      </c>
      <c r="F180" s="137">
        <v>0.66516850000000005</v>
      </c>
      <c r="G180" s="271">
        <v>0.79244119999999996</v>
      </c>
      <c r="H180" s="137" t="s">
        <v>2487</v>
      </c>
      <c r="I180" s="137">
        <v>0.13333329999999999</v>
      </c>
      <c r="J180" s="137">
        <v>0</v>
      </c>
      <c r="K180" s="137">
        <v>0.13333329999999999</v>
      </c>
      <c r="M180" s="143" t="s">
        <v>755</v>
      </c>
      <c r="N180" s="143" t="s">
        <v>753</v>
      </c>
      <c r="O180" s="143" t="s">
        <v>663</v>
      </c>
      <c r="P180" s="143">
        <v>3411</v>
      </c>
      <c r="Q180" s="137" t="s">
        <v>2487</v>
      </c>
      <c r="R180" s="137" t="s">
        <v>2486</v>
      </c>
      <c r="S180" s="137" t="s">
        <v>2486</v>
      </c>
      <c r="T180" s="137" t="s">
        <v>2486</v>
      </c>
      <c r="U180" s="137" t="s">
        <v>2487</v>
      </c>
      <c r="V180" s="137" t="s">
        <v>2487</v>
      </c>
      <c r="W180" s="137" t="s">
        <v>2487</v>
      </c>
      <c r="X180" s="137" t="s">
        <v>2487</v>
      </c>
      <c r="Y180" s="137" t="s">
        <v>2486</v>
      </c>
      <c r="Z180" s="137" t="s">
        <v>2486</v>
      </c>
      <c r="AA180" s="137" t="s">
        <v>2487</v>
      </c>
      <c r="AB180" s="137">
        <v>0.45454549999999999</v>
      </c>
      <c r="AD180" s="143" t="s">
        <v>755</v>
      </c>
      <c r="AE180" s="143" t="s">
        <v>753</v>
      </c>
      <c r="AF180" s="143" t="s">
        <v>663</v>
      </c>
      <c r="AG180" s="143">
        <v>3411</v>
      </c>
      <c r="AO180" s="190">
        <v>0.75</v>
      </c>
      <c r="AP180" s="190">
        <v>0.75</v>
      </c>
      <c r="AQ180" s="78" t="s">
        <v>2487</v>
      </c>
      <c r="AS180" s="143" t="s">
        <v>755</v>
      </c>
      <c r="AT180" s="143" t="s">
        <v>753</v>
      </c>
      <c r="AU180" s="143" t="s">
        <v>663</v>
      </c>
      <c r="AV180" s="143">
        <v>3411</v>
      </c>
      <c r="AW180" s="137" t="s">
        <v>2838</v>
      </c>
      <c r="AX180" s="137" t="s">
        <v>2838</v>
      </c>
      <c r="AY180" s="137" t="s">
        <v>2838</v>
      </c>
      <c r="AZ180" s="137" t="s">
        <v>2838</v>
      </c>
      <c r="BA180" s="137" t="s">
        <v>2838</v>
      </c>
      <c r="BB180" s="137" t="s">
        <v>2838</v>
      </c>
      <c r="BC180" s="137" t="s">
        <v>2838</v>
      </c>
      <c r="BD180" s="137" t="s">
        <v>2838</v>
      </c>
      <c r="BE180" s="137" t="s">
        <v>2838</v>
      </c>
      <c r="BF180" s="137" t="s">
        <v>2838</v>
      </c>
      <c r="BI180" s="137" t="s">
        <v>2487</v>
      </c>
      <c r="BJ180" s="137" t="s">
        <v>2487</v>
      </c>
      <c r="BK180" s="190" t="s">
        <v>2487</v>
      </c>
      <c r="BL180" s="190">
        <v>0</v>
      </c>
      <c r="BM180" s="78" t="s">
        <v>2487</v>
      </c>
      <c r="BO180" s="143" t="s">
        <v>755</v>
      </c>
      <c r="BP180" s="143" t="s">
        <v>753</v>
      </c>
      <c r="BQ180" s="143" t="s">
        <v>663</v>
      </c>
      <c r="BR180" s="143">
        <v>3411</v>
      </c>
      <c r="BY180" s="78" t="s">
        <v>2838</v>
      </c>
    </row>
    <row r="181" spans="1:77" x14ac:dyDescent="0.35">
      <c r="A181" s="143" t="s">
        <v>755</v>
      </c>
      <c r="B181" s="143" t="s">
        <v>753</v>
      </c>
      <c r="C181" s="143" t="s">
        <v>663</v>
      </c>
      <c r="D181" s="143">
        <v>3702</v>
      </c>
      <c r="E181" s="137">
        <v>0.14545449999999999</v>
      </c>
      <c r="F181" s="137">
        <v>0.71338100000000004</v>
      </c>
      <c r="G181" s="271">
        <v>0.85883549999999997</v>
      </c>
      <c r="H181" s="137" t="s">
        <v>2487</v>
      </c>
      <c r="I181" s="137">
        <v>0.15</v>
      </c>
      <c r="J181" s="137">
        <v>0</v>
      </c>
      <c r="K181" s="137">
        <v>0.15</v>
      </c>
      <c r="M181" s="143" t="s">
        <v>755</v>
      </c>
      <c r="N181" s="143" t="s">
        <v>753</v>
      </c>
      <c r="O181" s="143" t="s">
        <v>663</v>
      </c>
      <c r="P181" s="143">
        <v>3702</v>
      </c>
      <c r="Q181" s="137" t="s">
        <v>2487</v>
      </c>
      <c r="R181" s="137" t="s">
        <v>2486</v>
      </c>
      <c r="S181" s="137" t="s">
        <v>2487</v>
      </c>
      <c r="T181" s="137" t="s">
        <v>2486</v>
      </c>
      <c r="U181" s="137" t="s">
        <v>2487</v>
      </c>
      <c r="V181" s="137" t="s">
        <v>2487</v>
      </c>
      <c r="W181" s="137" t="s">
        <v>2487</v>
      </c>
      <c r="X181" s="137" t="s">
        <v>2486</v>
      </c>
      <c r="Y181" s="137" t="s">
        <v>2486</v>
      </c>
      <c r="Z181" s="137" t="s">
        <v>2486</v>
      </c>
      <c r="AA181" s="137" t="s">
        <v>2487</v>
      </c>
      <c r="AB181" s="137">
        <v>0.45454549999999999</v>
      </c>
      <c r="AD181" s="143" t="s">
        <v>755</v>
      </c>
      <c r="AE181" s="143" t="s">
        <v>753</v>
      </c>
      <c r="AF181" s="143" t="s">
        <v>663</v>
      </c>
      <c r="AG181" s="143">
        <v>3702</v>
      </c>
      <c r="AO181" s="190">
        <v>0.72499999999999998</v>
      </c>
      <c r="AP181" s="190">
        <v>0.72499999999999998</v>
      </c>
      <c r="AQ181" s="78" t="s">
        <v>2487</v>
      </c>
      <c r="AS181" s="143" t="s">
        <v>755</v>
      </c>
      <c r="AT181" s="143" t="s">
        <v>753</v>
      </c>
      <c r="AU181" s="143" t="s">
        <v>663</v>
      </c>
      <c r="AV181" s="143">
        <v>3702</v>
      </c>
      <c r="AW181" s="137" t="s">
        <v>2838</v>
      </c>
      <c r="AX181" s="137" t="s">
        <v>2838</v>
      </c>
      <c r="AY181" s="137" t="s">
        <v>2838</v>
      </c>
      <c r="AZ181" s="137" t="s">
        <v>2838</v>
      </c>
      <c r="BA181" s="137" t="s">
        <v>2838</v>
      </c>
      <c r="BB181" s="137" t="s">
        <v>2838</v>
      </c>
      <c r="BC181" s="137" t="s">
        <v>2838</v>
      </c>
      <c r="BD181" s="137" t="s">
        <v>2838</v>
      </c>
      <c r="BE181" s="137" t="s">
        <v>2838</v>
      </c>
      <c r="BF181" s="137" t="s">
        <v>2838</v>
      </c>
      <c r="BI181" s="137" t="s">
        <v>2487</v>
      </c>
      <c r="BJ181" s="137" t="s">
        <v>2487</v>
      </c>
      <c r="BK181" s="190" t="s">
        <v>2487</v>
      </c>
      <c r="BL181" s="190">
        <v>0</v>
      </c>
      <c r="BM181" s="78" t="s">
        <v>2487</v>
      </c>
      <c r="BO181" s="143" t="s">
        <v>755</v>
      </c>
      <c r="BP181" s="143" t="s">
        <v>753</v>
      </c>
      <c r="BQ181" s="143" t="s">
        <v>663</v>
      </c>
      <c r="BR181" s="143">
        <v>3702</v>
      </c>
      <c r="BY181" s="78" t="s">
        <v>2838</v>
      </c>
    </row>
    <row r="182" spans="1:77" x14ac:dyDescent="0.35">
      <c r="A182" s="143" t="s">
        <v>2847</v>
      </c>
      <c r="B182" s="143" t="s">
        <v>751</v>
      </c>
      <c r="C182" s="143" t="s">
        <v>663</v>
      </c>
      <c r="D182" s="143">
        <v>2287</v>
      </c>
      <c r="E182" s="137"/>
      <c r="F182" s="137">
        <v>0.44727270000000002</v>
      </c>
      <c r="G182" s="271">
        <v>0.55909089999999995</v>
      </c>
      <c r="H182" s="137" t="s">
        <v>2487</v>
      </c>
      <c r="I182" s="137"/>
      <c r="J182" s="137">
        <v>0</v>
      </c>
      <c r="K182" s="137">
        <v>0</v>
      </c>
      <c r="M182" s="143" t="s">
        <v>2847</v>
      </c>
      <c r="N182" s="143" t="s">
        <v>751</v>
      </c>
      <c r="O182" s="143" t="s">
        <v>663</v>
      </c>
      <c r="P182" s="143">
        <v>2287</v>
      </c>
      <c r="Q182" s="137" t="s">
        <v>2838</v>
      </c>
      <c r="R182" s="137" t="s">
        <v>2838</v>
      </c>
      <c r="S182" s="137" t="s">
        <v>2838</v>
      </c>
      <c r="T182" s="137" t="s">
        <v>2838</v>
      </c>
      <c r="U182" s="137" t="s">
        <v>2838</v>
      </c>
      <c r="V182" s="137" t="s">
        <v>2838</v>
      </c>
      <c r="W182" s="137" t="s">
        <v>2838</v>
      </c>
      <c r="X182" s="137" t="s">
        <v>2838</v>
      </c>
      <c r="Y182" s="137" t="s">
        <v>2838</v>
      </c>
      <c r="Z182" s="137" t="s">
        <v>2838</v>
      </c>
      <c r="AA182" s="137" t="s">
        <v>2838</v>
      </c>
      <c r="AB182" s="137">
        <v>0.45454549999999999</v>
      </c>
      <c r="AD182" s="143" t="s">
        <v>2847</v>
      </c>
      <c r="AE182" s="143" t="s">
        <v>751</v>
      </c>
      <c r="AF182" s="143" t="s">
        <v>663</v>
      </c>
      <c r="AG182" s="143">
        <v>2287</v>
      </c>
      <c r="AQ182" s="78" t="s">
        <v>2838</v>
      </c>
      <c r="AS182" s="143" t="s">
        <v>2847</v>
      </c>
      <c r="AT182" s="143" t="s">
        <v>751</v>
      </c>
      <c r="AU182" s="143" t="s">
        <v>663</v>
      </c>
      <c r="AV182" s="143">
        <v>2287</v>
      </c>
      <c r="AW182" s="137" t="s">
        <v>2838</v>
      </c>
      <c r="AX182" s="137" t="s">
        <v>2838</v>
      </c>
      <c r="AY182" s="137" t="s">
        <v>2838</v>
      </c>
      <c r="AZ182" s="137" t="s">
        <v>2838</v>
      </c>
      <c r="BA182" s="137" t="s">
        <v>2838</v>
      </c>
      <c r="BB182" s="137" t="s">
        <v>2838</v>
      </c>
      <c r="BC182" s="137" t="s">
        <v>2838</v>
      </c>
      <c r="BD182" s="137" t="s">
        <v>2838</v>
      </c>
      <c r="BE182" s="137" t="s">
        <v>2838</v>
      </c>
      <c r="BF182" s="137" t="s">
        <v>2838</v>
      </c>
      <c r="BI182" s="137" t="s">
        <v>2838</v>
      </c>
      <c r="BJ182" s="137" t="s">
        <v>2838</v>
      </c>
      <c r="BK182" s="190" t="s">
        <v>2838</v>
      </c>
      <c r="BM182" s="78" t="s">
        <v>2838</v>
      </c>
      <c r="BO182" s="143" t="s">
        <v>2847</v>
      </c>
      <c r="BP182" s="143" t="s">
        <v>751</v>
      </c>
      <c r="BQ182" s="143" t="s">
        <v>663</v>
      </c>
      <c r="BR182" s="143">
        <v>2287</v>
      </c>
      <c r="BY182" s="78" t="s">
        <v>2838</v>
      </c>
    </row>
    <row r="183" spans="1:77" x14ac:dyDescent="0.35">
      <c r="A183" s="143" t="s">
        <v>2847</v>
      </c>
      <c r="B183" s="143" t="s">
        <v>751</v>
      </c>
      <c r="C183" s="143" t="s">
        <v>663</v>
      </c>
      <c r="D183" s="143">
        <v>2289</v>
      </c>
      <c r="E183" s="137"/>
      <c r="F183" s="137">
        <v>0.44848480000000002</v>
      </c>
      <c r="G183" s="271">
        <v>0.5606061</v>
      </c>
      <c r="H183" s="137" t="s">
        <v>2487</v>
      </c>
      <c r="I183" s="137"/>
      <c r="J183" s="137">
        <v>0.3411111</v>
      </c>
      <c r="K183" s="137">
        <v>0.42638890000000002</v>
      </c>
      <c r="M183" s="143" t="s">
        <v>2847</v>
      </c>
      <c r="N183" s="143" t="s">
        <v>751</v>
      </c>
      <c r="O183" s="143" t="s">
        <v>663</v>
      </c>
      <c r="P183" s="143">
        <v>2289</v>
      </c>
      <c r="Q183" s="137" t="s">
        <v>2838</v>
      </c>
      <c r="R183" s="137" t="s">
        <v>2838</v>
      </c>
      <c r="S183" s="137" t="s">
        <v>2838</v>
      </c>
      <c r="T183" s="137" t="s">
        <v>2838</v>
      </c>
      <c r="U183" s="137" t="s">
        <v>2838</v>
      </c>
      <c r="V183" s="137" t="s">
        <v>2838</v>
      </c>
      <c r="W183" s="137" t="s">
        <v>2838</v>
      </c>
      <c r="X183" s="137" t="s">
        <v>2838</v>
      </c>
      <c r="Y183" s="137" t="s">
        <v>2838</v>
      </c>
      <c r="Z183" s="137" t="s">
        <v>2838</v>
      </c>
      <c r="AA183" s="137" t="s">
        <v>2838</v>
      </c>
      <c r="AB183" s="137">
        <v>0.63636360000000003</v>
      </c>
      <c r="AD183" s="143" t="s">
        <v>2847</v>
      </c>
      <c r="AE183" s="143" t="s">
        <v>751</v>
      </c>
      <c r="AF183" s="143" t="s">
        <v>663</v>
      </c>
      <c r="AG183" s="143">
        <v>2289</v>
      </c>
      <c r="AQ183" s="78" t="s">
        <v>2838</v>
      </c>
      <c r="AS183" s="143" t="s">
        <v>2847</v>
      </c>
      <c r="AT183" s="143" t="s">
        <v>751</v>
      </c>
      <c r="AU183" s="143" t="s">
        <v>663</v>
      </c>
      <c r="AV183" s="143">
        <v>2289</v>
      </c>
      <c r="AW183" s="137" t="s">
        <v>2838</v>
      </c>
      <c r="AX183" s="137" t="s">
        <v>2838</v>
      </c>
      <c r="AY183" s="137" t="s">
        <v>2838</v>
      </c>
      <c r="AZ183" s="137" t="s">
        <v>2838</v>
      </c>
      <c r="BA183" s="137" t="s">
        <v>2838</v>
      </c>
      <c r="BB183" s="137" t="s">
        <v>2838</v>
      </c>
      <c r="BC183" s="137" t="s">
        <v>2838</v>
      </c>
      <c r="BD183" s="137" t="s">
        <v>2838</v>
      </c>
      <c r="BE183" s="137" t="s">
        <v>2838</v>
      </c>
      <c r="BF183" s="137" t="s">
        <v>2838</v>
      </c>
      <c r="BI183" s="137" t="s">
        <v>2838</v>
      </c>
      <c r="BJ183" s="137" t="s">
        <v>2838</v>
      </c>
      <c r="BK183" s="190" t="s">
        <v>2838</v>
      </c>
      <c r="BM183" s="78" t="s">
        <v>2838</v>
      </c>
      <c r="BO183" s="143" t="s">
        <v>2847</v>
      </c>
      <c r="BP183" s="143" t="s">
        <v>751</v>
      </c>
      <c r="BQ183" s="143" t="s">
        <v>663</v>
      </c>
      <c r="BR183" s="143">
        <v>2289</v>
      </c>
      <c r="BY183" s="78" t="s">
        <v>2838</v>
      </c>
    </row>
    <row r="184" spans="1:77" x14ac:dyDescent="0.35">
      <c r="A184" s="143" t="s">
        <v>2847</v>
      </c>
      <c r="B184" s="143" t="s">
        <v>751</v>
      </c>
      <c r="C184" s="143" t="s">
        <v>663</v>
      </c>
      <c r="D184" s="143">
        <v>2867</v>
      </c>
      <c r="E184" s="137"/>
      <c r="F184" s="137">
        <v>0.31515149999999997</v>
      </c>
      <c r="G184" s="271">
        <v>0.3939394</v>
      </c>
      <c r="H184" s="137" t="s">
        <v>2487</v>
      </c>
      <c r="I184" s="137"/>
      <c r="J184" s="137">
        <v>0</v>
      </c>
      <c r="K184" s="137">
        <v>0</v>
      </c>
      <c r="M184" s="143" t="s">
        <v>2847</v>
      </c>
      <c r="N184" s="143" t="s">
        <v>751</v>
      </c>
      <c r="O184" s="143" t="s">
        <v>663</v>
      </c>
      <c r="P184" s="143">
        <v>2867</v>
      </c>
      <c r="Q184" s="137" t="s">
        <v>2838</v>
      </c>
      <c r="R184" s="137" t="s">
        <v>2838</v>
      </c>
      <c r="S184" s="137" t="s">
        <v>2838</v>
      </c>
      <c r="T184" s="137" t="s">
        <v>2838</v>
      </c>
      <c r="U184" s="137" t="s">
        <v>2838</v>
      </c>
      <c r="V184" s="137" t="s">
        <v>2838</v>
      </c>
      <c r="W184" s="137" t="s">
        <v>2838</v>
      </c>
      <c r="X184" s="137" t="s">
        <v>2838</v>
      </c>
      <c r="Y184" s="137" t="s">
        <v>2838</v>
      </c>
      <c r="Z184" s="137" t="s">
        <v>2838</v>
      </c>
      <c r="AA184" s="137" t="s">
        <v>2838</v>
      </c>
      <c r="AB184" s="137">
        <v>0.54545460000000001</v>
      </c>
      <c r="AD184" s="143" t="s">
        <v>2847</v>
      </c>
      <c r="AE184" s="143" t="s">
        <v>751</v>
      </c>
      <c r="AF184" s="143" t="s">
        <v>663</v>
      </c>
      <c r="AG184" s="143">
        <v>2867</v>
      </c>
      <c r="AQ184" s="78" t="s">
        <v>2838</v>
      </c>
      <c r="AS184" s="143" t="s">
        <v>2847</v>
      </c>
      <c r="AT184" s="143" t="s">
        <v>751</v>
      </c>
      <c r="AU184" s="143" t="s">
        <v>663</v>
      </c>
      <c r="AV184" s="143">
        <v>2867</v>
      </c>
      <c r="AW184" s="137" t="s">
        <v>2838</v>
      </c>
      <c r="AX184" s="137" t="s">
        <v>2838</v>
      </c>
      <c r="AY184" s="137" t="s">
        <v>2838</v>
      </c>
      <c r="AZ184" s="137" t="s">
        <v>2838</v>
      </c>
      <c r="BA184" s="137" t="s">
        <v>2838</v>
      </c>
      <c r="BB184" s="137" t="s">
        <v>2838</v>
      </c>
      <c r="BC184" s="137" t="s">
        <v>2838</v>
      </c>
      <c r="BD184" s="137" t="s">
        <v>2838</v>
      </c>
      <c r="BE184" s="137" t="s">
        <v>2838</v>
      </c>
      <c r="BF184" s="137" t="s">
        <v>2838</v>
      </c>
      <c r="BI184" s="137" t="s">
        <v>2838</v>
      </c>
      <c r="BJ184" s="137" t="s">
        <v>2838</v>
      </c>
      <c r="BK184" s="190" t="s">
        <v>2838</v>
      </c>
      <c r="BM184" s="78" t="s">
        <v>2838</v>
      </c>
      <c r="BO184" s="143" t="s">
        <v>2847</v>
      </c>
      <c r="BP184" s="143" t="s">
        <v>751</v>
      </c>
      <c r="BQ184" s="143" t="s">
        <v>663</v>
      </c>
      <c r="BR184" s="143">
        <v>2867</v>
      </c>
      <c r="BY184" s="78" t="s">
        <v>2838</v>
      </c>
    </row>
    <row r="185" spans="1:77" x14ac:dyDescent="0.35">
      <c r="A185" s="143" t="s">
        <v>2847</v>
      </c>
      <c r="B185" s="143" t="s">
        <v>751</v>
      </c>
      <c r="C185" s="143" t="s">
        <v>663</v>
      </c>
      <c r="D185" s="143">
        <v>4658</v>
      </c>
      <c r="E185" s="137"/>
      <c r="F185" s="137">
        <v>0.58545460000000005</v>
      </c>
      <c r="G185" s="271">
        <v>0.73181819999999997</v>
      </c>
      <c r="H185" s="137" t="s">
        <v>2487</v>
      </c>
      <c r="I185" s="137"/>
      <c r="J185" s="137">
        <v>0.21</v>
      </c>
      <c r="K185" s="137">
        <v>0.26250000000000001</v>
      </c>
      <c r="M185" s="143" t="s">
        <v>2847</v>
      </c>
      <c r="N185" s="143" t="s">
        <v>751</v>
      </c>
      <c r="O185" s="143" t="s">
        <v>663</v>
      </c>
      <c r="P185" s="143">
        <v>4658</v>
      </c>
      <c r="Q185" s="137" t="s">
        <v>2838</v>
      </c>
      <c r="R185" s="137" t="s">
        <v>2838</v>
      </c>
      <c r="S185" s="137" t="s">
        <v>2838</v>
      </c>
      <c r="T185" s="137" t="s">
        <v>2838</v>
      </c>
      <c r="U185" s="137" t="s">
        <v>2838</v>
      </c>
      <c r="V185" s="137" t="s">
        <v>2838</v>
      </c>
      <c r="W185" s="137" t="s">
        <v>2838</v>
      </c>
      <c r="X185" s="137" t="s">
        <v>2838</v>
      </c>
      <c r="Y185" s="137" t="s">
        <v>2838</v>
      </c>
      <c r="Z185" s="137" t="s">
        <v>2838</v>
      </c>
      <c r="AA185" s="137" t="s">
        <v>2838</v>
      </c>
      <c r="AB185" s="137">
        <v>0.36363640000000003</v>
      </c>
      <c r="AD185" s="143" t="s">
        <v>2847</v>
      </c>
      <c r="AE185" s="143" t="s">
        <v>751</v>
      </c>
      <c r="AF185" s="143" t="s">
        <v>663</v>
      </c>
      <c r="AG185" s="143">
        <v>4658</v>
      </c>
      <c r="AQ185" s="78" t="s">
        <v>2838</v>
      </c>
      <c r="AS185" s="143" t="s">
        <v>2847</v>
      </c>
      <c r="AT185" s="143" t="s">
        <v>751</v>
      </c>
      <c r="AU185" s="143" t="s">
        <v>663</v>
      </c>
      <c r="AV185" s="143">
        <v>4658</v>
      </c>
      <c r="AW185" s="137" t="s">
        <v>2838</v>
      </c>
      <c r="AX185" s="137" t="s">
        <v>2838</v>
      </c>
      <c r="AY185" s="137" t="s">
        <v>2838</v>
      </c>
      <c r="AZ185" s="137" t="s">
        <v>2838</v>
      </c>
      <c r="BA185" s="137" t="s">
        <v>2838</v>
      </c>
      <c r="BB185" s="137" t="s">
        <v>2838</v>
      </c>
      <c r="BC185" s="137" t="s">
        <v>2838</v>
      </c>
      <c r="BD185" s="137" t="s">
        <v>2838</v>
      </c>
      <c r="BE185" s="137" t="s">
        <v>2838</v>
      </c>
      <c r="BF185" s="137" t="s">
        <v>2838</v>
      </c>
      <c r="BI185" s="137" t="s">
        <v>2838</v>
      </c>
      <c r="BJ185" s="137" t="s">
        <v>2838</v>
      </c>
      <c r="BK185" s="190" t="s">
        <v>2838</v>
      </c>
      <c r="BM185" s="78" t="s">
        <v>2838</v>
      </c>
      <c r="BO185" s="143" t="s">
        <v>2847</v>
      </c>
      <c r="BP185" s="143" t="s">
        <v>751</v>
      </c>
      <c r="BQ185" s="143" t="s">
        <v>663</v>
      </c>
      <c r="BR185" s="143">
        <v>4658</v>
      </c>
      <c r="BY185" s="78" t="s">
        <v>2838</v>
      </c>
    </row>
    <row r="186" spans="1:77" x14ac:dyDescent="0.35">
      <c r="A186" s="143" t="s">
        <v>2847</v>
      </c>
      <c r="B186" s="143" t="s">
        <v>751</v>
      </c>
      <c r="C186" s="143" t="s">
        <v>663</v>
      </c>
      <c r="D186" s="143">
        <v>4660</v>
      </c>
      <c r="E186" s="137"/>
      <c r="F186" s="137">
        <v>0.44606059999999997</v>
      </c>
      <c r="G186" s="271">
        <v>0.55757579999999995</v>
      </c>
      <c r="H186" s="137" t="s">
        <v>2487</v>
      </c>
      <c r="I186" s="137"/>
      <c r="J186" s="137">
        <v>0</v>
      </c>
      <c r="K186" s="137">
        <v>0</v>
      </c>
      <c r="M186" s="143" t="s">
        <v>2847</v>
      </c>
      <c r="N186" s="143" t="s">
        <v>751</v>
      </c>
      <c r="O186" s="143" t="s">
        <v>663</v>
      </c>
      <c r="P186" s="143">
        <v>4660</v>
      </c>
      <c r="Q186" s="137" t="s">
        <v>2838</v>
      </c>
      <c r="R186" s="137" t="s">
        <v>2838</v>
      </c>
      <c r="S186" s="137" t="s">
        <v>2838</v>
      </c>
      <c r="T186" s="137" t="s">
        <v>2838</v>
      </c>
      <c r="U186" s="137" t="s">
        <v>2838</v>
      </c>
      <c r="V186" s="137" t="s">
        <v>2838</v>
      </c>
      <c r="W186" s="137" t="s">
        <v>2838</v>
      </c>
      <c r="X186" s="137" t="s">
        <v>2838</v>
      </c>
      <c r="Y186" s="137" t="s">
        <v>2838</v>
      </c>
      <c r="Z186" s="137" t="s">
        <v>2838</v>
      </c>
      <c r="AA186" s="137" t="s">
        <v>2838</v>
      </c>
      <c r="AB186" s="137">
        <v>0.72727269999999999</v>
      </c>
      <c r="AD186" s="143" t="s">
        <v>2847</v>
      </c>
      <c r="AE186" s="143" t="s">
        <v>751</v>
      </c>
      <c r="AF186" s="143" t="s">
        <v>663</v>
      </c>
      <c r="AG186" s="143">
        <v>4660</v>
      </c>
      <c r="AQ186" s="78" t="s">
        <v>2838</v>
      </c>
      <c r="AS186" s="143" t="s">
        <v>2847</v>
      </c>
      <c r="AT186" s="143" t="s">
        <v>751</v>
      </c>
      <c r="AU186" s="143" t="s">
        <v>663</v>
      </c>
      <c r="AV186" s="143">
        <v>4660</v>
      </c>
      <c r="AW186" s="137" t="s">
        <v>2838</v>
      </c>
      <c r="AX186" s="137" t="s">
        <v>2838</v>
      </c>
      <c r="AY186" s="137" t="s">
        <v>2838</v>
      </c>
      <c r="AZ186" s="137" t="s">
        <v>2838</v>
      </c>
      <c r="BA186" s="137" t="s">
        <v>2838</v>
      </c>
      <c r="BB186" s="137" t="s">
        <v>2838</v>
      </c>
      <c r="BC186" s="137" t="s">
        <v>2838</v>
      </c>
      <c r="BD186" s="137" t="s">
        <v>2838</v>
      </c>
      <c r="BE186" s="137" t="s">
        <v>2838</v>
      </c>
      <c r="BF186" s="137" t="s">
        <v>2838</v>
      </c>
      <c r="BI186" s="137" t="s">
        <v>2838</v>
      </c>
      <c r="BJ186" s="137" t="s">
        <v>2838</v>
      </c>
      <c r="BK186" s="190" t="s">
        <v>2838</v>
      </c>
      <c r="BM186" s="78" t="s">
        <v>2838</v>
      </c>
      <c r="BO186" s="143" t="s">
        <v>2847</v>
      </c>
      <c r="BP186" s="143" t="s">
        <v>751</v>
      </c>
      <c r="BQ186" s="143" t="s">
        <v>663</v>
      </c>
      <c r="BR186" s="143">
        <v>4660</v>
      </c>
      <c r="BY186" s="78" t="s">
        <v>2838</v>
      </c>
    </row>
    <row r="187" spans="1:77" x14ac:dyDescent="0.35">
      <c r="A187" s="143" t="s">
        <v>2847</v>
      </c>
      <c r="B187" s="143" t="s">
        <v>751</v>
      </c>
      <c r="C187" s="143" t="s">
        <v>663</v>
      </c>
      <c r="D187" s="143">
        <v>4661</v>
      </c>
      <c r="E187" s="137"/>
      <c r="F187" s="137">
        <v>0.43636360000000002</v>
      </c>
      <c r="G187" s="271">
        <v>0.54545460000000001</v>
      </c>
      <c r="H187" s="137" t="s">
        <v>2487</v>
      </c>
      <c r="I187" s="137"/>
      <c r="J187" s="137">
        <v>6.6666699999999995E-2</v>
      </c>
      <c r="K187" s="137">
        <v>8.3333299999999999E-2</v>
      </c>
      <c r="M187" s="143" t="s">
        <v>2847</v>
      </c>
      <c r="N187" s="143" t="s">
        <v>751</v>
      </c>
      <c r="O187" s="143" t="s">
        <v>663</v>
      </c>
      <c r="P187" s="143">
        <v>4661</v>
      </c>
      <c r="Q187" s="137" t="s">
        <v>2838</v>
      </c>
      <c r="R187" s="137" t="s">
        <v>2838</v>
      </c>
      <c r="S187" s="137" t="s">
        <v>2838</v>
      </c>
      <c r="T187" s="137" t="s">
        <v>2838</v>
      </c>
      <c r="U187" s="137" t="s">
        <v>2838</v>
      </c>
      <c r="V187" s="137" t="s">
        <v>2838</v>
      </c>
      <c r="W187" s="137" t="s">
        <v>2838</v>
      </c>
      <c r="X187" s="137" t="s">
        <v>2838</v>
      </c>
      <c r="Y187" s="137" t="s">
        <v>2838</v>
      </c>
      <c r="Z187" s="137" t="s">
        <v>2838</v>
      </c>
      <c r="AA187" s="137" t="s">
        <v>2838</v>
      </c>
      <c r="AB187" s="137">
        <v>0.54545460000000001</v>
      </c>
      <c r="AD187" s="143" t="s">
        <v>2847</v>
      </c>
      <c r="AE187" s="143" t="s">
        <v>751</v>
      </c>
      <c r="AF187" s="143" t="s">
        <v>663</v>
      </c>
      <c r="AG187" s="143">
        <v>4661</v>
      </c>
      <c r="AQ187" s="78" t="s">
        <v>2838</v>
      </c>
      <c r="AS187" s="143" t="s">
        <v>2847</v>
      </c>
      <c r="AT187" s="143" t="s">
        <v>751</v>
      </c>
      <c r="AU187" s="143" t="s">
        <v>663</v>
      </c>
      <c r="AV187" s="143">
        <v>4661</v>
      </c>
      <c r="AW187" s="137" t="s">
        <v>2838</v>
      </c>
      <c r="AX187" s="137" t="s">
        <v>2838</v>
      </c>
      <c r="AY187" s="137" t="s">
        <v>2838</v>
      </c>
      <c r="AZ187" s="137" t="s">
        <v>2838</v>
      </c>
      <c r="BA187" s="137" t="s">
        <v>2838</v>
      </c>
      <c r="BB187" s="137" t="s">
        <v>2838</v>
      </c>
      <c r="BC187" s="137" t="s">
        <v>2838</v>
      </c>
      <c r="BD187" s="137" t="s">
        <v>2838</v>
      </c>
      <c r="BE187" s="137" t="s">
        <v>2838</v>
      </c>
      <c r="BF187" s="137" t="s">
        <v>2838</v>
      </c>
      <c r="BI187" s="137" t="s">
        <v>2838</v>
      </c>
      <c r="BJ187" s="137" t="s">
        <v>2838</v>
      </c>
      <c r="BK187" s="190" t="s">
        <v>2838</v>
      </c>
      <c r="BM187" s="78" t="s">
        <v>2838</v>
      </c>
      <c r="BO187" s="143" t="s">
        <v>2847</v>
      </c>
      <c r="BP187" s="143" t="s">
        <v>751</v>
      </c>
      <c r="BQ187" s="143" t="s">
        <v>663</v>
      </c>
      <c r="BR187" s="143">
        <v>4661</v>
      </c>
      <c r="BY187" s="78" t="s">
        <v>2838</v>
      </c>
    </row>
    <row r="188" spans="1:77" x14ac:dyDescent="0.35">
      <c r="A188" s="143" t="s">
        <v>2847</v>
      </c>
      <c r="B188" s="143" t="s">
        <v>751</v>
      </c>
      <c r="C188" s="143" t="s">
        <v>663</v>
      </c>
      <c r="D188" s="143">
        <v>4663</v>
      </c>
      <c r="E188" s="137"/>
      <c r="F188" s="137">
        <v>0.46060610000000002</v>
      </c>
      <c r="G188" s="271">
        <v>0.57575759999999998</v>
      </c>
      <c r="H188" s="137" t="s">
        <v>2487</v>
      </c>
      <c r="I188" s="137"/>
      <c r="J188" s="137">
        <v>0.2111111</v>
      </c>
      <c r="K188" s="137">
        <v>0.26388889999999998</v>
      </c>
      <c r="M188" s="143" t="s">
        <v>2847</v>
      </c>
      <c r="N188" s="143" t="s">
        <v>751</v>
      </c>
      <c r="O188" s="143" t="s">
        <v>663</v>
      </c>
      <c r="P188" s="143">
        <v>4663</v>
      </c>
      <c r="Q188" s="137" t="s">
        <v>2838</v>
      </c>
      <c r="R188" s="137" t="s">
        <v>2838</v>
      </c>
      <c r="S188" s="137" t="s">
        <v>2838</v>
      </c>
      <c r="T188" s="137" t="s">
        <v>2838</v>
      </c>
      <c r="U188" s="137" t="s">
        <v>2838</v>
      </c>
      <c r="V188" s="137" t="s">
        <v>2838</v>
      </c>
      <c r="W188" s="137" t="s">
        <v>2838</v>
      </c>
      <c r="X188" s="137" t="s">
        <v>2838</v>
      </c>
      <c r="Y188" s="137" t="s">
        <v>2838</v>
      </c>
      <c r="Z188" s="137" t="s">
        <v>2838</v>
      </c>
      <c r="AA188" s="137" t="s">
        <v>2838</v>
      </c>
      <c r="AB188" s="137">
        <v>0.63636360000000003</v>
      </c>
      <c r="AD188" s="143" t="s">
        <v>2847</v>
      </c>
      <c r="AE188" s="143" t="s">
        <v>751</v>
      </c>
      <c r="AF188" s="143" t="s">
        <v>663</v>
      </c>
      <c r="AG188" s="143">
        <v>4663</v>
      </c>
      <c r="AQ188" s="78" t="s">
        <v>2838</v>
      </c>
      <c r="AS188" s="143" t="s">
        <v>2847</v>
      </c>
      <c r="AT188" s="143" t="s">
        <v>751</v>
      </c>
      <c r="AU188" s="143" t="s">
        <v>663</v>
      </c>
      <c r="AV188" s="143">
        <v>4663</v>
      </c>
      <c r="AW188" s="137" t="s">
        <v>2838</v>
      </c>
      <c r="AX188" s="137" t="s">
        <v>2838</v>
      </c>
      <c r="AY188" s="137" t="s">
        <v>2838</v>
      </c>
      <c r="AZ188" s="137" t="s">
        <v>2838</v>
      </c>
      <c r="BA188" s="137" t="s">
        <v>2838</v>
      </c>
      <c r="BB188" s="137" t="s">
        <v>2838</v>
      </c>
      <c r="BC188" s="137" t="s">
        <v>2838</v>
      </c>
      <c r="BD188" s="137" t="s">
        <v>2838</v>
      </c>
      <c r="BE188" s="137" t="s">
        <v>2838</v>
      </c>
      <c r="BF188" s="137" t="s">
        <v>2838</v>
      </c>
      <c r="BI188" s="137" t="s">
        <v>2838</v>
      </c>
      <c r="BJ188" s="137" t="s">
        <v>2838</v>
      </c>
      <c r="BK188" s="190" t="s">
        <v>2838</v>
      </c>
      <c r="BM188" s="78" t="s">
        <v>2838</v>
      </c>
      <c r="BO188" s="143" t="s">
        <v>2847</v>
      </c>
      <c r="BP188" s="143" t="s">
        <v>751</v>
      </c>
      <c r="BQ188" s="143" t="s">
        <v>663</v>
      </c>
      <c r="BR188" s="143">
        <v>4663</v>
      </c>
      <c r="BY188" s="78" t="s">
        <v>2838</v>
      </c>
    </row>
    <row r="189" spans="1:77" x14ac:dyDescent="0.35">
      <c r="A189" s="143" t="s">
        <v>2848</v>
      </c>
      <c r="B189" s="143" t="s">
        <v>728</v>
      </c>
      <c r="C189" s="143" t="s">
        <v>663</v>
      </c>
      <c r="D189" s="143">
        <v>2287</v>
      </c>
      <c r="E189" s="137">
        <v>0.16363639999999999</v>
      </c>
      <c r="F189" s="137">
        <v>0.50909090000000001</v>
      </c>
      <c r="G189" s="271">
        <v>0.67272730000000003</v>
      </c>
      <c r="H189" s="137" t="s">
        <v>2487</v>
      </c>
      <c r="I189" s="137">
        <v>0.1</v>
      </c>
      <c r="J189" s="137">
        <v>0</v>
      </c>
      <c r="K189" s="137">
        <v>0.1</v>
      </c>
      <c r="M189" s="143" t="s">
        <v>2848</v>
      </c>
      <c r="N189" s="143" t="s">
        <v>728</v>
      </c>
      <c r="O189" s="143" t="s">
        <v>663</v>
      </c>
      <c r="P189" s="143">
        <v>2287</v>
      </c>
      <c r="Q189" s="137" t="s">
        <v>2487</v>
      </c>
      <c r="R189" s="137" t="s">
        <v>2487</v>
      </c>
      <c r="S189" s="137" t="s">
        <v>2486</v>
      </c>
      <c r="T189" s="137" t="s">
        <v>2486</v>
      </c>
      <c r="U189" s="137" t="s">
        <v>2487</v>
      </c>
      <c r="V189" s="137" t="s">
        <v>2487</v>
      </c>
      <c r="W189" s="137" t="s">
        <v>2486</v>
      </c>
      <c r="X189" s="137" t="s">
        <v>2486</v>
      </c>
      <c r="Y189" s="137" t="s">
        <v>2486</v>
      </c>
      <c r="Z189" s="137" t="s">
        <v>2487</v>
      </c>
      <c r="AA189" s="137" t="s">
        <v>2487</v>
      </c>
      <c r="AB189" s="137">
        <v>0.45454549999999999</v>
      </c>
      <c r="AD189" s="143" t="s">
        <v>2848</v>
      </c>
      <c r="AE189" s="143" t="s">
        <v>728</v>
      </c>
      <c r="AF189" s="143" t="s">
        <v>663</v>
      </c>
      <c r="AG189" s="143">
        <v>2287</v>
      </c>
      <c r="AO189" s="190">
        <v>0.67500000000000004</v>
      </c>
      <c r="AP189" s="190">
        <v>0.67500000000000004</v>
      </c>
      <c r="AQ189" s="78" t="s">
        <v>2487</v>
      </c>
      <c r="AS189" s="143" t="s">
        <v>2848</v>
      </c>
      <c r="AT189" s="143" t="s">
        <v>728</v>
      </c>
      <c r="AU189" s="143" t="s">
        <v>663</v>
      </c>
      <c r="AV189" s="143">
        <v>2287</v>
      </c>
      <c r="AW189" s="137" t="s">
        <v>2838</v>
      </c>
      <c r="AX189" s="137" t="s">
        <v>2838</v>
      </c>
      <c r="AY189" s="137" t="s">
        <v>2838</v>
      </c>
      <c r="AZ189" s="137" t="s">
        <v>2838</v>
      </c>
      <c r="BA189" s="137" t="s">
        <v>2838</v>
      </c>
      <c r="BB189" s="137" t="s">
        <v>2838</v>
      </c>
      <c r="BC189" s="137" t="s">
        <v>2838</v>
      </c>
      <c r="BD189" s="137" t="s">
        <v>2838</v>
      </c>
      <c r="BE189" s="137" t="s">
        <v>2838</v>
      </c>
      <c r="BF189" s="137" t="s">
        <v>2838</v>
      </c>
      <c r="BI189" s="137" t="s">
        <v>2486</v>
      </c>
      <c r="BJ189" s="137" t="s">
        <v>2486</v>
      </c>
      <c r="BK189" s="190" t="s">
        <v>2486</v>
      </c>
      <c r="BL189" s="190">
        <v>1</v>
      </c>
      <c r="BM189" s="78" t="s">
        <v>2486</v>
      </c>
      <c r="BO189" s="143" t="s">
        <v>2848</v>
      </c>
      <c r="BP189" s="143" t="s">
        <v>728</v>
      </c>
      <c r="BQ189" s="143" t="s">
        <v>663</v>
      </c>
      <c r="BR189" s="143">
        <v>2287</v>
      </c>
      <c r="BY189" s="78" t="s">
        <v>2838</v>
      </c>
    </row>
    <row r="190" spans="1:77" x14ac:dyDescent="0.35">
      <c r="A190" s="143" t="s">
        <v>2848</v>
      </c>
      <c r="B190" s="143" t="s">
        <v>728</v>
      </c>
      <c r="C190" s="143" t="s">
        <v>663</v>
      </c>
      <c r="D190" s="143">
        <v>2289</v>
      </c>
      <c r="E190" s="137">
        <v>0.14545449999999999</v>
      </c>
      <c r="F190" s="137">
        <v>0.36363640000000003</v>
      </c>
      <c r="G190" s="271">
        <v>0.50909090000000001</v>
      </c>
      <c r="H190" s="137" t="s">
        <v>2487</v>
      </c>
      <c r="I190" s="137">
        <v>0.13333329999999999</v>
      </c>
      <c r="J190" s="137">
        <v>0.3333333</v>
      </c>
      <c r="K190" s="137">
        <v>0.46666669999999999</v>
      </c>
      <c r="M190" s="143" t="s">
        <v>2848</v>
      </c>
      <c r="N190" s="143" t="s">
        <v>728</v>
      </c>
      <c r="O190" s="143" t="s">
        <v>663</v>
      </c>
      <c r="P190" s="143">
        <v>2289</v>
      </c>
      <c r="Q190" s="137" t="s">
        <v>2487</v>
      </c>
      <c r="R190" s="137" t="s">
        <v>2487</v>
      </c>
      <c r="S190" s="137" t="s">
        <v>2486</v>
      </c>
      <c r="T190" s="137" t="s">
        <v>2486</v>
      </c>
      <c r="U190" s="137" t="s">
        <v>2487</v>
      </c>
      <c r="V190" s="137" t="s">
        <v>2487</v>
      </c>
      <c r="W190" s="137" t="s">
        <v>2486</v>
      </c>
      <c r="X190" s="137" t="s">
        <v>2486</v>
      </c>
      <c r="Y190" s="137" t="s">
        <v>2486</v>
      </c>
      <c r="Z190" s="137" t="s">
        <v>2486</v>
      </c>
      <c r="AA190" s="137" t="s">
        <v>2486</v>
      </c>
      <c r="AB190" s="137">
        <v>0.63636360000000003</v>
      </c>
      <c r="AD190" s="143" t="s">
        <v>2848</v>
      </c>
      <c r="AE190" s="143" t="s">
        <v>728</v>
      </c>
      <c r="AF190" s="143" t="s">
        <v>663</v>
      </c>
      <c r="AG190" s="143">
        <v>2289</v>
      </c>
      <c r="AO190" s="190">
        <v>0.9</v>
      </c>
      <c r="AP190" s="190">
        <v>0.9</v>
      </c>
      <c r="AQ190" s="78" t="s">
        <v>2487</v>
      </c>
      <c r="AS190" s="143" t="s">
        <v>2848</v>
      </c>
      <c r="AT190" s="143" t="s">
        <v>728</v>
      </c>
      <c r="AU190" s="143" t="s">
        <v>663</v>
      </c>
      <c r="AV190" s="143">
        <v>2289</v>
      </c>
      <c r="AW190" s="137" t="s">
        <v>2838</v>
      </c>
      <c r="AX190" s="137" t="s">
        <v>2838</v>
      </c>
      <c r="AY190" s="137" t="s">
        <v>2838</v>
      </c>
      <c r="AZ190" s="137" t="s">
        <v>2838</v>
      </c>
      <c r="BA190" s="137" t="s">
        <v>2838</v>
      </c>
      <c r="BB190" s="137" t="s">
        <v>2838</v>
      </c>
      <c r="BC190" s="137" t="s">
        <v>2838</v>
      </c>
      <c r="BD190" s="137" t="s">
        <v>2838</v>
      </c>
      <c r="BE190" s="137" t="s">
        <v>2838</v>
      </c>
      <c r="BF190" s="137" t="s">
        <v>2838</v>
      </c>
      <c r="BI190" s="137" t="s">
        <v>2486</v>
      </c>
      <c r="BJ190" s="137" t="s">
        <v>2486</v>
      </c>
      <c r="BK190" s="190" t="s">
        <v>2486</v>
      </c>
      <c r="BL190" s="190">
        <v>1</v>
      </c>
      <c r="BM190" s="78" t="s">
        <v>2486</v>
      </c>
      <c r="BO190" s="143" t="s">
        <v>2848</v>
      </c>
      <c r="BP190" s="143" t="s">
        <v>728</v>
      </c>
      <c r="BQ190" s="143" t="s">
        <v>663</v>
      </c>
      <c r="BR190" s="143">
        <v>2289</v>
      </c>
      <c r="BY190" s="78" t="s">
        <v>2838</v>
      </c>
    </row>
    <row r="191" spans="1:77" x14ac:dyDescent="0.35">
      <c r="A191" s="143" t="s">
        <v>2848</v>
      </c>
      <c r="B191" s="143" t="s">
        <v>728</v>
      </c>
      <c r="C191" s="143" t="s">
        <v>663</v>
      </c>
      <c r="D191" s="143">
        <v>2867</v>
      </c>
      <c r="E191" s="137">
        <v>0.14545449999999999</v>
      </c>
      <c r="F191" s="137">
        <v>0.21818180000000001</v>
      </c>
      <c r="G191" s="271">
        <v>0.36363640000000003</v>
      </c>
      <c r="H191" s="137" t="s">
        <v>2487</v>
      </c>
      <c r="I191" s="137">
        <v>0.15</v>
      </c>
      <c r="J191" s="137">
        <v>0</v>
      </c>
      <c r="K191" s="137">
        <v>0.15</v>
      </c>
      <c r="M191" s="143" t="s">
        <v>2848</v>
      </c>
      <c r="N191" s="143" t="s">
        <v>728</v>
      </c>
      <c r="O191" s="143" t="s">
        <v>663</v>
      </c>
      <c r="P191" s="143">
        <v>2867</v>
      </c>
      <c r="Q191" s="137" t="s">
        <v>2487</v>
      </c>
      <c r="R191" s="137" t="s">
        <v>2487</v>
      </c>
      <c r="S191" s="137" t="s">
        <v>2487</v>
      </c>
      <c r="T191" s="137" t="s">
        <v>2486</v>
      </c>
      <c r="U191" s="137" t="s">
        <v>2487</v>
      </c>
      <c r="V191" s="137" t="s">
        <v>2487</v>
      </c>
      <c r="W191" s="137" t="s">
        <v>2486</v>
      </c>
      <c r="X191" s="137" t="s">
        <v>2486</v>
      </c>
      <c r="Y191" s="137" t="s">
        <v>2486</v>
      </c>
      <c r="Z191" s="137" t="s">
        <v>2486</v>
      </c>
      <c r="AA191" s="137" t="s">
        <v>2486</v>
      </c>
      <c r="AB191" s="137">
        <v>0.54545460000000001</v>
      </c>
      <c r="AD191" s="143" t="s">
        <v>2848</v>
      </c>
      <c r="AE191" s="143" t="s">
        <v>728</v>
      </c>
      <c r="AF191" s="143" t="s">
        <v>663</v>
      </c>
      <c r="AG191" s="143">
        <v>2867</v>
      </c>
      <c r="AO191" s="190">
        <v>0.83750000000000002</v>
      </c>
      <c r="AP191" s="190">
        <v>0.83750000000000002</v>
      </c>
      <c r="AQ191" s="78" t="s">
        <v>2487</v>
      </c>
      <c r="AS191" s="143" t="s">
        <v>2848</v>
      </c>
      <c r="AT191" s="143" t="s">
        <v>728</v>
      </c>
      <c r="AU191" s="143" t="s">
        <v>663</v>
      </c>
      <c r="AV191" s="143">
        <v>2867</v>
      </c>
      <c r="AW191" s="137" t="s">
        <v>2838</v>
      </c>
      <c r="AX191" s="137" t="s">
        <v>2838</v>
      </c>
      <c r="AY191" s="137" t="s">
        <v>2838</v>
      </c>
      <c r="AZ191" s="137" t="s">
        <v>2838</v>
      </c>
      <c r="BA191" s="137" t="s">
        <v>2838</v>
      </c>
      <c r="BB191" s="137" t="s">
        <v>2838</v>
      </c>
      <c r="BC191" s="137" t="s">
        <v>2838</v>
      </c>
      <c r="BD191" s="137" t="s">
        <v>2838</v>
      </c>
      <c r="BE191" s="137" t="s">
        <v>2838</v>
      </c>
      <c r="BF191" s="137" t="s">
        <v>2838</v>
      </c>
      <c r="BI191" s="137" t="s">
        <v>2486</v>
      </c>
      <c r="BJ191" s="137" t="s">
        <v>2486</v>
      </c>
      <c r="BK191" s="190" t="s">
        <v>2486</v>
      </c>
      <c r="BL191" s="190">
        <v>1</v>
      </c>
      <c r="BM191" s="78" t="s">
        <v>2486</v>
      </c>
      <c r="BO191" s="143" t="s">
        <v>2848</v>
      </c>
      <c r="BP191" s="143" t="s">
        <v>728</v>
      </c>
      <c r="BQ191" s="143" t="s">
        <v>663</v>
      </c>
      <c r="BR191" s="143">
        <v>2867</v>
      </c>
      <c r="BY191" s="78" t="s">
        <v>2838</v>
      </c>
    </row>
    <row r="192" spans="1:77" x14ac:dyDescent="0.35">
      <c r="A192" s="143" t="s">
        <v>2848</v>
      </c>
      <c r="B192" s="143" t="s">
        <v>728</v>
      </c>
      <c r="C192" s="143" t="s">
        <v>663</v>
      </c>
      <c r="D192" s="143">
        <v>4658</v>
      </c>
      <c r="E192" s="137">
        <v>0.12727269999999999</v>
      </c>
      <c r="F192" s="137">
        <v>0.58181819999999995</v>
      </c>
      <c r="G192" s="271">
        <v>0.70909089999999997</v>
      </c>
      <c r="H192" s="137" t="s">
        <v>2487</v>
      </c>
      <c r="I192" s="137">
        <v>0.13333329999999999</v>
      </c>
      <c r="J192" s="137">
        <v>0.2</v>
      </c>
      <c r="K192" s="137">
        <v>0.3333333</v>
      </c>
      <c r="M192" s="143" t="s">
        <v>2848</v>
      </c>
      <c r="N192" s="143" t="s">
        <v>728</v>
      </c>
      <c r="O192" s="143" t="s">
        <v>663</v>
      </c>
      <c r="P192" s="143">
        <v>4658</v>
      </c>
      <c r="Q192" s="137" t="s">
        <v>2487</v>
      </c>
      <c r="R192" s="137" t="s">
        <v>2487</v>
      </c>
      <c r="S192" s="137" t="s">
        <v>2486</v>
      </c>
      <c r="T192" s="137" t="s">
        <v>2487</v>
      </c>
      <c r="U192" s="137" t="s">
        <v>2487</v>
      </c>
      <c r="V192" s="137" t="s">
        <v>2487</v>
      </c>
      <c r="W192" s="137" t="s">
        <v>2486</v>
      </c>
      <c r="X192" s="137" t="s">
        <v>2487</v>
      </c>
      <c r="Y192" s="137" t="s">
        <v>2486</v>
      </c>
      <c r="Z192" s="137" t="s">
        <v>2487</v>
      </c>
      <c r="AA192" s="137" t="s">
        <v>2486</v>
      </c>
      <c r="AB192" s="137">
        <v>0.36363640000000003</v>
      </c>
      <c r="AD192" s="143" t="s">
        <v>2848</v>
      </c>
      <c r="AE192" s="143" t="s">
        <v>728</v>
      </c>
      <c r="AF192" s="143" t="s">
        <v>663</v>
      </c>
      <c r="AG192" s="143">
        <v>4658</v>
      </c>
      <c r="AO192" s="190">
        <v>0.8</v>
      </c>
      <c r="AP192" s="190">
        <v>0.8</v>
      </c>
      <c r="AQ192" s="78" t="s">
        <v>2487</v>
      </c>
      <c r="AS192" s="143" t="s">
        <v>2848</v>
      </c>
      <c r="AT192" s="143" t="s">
        <v>728</v>
      </c>
      <c r="AU192" s="143" t="s">
        <v>663</v>
      </c>
      <c r="AV192" s="143">
        <v>4658</v>
      </c>
      <c r="AW192" s="137" t="s">
        <v>2838</v>
      </c>
      <c r="AX192" s="137" t="s">
        <v>2838</v>
      </c>
      <c r="AY192" s="137" t="s">
        <v>2838</v>
      </c>
      <c r="AZ192" s="137" t="s">
        <v>2838</v>
      </c>
      <c r="BA192" s="137" t="s">
        <v>2838</v>
      </c>
      <c r="BB192" s="137" t="s">
        <v>2838</v>
      </c>
      <c r="BC192" s="137" t="s">
        <v>2838</v>
      </c>
      <c r="BD192" s="137" t="s">
        <v>2838</v>
      </c>
      <c r="BE192" s="137" t="s">
        <v>2838</v>
      </c>
      <c r="BF192" s="137" t="s">
        <v>2838</v>
      </c>
      <c r="BI192" s="137" t="s">
        <v>2486</v>
      </c>
      <c r="BJ192" s="137" t="s">
        <v>2486</v>
      </c>
      <c r="BK192" s="190" t="s">
        <v>2486</v>
      </c>
      <c r="BL192" s="190">
        <v>1</v>
      </c>
      <c r="BM192" s="78" t="s">
        <v>2486</v>
      </c>
      <c r="BO192" s="143" t="s">
        <v>2848</v>
      </c>
      <c r="BP192" s="143" t="s">
        <v>728</v>
      </c>
      <c r="BQ192" s="143" t="s">
        <v>663</v>
      </c>
      <c r="BR192" s="143">
        <v>4658</v>
      </c>
      <c r="BY192" s="78" t="s">
        <v>2838</v>
      </c>
    </row>
    <row r="193" spans="1:77" x14ac:dyDescent="0.35">
      <c r="A193" s="143" t="s">
        <v>2848</v>
      </c>
      <c r="B193" s="143" t="s">
        <v>728</v>
      </c>
      <c r="C193" s="143" t="s">
        <v>663</v>
      </c>
      <c r="D193" s="143">
        <v>4660</v>
      </c>
      <c r="E193" s="137">
        <v>0.12727269999999999</v>
      </c>
      <c r="F193" s="137">
        <v>0.43636360000000002</v>
      </c>
      <c r="G193" s="271">
        <v>0.56363640000000004</v>
      </c>
      <c r="H193" s="137" t="s">
        <v>2487</v>
      </c>
      <c r="I193" s="137">
        <v>0.13333329999999999</v>
      </c>
      <c r="J193" s="137">
        <v>0</v>
      </c>
      <c r="K193" s="137">
        <v>0.13333329999999999</v>
      </c>
      <c r="M193" s="143" t="s">
        <v>2848</v>
      </c>
      <c r="N193" s="143" t="s">
        <v>728</v>
      </c>
      <c r="O193" s="143" t="s">
        <v>663</v>
      </c>
      <c r="P193" s="143">
        <v>4660</v>
      </c>
      <c r="Q193" s="137" t="s">
        <v>2487</v>
      </c>
      <c r="R193" s="137" t="s">
        <v>2486</v>
      </c>
      <c r="S193" s="137" t="s">
        <v>2486</v>
      </c>
      <c r="T193" s="137" t="s">
        <v>2486</v>
      </c>
      <c r="U193" s="137" t="s">
        <v>2487</v>
      </c>
      <c r="V193" s="137" t="s">
        <v>2487</v>
      </c>
      <c r="W193" s="137" t="s">
        <v>2486</v>
      </c>
      <c r="X193" s="137" t="s">
        <v>2486</v>
      </c>
      <c r="Y193" s="137" t="s">
        <v>2486</v>
      </c>
      <c r="Z193" s="137" t="s">
        <v>2486</v>
      </c>
      <c r="AA193" s="137" t="s">
        <v>2486</v>
      </c>
      <c r="AB193" s="137">
        <v>0.72727269999999999</v>
      </c>
      <c r="AD193" s="143" t="s">
        <v>2848</v>
      </c>
      <c r="AE193" s="143" t="s">
        <v>728</v>
      </c>
      <c r="AF193" s="143" t="s">
        <v>663</v>
      </c>
      <c r="AG193" s="143">
        <v>4660</v>
      </c>
      <c r="AO193" s="190">
        <v>0.67500000000000004</v>
      </c>
      <c r="AP193" s="190">
        <v>0.67500000000000004</v>
      </c>
      <c r="AQ193" s="78" t="s">
        <v>2487</v>
      </c>
      <c r="AS193" s="143" t="s">
        <v>2848</v>
      </c>
      <c r="AT193" s="143" t="s">
        <v>728</v>
      </c>
      <c r="AU193" s="143" t="s">
        <v>663</v>
      </c>
      <c r="AV193" s="143">
        <v>4660</v>
      </c>
      <c r="AW193" s="137" t="s">
        <v>2838</v>
      </c>
      <c r="AX193" s="137" t="s">
        <v>2838</v>
      </c>
      <c r="AY193" s="137" t="s">
        <v>2838</v>
      </c>
      <c r="AZ193" s="137" t="s">
        <v>2838</v>
      </c>
      <c r="BA193" s="137" t="s">
        <v>2838</v>
      </c>
      <c r="BB193" s="137" t="s">
        <v>2838</v>
      </c>
      <c r="BC193" s="137" t="s">
        <v>2838</v>
      </c>
      <c r="BD193" s="137" t="s">
        <v>2838</v>
      </c>
      <c r="BE193" s="137" t="s">
        <v>2838</v>
      </c>
      <c r="BF193" s="137" t="s">
        <v>2838</v>
      </c>
      <c r="BI193" s="137" t="s">
        <v>2486</v>
      </c>
      <c r="BJ193" s="137" t="s">
        <v>2486</v>
      </c>
      <c r="BK193" s="190" t="s">
        <v>2486</v>
      </c>
      <c r="BL193" s="190">
        <v>1</v>
      </c>
      <c r="BM193" s="78" t="s">
        <v>2486</v>
      </c>
      <c r="BO193" s="143" t="s">
        <v>2848</v>
      </c>
      <c r="BP193" s="143" t="s">
        <v>728</v>
      </c>
      <c r="BQ193" s="143" t="s">
        <v>663</v>
      </c>
      <c r="BR193" s="143">
        <v>4660</v>
      </c>
      <c r="BY193" s="78" t="s">
        <v>2838</v>
      </c>
    </row>
    <row r="194" spans="1:77" x14ac:dyDescent="0.35">
      <c r="A194" s="143" t="s">
        <v>2848</v>
      </c>
      <c r="B194" s="143" t="s">
        <v>728</v>
      </c>
      <c r="C194" s="143" t="s">
        <v>663</v>
      </c>
      <c r="D194" s="143">
        <v>4661</v>
      </c>
      <c r="E194" s="137">
        <v>0.14545449999999999</v>
      </c>
      <c r="F194" s="137">
        <v>0.43636360000000002</v>
      </c>
      <c r="G194" s="271">
        <v>0.58181819999999995</v>
      </c>
      <c r="H194" s="137" t="s">
        <v>2487</v>
      </c>
      <c r="I194" s="137">
        <v>0.13333329999999999</v>
      </c>
      <c r="J194" s="137">
        <v>6.6666699999999995E-2</v>
      </c>
      <c r="K194" s="137">
        <v>0.2</v>
      </c>
      <c r="M194" s="143" t="s">
        <v>2848</v>
      </c>
      <c r="N194" s="143" t="s">
        <v>728</v>
      </c>
      <c r="O194" s="143" t="s">
        <v>663</v>
      </c>
      <c r="P194" s="143">
        <v>4661</v>
      </c>
      <c r="Q194" s="137" t="s">
        <v>2487</v>
      </c>
      <c r="R194" s="137" t="s">
        <v>2486</v>
      </c>
      <c r="S194" s="137" t="s">
        <v>2487</v>
      </c>
      <c r="T194" s="137" t="s">
        <v>2486</v>
      </c>
      <c r="U194" s="137" t="s">
        <v>2487</v>
      </c>
      <c r="V194" s="137" t="s">
        <v>2487</v>
      </c>
      <c r="W194" s="137" t="s">
        <v>2486</v>
      </c>
      <c r="X194" s="137" t="s">
        <v>2486</v>
      </c>
      <c r="Y194" s="137" t="s">
        <v>2486</v>
      </c>
      <c r="Z194" s="137" t="s">
        <v>2486</v>
      </c>
      <c r="AA194" s="137" t="s">
        <v>2487</v>
      </c>
      <c r="AB194" s="137">
        <v>0.54545460000000001</v>
      </c>
      <c r="AD194" s="143" t="s">
        <v>2848</v>
      </c>
      <c r="AE194" s="143" t="s">
        <v>728</v>
      </c>
      <c r="AF194" s="143" t="s">
        <v>663</v>
      </c>
      <c r="AG194" s="143">
        <v>4661</v>
      </c>
      <c r="AO194" s="190">
        <v>0.78749999999999998</v>
      </c>
      <c r="AP194" s="190">
        <v>0.78749999999999998</v>
      </c>
      <c r="AQ194" s="78" t="s">
        <v>2487</v>
      </c>
      <c r="AS194" s="143" t="s">
        <v>2848</v>
      </c>
      <c r="AT194" s="143" t="s">
        <v>728</v>
      </c>
      <c r="AU194" s="143" t="s">
        <v>663</v>
      </c>
      <c r="AV194" s="143">
        <v>4661</v>
      </c>
      <c r="AW194" s="137" t="s">
        <v>2838</v>
      </c>
      <c r="AX194" s="137" t="s">
        <v>2838</v>
      </c>
      <c r="AY194" s="137" t="s">
        <v>2838</v>
      </c>
      <c r="AZ194" s="137" t="s">
        <v>2838</v>
      </c>
      <c r="BA194" s="137" t="s">
        <v>2838</v>
      </c>
      <c r="BB194" s="137" t="s">
        <v>2838</v>
      </c>
      <c r="BC194" s="137" t="s">
        <v>2838</v>
      </c>
      <c r="BD194" s="137" t="s">
        <v>2838</v>
      </c>
      <c r="BE194" s="137" t="s">
        <v>2838</v>
      </c>
      <c r="BF194" s="137" t="s">
        <v>2838</v>
      </c>
      <c r="BI194" s="137" t="s">
        <v>2486</v>
      </c>
      <c r="BJ194" s="137" t="s">
        <v>2487</v>
      </c>
      <c r="BK194" s="190" t="s">
        <v>2487</v>
      </c>
      <c r="BL194" s="190">
        <v>0.3333333</v>
      </c>
      <c r="BM194" s="78" t="s">
        <v>2487</v>
      </c>
      <c r="BO194" s="143" t="s">
        <v>2848</v>
      </c>
      <c r="BP194" s="143" t="s">
        <v>728</v>
      </c>
      <c r="BQ194" s="143" t="s">
        <v>663</v>
      </c>
      <c r="BR194" s="143">
        <v>4661</v>
      </c>
      <c r="BY194" s="78" t="s">
        <v>2838</v>
      </c>
    </row>
    <row r="195" spans="1:77" x14ac:dyDescent="0.35">
      <c r="A195" s="143" t="s">
        <v>2848</v>
      </c>
      <c r="B195" s="143" t="s">
        <v>728</v>
      </c>
      <c r="C195" s="143" t="s">
        <v>663</v>
      </c>
      <c r="D195" s="143">
        <v>4663</v>
      </c>
      <c r="E195" s="137">
        <v>0.14545449999999999</v>
      </c>
      <c r="F195" s="137">
        <v>0.4288401</v>
      </c>
      <c r="G195" s="271">
        <v>0.57429470000000005</v>
      </c>
      <c r="H195" s="137" t="s">
        <v>2487</v>
      </c>
      <c r="I195" s="137">
        <v>0.1166667</v>
      </c>
      <c r="J195" s="137">
        <v>0.16091949999999999</v>
      </c>
      <c r="K195" s="137">
        <v>0.27758620000000001</v>
      </c>
      <c r="M195" s="143" t="s">
        <v>2848</v>
      </c>
      <c r="N195" s="143" t="s">
        <v>728</v>
      </c>
      <c r="O195" s="143" t="s">
        <v>663</v>
      </c>
      <c r="P195" s="143">
        <v>4663</v>
      </c>
      <c r="Q195" s="137" t="s">
        <v>2487</v>
      </c>
      <c r="R195" s="137" t="s">
        <v>2486</v>
      </c>
      <c r="S195" s="137" t="s">
        <v>2487</v>
      </c>
      <c r="T195" s="137" t="s">
        <v>2486</v>
      </c>
      <c r="U195" s="137" t="s">
        <v>2487</v>
      </c>
      <c r="V195" s="137" t="s">
        <v>2487</v>
      </c>
      <c r="W195" s="137" t="s">
        <v>2486</v>
      </c>
      <c r="X195" s="137" t="s">
        <v>2486</v>
      </c>
      <c r="Y195" s="137" t="s">
        <v>2486</v>
      </c>
      <c r="Z195" s="137" t="s">
        <v>2486</v>
      </c>
      <c r="AA195" s="137" t="s">
        <v>2486</v>
      </c>
      <c r="AB195" s="137">
        <v>0.63636360000000003</v>
      </c>
      <c r="AD195" s="143" t="s">
        <v>2848</v>
      </c>
      <c r="AE195" s="143" t="s">
        <v>728</v>
      </c>
      <c r="AF195" s="143" t="s">
        <v>663</v>
      </c>
      <c r="AG195" s="143">
        <v>4663</v>
      </c>
      <c r="AO195" s="190">
        <v>0.875</v>
      </c>
      <c r="AP195" s="190">
        <v>0.875</v>
      </c>
      <c r="AQ195" s="78" t="s">
        <v>2487</v>
      </c>
      <c r="AS195" s="143" t="s">
        <v>2848</v>
      </c>
      <c r="AT195" s="143" t="s">
        <v>728</v>
      </c>
      <c r="AU195" s="143" t="s">
        <v>663</v>
      </c>
      <c r="AV195" s="143">
        <v>4663</v>
      </c>
      <c r="AW195" s="137" t="s">
        <v>2838</v>
      </c>
      <c r="AX195" s="137" t="s">
        <v>2838</v>
      </c>
      <c r="AY195" s="137" t="s">
        <v>2838</v>
      </c>
      <c r="AZ195" s="137" t="s">
        <v>2838</v>
      </c>
      <c r="BA195" s="137" t="s">
        <v>2838</v>
      </c>
      <c r="BB195" s="137" t="s">
        <v>2838</v>
      </c>
      <c r="BC195" s="137" t="s">
        <v>2838</v>
      </c>
      <c r="BD195" s="137" t="s">
        <v>2838</v>
      </c>
      <c r="BE195" s="137" t="s">
        <v>2838</v>
      </c>
      <c r="BF195" s="137" t="s">
        <v>2838</v>
      </c>
      <c r="BI195" s="137" t="s">
        <v>2486</v>
      </c>
      <c r="BJ195" s="137" t="s">
        <v>2487</v>
      </c>
      <c r="BK195" s="190" t="s">
        <v>2486</v>
      </c>
      <c r="BL195" s="190">
        <v>0.66666669999999995</v>
      </c>
      <c r="BM195" s="78" t="s">
        <v>2487</v>
      </c>
      <c r="BO195" s="143" t="s">
        <v>2848</v>
      </c>
      <c r="BP195" s="143" t="s">
        <v>728</v>
      </c>
      <c r="BQ195" s="143" t="s">
        <v>663</v>
      </c>
      <c r="BR195" s="143">
        <v>4663</v>
      </c>
      <c r="BY195" s="78" t="s">
        <v>2838</v>
      </c>
    </row>
    <row r="196" spans="1:77" x14ac:dyDescent="0.35">
      <c r="A196" s="143" t="s">
        <v>2849</v>
      </c>
      <c r="B196" s="143" t="s">
        <v>748</v>
      </c>
      <c r="C196" s="143" t="s">
        <v>2452</v>
      </c>
      <c r="D196" s="143">
        <v>61</v>
      </c>
      <c r="E196" s="137"/>
      <c r="F196" s="137">
        <v>0.48</v>
      </c>
      <c r="G196" s="271">
        <v>0.6</v>
      </c>
      <c r="H196" s="137" t="s">
        <v>2487</v>
      </c>
      <c r="I196" s="137"/>
      <c r="J196" s="137">
        <v>0.442963</v>
      </c>
      <c r="K196" s="137">
        <v>0.55370370000000002</v>
      </c>
      <c r="M196" s="143" t="s">
        <v>2849</v>
      </c>
      <c r="N196" s="143" t="s">
        <v>748</v>
      </c>
      <c r="O196" s="143" t="s">
        <v>2452</v>
      </c>
      <c r="P196" s="143">
        <v>61</v>
      </c>
      <c r="Q196" s="137" t="s">
        <v>2838</v>
      </c>
      <c r="R196" s="137" t="s">
        <v>2838</v>
      </c>
      <c r="S196" s="137" t="s">
        <v>2838</v>
      </c>
      <c r="T196" s="137" t="s">
        <v>2838</v>
      </c>
      <c r="U196" s="137" t="s">
        <v>2838</v>
      </c>
      <c r="V196" s="137" t="s">
        <v>2838</v>
      </c>
      <c r="W196" s="137" t="s">
        <v>2838</v>
      </c>
      <c r="X196" s="137" t="s">
        <v>2838</v>
      </c>
      <c r="Y196" s="137" t="s">
        <v>2838</v>
      </c>
      <c r="Z196" s="137" t="s">
        <v>2838</v>
      </c>
      <c r="AA196" s="137" t="s">
        <v>2838</v>
      </c>
      <c r="AB196" s="137">
        <v>1</v>
      </c>
      <c r="AD196" s="143" t="s">
        <v>2849</v>
      </c>
      <c r="AE196" s="143" t="s">
        <v>748</v>
      </c>
      <c r="AF196" s="143" t="s">
        <v>2452</v>
      </c>
      <c r="AG196" s="143">
        <v>61</v>
      </c>
      <c r="AQ196" s="78" t="s">
        <v>2838</v>
      </c>
      <c r="AS196" s="143" t="s">
        <v>2849</v>
      </c>
      <c r="AT196" s="143" t="s">
        <v>748</v>
      </c>
      <c r="AU196" s="143" t="s">
        <v>2452</v>
      </c>
      <c r="AV196" s="143">
        <v>61</v>
      </c>
      <c r="AW196" s="137" t="s">
        <v>2838</v>
      </c>
      <c r="AX196" s="137" t="s">
        <v>2838</v>
      </c>
      <c r="AY196" s="137" t="s">
        <v>2838</v>
      </c>
      <c r="AZ196" s="137" t="s">
        <v>2838</v>
      </c>
      <c r="BA196" s="137" t="s">
        <v>2838</v>
      </c>
      <c r="BB196" s="137" t="s">
        <v>2838</v>
      </c>
      <c r="BC196" s="137" t="s">
        <v>2838</v>
      </c>
      <c r="BD196" s="137" t="s">
        <v>2838</v>
      </c>
      <c r="BE196" s="137" t="s">
        <v>2838</v>
      </c>
      <c r="BF196" s="137" t="s">
        <v>2838</v>
      </c>
      <c r="BI196" s="137" t="s">
        <v>2838</v>
      </c>
      <c r="BJ196" s="137" t="s">
        <v>2838</v>
      </c>
      <c r="BK196" s="190" t="s">
        <v>2838</v>
      </c>
      <c r="BM196" s="78" t="s">
        <v>2838</v>
      </c>
      <c r="BO196" s="143" t="s">
        <v>2849</v>
      </c>
      <c r="BP196" s="143" t="s">
        <v>748</v>
      </c>
      <c r="BQ196" s="143" t="s">
        <v>2452</v>
      </c>
      <c r="BR196" s="143">
        <v>61</v>
      </c>
      <c r="BY196" s="78" t="s">
        <v>2838</v>
      </c>
    </row>
    <row r="197" spans="1:77" x14ac:dyDescent="0.35">
      <c r="A197" s="143" t="s">
        <v>2849</v>
      </c>
      <c r="B197" s="143" t="s">
        <v>748</v>
      </c>
      <c r="C197" s="143" t="s">
        <v>663</v>
      </c>
      <c r="D197" s="143">
        <v>2336</v>
      </c>
      <c r="E197" s="137"/>
      <c r="F197" s="137">
        <v>0.36121209999999998</v>
      </c>
      <c r="G197" s="271">
        <v>0.4515151</v>
      </c>
      <c r="H197" s="137" t="s">
        <v>2487</v>
      </c>
      <c r="I197" s="137"/>
      <c r="J197" s="137">
        <v>0</v>
      </c>
      <c r="K197" s="137">
        <v>0</v>
      </c>
      <c r="M197" s="143" t="s">
        <v>2849</v>
      </c>
      <c r="N197" s="143" t="s">
        <v>748</v>
      </c>
      <c r="O197" s="143" t="s">
        <v>663</v>
      </c>
      <c r="P197" s="143">
        <v>2336</v>
      </c>
      <c r="Q197" s="137" t="s">
        <v>2838</v>
      </c>
      <c r="R197" s="137" t="s">
        <v>2838</v>
      </c>
      <c r="S197" s="137" t="s">
        <v>2838</v>
      </c>
      <c r="T197" s="137" t="s">
        <v>2838</v>
      </c>
      <c r="U197" s="137" t="s">
        <v>2838</v>
      </c>
      <c r="V197" s="137" t="s">
        <v>2838</v>
      </c>
      <c r="W197" s="137" t="s">
        <v>2838</v>
      </c>
      <c r="X197" s="137" t="s">
        <v>2838</v>
      </c>
      <c r="Y197" s="137" t="s">
        <v>2838</v>
      </c>
      <c r="Z197" s="137" t="s">
        <v>2838</v>
      </c>
      <c r="AA197" s="137" t="s">
        <v>2838</v>
      </c>
      <c r="AB197" s="137">
        <v>0.54545460000000001</v>
      </c>
      <c r="AD197" s="143" t="s">
        <v>2849</v>
      </c>
      <c r="AE197" s="143" t="s">
        <v>748</v>
      </c>
      <c r="AF197" s="143" t="s">
        <v>663</v>
      </c>
      <c r="AG197" s="143">
        <v>2336</v>
      </c>
      <c r="AQ197" s="78" t="s">
        <v>2838</v>
      </c>
      <c r="AS197" s="143" t="s">
        <v>2849</v>
      </c>
      <c r="AT197" s="143" t="s">
        <v>748</v>
      </c>
      <c r="AU197" s="143" t="s">
        <v>663</v>
      </c>
      <c r="AV197" s="143">
        <v>2336</v>
      </c>
      <c r="AW197" s="137" t="s">
        <v>2838</v>
      </c>
      <c r="AX197" s="137" t="s">
        <v>2838</v>
      </c>
      <c r="AY197" s="137" t="s">
        <v>2838</v>
      </c>
      <c r="AZ197" s="137" t="s">
        <v>2838</v>
      </c>
      <c r="BA197" s="137" t="s">
        <v>2838</v>
      </c>
      <c r="BB197" s="137" t="s">
        <v>2838</v>
      </c>
      <c r="BC197" s="137" t="s">
        <v>2838</v>
      </c>
      <c r="BD197" s="137" t="s">
        <v>2838</v>
      </c>
      <c r="BE197" s="137" t="s">
        <v>2838</v>
      </c>
      <c r="BF197" s="137" t="s">
        <v>2838</v>
      </c>
      <c r="BI197" s="137" t="s">
        <v>2838</v>
      </c>
      <c r="BJ197" s="137" t="s">
        <v>2838</v>
      </c>
      <c r="BK197" s="190" t="s">
        <v>2838</v>
      </c>
      <c r="BM197" s="78" t="s">
        <v>2838</v>
      </c>
      <c r="BO197" s="143" t="s">
        <v>2849</v>
      </c>
      <c r="BP197" s="143" t="s">
        <v>748</v>
      </c>
      <c r="BQ197" s="143" t="s">
        <v>663</v>
      </c>
      <c r="BR197" s="143">
        <v>2336</v>
      </c>
      <c r="BY197" s="78" t="s">
        <v>2838</v>
      </c>
    </row>
    <row r="198" spans="1:77" x14ac:dyDescent="0.35">
      <c r="A198" s="143" t="s">
        <v>2849</v>
      </c>
      <c r="B198" s="143" t="s">
        <v>748</v>
      </c>
      <c r="C198" s="143" t="s">
        <v>663</v>
      </c>
      <c r="D198" s="143">
        <v>2771</v>
      </c>
      <c r="E198" s="137"/>
      <c r="F198" s="137">
        <v>3.87879E-2</v>
      </c>
      <c r="G198" s="271">
        <v>4.8484800000000002E-2</v>
      </c>
      <c r="H198" s="137" t="s">
        <v>2487</v>
      </c>
      <c r="I198" s="137"/>
      <c r="J198" s="137">
        <v>0</v>
      </c>
      <c r="K198" s="137">
        <v>0</v>
      </c>
      <c r="M198" s="143" t="s">
        <v>2849</v>
      </c>
      <c r="N198" s="143" t="s">
        <v>748</v>
      </c>
      <c r="O198" s="143" t="s">
        <v>663</v>
      </c>
      <c r="P198" s="143">
        <v>2771</v>
      </c>
      <c r="Q198" s="137" t="s">
        <v>2838</v>
      </c>
      <c r="R198" s="137" t="s">
        <v>2838</v>
      </c>
      <c r="S198" s="137" t="s">
        <v>2838</v>
      </c>
      <c r="T198" s="137" t="s">
        <v>2838</v>
      </c>
      <c r="U198" s="137" t="s">
        <v>2838</v>
      </c>
      <c r="V198" s="137" t="s">
        <v>2838</v>
      </c>
      <c r="W198" s="137" t="s">
        <v>2838</v>
      </c>
      <c r="X198" s="137" t="s">
        <v>2838</v>
      </c>
      <c r="Y198" s="137" t="s">
        <v>2838</v>
      </c>
      <c r="Z198" s="137" t="s">
        <v>2838</v>
      </c>
      <c r="AA198" s="137" t="s">
        <v>2838</v>
      </c>
      <c r="AB198" s="137">
        <v>0.18181820000000001</v>
      </c>
      <c r="AD198" s="143" t="s">
        <v>2849</v>
      </c>
      <c r="AE198" s="143" t="s">
        <v>748</v>
      </c>
      <c r="AF198" s="143" t="s">
        <v>663</v>
      </c>
      <c r="AG198" s="143">
        <v>2771</v>
      </c>
      <c r="AQ198" s="78" t="s">
        <v>2838</v>
      </c>
      <c r="AS198" s="143" t="s">
        <v>2849</v>
      </c>
      <c r="AT198" s="143" t="s">
        <v>748</v>
      </c>
      <c r="AU198" s="143" t="s">
        <v>663</v>
      </c>
      <c r="AV198" s="143">
        <v>2771</v>
      </c>
      <c r="AW198" s="137" t="s">
        <v>2838</v>
      </c>
      <c r="AX198" s="137" t="s">
        <v>2838</v>
      </c>
      <c r="AY198" s="137" t="s">
        <v>2838</v>
      </c>
      <c r="AZ198" s="137" t="s">
        <v>2838</v>
      </c>
      <c r="BA198" s="137" t="s">
        <v>2838</v>
      </c>
      <c r="BB198" s="137" t="s">
        <v>2838</v>
      </c>
      <c r="BC198" s="137" t="s">
        <v>2838</v>
      </c>
      <c r="BD198" s="137" t="s">
        <v>2838</v>
      </c>
      <c r="BE198" s="137" t="s">
        <v>2838</v>
      </c>
      <c r="BF198" s="137" t="s">
        <v>2838</v>
      </c>
      <c r="BI198" s="137" t="s">
        <v>2838</v>
      </c>
      <c r="BJ198" s="137" t="s">
        <v>2838</v>
      </c>
      <c r="BK198" s="190" t="s">
        <v>2838</v>
      </c>
      <c r="BM198" s="78" t="s">
        <v>2838</v>
      </c>
      <c r="BO198" s="143" t="s">
        <v>2849</v>
      </c>
      <c r="BP198" s="143" t="s">
        <v>748</v>
      </c>
      <c r="BQ198" s="143" t="s">
        <v>663</v>
      </c>
      <c r="BR198" s="143">
        <v>2771</v>
      </c>
      <c r="BY198" s="78" t="s">
        <v>2838</v>
      </c>
    </row>
    <row r="199" spans="1:77" x14ac:dyDescent="0.35">
      <c r="A199" s="143" t="s">
        <v>2849</v>
      </c>
      <c r="B199" s="143" t="s">
        <v>748</v>
      </c>
      <c r="C199" s="143" t="s">
        <v>663</v>
      </c>
      <c r="D199" s="143">
        <v>3434</v>
      </c>
      <c r="E199" s="137"/>
      <c r="F199" s="137">
        <v>0.29090909999999998</v>
      </c>
      <c r="G199" s="271">
        <v>0.36363640000000003</v>
      </c>
      <c r="H199" s="137" t="s">
        <v>2487</v>
      </c>
      <c r="I199" s="137"/>
      <c r="J199" s="137">
        <v>0</v>
      </c>
      <c r="K199" s="137">
        <v>0</v>
      </c>
      <c r="M199" s="143" t="s">
        <v>2849</v>
      </c>
      <c r="N199" s="143" t="s">
        <v>748</v>
      </c>
      <c r="O199" s="143" t="s">
        <v>663</v>
      </c>
      <c r="P199" s="143">
        <v>3434</v>
      </c>
      <c r="Q199" s="137" t="s">
        <v>2838</v>
      </c>
      <c r="R199" s="137" t="s">
        <v>2838</v>
      </c>
      <c r="S199" s="137" t="s">
        <v>2838</v>
      </c>
      <c r="T199" s="137" t="s">
        <v>2838</v>
      </c>
      <c r="U199" s="137" t="s">
        <v>2838</v>
      </c>
      <c r="V199" s="137" t="s">
        <v>2838</v>
      </c>
      <c r="W199" s="137" t="s">
        <v>2838</v>
      </c>
      <c r="X199" s="137" t="s">
        <v>2838</v>
      </c>
      <c r="Y199" s="137" t="s">
        <v>2838</v>
      </c>
      <c r="Z199" s="137" t="s">
        <v>2838</v>
      </c>
      <c r="AA199" s="137" t="s">
        <v>2838</v>
      </c>
      <c r="AB199" s="137">
        <v>9.0909100000000007E-2</v>
      </c>
      <c r="AD199" s="143" t="s">
        <v>2849</v>
      </c>
      <c r="AE199" s="143" t="s">
        <v>748</v>
      </c>
      <c r="AF199" s="143" t="s">
        <v>663</v>
      </c>
      <c r="AG199" s="143">
        <v>3434</v>
      </c>
      <c r="AQ199" s="78" t="s">
        <v>2838</v>
      </c>
      <c r="AS199" s="143" t="s">
        <v>2849</v>
      </c>
      <c r="AT199" s="143" t="s">
        <v>748</v>
      </c>
      <c r="AU199" s="143" t="s">
        <v>663</v>
      </c>
      <c r="AV199" s="143">
        <v>3434</v>
      </c>
      <c r="AW199" s="137" t="s">
        <v>2838</v>
      </c>
      <c r="AX199" s="137" t="s">
        <v>2838</v>
      </c>
      <c r="AY199" s="137" t="s">
        <v>2838</v>
      </c>
      <c r="AZ199" s="137" t="s">
        <v>2838</v>
      </c>
      <c r="BA199" s="137" t="s">
        <v>2838</v>
      </c>
      <c r="BB199" s="137" t="s">
        <v>2838</v>
      </c>
      <c r="BC199" s="137" t="s">
        <v>2838</v>
      </c>
      <c r="BD199" s="137" t="s">
        <v>2838</v>
      </c>
      <c r="BE199" s="137" t="s">
        <v>2838</v>
      </c>
      <c r="BF199" s="137" t="s">
        <v>2838</v>
      </c>
      <c r="BI199" s="137" t="s">
        <v>2838</v>
      </c>
      <c r="BJ199" s="137" t="s">
        <v>2838</v>
      </c>
      <c r="BK199" s="190" t="s">
        <v>2838</v>
      </c>
      <c r="BM199" s="78" t="s">
        <v>2838</v>
      </c>
      <c r="BO199" s="143" t="s">
        <v>2849</v>
      </c>
      <c r="BP199" s="143" t="s">
        <v>748</v>
      </c>
      <c r="BQ199" s="143" t="s">
        <v>663</v>
      </c>
      <c r="BR199" s="143">
        <v>3434</v>
      </c>
      <c r="BY199" s="78" t="s">
        <v>2838</v>
      </c>
    </row>
    <row r="200" spans="1:77" x14ac:dyDescent="0.35">
      <c r="A200" s="143" t="s">
        <v>2849</v>
      </c>
      <c r="B200" s="143" t="s">
        <v>748</v>
      </c>
      <c r="C200" s="143" t="s">
        <v>663</v>
      </c>
      <c r="D200" s="143">
        <v>4801</v>
      </c>
      <c r="E200" s="137"/>
      <c r="F200" s="137">
        <v>0.3442424</v>
      </c>
      <c r="G200" s="271">
        <v>0.43030299999999999</v>
      </c>
      <c r="H200" s="137" t="s">
        <v>2487</v>
      </c>
      <c r="I200" s="137"/>
      <c r="J200" s="137">
        <v>0.2</v>
      </c>
      <c r="K200" s="137">
        <v>0.25</v>
      </c>
      <c r="M200" s="143" t="s">
        <v>2849</v>
      </c>
      <c r="N200" s="143" t="s">
        <v>748</v>
      </c>
      <c r="O200" s="143" t="s">
        <v>663</v>
      </c>
      <c r="P200" s="143">
        <v>4801</v>
      </c>
      <c r="Q200" s="137" t="s">
        <v>2838</v>
      </c>
      <c r="R200" s="137" t="s">
        <v>2838</v>
      </c>
      <c r="S200" s="137" t="s">
        <v>2838</v>
      </c>
      <c r="T200" s="137" t="s">
        <v>2838</v>
      </c>
      <c r="U200" s="137" t="s">
        <v>2838</v>
      </c>
      <c r="V200" s="137" t="s">
        <v>2838</v>
      </c>
      <c r="W200" s="137" t="s">
        <v>2838</v>
      </c>
      <c r="X200" s="137" t="s">
        <v>2838</v>
      </c>
      <c r="Y200" s="137" t="s">
        <v>2838</v>
      </c>
      <c r="Z200" s="137" t="s">
        <v>2838</v>
      </c>
      <c r="AA200" s="137" t="s">
        <v>2838</v>
      </c>
      <c r="AB200" s="137">
        <v>0.36363640000000003</v>
      </c>
      <c r="AD200" s="143" t="s">
        <v>2849</v>
      </c>
      <c r="AE200" s="143" t="s">
        <v>748</v>
      </c>
      <c r="AF200" s="143" t="s">
        <v>663</v>
      </c>
      <c r="AG200" s="143">
        <v>4801</v>
      </c>
      <c r="AQ200" s="78" t="s">
        <v>2838</v>
      </c>
      <c r="AS200" s="143" t="s">
        <v>2849</v>
      </c>
      <c r="AT200" s="143" t="s">
        <v>748</v>
      </c>
      <c r="AU200" s="143" t="s">
        <v>663</v>
      </c>
      <c r="AV200" s="143">
        <v>4801</v>
      </c>
      <c r="AW200" s="137" t="s">
        <v>2838</v>
      </c>
      <c r="AX200" s="137" t="s">
        <v>2838</v>
      </c>
      <c r="AY200" s="137" t="s">
        <v>2838</v>
      </c>
      <c r="AZ200" s="137" t="s">
        <v>2838</v>
      </c>
      <c r="BA200" s="137" t="s">
        <v>2838</v>
      </c>
      <c r="BB200" s="137" t="s">
        <v>2838</v>
      </c>
      <c r="BC200" s="137" t="s">
        <v>2838</v>
      </c>
      <c r="BD200" s="137" t="s">
        <v>2838</v>
      </c>
      <c r="BE200" s="137" t="s">
        <v>2838</v>
      </c>
      <c r="BF200" s="137" t="s">
        <v>2838</v>
      </c>
      <c r="BI200" s="137" t="s">
        <v>2838</v>
      </c>
      <c r="BJ200" s="137" t="s">
        <v>2838</v>
      </c>
      <c r="BK200" s="190" t="s">
        <v>2838</v>
      </c>
      <c r="BM200" s="78" t="s">
        <v>2838</v>
      </c>
      <c r="BO200" s="143" t="s">
        <v>2849</v>
      </c>
      <c r="BP200" s="143" t="s">
        <v>748</v>
      </c>
      <c r="BQ200" s="143" t="s">
        <v>663</v>
      </c>
      <c r="BR200" s="143">
        <v>4801</v>
      </c>
      <c r="BY200" s="78" t="s">
        <v>2838</v>
      </c>
    </row>
    <row r="201" spans="1:77" x14ac:dyDescent="0.35">
      <c r="A201" s="143" t="s">
        <v>2849</v>
      </c>
      <c r="B201" s="143" t="s">
        <v>748</v>
      </c>
      <c r="C201" s="143" t="s">
        <v>663</v>
      </c>
      <c r="D201" s="143">
        <v>4805</v>
      </c>
      <c r="E201" s="137"/>
      <c r="F201" s="137">
        <v>0.2618182</v>
      </c>
      <c r="G201" s="271">
        <v>0.32727270000000003</v>
      </c>
      <c r="H201" s="137" t="s">
        <v>2487</v>
      </c>
      <c r="I201" s="137"/>
      <c r="J201" s="137">
        <v>0.26666669999999998</v>
      </c>
      <c r="K201" s="137">
        <v>0.3333333</v>
      </c>
      <c r="M201" s="143" t="s">
        <v>2849</v>
      </c>
      <c r="N201" s="143" t="s">
        <v>748</v>
      </c>
      <c r="O201" s="143" t="s">
        <v>663</v>
      </c>
      <c r="P201" s="143">
        <v>4805</v>
      </c>
      <c r="Q201" s="137" t="s">
        <v>2838</v>
      </c>
      <c r="R201" s="137" t="s">
        <v>2838</v>
      </c>
      <c r="S201" s="137" t="s">
        <v>2838</v>
      </c>
      <c r="T201" s="137" t="s">
        <v>2838</v>
      </c>
      <c r="U201" s="137" t="s">
        <v>2838</v>
      </c>
      <c r="V201" s="137" t="s">
        <v>2838</v>
      </c>
      <c r="W201" s="137" t="s">
        <v>2838</v>
      </c>
      <c r="X201" s="137" t="s">
        <v>2838</v>
      </c>
      <c r="Y201" s="137" t="s">
        <v>2838</v>
      </c>
      <c r="Z201" s="137" t="s">
        <v>2838</v>
      </c>
      <c r="AA201" s="137" t="s">
        <v>2838</v>
      </c>
      <c r="AB201" s="137">
        <v>0.63636360000000003</v>
      </c>
      <c r="AD201" s="143" t="s">
        <v>2849</v>
      </c>
      <c r="AE201" s="143" t="s">
        <v>748</v>
      </c>
      <c r="AF201" s="143" t="s">
        <v>663</v>
      </c>
      <c r="AG201" s="143">
        <v>4805</v>
      </c>
      <c r="AQ201" s="78" t="s">
        <v>2838</v>
      </c>
      <c r="AS201" s="143" t="s">
        <v>2849</v>
      </c>
      <c r="AT201" s="143" t="s">
        <v>748</v>
      </c>
      <c r="AU201" s="143" t="s">
        <v>663</v>
      </c>
      <c r="AV201" s="143">
        <v>4805</v>
      </c>
      <c r="AW201" s="137" t="s">
        <v>2838</v>
      </c>
      <c r="AX201" s="137" t="s">
        <v>2838</v>
      </c>
      <c r="AY201" s="137" t="s">
        <v>2838</v>
      </c>
      <c r="AZ201" s="137" t="s">
        <v>2838</v>
      </c>
      <c r="BA201" s="137" t="s">
        <v>2838</v>
      </c>
      <c r="BB201" s="137" t="s">
        <v>2838</v>
      </c>
      <c r="BC201" s="137" t="s">
        <v>2838</v>
      </c>
      <c r="BD201" s="137" t="s">
        <v>2838</v>
      </c>
      <c r="BE201" s="137" t="s">
        <v>2838</v>
      </c>
      <c r="BF201" s="137" t="s">
        <v>2838</v>
      </c>
      <c r="BI201" s="137" t="s">
        <v>2838</v>
      </c>
      <c r="BJ201" s="137" t="s">
        <v>2838</v>
      </c>
      <c r="BK201" s="190" t="s">
        <v>2838</v>
      </c>
      <c r="BM201" s="78" t="s">
        <v>2838</v>
      </c>
      <c r="BO201" s="143" t="s">
        <v>2849</v>
      </c>
      <c r="BP201" s="143" t="s">
        <v>748</v>
      </c>
      <c r="BQ201" s="143" t="s">
        <v>663</v>
      </c>
      <c r="BR201" s="143">
        <v>4805</v>
      </c>
      <c r="BY201" s="78" t="s">
        <v>2838</v>
      </c>
    </row>
    <row r="202" spans="1:77" x14ac:dyDescent="0.35">
      <c r="A202" s="143" t="s">
        <v>2850</v>
      </c>
      <c r="B202" s="143" t="s">
        <v>730</v>
      </c>
      <c r="C202" s="143" t="s">
        <v>2452</v>
      </c>
      <c r="D202" s="143">
        <v>61</v>
      </c>
      <c r="E202" s="137">
        <v>0.14000000000000001</v>
      </c>
      <c r="F202" s="137">
        <v>0.49066670000000001</v>
      </c>
      <c r="G202" s="271">
        <v>0.63066670000000002</v>
      </c>
      <c r="H202" s="137" t="s">
        <v>2487</v>
      </c>
      <c r="I202" s="137">
        <v>0.1222222</v>
      </c>
      <c r="J202" s="137">
        <v>0.35402299999999998</v>
      </c>
      <c r="K202" s="137">
        <v>0.47624519999999998</v>
      </c>
      <c r="M202" s="143" t="s">
        <v>2850</v>
      </c>
      <c r="N202" s="143" t="s">
        <v>730</v>
      </c>
      <c r="O202" s="143" t="s">
        <v>2452</v>
      </c>
      <c r="P202" s="143">
        <v>61</v>
      </c>
      <c r="Q202" s="137" t="s">
        <v>2486</v>
      </c>
      <c r="R202" s="137" t="s">
        <v>2486</v>
      </c>
      <c r="S202" s="137" t="s">
        <v>2486</v>
      </c>
      <c r="T202" s="137" t="s">
        <v>2486</v>
      </c>
      <c r="U202" s="137" t="s">
        <v>2486</v>
      </c>
      <c r="V202" s="137" t="s">
        <v>2486</v>
      </c>
      <c r="W202" s="137" t="s">
        <v>2486</v>
      </c>
      <c r="X202" s="137" t="s">
        <v>2486</v>
      </c>
      <c r="Y202" s="137" t="s">
        <v>2486</v>
      </c>
      <c r="Z202" s="137" t="s">
        <v>2486</v>
      </c>
      <c r="AA202" s="137" t="s">
        <v>2486</v>
      </c>
      <c r="AB202" s="137">
        <v>1</v>
      </c>
      <c r="AD202" s="143" t="s">
        <v>2850</v>
      </c>
      <c r="AE202" s="143" t="s">
        <v>730</v>
      </c>
      <c r="AF202" s="143" t="s">
        <v>2452</v>
      </c>
      <c r="AG202" s="143">
        <v>61</v>
      </c>
      <c r="AH202" s="137">
        <v>0.93846149999999995</v>
      </c>
      <c r="AI202" s="137">
        <v>0.68</v>
      </c>
      <c r="AJ202" s="137">
        <v>0.84210529999999995</v>
      </c>
      <c r="AK202" s="137">
        <v>0.81818179999999996</v>
      </c>
      <c r="AL202" s="137">
        <v>0.88888889999999998</v>
      </c>
      <c r="AM202" s="137">
        <v>0.66666669999999995</v>
      </c>
      <c r="AN202" s="137">
        <v>0.75757580000000002</v>
      </c>
      <c r="AO202" s="190">
        <v>0.58823530000000002</v>
      </c>
      <c r="AP202" s="190">
        <v>0.79912660000000002</v>
      </c>
      <c r="AQ202" s="78" t="s">
        <v>2487</v>
      </c>
      <c r="AS202" s="143" t="s">
        <v>2850</v>
      </c>
      <c r="AT202" s="143" t="s">
        <v>730</v>
      </c>
      <c r="AU202" s="143" t="s">
        <v>2452</v>
      </c>
      <c r="AV202" s="143">
        <v>61</v>
      </c>
      <c r="AW202" s="137" t="s">
        <v>2486</v>
      </c>
      <c r="AX202" s="137" t="s">
        <v>2486</v>
      </c>
      <c r="AY202" s="137" t="s">
        <v>2486</v>
      </c>
      <c r="AZ202" s="137" t="s">
        <v>2486</v>
      </c>
      <c r="BA202" s="137" t="s">
        <v>2486</v>
      </c>
      <c r="BB202" s="137" t="s">
        <v>2487</v>
      </c>
      <c r="BC202" s="137" t="s">
        <v>2486</v>
      </c>
      <c r="BD202" s="137" t="s">
        <v>2486</v>
      </c>
      <c r="BE202" s="137" t="s">
        <v>2486</v>
      </c>
      <c r="BF202" s="137" t="s">
        <v>2486</v>
      </c>
      <c r="BI202" s="137" t="s">
        <v>2838</v>
      </c>
      <c r="BJ202" s="137" t="s">
        <v>2838</v>
      </c>
      <c r="BK202" s="190" t="s">
        <v>2838</v>
      </c>
      <c r="BL202" s="190">
        <v>0.9</v>
      </c>
      <c r="BM202" s="78" t="s">
        <v>2487</v>
      </c>
      <c r="BO202" s="143" t="s">
        <v>2850</v>
      </c>
      <c r="BP202" s="143" t="s">
        <v>730</v>
      </c>
      <c r="BQ202" s="143" t="s">
        <v>2452</v>
      </c>
      <c r="BR202" s="143">
        <v>61</v>
      </c>
      <c r="BS202" s="156">
        <v>3</v>
      </c>
      <c r="BT202" s="156">
        <v>1</v>
      </c>
      <c r="BU202" s="156">
        <v>1</v>
      </c>
      <c r="BV202" s="156">
        <v>0.55555560000000004</v>
      </c>
      <c r="BW202" s="169">
        <v>1</v>
      </c>
      <c r="BX202" s="169">
        <v>0.88888889999999998</v>
      </c>
      <c r="BY202" s="78" t="s">
        <v>2487</v>
      </c>
    </row>
    <row r="203" spans="1:77" x14ac:dyDescent="0.35">
      <c r="A203" s="143" t="s">
        <v>2850</v>
      </c>
      <c r="B203" s="143" t="s">
        <v>730</v>
      </c>
      <c r="C203" s="143" t="s">
        <v>663</v>
      </c>
      <c r="D203" s="143">
        <v>2336</v>
      </c>
      <c r="E203" s="137">
        <v>0.16363639999999999</v>
      </c>
      <c r="F203" s="137">
        <v>7.2727299999999995E-2</v>
      </c>
      <c r="G203" s="271">
        <v>0.23636360000000001</v>
      </c>
      <c r="H203" s="137" t="s">
        <v>2487</v>
      </c>
      <c r="I203" s="137">
        <v>0.15</v>
      </c>
      <c r="J203" s="137">
        <v>0</v>
      </c>
      <c r="K203" s="137">
        <v>0.15</v>
      </c>
      <c r="M203" s="143" t="s">
        <v>2850</v>
      </c>
      <c r="N203" s="143" t="s">
        <v>730</v>
      </c>
      <c r="O203" s="143" t="s">
        <v>663</v>
      </c>
      <c r="P203" s="143">
        <v>2336</v>
      </c>
      <c r="Q203" s="137" t="s">
        <v>2487</v>
      </c>
      <c r="R203" s="137" t="s">
        <v>2486</v>
      </c>
      <c r="S203" s="137" t="s">
        <v>2486</v>
      </c>
      <c r="T203" s="137" t="s">
        <v>2486</v>
      </c>
      <c r="U203" s="137" t="s">
        <v>2487</v>
      </c>
      <c r="V203" s="137" t="s">
        <v>2487</v>
      </c>
      <c r="W203" s="137" t="s">
        <v>2487</v>
      </c>
      <c r="X203" s="137" t="s">
        <v>2486</v>
      </c>
      <c r="Y203" s="137" t="s">
        <v>2487</v>
      </c>
      <c r="Z203" s="137" t="s">
        <v>2486</v>
      </c>
      <c r="AA203" s="137" t="s">
        <v>2486</v>
      </c>
      <c r="AB203" s="137">
        <v>0.54545460000000001</v>
      </c>
      <c r="AD203" s="143" t="s">
        <v>2850</v>
      </c>
      <c r="AE203" s="143" t="s">
        <v>730</v>
      </c>
      <c r="AF203" s="143" t="s">
        <v>663</v>
      </c>
      <c r="AG203" s="143">
        <v>2336</v>
      </c>
      <c r="AO203" s="190">
        <v>0.78749999999999998</v>
      </c>
      <c r="AP203" s="190">
        <v>0.78749999999999998</v>
      </c>
      <c r="AQ203" s="78" t="s">
        <v>2487</v>
      </c>
      <c r="AS203" s="143" t="s">
        <v>2850</v>
      </c>
      <c r="AT203" s="143" t="s">
        <v>730</v>
      </c>
      <c r="AU203" s="143" t="s">
        <v>663</v>
      </c>
      <c r="AV203" s="143">
        <v>2336</v>
      </c>
      <c r="AW203" s="137" t="s">
        <v>2838</v>
      </c>
      <c r="AX203" s="137" t="s">
        <v>2838</v>
      </c>
      <c r="AY203" s="137" t="s">
        <v>2838</v>
      </c>
      <c r="AZ203" s="137" t="s">
        <v>2838</v>
      </c>
      <c r="BA203" s="137" t="s">
        <v>2838</v>
      </c>
      <c r="BB203" s="137" t="s">
        <v>2838</v>
      </c>
      <c r="BC203" s="137" t="s">
        <v>2838</v>
      </c>
      <c r="BD203" s="137" t="s">
        <v>2838</v>
      </c>
      <c r="BE203" s="137" t="s">
        <v>2838</v>
      </c>
      <c r="BF203" s="137" t="s">
        <v>2838</v>
      </c>
      <c r="BI203" s="137" t="s">
        <v>2486</v>
      </c>
      <c r="BJ203" s="137" t="s">
        <v>2487</v>
      </c>
      <c r="BK203" s="190" t="s">
        <v>2487</v>
      </c>
      <c r="BL203" s="190">
        <v>0.3333333</v>
      </c>
      <c r="BM203" s="78" t="s">
        <v>2487</v>
      </c>
      <c r="BO203" s="143" t="s">
        <v>2850</v>
      </c>
      <c r="BP203" s="143" t="s">
        <v>730</v>
      </c>
      <c r="BQ203" s="143" t="s">
        <v>663</v>
      </c>
      <c r="BR203" s="143">
        <v>2336</v>
      </c>
      <c r="BY203" s="78" t="s">
        <v>2838</v>
      </c>
    </row>
    <row r="204" spans="1:77" x14ac:dyDescent="0.35">
      <c r="A204" s="143" t="s">
        <v>2850</v>
      </c>
      <c r="B204" s="143" t="s">
        <v>730</v>
      </c>
      <c r="C204" s="143" t="s">
        <v>663</v>
      </c>
      <c r="D204" s="143">
        <v>2771</v>
      </c>
      <c r="E204" s="137">
        <v>9.0909100000000007E-2</v>
      </c>
      <c r="F204" s="137">
        <v>0</v>
      </c>
      <c r="G204" s="271">
        <v>9.0909100000000007E-2</v>
      </c>
      <c r="H204" s="137" t="s">
        <v>2487</v>
      </c>
      <c r="I204" s="137">
        <v>3.3333300000000003E-2</v>
      </c>
      <c r="J204" s="137">
        <v>0</v>
      </c>
      <c r="K204" s="137">
        <v>3.3333300000000003E-2</v>
      </c>
      <c r="M204" s="143" t="s">
        <v>2850</v>
      </c>
      <c r="N204" s="143" t="s">
        <v>730</v>
      </c>
      <c r="O204" s="143" t="s">
        <v>663</v>
      </c>
      <c r="P204" s="143">
        <v>2771</v>
      </c>
      <c r="Q204" s="137" t="s">
        <v>2487</v>
      </c>
      <c r="R204" s="137" t="s">
        <v>2486</v>
      </c>
      <c r="S204" s="137" t="s">
        <v>2487</v>
      </c>
      <c r="T204" s="137" t="s">
        <v>2487</v>
      </c>
      <c r="U204" s="137" t="s">
        <v>2487</v>
      </c>
      <c r="V204" s="137" t="s">
        <v>2487</v>
      </c>
      <c r="W204" s="137" t="s">
        <v>2487</v>
      </c>
      <c r="X204" s="137" t="s">
        <v>2487</v>
      </c>
      <c r="Y204" s="137" t="s">
        <v>2487</v>
      </c>
      <c r="Z204" s="137" t="s">
        <v>2487</v>
      </c>
      <c r="AA204" s="137" t="s">
        <v>2486</v>
      </c>
      <c r="AB204" s="137">
        <v>0.18181820000000001</v>
      </c>
      <c r="AD204" s="143" t="s">
        <v>2850</v>
      </c>
      <c r="AE204" s="143" t="s">
        <v>730</v>
      </c>
      <c r="AF204" s="143" t="s">
        <v>663</v>
      </c>
      <c r="AG204" s="143">
        <v>2771</v>
      </c>
      <c r="AO204" s="190">
        <v>0.52500000000000002</v>
      </c>
      <c r="AP204" s="190">
        <v>0.52500000000000002</v>
      </c>
      <c r="AQ204" s="78" t="s">
        <v>2487</v>
      </c>
      <c r="AS204" s="143" t="s">
        <v>2850</v>
      </c>
      <c r="AT204" s="143" t="s">
        <v>730</v>
      </c>
      <c r="AU204" s="143" t="s">
        <v>663</v>
      </c>
      <c r="AV204" s="143">
        <v>2771</v>
      </c>
      <c r="AW204" s="137" t="s">
        <v>2838</v>
      </c>
      <c r="AX204" s="137" t="s">
        <v>2838</v>
      </c>
      <c r="AY204" s="137" t="s">
        <v>2838</v>
      </c>
      <c r="AZ204" s="137" t="s">
        <v>2838</v>
      </c>
      <c r="BA204" s="137" t="s">
        <v>2838</v>
      </c>
      <c r="BB204" s="137" t="s">
        <v>2838</v>
      </c>
      <c r="BC204" s="137" t="s">
        <v>2838</v>
      </c>
      <c r="BD204" s="137" t="s">
        <v>2838</v>
      </c>
      <c r="BE204" s="137" t="s">
        <v>2838</v>
      </c>
      <c r="BF204" s="137" t="s">
        <v>2838</v>
      </c>
      <c r="BI204" s="137" t="s">
        <v>2487</v>
      </c>
      <c r="BJ204" s="137" t="s">
        <v>2487</v>
      </c>
      <c r="BK204" s="190" t="s">
        <v>2487</v>
      </c>
      <c r="BL204" s="190">
        <v>0</v>
      </c>
      <c r="BM204" s="78" t="s">
        <v>2487</v>
      </c>
      <c r="BO204" s="143" t="s">
        <v>2850</v>
      </c>
      <c r="BP204" s="143" t="s">
        <v>730</v>
      </c>
      <c r="BQ204" s="143" t="s">
        <v>663</v>
      </c>
      <c r="BR204" s="143">
        <v>2771</v>
      </c>
      <c r="BY204" s="78" t="s">
        <v>2838</v>
      </c>
    </row>
    <row r="205" spans="1:77" x14ac:dyDescent="0.35">
      <c r="A205" s="143" t="s">
        <v>2850</v>
      </c>
      <c r="B205" s="143" t="s">
        <v>730</v>
      </c>
      <c r="C205" s="143" t="s">
        <v>663</v>
      </c>
      <c r="D205" s="143">
        <v>3434</v>
      </c>
      <c r="E205" s="137">
        <v>0.16363639999999999</v>
      </c>
      <c r="F205" s="137">
        <v>0.26583069999999998</v>
      </c>
      <c r="G205" s="271">
        <v>0.42946709999999999</v>
      </c>
      <c r="H205" s="137" t="s">
        <v>2487</v>
      </c>
      <c r="I205" s="137">
        <v>0.13333329999999999</v>
      </c>
      <c r="J205" s="137">
        <v>0</v>
      </c>
      <c r="K205" s="137">
        <v>0.13333329999999999</v>
      </c>
      <c r="M205" s="143" t="s">
        <v>2850</v>
      </c>
      <c r="N205" s="143" t="s">
        <v>730</v>
      </c>
      <c r="O205" s="143" t="s">
        <v>663</v>
      </c>
      <c r="P205" s="143">
        <v>3434</v>
      </c>
      <c r="Q205" s="137" t="s">
        <v>2487</v>
      </c>
      <c r="R205" s="137" t="s">
        <v>2487</v>
      </c>
      <c r="S205" s="137" t="s">
        <v>2487</v>
      </c>
      <c r="T205" s="137" t="s">
        <v>2487</v>
      </c>
      <c r="U205" s="137" t="s">
        <v>2487</v>
      </c>
      <c r="V205" s="137" t="s">
        <v>2487</v>
      </c>
      <c r="W205" s="137" t="s">
        <v>2487</v>
      </c>
      <c r="X205" s="137" t="s">
        <v>2487</v>
      </c>
      <c r="Y205" s="137" t="s">
        <v>2487</v>
      </c>
      <c r="Z205" s="137" t="s">
        <v>2486</v>
      </c>
      <c r="AA205" s="137" t="s">
        <v>2487</v>
      </c>
      <c r="AB205" s="137">
        <v>9.0909100000000007E-2</v>
      </c>
      <c r="AD205" s="143" t="s">
        <v>2850</v>
      </c>
      <c r="AE205" s="143" t="s">
        <v>730</v>
      </c>
      <c r="AF205" s="143" t="s">
        <v>663</v>
      </c>
      <c r="AG205" s="143">
        <v>3434</v>
      </c>
      <c r="AO205" s="190">
        <v>0.48749999999999999</v>
      </c>
      <c r="AP205" s="190">
        <v>0.48749999999999999</v>
      </c>
      <c r="AQ205" s="78" t="s">
        <v>2487</v>
      </c>
      <c r="AS205" s="143" t="s">
        <v>2850</v>
      </c>
      <c r="AT205" s="143" t="s">
        <v>730</v>
      </c>
      <c r="AU205" s="143" t="s">
        <v>663</v>
      </c>
      <c r="AV205" s="143">
        <v>3434</v>
      </c>
      <c r="AW205" s="137" t="s">
        <v>2838</v>
      </c>
      <c r="AX205" s="137" t="s">
        <v>2838</v>
      </c>
      <c r="AY205" s="137" t="s">
        <v>2838</v>
      </c>
      <c r="AZ205" s="137" t="s">
        <v>2838</v>
      </c>
      <c r="BA205" s="137" t="s">
        <v>2838</v>
      </c>
      <c r="BB205" s="137" t="s">
        <v>2838</v>
      </c>
      <c r="BC205" s="137" t="s">
        <v>2838</v>
      </c>
      <c r="BD205" s="137" t="s">
        <v>2838</v>
      </c>
      <c r="BE205" s="137" t="s">
        <v>2838</v>
      </c>
      <c r="BF205" s="137" t="s">
        <v>2838</v>
      </c>
      <c r="BI205" s="137" t="s">
        <v>2487</v>
      </c>
      <c r="BJ205" s="137" t="s">
        <v>2487</v>
      </c>
      <c r="BK205" s="190" t="s">
        <v>2487</v>
      </c>
      <c r="BL205" s="190">
        <v>0</v>
      </c>
      <c r="BM205" s="78" t="s">
        <v>2487</v>
      </c>
      <c r="BO205" s="143" t="s">
        <v>2850</v>
      </c>
      <c r="BP205" s="143" t="s">
        <v>730</v>
      </c>
      <c r="BQ205" s="143" t="s">
        <v>663</v>
      </c>
      <c r="BR205" s="143">
        <v>3434</v>
      </c>
      <c r="BY205" s="78" t="s">
        <v>2838</v>
      </c>
    </row>
    <row r="206" spans="1:77" x14ac:dyDescent="0.35">
      <c r="A206" s="143" t="s">
        <v>2850</v>
      </c>
      <c r="B206" s="143" t="s">
        <v>730</v>
      </c>
      <c r="C206" s="143" t="s">
        <v>663</v>
      </c>
      <c r="D206" s="143">
        <v>4801</v>
      </c>
      <c r="E206" s="137">
        <v>0.14545449999999999</v>
      </c>
      <c r="F206" s="137">
        <v>0.21818180000000001</v>
      </c>
      <c r="G206" s="271">
        <v>0.36363640000000003</v>
      </c>
      <c r="H206" s="137" t="s">
        <v>2487</v>
      </c>
      <c r="I206" s="137">
        <v>0.13333329999999999</v>
      </c>
      <c r="J206" s="137">
        <v>0.2</v>
      </c>
      <c r="K206" s="137">
        <v>0.3333333</v>
      </c>
      <c r="M206" s="143" t="s">
        <v>2850</v>
      </c>
      <c r="N206" s="143" t="s">
        <v>730</v>
      </c>
      <c r="O206" s="143" t="s">
        <v>663</v>
      </c>
      <c r="P206" s="143">
        <v>4801</v>
      </c>
      <c r="Q206" s="137" t="s">
        <v>2487</v>
      </c>
      <c r="R206" s="137" t="s">
        <v>2486</v>
      </c>
      <c r="S206" s="137" t="s">
        <v>2487</v>
      </c>
      <c r="T206" s="137" t="s">
        <v>2487</v>
      </c>
      <c r="U206" s="137" t="s">
        <v>2487</v>
      </c>
      <c r="V206" s="137" t="s">
        <v>2487</v>
      </c>
      <c r="W206" s="137" t="s">
        <v>2486</v>
      </c>
      <c r="X206" s="137" t="s">
        <v>2486</v>
      </c>
      <c r="Y206" s="137" t="s">
        <v>2486</v>
      </c>
      <c r="Z206" s="137" t="s">
        <v>2487</v>
      </c>
      <c r="AA206" s="137" t="s">
        <v>2487</v>
      </c>
      <c r="AB206" s="137">
        <v>0.36363640000000003</v>
      </c>
      <c r="AD206" s="143" t="s">
        <v>2850</v>
      </c>
      <c r="AE206" s="143" t="s">
        <v>730</v>
      </c>
      <c r="AF206" s="143" t="s">
        <v>663</v>
      </c>
      <c r="AG206" s="143">
        <v>4801</v>
      </c>
      <c r="AO206" s="190">
        <v>0.57499999999999996</v>
      </c>
      <c r="AP206" s="190">
        <v>0.57499999999999996</v>
      </c>
      <c r="AQ206" s="78" t="s">
        <v>2487</v>
      </c>
      <c r="AS206" s="143" t="s">
        <v>2850</v>
      </c>
      <c r="AT206" s="143" t="s">
        <v>730</v>
      </c>
      <c r="AU206" s="143" t="s">
        <v>663</v>
      </c>
      <c r="AV206" s="143">
        <v>4801</v>
      </c>
      <c r="AW206" s="137" t="s">
        <v>2838</v>
      </c>
      <c r="AX206" s="137" t="s">
        <v>2838</v>
      </c>
      <c r="AY206" s="137" t="s">
        <v>2838</v>
      </c>
      <c r="AZ206" s="137" t="s">
        <v>2838</v>
      </c>
      <c r="BA206" s="137" t="s">
        <v>2838</v>
      </c>
      <c r="BB206" s="137" t="s">
        <v>2838</v>
      </c>
      <c r="BC206" s="137" t="s">
        <v>2838</v>
      </c>
      <c r="BD206" s="137" t="s">
        <v>2838</v>
      </c>
      <c r="BE206" s="137" t="s">
        <v>2838</v>
      </c>
      <c r="BF206" s="137" t="s">
        <v>2838</v>
      </c>
      <c r="BI206" s="137" t="s">
        <v>2487</v>
      </c>
      <c r="BJ206" s="137" t="s">
        <v>2487</v>
      </c>
      <c r="BK206" s="190" t="s">
        <v>2486</v>
      </c>
      <c r="BL206" s="190">
        <v>0.3333333</v>
      </c>
      <c r="BM206" s="78" t="s">
        <v>2487</v>
      </c>
      <c r="BO206" s="143" t="s">
        <v>2850</v>
      </c>
      <c r="BP206" s="143" t="s">
        <v>730</v>
      </c>
      <c r="BQ206" s="143" t="s">
        <v>663</v>
      </c>
      <c r="BR206" s="143">
        <v>4801</v>
      </c>
      <c r="BY206" s="78" t="s">
        <v>2838</v>
      </c>
    </row>
    <row r="207" spans="1:77" x14ac:dyDescent="0.35">
      <c r="A207" s="143" t="s">
        <v>2850</v>
      </c>
      <c r="B207" s="143" t="s">
        <v>730</v>
      </c>
      <c r="C207" s="143" t="s">
        <v>663</v>
      </c>
      <c r="D207" s="143">
        <v>4805</v>
      </c>
      <c r="E207" s="137">
        <v>0.1090909</v>
      </c>
      <c r="F207" s="137">
        <v>0.23573669999999999</v>
      </c>
      <c r="G207" s="271">
        <v>0.34482760000000001</v>
      </c>
      <c r="H207" s="137" t="s">
        <v>2487</v>
      </c>
      <c r="I207" s="137">
        <v>0.1166667</v>
      </c>
      <c r="J207" s="137">
        <v>0.26666669999999998</v>
      </c>
      <c r="K207" s="137">
        <v>0.38333329999999999</v>
      </c>
      <c r="M207" s="143" t="s">
        <v>2850</v>
      </c>
      <c r="N207" s="143" t="s">
        <v>730</v>
      </c>
      <c r="O207" s="143" t="s">
        <v>663</v>
      </c>
      <c r="P207" s="143">
        <v>4805</v>
      </c>
      <c r="Q207" s="137" t="s">
        <v>2487</v>
      </c>
      <c r="R207" s="137" t="s">
        <v>2486</v>
      </c>
      <c r="S207" s="137" t="s">
        <v>2486</v>
      </c>
      <c r="T207" s="137" t="s">
        <v>2486</v>
      </c>
      <c r="U207" s="137" t="s">
        <v>2487</v>
      </c>
      <c r="V207" s="137" t="s">
        <v>2487</v>
      </c>
      <c r="W207" s="137" t="s">
        <v>2486</v>
      </c>
      <c r="X207" s="137" t="s">
        <v>2486</v>
      </c>
      <c r="Y207" s="137" t="s">
        <v>2486</v>
      </c>
      <c r="Z207" s="137" t="s">
        <v>2487</v>
      </c>
      <c r="AA207" s="137" t="s">
        <v>2486</v>
      </c>
      <c r="AB207" s="137">
        <v>0.63636360000000003</v>
      </c>
      <c r="AD207" s="143" t="s">
        <v>2850</v>
      </c>
      <c r="AE207" s="143" t="s">
        <v>730</v>
      </c>
      <c r="AF207" s="143" t="s">
        <v>663</v>
      </c>
      <c r="AG207" s="143">
        <v>4805</v>
      </c>
      <c r="AO207" s="190">
        <v>0.7</v>
      </c>
      <c r="AP207" s="190">
        <v>0.7</v>
      </c>
      <c r="AQ207" s="78" t="s">
        <v>2487</v>
      </c>
      <c r="AS207" s="143" t="s">
        <v>2850</v>
      </c>
      <c r="AT207" s="143" t="s">
        <v>730</v>
      </c>
      <c r="AU207" s="143" t="s">
        <v>663</v>
      </c>
      <c r="AV207" s="143">
        <v>4805</v>
      </c>
      <c r="AW207" s="137" t="s">
        <v>2838</v>
      </c>
      <c r="AX207" s="137" t="s">
        <v>2838</v>
      </c>
      <c r="AY207" s="137" t="s">
        <v>2838</v>
      </c>
      <c r="AZ207" s="137" t="s">
        <v>2838</v>
      </c>
      <c r="BA207" s="137" t="s">
        <v>2838</v>
      </c>
      <c r="BB207" s="137" t="s">
        <v>2838</v>
      </c>
      <c r="BC207" s="137" t="s">
        <v>2838</v>
      </c>
      <c r="BD207" s="137" t="s">
        <v>2838</v>
      </c>
      <c r="BE207" s="137" t="s">
        <v>2838</v>
      </c>
      <c r="BF207" s="137" t="s">
        <v>2838</v>
      </c>
      <c r="BI207" s="137" t="s">
        <v>2487</v>
      </c>
      <c r="BJ207" s="137" t="s">
        <v>2487</v>
      </c>
      <c r="BK207" s="190" t="s">
        <v>2487</v>
      </c>
      <c r="BL207" s="190">
        <v>0</v>
      </c>
      <c r="BM207" s="78" t="s">
        <v>2487</v>
      </c>
      <c r="BO207" s="143" t="s">
        <v>2850</v>
      </c>
      <c r="BP207" s="143" t="s">
        <v>730</v>
      </c>
      <c r="BQ207" s="143" t="s">
        <v>663</v>
      </c>
      <c r="BR207" s="143">
        <v>4805</v>
      </c>
      <c r="BY207" s="78" t="s">
        <v>2838</v>
      </c>
    </row>
    <row r="208" spans="1:77" x14ac:dyDescent="0.35">
      <c r="A208" s="143" t="s">
        <v>758</v>
      </c>
      <c r="B208" s="143" t="s">
        <v>759</v>
      </c>
      <c r="C208" s="143" t="s">
        <v>663</v>
      </c>
      <c r="D208" s="143">
        <v>2330</v>
      </c>
      <c r="E208" s="137">
        <v>0.16363639999999999</v>
      </c>
      <c r="F208" s="137">
        <v>0.64147089999999996</v>
      </c>
      <c r="G208" s="271">
        <v>0.80510720000000002</v>
      </c>
      <c r="H208" s="137" t="s">
        <v>2487</v>
      </c>
      <c r="I208" s="137">
        <v>0.2</v>
      </c>
      <c r="J208" s="137">
        <v>0.73333329999999997</v>
      </c>
      <c r="K208" s="137">
        <v>0.93333330000000003</v>
      </c>
      <c r="M208" s="143" t="s">
        <v>758</v>
      </c>
      <c r="N208" s="143" t="s">
        <v>759</v>
      </c>
      <c r="O208" s="143" t="s">
        <v>663</v>
      </c>
      <c r="P208" s="143">
        <v>2330</v>
      </c>
      <c r="Q208" s="137" t="s">
        <v>2486</v>
      </c>
      <c r="R208" s="137" t="s">
        <v>2486</v>
      </c>
      <c r="S208" s="137" t="s">
        <v>2486</v>
      </c>
      <c r="T208" s="137" t="s">
        <v>2486</v>
      </c>
      <c r="U208" s="137" t="s">
        <v>2487</v>
      </c>
      <c r="V208" s="137" t="s">
        <v>2487</v>
      </c>
      <c r="W208" s="137" t="s">
        <v>2486</v>
      </c>
      <c r="X208" s="137" t="s">
        <v>2486</v>
      </c>
      <c r="Y208" s="137" t="s">
        <v>2486</v>
      </c>
      <c r="Z208" s="137" t="s">
        <v>2486</v>
      </c>
      <c r="AA208" s="137" t="s">
        <v>2487</v>
      </c>
      <c r="AB208" s="137">
        <v>0.72727269999999999</v>
      </c>
      <c r="AD208" s="143" t="s">
        <v>758</v>
      </c>
      <c r="AE208" s="143" t="s">
        <v>759</v>
      </c>
      <c r="AF208" s="143" t="s">
        <v>663</v>
      </c>
      <c r="AG208" s="143">
        <v>2330</v>
      </c>
      <c r="AO208" s="190">
        <v>0.97499999999999998</v>
      </c>
      <c r="AP208" s="190">
        <v>0.97499999999999998</v>
      </c>
      <c r="AQ208" s="78" t="s">
        <v>2486</v>
      </c>
      <c r="AS208" s="143" t="s">
        <v>758</v>
      </c>
      <c r="AT208" s="143" t="s">
        <v>759</v>
      </c>
      <c r="AU208" s="143" t="s">
        <v>663</v>
      </c>
      <c r="AV208" s="143">
        <v>2330</v>
      </c>
      <c r="AW208" s="137" t="s">
        <v>2838</v>
      </c>
      <c r="AX208" s="137" t="s">
        <v>2838</v>
      </c>
      <c r="AY208" s="137" t="s">
        <v>2838</v>
      </c>
      <c r="AZ208" s="137" t="s">
        <v>2838</v>
      </c>
      <c r="BA208" s="137" t="s">
        <v>2838</v>
      </c>
      <c r="BB208" s="137" t="s">
        <v>2838</v>
      </c>
      <c r="BC208" s="137" t="s">
        <v>2838</v>
      </c>
      <c r="BD208" s="137" t="s">
        <v>2838</v>
      </c>
      <c r="BE208" s="137" t="s">
        <v>2838</v>
      </c>
      <c r="BF208" s="137" t="s">
        <v>2838</v>
      </c>
      <c r="BI208" s="137" t="s">
        <v>2486</v>
      </c>
      <c r="BJ208" s="137" t="s">
        <v>2486</v>
      </c>
      <c r="BK208" s="190" t="s">
        <v>2486</v>
      </c>
      <c r="BL208" s="190">
        <v>1</v>
      </c>
      <c r="BM208" s="78" t="s">
        <v>2486</v>
      </c>
      <c r="BO208" s="143" t="s">
        <v>758</v>
      </c>
      <c r="BP208" s="143" t="s">
        <v>759</v>
      </c>
      <c r="BQ208" s="143" t="s">
        <v>663</v>
      </c>
      <c r="BR208" s="143">
        <v>2330</v>
      </c>
      <c r="BY208" s="78" t="s">
        <v>2838</v>
      </c>
    </row>
    <row r="209" spans="1:77" x14ac:dyDescent="0.35">
      <c r="A209" s="143" t="s">
        <v>758</v>
      </c>
      <c r="B209" s="143" t="s">
        <v>759</v>
      </c>
      <c r="C209" s="143" t="s">
        <v>663</v>
      </c>
      <c r="D209" s="143">
        <v>2331</v>
      </c>
      <c r="E209" s="137">
        <v>0.18181820000000001</v>
      </c>
      <c r="F209" s="137">
        <v>0.72727269999999999</v>
      </c>
      <c r="G209" s="271">
        <v>0.90909090000000004</v>
      </c>
      <c r="H209" s="137" t="s">
        <v>2486</v>
      </c>
      <c r="I209" s="137">
        <v>0.1166667</v>
      </c>
      <c r="J209" s="137">
        <v>0.55580529999999995</v>
      </c>
      <c r="K209" s="137">
        <v>0.67247190000000001</v>
      </c>
      <c r="M209" s="143" t="s">
        <v>758</v>
      </c>
      <c r="N209" s="143" t="s">
        <v>759</v>
      </c>
      <c r="O209" s="143" t="s">
        <v>663</v>
      </c>
      <c r="P209" s="143">
        <v>2331</v>
      </c>
      <c r="Q209" s="137" t="s">
        <v>2487</v>
      </c>
      <c r="R209" s="137" t="s">
        <v>2486</v>
      </c>
      <c r="S209" s="137" t="s">
        <v>2486</v>
      </c>
      <c r="T209" s="137" t="s">
        <v>2486</v>
      </c>
      <c r="U209" s="137" t="s">
        <v>2487</v>
      </c>
      <c r="V209" s="137" t="s">
        <v>2487</v>
      </c>
      <c r="W209" s="137" t="s">
        <v>2486</v>
      </c>
      <c r="X209" s="137" t="s">
        <v>2486</v>
      </c>
      <c r="Y209" s="137" t="s">
        <v>2486</v>
      </c>
      <c r="Z209" s="137" t="s">
        <v>2486</v>
      </c>
      <c r="AA209" s="137" t="s">
        <v>2486</v>
      </c>
      <c r="AB209" s="137">
        <v>0.72727269999999999</v>
      </c>
      <c r="AD209" s="143" t="s">
        <v>758</v>
      </c>
      <c r="AE209" s="143" t="s">
        <v>759</v>
      </c>
      <c r="AF209" s="143" t="s">
        <v>663</v>
      </c>
      <c r="AG209" s="143">
        <v>2331</v>
      </c>
      <c r="AO209" s="190">
        <v>0.88749999999999996</v>
      </c>
      <c r="AP209" s="190">
        <v>0.88749999999999996</v>
      </c>
      <c r="AQ209" s="78" t="s">
        <v>2487</v>
      </c>
      <c r="AS209" s="143" t="s">
        <v>758</v>
      </c>
      <c r="AT209" s="143" t="s">
        <v>759</v>
      </c>
      <c r="AU209" s="143" t="s">
        <v>663</v>
      </c>
      <c r="AV209" s="143">
        <v>2331</v>
      </c>
      <c r="AW209" s="137" t="s">
        <v>2838</v>
      </c>
      <c r="AX209" s="137" t="s">
        <v>2838</v>
      </c>
      <c r="AY209" s="137" t="s">
        <v>2838</v>
      </c>
      <c r="AZ209" s="137" t="s">
        <v>2838</v>
      </c>
      <c r="BA209" s="137" t="s">
        <v>2838</v>
      </c>
      <c r="BB209" s="137" t="s">
        <v>2838</v>
      </c>
      <c r="BC209" s="137" t="s">
        <v>2838</v>
      </c>
      <c r="BD209" s="137" t="s">
        <v>2838</v>
      </c>
      <c r="BE209" s="137" t="s">
        <v>2838</v>
      </c>
      <c r="BF209" s="137" t="s">
        <v>2838</v>
      </c>
      <c r="BI209" s="137" t="s">
        <v>2486</v>
      </c>
      <c r="BJ209" s="137" t="s">
        <v>2486</v>
      </c>
      <c r="BK209" s="190" t="s">
        <v>2486</v>
      </c>
      <c r="BL209" s="190">
        <v>1</v>
      </c>
      <c r="BM209" s="78" t="s">
        <v>2486</v>
      </c>
      <c r="BO209" s="143" t="s">
        <v>758</v>
      </c>
      <c r="BP209" s="143" t="s">
        <v>759</v>
      </c>
      <c r="BQ209" s="143" t="s">
        <v>663</v>
      </c>
      <c r="BR209" s="143">
        <v>2331</v>
      </c>
      <c r="BY209" s="78" t="s">
        <v>2838</v>
      </c>
    </row>
    <row r="210" spans="1:77" x14ac:dyDescent="0.35">
      <c r="A210" s="143" t="s">
        <v>758</v>
      </c>
      <c r="B210" s="143" t="s">
        <v>759</v>
      </c>
      <c r="C210" s="143" t="s">
        <v>663</v>
      </c>
      <c r="D210" s="143">
        <v>3186</v>
      </c>
      <c r="E210" s="137">
        <v>0.16363639999999999</v>
      </c>
      <c r="F210" s="137">
        <v>0.6194075</v>
      </c>
      <c r="G210" s="271">
        <v>0.78304390000000001</v>
      </c>
      <c r="H210" s="137" t="s">
        <v>2487</v>
      </c>
      <c r="I210" s="137">
        <v>0.1833333</v>
      </c>
      <c r="J210" s="137">
        <v>0.73333329999999997</v>
      </c>
      <c r="K210" s="137">
        <v>0.91666669999999995</v>
      </c>
      <c r="M210" s="143" t="s">
        <v>758</v>
      </c>
      <c r="N210" s="143" t="s">
        <v>759</v>
      </c>
      <c r="O210" s="143" t="s">
        <v>663</v>
      </c>
      <c r="P210" s="143">
        <v>3186</v>
      </c>
      <c r="Q210" s="137" t="s">
        <v>2486</v>
      </c>
      <c r="R210" s="137" t="s">
        <v>2486</v>
      </c>
      <c r="S210" s="137" t="s">
        <v>2486</v>
      </c>
      <c r="T210" s="137" t="s">
        <v>2486</v>
      </c>
      <c r="U210" s="137" t="s">
        <v>2487</v>
      </c>
      <c r="V210" s="137" t="s">
        <v>2487</v>
      </c>
      <c r="W210" s="137" t="s">
        <v>2486</v>
      </c>
      <c r="X210" s="137" t="s">
        <v>2486</v>
      </c>
      <c r="Y210" s="137" t="s">
        <v>2486</v>
      </c>
      <c r="Z210" s="137" t="s">
        <v>2486</v>
      </c>
      <c r="AA210" s="137" t="s">
        <v>2486</v>
      </c>
      <c r="AB210" s="137">
        <v>0.81818179999999996</v>
      </c>
      <c r="AD210" s="143" t="s">
        <v>758</v>
      </c>
      <c r="AE210" s="143" t="s">
        <v>759</v>
      </c>
      <c r="AF210" s="143" t="s">
        <v>663</v>
      </c>
      <c r="AG210" s="143">
        <v>3186</v>
      </c>
      <c r="AO210" s="190">
        <v>0.96250000000000002</v>
      </c>
      <c r="AP210" s="190">
        <v>0.96250000000000002</v>
      </c>
      <c r="AQ210" s="78" t="s">
        <v>2486</v>
      </c>
      <c r="AS210" s="143" t="s">
        <v>758</v>
      </c>
      <c r="AT210" s="143" t="s">
        <v>759</v>
      </c>
      <c r="AU210" s="143" t="s">
        <v>663</v>
      </c>
      <c r="AV210" s="143">
        <v>3186</v>
      </c>
      <c r="AW210" s="137" t="s">
        <v>2838</v>
      </c>
      <c r="AX210" s="137" t="s">
        <v>2838</v>
      </c>
      <c r="AY210" s="137" t="s">
        <v>2838</v>
      </c>
      <c r="AZ210" s="137" t="s">
        <v>2838</v>
      </c>
      <c r="BA210" s="137" t="s">
        <v>2838</v>
      </c>
      <c r="BB210" s="137" t="s">
        <v>2838</v>
      </c>
      <c r="BC210" s="137" t="s">
        <v>2838</v>
      </c>
      <c r="BD210" s="137" t="s">
        <v>2838</v>
      </c>
      <c r="BE210" s="137" t="s">
        <v>2838</v>
      </c>
      <c r="BF210" s="137" t="s">
        <v>2838</v>
      </c>
      <c r="BI210" s="137" t="s">
        <v>2486</v>
      </c>
      <c r="BJ210" s="137" t="s">
        <v>2486</v>
      </c>
      <c r="BK210" s="190" t="s">
        <v>2486</v>
      </c>
      <c r="BL210" s="190">
        <v>1</v>
      </c>
      <c r="BM210" s="78" t="s">
        <v>2486</v>
      </c>
      <c r="BO210" s="143" t="s">
        <v>758</v>
      </c>
      <c r="BP210" s="143" t="s">
        <v>759</v>
      </c>
      <c r="BQ210" s="143" t="s">
        <v>663</v>
      </c>
      <c r="BR210" s="143">
        <v>3186</v>
      </c>
      <c r="BY210" s="78" t="s">
        <v>2838</v>
      </c>
    </row>
    <row r="211" spans="1:77" x14ac:dyDescent="0.35">
      <c r="A211" s="143" t="s">
        <v>758</v>
      </c>
      <c r="B211" s="143" t="s">
        <v>759</v>
      </c>
      <c r="C211" s="143" t="s">
        <v>663</v>
      </c>
      <c r="D211" s="143">
        <v>3385</v>
      </c>
      <c r="E211" s="137">
        <v>0.18181820000000001</v>
      </c>
      <c r="F211" s="137">
        <v>0.70275799999999999</v>
      </c>
      <c r="G211" s="271">
        <v>0.88457609999999998</v>
      </c>
      <c r="H211" s="137" t="s">
        <v>2487</v>
      </c>
      <c r="I211" s="137">
        <v>0.1833333</v>
      </c>
      <c r="J211" s="137">
        <v>0.67265920000000001</v>
      </c>
      <c r="K211" s="137">
        <v>0.85599250000000005</v>
      </c>
      <c r="M211" s="143" t="s">
        <v>758</v>
      </c>
      <c r="N211" s="143" t="s">
        <v>759</v>
      </c>
      <c r="O211" s="143" t="s">
        <v>663</v>
      </c>
      <c r="P211" s="143">
        <v>3385</v>
      </c>
      <c r="Q211" s="137" t="s">
        <v>2486</v>
      </c>
      <c r="R211" s="137" t="s">
        <v>2486</v>
      </c>
      <c r="S211" s="137" t="s">
        <v>2486</v>
      </c>
      <c r="T211" s="137" t="s">
        <v>2486</v>
      </c>
      <c r="U211" s="137" t="s">
        <v>2487</v>
      </c>
      <c r="V211" s="137" t="s">
        <v>2487</v>
      </c>
      <c r="W211" s="137" t="s">
        <v>2486</v>
      </c>
      <c r="X211" s="137" t="s">
        <v>2486</v>
      </c>
      <c r="Y211" s="137" t="s">
        <v>2486</v>
      </c>
      <c r="Z211" s="137" t="s">
        <v>2486</v>
      </c>
      <c r="AA211" s="137" t="s">
        <v>2486</v>
      </c>
      <c r="AB211" s="137">
        <v>0.81818179999999996</v>
      </c>
      <c r="AD211" s="143" t="s">
        <v>758</v>
      </c>
      <c r="AE211" s="143" t="s">
        <v>759</v>
      </c>
      <c r="AF211" s="143" t="s">
        <v>663</v>
      </c>
      <c r="AG211" s="143">
        <v>3385</v>
      </c>
      <c r="AO211" s="190">
        <v>0.95</v>
      </c>
      <c r="AP211" s="190">
        <v>0.95</v>
      </c>
      <c r="AQ211" s="78" t="s">
        <v>2487</v>
      </c>
      <c r="AS211" s="143" t="s">
        <v>758</v>
      </c>
      <c r="AT211" s="143" t="s">
        <v>759</v>
      </c>
      <c r="AU211" s="143" t="s">
        <v>663</v>
      </c>
      <c r="AV211" s="143">
        <v>3385</v>
      </c>
      <c r="AW211" s="137" t="s">
        <v>2838</v>
      </c>
      <c r="AX211" s="137" t="s">
        <v>2838</v>
      </c>
      <c r="AY211" s="137" t="s">
        <v>2838</v>
      </c>
      <c r="AZ211" s="137" t="s">
        <v>2838</v>
      </c>
      <c r="BA211" s="137" t="s">
        <v>2838</v>
      </c>
      <c r="BB211" s="137" t="s">
        <v>2838</v>
      </c>
      <c r="BC211" s="137" t="s">
        <v>2838</v>
      </c>
      <c r="BD211" s="137" t="s">
        <v>2838</v>
      </c>
      <c r="BE211" s="137" t="s">
        <v>2838</v>
      </c>
      <c r="BF211" s="137" t="s">
        <v>2838</v>
      </c>
      <c r="BI211" s="137" t="s">
        <v>2486</v>
      </c>
      <c r="BJ211" s="137" t="s">
        <v>2486</v>
      </c>
      <c r="BK211" s="190" t="s">
        <v>2486</v>
      </c>
      <c r="BL211" s="190">
        <v>1</v>
      </c>
      <c r="BM211" s="78" t="s">
        <v>2486</v>
      </c>
      <c r="BO211" s="143" t="s">
        <v>758</v>
      </c>
      <c r="BP211" s="143" t="s">
        <v>759</v>
      </c>
      <c r="BQ211" s="143" t="s">
        <v>663</v>
      </c>
      <c r="BR211" s="143">
        <v>3385</v>
      </c>
      <c r="BY211" s="78" t="s">
        <v>2838</v>
      </c>
    </row>
    <row r="212" spans="1:77" x14ac:dyDescent="0.35">
      <c r="A212" s="143" t="s">
        <v>758</v>
      </c>
      <c r="B212" s="143" t="s">
        <v>759</v>
      </c>
      <c r="C212" s="143" t="s">
        <v>663</v>
      </c>
      <c r="D212" s="143">
        <v>3386</v>
      </c>
      <c r="E212" s="137">
        <v>0.16363639999999999</v>
      </c>
      <c r="F212" s="137">
        <v>0.62512769999999995</v>
      </c>
      <c r="G212" s="271">
        <v>0.78876409999999997</v>
      </c>
      <c r="H212" s="137" t="s">
        <v>2487</v>
      </c>
      <c r="I212" s="137">
        <v>0.1666667</v>
      </c>
      <c r="J212" s="137">
        <v>0.3632959</v>
      </c>
      <c r="K212" s="137">
        <v>0.5299625</v>
      </c>
      <c r="M212" s="143" t="s">
        <v>758</v>
      </c>
      <c r="N212" s="143" t="s">
        <v>759</v>
      </c>
      <c r="O212" s="143" t="s">
        <v>663</v>
      </c>
      <c r="P212" s="143">
        <v>3386</v>
      </c>
      <c r="Q212" s="137" t="s">
        <v>2486</v>
      </c>
      <c r="R212" s="137" t="s">
        <v>2486</v>
      </c>
      <c r="S212" s="137" t="s">
        <v>2487</v>
      </c>
      <c r="T212" s="137" t="s">
        <v>2486</v>
      </c>
      <c r="U212" s="137" t="s">
        <v>2487</v>
      </c>
      <c r="V212" s="137" t="s">
        <v>2487</v>
      </c>
      <c r="W212" s="137" t="s">
        <v>2486</v>
      </c>
      <c r="X212" s="137" t="s">
        <v>2486</v>
      </c>
      <c r="Y212" s="137" t="s">
        <v>2486</v>
      </c>
      <c r="Z212" s="137" t="s">
        <v>2486</v>
      </c>
      <c r="AA212" s="137" t="s">
        <v>2487</v>
      </c>
      <c r="AB212" s="137">
        <v>0.63636360000000003</v>
      </c>
      <c r="AD212" s="143" t="s">
        <v>758</v>
      </c>
      <c r="AE212" s="143" t="s">
        <v>759</v>
      </c>
      <c r="AF212" s="143" t="s">
        <v>663</v>
      </c>
      <c r="AG212" s="143">
        <v>3386</v>
      </c>
      <c r="AO212" s="190">
        <v>0.85</v>
      </c>
      <c r="AP212" s="190">
        <v>0.85</v>
      </c>
      <c r="AQ212" s="78" t="s">
        <v>2487</v>
      </c>
      <c r="AS212" s="143" t="s">
        <v>758</v>
      </c>
      <c r="AT212" s="143" t="s">
        <v>759</v>
      </c>
      <c r="AU212" s="143" t="s">
        <v>663</v>
      </c>
      <c r="AV212" s="143">
        <v>3386</v>
      </c>
      <c r="AW212" s="137" t="s">
        <v>2838</v>
      </c>
      <c r="AX212" s="137" t="s">
        <v>2838</v>
      </c>
      <c r="AY212" s="137" t="s">
        <v>2838</v>
      </c>
      <c r="AZ212" s="137" t="s">
        <v>2838</v>
      </c>
      <c r="BA212" s="137" t="s">
        <v>2838</v>
      </c>
      <c r="BB212" s="137" t="s">
        <v>2838</v>
      </c>
      <c r="BC212" s="137" t="s">
        <v>2838</v>
      </c>
      <c r="BD212" s="137" t="s">
        <v>2838</v>
      </c>
      <c r="BE212" s="137" t="s">
        <v>2838</v>
      </c>
      <c r="BF212" s="137" t="s">
        <v>2838</v>
      </c>
      <c r="BI212" s="137" t="s">
        <v>2487</v>
      </c>
      <c r="BJ212" s="137" t="s">
        <v>2486</v>
      </c>
      <c r="BK212" s="190" t="s">
        <v>2486</v>
      </c>
      <c r="BL212" s="190">
        <v>0.66666669999999995</v>
      </c>
      <c r="BM212" s="78" t="s">
        <v>2487</v>
      </c>
      <c r="BO212" s="143" t="s">
        <v>758</v>
      </c>
      <c r="BP212" s="143" t="s">
        <v>759</v>
      </c>
      <c r="BQ212" s="143" t="s">
        <v>663</v>
      </c>
      <c r="BR212" s="143">
        <v>3386</v>
      </c>
      <c r="BY212" s="78" t="s">
        <v>2838</v>
      </c>
    </row>
    <row r="213" spans="1:77" x14ac:dyDescent="0.35">
      <c r="A213" s="143" t="s">
        <v>760</v>
      </c>
      <c r="B213" s="143" t="s">
        <v>759</v>
      </c>
      <c r="C213" s="143" t="s">
        <v>663</v>
      </c>
      <c r="D213" s="143">
        <v>2242</v>
      </c>
      <c r="E213" s="137">
        <v>0.14545449999999999</v>
      </c>
      <c r="F213" s="137">
        <v>0.61450459999999996</v>
      </c>
      <c r="G213" s="271">
        <v>0.75995919999999995</v>
      </c>
      <c r="H213" s="137" t="s">
        <v>2487</v>
      </c>
      <c r="I213" s="137">
        <v>0.15</v>
      </c>
      <c r="J213" s="137">
        <v>0.42621720000000002</v>
      </c>
      <c r="K213" s="137">
        <v>0.57621719999999998</v>
      </c>
      <c r="M213" s="143" t="s">
        <v>760</v>
      </c>
      <c r="N213" s="143" t="s">
        <v>759</v>
      </c>
      <c r="O213" s="143" t="s">
        <v>663</v>
      </c>
      <c r="P213" s="143">
        <v>2242</v>
      </c>
      <c r="Q213" s="137" t="s">
        <v>2486</v>
      </c>
      <c r="R213" s="137" t="s">
        <v>2486</v>
      </c>
      <c r="S213" s="137" t="s">
        <v>2486</v>
      </c>
      <c r="T213" s="137" t="s">
        <v>2486</v>
      </c>
      <c r="U213" s="137" t="s">
        <v>2486</v>
      </c>
      <c r="V213" s="137" t="s">
        <v>2486</v>
      </c>
      <c r="W213" s="137" t="s">
        <v>2486</v>
      </c>
      <c r="X213" s="137" t="s">
        <v>2486</v>
      </c>
      <c r="Y213" s="137" t="s">
        <v>2486</v>
      </c>
      <c r="Z213" s="137" t="s">
        <v>2486</v>
      </c>
      <c r="AA213" s="137" t="s">
        <v>2486</v>
      </c>
      <c r="AB213" s="137">
        <v>1</v>
      </c>
      <c r="AD213" s="143" t="s">
        <v>760</v>
      </c>
      <c r="AE213" s="143" t="s">
        <v>759</v>
      </c>
      <c r="AF213" s="143" t="s">
        <v>663</v>
      </c>
      <c r="AG213" s="143">
        <v>2242</v>
      </c>
      <c r="AO213" s="190">
        <v>0.98750000000000004</v>
      </c>
      <c r="AP213" s="190">
        <v>0.98750000000000004</v>
      </c>
      <c r="AQ213" s="78" t="s">
        <v>2486</v>
      </c>
      <c r="AS213" s="143" t="s">
        <v>760</v>
      </c>
      <c r="AT213" s="143" t="s">
        <v>759</v>
      </c>
      <c r="AU213" s="143" t="s">
        <v>663</v>
      </c>
      <c r="AV213" s="143">
        <v>2242</v>
      </c>
      <c r="AW213" s="137" t="s">
        <v>2838</v>
      </c>
      <c r="AX213" s="137" t="s">
        <v>2838</v>
      </c>
      <c r="AY213" s="137" t="s">
        <v>2838</v>
      </c>
      <c r="AZ213" s="137" t="s">
        <v>2838</v>
      </c>
      <c r="BA213" s="137" t="s">
        <v>2838</v>
      </c>
      <c r="BB213" s="137" t="s">
        <v>2838</v>
      </c>
      <c r="BC213" s="137" t="s">
        <v>2838</v>
      </c>
      <c r="BD213" s="137" t="s">
        <v>2838</v>
      </c>
      <c r="BE213" s="137" t="s">
        <v>2838</v>
      </c>
      <c r="BF213" s="137" t="s">
        <v>2838</v>
      </c>
      <c r="BI213" s="137" t="s">
        <v>2487</v>
      </c>
      <c r="BJ213" s="137" t="s">
        <v>2487</v>
      </c>
      <c r="BK213" s="190" t="s">
        <v>2487</v>
      </c>
      <c r="BL213" s="190">
        <v>0</v>
      </c>
      <c r="BM213" s="78" t="s">
        <v>2487</v>
      </c>
      <c r="BO213" s="143" t="s">
        <v>760</v>
      </c>
      <c r="BP213" s="143" t="s">
        <v>759</v>
      </c>
      <c r="BQ213" s="143" t="s">
        <v>663</v>
      </c>
      <c r="BR213" s="143">
        <v>2242</v>
      </c>
      <c r="BY213" s="78" t="s">
        <v>2838</v>
      </c>
    </row>
    <row r="214" spans="1:77" x14ac:dyDescent="0.35">
      <c r="A214" s="143" t="s">
        <v>760</v>
      </c>
      <c r="B214" s="143" t="s">
        <v>759</v>
      </c>
      <c r="C214" s="143" t="s">
        <v>663</v>
      </c>
      <c r="D214" s="143">
        <v>2248</v>
      </c>
      <c r="E214" s="137">
        <v>0.16363639999999999</v>
      </c>
      <c r="F214" s="137">
        <v>0.55812050000000002</v>
      </c>
      <c r="G214" s="271">
        <v>0.72175690000000003</v>
      </c>
      <c r="H214" s="137" t="s">
        <v>2487</v>
      </c>
      <c r="I214" s="137">
        <v>0.1833333</v>
      </c>
      <c r="J214" s="137">
        <v>0.53333339999999996</v>
      </c>
      <c r="K214" s="137">
        <v>0.71666669999999999</v>
      </c>
      <c r="M214" s="143" t="s">
        <v>760</v>
      </c>
      <c r="N214" s="143" t="s">
        <v>759</v>
      </c>
      <c r="O214" s="143" t="s">
        <v>663</v>
      </c>
      <c r="P214" s="143">
        <v>2248</v>
      </c>
      <c r="Q214" s="137" t="s">
        <v>2487</v>
      </c>
      <c r="R214" s="137" t="s">
        <v>2487</v>
      </c>
      <c r="S214" s="137" t="s">
        <v>2486</v>
      </c>
      <c r="T214" s="137" t="s">
        <v>2486</v>
      </c>
      <c r="U214" s="137" t="s">
        <v>2487</v>
      </c>
      <c r="V214" s="137" t="s">
        <v>2487</v>
      </c>
      <c r="W214" s="137" t="s">
        <v>2486</v>
      </c>
      <c r="X214" s="137" t="s">
        <v>2486</v>
      </c>
      <c r="Y214" s="137" t="s">
        <v>2486</v>
      </c>
      <c r="Z214" s="137" t="s">
        <v>2486</v>
      </c>
      <c r="AA214" s="137" t="s">
        <v>2486</v>
      </c>
      <c r="AB214" s="137">
        <v>0.63636360000000003</v>
      </c>
      <c r="AD214" s="143" t="s">
        <v>760</v>
      </c>
      <c r="AE214" s="143" t="s">
        <v>759</v>
      </c>
      <c r="AF214" s="143" t="s">
        <v>663</v>
      </c>
      <c r="AG214" s="143">
        <v>2248</v>
      </c>
      <c r="AO214" s="190">
        <v>0.91249999999999998</v>
      </c>
      <c r="AP214" s="190">
        <v>0.91249999999999998</v>
      </c>
      <c r="AQ214" s="78" t="s">
        <v>2487</v>
      </c>
      <c r="AS214" s="143" t="s">
        <v>760</v>
      </c>
      <c r="AT214" s="143" t="s">
        <v>759</v>
      </c>
      <c r="AU214" s="143" t="s">
        <v>663</v>
      </c>
      <c r="AV214" s="143">
        <v>2248</v>
      </c>
      <c r="AW214" s="137" t="s">
        <v>2838</v>
      </c>
      <c r="AX214" s="137" t="s">
        <v>2838</v>
      </c>
      <c r="AY214" s="137" t="s">
        <v>2838</v>
      </c>
      <c r="AZ214" s="137" t="s">
        <v>2838</v>
      </c>
      <c r="BA214" s="137" t="s">
        <v>2838</v>
      </c>
      <c r="BB214" s="137" t="s">
        <v>2838</v>
      </c>
      <c r="BC214" s="137" t="s">
        <v>2838</v>
      </c>
      <c r="BD214" s="137" t="s">
        <v>2838</v>
      </c>
      <c r="BE214" s="137" t="s">
        <v>2838</v>
      </c>
      <c r="BF214" s="137" t="s">
        <v>2838</v>
      </c>
      <c r="BI214" s="137" t="s">
        <v>2486</v>
      </c>
      <c r="BJ214" s="137" t="s">
        <v>2486</v>
      </c>
      <c r="BK214" s="190" t="s">
        <v>2486</v>
      </c>
      <c r="BL214" s="190">
        <v>1</v>
      </c>
      <c r="BM214" s="78" t="s">
        <v>2486</v>
      </c>
      <c r="BO214" s="143" t="s">
        <v>760</v>
      </c>
      <c r="BP214" s="143" t="s">
        <v>759</v>
      </c>
      <c r="BQ214" s="143" t="s">
        <v>663</v>
      </c>
      <c r="BR214" s="143">
        <v>2248</v>
      </c>
      <c r="BY214" s="78" t="s">
        <v>2838</v>
      </c>
    </row>
    <row r="215" spans="1:77" x14ac:dyDescent="0.35">
      <c r="A215" s="143" t="s">
        <v>760</v>
      </c>
      <c r="B215" s="258" t="s">
        <v>759</v>
      </c>
      <c r="C215" s="143" t="s">
        <v>663</v>
      </c>
      <c r="D215" s="143">
        <v>2249</v>
      </c>
      <c r="E215" s="137">
        <v>0.16363639999999999</v>
      </c>
      <c r="F215" s="137">
        <v>0.42982629999999999</v>
      </c>
      <c r="G215" s="271">
        <v>0.59346270000000001</v>
      </c>
      <c r="H215" s="137" t="s">
        <v>2487</v>
      </c>
      <c r="I215" s="137">
        <v>0.2</v>
      </c>
      <c r="J215" s="137">
        <v>0.8</v>
      </c>
      <c r="K215" s="137">
        <v>1</v>
      </c>
      <c r="M215" s="143" t="s">
        <v>760</v>
      </c>
      <c r="N215" s="143" t="s">
        <v>759</v>
      </c>
      <c r="O215" s="143" t="s">
        <v>663</v>
      </c>
      <c r="P215" s="143">
        <v>2249</v>
      </c>
      <c r="Q215" s="137" t="s">
        <v>2486</v>
      </c>
      <c r="R215" s="137" t="s">
        <v>2487</v>
      </c>
      <c r="S215" s="137" t="s">
        <v>2486</v>
      </c>
      <c r="T215" s="137" t="s">
        <v>2486</v>
      </c>
      <c r="U215" s="137" t="s">
        <v>2487</v>
      </c>
      <c r="V215" s="137" t="s">
        <v>2487</v>
      </c>
      <c r="W215" s="137" t="s">
        <v>2486</v>
      </c>
      <c r="X215" s="137" t="s">
        <v>2487</v>
      </c>
      <c r="Y215" s="137" t="s">
        <v>2486</v>
      </c>
      <c r="Z215" s="137" t="s">
        <v>2486</v>
      </c>
      <c r="AA215" s="137" t="s">
        <v>2487</v>
      </c>
      <c r="AB215" s="137">
        <v>0.54545460000000001</v>
      </c>
      <c r="AD215" s="143" t="s">
        <v>760</v>
      </c>
      <c r="AE215" s="143" t="s">
        <v>759</v>
      </c>
      <c r="AF215" s="143" t="s">
        <v>663</v>
      </c>
      <c r="AG215" s="143">
        <v>2249</v>
      </c>
      <c r="AO215" s="190">
        <v>0.92500000000000004</v>
      </c>
      <c r="AP215" s="190">
        <v>0.92500000000000004</v>
      </c>
      <c r="AQ215" s="78" t="s">
        <v>2487</v>
      </c>
      <c r="AS215" s="143" t="s">
        <v>760</v>
      </c>
      <c r="AT215" s="143" t="s">
        <v>759</v>
      </c>
      <c r="AU215" s="143" t="s">
        <v>663</v>
      </c>
      <c r="AV215" s="143">
        <v>2249</v>
      </c>
      <c r="AW215" s="137" t="s">
        <v>2838</v>
      </c>
      <c r="AX215" s="137" t="s">
        <v>2838</v>
      </c>
      <c r="AY215" s="137" t="s">
        <v>2838</v>
      </c>
      <c r="AZ215" s="137" t="s">
        <v>2838</v>
      </c>
      <c r="BA215" s="137" t="s">
        <v>2838</v>
      </c>
      <c r="BB215" s="137" t="s">
        <v>2838</v>
      </c>
      <c r="BC215" s="137" t="s">
        <v>2838</v>
      </c>
      <c r="BD215" s="137" t="s">
        <v>2838</v>
      </c>
      <c r="BE215" s="137" t="s">
        <v>2838</v>
      </c>
      <c r="BF215" s="137" t="s">
        <v>2838</v>
      </c>
      <c r="BI215" s="137" t="s">
        <v>2487</v>
      </c>
      <c r="BJ215" s="137" t="s">
        <v>2487</v>
      </c>
      <c r="BK215" s="190" t="s">
        <v>2487</v>
      </c>
      <c r="BL215" s="190">
        <v>0</v>
      </c>
      <c r="BM215" s="78" t="s">
        <v>2487</v>
      </c>
      <c r="BO215" s="143" t="s">
        <v>760</v>
      </c>
      <c r="BP215" s="143" t="s">
        <v>759</v>
      </c>
      <c r="BQ215" s="143" t="s">
        <v>663</v>
      </c>
      <c r="BR215" s="143">
        <v>2249</v>
      </c>
      <c r="BY215" s="78" t="s">
        <v>2838</v>
      </c>
    </row>
    <row r="216" spans="1:77" x14ac:dyDescent="0.35">
      <c r="A216" s="143" t="s">
        <v>760</v>
      </c>
      <c r="B216" s="258" t="s">
        <v>759</v>
      </c>
      <c r="C216" s="143" t="s">
        <v>663</v>
      </c>
      <c r="D216" s="143">
        <v>3418</v>
      </c>
      <c r="E216" s="137">
        <v>0.16363639999999999</v>
      </c>
      <c r="F216" s="137">
        <v>0.72727269999999999</v>
      </c>
      <c r="G216" s="271">
        <v>0.89090910000000001</v>
      </c>
      <c r="H216" s="137" t="s">
        <v>2487</v>
      </c>
      <c r="I216" s="137">
        <v>0.2</v>
      </c>
      <c r="J216" s="137">
        <v>0.8</v>
      </c>
      <c r="K216" s="137">
        <v>1</v>
      </c>
      <c r="M216" s="143" t="s">
        <v>760</v>
      </c>
      <c r="N216" s="143" t="s">
        <v>759</v>
      </c>
      <c r="O216" s="143" t="s">
        <v>663</v>
      </c>
      <c r="P216" s="143">
        <v>3418</v>
      </c>
      <c r="Q216" s="137" t="s">
        <v>2486</v>
      </c>
      <c r="R216" s="137" t="s">
        <v>2486</v>
      </c>
      <c r="S216" s="137" t="s">
        <v>2486</v>
      </c>
      <c r="T216" s="137" t="s">
        <v>2486</v>
      </c>
      <c r="U216" s="137" t="s">
        <v>2486</v>
      </c>
      <c r="V216" s="137" t="s">
        <v>2486</v>
      </c>
      <c r="W216" s="137" t="s">
        <v>2487</v>
      </c>
      <c r="X216" s="137" t="s">
        <v>2486</v>
      </c>
      <c r="Y216" s="137" t="s">
        <v>2486</v>
      </c>
      <c r="Z216" s="137" t="s">
        <v>2486</v>
      </c>
      <c r="AA216" s="137" t="s">
        <v>2486</v>
      </c>
      <c r="AB216" s="137">
        <v>0.90909090000000004</v>
      </c>
      <c r="AD216" s="143" t="s">
        <v>760</v>
      </c>
      <c r="AE216" s="143" t="s">
        <v>759</v>
      </c>
      <c r="AF216" s="143" t="s">
        <v>663</v>
      </c>
      <c r="AG216" s="143">
        <v>3418</v>
      </c>
      <c r="AO216" s="190">
        <v>0.97499999999999998</v>
      </c>
      <c r="AP216" s="190">
        <v>0.97499999999999998</v>
      </c>
      <c r="AQ216" s="78" t="s">
        <v>2486</v>
      </c>
      <c r="AS216" s="143" t="s">
        <v>760</v>
      </c>
      <c r="AT216" s="143" t="s">
        <v>759</v>
      </c>
      <c r="AU216" s="143" t="s">
        <v>663</v>
      </c>
      <c r="AV216" s="143">
        <v>3418</v>
      </c>
      <c r="AW216" s="137" t="s">
        <v>2838</v>
      </c>
      <c r="AX216" s="137" t="s">
        <v>2838</v>
      </c>
      <c r="AY216" s="137" t="s">
        <v>2838</v>
      </c>
      <c r="AZ216" s="137" t="s">
        <v>2838</v>
      </c>
      <c r="BA216" s="137" t="s">
        <v>2838</v>
      </c>
      <c r="BB216" s="137" t="s">
        <v>2838</v>
      </c>
      <c r="BC216" s="137" t="s">
        <v>2838</v>
      </c>
      <c r="BD216" s="137" t="s">
        <v>2838</v>
      </c>
      <c r="BE216" s="137" t="s">
        <v>2838</v>
      </c>
      <c r="BF216" s="137" t="s">
        <v>2838</v>
      </c>
      <c r="BI216" s="137" t="s">
        <v>2486</v>
      </c>
      <c r="BJ216" s="137" t="s">
        <v>2486</v>
      </c>
      <c r="BK216" s="190" t="s">
        <v>2486</v>
      </c>
      <c r="BL216" s="190">
        <v>1</v>
      </c>
      <c r="BM216" s="78" t="s">
        <v>2486</v>
      </c>
      <c r="BO216" s="143" t="s">
        <v>760</v>
      </c>
      <c r="BP216" s="143" t="s">
        <v>759</v>
      </c>
      <c r="BQ216" s="143" t="s">
        <v>663</v>
      </c>
      <c r="BR216" s="143">
        <v>3418</v>
      </c>
      <c r="BY216" s="78" t="s">
        <v>2838</v>
      </c>
    </row>
    <row r="217" spans="1:77" x14ac:dyDescent="0.35">
      <c r="A217" s="143" t="s">
        <v>760</v>
      </c>
      <c r="B217" s="258" t="s">
        <v>759</v>
      </c>
      <c r="C217" s="143" t="s">
        <v>663</v>
      </c>
      <c r="D217" s="143">
        <v>3839</v>
      </c>
      <c r="E217" s="137">
        <v>0.16363639999999999</v>
      </c>
      <c r="F217" s="137">
        <v>0.6545455</v>
      </c>
      <c r="G217" s="271">
        <v>0.81818179999999996</v>
      </c>
      <c r="H217" s="137" t="s">
        <v>2487</v>
      </c>
      <c r="I217" s="137">
        <v>0.2</v>
      </c>
      <c r="J217" s="137">
        <v>0.37378280000000003</v>
      </c>
      <c r="K217" s="137">
        <v>0.57378280000000004</v>
      </c>
      <c r="M217" s="143" t="s">
        <v>760</v>
      </c>
      <c r="N217" s="143" t="s">
        <v>759</v>
      </c>
      <c r="O217" s="143" t="s">
        <v>663</v>
      </c>
      <c r="P217" s="143">
        <v>3839</v>
      </c>
      <c r="Q217" s="137" t="s">
        <v>2486</v>
      </c>
      <c r="R217" s="137" t="s">
        <v>2486</v>
      </c>
      <c r="S217" s="137" t="s">
        <v>2486</v>
      </c>
      <c r="T217" s="137" t="s">
        <v>2487</v>
      </c>
      <c r="U217" s="137" t="s">
        <v>2486</v>
      </c>
      <c r="V217" s="137" t="s">
        <v>2487</v>
      </c>
      <c r="W217" s="137" t="s">
        <v>2486</v>
      </c>
      <c r="X217" s="137" t="s">
        <v>2486</v>
      </c>
      <c r="Y217" s="137" t="s">
        <v>2486</v>
      </c>
      <c r="Z217" s="137" t="s">
        <v>2486</v>
      </c>
      <c r="AA217" s="137" t="s">
        <v>2486</v>
      </c>
      <c r="AB217" s="137">
        <v>0.81818179999999996</v>
      </c>
      <c r="AD217" s="143" t="s">
        <v>760</v>
      </c>
      <c r="AE217" s="143" t="s">
        <v>759</v>
      </c>
      <c r="AF217" s="143" t="s">
        <v>663</v>
      </c>
      <c r="AG217" s="143">
        <v>3839</v>
      </c>
      <c r="AO217" s="190">
        <v>0.9375</v>
      </c>
      <c r="AP217" s="190">
        <v>0.9375</v>
      </c>
      <c r="AQ217" s="78" t="s">
        <v>2487</v>
      </c>
      <c r="AS217" s="143" t="s">
        <v>760</v>
      </c>
      <c r="AT217" s="143" t="s">
        <v>759</v>
      </c>
      <c r="AU217" s="143" t="s">
        <v>663</v>
      </c>
      <c r="AV217" s="143">
        <v>3839</v>
      </c>
      <c r="AW217" s="137" t="s">
        <v>2838</v>
      </c>
      <c r="AX217" s="137" t="s">
        <v>2838</v>
      </c>
      <c r="AY217" s="137" t="s">
        <v>2838</v>
      </c>
      <c r="AZ217" s="137" t="s">
        <v>2838</v>
      </c>
      <c r="BA217" s="137" t="s">
        <v>2838</v>
      </c>
      <c r="BB217" s="137" t="s">
        <v>2838</v>
      </c>
      <c r="BC217" s="137" t="s">
        <v>2838</v>
      </c>
      <c r="BD217" s="137" t="s">
        <v>2838</v>
      </c>
      <c r="BE217" s="137" t="s">
        <v>2838</v>
      </c>
      <c r="BF217" s="137" t="s">
        <v>2838</v>
      </c>
      <c r="BI217" s="137" t="s">
        <v>2487</v>
      </c>
      <c r="BJ217" s="137" t="s">
        <v>2486</v>
      </c>
      <c r="BK217" s="190" t="s">
        <v>2486</v>
      </c>
      <c r="BL217" s="190">
        <v>0.66666669999999995</v>
      </c>
      <c r="BM217" s="78" t="s">
        <v>2487</v>
      </c>
      <c r="BO217" s="143" t="s">
        <v>760</v>
      </c>
      <c r="BP217" s="143" t="s">
        <v>759</v>
      </c>
      <c r="BQ217" s="143" t="s">
        <v>663</v>
      </c>
      <c r="BR217" s="143">
        <v>3839</v>
      </c>
      <c r="BY217" s="78" t="s">
        <v>2838</v>
      </c>
    </row>
    <row r="218" spans="1:77" x14ac:dyDescent="0.35">
      <c r="A218" s="143" t="s">
        <v>760</v>
      </c>
      <c r="B218" s="258" t="s">
        <v>759</v>
      </c>
      <c r="C218" s="143" t="s">
        <v>663</v>
      </c>
      <c r="D218" s="143">
        <v>3846</v>
      </c>
      <c r="E218" s="137">
        <v>5.4545499999999997E-2</v>
      </c>
      <c r="F218" s="137">
        <v>0.3840654</v>
      </c>
      <c r="G218" s="271">
        <v>0.43861080000000002</v>
      </c>
      <c r="H218" s="137" t="s">
        <v>2487</v>
      </c>
      <c r="I218" s="137">
        <v>0.1666667</v>
      </c>
      <c r="J218" s="137">
        <v>0</v>
      </c>
      <c r="K218" s="137">
        <v>0.1666667</v>
      </c>
      <c r="M218" s="143" t="s">
        <v>760</v>
      </c>
      <c r="N218" s="143" t="s">
        <v>759</v>
      </c>
      <c r="O218" s="143" t="s">
        <v>663</v>
      </c>
      <c r="P218" s="143">
        <v>3846</v>
      </c>
      <c r="Q218" s="137" t="s">
        <v>2487</v>
      </c>
      <c r="R218" s="137" t="s">
        <v>2487</v>
      </c>
      <c r="S218" s="137" t="s">
        <v>2487</v>
      </c>
      <c r="T218" s="137" t="s">
        <v>2487</v>
      </c>
      <c r="U218" s="137" t="s">
        <v>2487</v>
      </c>
      <c r="V218" s="137" t="s">
        <v>2487</v>
      </c>
      <c r="W218" s="137" t="s">
        <v>2487</v>
      </c>
      <c r="X218" s="137" t="s">
        <v>2487</v>
      </c>
      <c r="Y218" s="137" t="s">
        <v>2486</v>
      </c>
      <c r="Z218" s="137" t="s">
        <v>2486</v>
      </c>
      <c r="AA218" s="137" t="s">
        <v>2487</v>
      </c>
      <c r="AB218" s="137">
        <v>0.18181820000000001</v>
      </c>
      <c r="AD218" s="143" t="s">
        <v>760</v>
      </c>
      <c r="AE218" s="143" t="s">
        <v>759</v>
      </c>
      <c r="AF218" s="143" t="s">
        <v>663</v>
      </c>
      <c r="AG218" s="143">
        <v>3846</v>
      </c>
      <c r="AO218" s="190">
        <v>0.88749999999999996</v>
      </c>
      <c r="AP218" s="190">
        <v>0.88749999999999996</v>
      </c>
      <c r="AQ218" s="78" t="s">
        <v>2487</v>
      </c>
      <c r="AS218" s="143" t="s">
        <v>760</v>
      </c>
      <c r="AT218" s="143" t="s">
        <v>759</v>
      </c>
      <c r="AU218" s="143" t="s">
        <v>663</v>
      </c>
      <c r="AV218" s="143">
        <v>3846</v>
      </c>
      <c r="AW218" s="137" t="s">
        <v>2838</v>
      </c>
      <c r="AX218" s="137" t="s">
        <v>2838</v>
      </c>
      <c r="AY218" s="137" t="s">
        <v>2838</v>
      </c>
      <c r="AZ218" s="137" t="s">
        <v>2838</v>
      </c>
      <c r="BA218" s="137" t="s">
        <v>2838</v>
      </c>
      <c r="BB218" s="137" t="s">
        <v>2838</v>
      </c>
      <c r="BC218" s="137" t="s">
        <v>2838</v>
      </c>
      <c r="BD218" s="137" t="s">
        <v>2838</v>
      </c>
      <c r="BE218" s="137" t="s">
        <v>2838</v>
      </c>
      <c r="BF218" s="137" t="s">
        <v>2838</v>
      </c>
      <c r="BI218" s="137" t="s">
        <v>2487</v>
      </c>
      <c r="BJ218" s="137" t="s">
        <v>2487</v>
      </c>
      <c r="BK218" s="190" t="s">
        <v>2487</v>
      </c>
      <c r="BL218" s="190">
        <v>0</v>
      </c>
      <c r="BM218" s="78" t="s">
        <v>2487</v>
      </c>
      <c r="BO218" s="143" t="s">
        <v>760</v>
      </c>
      <c r="BP218" s="143" t="s">
        <v>759</v>
      </c>
      <c r="BQ218" s="143" t="s">
        <v>663</v>
      </c>
      <c r="BR218" s="143">
        <v>3846</v>
      </c>
      <c r="BY218" s="78" t="s">
        <v>2838</v>
      </c>
    </row>
    <row r="219" spans="1:77" x14ac:dyDescent="0.35">
      <c r="A219" s="143" t="s">
        <v>761</v>
      </c>
      <c r="B219" s="258" t="s">
        <v>720</v>
      </c>
      <c r="C219" s="143" t="s">
        <v>663</v>
      </c>
      <c r="D219" s="143">
        <v>2387</v>
      </c>
      <c r="E219" s="137">
        <v>0.12727269999999999</v>
      </c>
      <c r="F219" s="137">
        <v>0.50091929999999996</v>
      </c>
      <c r="G219" s="271">
        <v>0.62819199999999997</v>
      </c>
      <c r="H219" s="137" t="s">
        <v>2487</v>
      </c>
      <c r="I219" s="137">
        <v>0.15</v>
      </c>
      <c r="J219" s="137">
        <v>6.6666699999999995E-2</v>
      </c>
      <c r="K219" s="137">
        <v>0.21666669999999999</v>
      </c>
      <c r="M219" s="143" t="s">
        <v>761</v>
      </c>
      <c r="N219" s="143" t="s">
        <v>720</v>
      </c>
      <c r="O219" s="143" t="s">
        <v>663</v>
      </c>
      <c r="P219" s="143">
        <v>2387</v>
      </c>
      <c r="Q219" s="137" t="s">
        <v>2486</v>
      </c>
      <c r="R219" s="137" t="s">
        <v>2486</v>
      </c>
      <c r="S219" s="137" t="s">
        <v>2486</v>
      </c>
      <c r="T219" s="137" t="s">
        <v>2486</v>
      </c>
      <c r="U219" s="137" t="s">
        <v>2487</v>
      </c>
      <c r="V219" s="137" t="s">
        <v>2487</v>
      </c>
      <c r="W219" s="137" t="s">
        <v>2486</v>
      </c>
      <c r="X219" s="137" t="s">
        <v>2486</v>
      </c>
      <c r="Y219" s="137" t="s">
        <v>2486</v>
      </c>
      <c r="Z219" s="137" t="s">
        <v>2486</v>
      </c>
      <c r="AA219" s="137" t="s">
        <v>2486</v>
      </c>
      <c r="AB219" s="137">
        <v>0.81818179999999996</v>
      </c>
      <c r="AD219" s="143" t="s">
        <v>761</v>
      </c>
      <c r="AE219" s="143" t="s">
        <v>720</v>
      </c>
      <c r="AF219" s="143" t="s">
        <v>663</v>
      </c>
      <c r="AG219" s="143">
        <v>2387</v>
      </c>
      <c r="AO219" s="190">
        <v>0.82499999999999996</v>
      </c>
      <c r="AP219" s="190">
        <v>0.82499999999999996</v>
      </c>
      <c r="AQ219" s="78" t="s">
        <v>2487</v>
      </c>
      <c r="AS219" s="143" t="s">
        <v>761</v>
      </c>
      <c r="AT219" s="143" t="s">
        <v>720</v>
      </c>
      <c r="AU219" s="143" t="s">
        <v>663</v>
      </c>
      <c r="AV219" s="143">
        <v>2387</v>
      </c>
      <c r="AW219" s="137" t="s">
        <v>2838</v>
      </c>
      <c r="AX219" s="137" t="s">
        <v>2838</v>
      </c>
      <c r="AY219" s="137" t="s">
        <v>2838</v>
      </c>
      <c r="AZ219" s="137" t="s">
        <v>2838</v>
      </c>
      <c r="BA219" s="137" t="s">
        <v>2838</v>
      </c>
      <c r="BB219" s="137" t="s">
        <v>2838</v>
      </c>
      <c r="BC219" s="137" t="s">
        <v>2838</v>
      </c>
      <c r="BD219" s="137" t="s">
        <v>2838</v>
      </c>
      <c r="BE219" s="137" t="s">
        <v>2838</v>
      </c>
      <c r="BF219" s="137" t="s">
        <v>2838</v>
      </c>
      <c r="BI219" s="137" t="s">
        <v>2486</v>
      </c>
      <c r="BJ219" s="137" t="s">
        <v>2486</v>
      </c>
      <c r="BK219" s="190" t="s">
        <v>2486</v>
      </c>
      <c r="BL219" s="190">
        <v>1</v>
      </c>
      <c r="BM219" s="78" t="s">
        <v>2486</v>
      </c>
      <c r="BO219" s="143" t="s">
        <v>761</v>
      </c>
      <c r="BP219" s="143" t="s">
        <v>720</v>
      </c>
      <c r="BQ219" s="143" t="s">
        <v>663</v>
      </c>
      <c r="BR219" s="143">
        <v>2387</v>
      </c>
      <c r="BY219" s="78" t="s">
        <v>2838</v>
      </c>
    </row>
    <row r="220" spans="1:77" x14ac:dyDescent="0.35">
      <c r="A220" s="143" t="s">
        <v>761</v>
      </c>
      <c r="B220" s="258" t="s">
        <v>720</v>
      </c>
      <c r="C220" s="143" t="s">
        <v>663</v>
      </c>
      <c r="D220" s="143">
        <v>2533</v>
      </c>
      <c r="E220" s="137">
        <v>9.0909100000000007E-2</v>
      </c>
      <c r="F220" s="137">
        <v>0.54668030000000001</v>
      </c>
      <c r="G220" s="271">
        <v>0.63758939999999997</v>
      </c>
      <c r="H220" s="137" t="s">
        <v>2487</v>
      </c>
      <c r="I220" s="137">
        <v>0.15</v>
      </c>
      <c r="J220" s="137">
        <v>0.35580519999999999</v>
      </c>
      <c r="K220" s="137">
        <v>0.50580530000000001</v>
      </c>
      <c r="M220" s="143" t="s">
        <v>761</v>
      </c>
      <c r="N220" s="143" t="s">
        <v>720</v>
      </c>
      <c r="O220" s="143" t="s">
        <v>663</v>
      </c>
      <c r="P220" s="143">
        <v>2533</v>
      </c>
      <c r="Q220" s="137" t="s">
        <v>2487</v>
      </c>
      <c r="R220" s="137" t="s">
        <v>2486</v>
      </c>
      <c r="S220" s="137" t="s">
        <v>2486</v>
      </c>
      <c r="T220" s="137" t="s">
        <v>2486</v>
      </c>
      <c r="U220" s="137" t="s">
        <v>2487</v>
      </c>
      <c r="V220" s="137" t="s">
        <v>2487</v>
      </c>
      <c r="W220" s="137" t="s">
        <v>2486</v>
      </c>
      <c r="X220" s="137" t="s">
        <v>2487</v>
      </c>
      <c r="Y220" s="137" t="s">
        <v>2487</v>
      </c>
      <c r="Z220" s="137" t="s">
        <v>2486</v>
      </c>
      <c r="AA220" s="137" t="s">
        <v>2487</v>
      </c>
      <c r="AB220" s="137">
        <v>0.45454549999999999</v>
      </c>
      <c r="AD220" s="143" t="s">
        <v>761</v>
      </c>
      <c r="AE220" s="143" t="s">
        <v>720</v>
      </c>
      <c r="AF220" s="143" t="s">
        <v>663</v>
      </c>
      <c r="AG220" s="143">
        <v>2533</v>
      </c>
      <c r="AO220" s="190">
        <v>0.76249999999999996</v>
      </c>
      <c r="AP220" s="190">
        <v>0.76249999999999996</v>
      </c>
      <c r="AQ220" s="78" t="s">
        <v>2487</v>
      </c>
      <c r="AS220" s="143" t="s">
        <v>761</v>
      </c>
      <c r="AT220" s="143" t="s">
        <v>720</v>
      </c>
      <c r="AU220" s="143" t="s">
        <v>663</v>
      </c>
      <c r="AV220" s="143">
        <v>2533</v>
      </c>
      <c r="AW220" s="137" t="s">
        <v>2838</v>
      </c>
      <c r="AX220" s="137" t="s">
        <v>2838</v>
      </c>
      <c r="AY220" s="137" t="s">
        <v>2838</v>
      </c>
      <c r="AZ220" s="137" t="s">
        <v>2838</v>
      </c>
      <c r="BA220" s="137" t="s">
        <v>2838</v>
      </c>
      <c r="BB220" s="137" t="s">
        <v>2838</v>
      </c>
      <c r="BC220" s="137" t="s">
        <v>2838</v>
      </c>
      <c r="BD220" s="137" t="s">
        <v>2838</v>
      </c>
      <c r="BE220" s="137" t="s">
        <v>2838</v>
      </c>
      <c r="BF220" s="137" t="s">
        <v>2838</v>
      </c>
      <c r="BI220" s="137" t="s">
        <v>2487</v>
      </c>
      <c r="BJ220" s="137" t="s">
        <v>2487</v>
      </c>
      <c r="BK220" s="190" t="s">
        <v>2486</v>
      </c>
      <c r="BL220" s="190">
        <v>0.3333333</v>
      </c>
      <c r="BM220" s="78" t="s">
        <v>2487</v>
      </c>
      <c r="BO220" s="143" t="s">
        <v>761</v>
      </c>
      <c r="BP220" s="143" t="s">
        <v>720</v>
      </c>
      <c r="BQ220" s="143" t="s">
        <v>663</v>
      </c>
      <c r="BR220" s="143">
        <v>2533</v>
      </c>
      <c r="BY220" s="78" t="s">
        <v>2838</v>
      </c>
    </row>
    <row r="221" spans="1:77" x14ac:dyDescent="0.35">
      <c r="A221" s="143" t="s">
        <v>761</v>
      </c>
      <c r="B221" s="258" t="s">
        <v>720</v>
      </c>
      <c r="C221" s="143" t="s">
        <v>663</v>
      </c>
      <c r="D221" s="143">
        <v>4218</v>
      </c>
      <c r="E221" s="137">
        <v>0.16363639999999999</v>
      </c>
      <c r="F221" s="137">
        <v>0.62839630000000002</v>
      </c>
      <c r="G221" s="271">
        <v>0.79203270000000003</v>
      </c>
      <c r="H221" s="137" t="s">
        <v>2487</v>
      </c>
      <c r="I221" s="137">
        <v>0.1833333</v>
      </c>
      <c r="J221" s="137">
        <v>0.73333329999999997</v>
      </c>
      <c r="K221" s="137">
        <v>0.91666669999999995</v>
      </c>
      <c r="M221" s="143" t="s">
        <v>761</v>
      </c>
      <c r="N221" s="143" t="s">
        <v>720</v>
      </c>
      <c r="O221" s="143" t="s">
        <v>663</v>
      </c>
      <c r="P221" s="143">
        <v>4218</v>
      </c>
      <c r="Q221" s="137" t="s">
        <v>2486</v>
      </c>
      <c r="R221" s="137" t="s">
        <v>2486</v>
      </c>
      <c r="S221" s="137" t="s">
        <v>2486</v>
      </c>
      <c r="T221" s="137" t="s">
        <v>2486</v>
      </c>
      <c r="U221" s="137" t="s">
        <v>2487</v>
      </c>
      <c r="V221" s="137" t="s">
        <v>2487</v>
      </c>
      <c r="W221" s="137" t="s">
        <v>2486</v>
      </c>
      <c r="X221" s="137" t="s">
        <v>2486</v>
      </c>
      <c r="Y221" s="137" t="s">
        <v>2486</v>
      </c>
      <c r="Z221" s="137" t="s">
        <v>2486</v>
      </c>
      <c r="AA221" s="137" t="s">
        <v>2486</v>
      </c>
      <c r="AB221" s="137">
        <v>0.81818179999999996</v>
      </c>
      <c r="AD221" s="143" t="s">
        <v>761</v>
      </c>
      <c r="AE221" s="143" t="s">
        <v>720</v>
      </c>
      <c r="AF221" s="143" t="s">
        <v>663</v>
      </c>
      <c r="AG221" s="143">
        <v>4218</v>
      </c>
      <c r="AO221" s="190">
        <v>0.91249999999999998</v>
      </c>
      <c r="AP221" s="190">
        <v>0.91249999999999998</v>
      </c>
      <c r="AQ221" s="78" t="s">
        <v>2487</v>
      </c>
      <c r="AS221" s="143" t="s">
        <v>761</v>
      </c>
      <c r="AT221" s="143" t="s">
        <v>720</v>
      </c>
      <c r="AU221" s="143" t="s">
        <v>663</v>
      </c>
      <c r="AV221" s="143">
        <v>4218</v>
      </c>
      <c r="AW221" s="137" t="s">
        <v>2838</v>
      </c>
      <c r="AX221" s="137" t="s">
        <v>2838</v>
      </c>
      <c r="AY221" s="137" t="s">
        <v>2838</v>
      </c>
      <c r="AZ221" s="137" t="s">
        <v>2838</v>
      </c>
      <c r="BA221" s="137" t="s">
        <v>2838</v>
      </c>
      <c r="BB221" s="137" t="s">
        <v>2838</v>
      </c>
      <c r="BC221" s="137" t="s">
        <v>2838</v>
      </c>
      <c r="BD221" s="137" t="s">
        <v>2838</v>
      </c>
      <c r="BE221" s="137" t="s">
        <v>2838</v>
      </c>
      <c r="BF221" s="137" t="s">
        <v>2838</v>
      </c>
      <c r="BI221" s="137" t="s">
        <v>2486</v>
      </c>
      <c r="BJ221" s="137" t="s">
        <v>2486</v>
      </c>
      <c r="BK221" s="190" t="s">
        <v>2486</v>
      </c>
      <c r="BL221" s="190">
        <v>1</v>
      </c>
      <c r="BM221" s="78" t="s">
        <v>2486</v>
      </c>
      <c r="BO221" s="143" t="s">
        <v>761</v>
      </c>
      <c r="BP221" s="143" t="s">
        <v>720</v>
      </c>
      <c r="BQ221" s="143" t="s">
        <v>663</v>
      </c>
      <c r="BR221" s="143">
        <v>4218</v>
      </c>
      <c r="BY221" s="78" t="s">
        <v>2838</v>
      </c>
    </row>
    <row r="222" spans="1:77" x14ac:dyDescent="0.35">
      <c r="A222" s="143" t="s">
        <v>761</v>
      </c>
      <c r="B222" s="143" t="s">
        <v>720</v>
      </c>
      <c r="C222" s="143" t="s">
        <v>663</v>
      </c>
      <c r="D222" s="143">
        <v>4222</v>
      </c>
      <c r="E222" s="137">
        <v>0.14545449999999999</v>
      </c>
      <c r="F222" s="137">
        <v>0.57691519999999996</v>
      </c>
      <c r="G222" s="271">
        <v>0.72236979999999995</v>
      </c>
      <c r="H222" s="137" t="s">
        <v>2487</v>
      </c>
      <c r="I222" s="137">
        <v>0.13333329999999999</v>
      </c>
      <c r="J222" s="137">
        <v>0.50711609999999996</v>
      </c>
      <c r="K222" s="137">
        <v>0.6404495</v>
      </c>
      <c r="M222" s="143" t="s">
        <v>761</v>
      </c>
      <c r="N222" s="143" t="s">
        <v>720</v>
      </c>
      <c r="O222" s="143" t="s">
        <v>663</v>
      </c>
      <c r="P222" s="143">
        <v>4222</v>
      </c>
      <c r="Q222" s="137" t="s">
        <v>2486</v>
      </c>
      <c r="R222" s="137" t="s">
        <v>2486</v>
      </c>
      <c r="S222" s="137" t="s">
        <v>2486</v>
      </c>
      <c r="T222" s="137" t="s">
        <v>2486</v>
      </c>
      <c r="U222" s="137" t="s">
        <v>2487</v>
      </c>
      <c r="V222" s="137" t="s">
        <v>2487</v>
      </c>
      <c r="W222" s="137" t="s">
        <v>2486</v>
      </c>
      <c r="X222" s="137" t="s">
        <v>2486</v>
      </c>
      <c r="Y222" s="137" t="s">
        <v>2486</v>
      </c>
      <c r="Z222" s="137" t="s">
        <v>2486</v>
      </c>
      <c r="AA222" s="137" t="s">
        <v>2486</v>
      </c>
      <c r="AB222" s="137">
        <v>0.81818179999999996</v>
      </c>
      <c r="AD222" s="143" t="s">
        <v>761</v>
      </c>
      <c r="AE222" s="143" t="s">
        <v>720</v>
      </c>
      <c r="AF222" s="143" t="s">
        <v>663</v>
      </c>
      <c r="AG222" s="143">
        <v>4222</v>
      </c>
      <c r="AO222" s="190">
        <v>0.83750000000000002</v>
      </c>
      <c r="AP222" s="190">
        <v>0.83750000000000002</v>
      </c>
      <c r="AQ222" s="78" t="s">
        <v>2487</v>
      </c>
      <c r="AS222" s="143" t="s">
        <v>761</v>
      </c>
      <c r="AT222" s="143" t="s">
        <v>720</v>
      </c>
      <c r="AU222" s="143" t="s">
        <v>663</v>
      </c>
      <c r="AV222" s="143">
        <v>4222</v>
      </c>
      <c r="AW222" s="137" t="s">
        <v>2838</v>
      </c>
      <c r="AX222" s="137" t="s">
        <v>2838</v>
      </c>
      <c r="AY222" s="137" t="s">
        <v>2838</v>
      </c>
      <c r="AZ222" s="137" t="s">
        <v>2838</v>
      </c>
      <c r="BA222" s="137" t="s">
        <v>2838</v>
      </c>
      <c r="BB222" s="137" t="s">
        <v>2838</v>
      </c>
      <c r="BC222" s="137" t="s">
        <v>2838</v>
      </c>
      <c r="BD222" s="137" t="s">
        <v>2838</v>
      </c>
      <c r="BE222" s="137" t="s">
        <v>2838</v>
      </c>
      <c r="BF222" s="137" t="s">
        <v>2838</v>
      </c>
      <c r="BI222" s="137" t="s">
        <v>2486</v>
      </c>
      <c r="BJ222" s="137" t="s">
        <v>2486</v>
      </c>
      <c r="BK222" s="190" t="s">
        <v>2486</v>
      </c>
      <c r="BL222" s="190">
        <v>1</v>
      </c>
      <c r="BM222" s="78" t="s">
        <v>2486</v>
      </c>
      <c r="BO222" s="143" t="s">
        <v>761</v>
      </c>
      <c r="BP222" s="143" t="s">
        <v>720</v>
      </c>
      <c r="BQ222" s="143" t="s">
        <v>663</v>
      </c>
      <c r="BR222" s="143">
        <v>4222</v>
      </c>
      <c r="BY222" s="78" t="s">
        <v>2838</v>
      </c>
    </row>
    <row r="223" spans="1:77" x14ac:dyDescent="0.35">
      <c r="A223" s="143" t="s">
        <v>762</v>
      </c>
      <c r="B223" s="143" t="s">
        <v>763</v>
      </c>
      <c r="C223" s="143" t="s">
        <v>663</v>
      </c>
      <c r="D223" s="143">
        <v>3450</v>
      </c>
      <c r="E223" s="137">
        <v>0.16363639999999999</v>
      </c>
      <c r="F223" s="137">
        <v>0.41184880000000001</v>
      </c>
      <c r="G223" s="271">
        <v>0.57548520000000003</v>
      </c>
      <c r="H223" s="137" t="s">
        <v>2487</v>
      </c>
      <c r="I223" s="137">
        <v>0.13333329999999999</v>
      </c>
      <c r="J223" s="137">
        <v>0.56629220000000002</v>
      </c>
      <c r="K223" s="137">
        <v>0.69962550000000001</v>
      </c>
      <c r="M223" s="143" t="s">
        <v>762</v>
      </c>
      <c r="N223" s="143" t="s">
        <v>763</v>
      </c>
      <c r="O223" s="143" t="s">
        <v>663</v>
      </c>
      <c r="P223" s="143">
        <v>3450</v>
      </c>
      <c r="Q223" s="137" t="s">
        <v>2486</v>
      </c>
      <c r="R223" s="137" t="s">
        <v>2486</v>
      </c>
      <c r="S223" s="137" t="s">
        <v>2487</v>
      </c>
      <c r="T223" s="137" t="s">
        <v>2486</v>
      </c>
      <c r="U223" s="137" t="s">
        <v>2486</v>
      </c>
      <c r="V223" s="137" t="s">
        <v>2486</v>
      </c>
      <c r="W223" s="137" t="s">
        <v>2486</v>
      </c>
      <c r="X223" s="137" t="s">
        <v>2486</v>
      </c>
      <c r="Y223" s="137" t="s">
        <v>2486</v>
      </c>
      <c r="Z223" s="137" t="s">
        <v>2487</v>
      </c>
      <c r="AA223" s="137" t="s">
        <v>2486</v>
      </c>
      <c r="AB223" s="137">
        <v>0.81818179999999996</v>
      </c>
      <c r="AD223" s="143" t="s">
        <v>762</v>
      </c>
      <c r="AE223" s="143" t="s">
        <v>763</v>
      </c>
      <c r="AF223" s="143" t="s">
        <v>663</v>
      </c>
      <c r="AG223" s="143">
        <v>3450</v>
      </c>
      <c r="AO223" s="190">
        <v>0.875</v>
      </c>
      <c r="AP223" s="190">
        <v>0.875</v>
      </c>
      <c r="AQ223" s="78" t="s">
        <v>2487</v>
      </c>
      <c r="AS223" s="143" t="s">
        <v>762</v>
      </c>
      <c r="AT223" s="143" t="s">
        <v>763</v>
      </c>
      <c r="AU223" s="143" t="s">
        <v>663</v>
      </c>
      <c r="AV223" s="143">
        <v>3450</v>
      </c>
      <c r="AW223" s="137" t="s">
        <v>2838</v>
      </c>
      <c r="AX223" s="137" t="s">
        <v>2838</v>
      </c>
      <c r="AY223" s="137" t="s">
        <v>2838</v>
      </c>
      <c r="AZ223" s="137" t="s">
        <v>2838</v>
      </c>
      <c r="BA223" s="137" t="s">
        <v>2838</v>
      </c>
      <c r="BB223" s="137" t="s">
        <v>2838</v>
      </c>
      <c r="BC223" s="137" t="s">
        <v>2838</v>
      </c>
      <c r="BD223" s="137" t="s">
        <v>2838</v>
      </c>
      <c r="BE223" s="137" t="s">
        <v>2838</v>
      </c>
      <c r="BF223" s="137" t="s">
        <v>2838</v>
      </c>
      <c r="BI223" s="137" t="s">
        <v>2486</v>
      </c>
      <c r="BJ223" s="137" t="s">
        <v>2486</v>
      </c>
      <c r="BK223" s="190" t="s">
        <v>2486</v>
      </c>
      <c r="BL223" s="190">
        <v>1</v>
      </c>
      <c r="BM223" s="78" t="s">
        <v>2486</v>
      </c>
      <c r="BO223" s="143" t="s">
        <v>762</v>
      </c>
      <c r="BP223" s="143" t="s">
        <v>763</v>
      </c>
      <c r="BQ223" s="143" t="s">
        <v>663</v>
      </c>
      <c r="BR223" s="143">
        <v>3450</v>
      </c>
      <c r="BY223" s="78" t="s">
        <v>2838</v>
      </c>
    </row>
    <row r="224" spans="1:77" x14ac:dyDescent="0.35">
      <c r="A224" s="143" t="s">
        <v>762</v>
      </c>
      <c r="B224" s="143" t="s">
        <v>763</v>
      </c>
      <c r="C224" s="143" t="s">
        <v>663</v>
      </c>
      <c r="D224" s="143">
        <v>3490</v>
      </c>
      <c r="E224" s="137">
        <v>0.18181820000000001</v>
      </c>
      <c r="F224" s="137">
        <v>0.5597548</v>
      </c>
      <c r="G224" s="271">
        <v>0.74157300000000004</v>
      </c>
      <c r="H224" s="137" t="s">
        <v>2487</v>
      </c>
      <c r="I224" s="137">
        <v>0.2</v>
      </c>
      <c r="J224" s="137">
        <v>0.73333329999999997</v>
      </c>
      <c r="K224" s="137">
        <v>0.93333330000000003</v>
      </c>
      <c r="M224" s="143" t="s">
        <v>762</v>
      </c>
      <c r="N224" s="143" t="s">
        <v>763</v>
      </c>
      <c r="O224" s="143" t="s">
        <v>663</v>
      </c>
      <c r="P224" s="143">
        <v>3490</v>
      </c>
      <c r="Q224" s="137" t="s">
        <v>2486</v>
      </c>
      <c r="R224" s="137" t="s">
        <v>2486</v>
      </c>
      <c r="S224" s="137" t="s">
        <v>2486</v>
      </c>
      <c r="T224" s="137" t="s">
        <v>2486</v>
      </c>
      <c r="U224" s="137" t="s">
        <v>2487</v>
      </c>
      <c r="V224" s="137" t="s">
        <v>2487</v>
      </c>
      <c r="W224" s="137" t="s">
        <v>2486</v>
      </c>
      <c r="X224" s="137" t="s">
        <v>2486</v>
      </c>
      <c r="Y224" s="137" t="s">
        <v>2486</v>
      </c>
      <c r="Z224" s="137" t="s">
        <v>2487</v>
      </c>
      <c r="AA224" s="137" t="s">
        <v>2486</v>
      </c>
      <c r="AB224" s="137">
        <v>0.72727269999999999</v>
      </c>
      <c r="AD224" s="143" t="s">
        <v>762</v>
      </c>
      <c r="AE224" s="143" t="s">
        <v>763</v>
      </c>
      <c r="AF224" s="143" t="s">
        <v>663</v>
      </c>
      <c r="AG224" s="143">
        <v>3490</v>
      </c>
      <c r="AO224" s="190">
        <v>0.875</v>
      </c>
      <c r="AP224" s="190">
        <v>0.875</v>
      </c>
      <c r="AQ224" s="78" t="s">
        <v>2487</v>
      </c>
      <c r="AS224" s="143" t="s">
        <v>762</v>
      </c>
      <c r="AT224" s="143" t="s">
        <v>763</v>
      </c>
      <c r="AU224" s="143" t="s">
        <v>663</v>
      </c>
      <c r="AV224" s="143">
        <v>3490</v>
      </c>
      <c r="AW224" s="137" t="s">
        <v>2838</v>
      </c>
      <c r="AX224" s="137" t="s">
        <v>2838</v>
      </c>
      <c r="AY224" s="137" t="s">
        <v>2838</v>
      </c>
      <c r="AZ224" s="137" t="s">
        <v>2838</v>
      </c>
      <c r="BA224" s="137" t="s">
        <v>2838</v>
      </c>
      <c r="BB224" s="137" t="s">
        <v>2838</v>
      </c>
      <c r="BC224" s="137" t="s">
        <v>2838</v>
      </c>
      <c r="BD224" s="137" t="s">
        <v>2838</v>
      </c>
      <c r="BE224" s="137" t="s">
        <v>2838</v>
      </c>
      <c r="BF224" s="137" t="s">
        <v>2838</v>
      </c>
      <c r="BI224" s="137" t="s">
        <v>2486</v>
      </c>
      <c r="BJ224" s="137" t="s">
        <v>2486</v>
      </c>
      <c r="BK224" s="190" t="s">
        <v>2486</v>
      </c>
      <c r="BL224" s="190">
        <v>1</v>
      </c>
      <c r="BM224" s="78" t="s">
        <v>2486</v>
      </c>
      <c r="BO224" s="143" t="s">
        <v>762</v>
      </c>
      <c r="BP224" s="143" t="s">
        <v>763</v>
      </c>
      <c r="BQ224" s="143" t="s">
        <v>663</v>
      </c>
      <c r="BR224" s="143">
        <v>3490</v>
      </c>
      <c r="BY224" s="78" t="s">
        <v>2838</v>
      </c>
    </row>
    <row r="225" spans="1:77" x14ac:dyDescent="0.35">
      <c r="A225" s="143" t="s">
        <v>762</v>
      </c>
      <c r="B225" s="143" t="s">
        <v>763</v>
      </c>
      <c r="C225" s="143" t="s">
        <v>663</v>
      </c>
      <c r="D225" s="143">
        <v>3858</v>
      </c>
      <c r="E225" s="137">
        <v>9.0909100000000007E-2</v>
      </c>
      <c r="F225" s="137">
        <v>0.3301328</v>
      </c>
      <c r="G225" s="271">
        <v>0.42104190000000002</v>
      </c>
      <c r="H225" s="137" t="s">
        <v>2487</v>
      </c>
      <c r="I225" s="137">
        <v>0.15</v>
      </c>
      <c r="J225" s="137">
        <v>6.6666699999999995E-2</v>
      </c>
      <c r="K225" s="137">
        <v>0.21666669999999999</v>
      </c>
      <c r="M225" s="143" t="s">
        <v>762</v>
      </c>
      <c r="N225" s="143" t="s">
        <v>763</v>
      </c>
      <c r="O225" s="143" t="s">
        <v>663</v>
      </c>
      <c r="P225" s="143">
        <v>3858</v>
      </c>
      <c r="Q225" s="137" t="s">
        <v>2486</v>
      </c>
      <c r="R225" s="137" t="s">
        <v>2486</v>
      </c>
      <c r="S225" s="137" t="s">
        <v>2486</v>
      </c>
      <c r="T225" s="137" t="s">
        <v>2487</v>
      </c>
      <c r="U225" s="137" t="s">
        <v>2487</v>
      </c>
      <c r="V225" s="137" t="s">
        <v>2487</v>
      </c>
      <c r="W225" s="137" t="s">
        <v>2486</v>
      </c>
      <c r="X225" s="137" t="s">
        <v>2486</v>
      </c>
      <c r="Y225" s="137" t="s">
        <v>2486</v>
      </c>
      <c r="Z225" s="137" t="s">
        <v>2487</v>
      </c>
      <c r="AA225" s="137" t="s">
        <v>2486</v>
      </c>
      <c r="AB225" s="137">
        <v>0.63636360000000003</v>
      </c>
      <c r="AD225" s="143" t="s">
        <v>762</v>
      </c>
      <c r="AE225" s="143" t="s">
        <v>763</v>
      </c>
      <c r="AF225" s="143" t="s">
        <v>663</v>
      </c>
      <c r="AG225" s="143">
        <v>3858</v>
      </c>
      <c r="AO225" s="190">
        <v>0.73750000000000004</v>
      </c>
      <c r="AP225" s="190">
        <v>0.73750000000000004</v>
      </c>
      <c r="AQ225" s="78" t="s">
        <v>2487</v>
      </c>
      <c r="AS225" s="143" t="s">
        <v>762</v>
      </c>
      <c r="AT225" s="143" t="s">
        <v>763</v>
      </c>
      <c r="AU225" s="143" t="s">
        <v>663</v>
      </c>
      <c r="AV225" s="143">
        <v>3858</v>
      </c>
      <c r="AW225" s="137" t="s">
        <v>2838</v>
      </c>
      <c r="AX225" s="137" t="s">
        <v>2838</v>
      </c>
      <c r="AY225" s="137" t="s">
        <v>2838</v>
      </c>
      <c r="AZ225" s="137" t="s">
        <v>2838</v>
      </c>
      <c r="BA225" s="137" t="s">
        <v>2838</v>
      </c>
      <c r="BB225" s="137" t="s">
        <v>2838</v>
      </c>
      <c r="BC225" s="137" t="s">
        <v>2838</v>
      </c>
      <c r="BD225" s="137" t="s">
        <v>2838</v>
      </c>
      <c r="BE225" s="137" t="s">
        <v>2838</v>
      </c>
      <c r="BF225" s="137" t="s">
        <v>2838</v>
      </c>
      <c r="BI225" s="137" t="s">
        <v>2486</v>
      </c>
      <c r="BJ225" s="137" t="s">
        <v>2486</v>
      </c>
      <c r="BK225" s="190" t="s">
        <v>2486</v>
      </c>
      <c r="BL225" s="190">
        <v>1</v>
      </c>
      <c r="BM225" s="78" t="s">
        <v>2486</v>
      </c>
      <c r="BO225" s="143" t="s">
        <v>762</v>
      </c>
      <c r="BP225" s="143" t="s">
        <v>763</v>
      </c>
      <c r="BQ225" s="143" t="s">
        <v>663</v>
      </c>
      <c r="BR225" s="143">
        <v>3858</v>
      </c>
      <c r="BY225" s="78" t="s">
        <v>2838</v>
      </c>
    </row>
    <row r="226" spans="1:77" x14ac:dyDescent="0.35">
      <c r="A226" s="143" t="s">
        <v>762</v>
      </c>
      <c r="B226" s="143" t="s">
        <v>763</v>
      </c>
      <c r="C226" s="143" t="s">
        <v>663</v>
      </c>
      <c r="D226" s="143">
        <v>3949</v>
      </c>
      <c r="E226" s="137">
        <v>0.1090909</v>
      </c>
      <c r="F226" s="137">
        <v>0.59652709999999998</v>
      </c>
      <c r="G226" s="271">
        <v>0.70561799999999997</v>
      </c>
      <c r="H226" s="137" t="s">
        <v>2487</v>
      </c>
      <c r="I226" s="137">
        <v>0.1833333</v>
      </c>
      <c r="J226" s="137">
        <v>0.48913859999999998</v>
      </c>
      <c r="K226" s="137">
        <v>0.67247190000000001</v>
      </c>
      <c r="M226" s="143" t="s">
        <v>762</v>
      </c>
      <c r="N226" s="143" t="s">
        <v>763</v>
      </c>
      <c r="O226" s="143" t="s">
        <v>663</v>
      </c>
      <c r="P226" s="143">
        <v>3949</v>
      </c>
      <c r="Q226" s="137" t="s">
        <v>2486</v>
      </c>
      <c r="R226" s="137" t="s">
        <v>2487</v>
      </c>
      <c r="S226" s="137" t="s">
        <v>2486</v>
      </c>
      <c r="T226" s="137" t="s">
        <v>2487</v>
      </c>
      <c r="U226" s="137" t="s">
        <v>2487</v>
      </c>
      <c r="V226" s="137" t="s">
        <v>2487</v>
      </c>
      <c r="W226" s="137" t="s">
        <v>2486</v>
      </c>
      <c r="X226" s="137" t="s">
        <v>2486</v>
      </c>
      <c r="Y226" s="137" t="s">
        <v>2486</v>
      </c>
      <c r="Z226" s="137" t="s">
        <v>2487</v>
      </c>
      <c r="AA226" s="137" t="s">
        <v>2486</v>
      </c>
      <c r="AB226" s="137">
        <v>0.54545460000000001</v>
      </c>
      <c r="AD226" s="143" t="s">
        <v>762</v>
      </c>
      <c r="AE226" s="143" t="s">
        <v>763</v>
      </c>
      <c r="AF226" s="143" t="s">
        <v>663</v>
      </c>
      <c r="AG226" s="143">
        <v>3949</v>
      </c>
      <c r="AO226" s="190">
        <v>0.73750000000000004</v>
      </c>
      <c r="AP226" s="190">
        <v>0.73750000000000004</v>
      </c>
      <c r="AQ226" s="78" t="s">
        <v>2487</v>
      </c>
      <c r="AS226" s="143" t="s">
        <v>762</v>
      </c>
      <c r="AT226" s="143" t="s">
        <v>763</v>
      </c>
      <c r="AU226" s="143" t="s">
        <v>663</v>
      </c>
      <c r="AV226" s="143">
        <v>3949</v>
      </c>
      <c r="AW226" s="137" t="s">
        <v>2838</v>
      </c>
      <c r="AX226" s="137" t="s">
        <v>2838</v>
      </c>
      <c r="AY226" s="137" t="s">
        <v>2838</v>
      </c>
      <c r="AZ226" s="137" t="s">
        <v>2838</v>
      </c>
      <c r="BA226" s="137" t="s">
        <v>2838</v>
      </c>
      <c r="BB226" s="137" t="s">
        <v>2838</v>
      </c>
      <c r="BC226" s="137" t="s">
        <v>2838</v>
      </c>
      <c r="BD226" s="137" t="s">
        <v>2838</v>
      </c>
      <c r="BE226" s="137" t="s">
        <v>2838</v>
      </c>
      <c r="BF226" s="137" t="s">
        <v>2838</v>
      </c>
      <c r="BI226" s="137" t="s">
        <v>2486</v>
      </c>
      <c r="BJ226" s="137" t="s">
        <v>2486</v>
      </c>
      <c r="BK226" s="190" t="s">
        <v>2486</v>
      </c>
      <c r="BL226" s="190">
        <v>1</v>
      </c>
      <c r="BM226" s="78" t="s">
        <v>2486</v>
      </c>
      <c r="BO226" s="143" t="s">
        <v>762</v>
      </c>
      <c r="BP226" s="143" t="s">
        <v>763</v>
      </c>
      <c r="BQ226" s="143" t="s">
        <v>663</v>
      </c>
      <c r="BR226" s="143">
        <v>3949</v>
      </c>
      <c r="BY226" s="78" t="s">
        <v>2838</v>
      </c>
    </row>
    <row r="227" spans="1:77" x14ac:dyDescent="0.35">
      <c r="A227" s="143" t="s">
        <v>762</v>
      </c>
      <c r="B227" s="143" t="s">
        <v>763</v>
      </c>
      <c r="C227" s="143" t="s">
        <v>663</v>
      </c>
      <c r="D227" s="143">
        <v>6926</v>
      </c>
      <c r="E227" s="137">
        <v>0.16363639999999999</v>
      </c>
      <c r="F227" s="137">
        <v>0.3946885</v>
      </c>
      <c r="G227" s="271">
        <v>0.55832479999999995</v>
      </c>
      <c r="H227" s="137" t="s">
        <v>2487</v>
      </c>
      <c r="I227" s="137">
        <v>0.2</v>
      </c>
      <c r="J227" s="137">
        <v>1.42322E-2</v>
      </c>
      <c r="K227" s="137">
        <v>0.21423220000000001</v>
      </c>
      <c r="M227" s="143" t="s">
        <v>762</v>
      </c>
      <c r="N227" s="143" t="s">
        <v>763</v>
      </c>
      <c r="O227" s="143" t="s">
        <v>663</v>
      </c>
      <c r="P227" s="143">
        <v>6926</v>
      </c>
      <c r="Q227" s="137" t="s">
        <v>2486</v>
      </c>
      <c r="R227" s="137" t="s">
        <v>2486</v>
      </c>
      <c r="S227" s="137" t="s">
        <v>2487</v>
      </c>
      <c r="T227" s="137" t="s">
        <v>2487</v>
      </c>
      <c r="U227" s="137" t="s">
        <v>2487</v>
      </c>
      <c r="V227" s="137" t="s">
        <v>2486</v>
      </c>
      <c r="W227" s="137" t="s">
        <v>2487</v>
      </c>
      <c r="X227" s="137" t="s">
        <v>2486</v>
      </c>
      <c r="Y227" s="137" t="s">
        <v>2487</v>
      </c>
      <c r="Z227" s="137" t="s">
        <v>2487</v>
      </c>
      <c r="AA227" s="137" t="s">
        <v>2486</v>
      </c>
      <c r="AB227" s="137">
        <v>0.45454549999999999</v>
      </c>
      <c r="AD227" s="143" t="s">
        <v>762</v>
      </c>
      <c r="AE227" s="143" t="s">
        <v>763</v>
      </c>
      <c r="AF227" s="143" t="s">
        <v>663</v>
      </c>
      <c r="AG227" s="143">
        <v>6926</v>
      </c>
      <c r="AO227" s="190">
        <v>0.875</v>
      </c>
      <c r="AP227" s="190">
        <v>0.875</v>
      </c>
      <c r="AQ227" s="78" t="s">
        <v>2487</v>
      </c>
      <c r="AS227" s="143" t="s">
        <v>762</v>
      </c>
      <c r="AT227" s="143" t="s">
        <v>763</v>
      </c>
      <c r="AU227" s="143" t="s">
        <v>663</v>
      </c>
      <c r="AV227" s="143">
        <v>6926</v>
      </c>
      <c r="AW227" s="137" t="s">
        <v>2838</v>
      </c>
      <c r="AX227" s="137" t="s">
        <v>2838</v>
      </c>
      <c r="AY227" s="137" t="s">
        <v>2838</v>
      </c>
      <c r="AZ227" s="137" t="s">
        <v>2838</v>
      </c>
      <c r="BA227" s="137" t="s">
        <v>2838</v>
      </c>
      <c r="BB227" s="137" t="s">
        <v>2838</v>
      </c>
      <c r="BC227" s="137" t="s">
        <v>2838</v>
      </c>
      <c r="BD227" s="137" t="s">
        <v>2838</v>
      </c>
      <c r="BE227" s="137" t="s">
        <v>2838</v>
      </c>
      <c r="BF227" s="137" t="s">
        <v>2838</v>
      </c>
      <c r="BI227" s="137" t="s">
        <v>2486</v>
      </c>
      <c r="BJ227" s="137" t="s">
        <v>2486</v>
      </c>
      <c r="BK227" s="190" t="s">
        <v>2487</v>
      </c>
      <c r="BL227" s="190">
        <v>0.66666669999999995</v>
      </c>
      <c r="BM227" s="78" t="s">
        <v>2487</v>
      </c>
      <c r="BO227" s="143" t="s">
        <v>762</v>
      </c>
      <c r="BP227" s="143" t="s">
        <v>763</v>
      </c>
      <c r="BQ227" s="143" t="s">
        <v>663</v>
      </c>
      <c r="BR227" s="143">
        <v>6926</v>
      </c>
      <c r="BY227" s="78" t="s">
        <v>2838</v>
      </c>
    </row>
    <row r="228" spans="1:77" x14ac:dyDescent="0.35">
      <c r="A228" s="143" t="s">
        <v>762</v>
      </c>
      <c r="B228" s="143" t="s">
        <v>763</v>
      </c>
      <c r="C228" s="143" t="s">
        <v>663</v>
      </c>
      <c r="D228" s="143">
        <v>6927</v>
      </c>
      <c r="E228" s="137">
        <v>0.18181820000000001</v>
      </c>
      <c r="F228" s="137">
        <v>0.34484169999999997</v>
      </c>
      <c r="G228" s="271">
        <v>0.52665980000000001</v>
      </c>
      <c r="H228" s="137" t="s">
        <v>2487</v>
      </c>
      <c r="I228" s="137">
        <v>0.1666667</v>
      </c>
      <c r="J228" s="137">
        <v>0</v>
      </c>
      <c r="K228" s="137">
        <v>0.1666667</v>
      </c>
      <c r="M228" s="143" t="s">
        <v>762</v>
      </c>
      <c r="N228" s="143" t="s">
        <v>763</v>
      </c>
      <c r="O228" s="143" t="s">
        <v>663</v>
      </c>
      <c r="P228" s="143">
        <v>6927</v>
      </c>
      <c r="Q228" s="137" t="s">
        <v>2487</v>
      </c>
      <c r="R228" s="137" t="s">
        <v>2486</v>
      </c>
      <c r="S228" s="137" t="s">
        <v>2486</v>
      </c>
      <c r="T228" s="137" t="s">
        <v>2486</v>
      </c>
      <c r="U228" s="137" t="s">
        <v>2487</v>
      </c>
      <c r="V228" s="137" t="s">
        <v>2487</v>
      </c>
      <c r="W228" s="137" t="s">
        <v>2486</v>
      </c>
      <c r="X228" s="137" t="s">
        <v>2487</v>
      </c>
      <c r="Y228" s="137" t="s">
        <v>2487</v>
      </c>
      <c r="Z228" s="137" t="s">
        <v>2487</v>
      </c>
      <c r="AA228" s="137" t="s">
        <v>2487</v>
      </c>
      <c r="AB228" s="137">
        <v>0.36363640000000003</v>
      </c>
      <c r="AD228" s="143" t="s">
        <v>762</v>
      </c>
      <c r="AE228" s="143" t="s">
        <v>763</v>
      </c>
      <c r="AF228" s="143" t="s">
        <v>663</v>
      </c>
      <c r="AG228" s="143">
        <v>6927</v>
      </c>
      <c r="AO228" s="190">
        <v>0.8125</v>
      </c>
      <c r="AP228" s="190">
        <v>0.8125</v>
      </c>
      <c r="AQ228" s="78" t="s">
        <v>2487</v>
      </c>
      <c r="AS228" s="143" t="s">
        <v>762</v>
      </c>
      <c r="AT228" s="143" t="s">
        <v>763</v>
      </c>
      <c r="AU228" s="143" t="s">
        <v>663</v>
      </c>
      <c r="AV228" s="143">
        <v>6927</v>
      </c>
      <c r="AW228" s="137" t="s">
        <v>2838</v>
      </c>
      <c r="AX228" s="137" t="s">
        <v>2838</v>
      </c>
      <c r="AY228" s="137" t="s">
        <v>2838</v>
      </c>
      <c r="AZ228" s="137" t="s">
        <v>2838</v>
      </c>
      <c r="BA228" s="137" t="s">
        <v>2838</v>
      </c>
      <c r="BB228" s="137" t="s">
        <v>2838</v>
      </c>
      <c r="BC228" s="137" t="s">
        <v>2838</v>
      </c>
      <c r="BD228" s="137" t="s">
        <v>2838</v>
      </c>
      <c r="BE228" s="137" t="s">
        <v>2838</v>
      </c>
      <c r="BF228" s="137" t="s">
        <v>2838</v>
      </c>
      <c r="BI228" s="137" t="s">
        <v>2487</v>
      </c>
      <c r="BJ228" s="137" t="s">
        <v>2486</v>
      </c>
      <c r="BK228" s="190" t="s">
        <v>2487</v>
      </c>
      <c r="BL228" s="190">
        <v>0.3333333</v>
      </c>
      <c r="BM228" s="78" t="s">
        <v>2487</v>
      </c>
      <c r="BO228" s="143" t="s">
        <v>762</v>
      </c>
      <c r="BP228" s="143" t="s">
        <v>763</v>
      </c>
      <c r="BQ228" s="143" t="s">
        <v>663</v>
      </c>
      <c r="BR228" s="143">
        <v>6927</v>
      </c>
      <c r="BY228" s="78" t="s">
        <v>2838</v>
      </c>
    </row>
    <row r="229" spans="1:77" x14ac:dyDescent="0.35">
      <c r="A229" s="143" t="s">
        <v>764</v>
      </c>
      <c r="B229" s="143" t="s">
        <v>765</v>
      </c>
      <c r="C229" s="143" t="s">
        <v>2452</v>
      </c>
      <c r="D229" s="143">
        <v>91</v>
      </c>
      <c r="E229" s="137">
        <v>0.16</v>
      </c>
      <c r="F229" s="137">
        <v>0.78755560000000002</v>
      </c>
      <c r="G229" s="271">
        <v>0.94755549999999999</v>
      </c>
      <c r="H229" s="137" t="s">
        <v>2486</v>
      </c>
      <c r="I229" s="137">
        <v>0.16111110000000001</v>
      </c>
      <c r="J229" s="137">
        <v>0.66666669999999995</v>
      </c>
      <c r="K229" s="137">
        <v>0.82777780000000001</v>
      </c>
      <c r="M229" s="143" t="s">
        <v>764</v>
      </c>
      <c r="N229" s="143" t="s">
        <v>765</v>
      </c>
      <c r="O229" s="143" t="s">
        <v>2452</v>
      </c>
      <c r="P229" s="143">
        <v>91</v>
      </c>
      <c r="Q229" s="137" t="s">
        <v>2486</v>
      </c>
      <c r="R229" s="137" t="s">
        <v>2486</v>
      </c>
      <c r="S229" s="137" t="s">
        <v>2486</v>
      </c>
      <c r="T229" s="137" t="s">
        <v>2486</v>
      </c>
      <c r="U229" s="137" t="s">
        <v>2486</v>
      </c>
      <c r="V229" s="137" t="s">
        <v>2486</v>
      </c>
      <c r="W229" s="137" t="s">
        <v>2486</v>
      </c>
      <c r="X229" s="137" t="s">
        <v>2486</v>
      </c>
      <c r="Y229" s="137" t="s">
        <v>2487</v>
      </c>
      <c r="Z229" s="137" t="s">
        <v>2486</v>
      </c>
      <c r="AA229" s="137" t="s">
        <v>2486</v>
      </c>
      <c r="AB229" s="137">
        <v>0.90909090000000004</v>
      </c>
      <c r="AD229" s="143" t="s">
        <v>764</v>
      </c>
      <c r="AE229" s="143" t="s">
        <v>765</v>
      </c>
      <c r="AF229" s="143" t="s">
        <v>2452</v>
      </c>
      <c r="AG229" s="143">
        <v>91</v>
      </c>
      <c r="AH229" s="137">
        <v>1</v>
      </c>
      <c r="AI229" s="137">
        <v>1</v>
      </c>
      <c r="AJ229" s="137">
        <v>0.9473684</v>
      </c>
      <c r="AK229" s="137">
        <v>1</v>
      </c>
      <c r="AL229" s="137">
        <v>1</v>
      </c>
      <c r="AM229" s="137">
        <v>0.8</v>
      </c>
      <c r="AN229" s="137">
        <v>0.96969700000000003</v>
      </c>
      <c r="AO229" s="190">
        <v>1</v>
      </c>
      <c r="AP229" s="190">
        <v>0.96506550000000002</v>
      </c>
      <c r="AQ229" s="78" t="s">
        <v>2486</v>
      </c>
      <c r="AS229" s="143" t="s">
        <v>764</v>
      </c>
      <c r="AT229" s="143" t="s">
        <v>765</v>
      </c>
      <c r="AU229" s="143" t="s">
        <v>2452</v>
      </c>
      <c r="AV229" s="143">
        <v>91</v>
      </c>
      <c r="AW229" s="137" t="s">
        <v>2486</v>
      </c>
      <c r="AX229" s="137" t="s">
        <v>2486</v>
      </c>
      <c r="AY229" s="137" t="s">
        <v>2486</v>
      </c>
      <c r="AZ229" s="137" t="s">
        <v>2486</v>
      </c>
      <c r="BA229" s="137" t="s">
        <v>2486</v>
      </c>
      <c r="BB229" s="137" t="s">
        <v>2486</v>
      </c>
      <c r="BC229" s="137" t="s">
        <v>2486</v>
      </c>
      <c r="BD229" s="137" t="s">
        <v>2486</v>
      </c>
      <c r="BE229" s="137" t="s">
        <v>2486</v>
      </c>
      <c r="BF229" s="137" t="s">
        <v>2486</v>
      </c>
      <c r="BI229" s="137" t="s">
        <v>2838</v>
      </c>
      <c r="BJ229" s="137" t="s">
        <v>2838</v>
      </c>
      <c r="BK229" s="190" t="s">
        <v>2838</v>
      </c>
      <c r="BL229" s="190">
        <v>1</v>
      </c>
      <c r="BM229" s="78" t="s">
        <v>2486</v>
      </c>
      <c r="BO229" s="143" t="s">
        <v>764</v>
      </c>
      <c r="BP229" s="143" t="s">
        <v>765</v>
      </c>
      <c r="BQ229" s="143" t="s">
        <v>2452</v>
      </c>
      <c r="BR229" s="143">
        <v>91</v>
      </c>
      <c r="BS229" s="156">
        <v>3</v>
      </c>
      <c r="BT229" s="156">
        <v>1</v>
      </c>
      <c r="BU229" s="156">
        <v>1</v>
      </c>
      <c r="BV229" s="156">
        <v>1</v>
      </c>
      <c r="BW229" s="169">
        <v>0.75</v>
      </c>
      <c r="BX229" s="169">
        <v>0.9375</v>
      </c>
      <c r="BY229" s="78" t="s">
        <v>2487</v>
      </c>
    </row>
    <row r="230" spans="1:77" x14ac:dyDescent="0.35">
      <c r="A230" s="143" t="s">
        <v>764</v>
      </c>
      <c r="B230" s="143" t="s">
        <v>765</v>
      </c>
      <c r="C230" s="143" t="s">
        <v>663</v>
      </c>
      <c r="D230" s="143">
        <v>2351</v>
      </c>
      <c r="E230" s="137">
        <v>0.12727269999999999</v>
      </c>
      <c r="F230" s="137">
        <v>0.58100099999999999</v>
      </c>
      <c r="G230" s="271">
        <v>0.70827379999999995</v>
      </c>
      <c r="H230" s="137" t="s">
        <v>2487</v>
      </c>
      <c r="I230" s="137">
        <v>0.15</v>
      </c>
      <c r="J230" s="137">
        <v>0.66666669999999995</v>
      </c>
      <c r="K230" s="137">
        <v>0.81666669999999997</v>
      </c>
      <c r="M230" s="143" t="s">
        <v>764</v>
      </c>
      <c r="N230" s="143" t="s">
        <v>765</v>
      </c>
      <c r="O230" s="143" t="s">
        <v>663</v>
      </c>
      <c r="P230" s="143">
        <v>2351</v>
      </c>
      <c r="Q230" s="137" t="s">
        <v>2486</v>
      </c>
      <c r="R230" s="137" t="s">
        <v>2486</v>
      </c>
      <c r="S230" s="137" t="s">
        <v>2486</v>
      </c>
      <c r="T230" s="137" t="s">
        <v>2486</v>
      </c>
      <c r="U230" s="137" t="s">
        <v>2487</v>
      </c>
      <c r="V230" s="137" t="s">
        <v>2487</v>
      </c>
      <c r="W230" s="137" t="s">
        <v>2486</v>
      </c>
      <c r="X230" s="137" t="s">
        <v>2486</v>
      </c>
      <c r="Y230" s="137" t="s">
        <v>2486</v>
      </c>
      <c r="Z230" s="137" t="s">
        <v>2486</v>
      </c>
      <c r="AA230" s="137" t="s">
        <v>2486</v>
      </c>
      <c r="AB230" s="137">
        <v>0.81818179999999996</v>
      </c>
      <c r="AD230" s="143" t="s">
        <v>764</v>
      </c>
      <c r="AE230" s="143" t="s">
        <v>765</v>
      </c>
      <c r="AF230" s="143" t="s">
        <v>663</v>
      </c>
      <c r="AG230" s="143">
        <v>2351</v>
      </c>
      <c r="AO230" s="190">
        <v>0.91249999999999998</v>
      </c>
      <c r="AP230" s="190">
        <v>0.91249999999999998</v>
      </c>
      <c r="AQ230" s="78" t="s">
        <v>2487</v>
      </c>
      <c r="AS230" s="143" t="s">
        <v>764</v>
      </c>
      <c r="AT230" s="143" t="s">
        <v>765</v>
      </c>
      <c r="AU230" s="143" t="s">
        <v>663</v>
      </c>
      <c r="AV230" s="143">
        <v>2351</v>
      </c>
      <c r="AW230" s="137" t="s">
        <v>2838</v>
      </c>
      <c r="AX230" s="137" t="s">
        <v>2838</v>
      </c>
      <c r="AY230" s="137" t="s">
        <v>2838</v>
      </c>
      <c r="AZ230" s="137" t="s">
        <v>2838</v>
      </c>
      <c r="BA230" s="137" t="s">
        <v>2838</v>
      </c>
      <c r="BB230" s="137" t="s">
        <v>2838</v>
      </c>
      <c r="BC230" s="137" t="s">
        <v>2838</v>
      </c>
      <c r="BD230" s="137" t="s">
        <v>2838</v>
      </c>
      <c r="BE230" s="137" t="s">
        <v>2838</v>
      </c>
      <c r="BF230" s="137" t="s">
        <v>2838</v>
      </c>
      <c r="BI230" s="137" t="s">
        <v>2487</v>
      </c>
      <c r="BJ230" s="137" t="s">
        <v>2486</v>
      </c>
      <c r="BK230" s="190" t="s">
        <v>2486</v>
      </c>
      <c r="BL230" s="190">
        <v>0.66666669999999995</v>
      </c>
      <c r="BM230" s="78" t="s">
        <v>2487</v>
      </c>
      <c r="BO230" s="143" t="s">
        <v>764</v>
      </c>
      <c r="BP230" s="143" t="s">
        <v>765</v>
      </c>
      <c r="BQ230" s="143" t="s">
        <v>663</v>
      </c>
      <c r="BR230" s="143">
        <v>2351</v>
      </c>
      <c r="BY230" s="78" t="s">
        <v>2838</v>
      </c>
    </row>
    <row r="231" spans="1:77" x14ac:dyDescent="0.35">
      <c r="A231" s="143" t="s">
        <v>764</v>
      </c>
      <c r="B231" s="143" t="s">
        <v>765</v>
      </c>
      <c r="C231" s="143" t="s">
        <v>663</v>
      </c>
      <c r="D231" s="143">
        <v>2354</v>
      </c>
      <c r="E231" s="137">
        <v>9.0909100000000007E-2</v>
      </c>
      <c r="F231" s="137">
        <v>0.55566910000000003</v>
      </c>
      <c r="G231" s="271">
        <v>0.64657810000000004</v>
      </c>
      <c r="H231" s="137" t="s">
        <v>2487</v>
      </c>
      <c r="I231" s="137">
        <v>0.13333329999999999</v>
      </c>
      <c r="J231" s="137">
        <v>0.6404495</v>
      </c>
      <c r="K231" s="137">
        <v>0.77378279999999999</v>
      </c>
      <c r="M231" s="143" t="s">
        <v>764</v>
      </c>
      <c r="N231" s="143" t="s">
        <v>765</v>
      </c>
      <c r="O231" s="143" t="s">
        <v>663</v>
      </c>
      <c r="P231" s="143">
        <v>2354</v>
      </c>
      <c r="Q231" s="137" t="s">
        <v>2487</v>
      </c>
      <c r="R231" s="137" t="s">
        <v>2486</v>
      </c>
      <c r="S231" s="137" t="s">
        <v>2487</v>
      </c>
      <c r="T231" s="137" t="s">
        <v>2486</v>
      </c>
      <c r="U231" s="137" t="s">
        <v>2487</v>
      </c>
      <c r="V231" s="137" t="s">
        <v>2486</v>
      </c>
      <c r="W231" s="137" t="s">
        <v>2486</v>
      </c>
      <c r="X231" s="137" t="s">
        <v>2486</v>
      </c>
      <c r="Y231" s="137" t="s">
        <v>2486</v>
      </c>
      <c r="Z231" s="137" t="s">
        <v>2486</v>
      </c>
      <c r="AA231" s="137" t="s">
        <v>2486</v>
      </c>
      <c r="AB231" s="137">
        <v>0.72727269999999999</v>
      </c>
      <c r="AD231" s="143" t="s">
        <v>764</v>
      </c>
      <c r="AE231" s="143" t="s">
        <v>765</v>
      </c>
      <c r="AF231" s="143" t="s">
        <v>663</v>
      </c>
      <c r="AG231" s="143">
        <v>2354</v>
      </c>
      <c r="AO231" s="190">
        <v>0.78749999999999998</v>
      </c>
      <c r="AP231" s="190">
        <v>0.78749999999999998</v>
      </c>
      <c r="AQ231" s="78" t="s">
        <v>2487</v>
      </c>
      <c r="AS231" s="143" t="s">
        <v>764</v>
      </c>
      <c r="AT231" s="143" t="s">
        <v>765</v>
      </c>
      <c r="AU231" s="143" t="s">
        <v>663</v>
      </c>
      <c r="AV231" s="143">
        <v>2354</v>
      </c>
      <c r="AW231" s="137" t="s">
        <v>2838</v>
      </c>
      <c r="AX231" s="137" t="s">
        <v>2838</v>
      </c>
      <c r="AY231" s="137" t="s">
        <v>2838</v>
      </c>
      <c r="AZ231" s="137" t="s">
        <v>2838</v>
      </c>
      <c r="BA231" s="137" t="s">
        <v>2838</v>
      </c>
      <c r="BB231" s="137" t="s">
        <v>2838</v>
      </c>
      <c r="BC231" s="137" t="s">
        <v>2838</v>
      </c>
      <c r="BD231" s="137" t="s">
        <v>2838</v>
      </c>
      <c r="BE231" s="137" t="s">
        <v>2838</v>
      </c>
      <c r="BF231" s="137" t="s">
        <v>2838</v>
      </c>
      <c r="BI231" s="137" t="s">
        <v>2486</v>
      </c>
      <c r="BJ231" s="137" t="s">
        <v>2486</v>
      </c>
      <c r="BK231" s="190" t="s">
        <v>2486</v>
      </c>
      <c r="BL231" s="190">
        <v>1</v>
      </c>
      <c r="BM231" s="78" t="s">
        <v>2486</v>
      </c>
      <c r="BO231" s="143" t="s">
        <v>764</v>
      </c>
      <c r="BP231" s="143" t="s">
        <v>765</v>
      </c>
      <c r="BQ231" s="143" t="s">
        <v>663</v>
      </c>
      <c r="BR231" s="143">
        <v>2354</v>
      </c>
      <c r="BY231" s="78" t="s">
        <v>2838</v>
      </c>
    </row>
    <row r="232" spans="1:77" x14ac:dyDescent="0.35">
      <c r="A232" s="143" t="s">
        <v>764</v>
      </c>
      <c r="B232" s="143" t="s">
        <v>765</v>
      </c>
      <c r="C232" s="143" t="s">
        <v>663</v>
      </c>
      <c r="D232" s="143">
        <v>2934</v>
      </c>
      <c r="E232" s="137">
        <v>0.12727269999999999</v>
      </c>
      <c r="F232" s="137">
        <v>0.8</v>
      </c>
      <c r="G232" s="271">
        <v>0.92727269999999995</v>
      </c>
      <c r="H232" s="137" t="s">
        <v>2486</v>
      </c>
      <c r="I232" s="137">
        <v>0.2</v>
      </c>
      <c r="J232" s="137">
        <v>0.8</v>
      </c>
      <c r="K232" s="137">
        <v>1</v>
      </c>
      <c r="M232" s="143" t="s">
        <v>764</v>
      </c>
      <c r="N232" s="143" t="s">
        <v>765</v>
      </c>
      <c r="O232" s="143" t="s">
        <v>663</v>
      </c>
      <c r="P232" s="143">
        <v>2934</v>
      </c>
      <c r="Q232" s="137" t="s">
        <v>2486</v>
      </c>
      <c r="R232" s="137" t="s">
        <v>2486</v>
      </c>
      <c r="S232" s="137" t="s">
        <v>2486</v>
      </c>
      <c r="T232" s="137" t="s">
        <v>2486</v>
      </c>
      <c r="U232" s="137" t="s">
        <v>2487</v>
      </c>
      <c r="V232" s="137" t="s">
        <v>2486</v>
      </c>
      <c r="W232" s="137" t="s">
        <v>2486</v>
      </c>
      <c r="X232" s="137" t="s">
        <v>2487</v>
      </c>
      <c r="Y232" s="137" t="s">
        <v>2486</v>
      </c>
      <c r="Z232" s="137" t="s">
        <v>2486</v>
      </c>
      <c r="AA232" s="137" t="s">
        <v>2486</v>
      </c>
      <c r="AB232" s="137">
        <v>0.81818179999999996</v>
      </c>
      <c r="AD232" s="143" t="s">
        <v>764</v>
      </c>
      <c r="AE232" s="143" t="s">
        <v>765</v>
      </c>
      <c r="AF232" s="143" t="s">
        <v>663</v>
      </c>
      <c r="AG232" s="143">
        <v>2934</v>
      </c>
      <c r="AO232" s="190">
        <v>0.91249999999999998</v>
      </c>
      <c r="AP232" s="190">
        <v>0.91249999999999998</v>
      </c>
      <c r="AQ232" s="78" t="s">
        <v>2487</v>
      </c>
      <c r="AS232" s="143" t="s">
        <v>764</v>
      </c>
      <c r="AT232" s="143" t="s">
        <v>765</v>
      </c>
      <c r="AU232" s="143" t="s">
        <v>663</v>
      </c>
      <c r="AV232" s="143">
        <v>2934</v>
      </c>
      <c r="AW232" s="137" t="s">
        <v>2838</v>
      </c>
      <c r="AX232" s="137" t="s">
        <v>2838</v>
      </c>
      <c r="AY232" s="137" t="s">
        <v>2838</v>
      </c>
      <c r="AZ232" s="137" t="s">
        <v>2838</v>
      </c>
      <c r="BA232" s="137" t="s">
        <v>2838</v>
      </c>
      <c r="BB232" s="137" t="s">
        <v>2838</v>
      </c>
      <c r="BC232" s="137" t="s">
        <v>2838</v>
      </c>
      <c r="BD232" s="137" t="s">
        <v>2838</v>
      </c>
      <c r="BE232" s="137" t="s">
        <v>2838</v>
      </c>
      <c r="BF232" s="137" t="s">
        <v>2838</v>
      </c>
      <c r="BI232" s="137" t="s">
        <v>2486</v>
      </c>
      <c r="BJ232" s="137" t="s">
        <v>2486</v>
      </c>
      <c r="BK232" s="190" t="s">
        <v>2486</v>
      </c>
      <c r="BL232" s="190">
        <v>1</v>
      </c>
      <c r="BM232" s="78" t="s">
        <v>2486</v>
      </c>
      <c r="BO232" s="143" t="s">
        <v>764</v>
      </c>
      <c r="BP232" s="143" t="s">
        <v>765</v>
      </c>
      <c r="BQ232" s="143" t="s">
        <v>663</v>
      </c>
      <c r="BR232" s="143">
        <v>2934</v>
      </c>
      <c r="BY232" s="78" t="s">
        <v>2838</v>
      </c>
    </row>
    <row r="233" spans="1:77" x14ac:dyDescent="0.35">
      <c r="A233" s="143" t="s">
        <v>764</v>
      </c>
      <c r="B233" s="143" t="s">
        <v>765</v>
      </c>
      <c r="C233" s="143" t="s">
        <v>663</v>
      </c>
      <c r="D233" s="143">
        <v>2940</v>
      </c>
      <c r="E233" s="137">
        <v>9.0909100000000007E-2</v>
      </c>
      <c r="F233" s="137">
        <v>0.57364660000000001</v>
      </c>
      <c r="G233" s="271">
        <v>0.66455569999999997</v>
      </c>
      <c r="H233" s="137" t="s">
        <v>2487</v>
      </c>
      <c r="I233" s="137">
        <v>0.1666667</v>
      </c>
      <c r="J233" s="137">
        <v>0.73333329999999997</v>
      </c>
      <c r="K233" s="137">
        <v>0.9</v>
      </c>
      <c r="M233" s="143" t="s">
        <v>764</v>
      </c>
      <c r="N233" s="143" t="s">
        <v>765</v>
      </c>
      <c r="O233" s="143" t="s">
        <v>663</v>
      </c>
      <c r="P233" s="143">
        <v>2940</v>
      </c>
      <c r="Q233" s="137" t="s">
        <v>2486</v>
      </c>
      <c r="R233" s="137" t="s">
        <v>2486</v>
      </c>
      <c r="S233" s="137" t="s">
        <v>2486</v>
      </c>
      <c r="T233" s="137" t="s">
        <v>2487</v>
      </c>
      <c r="U233" s="137" t="s">
        <v>2487</v>
      </c>
      <c r="V233" s="137" t="s">
        <v>2487</v>
      </c>
      <c r="W233" s="137" t="s">
        <v>2486</v>
      </c>
      <c r="X233" s="137" t="s">
        <v>2486</v>
      </c>
      <c r="Y233" s="137" t="s">
        <v>2486</v>
      </c>
      <c r="Z233" s="137" t="s">
        <v>2486</v>
      </c>
      <c r="AA233" s="137" t="s">
        <v>2486</v>
      </c>
      <c r="AB233" s="137">
        <v>0.72727269999999999</v>
      </c>
      <c r="AD233" s="143" t="s">
        <v>764</v>
      </c>
      <c r="AE233" s="143" t="s">
        <v>765</v>
      </c>
      <c r="AF233" s="143" t="s">
        <v>663</v>
      </c>
      <c r="AG233" s="143">
        <v>2940</v>
      </c>
      <c r="AO233" s="190">
        <v>0.86250000000000004</v>
      </c>
      <c r="AP233" s="190">
        <v>0.86250000000000004</v>
      </c>
      <c r="AQ233" s="78" t="s">
        <v>2487</v>
      </c>
      <c r="AS233" s="143" t="s">
        <v>764</v>
      </c>
      <c r="AT233" s="143" t="s">
        <v>765</v>
      </c>
      <c r="AU233" s="143" t="s">
        <v>663</v>
      </c>
      <c r="AV233" s="143">
        <v>2940</v>
      </c>
      <c r="AW233" s="137" t="s">
        <v>2838</v>
      </c>
      <c r="AX233" s="137" t="s">
        <v>2838</v>
      </c>
      <c r="AY233" s="137" t="s">
        <v>2838</v>
      </c>
      <c r="AZ233" s="137" t="s">
        <v>2838</v>
      </c>
      <c r="BA233" s="137" t="s">
        <v>2838</v>
      </c>
      <c r="BB233" s="137" t="s">
        <v>2838</v>
      </c>
      <c r="BC233" s="137" t="s">
        <v>2838</v>
      </c>
      <c r="BD233" s="137" t="s">
        <v>2838</v>
      </c>
      <c r="BE233" s="137" t="s">
        <v>2838</v>
      </c>
      <c r="BF233" s="137" t="s">
        <v>2838</v>
      </c>
      <c r="BI233" s="137" t="s">
        <v>2486</v>
      </c>
      <c r="BJ233" s="137" t="s">
        <v>2486</v>
      </c>
      <c r="BK233" s="190" t="s">
        <v>2486</v>
      </c>
      <c r="BL233" s="190">
        <v>1</v>
      </c>
      <c r="BM233" s="78" t="s">
        <v>2486</v>
      </c>
      <c r="BO233" s="143" t="s">
        <v>764</v>
      </c>
      <c r="BP233" s="143" t="s">
        <v>765</v>
      </c>
      <c r="BQ233" s="143" t="s">
        <v>663</v>
      </c>
      <c r="BR233" s="143">
        <v>2940</v>
      </c>
      <c r="BY233" s="78" t="s">
        <v>2838</v>
      </c>
    </row>
    <row r="234" spans="1:77" x14ac:dyDescent="0.35">
      <c r="A234" s="143" t="s">
        <v>764</v>
      </c>
      <c r="B234" s="143" t="s">
        <v>765</v>
      </c>
      <c r="C234" s="143" t="s">
        <v>663</v>
      </c>
      <c r="D234" s="143">
        <v>3850</v>
      </c>
      <c r="E234" s="137">
        <v>0.16363639999999999</v>
      </c>
      <c r="F234" s="137">
        <v>0.53278859999999995</v>
      </c>
      <c r="G234" s="271">
        <v>0.69642490000000001</v>
      </c>
      <c r="H234" s="137" t="s">
        <v>2487</v>
      </c>
      <c r="I234" s="137">
        <v>0.13333329999999999</v>
      </c>
      <c r="J234" s="137">
        <v>0.1543071</v>
      </c>
      <c r="K234" s="137">
        <v>0.28764050000000002</v>
      </c>
      <c r="M234" s="143" t="s">
        <v>764</v>
      </c>
      <c r="N234" s="143" t="s">
        <v>765</v>
      </c>
      <c r="O234" s="143" t="s">
        <v>663</v>
      </c>
      <c r="P234" s="143">
        <v>3850</v>
      </c>
      <c r="Q234" s="137" t="s">
        <v>2486</v>
      </c>
      <c r="R234" s="137" t="s">
        <v>2487</v>
      </c>
      <c r="S234" s="137" t="s">
        <v>2486</v>
      </c>
      <c r="T234" s="137" t="s">
        <v>2486</v>
      </c>
      <c r="U234" s="137" t="s">
        <v>2487</v>
      </c>
      <c r="V234" s="137" t="s">
        <v>2487</v>
      </c>
      <c r="W234" s="137" t="s">
        <v>2486</v>
      </c>
      <c r="X234" s="137" t="s">
        <v>2486</v>
      </c>
      <c r="Y234" s="137" t="s">
        <v>2486</v>
      </c>
      <c r="Z234" s="137" t="s">
        <v>2486</v>
      </c>
      <c r="AA234" s="137" t="s">
        <v>2486</v>
      </c>
      <c r="AB234" s="137">
        <v>0.72727269999999999</v>
      </c>
      <c r="AD234" s="143" t="s">
        <v>764</v>
      </c>
      <c r="AE234" s="143" t="s">
        <v>765</v>
      </c>
      <c r="AF234" s="143" t="s">
        <v>663</v>
      </c>
      <c r="AG234" s="143">
        <v>3850</v>
      </c>
      <c r="AO234" s="190">
        <v>0.8</v>
      </c>
      <c r="AP234" s="190">
        <v>0.8</v>
      </c>
      <c r="AQ234" s="78" t="s">
        <v>2487</v>
      </c>
      <c r="AS234" s="143" t="s">
        <v>764</v>
      </c>
      <c r="AT234" s="143" t="s">
        <v>765</v>
      </c>
      <c r="AU234" s="143" t="s">
        <v>663</v>
      </c>
      <c r="AV234" s="143">
        <v>3850</v>
      </c>
      <c r="AW234" s="137" t="s">
        <v>2838</v>
      </c>
      <c r="AX234" s="137" t="s">
        <v>2838</v>
      </c>
      <c r="AY234" s="137" t="s">
        <v>2838</v>
      </c>
      <c r="AZ234" s="137" t="s">
        <v>2838</v>
      </c>
      <c r="BA234" s="137" t="s">
        <v>2838</v>
      </c>
      <c r="BB234" s="137" t="s">
        <v>2838</v>
      </c>
      <c r="BC234" s="137" t="s">
        <v>2838</v>
      </c>
      <c r="BD234" s="137" t="s">
        <v>2838</v>
      </c>
      <c r="BE234" s="137" t="s">
        <v>2838</v>
      </c>
      <c r="BF234" s="137" t="s">
        <v>2838</v>
      </c>
      <c r="BI234" s="137" t="s">
        <v>2486</v>
      </c>
      <c r="BJ234" s="137" t="s">
        <v>2486</v>
      </c>
      <c r="BK234" s="190" t="s">
        <v>2486</v>
      </c>
      <c r="BL234" s="190">
        <v>1</v>
      </c>
      <c r="BM234" s="78" t="s">
        <v>2486</v>
      </c>
      <c r="BO234" s="143" t="s">
        <v>764</v>
      </c>
      <c r="BP234" s="143" t="s">
        <v>765</v>
      </c>
      <c r="BQ234" s="143" t="s">
        <v>663</v>
      </c>
      <c r="BR234" s="143">
        <v>3850</v>
      </c>
      <c r="BY234" s="78" t="s">
        <v>2838</v>
      </c>
    </row>
    <row r="235" spans="1:77" x14ac:dyDescent="0.35">
      <c r="A235" s="143" t="s">
        <v>2851</v>
      </c>
      <c r="B235" s="143" t="s">
        <v>2518</v>
      </c>
      <c r="C235" s="143" t="s">
        <v>663</v>
      </c>
      <c r="D235" s="143">
        <v>2891</v>
      </c>
      <c r="E235" s="137"/>
      <c r="F235" s="137">
        <v>0.8</v>
      </c>
      <c r="G235" s="271">
        <v>1</v>
      </c>
      <c r="H235" s="137" t="s">
        <v>2486</v>
      </c>
      <c r="I235" s="137"/>
      <c r="J235" s="137">
        <v>0.8</v>
      </c>
      <c r="K235" s="137">
        <v>1</v>
      </c>
      <c r="M235" s="143" t="s">
        <v>2851</v>
      </c>
      <c r="N235" s="143" t="s">
        <v>2518</v>
      </c>
      <c r="O235" s="143" t="s">
        <v>663</v>
      </c>
      <c r="P235" s="143">
        <v>2891</v>
      </c>
      <c r="Q235" s="137" t="s">
        <v>2838</v>
      </c>
      <c r="R235" s="137" t="s">
        <v>2838</v>
      </c>
      <c r="S235" s="137" t="s">
        <v>2838</v>
      </c>
      <c r="T235" s="137" t="s">
        <v>2838</v>
      </c>
      <c r="U235" s="137" t="s">
        <v>2838</v>
      </c>
      <c r="V235" s="137" t="s">
        <v>2838</v>
      </c>
      <c r="W235" s="137" t="s">
        <v>2838</v>
      </c>
      <c r="X235" s="137" t="s">
        <v>2838</v>
      </c>
      <c r="Y235" s="137" t="s">
        <v>2838</v>
      </c>
      <c r="Z235" s="137" t="s">
        <v>2838</v>
      </c>
      <c r="AA235" s="137" t="s">
        <v>2838</v>
      </c>
      <c r="AB235" s="137">
        <v>0.72727269999999999</v>
      </c>
      <c r="AD235" s="143" t="s">
        <v>2851</v>
      </c>
      <c r="AE235" s="143" t="s">
        <v>2518</v>
      </c>
      <c r="AF235" s="143" t="s">
        <v>663</v>
      </c>
      <c r="AG235" s="143">
        <v>2891</v>
      </c>
      <c r="AQ235" s="78" t="s">
        <v>2838</v>
      </c>
      <c r="AS235" s="143" t="s">
        <v>2851</v>
      </c>
      <c r="AT235" s="143" t="s">
        <v>2518</v>
      </c>
      <c r="AU235" s="143" t="s">
        <v>663</v>
      </c>
      <c r="AV235" s="143">
        <v>2891</v>
      </c>
      <c r="AW235" s="137" t="s">
        <v>2838</v>
      </c>
      <c r="AX235" s="137" t="s">
        <v>2838</v>
      </c>
      <c r="AY235" s="137" t="s">
        <v>2838</v>
      </c>
      <c r="AZ235" s="137" t="s">
        <v>2838</v>
      </c>
      <c r="BA235" s="137" t="s">
        <v>2838</v>
      </c>
      <c r="BB235" s="137" t="s">
        <v>2838</v>
      </c>
      <c r="BC235" s="137" t="s">
        <v>2838</v>
      </c>
      <c r="BD235" s="137" t="s">
        <v>2838</v>
      </c>
      <c r="BE235" s="137" t="s">
        <v>2838</v>
      </c>
      <c r="BF235" s="137" t="s">
        <v>2838</v>
      </c>
      <c r="BI235" s="137" t="s">
        <v>2838</v>
      </c>
      <c r="BJ235" s="137" t="s">
        <v>2838</v>
      </c>
      <c r="BK235" s="190" t="s">
        <v>2838</v>
      </c>
      <c r="BM235" s="78" t="s">
        <v>2838</v>
      </c>
      <c r="BO235" s="143" t="s">
        <v>2851</v>
      </c>
      <c r="BP235" s="143" t="s">
        <v>2518</v>
      </c>
      <c r="BQ235" s="143" t="s">
        <v>663</v>
      </c>
      <c r="BR235" s="143">
        <v>2891</v>
      </c>
      <c r="BY235" s="78" t="s">
        <v>2838</v>
      </c>
    </row>
    <row r="236" spans="1:77" x14ac:dyDescent="0.35">
      <c r="A236" s="143" t="s">
        <v>2851</v>
      </c>
      <c r="B236" s="143" t="s">
        <v>2518</v>
      </c>
      <c r="C236" s="143" t="s">
        <v>663</v>
      </c>
      <c r="D236" s="143">
        <v>3293</v>
      </c>
      <c r="E236" s="137"/>
      <c r="F236" s="137">
        <v>0.8</v>
      </c>
      <c r="G236" s="271">
        <v>1</v>
      </c>
      <c r="H236" s="137" t="s">
        <v>2486</v>
      </c>
      <c r="I236" s="137"/>
      <c r="J236" s="137">
        <v>0.66666669999999995</v>
      </c>
      <c r="K236" s="137">
        <v>0.83333330000000005</v>
      </c>
      <c r="M236" s="143" t="s">
        <v>2851</v>
      </c>
      <c r="N236" s="143" t="s">
        <v>2518</v>
      </c>
      <c r="O236" s="143" t="s">
        <v>663</v>
      </c>
      <c r="P236" s="143">
        <v>3293</v>
      </c>
      <c r="Q236" s="137" t="s">
        <v>2838</v>
      </c>
      <c r="R236" s="137" t="s">
        <v>2838</v>
      </c>
      <c r="S236" s="137" t="s">
        <v>2838</v>
      </c>
      <c r="T236" s="137" t="s">
        <v>2838</v>
      </c>
      <c r="U236" s="137" t="s">
        <v>2838</v>
      </c>
      <c r="V236" s="137" t="s">
        <v>2838</v>
      </c>
      <c r="W236" s="137" t="s">
        <v>2838</v>
      </c>
      <c r="X236" s="137" t="s">
        <v>2838</v>
      </c>
      <c r="Y236" s="137" t="s">
        <v>2838</v>
      </c>
      <c r="Z236" s="137" t="s">
        <v>2838</v>
      </c>
      <c r="AA236" s="137" t="s">
        <v>2838</v>
      </c>
      <c r="AB236" s="137">
        <v>0.90909090000000004</v>
      </c>
      <c r="AD236" s="143" t="s">
        <v>2851</v>
      </c>
      <c r="AE236" s="143" t="s">
        <v>2518</v>
      </c>
      <c r="AF236" s="143" t="s">
        <v>663</v>
      </c>
      <c r="AG236" s="143">
        <v>3293</v>
      </c>
      <c r="AQ236" s="78" t="s">
        <v>2838</v>
      </c>
      <c r="AS236" s="143" t="s">
        <v>2851</v>
      </c>
      <c r="AT236" s="143" t="s">
        <v>2518</v>
      </c>
      <c r="AU236" s="143" t="s">
        <v>663</v>
      </c>
      <c r="AV236" s="143">
        <v>3293</v>
      </c>
      <c r="AW236" s="137" t="s">
        <v>2838</v>
      </c>
      <c r="AX236" s="137" t="s">
        <v>2838</v>
      </c>
      <c r="AY236" s="137" t="s">
        <v>2838</v>
      </c>
      <c r="AZ236" s="137" t="s">
        <v>2838</v>
      </c>
      <c r="BA236" s="137" t="s">
        <v>2838</v>
      </c>
      <c r="BB236" s="137" t="s">
        <v>2838</v>
      </c>
      <c r="BC236" s="137" t="s">
        <v>2838</v>
      </c>
      <c r="BD236" s="137" t="s">
        <v>2838</v>
      </c>
      <c r="BE236" s="137" t="s">
        <v>2838</v>
      </c>
      <c r="BF236" s="137" t="s">
        <v>2838</v>
      </c>
      <c r="BI236" s="137" t="s">
        <v>2838</v>
      </c>
      <c r="BJ236" s="137" t="s">
        <v>2838</v>
      </c>
      <c r="BK236" s="190" t="s">
        <v>2838</v>
      </c>
      <c r="BM236" s="78" t="s">
        <v>2838</v>
      </c>
      <c r="BO236" s="143" t="s">
        <v>2851</v>
      </c>
      <c r="BP236" s="143" t="s">
        <v>2518</v>
      </c>
      <c r="BQ236" s="143" t="s">
        <v>663</v>
      </c>
      <c r="BR236" s="143">
        <v>3293</v>
      </c>
      <c r="BY236" s="78" t="s">
        <v>2838</v>
      </c>
    </row>
    <row r="237" spans="1:77" x14ac:dyDescent="0.35">
      <c r="A237" s="143" t="s">
        <v>2851</v>
      </c>
      <c r="B237" s="143" t="s">
        <v>2518</v>
      </c>
      <c r="C237" s="143" t="s">
        <v>663</v>
      </c>
      <c r="D237" s="143">
        <v>3457</v>
      </c>
      <c r="E237" s="137"/>
      <c r="F237" s="137">
        <v>0.8</v>
      </c>
      <c r="G237" s="271">
        <v>1</v>
      </c>
      <c r="H237" s="137" t="s">
        <v>2486</v>
      </c>
      <c r="I237" s="137"/>
      <c r="J237" s="137">
        <v>6.6666699999999995E-2</v>
      </c>
      <c r="K237" s="137">
        <v>8.3333299999999999E-2</v>
      </c>
      <c r="M237" s="143" t="s">
        <v>2851</v>
      </c>
      <c r="N237" s="143" t="s">
        <v>2518</v>
      </c>
      <c r="O237" s="143" t="s">
        <v>663</v>
      </c>
      <c r="P237" s="143">
        <v>3457</v>
      </c>
      <c r="Q237" s="137" t="s">
        <v>2838</v>
      </c>
      <c r="R237" s="137" t="s">
        <v>2838</v>
      </c>
      <c r="S237" s="137" t="s">
        <v>2838</v>
      </c>
      <c r="T237" s="137" t="s">
        <v>2838</v>
      </c>
      <c r="U237" s="137" t="s">
        <v>2838</v>
      </c>
      <c r="V237" s="137" t="s">
        <v>2838</v>
      </c>
      <c r="W237" s="137" t="s">
        <v>2838</v>
      </c>
      <c r="X237" s="137" t="s">
        <v>2838</v>
      </c>
      <c r="Y237" s="137" t="s">
        <v>2838</v>
      </c>
      <c r="Z237" s="137" t="s">
        <v>2838</v>
      </c>
      <c r="AA237" s="137" t="s">
        <v>2838</v>
      </c>
      <c r="AB237" s="137">
        <v>0.81818179999999996</v>
      </c>
      <c r="AD237" s="143" t="s">
        <v>2851</v>
      </c>
      <c r="AE237" s="143" t="s">
        <v>2518</v>
      </c>
      <c r="AF237" s="143" t="s">
        <v>663</v>
      </c>
      <c r="AG237" s="143">
        <v>3457</v>
      </c>
      <c r="AQ237" s="78" t="s">
        <v>2838</v>
      </c>
      <c r="AS237" s="143" t="s">
        <v>2851</v>
      </c>
      <c r="AT237" s="143" t="s">
        <v>2518</v>
      </c>
      <c r="AU237" s="143" t="s">
        <v>663</v>
      </c>
      <c r="AV237" s="143">
        <v>3457</v>
      </c>
      <c r="AW237" s="137" t="s">
        <v>2838</v>
      </c>
      <c r="AX237" s="137" t="s">
        <v>2838</v>
      </c>
      <c r="AY237" s="137" t="s">
        <v>2838</v>
      </c>
      <c r="AZ237" s="137" t="s">
        <v>2838</v>
      </c>
      <c r="BA237" s="137" t="s">
        <v>2838</v>
      </c>
      <c r="BB237" s="137" t="s">
        <v>2838</v>
      </c>
      <c r="BC237" s="137" t="s">
        <v>2838</v>
      </c>
      <c r="BD237" s="137" t="s">
        <v>2838</v>
      </c>
      <c r="BE237" s="137" t="s">
        <v>2838</v>
      </c>
      <c r="BF237" s="137" t="s">
        <v>2838</v>
      </c>
      <c r="BI237" s="137" t="s">
        <v>2838</v>
      </c>
      <c r="BJ237" s="137" t="s">
        <v>2838</v>
      </c>
      <c r="BK237" s="190" t="s">
        <v>2838</v>
      </c>
      <c r="BM237" s="78" t="s">
        <v>2838</v>
      </c>
      <c r="BO237" s="143" t="s">
        <v>2851</v>
      </c>
      <c r="BP237" s="143" t="s">
        <v>2518</v>
      </c>
      <c r="BQ237" s="143" t="s">
        <v>663</v>
      </c>
      <c r="BR237" s="143">
        <v>3457</v>
      </c>
      <c r="BY237" s="78" t="s">
        <v>2838</v>
      </c>
    </row>
    <row r="238" spans="1:77" x14ac:dyDescent="0.35">
      <c r="A238" s="143" t="s">
        <v>2851</v>
      </c>
      <c r="B238" s="143" t="s">
        <v>2518</v>
      </c>
      <c r="C238" s="143" t="s">
        <v>663</v>
      </c>
      <c r="D238" s="143">
        <v>3467</v>
      </c>
      <c r="E238" s="137"/>
      <c r="F238" s="137">
        <v>0.32727270000000003</v>
      </c>
      <c r="G238" s="271">
        <v>0.40909089999999998</v>
      </c>
      <c r="H238" s="137" t="s">
        <v>2487</v>
      </c>
      <c r="I238" s="137"/>
      <c r="J238" s="137">
        <v>0</v>
      </c>
      <c r="K238" s="137">
        <v>0</v>
      </c>
      <c r="M238" s="143" t="s">
        <v>2851</v>
      </c>
      <c r="N238" s="143" t="s">
        <v>2518</v>
      </c>
      <c r="O238" s="143" t="s">
        <v>663</v>
      </c>
      <c r="P238" s="143">
        <v>3467</v>
      </c>
      <c r="Q238" s="137" t="s">
        <v>2838</v>
      </c>
      <c r="R238" s="137" t="s">
        <v>2838</v>
      </c>
      <c r="S238" s="137" t="s">
        <v>2838</v>
      </c>
      <c r="T238" s="137" t="s">
        <v>2838</v>
      </c>
      <c r="U238" s="137" t="s">
        <v>2838</v>
      </c>
      <c r="V238" s="137" t="s">
        <v>2838</v>
      </c>
      <c r="W238" s="137" t="s">
        <v>2838</v>
      </c>
      <c r="X238" s="137" t="s">
        <v>2838</v>
      </c>
      <c r="Y238" s="137" t="s">
        <v>2838</v>
      </c>
      <c r="Z238" s="137" t="s">
        <v>2838</v>
      </c>
      <c r="AA238" s="137" t="s">
        <v>2838</v>
      </c>
      <c r="AB238" s="137">
        <v>0.63636360000000003</v>
      </c>
      <c r="AD238" s="143" t="s">
        <v>2851</v>
      </c>
      <c r="AE238" s="143" t="s">
        <v>2518</v>
      </c>
      <c r="AF238" s="143" t="s">
        <v>663</v>
      </c>
      <c r="AG238" s="143">
        <v>3467</v>
      </c>
      <c r="AQ238" s="78" t="s">
        <v>2838</v>
      </c>
      <c r="AS238" s="143" t="s">
        <v>2851</v>
      </c>
      <c r="AT238" s="143" t="s">
        <v>2518</v>
      </c>
      <c r="AU238" s="143" t="s">
        <v>663</v>
      </c>
      <c r="AV238" s="143">
        <v>3467</v>
      </c>
      <c r="AW238" s="137" t="s">
        <v>2838</v>
      </c>
      <c r="AX238" s="137" t="s">
        <v>2838</v>
      </c>
      <c r="AY238" s="137" t="s">
        <v>2838</v>
      </c>
      <c r="AZ238" s="137" t="s">
        <v>2838</v>
      </c>
      <c r="BA238" s="137" t="s">
        <v>2838</v>
      </c>
      <c r="BB238" s="137" t="s">
        <v>2838</v>
      </c>
      <c r="BC238" s="137" t="s">
        <v>2838</v>
      </c>
      <c r="BD238" s="137" t="s">
        <v>2838</v>
      </c>
      <c r="BE238" s="137" t="s">
        <v>2838</v>
      </c>
      <c r="BF238" s="137" t="s">
        <v>2838</v>
      </c>
      <c r="BI238" s="137" t="s">
        <v>2838</v>
      </c>
      <c r="BJ238" s="137" t="s">
        <v>2838</v>
      </c>
      <c r="BK238" s="190" t="s">
        <v>2838</v>
      </c>
      <c r="BM238" s="78" t="s">
        <v>2838</v>
      </c>
      <c r="BO238" s="143" t="s">
        <v>2851</v>
      </c>
      <c r="BP238" s="143" t="s">
        <v>2518</v>
      </c>
      <c r="BQ238" s="143" t="s">
        <v>663</v>
      </c>
      <c r="BR238" s="143">
        <v>3467</v>
      </c>
      <c r="BY238" s="78" t="s">
        <v>2838</v>
      </c>
    </row>
    <row r="239" spans="1:77" x14ac:dyDescent="0.35">
      <c r="A239" s="143" t="s">
        <v>2851</v>
      </c>
      <c r="B239" s="143" t="s">
        <v>2518</v>
      </c>
      <c r="C239" s="143" t="s">
        <v>663</v>
      </c>
      <c r="D239" s="143">
        <v>4097</v>
      </c>
      <c r="E239" s="137"/>
      <c r="F239" s="137">
        <v>0.14545449999999999</v>
      </c>
      <c r="G239" s="271">
        <v>0.18181820000000001</v>
      </c>
      <c r="H239" s="137" t="s">
        <v>2487</v>
      </c>
      <c r="I239" s="137"/>
      <c r="J239" s="137">
        <v>0</v>
      </c>
      <c r="K239" s="137">
        <v>0</v>
      </c>
      <c r="M239" s="143" t="s">
        <v>2851</v>
      </c>
      <c r="N239" s="143" t="s">
        <v>2518</v>
      </c>
      <c r="O239" s="143" t="s">
        <v>663</v>
      </c>
      <c r="P239" s="143">
        <v>4097</v>
      </c>
      <c r="Q239" s="137" t="s">
        <v>2838</v>
      </c>
      <c r="R239" s="137" t="s">
        <v>2838</v>
      </c>
      <c r="S239" s="137" t="s">
        <v>2838</v>
      </c>
      <c r="T239" s="137" t="s">
        <v>2838</v>
      </c>
      <c r="U239" s="137" t="s">
        <v>2838</v>
      </c>
      <c r="V239" s="137" t="s">
        <v>2838</v>
      </c>
      <c r="W239" s="137" t="s">
        <v>2838</v>
      </c>
      <c r="X239" s="137" t="s">
        <v>2838</v>
      </c>
      <c r="Y239" s="137" t="s">
        <v>2838</v>
      </c>
      <c r="Z239" s="137" t="s">
        <v>2838</v>
      </c>
      <c r="AA239" s="137" t="s">
        <v>2838</v>
      </c>
      <c r="AB239" s="137">
        <v>0.72727269999999999</v>
      </c>
      <c r="AD239" s="143" t="s">
        <v>2851</v>
      </c>
      <c r="AE239" s="143" t="s">
        <v>2518</v>
      </c>
      <c r="AF239" s="143" t="s">
        <v>663</v>
      </c>
      <c r="AG239" s="143">
        <v>4097</v>
      </c>
      <c r="AQ239" s="78" t="s">
        <v>2838</v>
      </c>
      <c r="AS239" s="143" t="s">
        <v>2851</v>
      </c>
      <c r="AT239" s="143" t="s">
        <v>2518</v>
      </c>
      <c r="AU239" s="143" t="s">
        <v>663</v>
      </c>
      <c r="AV239" s="143">
        <v>4097</v>
      </c>
      <c r="AW239" s="137" t="s">
        <v>2838</v>
      </c>
      <c r="AX239" s="137" t="s">
        <v>2838</v>
      </c>
      <c r="AY239" s="137" t="s">
        <v>2838</v>
      </c>
      <c r="AZ239" s="137" t="s">
        <v>2838</v>
      </c>
      <c r="BA239" s="137" t="s">
        <v>2838</v>
      </c>
      <c r="BB239" s="137" t="s">
        <v>2838</v>
      </c>
      <c r="BC239" s="137" t="s">
        <v>2838</v>
      </c>
      <c r="BD239" s="137" t="s">
        <v>2838</v>
      </c>
      <c r="BE239" s="137" t="s">
        <v>2838</v>
      </c>
      <c r="BF239" s="137" t="s">
        <v>2838</v>
      </c>
      <c r="BI239" s="137" t="s">
        <v>2838</v>
      </c>
      <c r="BJ239" s="137" t="s">
        <v>2838</v>
      </c>
      <c r="BK239" s="190" t="s">
        <v>2838</v>
      </c>
      <c r="BM239" s="78" t="s">
        <v>2838</v>
      </c>
      <c r="BO239" s="143" t="s">
        <v>2851</v>
      </c>
      <c r="BP239" s="143" t="s">
        <v>2518</v>
      </c>
      <c r="BQ239" s="143" t="s">
        <v>663</v>
      </c>
      <c r="BR239" s="143">
        <v>4097</v>
      </c>
      <c r="BY239" s="78" t="s">
        <v>2838</v>
      </c>
    </row>
    <row r="240" spans="1:77" x14ac:dyDescent="0.35">
      <c r="A240" s="143" t="s">
        <v>2852</v>
      </c>
      <c r="B240" s="143" t="s">
        <v>728</v>
      </c>
      <c r="C240" s="143" t="s">
        <v>663</v>
      </c>
      <c r="D240" s="143">
        <v>2891</v>
      </c>
      <c r="E240" s="137">
        <v>0.2</v>
      </c>
      <c r="F240" s="137">
        <v>0.8</v>
      </c>
      <c r="G240" s="271">
        <v>1</v>
      </c>
      <c r="H240" s="137" t="s">
        <v>2486</v>
      </c>
      <c r="I240" s="137">
        <v>0.2</v>
      </c>
      <c r="J240" s="137">
        <v>0.8</v>
      </c>
      <c r="K240" s="137">
        <v>1</v>
      </c>
      <c r="M240" s="143" t="s">
        <v>2852</v>
      </c>
      <c r="N240" s="143" t="s">
        <v>728</v>
      </c>
      <c r="O240" s="143" t="s">
        <v>663</v>
      </c>
      <c r="P240" s="143">
        <v>2891</v>
      </c>
      <c r="Q240" s="137" t="s">
        <v>2486</v>
      </c>
      <c r="R240" s="137" t="s">
        <v>2486</v>
      </c>
      <c r="S240" s="137" t="s">
        <v>2486</v>
      </c>
      <c r="T240" s="137" t="s">
        <v>2486</v>
      </c>
      <c r="U240" s="137" t="s">
        <v>2487</v>
      </c>
      <c r="V240" s="137" t="s">
        <v>2487</v>
      </c>
      <c r="W240" s="137" t="s">
        <v>2486</v>
      </c>
      <c r="X240" s="137" t="s">
        <v>2486</v>
      </c>
      <c r="Y240" s="137" t="s">
        <v>2486</v>
      </c>
      <c r="Z240" s="137" t="s">
        <v>2487</v>
      </c>
      <c r="AA240" s="137" t="s">
        <v>2486</v>
      </c>
      <c r="AB240" s="137">
        <v>0.72727269999999999</v>
      </c>
      <c r="AD240" s="143" t="s">
        <v>2852</v>
      </c>
      <c r="AE240" s="143" t="s">
        <v>728</v>
      </c>
      <c r="AF240" s="143" t="s">
        <v>663</v>
      </c>
      <c r="AG240" s="143">
        <v>2891</v>
      </c>
      <c r="AO240" s="190">
        <v>0.92500000000000004</v>
      </c>
      <c r="AP240" s="190">
        <v>0.92500000000000004</v>
      </c>
      <c r="AQ240" s="78" t="s">
        <v>2487</v>
      </c>
      <c r="AS240" s="143" t="s">
        <v>2852</v>
      </c>
      <c r="AT240" s="143" t="s">
        <v>728</v>
      </c>
      <c r="AU240" s="143" t="s">
        <v>663</v>
      </c>
      <c r="AV240" s="143">
        <v>2891</v>
      </c>
      <c r="AW240" s="137" t="s">
        <v>2838</v>
      </c>
      <c r="AX240" s="137" t="s">
        <v>2838</v>
      </c>
      <c r="AY240" s="137" t="s">
        <v>2838</v>
      </c>
      <c r="AZ240" s="137" t="s">
        <v>2838</v>
      </c>
      <c r="BA240" s="137" t="s">
        <v>2838</v>
      </c>
      <c r="BB240" s="137" t="s">
        <v>2838</v>
      </c>
      <c r="BC240" s="137" t="s">
        <v>2838</v>
      </c>
      <c r="BD240" s="137" t="s">
        <v>2838</v>
      </c>
      <c r="BE240" s="137" t="s">
        <v>2838</v>
      </c>
      <c r="BF240" s="137" t="s">
        <v>2838</v>
      </c>
      <c r="BI240" s="137" t="s">
        <v>2486</v>
      </c>
      <c r="BJ240" s="137" t="s">
        <v>2486</v>
      </c>
      <c r="BK240" s="190" t="s">
        <v>2486</v>
      </c>
      <c r="BL240" s="190">
        <v>1</v>
      </c>
      <c r="BM240" s="78" t="s">
        <v>2486</v>
      </c>
      <c r="BO240" s="143" t="s">
        <v>2852</v>
      </c>
      <c r="BP240" s="143" t="s">
        <v>728</v>
      </c>
      <c r="BQ240" s="143" t="s">
        <v>663</v>
      </c>
      <c r="BR240" s="143">
        <v>2891</v>
      </c>
      <c r="BY240" s="78" t="s">
        <v>2838</v>
      </c>
    </row>
    <row r="241" spans="1:77" x14ac:dyDescent="0.35">
      <c r="A241" s="143" t="s">
        <v>2852</v>
      </c>
      <c r="B241" s="143" t="s">
        <v>728</v>
      </c>
      <c r="C241" s="143" t="s">
        <v>663</v>
      </c>
      <c r="D241" s="143">
        <v>3293</v>
      </c>
      <c r="E241" s="137">
        <v>0.2</v>
      </c>
      <c r="F241" s="137">
        <v>0.8</v>
      </c>
      <c r="G241" s="271">
        <v>1</v>
      </c>
      <c r="H241" s="137" t="s">
        <v>2486</v>
      </c>
      <c r="I241" s="137">
        <v>0.2</v>
      </c>
      <c r="J241" s="137">
        <v>0.8</v>
      </c>
      <c r="K241" s="137">
        <v>1</v>
      </c>
      <c r="M241" s="143" t="s">
        <v>2852</v>
      </c>
      <c r="N241" s="143" t="s">
        <v>728</v>
      </c>
      <c r="O241" s="143" t="s">
        <v>663</v>
      </c>
      <c r="P241" s="143">
        <v>3293</v>
      </c>
      <c r="Q241" s="137" t="s">
        <v>2486</v>
      </c>
      <c r="R241" s="137" t="s">
        <v>2486</v>
      </c>
      <c r="S241" s="137" t="s">
        <v>2486</v>
      </c>
      <c r="T241" s="137" t="s">
        <v>2486</v>
      </c>
      <c r="U241" s="137" t="s">
        <v>2487</v>
      </c>
      <c r="V241" s="137" t="s">
        <v>2486</v>
      </c>
      <c r="W241" s="137" t="s">
        <v>2486</v>
      </c>
      <c r="X241" s="137" t="s">
        <v>2486</v>
      </c>
      <c r="Y241" s="137" t="s">
        <v>2486</v>
      </c>
      <c r="Z241" s="137" t="s">
        <v>2486</v>
      </c>
      <c r="AA241" s="137" t="s">
        <v>2486</v>
      </c>
      <c r="AB241" s="137">
        <v>0.90909090000000004</v>
      </c>
      <c r="AD241" s="143" t="s">
        <v>2852</v>
      </c>
      <c r="AE241" s="143" t="s">
        <v>728</v>
      </c>
      <c r="AF241" s="143" t="s">
        <v>663</v>
      </c>
      <c r="AG241" s="143">
        <v>3293</v>
      </c>
      <c r="AO241" s="190">
        <v>0.96250000000000002</v>
      </c>
      <c r="AP241" s="190">
        <v>0.96250000000000002</v>
      </c>
      <c r="AQ241" s="78" t="s">
        <v>2486</v>
      </c>
      <c r="AS241" s="143" t="s">
        <v>2852</v>
      </c>
      <c r="AT241" s="143" t="s">
        <v>728</v>
      </c>
      <c r="AU241" s="143" t="s">
        <v>663</v>
      </c>
      <c r="AV241" s="143">
        <v>3293</v>
      </c>
      <c r="AW241" s="137" t="s">
        <v>2838</v>
      </c>
      <c r="AX241" s="137" t="s">
        <v>2838</v>
      </c>
      <c r="AY241" s="137" t="s">
        <v>2838</v>
      </c>
      <c r="AZ241" s="137" t="s">
        <v>2838</v>
      </c>
      <c r="BA241" s="137" t="s">
        <v>2838</v>
      </c>
      <c r="BB241" s="137" t="s">
        <v>2838</v>
      </c>
      <c r="BC241" s="137" t="s">
        <v>2838</v>
      </c>
      <c r="BD241" s="137" t="s">
        <v>2838</v>
      </c>
      <c r="BE241" s="137" t="s">
        <v>2838</v>
      </c>
      <c r="BF241" s="137" t="s">
        <v>2838</v>
      </c>
      <c r="BI241" s="137" t="s">
        <v>2486</v>
      </c>
      <c r="BJ241" s="137" t="s">
        <v>2486</v>
      </c>
      <c r="BK241" s="190" t="s">
        <v>2486</v>
      </c>
      <c r="BL241" s="190">
        <v>1</v>
      </c>
      <c r="BM241" s="78" t="s">
        <v>2486</v>
      </c>
      <c r="BO241" s="143" t="s">
        <v>2852</v>
      </c>
      <c r="BP241" s="143" t="s">
        <v>728</v>
      </c>
      <c r="BQ241" s="143" t="s">
        <v>663</v>
      </c>
      <c r="BR241" s="143">
        <v>3293</v>
      </c>
      <c r="BY241" s="78" t="s">
        <v>2838</v>
      </c>
    </row>
    <row r="242" spans="1:77" x14ac:dyDescent="0.35">
      <c r="A242" s="143" t="s">
        <v>2852</v>
      </c>
      <c r="B242" s="143" t="s">
        <v>728</v>
      </c>
      <c r="C242" s="143" t="s">
        <v>663</v>
      </c>
      <c r="D242" s="143">
        <v>3457</v>
      </c>
      <c r="E242" s="137">
        <v>0.18181820000000001</v>
      </c>
      <c r="F242" s="137">
        <v>0.8</v>
      </c>
      <c r="G242" s="271">
        <v>0.98181819999999997</v>
      </c>
      <c r="H242" s="137" t="s">
        <v>2486</v>
      </c>
      <c r="I242" s="137">
        <v>0.2</v>
      </c>
      <c r="J242" s="137">
        <v>6.6666699999999995E-2</v>
      </c>
      <c r="K242" s="137">
        <v>0.26666669999999998</v>
      </c>
      <c r="M242" s="143" t="s">
        <v>2852</v>
      </c>
      <c r="N242" s="143" t="s">
        <v>728</v>
      </c>
      <c r="O242" s="143" t="s">
        <v>663</v>
      </c>
      <c r="P242" s="143">
        <v>3457</v>
      </c>
      <c r="Q242" s="137" t="s">
        <v>2486</v>
      </c>
      <c r="R242" s="137" t="s">
        <v>2486</v>
      </c>
      <c r="S242" s="137" t="s">
        <v>2486</v>
      </c>
      <c r="T242" s="137" t="s">
        <v>2486</v>
      </c>
      <c r="U242" s="137" t="s">
        <v>2487</v>
      </c>
      <c r="V242" s="137" t="s">
        <v>2487</v>
      </c>
      <c r="W242" s="137" t="s">
        <v>2486</v>
      </c>
      <c r="X242" s="137" t="s">
        <v>2486</v>
      </c>
      <c r="Y242" s="137" t="s">
        <v>2486</v>
      </c>
      <c r="Z242" s="137" t="s">
        <v>2486</v>
      </c>
      <c r="AA242" s="137" t="s">
        <v>2486</v>
      </c>
      <c r="AB242" s="137">
        <v>0.81818179999999996</v>
      </c>
      <c r="AD242" s="143" t="s">
        <v>2852</v>
      </c>
      <c r="AE242" s="143" t="s">
        <v>728</v>
      </c>
      <c r="AF242" s="143" t="s">
        <v>663</v>
      </c>
      <c r="AG242" s="143">
        <v>3457</v>
      </c>
      <c r="AO242" s="190">
        <v>0.91249999999999998</v>
      </c>
      <c r="AP242" s="190">
        <v>0.91249999999999998</v>
      </c>
      <c r="AQ242" s="78" t="s">
        <v>2487</v>
      </c>
      <c r="AS242" s="143" t="s">
        <v>2852</v>
      </c>
      <c r="AT242" s="143" t="s">
        <v>728</v>
      </c>
      <c r="AU242" s="143" t="s">
        <v>663</v>
      </c>
      <c r="AV242" s="143">
        <v>3457</v>
      </c>
      <c r="AW242" s="137" t="s">
        <v>2838</v>
      </c>
      <c r="AX242" s="137" t="s">
        <v>2838</v>
      </c>
      <c r="AY242" s="137" t="s">
        <v>2838</v>
      </c>
      <c r="AZ242" s="137" t="s">
        <v>2838</v>
      </c>
      <c r="BA242" s="137" t="s">
        <v>2838</v>
      </c>
      <c r="BB242" s="137" t="s">
        <v>2838</v>
      </c>
      <c r="BC242" s="137" t="s">
        <v>2838</v>
      </c>
      <c r="BD242" s="137" t="s">
        <v>2838</v>
      </c>
      <c r="BE242" s="137" t="s">
        <v>2838</v>
      </c>
      <c r="BF242" s="137" t="s">
        <v>2838</v>
      </c>
      <c r="BI242" s="137" t="s">
        <v>2486</v>
      </c>
      <c r="BJ242" s="137" t="s">
        <v>2486</v>
      </c>
      <c r="BK242" s="190" t="s">
        <v>2486</v>
      </c>
      <c r="BL242" s="190">
        <v>1</v>
      </c>
      <c r="BM242" s="78" t="s">
        <v>2486</v>
      </c>
      <c r="BO242" s="143" t="s">
        <v>2852</v>
      </c>
      <c r="BP242" s="143" t="s">
        <v>728</v>
      </c>
      <c r="BQ242" s="143" t="s">
        <v>663</v>
      </c>
      <c r="BR242" s="143">
        <v>3457</v>
      </c>
      <c r="BY242" s="78" t="s">
        <v>2838</v>
      </c>
    </row>
    <row r="243" spans="1:77" x14ac:dyDescent="0.35">
      <c r="A243" s="143" t="s">
        <v>2852</v>
      </c>
      <c r="B243" s="143" t="s">
        <v>728</v>
      </c>
      <c r="C243" s="143" t="s">
        <v>663</v>
      </c>
      <c r="D243" s="143">
        <v>3467</v>
      </c>
      <c r="E243" s="137">
        <v>0.12727269999999999</v>
      </c>
      <c r="F243" s="137">
        <v>0</v>
      </c>
      <c r="G243" s="271">
        <v>0.12727269999999999</v>
      </c>
      <c r="H243" s="137" t="s">
        <v>2487</v>
      </c>
      <c r="I243" s="137">
        <v>0.2</v>
      </c>
      <c r="J243" s="137">
        <v>0</v>
      </c>
      <c r="K243" s="137">
        <v>0.2</v>
      </c>
      <c r="M243" s="143" t="s">
        <v>2852</v>
      </c>
      <c r="N243" s="143" t="s">
        <v>728</v>
      </c>
      <c r="O243" s="143" t="s">
        <v>663</v>
      </c>
      <c r="P243" s="143">
        <v>3467</v>
      </c>
      <c r="Q243" s="137" t="s">
        <v>2487</v>
      </c>
      <c r="R243" s="137" t="s">
        <v>2487</v>
      </c>
      <c r="S243" s="137" t="s">
        <v>2486</v>
      </c>
      <c r="T243" s="137" t="s">
        <v>2486</v>
      </c>
      <c r="U243" s="137" t="s">
        <v>2486</v>
      </c>
      <c r="V243" s="137" t="s">
        <v>2486</v>
      </c>
      <c r="W243" s="137" t="s">
        <v>2487</v>
      </c>
      <c r="X243" s="137" t="s">
        <v>2487</v>
      </c>
      <c r="Y243" s="137" t="s">
        <v>2486</v>
      </c>
      <c r="Z243" s="137" t="s">
        <v>2486</v>
      </c>
      <c r="AA243" s="137" t="s">
        <v>2486</v>
      </c>
      <c r="AB243" s="137">
        <v>0.63636360000000003</v>
      </c>
      <c r="AD243" s="143" t="s">
        <v>2852</v>
      </c>
      <c r="AE243" s="143" t="s">
        <v>728</v>
      </c>
      <c r="AF243" s="143" t="s">
        <v>663</v>
      </c>
      <c r="AG243" s="143">
        <v>3467</v>
      </c>
      <c r="AO243" s="190">
        <v>0.86250000000000004</v>
      </c>
      <c r="AP243" s="190">
        <v>0.86250000000000004</v>
      </c>
      <c r="AQ243" s="78" t="s">
        <v>2487</v>
      </c>
      <c r="AS243" s="143" t="s">
        <v>2852</v>
      </c>
      <c r="AT243" s="143" t="s">
        <v>728</v>
      </c>
      <c r="AU243" s="143" t="s">
        <v>663</v>
      </c>
      <c r="AV243" s="143">
        <v>3467</v>
      </c>
      <c r="AW243" s="137" t="s">
        <v>2838</v>
      </c>
      <c r="AX243" s="137" t="s">
        <v>2838</v>
      </c>
      <c r="AY243" s="137" t="s">
        <v>2838</v>
      </c>
      <c r="AZ243" s="137" t="s">
        <v>2838</v>
      </c>
      <c r="BA243" s="137" t="s">
        <v>2838</v>
      </c>
      <c r="BB243" s="137" t="s">
        <v>2838</v>
      </c>
      <c r="BC243" s="137" t="s">
        <v>2838</v>
      </c>
      <c r="BD243" s="137" t="s">
        <v>2838</v>
      </c>
      <c r="BE243" s="137" t="s">
        <v>2838</v>
      </c>
      <c r="BF243" s="137" t="s">
        <v>2838</v>
      </c>
      <c r="BI243" s="137" t="s">
        <v>2486</v>
      </c>
      <c r="BJ243" s="137" t="s">
        <v>2486</v>
      </c>
      <c r="BK243" s="190" t="s">
        <v>2486</v>
      </c>
      <c r="BL243" s="190">
        <v>1</v>
      </c>
      <c r="BM243" s="78" t="s">
        <v>2486</v>
      </c>
      <c r="BO243" s="143" t="s">
        <v>2852</v>
      </c>
      <c r="BP243" s="143" t="s">
        <v>728</v>
      </c>
      <c r="BQ243" s="143" t="s">
        <v>663</v>
      </c>
      <c r="BR243" s="143">
        <v>3467</v>
      </c>
      <c r="BY243" s="78" t="s">
        <v>2838</v>
      </c>
    </row>
    <row r="244" spans="1:77" x14ac:dyDescent="0.35">
      <c r="A244" s="143" t="s">
        <v>2852</v>
      </c>
      <c r="B244" s="143" t="s">
        <v>728</v>
      </c>
      <c r="C244" s="143" t="s">
        <v>663</v>
      </c>
      <c r="D244" s="143">
        <v>4097</v>
      </c>
      <c r="E244" s="137">
        <v>0.2</v>
      </c>
      <c r="F244" s="137">
        <v>0.21818180000000001</v>
      </c>
      <c r="G244" s="271">
        <v>0.41818179999999999</v>
      </c>
      <c r="H244" s="137" t="s">
        <v>2487</v>
      </c>
      <c r="I244" s="137">
        <v>0.2</v>
      </c>
      <c r="J244" s="137">
        <v>0</v>
      </c>
      <c r="K244" s="137">
        <v>0.2</v>
      </c>
      <c r="M244" s="143" t="s">
        <v>2852</v>
      </c>
      <c r="N244" s="143" t="s">
        <v>728</v>
      </c>
      <c r="O244" s="143" t="s">
        <v>663</v>
      </c>
      <c r="P244" s="143">
        <v>4097</v>
      </c>
      <c r="Q244" s="137" t="s">
        <v>2486</v>
      </c>
      <c r="R244" s="137" t="s">
        <v>2487</v>
      </c>
      <c r="S244" s="137" t="s">
        <v>2486</v>
      </c>
      <c r="T244" s="137" t="s">
        <v>2486</v>
      </c>
      <c r="U244" s="137" t="s">
        <v>2487</v>
      </c>
      <c r="V244" s="137" t="s">
        <v>2487</v>
      </c>
      <c r="W244" s="137" t="s">
        <v>2486</v>
      </c>
      <c r="X244" s="137" t="s">
        <v>2486</v>
      </c>
      <c r="Y244" s="137" t="s">
        <v>2486</v>
      </c>
      <c r="Z244" s="137" t="s">
        <v>2486</v>
      </c>
      <c r="AA244" s="137" t="s">
        <v>2486</v>
      </c>
      <c r="AB244" s="137">
        <v>0.72727269999999999</v>
      </c>
      <c r="AD244" s="143" t="s">
        <v>2852</v>
      </c>
      <c r="AE244" s="143" t="s">
        <v>728</v>
      </c>
      <c r="AF244" s="143" t="s">
        <v>663</v>
      </c>
      <c r="AG244" s="143">
        <v>4097</v>
      </c>
      <c r="AO244" s="190">
        <v>0.9375</v>
      </c>
      <c r="AP244" s="190">
        <v>0.9375</v>
      </c>
      <c r="AQ244" s="78" t="s">
        <v>2487</v>
      </c>
      <c r="AS244" s="143" t="s">
        <v>2852</v>
      </c>
      <c r="AT244" s="143" t="s">
        <v>728</v>
      </c>
      <c r="AU244" s="143" t="s">
        <v>663</v>
      </c>
      <c r="AV244" s="143">
        <v>4097</v>
      </c>
      <c r="AW244" s="137" t="s">
        <v>2838</v>
      </c>
      <c r="AX244" s="137" t="s">
        <v>2838</v>
      </c>
      <c r="AY244" s="137" t="s">
        <v>2838</v>
      </c>
      <c r="AZ244" s="137" t="s">
        <v>2838</v>
      </c>
      <c r="BA244" s="137" t="s">
        <v>2838</v>
      </c>
      <c r="BB244" s="137" t="s">
        <v>2838</v>
      </c>
      <c r="BC244" s="137" t="s">
        <v>2838</v>
      </c>
      <c r="BD244" s="137" t="s">
        <v>2838</v>
      </c>
      <c r="BE244" s="137" t="s">
        <v>2838</v>
      </c>
      <c r="BF244" s="137" t="s">
        <v>2838</v>
      </c>
      <c r="BI244" s="137" t="s">
        <v>2486</v>
      </c>
      <c r="BJ244" s="137" t="s">
        <v>2486</v>
      </c>
      <c r="BK244" s="190" t="s">
        <v>2486</v>
      </c>
      <c r="BL244" s="190">
        <v>1</v>
      </c>
      <c r="BM244" s="78" t="s">
        <v>2486</v>
      </c>
      <c r="BO244" s="143" t="s">
        <v>2852</v>
      </c>
      <c r="BP244" s="143" t="s">
        <v>728</v>
      </c>
      <c r="BQ244" s="143" t="s">
        <v>663</v>
      </c>
      <c r="BR244" s="143">
        <v>4097</v>
      </c>
      <c r="BY244" s="78" t="s">
        <v>2838</v>
      </c>
    </row>
    <row r="245" spans="1:77" x14ac:dyDescent="0.35">
      <c r="E245" s="137"/>
      <c r="F245" s="137"/>
      <c r="G245" s="271"/>
      <c r="H245" s="137"/>
      <c r="I245" s="137"/>
      <c r="J245" s="137"/>
      <c r="K245" s="137"/>
      <c r="M245" s="143"/>
      <c r="N245" s="143"/>
      <c r="O245" s="143"/>
      <c r="P245" s="143"/>
      <c r="Q245" s="137"/>
      <c r="R245" s="137"/>
      <c r="S245" s="137"/>
      <c r="T245" s="137"/>
      <c r="U245" s="137"/>
      <c r="V245" s="137"/>
      <c r="W245" s="137"/>
      <c r="X245" s="137"/>
      <c r="Y245" s="137"/>
      <c r="Z245" s="137"/>
      <c r="AA245" s="137"/>
      <c r="AB245" s="137"/>
    </row>
    <row r="246" spans="1:77" x14ac:dyDescent="0.35">
      <c r="E246" s="137"/>
      <c r="F246" s="137"/>
      <c r="G246" s="271"/>
      <c r="H246" s="137"/>
      <c r="I246" s="137"/>
      <c r="J246" s="137"/>
      <c r="M246" s="143"/>
      <c r="N246" s="143"/>
      <c r="O246" s="143"/>
      <c r="P246" s="143"/>
      <c r="Q246" s="137"/>
      <c r="R246" s="137"/>
      <c r="S246" s="137"/>
      <c r="T246" s="137"/>
      <c r="U246" s="137"/>
      <c r="V246" s="137"/>
      <c r="W246" s="137"/>
      <c r="X246" s="137"/>
      <c r="Y246" s="137"/>
      <c r="Z246" s="137"/>
      <c r="AA246" s="137"/>
    </row>
    <row r="247" spans="1:77" x14ac:dyDescent="0.35">
      <c r="E247" s="137"/>
      <c r="F247" s="137"/>
      <c r="G247" s="190"/>
      <c r="H247" s="137"/>
      <c r="I247" s="137"/>
      <c r="J247" s="137"/>
      <c r="M247" s="143"/>
      <c r="N247" s="143"/>
      <c r="O247" s="143"/>
      <c r="P247" s="143"/>
      <c r="Q247" s="137"/>
      <c r="R247" s="137"/>
      <c r="S247" s="137"/>
      <c r="T247" s="137"/>
      <c r="U247" s="137"/>
      <c r="V247" s="137"/>
      <c r="W247" s="137"/>
      <c r="X247" s="137"/>
      <c r="Y247" s="137"/>
      <c r="Z247" s="137"/>
      <c r="AA247" s="137"/>
    </row>
    <row r="248" spans="1:77" x14ac:dyDescent="0.35">
      <c r="E248" s="137"/>
      <c r="F248" s="137"/>
      <c r="G248" s="190"/>
      <c r="H248" s="137"/>
      <c r="I248" s="137"/>
      <c r="J248" s="137"/>
      <c r="M248" s="143"/>
      <c r="N248" s="143"/>
      <c r="O248" s="143"/>
      <c r="P248" s="143"/>
      <c r="Q248" s="137"/>
      <c r="R248" s="137"/>
      <c r="S248" s="137"/>
      <c r="T248" s="137"/>
      <c r="U248" s="137"/>
      <c r="V248" s="137"/>
      <c r="W248" s="137"/>
      <c r="X248" s="137"/>
      <c r="Y248" s="137"/>
      <c r="Z248" s="137"/>
      <c r="AA248" s="137"/>
    </row>
    <row r="249" spans="1:77" x14ac:dyDescent="0.35">
      <c r="E249" s="137"/>
      <c r="F249" s="137"/>
      <c r="G249" s="190"/>
      <c r="H249" s="137"/>
      <c r="I249" s="137"/>
      <c r="J249" s="137"/>
      <c r="M249" s="143"/>
      <c r="N249" s="143"/>
      <c r="O249" s="143"/>
      <c r="P249" s="143"/>
      <c r="Q249" s="137"/>
      <c r="R249" s="137"/>
      <c r="S249" s="137"/>
      <c r="T249" s="137"/>
      <c r="U249" s="137"/>
      <c r="V249" s="137"/>
      <c r="W249" s="137"/>
      <c r="X249" s="137"/>
      <c r="Y249" s="137"/>
      <c r="Z249" s="137"/>
      <c r="AA249" s="137"/>
    </row>
    <row r="250" spans="1:77" x14ac:dyDescent="0.35">
      <c r="E250" s="137"/>
      <c r="F250" s="137"/>
      <c r="G250" s="190"/>
      <c r="H250" s="137"/>
      <c r="I250" s="137"/>
      <c r="J250" s="137"/>
      <c r="M250" s="143"/>
      <c r="N250" s="143"/>
      <c r="O250" s="143"/>
      <c r="P250" s="143"/>
      <c r="Q250" s="137"/>
      <c r="R250" s="137"/>
      <c r="S250" s="137"/>
      <c r="T250" s="137"/>
      <c r="U250" s="137"/>
      <c r="V250" s="137"/>
      <c r="W250" s="137"/>
      <c r="X250" s="137"/>
      <c r="Y250" s="137"/>
      <c r="Z250" s="137"/>
      <c r="AA250" s="137"/>
    </row>
    <row r="251" spans="1:77" x14ac:dyDescent="0.35">
      <c r="E251" s="137"/>
      <c r="F251" s="137"/>
      <c r="G251" s="190"/>
      <c r="H251" s="137"/>
      <c r="I251" s="137"/>
      <c r="J251" s="137"/>
      <c r="M251" s="143"/>
      <c r="N251" s="143"/>
      <c r="O251" s="143"/>
      <c r="P251" s="143"/>
      <c r="Q251" s="137"/>
      <c r="R251" s="137"/>
      <c r="S251" s="137"/>
      <c r="T251" s="137"/>
      <c r="U251" s="137"/>
      <c r="V251" s="137"/>
      <c r="W251" s="137"/>
      <c r="X251" s="137"/>
      <c r="Y251" s="137"/>
      <c r="Z251" s="137"/>
      <c r="AA251" s="137"/>
    </row>
    <row r="252" spans="1:77" x14ac:dyDescent="0.35">
      <c r="E252" s="137"/>
      <c r="F252" s="137"/>
      <c r="G252" s="190"/>
      <c r="H252" s="137"/>
      <c r="I252" s="137"/>
      <c r="J252" s="137"/>
      <c r="M252" s="143"/>
      <c r="N252" s="143"/>
      <c r="O252" s="143"/>
      <c r="P252" s="143"/>
      <c r="Q252" s="137"/>
      <c r="R252" s="137"/>
      <c r="S252" s="137"/>
      <c r="T252" s="137"/>
      <c r="U252" s="137"/>
      <c r="V252" s="137"/>
      <c r="W252" s="137"/>
      <c r="X252" s="137"/>
      <c r="Y252" s="137"/>
      <c r="Z252" s="137"/>
      <c r="AA252" s="137"/>
    </row>
    <row r="253" spans="1:77" x14ac:dyDescent="0.35">
      <c r="E253" s="137"/>
      <c r="F253" s="137"/>
      <c r="G253" s="190"/>
      <c r="H253" s="137"/>
      <c r="I253" s="137"/>
      <c r="J253" s="137"/>
      <c r="M253" s="143"/>
      <c r="N253" s="143"/>
      <c r="O253" s="143"/>
      <c r="P253" s="143"/>
      <c r="Q253" s="137"/>
      <c r="R253" s="137"/>
      <c r="S253" s="137"/>
      <c r="T253" s="137"/>
      <c r="U253" s="137"/>
      <c r="V253" s="137"/>
      <c r="W253" s="137"/>
      <c r="X253" s="137"/>
      <c r="Y253" s="137"/>
      <c r="Z253" s="137"/>
      <c r="AA253" s="137"/>
    </row>
    <row r="254" spans="1:77" x14ac:dyDescent="0.35">
      <c r="E254" s="137"/>
      <c r="F254" s="137"/>
      <c r="G254" s="190"/>
      <c r="H254" s="137"/>
      <c r="I254" s="137"/>
      <c r="J254" s="137"/>
      <c r="M254" s="143"/>
      <c r="N254" s="143"/>
      <c r="O254" s="143"/>
      <c r="P254" s="143"/>
      <c r="Q254" s="137"/>
      <c r="R254" s="137"/>
      <c r="S254" s="137"/>
      <c r="T254" s="137"/>
      <c r="U254" s="137"/>
      <c r="V254" s="137"/>
      <c r="W254" s="137"/>
      <c r="X254" s="137"/>
      <c r="Y254" s="137"/>
      <c r="Z254" s="137"/>
      <c r="AA254" s="137"/>
    </row>
    <row r="255" spans="1:77" x14ac:dyDescent="0.35">
      <c r="E255" s="137"/>
      <c r="F255" s="137"/>
      <c r="G255" s="190"/>
      <c r="H255" s="137"/>
      <c r="I255" s="137"/>
      <c r="J255" s="137"/>
      <c r="M255" s="143"/>
      <c r="N255" s="143"/>
      <c r="O255" s="143"/>
      <c r="P255" s="143"/>
      <c r="Q255" s="137"/>
      <c r="R255" s="137"/>
      <c r="S255" s="137"/>
      <c r="T255" s="137"/>
      <c r="U255" s="137"/>
      <c r="V255" s="137"/>
      <c r="W255" s="137"/>
      <c r="X255" s="137"/>
      <c r="Y255" s="137"/>
      <c r="Z255" s="137"/>
      <c r="AA255" s="137"/>
    </row>
    <row r="256" spans="1:77" x14ac:dyDescent="0.35">
      <c r="E256" s="137"/>
      <c r="F256" s="137"/>
      <c r="G256" s="190"/>
      <c r="H256" s="137"/>
      <c r="I256" s="137"/>
      <c r="J256" s="137"/>
      <c r="M256" s="143"/>
      <c r="N256" s="143"/>
      <c r="O256" s="143"/>
      <c r="P256" s="143"/>
      <c r="Q256" s="137"/>
      <c r="R256" s="137"/>
      <c r="S256" s="137"/>
      <c r="T256" s="137"/>
      <c r="U256" s="137"/>
      <c r="V256" s="137"/>
      <c r="W256" s="137"/>
      <c r="X256" s="137"/>
      <c r="Y256" s="137"/>
      <c r="Z256" s="137"/>
      <c r="AA256" s="137"/>
    </row>
    <row r="257" spans="5:27" x14ac:dyDescent="0.35">
      <c r="E257" s="137"/>
      <c r="F257" s="137"/>
      <c r="G257" s="190"/>
      <c r="H257" s="137"/>
      <c r="I257" s="137"/>
      <c r="J257" s="137"/>
      <c r="M257" s="143"/>
      <c r="N257" s="143"/>
      <c r="O257" s="143"/>
      <c r="P257" s="143"/>
      <c r="Q257" s="137"/>
      <c r="R257" s="137"/>
      <c r="S257" s="137"/>
      <c r="T257" s="137"/>
      <c r="U257" s="137"/>
      <c r="V257" s="137"/>
      <c r="W257" s="137"/>
      <c r="X257" s="137"/>
      <c r="Y257" s="137"/>
      <c r="Z257" s="137"/>
      <c r="AA257" s="137"/>
    </row>
    <row r="258" spans="5:27" x14ac:dyDescent="0.35">
      <c r="E258" s="137"/>
      <c r="F258" s="137"/>
      <c r="G258" s="190"/>
      <c r="H258" s="137"/>
      <c r="I258" s="137"/>
      <c r="J258" s="137"/>
      <c r="M258" s="143"/>
      <c r="N258" s="143"/>
      <c r="O258" s="143"/>
      <c r="P258" s="143"/>
      <c r="Q258" s="137"/>
      <c r="R258" s="137"/>
      <c r="S258" s="137"/>
      <c r="T258" s="137"/>
      <c r="U258" s="137"/>
      <c r="V258" s="137"/>
      <c r="W258" s="137"/>
      <c r="X258" s="137"/>
      <c r="Y258" s="137"/>
      <c r="Z258" s="137"/>
      <c r="AA258" s="137"/>
    </row>
    <row r="259" spans="5:27" x14ac:dyDescent="0.35">
      <c r="E259" s="137"/>
      <c r="F259" s="137"/>
      <c r="G259" s="190"/>
      <c r="H259" s="137"/>
      <c r="I259" s="137"/>
      <c r="J259" s="137"/>
      <c r="M259" s="143"/>
      <c r="N259" s="143"/>
      <c r="O259" s="143"/>
      <c r="P259" s="143"/>
      <c r="Q259" s="137"/>
      <c r="R259" s="137"/>
      <c r="S259" s="137"/>
      <c r="T259" s="137"/>
      <c r="U259" s="137"/>
      <c r="V259" s="137"/>
      <c r="W259" s="137"/>
      <c r="X259" s="137"/>
      <c r="Y259" s="137"/>
      <c r="Z259" s="137"/>
      <c r="AA259" s="137"/>
    </row>
    <row r="260" spans="5:27" x14ac:dyDescent="0.35">
      <c r="E260" s="137"/>
      <c r="F260" s="137"/>
      <c r="G260" s="190"/>
      <c r="H260" s="137"/>
      <c r="I260" s="137"/>
      <c r="J260" s="137"/>
      <c r="M260" s="143"/>
      <c r="N260" s="143"/>
      <c r="O260" s="143"/>
      <c r="P260" s="143"/>
      <c r="Q260" s="137"/>
      <c r="R260" s="137"/>
      <c r="S260" s="137"/>
      <c r="T260" s="137"/>
      <c r="U260" s="137"/>
      <c r="V260" s="137"/>
      <c r="W260" s="137"/>
      <c r="X260" s="137"/>
      <c r="Y260" s="137"/>
      <c r="Z260" s="137"/>
      <c r="AA260" s="137"/>
    </row>
    <row r="261" spans="5:27" x14ac:dyDescent="0.35">
      <c r="E261" s="137"/>
      <c r="F261" s="137"/>
      <c r="G261" s="190"/>
      <c r="H261" s="137"/>
      <c r="I261" s="137"/>
      <c r="J261" s="137"/>
      <c r="M261" s="143"/>
      <c r="N261" s="143"/>
      <c r="O261" s="143"/>
      <c r="P261" s="143"/>
      <c r="Q261" s="137"/>
      <c r="R261" s="137"/>
      <c r="S261" s="137"/>
      <c r="T261" s="137"/>
      <c r="U261" s="137"/>
      <c r="V261" s="137"/>
      <c r="W261" s="137"/>
      <c r="X261" s="137"/>
      <c r="Y261" s="137"/>
      <c r="Z261" s="137"/>
      <c r="AA261" s="137"/>
    </row>
    <row r="262" spans="5:27" x14ac:dyDescent="0.35">
      <c r="E262" s="137"/>
      <c r="F262" s="137"/>
      <c r="G262" s="190"/>
      <c r="H262" s="137"/>
      <c r="I262" s="137"/>
      <c r="J262" s="137"/>
      <c r="M262" s="143"/>
      <c r="N262" s="143"/>
      <c r="O262" s="143"/>
      <c r="P262" s="143"/>
      <c r="Q262" s="137"/>
      <c r="R262" s="137"/>
      <c r="S262" s="137"/>
      <c r="T262" s="137"/>
      <c r="U262" s="137"/>
      <c r="V262" s="137"/>
      <c r="W262" s="137"/>
      <c r="X262" s="137"/>
      <c r="Y262" s="137"/>
      <c r="Z262" s="137"/>
      <c r="AA262" s="137"/>
    </row>
    <row r="263" spans="5:27" x14ac:dyDescent="0.35">
      <c r="E263" s="137"/>
      <c r="F263" s="137"/>
      <c r="G263" s="190"/>
      <c r="H263" s="137"/>
      <c r="I263" s="137"/>
      <c r="J263" s="137"/>
      <c r="M263" s="143"/>
      <c r="N263" s="143"/>
      <c r="O263" s="143"/>
      <c r="P263" s="143"/>
      <c r="Q263" s="137"/>
      <c r="R263" s="137"/>
      <c r="S263" s="137"/>
      <c r="T263" s="137"/>
      <c r="U263" s="137"/>
      <c r="V263" s="137"/>
      <c r="W263" s="137"/>
      <c r="X263" s="137"/>
      <c r="Y263" s="137"/>
      <c r="Z263" s="137"/>
      <c r="AA263" s="137"/>
    </row>
    <row r="264" spans="5:27" x14ac:dyDescent="0.35">
      <c r="E264" s="137"/>
      <c r="F264" s="137"/>
      <c r="G264" s="190"/>
      <c r="H264" s="137"/>
      <c r="I264" s="137"/>
      <c r="J264" s="137"/>
      <c r="M264" s="143"/>
      <c r="N264" s="143"/>
      <c r="O264" s="143"/>
      <c r="P264" s="143"/>
      <c r="Q264" s="137"/>
      <c r="R264" s="137"/>
      <c r="S264" s="137"/>
      <c r="T264" s="137"/>
      <c r="U264" s="137"/>
      <c r="V264" s="137"/>
      <c r="W264" s="137"/>
      <c r="X264" s="137"/>
      <c r="Y264" s="137"/>
      <c r="Z264" s="137"/>
      <c r="AA264" s="137"/>
    </row>
    <row r="265" spans="5:27" x14ac:dyDescent="0.35">
      <c r="E265" s="137"/>
      <c r="F265" s="137"/>
      <c r="G265" s="190"/>
      <c r="H265" s="137"/>
      <c r="I265" s="137"/>
      <c r="J265" s="137"/>
      <c r="M265" s="143"/>
      <c r="N265" s="143"/>
      <c r="O265" s="143"/>
      <c r="P265" s="143"/>
      <c r="Q265" s="137"/>
      <c r="R265" s="137"/>
      <c r="S265" s="137"/>
      <c r="T265" s="137"/>
      <c r="U265" s="137"/>
      <c r="V265" s="137"/>
      <c r="W265" s="137"/>
      <c r="X265" s="137"/>
      <c r="Y265" s="137"/>
      <c r="Z265" s="137"/>
      <c r="AA265" s="137"/>
    </row>
    <row r="266" spans="5:27" x14ac:dyDescent="0.35">
      <c r="E266" s="137"/>
      <c r="F266" s="137"/>
      <c r="G266" s="190"/>
      <c r="H266" s="137"/>
      <c r="I266" s="137"/>
      <c r="J266" s="137"/>
      <c r="M266" s="143"/>
      <c r="N266" s="143"/>
      <c r="O266" s="143"/>
      <c r="P266" s="143"/>
      <c r="Q266" s="137"/>
      <c r="R266" s="137"/>
      <c r="S266" s="137"/>
      <c r="T266" s="137"/>
      <c r="U266" s="137"/>
      <c r="V266" s="137"/>
      <c r="W266" s="137"/>
      <c r="X266" s="137"/>
      <c r="Y266" s="137"/>
      <c r="Z266" s="137"/>
      <c r="AA266" s="137"/>
    </row>
    <row r="267" spans="5:27" x14ac:dyDescent="0.35">
      <c r="E267" s="137"/>
      <c r="F267" s="137"/>
      <c r="G267" s="190"/>
      <c r="H267" s="137"/>
      <c r="I267" s="137"/>
      <c r="J267" s="137"/>
      <c r="M267" s="143"/>
      <c r="N267" s="143"/>
      <c r="O267" s="143"/>
      <c r="P267" s="143"/>
      <c r="Q267" s="137"/>
      <c r="R267" s="137"/>
      <c r="S267" s="137"/>
      <c r="T267" s="137"/>
      <c r="U267" s="137"/>
      <c r="V267" s="137"/>
      <c r="W267" s="137"/>
      <c r="X267" s="137"/>
      <c r="Y267" s="137"/>
      <c r="Z267" s="137"/>
      <c r="AA267" s="137"/>
    </row>
    <row r="268" spans="5:27" x14ac:dyDescent="0.35">
      <c r="E268" s="137"/>
      <c r="F268" s="137"/>
      <c r="G268" s="190"/>
      <c r="H268" s="137"/>
      <c r="I268" s="137"/>
      <c r="J268" s="137"/>
      <c r="M268" s="143"/>
      <c r="N268" s="143"/>
      <c r="O268" s="143"/>
      <c r="P268" s="143"/>
      <c r="Q268" s="137"/>
      <c r="R268" s="137"/>
      <c r="S268" s="137"/>
      <c r="T268" s="137"/>
      <c r="U268" s="137"/>
      <c r="V268" s="137"/>
      <c r="W268" s="137"/>
      <c r="X268" s="137"/>
      <c r="Y268" s="137"/>
      <c r="Z268" s="137"/>
      <c r="AA268" s="137"/>
    </row>
    <row r="269" spans="5:27" x14ac:dyDescent="0.35">
      <c r="E269" s="137"/>
      <c r="F269" s="137"/>
      <c r="G269" s="190"/>
      <c r="H269" s="137"/>
      <c r="I269" s="137"/>
      <c r="J269" s="137"/>
      <c r="M269" s="143"/>
      <c r="N269" s="143"/>
      <c r="O269" s="143"/>
      <c r="P269" s="143"/>
      <c r="Q269" s="137"/>
      <c r="R269" s="137"/>
      <c r="S269" s="137"/>
      <c r="T269" s="137"/>
      <c r="U269" s="137"/>
      <c r="V269" s="137"/>
      <c r="W269" s="137"/>
      <c r="X269" s="137"/>
      <c r="Y269" s="137"/>
      <c r="Z269" s="137"/>
      <c r="AA269" s="137"/>
    </row>
    <row r="270" spans="5:27" x14ac:dyDescent="0.35">
      <c r="E270" s="137"/>
      <c r="F270" s="137"/>
      <c r="G270" s="190"/>
      <c r="H270" s="137"/>
      <c r="I270" s="137"/>
      <c r="J270" s="137"/>
      <c r="M270" s="143"/>
      <c r="N270" s="143"/>
      <c r="O270" s="143"/>
      <c r="P270" s="143"/>
      <c r="Q270" s="137"/>
      <c r="R270" s="137"/>
      <c r="S270" s="137"/>
      <c r="T270" s="137"/>
      <c r="U270" s="137"/>
      <c r="V270" s="137"/>
      <c r="W270" s="137"/>
      <c r="X270" s="137"/>
      <c r="Y270" s="137"/>
      <c r="Z270" s="137"/>
      <c r="AA270" s="137"/>
    </row>
    <row r="271" spans="5:27" x14ac:dyDescent="0.35">
      <c r="E271" s="137"/>
      <c r="F271" s="137"/>
      <c r="G271" s="190"/>
      <c r="H271" s="137"/>
      <c r="I271" s="137"/>
      <c r="J271" s="137"/>
      <c r="M271" s="143"/>
      <c r="N271" s="143"/>
      <c r="O271" s="143"/>
      <c r="P271" s="143"/>
      <c r="Q271" s="137"/>
      <c r="R271" s="137"/>
      <c r="S271" s="137"/>
      <c r="T271" s="137"/>
      <c r="U271" s="137"/>
      <c r="V271" s="137"/>
      <c r="W271" s="137"/>
      <c r="X271" s="137"/>
      <c r="Y271" s="137"/>
      <c r="Z271" s="137"/>
      <c r="AA271" s="137"/>
    </row>
    <row r="272" spans="5:27" x14ac:dyDescent="0.35">
      <c r="E272" s="137"/>
      <c r="F272" s="137"/>
      <c r="G272" s="190"/>
      <c r="H272" s="137"/>
      <c r="I272" s="137"/>
      <c r="J272" s="137"/>
      <c r="M272" s="143"/>
      <c r="N272" s="143"/>
      <c r="O272" s="143"/>
      <c r="P272" s="143"/>
      <c r="Q272" s="137"/>
      <c r="R272" s="137"/>
      <c r="S272" s="137"/>
      <c r="T272" s="137"/>
      <c r="U272" s="137"/>
      <c r="V272" s="137"/>
      <c r="W272" s="137"/>
      <c r="X272" s="137"/>
      <c r="Y272" s="137"/>
      <c r="Z272" s="137"/>
      <c r="AA272" s="137"/>
    </row>
    <row r="273" spans="5:27" x14ac:dyDescent="0.35">
      <c r="E273" s="137"/>
      <c r="F273" s="137"/>
      <c r="G273" s="190"/>
      <c r="H273" s="137"/>
      <c r="I273" s="137"/>
      <c r="J273" s="137"/>
      <c r="M273" s="143"/>
      <c r="N273" s="143"/>
      <c r="O273" s="143"/>
      <c r="P273" s="143"/>
      <c r="Q273" s="137"/>
      <c r="R273" s="137"/>
      <c r="S273" s="137"/>
      <c r="T273" s="137"/>
      <c r="U273" s="137"/>
      <c r="V273" s="137"/>
      <c r="W273" s="137"/>
      <c r="X273" s="137"/>
      <c r="Y273" s="137"/>
      <c r="Z273" s="137"/>
      <c r="AA273" s="137"/>
    </row>
    <row r="274" spans="5:27" x14ac:dyDescent="0.35">
      <c r="E274" s="137"/>
      <c r="F274" s="137"/>
      <c r="G274" s="190"/>
      <c r="H274" s="137"/>
      <c r="I274" s="137"/>
      <c r="J274" s="137"/>
      <c r="M274" s="143"/>
      <c r="N274" s="143"/>
      <c r="O274" s="143"/>
      <c r="P274" s="143"/>
      <c r="Q274" s="137"/>
      <c r="R274" s="137"/>
      <c r="S274" s="137"/>
      <c r="T274" s="137"/>
      <c r="U274" s="137"/>
      <c r="V274" s="137"/>
      <c r="W274" s="137"/>
      <c r="X274" s="137"/>
      <c r="Y274" s="137"/>
      <c r="Z274" s="137"/>
      <c r="AA274" s="137"/>
    </row>
    <row r="275" spans="5:27" x14ac:dyDescent="0.35">
      <c r="E275" s="137"/>
      <c r="F275" s="137"/>
      <c r="G275" s="190"/>
      <c r="H275" s="137"/>
      <c r="I275" s="137"/>
      <c r="J275" s="137"/>
      <c r="M275" s="143"/>
      <c r="N275" s="143"/>
      <c r="O275" s="143"/>
      <c r="P275" s="143"/>
      <c r="Q275" s="137"/>
      <c r="R275" s="137"/>
      <c r="S275" s="137"/>
      <c r="T275" s="137"/>
      <c r="U275" s="137"/>
      <c r="V275" s="137"/>
      <c r="W275" s="137"/>
      <c r="X275" s="137"/>
      <c r="Y275" s="137"/>
      <c r="Z275" s="137"/>
      <c r="AA275" s="137"/>
    </row>
    <row r="276" spans="5:27" x14ac:dyDescent="0.35">
      <c r="E276" s="137"/>
      <c r="F276" s="137"/>
      <c r="G276" s="190"/>
      <c r="H276" s="137"/>
      <c r="I276" s="137"/>
      <c r="J276" s="137"/>
      <c r="M276" s="143"/>
      <c r="N276" s="143"/>
      <c r="O276" s="143"/>
      <c r="P276" s="143"/>
      <c r="Q276" s="137"/>
      <c r="R276" s="137"/>
      <c r="S276" s="137"/>
      <c r="T276" s="137"/>
      <c r="U276" s="137"/>
      <c r="V276" s="137"/>
      <c r="W276" s="137"/>
      <c r="X276" s="137"/>
      <c r="Y276" s="137"/>
      <c r="Z276" s="137"/>
      <c r="AA276" s="137"/>
    </row>
    <row r="277" spans="5:27" x14ac:dyDescent="0.35">
      <c r="E277" s="137"/>
      <c r="F277" s="137"/>
      <c r="G277" s="190"/>
      <c r="H277" s="137"/>
      <c r="I277" s="137"/>
      <c r="J277" s="137"/>
      <c r="M277" s="143"/>
      <c r="N277" s="143"/>
      <c r="O277" s="143"/>
      <c r="P277" s="143"/>
      <c r="Q277" s="137"/>
      <c r="R277" s="137"/>
      <c r="S277" s="137"/>
      <c r="T277" s="137"/>
      <c r="U277" s="137"/>
      <c r="V277" s="137"/>
      <c r="W277" s="137"/>
      <c r="X277" s="137"/>
      <c r="Y277" s="137"/>
      <c r="Z277" s="137"/>
      <c r="AA277" s="137"/>
    </row>
    <row r="278" spans="5:27" x14ac:dyDescent="0.35">
      <c r="E278" s="137"/>
      <c r="F278" s="137"/>
      <c r="G278" s="190"/>
      <c r="H278" s="137"/>
      <c r="I278" s="137"/>
      <c r="J278" s="137"/>
      <c r="M278" s="143"/>
      <c r="N278" s="143"/>
      <c r="O278" s="143"/>
      <c r="P278" s="143"/>
      <c r="Q278" s="137"/>
      <c r="R278" s="137"/>
      <c r="S278" s="137"/>
      <c r="T278" s="137"/>
      <c r="U278" s="137"/>
      <c r="V278" s="137"/>
      <c r="W278" s="137"/>
      <c r="X278" s="137"/>
      <c r="Y278" s="137"/>
      <c r="Z278" s="137"/>
      <c r="AA278" s="137"/>
    </row>
    <row r="279" spans="5:27" x14ac:dyDescent="0.35">
      <c r="E279" s="137"/>
      <c r="F279" s="137"/>
      <c r="G279" s="190"/>
      <c r="H279" s="137"/>
      <c r="I279" s="137"/>
      <c r="J279" s="137"/>
      <c r="M279" s="143"/>
      <c r="N279" s="143"/>
      <c r="O279" s="143"/>
      <c r="P279" s="143"/>
      <c r="Q279" s="137"/>
      <c r="R279" s="137"/>
      <c r="S279" s="137"/>
      <c r="T279" s="137"/>
      <c r="U279" s="137"/>
      <c r="V279" s="137"/>
      <c r="W279" s="137"/>
      <c r="X279" s="137"/>
      <c r="Y279" s="137"/>
      <c r="Z279" s="137"/>
      <c r="AA279" s="137"/>
    </row>
    <row r="280" spans="5:27" x14ac:dyDescent="0.35">
      <c r="E280" s="137"/>
      <c r="F280" s="137"/>
      <c r="G280" s="190"/>
      <c r="H280" s="137"/>
      <c r="I280" s="137"/>
      <c r="J280" s="137"/>
      <c r="M280" s="143"/>
      <c r="N280" s="143"/>
      <c r="O280" s="143"/>
      <c r="P280" s="143"/>
      <c r="Q280" s="137"/>
      <c r="R280" s="137"/>
      <c r="S280" s="137"/>
      <c r="T280" s="137"/>
      <c r="U280" s="137"/>
      <c r="V280" s="137"/>
      <c r="W280" s="137"/>
      <c r="X280" s="137"/>
      <c r="Y280" s="137"/>
      <c r="Z280" s="137"/>
      <c r="AA280" s="137"/>
    </row>
    <row r="281" spans="5:27" x14ac:dyDescent="0.35">
      <c r="E281" s="137"/>
      <c r="F281" s="137"/>
      <c r="G281" s="190"/>
      <c r="H281" s="137"/>
      <c r="I281" s="137"/>
      <c r="J281" s="137"/>
      <c r="M281" s="143"/>
      <c r="N281" s="143"/>
      <c r="O281" s="143"/>
      <c r="P281" s="143"/>
      <c r="Q281" s="137"/>
      <c r="R281" s="137"/>
      <c r="S281" s="137"/>
      <c r="T281" s="137"/>
      <c r="U281" s="137"/>
      <c r="V281" s="137"/>
      <c r="W281" s="137"/>
      <c r="X281" s="137"/>
      <c r="Y281" s="137"/>
      <c r="Z281" s="137"/>
      <c r="AA281" s="137"/>
    </row>
    <row r="282" spans="5:27" x14ac:dyDescent="0.35">
      <c r="E282" s="137"/>
      <c r="F282" s="137"/>
      <c r="G282" s="190"/>
      <c r="H282" s="137"/>
      <c r="I282" s="137"/>
      <c r="J282" s="137"/>
      <c r="M282" s="143"/>
      <c r="N282" s="143"/>
      <c r="O282" s="143"/>
      <c r="P282" s="143"/>
      <c r="Q282" s="137"/>
      <c r="R282" s="137"/>
      <c r="S282" s="137"/>
      <c r="T282" s="137"/>
      <c r="U282" s="137"/>
      <c r="V282" s="137"/>
      <c r="W282" s="137"/>
      <c r="X282" s="137"/>
      <c r="Y282" s="137"/>
      <c r="Z282" s="137"/>
      <c r="AA282" s="137"/>
    </row>
    <row r="283" spans="5:27" x14ac:dyDescent="0.35">
      <c r="E283" s="137"/>
      <c r="F283" s="137"/>
      <c r="G283" s="190"/>
      <c r="H283" s="137"/>
      <c r="I283" s="137"/>
      <c r="J283" s="137"/>
      <c r="M283" s="143"/>
      <c r="N283" s="143"/>
      <c r="O283" s="143"/>
      <c r="P283" s="143"/>
      <c r="Q283" s="137"/>
      <c r="R283" s="137"/>
      <c r="S283" s="137"/>
      <c r="T283" s="137"/>
      <c r="U283" s="137"/>
      <c r="V283" s="137"/>
      <c r="W283" s="137"/>
      <c r="X283" s="137"/>
      <c r="Y283" s="137"/>
      <c r="Z283" s="137"/>
      <c r="AA283" s="137"/>
    </row>
    <row r="284" spans="5:27" x14ac:dyDescent="0.35">
      <c r="E284" s="137"/>
      <c r="F284" s="137"/>
      <c r="G284" s="190"/>
      <c r="H284" s="137"/>
      <c r="I284" s="137"/>
      <c r="J284" s="137"/>
      <c r="M284" s="143"/>
      <c r="N284" s="143"/>
      <c r="O284" s="143"/>
      <c r="P284" s="143"/>
      <c r="Q284" s="137"/>
      <c r="R284" s="137"/>
      <c r="S284" s="137"/>
      <c r="T284" s="137"/>
      <c r="U284" s="137"/>
      <c r="V284" s="137"/>
      <c r="W284" s="137"/>
      <c r="X284" s="137"/>
      <c r="Y284" s="137"/>
      <c r="Z284" s="137"/>
      <c r="AA284" s="137"/>
    </row>
    <row r="285" spans="5:27" x14ac:dyDescent="0.35">
      <c r="E285" s="137"/>
      <c r="F285" s="137"/>
      <c r="G285" s="190"/>
      <c r="H285" s="137"/>
      <c r="I285" s="137"/>
      <c r="J285" s="137"/>
      <c r="M285" s="143"/>
      <c r="N285" s="143"/>
      <c r="O285" s="143"/>
      <c r="P285" s="143"/>
      <c r="Q285" s="137"/>
      <c r="R285" s="137"/>
      <c r="S285" s="137"/>
      <c r="T285" s="137"/>
      <c r="U285" s="137"/>
      <c r="V285" s="137"/>
      <c r="W285" s="137"/>
      <c r="X285" s="137"/>
      <c r="Y285" s="137"/>
      <c r="Z285" s="137"/>
      <c r="AA285" s="137"/>
    </row>
    <row r="286" spans="5:27" x14ac:dyDescent="0.35">
      <c r="E286" s="137"/>
      <c r="F286" s="137"/>
      <c r="G286" s="190"/>
      <c r="H286" s="137"/>
      <c r="I286" s="137"/>
      <c r="J286" s="137"/>
      <c r="M286" s="143"/>
      <c r="N286" s="143"/>
      <c r="O286" s="143"/>
      <c r="P286" s="143"/>
      <c r="Q286" s="137"/>
      <c r="R286" s="137"/>
      <c r="S286" s="137"/>
      <c r="T286" s="137"/>
      <c r="U286" s="137"/>
      <c r="V286" s="137"/>
      <c r="W286" s="137"/>
      <c r="X286" s="137"/>
      <c r="Y286" s="137"/>
      <c r="Z286" s="137"/>
      <c r="AA286" s="137"/>
    </row>
    <row r="287" spans="5:27" x14ac:dyDescent="0.35">
      <c r="E287" s="137"/>
      <c r="F287" s="137"/>
      <c r="G287" s="190"/>
      <c r="H287" s="137"/>
      <c r="I287" s="137"/>
      <c r="J287" s="137"/>
      <c r="M287" s="143"/>
      <c r="N287" s="143"/>
      <c r="O287" s="143"/>
      <c r="P287" s="143"/>
      <c r="Q287" s="137"/>
      <c r="R287" s="137"/>
      <c r="S287" s="137"/>
      <c r="T287" s="137"/>
      <c r="U287" s="137"/>
      <c r="V287" s="137"/>
      <c r="W287" s="137"/>
      <c r="X287" s="137"/>
      <c r="Y287" s="137"/>
      <c r="Z287" s="137"/>
      <c r="AA287" s="137"/>
    </row>
    <row r="288" spans="5:27" x14ac:dyDescent="0.35">
      <c r="E288" s="137"/>
      <c r="F288" s="137"/>
      <c r="G288" s="190"/>
      <c r="H288" s="137"/>
      <c r="I288" s="137"/>
      <c r="J288" s="137"/>
      <c r="M288" s="143"/>
      <c r="N288" s="143"/>
      <c r="O288" s="143"/>
      <c r="P288" s="143"/>
      <c r="Q288" s="137"/>
      <c r="R288" s="137"/>
      <c r="S288" s="137"/>
      <c r="T288" s="137"/>
      <c r="U288" s="137"/>
      <c r="V288" s="137"/>
      <c r="W288" s="137"/>
      <c r="X288" s="137"/>
      <c r="Y288" s="137"/>
      <c r="Z288" s="137"/>
      <c r="AA288" s="137"/>
    </row>
    <row r="289" spans="5:27" x14ac:dyDescent="0.35">
      <c r="E289" s="137"/>
      <c r="F289" s="137"/>
      <c r="G289" s="190"/>
      <c r="H289" s="137"/>
      <c r="I289" s="137"/>
      <c r="J289" s="137"/>
      <c r="M289" s="143"/>
      <c r="N289" s="143"/>
      <c r="O289" s="143"/>
      <c r="P289" s="143"/>
      <c r="Q289" s="137"/>
      <c r="R289" s="137"/>
      <c r="S289" s="137"/>
      <c r="T289" s="137"/>
      <c r="U289" s="137"/>
      <c r="V289" s="137"/>
      <c r="W289" s="137"/>
      <c r="X289" s="137"/>
      <c r="Y289" s="137"/>
      <c r="Z289" s="137"/>
      <c r="AA289" s="137"/>
    </row>
    <row r="290" spans="5:27" x14ac:dyDescent="0.35">
      <c r="E290" s="137"/>
      <c r="F290" s="137"/>
      <c r="G290" s="190"/>
      <c r="H290" s="137"/>
      <c r="I290" s="137"/>
      <c r="J290" s="137"/>
      <c r="M290" s="143"/>
      <c r="N290" s="143"/>
      <c r="O290" s="143"/>
      <c r="P290" s="143"/>
      <c r="Q290" s="137"/>
      <c r="R290" s="137"/>
      <c r="S290" s="137"/>
      <c r="T290" s="137"/>
      <c r="U290" s="137"/>
      <c r="V290" s="137"/>
      <c r="W290" s="137"/>
      <c r="X290" s="137"/>
      <c r="Y290" s="137"/>
      <c r="Z290" s="137"/>
      <c r="AA290" s="137"/>
    </row>
    <row r="291" spans="5:27" x14ac:dyDescent="0.35">
      <c r="E291" s="137"/>
      <c r="F291" s="137"/>
      <c r="G291" s="190"/>
      <c r="H291" s="137"/>
      <c r="I291" s="137"/>
      <c r="J291" s="137"/>
      <c r="M291" s="143"/>
      <c r="N291" s="143"/>
      <c r="O291" s="143"/>
      <c r="P291" s="143"/>
      <c r="Q291" s="137"/>
      <c r="R291" s="137"/>
      <c r="S291" s="137"/>
      <c r="T291" s="137"/>
      <c r="U291" s="137"/>
      <c r="V291" s="137"/>
      <c r="W291" s="137"/>
      <c r="X291" s="137"/>
      <c r="Y291" s="137"/>
      <c r="Z291" s="137"/>
      <c r="AA291" s="137"/>
    </row>
    <row r="292" spans="5:27" x14ac:dyDescent="0.35">
      <c r="E292" s="137"/>
      <c r="F292" s="137"/>
      <c r="G292" s="190"/>
      <c r="H292" s="137"/>
      <c r="I292" s="137"/>
      <c r="J292" s="137"/>
      <c r="M292" s="143"/>
      <c r="N292" s="143"/>
      <c r="O292" s="143"/>
      <c r="P292" s="143"/>
      <c r="Q292" s="137"/>
      <c r="R292" s="137"/>
      <c r="S292" s="137"/>
      <c r="T292" s="137"/>
      <c r="U292" s="137"/>
      <c r="V292" s="137"/>
      <c r="W292" s="137"/>
      <c r="X292" s="137"/>
      <c r="Y292" s="137"/>
      <c r="Z292" s="137"/>
      <c r="AA292" s="137"/>
    </row>
    <row r="293" spans="5:27" x14ac:dyDescent="0.35">
      <c r="E293" s="137"/>
      <c r="F293" s="137"/>
      <c r="G293" s="190"/>
      <c r="H293" s="137"/>
      <c r="I293" s="137"/>
      <c r="J293" s="137"/>
      <c r="M293" s="143"/>
      <c r="N293" s="143"/>
      <c r="O293" s="143"/>
      <c r="P293" s="143"/>
      <c r="Q293" s="137"/>
      <c r="R293" s="137"/>
      <c r="S293" s="137"/>
      <c r="T293" s="137"/>
      <c r="U293" s="137"/>
      <c r="V293" s="137"/>
      <c r="W293" s="137"/>
      <c r="X293" s="137"/>
      <c r="Y293" s="137"/>
      <c r="Z293" s="137"/>
      <c r="AA293" s="137"/>
    </row>
    <row r="294" spans="5:27" x14ac:dyDescent="0.35">
      <c r="E294" s="137"/>
      <c r="F294" s="137"/>
      <c r="G294" s="190"/>
      <c r="H294" s="137"/>
      <c r="I294" s="137"/>
      <c r="J294" s="137"/>
      <c r="M294" s="143"/>
      <c r="N294" s="143"/>
      <c r="O294" s="143"/>
      <c r="P294" s="143"/>
      <c r="Q294" s="137"/>
      <c r="R294" s="137"/>
      <c r="S294" s="137"/>
      <c r="T294" s="137"/>
      <c r="U294" s="137"/>
      <c r="V294" s="137"/>
      <c r="W294" s="137"/>
      <c r="X294" s="137"/>
      <c r="Y294" s="137"/>
      <c r="Z294" s="137"/>
      <c r="AA294" s="137"/>
    </row>
    <row r="295" spans="5:27" x14ac:dyDescent="0.35">
      <c r="E295" s="137"/>
      <c r="F295" s="137"/>
      <c r="G295" s="190"/>
      <c r="H295" s="137"/>
      <c r="I295" s="137"/>
      <c r="J295" s="137"/>
      <c r="M295" s="143"/>
      <c r="N295" s="143"/>
      <c r="O295" s="143"/>
      <c r="P295" s="143"/>
      <c r="Q295" s="137"/>
      <c r="R295" s="137"/>
      <c r="S295" s="137"/>
      <c r="T295" s="137"/>
      <c r="U295" s="137"/>
      <c r="V295" s="137"/>
      <c r="W295" s="137"/>
      <c r="X295" s="137"/>
      <c r="Y295" s="137"/>
      <c r="Z295" s="137"/>
      <c r="AA295" s="137"/>
    </row>
    <row r="296" spans="5:27" x14ac:dyDescent="0.35">
      <c r="E296" s="137"/>
      <c r="F296" s="137"/>
      <c r="G296" s="190"/>
      <c r="H296" s="137"/>
      <c r="I296" s="137"/>
      <c r="J296" s="137"/>
      <c r="M296" s="143"/>
      <c r="N296" s="143"/>
      <c r="O296" s="143"/>
      <c r="P296" s="143"/>
      <c r="Q296" s="137"/>
      <c r="R296" s="137"/>
      <c r="S296" s="137"/>
      <c r="T296" s="137"/>
      <c r="U296" s="137"/>
      <c r="V296" s="137"/>
      <c r="W296" s="137"/>
      <c r="X296" s="137"/>
      <c r="Y296" s="137"/>
      <c r="Z296" s="137"/>
      <c r="AA296" s="137"/>
    </row>
    <row r="297" spans="5:27" x14ac:dyDescent="0.35">
      <c r="E297" s="137"/>
      <c r="F297" s="137"/>
      <c r="G297" s="190"/>
      <c r="H297" s="137"/>
      <c r="I297" s="137"/>
      <c r="J297" s="137"/>
      <c r="M297" s="143"/>
      <c r="N297" s="143"/>
      <c r="O297" s="143"/>
      <c r="P297" s="143"/>
      <c r="Q297" s="137"/>
      <c r="R297" s="137"/>
      <c r="S297" s="137"/>
      <c r="T297" s="137"/>
      <c r="U297" s="137"/>
      <c r="V297" s="137"/>
      <c r="W297" s="137"/>
      <c r="X297" s="137"/>
      <c r="Y297" s="137"/>
      <c r="Z297" s="137"/>
      <c r="AA297" s="137"/>
    </row>
    <row r="298" spans="5:27" x14ac:dyDescent="0.35">
      <c r="E298" s="137"/>
      <c r="F298" s="137"/>
      <c r="G298" s="190"/>
      <c r="H298" s="137"/>
      <c r="I298" s="137"/>
      <c r="J298" s="137"/>
      <c r="M298" s="143"/>
      <c r="N298" s="143"/>
      <c r="O298" s="143"/>
      <c r="P298" s="143"/>
      <c r="Q298" s="137"/>
      <c r="R298" s="137"/>
      <c r="S298" s="137"/>
      <c r="T298" s="137"/>
      <c r="U298" s="137"/>
      <c r="V298" s="137"/>
      <c r="W298" s="137"/>
      <c r="X298" s="137"/>
      <c r="Y298" s="137"/>
      <c r="Z298" s="137"/>
      <c r="AA298" s="137"/>
    </row>
    <row r="299" spans="5:27" x14ac:dyDescent="0.35">
      <c r="E299" s="137"/>
      <c r="F299" s="137"/>
      <c r="G299" s="190"/>
      <c r="H299" s="137"/>
      <c r="I299" s="137"/>
      <c r="J299" s="137"/>
      <c r="M299" s="143"/>
      <c r="N299" s="143"/>
      <c r="O299" s="143"/>
      <c r="P299" s="143"/>
      <c r="Q299" s="137"/>
      <c r="R299" s="137"/>
      <c r="S299" s="137"/>
      <c r="T299" s="137"/>
      <c r="U299" s="137"/>
      <c r="V299" s="137"/>
      <c r="W299" s="137"/>
      <c r="X299" s="137"/>
      <c r="Y299" s="137"/>
      <c r="Z299" s="137"/>
      <c r="AA299" s="137"/>
    </row>
    <row r="300" spans="5:27" x14ac:dyDescent="0.35">
      <c r="E300" s="137"/>
      <c r="F300" s="137"/>
      <c r="G300" s="190"/>
      <c r="H300" s="137"/>
      <c r="I300" s="137"/>
      <c r="J300" s="137"/>
      <c r="M300" s="143"/>
      <c r="N300" s="143"/>
      <c r="O300" s="143"/>
      <c r="P300" s="143"/>
      <c r="Q300" s="137"/>
      <c r="R300" s="137"/>
      <c r="S300" s="137"/>
      <c r="T300" s="137"/>
      <c r="U300" s="137"/>
      <c r="V300" s="137"/>
      <c r="W300" s="137"/>
      <c r="X300" s="137"/>
      <c r="Y300" s="137"/>
      <c r="Z300" s="137"/>
      <c r="AA300" s="137"/>
    </row>
    <row r="301" spans="5:27" x14ac:dyDescent="0.35">
      <c r="E301" s="137"/>
      <c r="F301" s="137"/>
      <c r="G301" s="190"/>
      <c r="H301" s="137"/>
      <c r="I301" s="137"/>
      <c r="J301" s="137"/>
      <c r="M301" s="143"/>
      <c r="N301" s="143"/>
      <c r="O301" s="143"/>
      <c r="P301" s="143"/>
      <c r="Q301" s="137"/>
      <c r="R301" s="137"/>
      <c r="S301" s="137"/>
      <c r="T301" s="137"/>
      <c r="U301" s="137"/>
      <c r="V301" s="137"/>
      <c r="W301" s="137"/>
      <c r="X301" s="137"/>
      <c r="Y301" s="137"/>
      <c r="Z301" s="137"/>
      <c r="AA301" s="137"/>
    </row>
    <row r="302" spans="5:27" x14ac:dyDescent="0.35">
      <c r="E302" s="137"/>
      <c r="F302" s="137"/>
      <c r="G302" s="190"/>
      <c r="H302" s="137"/>
      <c r="I302" s="137"/>
      <c r="J302" s="137"/>
      <c r="M302" s="143"/>
      <c r="N302" s="143"/>
      <c r="O302" s="143"/>
      <c r="P302" s="143"/>
      <c r="Q302" s="137"/>
      <c r="R302" s="137"/>
      <c r="S302" s="137"/>
      <c r="T302" s="137"/>
      <c r="U302" s="137"/>
      <c r="V302" s="137"/>
      <c r="W302" s="137"/>
      <c r="X302" s="137"/>
      <c r="Y302" s="137"/>
      <c r="Z302" s="137"/>
      <c r="AA302" s="137"/>
    </row>
    <row r="303" spans="5:27" x14ac:dyDescent="0.35">
      <c r="E303" s="137"/>
      <c r="F303" s="137"/>
      <c r="G303" s="190"/>
      <c r="H303" s="137"/>
      <c r="I303" s="137"/>
      <c r="J303" s="137"/>
      <c r="M303" s="143"/>
      <c r="N303" s="143"/>
      <c r="O303" s="143"/>
      <c r="P303" s="143"/>
      <c r="Q303" s="137"/>
      <c r="R303" s="137"/>
      <c r="S303" s="137"/>
      <c r="T303" s="137"/>
      <c r="U303" s="137"/>
      <c r="V303" s="137"/>
      <c r="W303" s="137"/>
      <c r="X303" s="137"/>
      <c r="Y303" s="137"/>
      <c r="Z303" s="137"/>
      <c r="AA303" s="137"/>
    </row>
    <row r="304" spans="5:27" x14ac:dyDescent="0.35">
      <c r="E304" s="137"/>
      <c r="F304" s="137"/>
      <c r="G304" s="190"/>
      <c r="H304" s="137"/>
      <c r="I304" s="137"/>
      <c r="J304" s="137"/>
      <c r="M304" s="143"/>
      <c r="N304" s="143"/>
      <c r="O304" s="143"/>
      <c r="P304" s="143"/>
      <c r="Q304" s="137"/>
      <c r="R304" s="137"/>
      <c r="S304" s="137"/>
      <c r="T304" s="137"/>
      <c r="U304" s="137"/>
      <c r="V304" s="137"/>
      <c r="W304" s="137"/>
      <c r="X304" s="137"/>
      <c r="Y304" s="137"/>
      <c r="Z304" s="137"/>
      <c r="AA304" s="137"/>
    </row>
    <row r="305" spans="5:27" x14ac:dyDescent="0.35">
      <c r="E305" s="137"/>
      <c r="F305" s="137"/>
      <c r="G305" s="190"/>
      <c r="H305" s="137"/>
      <c r="I305" s="137"/>
      <c r="J305" s="137"/>
      <c r="M305" s="143"/>
      <c r="N305" s="143"/>
      <c r="O305" s="143"/>
      <c r="P305" s="143"/>
      <c r="Q305" s="137"/>
      <c r="R305" s="137"/>
      <c r="S305" s="137"/>
      <c r="T305" s="137"/>
      <c r="U305" s="137"/>
      <c r="V305" s="137"/>
      <c r="W305" s="137"/>
      <c r="X305" s="137"/>
      <c r="Y305" s="137"/>
      <c r="Z305" s="137"/>
      <c r="AA305" s="137"/>
    </row>
    <row r="306" spans="5:27" x14ac:dyDescent="0.35">
      <c r="E306" s="137"/>
      <c r="F306" s="137"/>
      <c r="G306" s="190"/>
      <c r="H306" s="137"/>
      <c r="I306" s="137"/>
      <c r="J306" s="137"/>
      <c r="M306" s="143"/>
      <c r="N306" s="143"/>
      <c r="O306" s="143"/>
      <c r="P306" s="143"/>
      <c r="Q306" s="137"/>
      <c r="R306" s="137"/>
      <c r="S306" s="137"/>
      <c r="T306" s="137"/>
      <c r="U306" s="137"/>
      <c r="V306" s="137"/>
      <c r="W306" s="137"/>
      <c r="X306" s="137"/>
      <c r="Y306" s="137"/>
      <c r="Z306" s="137"/>
      <c r="AA306" s="137"/>
    </row>
    <row r="307" spans="5:27" x14ac:dyDescent="0.35">
      <c r="E307" s="137"/>
      <c r="F307" s="137"/>
      <c r="G307" s="190"/>
      <c r="H307" s="137"/>
      <c r="I307" s="137"/>
      <c r="J307" s="137"/>
      <c r="M307" s="143"/>
      <c r="N307" s="143"/>
      <c r="O307" s="143"/>
      <c r="P307" s="143"/>
      <c r="Q307" s="137"/>
      <c r="R307" s="137"/>
      <c r="S307" s="137"/>
      <c r="T307" s="137"/>
      <c r="U307" s="137"/>
      <c r="V307" s="137"/>
      <c r="W307" s="137"/>
      <c r="X307" s="137"/>
      <c r="Y307" s="137"/>
      <c r="Z307" s="137"/>
      <c r="AA307" s="137"/>
    </row>
    <row r="308" spans="5:27" x14ac:dyDescent="0.35">
      <c r="E308" s="137"/>
      <c r="F308" s="137"/>
      <c r="G308" s="190"/>
      <c r="H308" s="137"/>
      <c r="I308" s="137"/>
      <c r="J308" s="137"/>
      <c r="M308" s="143"/>
      <c r="N308" s="143"/>
      <c r="O308" s="143"/>
      <c r="P308" s="143"/>
      <c r="Q308" s="137"/>
      <c r="R308" s="137"/>
      <c r="S308" s="137"/>
      <c r="T308" s="137"/>
      <c r="U308" s="137"/>
      <c r="V308" s="137"/>
      <c r="W308" s="137"/>
      <c r="X308" s="137"/>
      <c r="Y308" s="137"/>
      <c r="Z308" s="137"/>
      <c r="AA308" s="137"/>
    </row>
    <row r="309" spans="5:27" x14ac:dyDescent="0.35">
      <c r="E309" s="137"/>
      <c r="F309" s="137"/>
      <c r="G309" s="190"/>
      <c r="H309" s="137"/>
      <c r="I309" s="137"/>
      <c r="J309" s="137"/>
      <c r="M309" s="143"/>
      <c r="N309" s="143"/>
      <c r="O309" s="143"/>
      <c r="P309" s="143"/>
      <c r="Q309" s="137"/>
      <c r="R309" s="137"/>
      <c r="S309" s="137"/>
      <c r="T309" s="137"/>
      <c r="U309" s="137"/>
      <c r="V309" s="137"/>
      <c r="W309" s="137"/>
      <c r="X309" s="137"/>
      <c r="Y309" s="137"/>
      <c r="Z309" s="137"/>
      <c r="AA309" s="137"/>
    </row>
    <row r="310" spans="5:27" x14ac:dyDescent="0.35">
      <c r="E310" s="137"/>
      <c r="F310" s="137"/>
      <c r="G310" s="190"/>
      <c r="H310" s="137"/>
      <c r="I310" s="137"/>
      <c r="J310" s="137"/>
      <c r="M310" s="143"/>
      <c r="N310" s="143"/>
      <c r="O310" s="143"/>
      <c r="P310" s="143"/>
      <c r="Q310" s="137"/>
      <c r="R310" s="137"/>
      <c r="S310" s="137"/>
      <c r="T310" s="137"/>
      <c r="U310" s="137"/>
      <c r="V310" s="137"/>
      <c r="W310" s="137"/>
      <c r="X310" s="137"/>
      <c r="Y310" s="137"/>
      <c r="Z310" s="137"/>
      <c r="AA310" s="137"/>
    </row>
    <row r="311" spans="5:27" x14ac:dyDescent="0.35">
      <c r="E311" s="137"/>
      <c r="F311" s="137"/>
      <c r="G311" s="190"/>
      <c r="H311" s="137"/>
      <c r="I311" s="137"/>
      <c r="J311" s="137"/>
      <c r="M311" s="143"/>
      <c r="N311" s="143"/>
      <c r="O311" s="143"/>
      <c r="P311" s="143"/>
      <c r="Q311" s="137"/>
      <c r="R311" s="137"/>
      <c r="S311" s="137"/>
      <c r="T311" s="137"/>
      <c r="U311" s="137"/>
      <c r="V311" s="137"/>
      <c r="W311" s="137"/>
      <c r="X311" s="137"/>
      <c r="Y311" s="137"/>
      <c r="Z311" s="137"/>
      <c r="AA311" s="137"/>
    </row>
    <row r="312" spans="5:27" x14ac:dyDescent="0.35">
      <c r="E312" s="137"/>
      <c r="F312" s="137"/>
      <c r="G312" s="190"/>
      <c r="H312" s="137"/>
      <c r="I312" s="137"/>
      <c r="J312" s="137"/>
      <c r="M312" s="143"/>
      <c r="N312" s="143"/>
      <c r="O312" s="143"/>
      <c r="P312" s="143"/>
      <c r="Q312" s="137"/>
      <c r="R312" s="137"/>
      <c r="S312" s="137"/>
      <c r="T312" s="137"/>
      <c r="U312" s="137"/>
      <c r="V312" s="137"/>
      <c r="W312" s="137"/>
      <c r="X312" s="137"/>
      <c r="Y312" s="137"/>
      <c r="Z312" s="137"/>
      <c r="AA312" s="137"/>
    </row>
    <row r="313" spans="5:27" x14ac:dyDescent="0.35">
      <c r="E313" s="137"/>
      <c r="F313" s="137"/>
      <c r="G313" s="190"/>
      <c r="H313" s="137"/>
      <c r="I313" s="137"/>
      <c r="J313" s="137"/>
      <c r="M313" s="143"/>
      <c r="N313" s="143"/>
      <c r="O313" s="143"/>
      <c r="P313" s="143"/>
      <c r="Q313" s="137"/>
      <c r="R313" s="137"/>
      <c r="S313" s="137"/>
      <c r="T313" s="137"/>
      <c r="U313" s="137"/>
      <c r="V313" s="137"/>
      <c r="W313" s="137"/>
      <c r="X313" s="137"/>
      <c r="Y313" s="137"/>
      <c r="Z313" s="137"/>
      <c r="AA313" s="137"/>
    </row>
    <row r="314" spans="5:27" x14ac:dyDescent="0.35">
      <c r="E314" s="137"/>
      <c r="F314" s="137"/>
      <c r="G314" s="190"/>
      <c r="H314" s="137"/>
      <c r="I314" s="137"/>
      <c r="J314" s="137"/>
      <c r="M314" s="143"/>
      <c r="N314" s="143"/>
      <c r="O314" s="143"/>
      <c r="P314" s="143"/>
      <c r="Q314" s="137"/>
      <c r="R314" s="137"/>
      <c r="S314" s="137"/>
      <c r="T314" s="137"/>
      <c r="U314" s="137"/>
      <c r="V314" s="137"/>
      <c r="W314" s="137"/>
      <c r="X314" s="137"/>
      <c r="Y314" s="137"/>
      <c r="Z314" s="137"/>
      <c r="AA314" s="137"/>
    </row>
    <row r="315" spans="5:27" x14ac:dyDescent="0.35">
      <c r="E315" s="137"/>
      <c r="F315" s="137"/>
      <c r="G315" s="190"/>
      <c r="H315" s="137"/>
      <c r="I315" s="137"/>
      <c r="J315" s="137"/>
      <c r="M315" s="143"/>
      <c r="N315" s="143"/>
      <c r="O315" s="143"/>
      <c r="P315" s="143"/>
      <c r="Q315" s="137"/>
      <c r="R315" s="137"/>
      <c r="S315" s="137"/>
      <c r="T315" s="137"/>
      <c r="U315" s="137"/>
      <c r="V315" s="137"/>
      <c r="W315" s="137"/>
      <c r="X315" s="137"/>
      <c r="Y315" s="137"/>
      <c r="Z315" s="137"/>
      <c r="AA315" s="137"/>
    </row>
    <row r="316" spans="5:27" x14ac:dyDescent="0.35">
      <c r="E316" s="137"/>
      <c r="F316" s="137"/>
      <c r="G316" s="190"/>
      <c r="H316" s="137"/>
      <c r="I316" s="137"/>
      <c r="J316" s="137"/>
      <c r="M316" s="143"/>
      <c r="N316" s="143"/>
      <c r="O316" s="143"/>
      <c r="P316" s="143"/>
      <c r="Q316" s="137"/>
      <c r="R316" s="137"/>
      <c r="S316" s="137"/>
      <c r="T316" s="137"/>
      <c r="U316" s="137"/>
      <c r="V316" s="137"/>
      <c r="W316" s="137"/>
      <c r="X316" s="137"/>
      <c r="Y316" s="137"/>
      <c r="Z316" s="137"/>
      <c r="AA316" s="137"/>
    </row>
    <row r="317" spans="5:27" x14ac:dyDescent="0.35">
      <c r="E317" s="137"/>
      <c r="F317" s="137"/>
      <c r="G317" s="190"/>
      <c r="H317" s="137"/>
      <c r="I317" s="137"/>
      <c r="J317" s="137"/>
      <c r="M317" s="143"/>
      <c r="N317" s="143"/>
      <c r="O317" s="143"/>
      <c r="P317" s="143"/>
      <c r="Q317" s="137"/>
      <c r="R317" s="137"/>
      <c r="S317" s="137"/>
      <c r="T317" s="137"/>
      <c r="U317" s="137"/>
      <c r="V317" s="137"/>
      <c r="W317" s="137"/>
      <c r="X317" s="137"/>
      <c r="Y317" s="137"/>
      <c r="Z317" s="137"/>
      <c r="AA317" s="137"/>
    </row>
    <row r="318" spans="5:27" x14ac:dyDescent="0.35">
      <c r="E318" s="137"/>
      <c r="F318" s="137"/>
      <c r="G318" s="190"/>
      <c r="H318" s="137"/>
      <c r="I318" s="137"/>
      <c r="J318" s="137"/>
      <c r="M318" s="143"/>
      <c r="N318" s="143"/>
      <c r="O318" s="143"/>
      <c r="P318" s="143"/>
      <c r="Q318" s="137"/>
      <c r="R318" s="137"/>
      <c r="S318" s="137"/>
      <c r="T318" s="137"/>
      <c r="U318" s="137"/>
      <c r="V318" s="137"/>
      <c r="W318" s="137"/>
      <c r="X318" s="137"/>
      <c r="Y318" s="137"/>
      <c r="Z318" s="137"/>
      <c r="AA318" s="137"/>
    </row>
    <row r="319" spans="5:27" x14ac:dyDescent="0.35">
      <c r="E319" s="137"/>
      <c r="F319" s="137"/>
      <c r="G319" s="190"/>
      <c r="H319" s="137"/>
      <c r="I319" s="137"/>
      <c r="J319" s="137"/>
      <c r="M319" s="143"/>
      <c r="N319" s="143"/>
      <c r="O319" s="143"/>
      <c r="P319" s="143"/>
      <c r="Q319" s="137"/>
      <c r="R319" s="137"/>
      <c r="S319" s="137"/>
      <c r="T319" s="137"/>
      <c r="U319" s="137"/>
      <c r="V319" s="137"/>
      <c r="W319" s="137"/>
      <c r="X319" s="137"/>
      <c r="Y319" s="137"/>
      <c r="Z319" s="137"/>
      <c r="AA319" s="137"/>
    </row>
    <row r="320" spans="5:27" x14ac:dyDescent="0.35">
      <c r="E320" s="137"/>
      <c r="F320" s="137"/>
      <c r="G320" s="190"/>
      <c r="H320" s="137"/>
      <c r="I320" s="137"/>
      <c r="J320" s="137"/>
      <c r="M320" s="143"/>
      <c r="N320" s="143"/>
      <c r="O320" s="143"/>
      <c r="P320" s="143"/>
      <c r="Q320" s="137"/>
      <c r="R320" s="137"/>
      <c r="S320" s="137"/>
      <c r="T320" s="137"/>
      <c r="U320" s="137"/>
      <c r="V320" s="137"/>
      <c r="W320" s="137"/>
      <c r="X320" s="137"/>
      <c r="Y320" s="137"/>
      <c r="Z320" s="137"/>
      <c r="AA320" s="137"/>
    </row>
    <row r="321" spans="5:27" x14ac:dyDescent="0.35">
      <c r="E321" s="137"/>
      <c r="F321" s="137"/>
      <c r="G321" s="190"/>
      <c r="H321" s="137"/>
      <c r="I321" s="137"/>
      <c r="J321" s="137"/>
      <c r="M321" s="143"/>
      <c r="N321" s="143"/>
      <c r="O321" s="143"/>
      <c r="P321" s="143"/>
      <c r="Q321" s="137"/>
      <c r="R321" s="137"/>
      <c r="S321" s="137"/>
      <c r="T321" s="137"/>
      <c r="U321" s="137"/>
      <c r="V321" s="137"/>
      <c r="W321" s="137"/>
      <c r="X321" s="137"/>
      <c r="Y321" s="137"/>
      <c r="Z321" s="137"/>
      <c r="AA321" s="137"/>
    </row>
    <row r="322" spans="5:27" x14ac:dyDescent="0.35">
      <c r="E322" s="137"/>
      <c r="F322" s="137"/>
      <c r="G322" s="190"/>
      <c r="H322" s="137"/>
      <c r="I322" s="137"/>
      <c r="J322" s="137"/>
      <c r="M322" s="143"/>
      <c r="N322" s="143"/>
      <c r="O322" s="143"/>
      <c r="P322" s="143"/>
      <c r="Q322" s="137"/>
      <c r="R322" s="137"/>
      <c r="S322" s="137"/>
      <c r="T322" s="137"/>
      <c r="U322" s="137"/>
      <c r="V322" s="137"/>
      <c r="W322" s="137"/>
      <c r="X322" s="137"/>
      <c r="Y322" s="137"/>
      <c r="Z322" s="137"/>
      <c r="AA322" s="137"/>
    </row>
    <row r="323" spans="5:27" x14ac:dyDescent="0.35">
      <c r="E323" s="137"/>
      <c r="F323" s="137"/>
      <c r="G323" s="190"/>
      <c r="H323" s="137"/>
      <c r="I323" s="137"/>
      <c r="J323" s="137"/>
      <c r="M323" s="143"/>
      <c r="N323" s="143"/>
      <c r="O323" s="143"/>
      <c r="P323" s="143"/>
      <c r="Q323" s="137"/>
      <c r="R323" s="137"/>
      <c r="S323" s="137"/>
      <c r="T323" s="137"/>
      <c r="U323" s="137"/>
      <c r="V323" s="137"/>
      <c r="W323" s="137"/>
      <c r="X323" s="137"/>
      <c r="Y323" s="137"/>
      <c r="Z323" s="137"/>
      <c r="AA323" s="137"/>
    </row>
    <row r="324" spans="5:27" x14ac:dyDescent="0.35">
      <c r="E324" s="137"/>
      <c r="F324" s="137"/>
      <c r="G324" s="190"/>
      <c r="H324" s="137"/>
      <c r="I324" s="137"/>
      <c r="J324" s="137"/>
      <c r="M324" s="143"/>
      <c r="N324" s="143"/>
      <c r="O324" s="143"/>
      <c r="P324" s="143"/>
      <c r="Q324" s="137"/>
      <c r="R324" s="137"/>
      <c r="S324" s="137"/>
      <c r="T324" s="137"/>
      <c r="U324" s="137"/>
      <c r="V324" s="137"/>
      <c r="W324" s="137"/>
      <c r="X324" s="137"/>
      <c r="Y324" s="137"/>
      <c r="Z324" s="137"/>
      <c r="AA324" s="137"/>
    </row>
    <row r="325" spans="5:27" x14ac:dyDescent="0.35">
      <c r="E325" s="137"/>
      <c r="F325" s="137"/>
      <c r="G325" s="190"/>
      <c r="H325" s="137"/>
      <c r="I325" s="137"/>
      <c r="J325" s="137"/>
      <c r="M325" s="143"/>
      <c r="N325" s="143"/>
      <c r="O325" s="143"/>
      <c r="P325" s="143"/>
      <c r="Q325" s="137"/>
      <c r="R325" s="137"/>
      <c r="S325" s="137"/>
      <c r="T325" s="137"/>
      <c r="U325" s="137"/>
      <c r="V325" s="137"/>
      <c r="W325" s="137"/>
      <c r="X325" s="137"/>
      <c r="Y325" s="137"/>
      <c r="Z325" s="137"/>
      <c r="AA325" s="137"/>
    </row>
    <row r="326" spans="5:27" x14ac:dyDescent="0.35">
      <c r="E326" s="137"/>
      <c r="F326" s="137"/>
      <c r="G326" s="190"/>
      <c r="H326" s="137"/>
      <c r="I326" s="137"/>
      <c r="J326" s="137"/>
      <c r="M326" s="143"/>
      <c r="N326" s="143"/>
      <c r="O326" s="143"/>
      <c r="P326" s="143"/>
      <c r="Q326" s="137"/>
      <c r="R326" s="137"/>
      <c r="S326" s="137"/>
      <c r="T326" s="137"/>
      <c r="U326" s="137"/>
      <c r="V326" s="137"/>
      <c r="W326" s="137"/>
      <c r="X326" s="137"/>
      <c r="Y326" s="137"/>
      <c r="Z326" s="137"/>
      <c r="AA326" s="137"/>
    </row>
    <row r="327" spans="5:27" x14ac:dyDescent="0.35">
      <c r="E327" s="137"/>
      <c r="F327" s="137"/>
      <c r="G327" s="190"/>
      <c r="H327" s="137"/>
      <c r="I327" s="137"/>
      <c r="J327" s="137"/>
      <c r="M327" s="143"/>
      <c r="N327" s="143"/>
      <c r="O327" s="143"/>
      <c r="P327" s="143"/>
      <c r="Q327" s="137"/>
      <c r="R327" s="137"/>
      <c r="S327" s="137"/>
      <c r="T327" s="137"/>
      <c r="U327" s="137"/>
      <c r="V327" s="137"/>
      <c r="W327" s="137"/>
      <c r="X327" s="137"/>
      <c r="Y327" s="137"/>
      <c r="Z327" s="137"/>
      <c r="AA327" s="137"/>
    </row>
    <row r="328" spans="5:27" x14ac:dyDescent="0.35">
      <c r="E328" s="137"/>
      <c r="F328" s="137"/>
      <c r="G328" s="190"/>
      <c r="H328" s="137"/>
      <c r="I328" s="137"/>
      <c r="J328" s="137"/>
      <c r="M328" s="143"/>
      <c r="N328" s="143"/>
      <c r="O328" s="143"/>
      <c r="P328" s="143"/>
      <c r="Q328" s="137"/>
      <c r="R328" s="137"/>
      <c r="S328" s="137"/>
      <c r="T328" s="137"/>
      <c r="U328" s="137"/>
      <c r="V328" s="137"/>
      <c r="W328" s="137"/>
      <c r="X328" s="137"/>
      <c r="Y328" s="137"/>
      <c r="Z328" s="137"/>
      <c r="AA328" s="137"/>
    </row>
    <row r="329" spans="5:27" x14ac:dyDescent="0.35">
      <c r="E329" s="137"/>
      <c r="F329" s="137"/>
      <c r="G329" s="190"/>
      <c r="H329" s="137"/>
      <c r="I329" s="137"/>
      <c r="J329" s="137"/>
      <c r="M329" s="143"/>
      <c r="N329" s="143"/>
      <c r="O329" s="143"/>
      <c r="P329" s="143"/>
      <c r="Q329" s="137"/>
      <c r="R329" s="137"/>
      <c r="S329" s="137"/>
      <c r="T329" s="137"/>
      <c r="U329" s="137"/>
      <c r="V329" s="137"/>
      <c r="W329" s="137"/>
      <c r="X329" s="137"/>
      <c r="Y329" s="137"/>
      <c r="Z329" s="137"/>
      <c r="AA329" s="137"/>
    </row>
    <row r="330" spans="5:27" x14ac:dyDescent="0.35">
      <c r="E330" s="137"/>
      <c r="F330" s="137"/>
      <c r="G330" s="190"/>
      <c r="H330" s="137"/>
      <c r="I330" s="137"/>
      <c r="J330" s="137"/>
      <c r="M330" s="143"/>
      <c r="N330" s="143"/>
      <c r="O330" s="143"/>
      <c r="P330" s="143"/>
      <c r="Q330" s="137"/>
      <c r="R330" s="137"/>
      <c r="S330" s="137"/>
      <c r="T330" s="137"/>
      <c r="U330" s="137"/>
      <c r="V330" s="137"/>
      <c r="W330" s="137"/>
      <c r="X330" s="137"/>
      <c r="Y330" s="137"/>
      <c r="Z330" s="137"/>
      <c r="AA330" s="137"/>
    </row>
    <row r="331" spans="5:27" x14ac:dyDescent="0.35">
      <c r="E331" s="137"/>
      <c r="F331" s="137"/>
      <c r="G331" s="190"/>
      <c r="H331" s="137"/>
      <c r="I331" s="137"/>
      <c r="J331" s="137"/>
      <c r="M331" s="143"/>
      <c r="N331" s="143"/>
      <c r="O331" s="143"/>
      <c r="P331" s="143"/>
      <c r="Q331" s="137"/>
      <c r="R331" s="137"/>
      <c r="S331" s="137"/>
      <c r="T331" s="137"/>
      <c r="U331" s="137"/>
      <c r="V331" s="137"/>
      <c r="W331" s="137"/>
      <c r="X331" s="137"/>
      <c r="Y331" s="137"/>
      <c r="Z331" s="137"/>
      <c r="AA331" s="137"/>
    </row>
    <row r="332" spans="5:27" x14ac:dyDescent="0.35">
      <c r="E332" s="137"/>
      <c r="F332" s="137"/>
      <c r="G332" s="190"/>
      <c r="H332" s="137"/>
      <c r="I332" s="137"/>
      <c r="J332" s="137"/>
      <c r="M332" s="143"/>
      <c r="N332" s="143"/>
      <c r="O332" s="143"/>
      <c r="P332" s="143"/>
      <c r="Q332" s="137"/>
      <c r="R332" s="137"/>
      <c r="S332" s="137"/>
      <c r="T332" s="137"/>
      <c r="U332" s="137"/>
      <c r="V332" s="137"/>
      <c r="W332" s="137"/>
      <c r="X332" s="137"/>
      <c r="Y332" s="137"/>
      <c r="Z332" s="137"/>
      <c r="AA332" s="137"/>
    </row>
    <row r="333" spans="5:27" x14ac:dyDescent="0.35">
      <c r="E333" s="137"/>
      <c r="F333" s="137"/>
      <c r="G333" s="190"/>
      <c r="H333" s="137"/>
      <c r="I333" s="137"/>
      <c r="J333" s="137"/>
      <c r="M333" s="143"/>
      <c r="N333" s="143"/>
      <c r="O333" s="143"/>
      <c r="P333" s="143"/>
      <c r="Q333" s="137"/>
      <c r="R333" s="137"/>
      <c r="S333" s="137"/>
      <c r="T333" s="137"/>
      <c r="U333" s="137"/>
      <c r="V333" s="137"/>
      <c r="W333" s="137"/>
      <c r="X333" s="137"/>
      <c r="Y333" s="137"/>
      <c r="Z333" s="137"/>
      <c r="AA333" s="137"/>
    </row>
    <row r="334" spans="5:27" x14ac:dyDescent="0.35">
      <c r="E334" s="137"/>
      <c r="F334" s="137"/>
      <c r="G334" s="190"/>
      <c r="H334" s="137"/>
      <c r="I334" s="137"/>
      <c r="J334" s="137"/>
      <c r="M334" s="143"/>
      <c r="N334" s="143"/>
      <c r="O334" s="143"/>
      <c r="P334" s="143"/>
      <c r="Q334" s="137"/>
      <c r="R334" s="137"/>
      <c r="S334" s="137"/>
      <c r="T334" s="137"/>
      <c r="U334" s="137"/>
      <c r="V334" s="137"/>
      <c r="W334" s="137"/>
      <c r="X334" s="137"/>
      <c r="Y334" s="137"/>
      <c r="Z334" s="137"/>
      <c r="AA334" s="137"/>
    </row>
    <row r="335" spans="5:27" x14ac:dyDescent="0.35">
      <c r="E335" s="137"/>
      <c r="F335" s="137"/>
      <c r="G335" s="190"/>
      <c r="H335" s="137"/>
      <c r="I335" s="137"/>
      <c r="J335" s="137"/>
      <c r="M335" s="143"/>
      <c r="N335" s="143"/>
      <c r="O335" s="143"/>
      <c r="P335" s="143"/>
      <c r="Q335" s="137"/>
      <c r="R335" s="137"/>
      <c r="S335" s="137"/>
      <c r="T335" s="137"/>
      <c r="U335" s="137"/>
      <c r="V335" s="137"/>
      <c r="W335" s="137"/>
      <c r="X335" s="137"/>
      <c r="Y335" s="137"/>
      <c r="Z335" s="137"/>
      <c r="AA335" s="137"/>
    </row>
    <row r="336" spans="5:27" x14ac:dyDescent="0.35">
      <c r="E336" s="137"/>
      <c r="F336" s="137"/>
      <c r="G336" s="190"/>
      <c r="H336" s="137"/>
      <c r="I336" s="137"/>
      <c r="J336" s="137"/>
      <c r="M336" s="143"/>
      <c r="N336" s="143"/>
      <c r="O336" s="143"/>
      <c r="P336" s="143"/>
      <c r="Q336" s="137"/>
      <c r="R336" s="137"/>
      <c r="S336" s="137"/>
      <c r="T336" s="137"/>
      <c r="U336" s="137"/>
      <c r="V336" s="137"/>
      <c r="W336" s="137"/>
      <c r="X336" s="137"/>
      <c r="Y336" s="137"/>
      <c r="Z336" s="137"/>
      <c r="AA336" s="137"/>
    </row>
    <row r="337" spans="5:27" x14ac:dyDescent="0.35">
      <c r="E337" s="137"/>
      <c r="F337" s="137"/>
      <c r="G337" s="190"/>
      <c r="H337" s="137"/>
      <c r="I337" s="137"/>
      <c r="J337" s="137"/>
      <c r="M337" s="143"/>
      <c r="N337" s="143"/>
      <c r="O337" s="143"/>
      <c r="P337" s="143"/>
      <c r="Q337" s="137"/>
      <c r="R337" s="137"/>
      <c r="S337" s="137"/>
      <c r="T337" s="137"/>
      <c r="U337" s="137"/>
      <c r="V337" s="137"/>
      <c r="W337" s="137"/>
      <c r="X337" s="137"/>
      <c r="Y337" s="137"/>
      <c r="Z337" s="137"/>
      <c r="AA337" s="137"/>
    </row>
    <row r="338" spans="5:27" x14ac:dyDescent="0.35">
      <c r="E338" s="137"/>
      <c r="F338" s="137"/>
      <c r="G338" s="190"/>
      <c r="H338" s="137"/>
      <c r="I338" s="137"/>
      <c r="J338" s="137"/>
      <c r="M338" s="143"/>
      <c r="N338" s="143"/>
      <c r="O338" s="143"/>
      <c r="P338" s="143"/>
      <c r="Q338" s="137"/>
      <c r="R338" s="137"/>
      <c r="S338" s="137"/>
      <c r="T338" s="137"/>
      <c r="U338" s="137"/>
      <c r="V338" s="137"/>
      <c r="W338" s="137"/>
      <c r="X338" s="137"/>
      <c r="Y338" s="137"/>
      <c r="Z338" s="137"/>
      <c r="AA338" s="137"/>
    </row>
    <row r="339" spans="5:27" x14ac:dyDescent="0.35">
      <c r="E339" s="137"/>
      <c r="F339" s="137"/>
      <c r="G339" s="190"/>
      <c r="H339" s="137"/>
      <c r="I339" s="137"/>
      <c r="J339" s="137"/>
      <c r="M339" s="143"/>
      <c r="N339" s="143"/>
      <c r="O339" s="143"/>
      <c r="P339" s="143"/>
      <c r="Q339" s="137"/>
      <c r="R339" s="137"/>
      <c r="S339" s="137"/>
      <c r="T339" s="137"/>
      <c r="U339" s="137"/>
      <c r="V339" s="137"/>
      <c r="W339" s="137"/>
      <c r="X339" s="137"/>
      <c r="Y339" s="137"/>
      <c r="Z339" s="137"/>
      <c r="AA339" s="137"/>
    </row>
    <row r="340" spans="5:27" x14ac:dyDescent="0.35">
      <c r="E340" s="137"/>
      <c r="F340" s="137"/>
      <c r="G340" s="190"/>
      <c r="H340" s="137"/>
      <c r="I340" s="137"/>
      <c r="J340" s="137"/>
      <c r="M340" s="143"/>
      <c r="N340" s="143"/>
      <c r="O340" s="143"/>
      <c r="P340" s="143"/>
      <c r="Q340" s="137"/>
      <c r="R340" s="137"/>
      <c r="S340" s="137"/>
      <c r="T340" s="137"/>
      <c r="U340" s="137"/>
      <c r="V340" s="137"/>
      <c r="W340" s="137"/>
      <c r="X340" s="137"/>
      <c r="Y340" s="137"/>
      <c r="Z340" s="137"/>
      <c r="AA340" s="137"/>
    </row>
    <row r="341" spans="5:27" x14ac:dyDescent="0.35">
      <c r="E341" s="137"/>
      <c r="F341" s="137"/>
      <c r="G341" s="190"/>
      <c r="H341" s="137"/>
      <c r="I341" s="137"/>
      <c r="J341" s="137"/>
      <c r="M341" s="143"/>
      <c r="N341" s="143"/>
      <c r="O341" s="143"/>
      <c r="P341" s="143"/>
      <c r="Q341" s="137"/>
      <c r="R341" s="137"/>
      <c r="S341" s="137"/>
      <c r="T341" s="137"/>
      <c r="U341" s="137"/>
      <c r="V341" s="137"/>
      <c r="W341" s="137"/>
      <c r="X341" s="137"/>
      <c r="Y341" s="137"/>
      <c r="Z341" s="137"/>
      <c r="AA341" s="137"/>
    </row>
    <row r="342" spans="5:27" x14ac:dyDescent="0.35">
      <c r="E342" s="137"/>
      <c r="F342" s="137"/>
      <c r="G342" s="190"/>
      <c r="H342" s="137"/>
      <c r="I342" s="137"/>
      <c r="J342" s="137"/>
      <c r="M342" s="143"/>
      <c r="N342" s="143"/>
      <c r="O342" s="143"/>
      <c r="P342" s="143"/>
      <c r="Q342" s="137"/>
      <c r="R342" s="137"/>
      <c r="S342" s="137"/>
      <c r="T342" s="137"/>
      <c r="U342" s="137"/>
      <c r="V342" s="137"/>
      <c r="W342" s="137"/>
      <c r="X342" s="137"/>
      <c r="Y342" s="137"/>
      <c r="Z342" s="137"/>
      <c r="AA342" s="137"/>
    </row>
    <row r="343" spans="5:27" x14ac:dyDescent="0.35">
      <c r="E343" s="137"/>
      <c r="F343" s="137"/>
      <c r="G343" s="190"/>
      <c r="H343" s="137"/>
      <c r="I343" s="137"/>
      <c r="J343" s="137"/>
      <c r="M343" s="143"/>
      <c r="N343" s="143"/>
      <c r="O343" s="143"/>
      <c r="P343" s="143"/>
      <c r="Q343" s="137"/>
      <c r="R343" s="137"/>
      <c r="S343" s="137"/>
      <c r="T343" s="137"/>
      <c r="U343" s="137"/>
      <c r="V343" s="137"/>
      <c r="W343" s="137"/>
      <c r="X343" s="137"/>
      <c r="Y343" s="137"/>
      <c r="Z343" s="137"/>
      <c r="AA343" s="137"/>
    </row>
    <row r="344" spans="5:27" x14ac:dyDescent="0.35">
      <c r="E344" s="137"/>
      <c r="F344" s="137"/>
      <c r="G344" s="190"/>
      <c r="H344" s="137"/>
      <c r="I344" s="137"/>
      <c r="J344" s="137"/>
      <c r="M344" s="143"/>
      <c r="N344" s="143"/>
      <c r="O344" s="143"/>
      <c r="P344" s="143"/>
      <c r="Q344" s="137"/>
      <c r="R344" s="137"/>
      <c r="S344" s="137"/>
      <c r="T344" s="137"/>
      <c r="U344" s="137"/>
      <c r="V344" s="137"/>
      <c r="W344" s="137"/>
      <c r="X344" s="137"/>
      <c r="Y344" s="137"/>
      <c r="Z344" s="137"/>
      <c r="AA344" s="137"/>
    </row>
    <row r="345" spans="5:27" x14ac:dyDescent="0.35">
      <c r="E345" s="137"/>
      <c r="F345" s="137"/>
      <c r="G345" s="190"/>
      <c r="H345" s="137"/>
      <c r="I345" s="137"/>
      <c r="J345" s="137"/>
      <c r="M345" s="143"/>
      <c r="N345" s="143"/>
      <c r="O345" s="143"/>
      <c r="P345" s="143"/>
      <c r="Q345" s="137"/>
      <c r="R345" s="137"/>
      <c r="S345" s="137"/>
      <c r="T345" s="137"/>
      <c r="U345" s="137"/>
      <c r="V345" s="137"/>
      <c r="W345" s="137"/>
      <c r="X345" s="137"/>
      <c r="Y345" s="137"/>
      <c r="Z345" s="137"/>
      <c r="AA345" s="137"/>
    </row>
    <row r="346" spans="5:27" x14ac:dyDescent="0.35">
      <c r="E346" s="137"/>
      <c r="F346" s="137"/>
      <c r="G346" s="190"/>
      <c r="H346" s="137"/>
      <c r="I346" s="137"/>
      <c r="J346" s="137"/>
      <c r="M346" s="143"/>
      <c r="N346" s="143"/>
      <c r="O346" s="143"/>
      <c r="P346" s="143"/>
      <c r="Q346" s="137"/>
      <c r="R346" s="137"/>
      <c r="S346" s="137"/>
      <c r="T346" s="137"/>
      <c r="U346" s="137"/>
      <c r="V346" s="137"/>
      <c r="W346" s="137"/>
      <c r="X346" s="137"/>
      <c r="Y346" s="137"/>
      <c r="Z346" s="137"/>
      <c r="AA346" s="137"/>
    </row>
    <row r="347" spans="5:27" x14ac:dyDescent="0.35">
      <c r="E347" s="137"/>
      <c r="F347" s="137"/>
      <c r="G347" s="190"/>
      <c r="H347" s="137"/>
      <c r="I347" s="137"/>
      <c r="J347" s="137"/>
      <c r="M347" s="143"/>
      <c r="N347" s="143"/>
      <c r="O347" s="143"/>
      <c r="P347" s="143"/>
      <c r="Q347" s="137"/>
      <c r="R347" s="137"/>
      <c r="S347" s="137"/>
      <c r="T347" s="137"/>
      <c r="U347" s="137"/>
      <c r="V347" s="137"/>
      <c r="W347" s="137"/>
      <c r="X347" s="137"/>
      <c r="Y347" s="137"/>
      <c r="Z347" s="137"/>
      <c r="AA347" s="137"/>
    </row>
    <row r="348" spans="5:27" x14ac:dyDescent="0.35">
      <c r="E348" s="137"/>
      <c r="F348" s="137"/>
      <c r="G348" s="190"/>
      <c r="H348" s="137"/>
      <c r="I348" s="137"/>
      <c r="J348" s="137"/>
      <c r="M348" s="143"/>
      <c r="N348" s="143"/>
      <c r="O348" s="143"/>
      <c r="P348" s="143"/>
      <c r="Q348" s="137"/>
      <c r="R348" s="137"/>
      <c r="S348" s="137"/>
      <c r="T348" s="137"/>
      <c r="U348" s="137"/>
      <c r="V348" s="137"/>
      <c r="W348" s="137"/>
      <c r="X348" s="137"/>
      <c r="Y348" s="137"/>
      <c r="Z348" s="137"/>
      <c r="AA348" s="137"/>
    </row>
    <row r="349" spans="5:27" x14ac:dyDescent="0.35">
      <c r="E349" s="137"/>
      <c r="F349" s="137"/>
      <c r="G349" s="190"/>
      <c r="H349" s="137"/>
      <c r="I349" s="137"/>
      <c r="J349" s="137"/>
      <c r="M349" s="143"/>
      <c r="N349" s="143"/>
      <c r="O349" s="143"/>
      <c r="P349" s="143"/>
      <c r="Q349" s="137"/>
      <c r="R349" s="137"/>
      <c r="S349" s="137"/>
      <c r="T349" s="137"/>
      <c r="U349" s="137"/>
      <c r="V349" s="137"/>
      <c r="W349" s="137"/>
      <c r="X349" s="137"/>
      <c r="Y349" s="137"/>
      <c r="Z349" s="137"/>
      <c r="AA349" s="137"/>
    </row>
    <row r="350" spans="5:27" x14ac:dyDescent="0.35">
      <c r="E350" s="137"/>
      <c r="F350" s="137"/>
      <c r="G350" s="190"/>
      <c r="H350" s="137"/>
      <c r="I350" s="137"/>
      <c r="J350" s="137"/>
      <c r="M350" s="143"/>
      <c r="N350" s="143"/>
      <c r="O350" s="143"/>
      <c r="P350" s="143"/>
      <c r="Q350" s="137"/>
      <c r="R350" s="137"/>
      <c r="S350" s="137"/>
      <c r="T350" s="137"/>
      <c r="U350" s="137"/>
      <c r="V350" s="137"/>
      <c r="W350" s="137"/>
      <c r="X350" s="137"/>
      <c r="Y350" s="137"/>
      <c r="Z350" s="137"/>
      <c r="AA350" s="137"/>
    </row>
    <row r="351" spans="5:27" x14ac:dyDescent="0.35">
      <c r="E351" s="137"/>
      <c r="F351" s="137"/>
      <c r="G351" s="190"/>
      <c r="H351" s="137"/>
      <c r="I351" s="137"/>
      <c r="J351" s="137"/>
      <c r="M351" s="143"/>
      <c r="N351" s="143"/>
      <c r="O351" s="143"/>
      <c r="P351" s="143"/>
      <c r="Q351" s="137"/>
      <c r="R351" s="137"/>
      <c r="S351" s="137"/>
      <c r="T351" s="137"/>
      <c r="U351" s="137"/>
      <c r="V351" s="137"/>
      <c r="W351" s="137"/>
      <c r="X351" s="137"/>
      <c r="Y351" s="137"/>
      <c r="Z351" s="137"/>
      <c r="AA351" s="137"/>
    </row>
    <row r="352" spans="5:27" x14ac:dyDescent="0.35">
      <c r="E352" s="137"/>
      <c r="F352" s="137"/>
      <c r="G352" s="190"/>
      <c r="H352" s="137"/>
      <c r="I352" s="137"/>
      <c r="J352" s="137"/>
      <c r="M352" s="143"/>
      <c r="N352" s="143"/>
      <c r="O352" s="143"/>
      <c r="P352" s="143"/>
      <c r="Q352" s="137"/>
      <c r="R352" s="137"/>
      <c r="S352" s="137"/>
      <c r="T352" s="137"/>
      <c r="U352" s="137"/>
      <c r="V352" s="137"/>
      <c r="W352" s="137"/>
      <c r="X352" s="137"/>
      <c r="Y352" s="137"/>
      <c r="Z352" s="137"/>
      <c r="AA352" s="137"/>
    </row>
    <row r="353" spans="5:27" x14ac:dyDescent="0.35">
      <c r="E353" s="137"/>
      <c r="F353" s="137"/>
      <c r="G353" s="190"/>
      <c r="H353" s="137"/>
      <c r="I353" s="137"/>
      <c r="J353" s="137"/>
      <c r="M353" s="143"/>
      <c r="N353" s="143"/>
      <c r="O353" s="143"/>
      <c r="P353" s="143"/>
      <c r="Q353" s="137"/>
      <c r="R353" s="137"/>
      <c r="S353" s="137"/>
      <c r="T353" s="137"/>
      <c r="U353" s="137"/>
      <c r="V353" s="137"/>
      <c r="W353" s="137"/>
      <c r="X353" s="137"/>
      <c r="Y353" s="137"/>
      <c r="Z353" s="137"/>
      <c r="AA353" s="137"/>
    </row>
    <row r="354" spans="5:27" x14ac:dyDescent="0.35">
      <c r="E354" s="137"/>
      <c r="F354" s="137"/>
      <c r="G354" s="190"/>
      <c r="H354" s="137"/>
      <c r="I354" s="137"/>
      <c r="J354" s="137"/>
      <c r="M354" s="143"/>
      <c r="N354" s="143"/>
      <c r="O354" s="143"/>
      <c r="P354" s="143"/>
      <c r="Q354" s="137"/>
      <c r="R354" s="137"/>
      <c r="S354" s="137"/>
      <c r="T354" s="137"/>
      <c r="U354" s="137"/>
      <c r="V354" s="137"/>
      <c r="W354" s="137"/>
      <c r="X354" s="137"/>
      <c r="Y354" s="137"/>
      <c r="Z354" s="137"/>
      <c r="AA354" s="137"/>
    </row>
    <row r="355" spans="5:27" x14ac:dyDescent="0.35">
      <c r="E355" s="137"/>
      <c r="F355" s="137"/>
      <c r="G355" s="190"/>
      <c r="H355" s="137"/>
      <c r="I355" s="137"/>
      <c r="J355" s="137"/>
      <c r="M355" s="143"/>
      <c r="N355" s="143"/>
      <c r="O355" s="143"/>
      <c r="P355" s="143"/>
      <c r="Q355" s="137"/>
      <c r="R355" s="137"/>
      <c r="S355" s="137"/>
      <c r="T355" s="137"/>
      <c r="U355" s="137"/>
      <c r="V355" s="137"/>
      <c r="W355" s="137"/>
      <c r="X355" s="137"/>
      <c r="Y355" s="137"/>
      <c r="Z355" s="137"/>
      <c r="AA355" s="137"/>
    </row>
    <row r="356" spans="5:27" x14ac:dyDescent="0.35">
      <c r="E356" s="137"/>
      <c r="F356" s="137"/>
      <c r="G356" s="190"/>
      <c r="H356" s="137"/>
      <c r="I356" s="137"/>
      <c r="J356" s="137"/>
      <c r="M356" s="143"/>
      <c r="N356" s="143"/>
      <c r="O356" s="143"/>
      <c r="P356" s="143"/>
      <c r="Q356" s="137"/>
      <c r="R356" s="137"/>
      <c r="S356" s="137"/>
      <c r="T356" s="137"/>
      <c r="U356" s="137"/>
      <c r="V356" s="137"/>
      <c r="W356" s="137"/>
      <c r="X356" s="137"/>
      <c r="Y356" s="137"/>
      <c r="Z356" s="137"/>
      <c r="AA356" s="137"/>
    </row>
    <row r="357" spans="5:27" x14ac:dyDescent="0.35">
      <c r="E357" s="137"/>
      <c r="F357" s="137"/>
      <c r="G357" s="190"/>
      <c r="H357" s="137"/>
      <c r="I357" s="137"/>
      <c r="J357" s="137"/>
      <c r="M357" s="143"/>
      <c r="N357" s="143"/>
      <c r="O357" s="143"/>
      <c r="P357" s="143"/>
      <c r="Q357" s="137"/>
      <c r="R357" s="137"/>
      <c r="S357" s="137"/>
      <c r="T357" s="137"/>
      <c r="U357" s="137"/>
      <c r="V357" s="137"/>
      <c r="W357" s="137"/>
      <c r="X357" s="137"/>
      <c r="Y357" s="137"/>
      <c r="Z357" s="137"/>
      <c r="AA357" s="137"/>
    </row>
    <row r="358" spans="5:27" x14ac:dyDescent="0.35">
      <c r="E358" s="137"/>
      <c r="F358" s="137"/>
      <c r="G358" s="190"/>
      <c r="H358" s="137"/>
      <c r="I358" s="137"/>
      <c r="J358" s="137"/>
      <c r="M358" s="143"/>
      <c r="N358" s="143"/>
      <c r="O358" s="143"/>
      <c r="P358" s="143"/>
      <c r="Q358" s="137"/>
      <c r="R358" s="137"/>
      <c r="S358" s="137"/>
      <c r="T358" s="137"/>
      <c r="U358" s="137"/>
      <c r="V358" s="137"/>
      <c r="W358" s="137"/>
      <c r="X358" s="137"/>
      <c r="Y358" s="137"/>
      <c r="Z358" s="137"/>
      <c r="AA358" s="137"/>
    </row>
    <row r="359" spans="5:27" x14ac:dyDescent="0.35">
      <c r="E359" s="137"/>
      <c r="F359" s="137"/>
      <c r="G359" s="190"/>
      <c r="H359" s="137"/>
      <c r="I359" s="137"/>
      <c r="J359" s="137"/>
      <c r="M359" s="143"/>
      <c r="N359" s="143"/>
      <c r="O359" s="143"/>
      <c r="P359" s="143"/>
      <c r="Q359" s="137"/>
      <c r="R359" s="137"/>
      <c r="S359" s="137"/>
      <c r="T359" s="137"/>
      <c r="U359" s="137"/>
      <c r="V359" s="137"/>
      <c r="W359" s="137"/>
      <c r="X359" s="137"/>
      <c r="Y359" s="137"/>
      <c r="Z359" s="137"/>
      <c r="AA359" s="137"/>
    </row>
    <row r="360" spans="5:27" x14ac:dyDescent="0.35">
      <c r="E360" s="137"/>
      <c r="F360" s="137"/>
      <c r="G360" s="190"/>
      <c r="H360" s="137"/>
      <c r="I360" s="137"/>
      <c r="J360" s="137"/>
      <c r="M360" s="143"/>
      <c r="N360" s="143"/>
      <c r="O360" s="143"/>
      <c r="P360" s="143"/>
      <c r="Q360" s="137"/>
      <c r="R360" s="137"/>
      <c r="S360" s="137"/>
      <c r="T360" s="137"/>
      <c r="U360" s="137"/>
      <c r="V360" s="137"/>
      <c r="W360" s="137"/>
      <c r="X360" s="137"/>
      <c r="Y360" s="137"/>
      <c r="Z360" s="137"/>
      <c r="AA360" s="137"/>
    </row>
    <row r="361" spans="5:27" x14ac:dyDescent="0.35">
      <c r="E361" s="137"/>
      <c r="F361" s="137"/>
      <c r="G361" s="190"/>
      <c r="H361" s="137"/>
      <c r="I361" s="137"/>
      <c r="J361" s="137"/>
      <c r="M361" s="143"/>
      <c r="N361" s="143"/>
      <c r="O361" s="143"/>
      <c r="P361" s="143"/>
      <c r="Q361" s="137"/>
      <c r="R361" s="137"/>
      <c r="S361" s="137"/>
      <c r="T361" s="137"/>
      <c r="U361" s="137"/>
      <c r="V361" s="137"/>
      <c r="W361" s="137"/>
      <c r="X361" s="137"/>
      <c r="Y361" s="137"/>
      <c r="Z361" s="137"/>
      <c r="AA361" s="137"/>
    </row>
    <row r="362" spans="5:27" x14ac:dyDescent="0.35">
      <c r="E362" s="137"/>
      <c r="F362" s="137"/>
      <c r="G362" s="190"/>
      <c r="H362" s="137"/>
      <c r="I362" s="137"/>
      <c r="J362" s="137"/>
      <c r="M362" s="143"/>
      <c r="N362" s="143"/>
      <c r="O362" s="143"/>
      <c r="P362" s="143"/>
      <c r="Q362" s="137"/>
      <c r="R362" s="137"/>
      <c r="S362" s="137"/>
      <c r="T362" s="137"/>
      <c r="U362" s="137"/>
      <c r="V362" s="137"/>
      <c r="W362" s="137"/>
      <c r="X362" s="137"/>
      <c r="Y362" s="137"/>
      <c r="Z362" s="137"/>
      <c r="AA362" s="137"/>
    </row>
    <row r="363" spans="5:27" x14ac:dyDescent="0.35">
      <c r="E363" s="137"/>
      <c r="F363" s="137"/>
      <c r="G363" s="190"/>
      <c r="H363" s="137"/>
      <c r="I363" s="137"/>
      <c r="J363" s="137"/>
      <c r="M363" s="143"/>
      <c r="N363" s="143"/>
      <c r="O363" s="143"/>
      <c r="P363" s="143"/>
      <c r="Q363" s="137"/>
      <c r="R363" s="137"/>
      <c r="S363" s="137"/>
      <c r="T363" s="137"/>
      <c r="U363" s="137"/>
      <c r="V363" s="137"/>
      <c r="W363" s="137"/>
      <c r="X363" s="137"/>
      <c r="Y363" s="137"/>
      <c r="Z363" s="137"/>
      <c r="AA363" s="137"/>
    </row>
    <row r="364" spans="5:27" x14ac:dyDescent="0.35">
      <c r="E364" s="137"/>
      <c r="F364" s="137"/>
      <c r="G364" s="190"/>
      <c r="H364" s="137"/>
      <c r="I364" s="137"/>
      <c r="J364" s="137"/>
      <c r="M364" s="143"/>
      <c r="N364" s="143"/>
      <c r="O364" s="143"/>
      <c r="P364" s="143"/>
      <c r="Q364" s="137"/>
      <c r="R364" s="137"/>
      <c r="S364" s="137"/>
      <c r="T364" s="137"/>
      <c r="U364" s="137"/>
      <c r="V364" s="137"/>
      <c r="W364" s="137"/>
      <c r="X364" s="137"/>
      <c r="Y364" s="137"/>
      <c r="Z364" s="137"/>
      <c r="AA364" s="137"/>
    </row>
    <row r="365" spans="5:27" x14ac:dyDescent="0.35">
      <c r="E365" s="137"/>
      <c r="F365" s="137"/>
      <c r="G365" s="190"/>
      <c r="H365" s="137"/>
      <c r="I365" s="137"/>
      <c r="J365" s="137"/>
      <c r="M365" s="143"/>
      <c r="N365" s="143"/>
      <c r="O365" s="143"/>
      <c r="P365" s="143"/>
      <c r="Q365" s="137"/>
      <c r="R365" s="137"/>
      <c r="S365" s="137"/>
      <c r="T365" s="137"/>
      <c r="U365" s="137"/>
      <c r="V365" s="137"/>
      <c r="W365" s="137"/>
      <c r="X365" s="137"/>
      <c r="Y365" s="137"/>
      <c r="Z365" s="137"/>
      <c r="AA365" s="137"/>
    </row>
    <row r="366" spans="5:27" x14ac:dyDescent="0.35">
      <c r="E366" s="137"/>
      <c r="F366" s="137"/>
      <c r="G366" s="190"/>
      <c r="H366" s="137"/>
      <c r="I366" s="137"/>
      <c r="J366" s="137"/>
      <c r="M366" s="143"/>
      <c r="N366" s="143"/>
      <c r="O366" s="143"/>
      <c r="P366" s="143"/>
      <c r="Q366" s="137"/>
      <c r="R366" s="137"/>
      <c r="S366" s="137"/>
      <c r="T366" s="137"/>
      <c r="U366" s="137"/>
      <c r="V366" s="137"/>
      <c r="W366" s="137"/>
      <c r="X366" s="137"/>
      <c r="Y366" s="137"/>
      <c r="Z366" s="137"/>
      <c r="AA366" s="137"/>
    </row>
    <row r="367" spans="5:27" x14ac:dyDescent="0.35">
      <c r="E367" s="137"/>
      <c r="F367" s="137"/>
      <c r="G367" s="190"/>
      <c r="H367" s="137"/>
      <c r="I367" s="137"/>
      <c r="J367" s="137"/>
      <c r="M367" s="143"/>
      <c r="N367" s="143"/>
      <c r="O367" s="143"/>
      <c r="P367" s="143"/>
      <c r="Q367" s="137"/>
      <c r="R367" s="137"/>
      <c r="S367" s="137"/>
      <c r="T367" s="137"/>
      <c r="U367" s="137"/>
      <c r="V367" s="137"/>
      <c r="W367" s="137"/>
      <c r="X367" s="137"/>
      <c r="Y367" s="137"/>
      <c r="Z367" s="137"/>
      <c r="AA367" s="137"/>
    </row>
    <row r="368" spans="5:27" x14ac:dyDescent="0.35">
      <c r="E368" s="137"/>
      <c r="F368" s="137"/>
      <c r="G368" s="190"/>
      <c r="H368" s="137"/>
      <c r="I368" s="137"/>
      <c r="J368" s="137"/>
      <c r="M368" s="143"/>
      <c r="N368" s="143"/>
      <c r="O368" s="143"/>
      <c r="P368" s="143"/>
      <c r="Q368" s="137"/>
      <c r="R368" s="137"/>
      <c r="S368" s="137"/>
      <c r="T368" s="137"/>
      <c r="U368" s="137"/>
      <c r="V368" s="137"/>
      <c r="W368" s="137"/>
      <c r="X368" s="137"/>
      <c r="Y368" s="137"/>
      <c r="Z368" s="137"/>
      <c r="AA368" s="137"/>
    </row>
    <row r="369" spans="5:27" x14ac:dyDescent="0.35">
      <c r="E369" s="137"/>
      <c r="F369" s="137"/>
      <c r="G369" s="190"/>
      <c r="H369" s="137"/>
      <c r="I369" s="137"/>
      <c r="J369" s="137"/>
      <c r="M369" s="143"/>
      <c r="N369" s="143"/>
      <c r="O369" s="143"/>
      <c r="P369" s="143"/>
      <c r="Q369" s="137"/>
      <c r="R369" s="137"/>
      <c r="S369" s="137"/>
      <c r="T369" s="137"/>
      <c r="U369" s="137"/>
      <c r="V369" s="137"/>
      <c r="W369" s="137"/>
      <c r="X369" s="137"/>
      <c r="Y369" s="137"/>
      <c r="Z369" s="137"/>
      <c r="AA369" s="137"/>
    </row>
    <row r="370" spans="5:27" x14ac:dyDescent="0.35">
      <c r="E370" s="137"/>
      <c r="F370" s="137"/>
      <c r="G370" s="190"/>
      <c r="H370" s="137"/>
      <c r="I370" s="137"/>
      <c r="J370" s="137"/>
      <c r="M370" s="143"/>
      <c r="N370" s="143"/>
      <c r="O370" s="143"/>
      <c r="P370" s="143"/>
      <c r="Q370" s="137"/>
      <c r="R370" s="137"/>
      <c r="S370" s="137"/>
      <c r="T370" s="137"/>
      <c r="U370" s="137"/>
      <c r="V370" s="137"/>
      <c r="W370" s="137"/>
      <c r="X370" s="137"/>
      <c r="Y370" s="137"/>
      <c r="Z370" s="137"/>
      <c r="AA370" s="137"/>
    </row>
    <row r="371" spans="5:27" x14ac:dyDescent="0.35">
      <c r="E371" s="137"/>
      <c r="F371" s="137"/>
      <c r="G371" s="190"/>
      <c r="H371" s="137"/>
      <c r="I371" s="137"/>
      <c r="J371" s="137"/>
      <c r="M371" s="143"/>
      <c r="N371" s="143"/>
      <c r="O371" s="143"/>
      <c r="P371" s="143"/>
      <c r="Q371" s="137"/>
      <c r="R371" s="137"/>
      <c r="S371" s="137"/>
      <c r="T371" s="137"/>
      <c r="U371" s="137"/>
      <c r="V371" s="137"/>
      <c r="W371" s="137"/>
      <c r="X371" s="137"/>
      <c r="Y371" s="137"/>
      <c r="Z371" s="137"/>
      <c r="AA371" s="137"/>
    </row>
    <row r="372" spans="5:27" x14ac:dyDescent="0.35">
      <c r="E372" s="137"/>
      <c r="F372" s="137"/>
      <c r="G372" s="190"/>
      <c r="H372" s="137"/>
      <c r="I372" s="137"/>
      <c r="J372" s="137"/>
      <c r="M372" s="143"/>
      <c r="N372" s="143"/>
      <c r="O372" s="143"/>
      <c r="P372" s="143"/>
      <c r="Q372" s="137"/>
      <c r="R372" s="137"/>
      <c r="S372" s="137"/>
      <c r="T372" s="137"/>
      <c r="U372" s="137"/>
      <c r="V372" s="137"/>
      <c r="W372" s="137"/>
      <c r="X372" s="137"/>
      <c r="Y372" s="137"/>
      <c r="Z372" s="137"/>
      <c r="AA372" s="137"/>
    </row>
    <row r="373" spans="5:27" x14ac:dyDescent="0.35">
      <c r="E373" s="137"/>
      <c r="F373" s="137"/>
      <c r="G373" s="190"/>
      <c r="H373" s="137"/>
      <c r="I373" s="137"/>
      <c r="J373" s="137"/>
      <c r="M373" s="143"/>
      <c r="N373" s="143"/>
      <c r="O373" s="143"/>
      <c r="P373" s="143"/>
      <c r="Q373" s="137"/>
      <c r="R373" s="137"/>
      <c r="S373" s="137"/>
      <c r="T373" s="137"/>
      <c r="U373" s="137"/>
      <c r="V373" s="137"/>
      <c r="W373" s="137"/>
      <c r="X373" s="137"/>
      <c r="Y373" s="137"/>
      <c r="Z373" s="137"/>
      <c r="AA373" s="137"/>
    </row>
    <row r="374" spans="5:27" x14ac:dyDescent="0.35">
      <c r="E374" s="137"/>
      <c r="F374" s="137"/>
      <c r="G374" s="190"/>
      <c r="H374" s="137"/>
      <c r="I374" s="137"/>
      <c r="J374" s="137"/>
      <c r="M374" s="143"/>
      <c r="N374" s="143"/>
      <c r="O374" s="143"/>
      <c r="P374" s="143"/>
      <c r="Q374" s="137"/>
      <c r="R374" s="137"/>
      <c r="S374" s="137"/>
      <c r="T374" s="137"/>
      <c r="U374" s="137"/>
      <c r="V374" s="137"/>
      <c r="W374" s="137"/>
      <c r="X374" s="137"/>
      <c r="Y374" s="137"/>
      <c r="Z374" s="137"/>
      <c r="AA374" s="137"/>
    </row>
    <row r="375" spans="5:27" x14ac:dyDescent="0.35">
      <c r="E375" s="137"/>
      <c r="F375" s="137"/>
      <c r="G375" s="190"/>
      <c r="H375" s="137"/>
      <c r="I375" s="137"/>
      <c r="J375" s="137"/>
      <c r="M375" s="143"/>
      <c r="N375" s="143"/>
      <c r="O375" s="143"/>
      <c r="P375" s="143"/>
      <c r="Q375" s="137"/>
      <c r="R375" s="137"/>
      <c r="S375" s="137"/>
      <c r="T375" s="137"/>
      <c r="U375" s="137"/>
      <c r="V375" s="137"/>
      <c r="W375" s="137"/>
      <c r="X375" s="137"/>
      <c r="Y375" s="137"/>
      <c r="Z375" s="137"/>
      <c r="AA375" s="137"/>
    </row>
    <row r="376" spans="5:27" x14ac:dyDescent="0.35">
      <c r="E376" s="137"/>
      <c r="F376" s="137"/>
      <c r="G376" s="190"/>
      <c r="H376" s="137"/>
      <c r="I376" s="137"/>
      <c r="J376" s="137"/>
      <c r="M376" s="143"/>
      <c r="N376" s="143"/>
      <c r="O376" s="143"/>
      <c r="P376" s="143"/>
      <c r="Q376" s="137"/>
      <c r="R376" s="137"/>
      <c r="S376" s="137"/>
      <c r="T376" s="137"/>
      <c r="U376" s="137"/>
      <c r="V376" s="137"/>
      <c r="W376" s="137"/>
      <c r="X376" s="137"/>
      <c r="Y376" s="137"/>
      <c r="Z376" s="137"/>
      <c r="AA376" s="137"/>
    </row>
    <row r="377" spans="5:27" x14ac:dyDescent="0.35">
      <c r="E377" s="137"/>
      <c r="F377" s="137"/>
      <c r="G377" s="190"/>
      <c r="H377" s="137"/>
      <c r="I377" s="137"/>
      <c r="J377" s="137"/>
      <c r="M377" s="143"/>
      <c r="N377" s="143"/>
      <c r="O377" s="143"/>
      <c r="P377" s="143"/>
      <c r="Q377" s="137"/>
      <c r="R377" s="137"/>
      <c r="S377" s="137"/>
      <c r="T377" s="137"/>
      <c r="U377" s="137"/>
      <c r="V377" s="137"/>
      <c r="W377" s="137"/>
      <c r="X377" s="137"/>
      <c r="Y377" s="137"/>
      <c r="Z377" s="137"/>
      <c r="AA377" s="137"/>
    </row>
    <row r="378" spans="5:27" x14ac:dyDescent="0.35">
      <c r="E378" s="137"/>
      <c r="F378" s="137"/>
      <c r="G378" s="190"/>
      <c r="H378" s="137"/>
      <c r="I378" s="137"/>
      <c r="J378" s="137"/>
      <c r="M378" s="143"/>
      <c r="N378" s="143"/>
      <c r="O378" s="143"/>
      <c r="P378" s="143"/>
      <c r="Q378" s="137"/>
      <c r="R378" s="137"/>
      <c r="S378" s="137"/>
      <c r="T378" s="137"/>
      <c r="U378" s="137"/>
      <c r="V378" s="137"/>
      <c r="W378" s="137"/>
      <c r="X378" s="137"/>
      <c r="Y378" s="137"/>
      <c r="Z378" s="137"/>
      <c r="AA378" s="137"/>
    </row>
    <row r="379" spans="5:27" x14ac:dyDescent="0.35">
      <c r="E379" s="137"/>
      <c r="F379" s="137"/>
      <c r="G379" s="190"/>
      <c r="H379" s="137"/>
      <c r="I379" s="137"/>
      <c r="J379" s="137"/>
      <c r="M379" s="143"/>
      <c r="N379" s="143"/>
      <c r="O379" s="143"/>
      <c r="P379" s="143"/>
      <c r="Q379" s="137"/>
      <c r="R379" s="137"/>
      <c r="S379" s="137"/>
      <c r="T379" s="137"/>
      <c r="U379" s="137"/>
      <c r="V379" s="137"/>
      <c r="W379" s="137"/>
      <c r="X379" s="137"/>
      <c r="Y379" s="137"/>
      <c r="Z379" s="137"/>
      <c r="AA379" s="137"/>
    </row>
    <row r="380" spans="5:27" x14ac:dyDescent="0.35">
      <c r="E380" s="137"/>
      <c r="F380" s="137"/>
      <c r="G380" s="190"/>
      <c r="H380" s="137"/>
      <c r="I380" s="137"/>
      <c r="J380" s="137"/>
      <c r="M380" s="143"/>
      <c r="N380" s="143"/>
      <c r="O380" s="143"/>
      <c r="P380" s="143"/>
      <c r="Q380" s="137"/>
      <c r="R380" s="137"/>
      <c r="S380" s="137"/>
      <c r="T380" s="137"/>
      <c r="U380" s="137"/>
      <c r="V380" s="137"/>
      <c r="W380" s="137"/>
      <c r="X380" s="137"/>
      <c r="Y380" s="137"/>
      <c r="Z380" s="137"/>
      <c r="AA380" s="137"/>
    </row>
    <row r="381" spans="5:27" x14ac:dyDescent="0.35">
      <c r="E381" s="137"/>
      <c r="F381" s="137"/>
      <c r="G381" s="190"/>
      <c r="H381" s="137"/>
      <c r="I381" s="137"/>
      <c r="J381" s="137"/>
      <c r="M381" s="143"/>
      <c r="N381" s="143"/>
      <c r="O381" s="143"/>
      <c r="P381" s="143"/>
      <c r="Q381" s="137"/>
      <c r="R381" s="137"/>
      <c r="S381" s="137"/>
      <c r="T381" s="137"/>
      <c r="U381" s="137"/>
      <c r="V381" s="137"/>
      <c r="W381" s="137"/>
      <c r="X381" s="137"/>
      <c r="Y381" s="137"/>
      <c r="Z381" s="137"/>
      <c r="AA381" s="137"/>
    </row>
    <row r="382" spans="5:27" x14ac:dyDescent="0.35">
      <c r="E382" s="137"/>
      <c r="F382" s="137"/>
      <c r="G382" s="190"/>
      <c r="H382" s="137"/>
      <c r="I382" s="137"/>
      <c r="J382" s="137"/>
      <c r="M382" s="143"/>
      <c r="N382" s="143"/>
      <c r="O382" s="143"/>
      <c r="P382" s="143"/>
      <c r="Q382" s="137"/>
      <c r="R382" s="137"/>
      <c r="S382" s="137"/>
      <c r="T382" s="137"/>
      <c r="U382" s="137"/>
      <c r="V382" s="137"/>
      <c r="W382" s="137"/>
      <c r="X382" s="137"/>
      <c r="Y382" s="137"/>
      <c r="Z382" s="137"/>
      <c r="AA382" s="137"/>
    </row>
    <row r="383" spans="5:27" x14ac:dyDescent="0.35">
      <c r="E383" s="137"/>
      <c r="F383" s="137"/>
      <c r="G383" s="190"/>
      <c r="H383" s="137"/>
      <c r="I383" s="137"/>
      <c r="J383" s="137"/>
      <c r="M383" s="143"/>
      <c r="N383" s="143"/>
      <c r="O383" s="143"/>
      <c r="P383" s="143"/>
      <c r="Q383" s="137"/>
      <c r="R383" s="137"/>
      <c r="S383" s="137"/>
      <c r="T383" s="137"/>
      <c r="U383" s="137"/>
      <c r="V383" s="137"/>
      <c r="W383" s="137"/>
      <c r="X383" s="137"/>
      <c r="Y383" s="137"/>
      <c r="Z383" s="137"/>
      <c r="AA383" s="137"/>
    </row>
    <row r="384" spans="5:27" x14ac:dyDescent="0.35">
      <c r="E384" s="137"/>
      <c r="F384" s="137"/>
      <c r="G384" s="190"/>
      <c r="H384" s="137"/>
      <c r="I384" s="137"/>
      <c r="J384" s="137"/>
      <c r="M384" s="143"/>
      <c r="N384" s="143"/>
      <c r="O384" s="143"/>
      <c r="P384" s="143"/>
      <c r="Q384" s="137"/>
      <c r="R384" s="137"/>
      <c r="S384" s="137"/>
      <c r="T384" s="137"/>
      <c r="U384" s="137"/>
      <c r="V384" s="137"/>
      <c r="W384" s="137"/>
      <c r="X384" s="137"/>
      <c r="Y384" s="137"/>
      <c r="Z384" s="137"/>
      <c r="AA384" s="137"/>
    </row>
    <row r="385" spans="5:27" x14ac:dyDescent="0.35">
      <c r="E385" s="137"/>
      <c r="F385" s="137"/>
      <c r="G385" s="190"/>
      <c r="H385" s="137"/>
      <c r="I385" s="137"/>
      <c r="J385" s="137"/>
      <c r="M385" s="143"/>
      <c r="N385" s="143"/>
      <c r="O385" s="143"/>
      <c r="P385" s="143"/>
      <c r="Q385" s="137"/>
      <c r="R385" s="137"/>
      <c r="S385" s="137"/>
      <c r="T385" s="137"/>
      <c r="U385" s="137"/>
      <c r="V385" s="137"/>
      <c r="W385" s="137"/>
      <c r="X385" s="137"/>
      <c r="Y385" s="137"/>
      <c r="Z385" s="137"/>
      <c r="AA385" s="137"/>
    </row>
    <row r="386" spans="5:27" x14ac:dyDescent="0.35">
      <c r="E386" s="137"/>
      <c r="F386" s="137"/>
      <c r="G386" s="190"/>
      <c r="H386" s="137"/>
      <c r="I386" s="137"/>
      <c r="J386" s="137"/>
      <c r="M386" s="143"/>
      <c r="N386" s="143"/>
      <c r="O386" s="143"/>
      <c r="P386" s="143"/>
      <c r="Q386" s="137"/>
      <c r="R386" s="137"/>
      <c r="S386" s="137"/>
      <c r="T386" s="137"/>
      <c r="U386" s="137"/>
      <c r="V386" s="137"/>
      <c r="W386" s="137"/>
      <c r="X386" s="137"/>
      <c r="Y386" s="137"/>
      <c r="Z386" s="137"/>
      <c r="AA386" s="137"/>
    </row>
    <row r="387" spans="5:27" x14ac:dyDescent="0.35">
      <c r="E387" s="137"/>
      <c r="F387" s="137"/>
      <c r="G387" s="190"/>
      <c r="H387" s="137"/>
      <c r="I387" s="137"/>
      <c r="J387" s="137"/>
      <c r="M387" s="143"/>
      <c r="N387" s="143"/>
      <c r="O387" s="143"/>
      <c r="P387" s="143"/>
      <c r="Q387" s="137"/>
      <c r="R387" s="137"/>
      <c r="S387" s="137"/>
      <c r="T387" s="137"/>
      <c r="U387" s="137"/>
      <c r="V387" s="137"/>
      <c r="W387" s="137"/>
      <c r="X387" s="137"/>
      <c r="Y387" s="137"/>
      <c r="Z387" s="137"/>
      <c r="AA387" s="137"/>
    </row>
    <row r="388" spans="5:27" x14ac:dyDescent="0.35">
      <c r="E388" s="137"/>
      <c r="F388" s="137"/>
      <c r="G388" s="190"/>
      <c r="H388" s="137"/>
      <c r="I388" s="137"/>
      <c r="J388" s="137"/>
      <c r="M388" s="143"/>
      <c r="N388" s="143"/>
      <c r="O388" s="143"/>
      <c r="P388" s="143"/>
      <c r="Q388" s="137"/>
      <c r="R388" s="137"/>
      <c r="S388" s="137"/>
      <c r="T388" s="137"/>
      <c r="U388" s="137"/>
      <c r="V388" s="137"/>
      <c r="W388" s="137"/>
      <c r="X388" s="137"/>
      <c r="Y388" s="137"/>
      <c r="Z388" s="137"/>
      <c r="AA388" s="137"/>
    </row>
    <row r="389" spans="5:27" x14ac:dyDescent="0.35">
      <c r="E389" s="137"/>
      <c r="F389" s="137"/>
      <c r="G389" s="190"/>
      <c r="H389" s="137"/>
      <c r="I389" s="137"/>
      <c r="J389" s="137"/>
      <c r="M389" s="143"/>
      <c r="N389" s="143"/>
      <c r="O389" s="143"/>
      <c r="P389" s="143"/>
      <c r="Q389" s="137"/>
      <c r="R389" s="137"/>
      <c r="S389" s="137"/>
      <c r="T389" s="137"/>
      <c r="U389" s="137"/>
      <c r="V389" s="137"/>
      <c r="W389" s="137"/>
      <c r="X389" s="137"/>
      <c r="Y389" s="137"/>
      <c r="Z389" s="137"/>
      <c r="AA389" s="137"/>
    </row>
    <row r="390" spans="5:27" x14ac:dyDescent="0.35">
      <c r="E390" s="137"/>
      <c r="F390" s="137"/>
      <c r="G390" s="190"/>
      <c r="H390" s="137"/>
      <c r="I390" s="137"/>
      <c r="J390" s="137"/>
      <c r="M390" s="143"/>
      <c r="N390" s="143"/>
      <c r="O390" s="143"/>
      <c r="P390" s="143"/>
      <c r="Q390" s="137"/>
      <c r="R390" s="137"/>
      <c r="S390" s="137"/>
      <c r="T390" s="137"/>
      <c r="U390" s="137"/>
      <c r="V390" s="137"/>
      <c r="W390" s="137"/>
      <c r="X390" s="137"/>
      <c r="Y390" s="137"/>
      <c r="Z390" s="137"/>
      <c r="AA390" s="137"/>
    </row>
    <row r="391" spans="5:27" x14ac:dyDescent="0.35">
      <c r="E391" s="137"/>
      <c r="F391" s="137"/>
      <c r="G391" s="190"/>
      <c r="H391" s="137"/>
      <c r="I391" s="137"/>
      <c r="J391" s="137"/>
      <c r="M391" s="143"/>
      <c r="N391" s="143"/>
      <c r="O391" s="143"/>
      <c r="P391" s="143"/>
      <c r="Q391" s="137"/>
      <c r="R391" s="137"/>
      <c r="S391" s="137"/>
      <c r="T391" s="137"/>
      <c r="U391" s="137"/>
      <c r="V391" s="137"/>
      <c r="W391" s="137"/>
      <c r="X391" s="137"/>
      <c r="Y391" s="137"/>
      <c r="Z391" s="137"/>
      <c r="AA391" s="137"/>
    </row>
    <row r="392" spans="5:27" x14ac:dyDescent="0.35">
      <c r="E392" s="137"/>
      <c r="F392" s="137"/>
      <c r="G392" s="190"/>
      <c r="H392" s="137"/>
      <c r="I392" s="137"/>
      <c r="J392" s="137"/>
      <c r="M392" s="143"/>
      <c r="N392" s="143"/>
      <c r="O392" s="143"/>
      <c r="P392" s="143"/>
      <c r="Q392" s="137"/>
      <c r="R392" s="137"/>
      <c r="S392" s="137"/>
      <c r="T392" s="137"/>
      <c r="U392" s="137"/>
      <c r="V392" s="137"/>
      <c r="W392" s="137"/>
      <c r="X392" s="137"/>
      <c r="Y392" s="137"/>
      <c r="Z392" s="137"/>
      <c r="AA392" s="137"/>
    </row>
    <row r="393" spans="5:27" x14ac:dyDescent="0.35">
      <c r="E393" s="137"/>
      <c r="F393" s="137"/>
      <c r="G393" s="190"/>
      <c r="H393" s="137"/>
      <c r="I393" s="137"/>
      <c r="J393" s="137"/>
      <c r="M393" s="143"/>
      <c r="N393" s="143"/>
      <c r="O393" s="143"/>
      <c r="P393" s="143"/>
      <c r="Q393" s="137"/>
      <c r="R393" s="137"/>
      <c r="S393" s="137"/>
      <c r="T393" s="137"/>
      <c r="U393" s="137"/>
      <c r="V393" s="137"/>
      <c r="W393" s="137"/>
      <c r="X393" s="137"/>
      <c r="Y393" s="137"/>
      <c r="Z393" s="137"/>
      <c r="AA393" s="137"/>
    </row>
    <row r="394" spans="5:27" x14ac:dyDescent="0.35">
      <c r="E394" s="137"/>
      <c r="F394" s="137"/>
      <c r="G394" s="190"/>
      <c r="H394" s="137"/>
      <c r="I394" s="137"/>
      <c r="J394" s="137"/>
      <c r="M394" s="143"/>
      <c r="N394" s="143"/>
      <c r="O394" s="143"/>
      <c r="P394" s="143"/>
      <c r="Q394" s="137"/>
      <c r="R394" s="137"/>
      <c r="S394" s="137"/>
      <c r="T394" s="137"/>
      <c r="U394" s="137"/>
      <c r="V394" s="137"/>
      <c r="W394" s="137"/>
      <c r="X394" s="137"/>
      <c r="Y394" s="137"/>
      <c r="Z394" s="137"/>
      <c r="AA394" s="137"/>
    </row>
    <row r="395" spans="5:27" x14ac:dyDescent="0.35">
      <c r="E395" s="137"/>
      <c r="F395" s="137"/>
      <c r="G395" s="190"/>
      <c r="H395" s="137"/>
      <c r="I395" s="137"/>
      <c r="J395" s="137"/>
      <c r="M395" s="143"/>
      <c r="N395" s="143"/>
      <c r="O395" s="143"/>
      <c r="P395" s="143"/>
      <c r="Q395" s="137"/>
      <c r="R395" s="137"/>
      <c r="S395" s="137"/>
      <c r="T395" s="137"/>
      <c r="U395" s="137"/>
      <c r="V395" s="137"/>
      <c r="W395" s="137"/>
      <c r="X395" s="137"/>
      <c r="Y395" s="137"/>
      <c r="Z395" s="137"/>
      <c r="AA395" s="137"/>
    </row>
    <row r="396" spans="5:27" x14ac:dyDescent="0.35">
      <c r="E396" s="137"/>
      <c r="F396" s="137"/>
      <c r="G396" s="190"/>
      <c r="H396" s="137"/>
      <c r="I396" s="137"/>
      <c r="J396" s="137"/>
      <c r="M396" s="143"/>
      <c r="N396" s="143"/>
      <c r="O396" s="143"/>
      <c r="P396" s="143"/>
      <c r="Q396" s="137"/>
      <c r="R396" s="137"/>
      <c r="S396" s="137"/>
      <c r="T396" s="137"/>
      <c r="U396" s="137"/>
      <c r="V396" s="137"/>
      <c r="W396" s="137"/>
      <c r="X396" s="137"/>
      <c r="Y396" s="137"/>
      <c r="Z396" s="137"/>
      <c r="AA396" s="137"/>
    </row>
    <row r="397" spans="5:27" x14ac:dyDescent="0.35">
      <c r="E397" s="137"/>
      <c r="F397" s="137"/>
      <c r="G397" s="190"/>
      <c r="H397" s="137"/>
      <c r="I397" s="137"/>
      <c r="J397" s="137"/>
      <c r="M397" s="143"/>
      <c r="N397" s="143"/>
      <c r="O397" s="143"/>
      <c r="P397" s="143"/>
      <c r="Q397" s="137"/>
      <c r="R397" s="137"/>
      <c r="S397" s="137"/>
      <c r="T397" s="137"/>
      <c r="U397" s="137"/>
      <c r="V397" s="137"/>
      <c r="W397" s="137"/>
      <c r="X397" s="137"/>
      <c r="Y397" s="137"/>
      <c r="Z397" s="137"/>
      <c r="AA397" s="137"/>
    </row>
    <row r="398" spans="5:27" x14ac:dyDescent="0.35">
      <c r="E398" s="137"/>
      <c r="F398" s="137"/>
      <c r="G398" s="190"/>
      <c r="H398" s="137"/>
      <c r="I398" s="137"/>
      <c r="J398" s="137"/>
      <c r="M398" s="143"/>
      <c r="N398" s="143"/>
      <c r="O398" s="143"/>
      <c r="P398" s="143"/>
      <c r="Q398" s="137"/>
      <c r="R398" s="137"/>
      <c r="S398" s="137"/>
      <c r="T398" s="137"/>
      <c r="U398" s="137"/>
      <c r="V398" s="137"/>
      <c r="W398" s="137"/>
      <c r="X398" s="137"/>
      <c r="Y398" s="137"/>
      <c r="Z398" s="137"/>
      <c r="AA398" s="137"/>
    </row>
    <row r="399" spans="5:27" x14ac:dyDescent="0.35">
      <c r="E399" s="137"/>
      <c r="F399" s="137"/>
      <c r="G399" s="190"/>
      <c r="H399" s="137"/>
      <c r="I399" s="137"/>
      <c r="J399" s="137"/>
      <c r="M399" s="143"/>
      <c r="N399" s="143"/>
      <c r="O399" s="143"/>
      <c r="P399" s="143"/>
      <c r="Q399" s="137"/>
      <c r="R399" s="137"/>
      <c r="S399" s="137"/>
      <c r="T399" s="137"/>
      <c r="U399" s="137"/>
      <c r="V399" s="137"/>
      <c r="W399" s="137"/>
      <c r="X399" s="137"/>
      <c r="Y399" s="137"/>
      <c r="Z399" s="137"/>
      <c r="AA399" s="137"/>
    </row>
    <row r="400" spans="5:27" x14ac:dyDescent="0.35">
      <c r="E400" s="137"/>
      <c r="F400" s="137"/>
      <c r="G400" s="190"/>
      <c r="H400" s="137"/>
      <c r="I400" s="137"/>
      <c r="J400" s="137"/>
      <c r="M400" s="143"/>
      <c r="N400" s="143"/>
      <c r="O400" s="143"/>
      <c r="P400" s="143"/>
      <c r="Q400" s="137"/>
      <c r="R400" s="137"/>
      <c r="S400" s="137"/>
      <c r="T400" s="137"/>
      <c r="U400" s="137"/>
      <c r="V400" s="137"/>
      <c r="W400" s="137"/>
      <c r="X400" s="137"/>
      <c r="Y400" s="137"/>
      <c r="Z400" s="137"/>
      <c r="AA400" s="137"/>
    </row>
    <row r="401" spans="5:27" x14ac:dyDescent="0.35">
      <c r="E401" s="137"/>
      <c r="F401" s="137"/>
      <c r="G401" s="190"/>
      <c r="H401" s="137"/>
      <c r="I401" s="137"/>
      <c r="J401" s="137"/>
      <c r="M401" s="143"/>
      <c r="N401" s="143"/>
      <c r="O401" s="143"/>
      <c r="P401" s="143"/>
      <c r="Q401" s="137"/>
      <c r="R401" s="137"/>
      <c r="S401" s="137"/>
      <c r="T401" s="137"/>
      <c r="U401" s="137"/>
      <c r="V401" s="137"/>
      <c r="W401" s="137"/>
      <c r="X401" s="137"/>
      <c r="Y401" s="137"/>
      <c r="Z401" s="137"/>
      <c r="AA401" s="137"/>
    </row>
    <row r="402" spans="5:27" x14ac:dyDescent="0.35">
      <c r="E402" s="137"/>
      <c r="F402" s="137"/>
      <c r="G402" s="190"/>
      <c r="H402" s="137"/>
      <c r="I402" s="137"/>
      <c r="J402" s="137"/>
      <c r="M402" s="143"/>
      <c r="N402" s="143"/>
      <c r="O402" s="143"/>
      <c r="P402" s="143"/>
      <c r="Q402" s="137"/>
      <c r="R402" s="137"/>
      <c r="S402" s="137"/>
      <c r="T402" s="137"/>
      <c r="U402" s="137"/>
      <c r="V402" s="137"/>
      <c r="W402" s="137"/>
      <c r="X402" s="137"/>
      <c r="Y402" s="137"/>
      <c r="Z402" s="137"/>
      <c r="AA402" s="137"/>
    </row>
    <row r="403" spans="5:27" x14ac:dyDescent="0.35">
      <c r="E403" s="137"/>
      <c r="F403" s="137"/>
      <c r="G403" s="190"/>
      <c r="H403" s="137"/>
      <c r="I403" s="137"/>
      <c r="J403" s="137"/>
      <c r="M403" s="143"/>
      <c r="N403" s="143"/>
      <c r="O403" s="143"/>
      <c r="P403" s="143"/>
      <c r="Q403" s="137"/>
      <c r="R403" s="137"/>
      <c r="S403" s="137"/>
      <c r="T403" s="137"/>
      <c r="U403" s="137"/>
      <c r="V403" s="137"/>
      <c r="W403" s="137"/>
      <c r="X403" s="137"/>
      <c r="Y403" s="137"/>
      <c r="Z403" s="137"/>
      <c r="AA403" s="137"/>
    </row>
    <row r="404" spans="5:27" x14ac:dyDescent="0.35">
      <c r="E404" s="137"/>
      <c r="F404" s="137"/>
      <c r="G404" s="190"/>
      <c r="H404" s="137"/>
      <c r="I404" s="137"/>
      <c r="J404" s="137"/>
      <c r="M404" s="143"/>
      <c r="N404" s="143"/>
      <c r="O404" s="143"/>
      <c r="P404" s="143"/>
      <c r="Q404" s="137"/>
      <c r="R404" s="137"/>
      <c r="S404" s="137"/>
      <c r="T404" s="137"/>
      <c r="U404" s="137"/>
      <c r="V404" s="137"/>
      <c r="W404" s="137"/>
      <c r="X404" s="137"/>
      <c r="Y404" s="137"/>
      <c r="Z404" s="137"/>
      <c r="AA404" s="137"/>
    </row>
    <row r="405" spans="5:27" x14ac:dyDescent="0.35">
      <c r="E405" s="137"/>
      <c r="F405" s="137"/>
      <c r="G405" s="190"/>
      <c r="H405" s="137"/>
      <c r="I405" s="137"/>
      <c r="J405" s="137"/>
      <c r="M405" s="143"/>
      <c r="N405" s="143"/>
      <c r="O405" s="143"/>
      <c r="P405" s="143"/>
      <c r="Q405" s="137"/>
      <c r="R405" s="137"/>
      <c r="S405" s="137"/>
      <c r="T405" s="137"/>
      <c r="U405" s="137"/>
      <c r="V405" s="137"/>
      <c r="W405" s="137"/>
      <c r="X405" s="137"/>
      <c r="Y405" s="137"/>
      <c r="Z405" s="137"/>
      <c r="AA405" s="137"/>
    </row>
    <row r="406" spans="5:27" x14ac:dyDescent="0.35">
      <c r="E406" s="137"/>
      <c r="F406" s="137"/>
      <c r="G406" s="190"/>
      <c r="H406" s="137"/>
      <c r="I406" s="137"/>
      <c r="J406" s="137"/>
      <c r="M406" s="143"/>
      <c r="N406" s="143"/>
      <c r="O406" s="143"/>
      <c r="P406" s="143"/>
      <c r="Q406" s="137"/>
      <c r="R406" s="137"/>
      <c r="S406" s="137"/>
      <c r="T406" s="137"/>
      <c r="U406" s="137"/>
      <c r="V406" s="137"/>
      <c r="W406" s="137"/>
      <c r="X406" s="137"/>
      <c r="Y406" s="137"/>
      <c r="Z406" s="137"/>
      <c r="AA406" s="137"/>
    </row>
    <row r="407" spans="5:27" x14ac:dyDescent="0.35">
      <c r="E407" s="137"/>
      <c r="F407" s="137"/>
      <c r="G407" s="190"/>
      <c r="H407" s="137"/>
      <c r="I407" s="137"/>
      <c r="J407" s="137"/>
      <c r="M407" s="143"/>
      <c r="N407" s="143"/>
      <c r="O407" s="143"/>
      <c r="P407" s="143"/>
      <c r="Q407" s="137"/>
      <c r="R407" s="137"/>
      <c r="S407" s="137"/>
      <c r="T407" s="137"/>
      <c r="U407" s="137"/>
      <c r="V407" s="137"/>
      <c r="W407" s="137"/>
      <c r="X407" s="137"/>
      <c r="Y407" s="137"/>
      <c r="Z407" s="137"/>
      <c r="AA407" s="137"/>
    </row>
    <row r="408" spans="5:27" x14ac:dyDescent="0.35">
      <c r="E408" s="137"/>
      <c r="F408" s="137"/>
      <c r="G408" s="190"/>
      <c r="H408" s="137"/>
      <c r="I408" s="137"/>
      <c r="J408" s="137"/>
      <c r="M408" s="143"/>
      <c r="N408" s="143"/>
      <c r="O408" s="143"/>
      <c r="P408" s="143"/>
      <c r="Q408" s="137"/>
      <c r="R408" s="137"/>
      <c r="S408" s="137"/>
      <c r="T408" s="137"/>
      <c r="U408" s="137"/>
      <c r="V408" s="137"/>
      <c r="W408" s="137"/>
      <c r="X408" s="137"/>
      <c r="Y408" s="137"/>
      <c r="Z408" s="137"/>
      <c r="AA408" s="137"/>
    </row>
    <row r="409" spans="5:27" x14ac:dyDescent="0.35">
      <c r="E409" s="137"/>
      <c r="F409" s="137"/>
      <c r="G409" s="190"/>
      <c r="H409" s="137"/>
      <c r="I409" s="137"/>
      <c r="J409" s="137"/>
      <c r="M409" s="143"/>
      <c r="N409" s="143"/>
      <c r="O409" s="143"/>
      <c r="P409" s="143"/>
      <c r="Q409" s="137"/>
      <c r="R409" s="137"/>
      <c r="S409" s="137"/>
      <c r="T409" s="137"/>
      <c r="U409" s="137"/>
      <c r="V409" s="137"/>
      <c r="W409" s="137"/>
      <c r="X409" s="137"/>
      <c r="Y409" s="137"/>
      <c r="Z409" s="137"/>
      <c r="AA409" s="137"/>
    </row>
    <row r="410" spans="5:27" x14ac:dyDescent="0.35">
      <c r="E410" s="137"/>
      <c r="F410" s="137"/>
      <c r="G410" s="190"/>
      <c r="H410" s="137"/>
      <c r="I410" s="137"/>
      <c r="J410" s="137"/>
      <c r="M410" s="143"/>
      <c r="N410" s="143"/>
      <c r="O410" s="143"/>
      <c r="P410" s="143"/>
      <c r="Q410" s="137"/>
      <c r="R410" s="137"/>
      <c r="S410" s="137"/>
      <c r="T410" s="137"/>
      <c r="U410" s="137"/>
      <c r="V410" s="137"/>
      <c r="W410" s="137"/>
      <c r="X410" s="137"/>
      <c r="Y410" s="137"/>
      <c r="Z410" s="137"/>
      <c r="AA410" s="137"/>
    </row>
    <row r="411" spans="5:27" x14ac:dyDescent="0.35">
      <c r="E411" s="137"/>
      <c r="F411" s="137"/>
      <c r="G411" s="190"/>
      <c r="H411" s="137"/>
      <c r="I411" s="137"/>
      <c r="J411" s="137"/>
      <c r="M411" s="143"/>
      <c r="N411" s="143"/>
      <c r="O411" s="143"/>
      <c r="P411" s="143"/>
      <c r="Q411" s="137"/>
      <c r="R411" s="137"/>
      <c r="S411" s="137"/>
      <c r="T411" s="137"/>
      <c r="U411" s="137"/>
      <c r="V411" s="137"/>
      <c r="W411" s="137"/>
      <c r="X411" s="137"/>
      <c r="Y411" s="137"/>
      <c r="Z411" s="137"/>
      <c r="AA411" s="137"/>
    </row>
    <row r="412" spans="5:27" x14ac:dyDescent="0.35">
      <c r="E412" s="137"/>
      <c r="F412" s="137"/>
      <c r="G412" s="190"/>
      <c r="H412" s="137"/>
      <c r="I412" s="137"/>
      <c r="J412" s="137"/>
      <c r="M412" s="143"/>
      <c r="N412" s="143"/>
      <c r="O412" s="143"/>
      <c r="P412" s="143"/>
      <c r="Q412" s="137"/>
      <c r="R412" s="137"/>
      <c r="S412" s="137"/>
      <c r="T412" s="137"/>
      <c r="U412" s="137"/>
      <c r="V412" s="137"/>
      <c r="W412" s="137"/>
      <c r="X412" s="137"/>
      <c r="Y412" s="137"/>
      <c r="Z412" s="137"/>
      <c r="AA412" s="137"/>
    </row>
    <row r="413" spans="5:27" x14ac:dyDescent="0.35">
      <c r="E413" s="137"/>
      <c r="F413" s="137"/>
      <c r="G413" s="190"/>
      <c r="H413" s="137"/>
      <c r="I413" s="137"/>
      <c r="J413" s="137"/>
      <c r="M413" s="143"/>
      <c r="N413" s="143"/>
      <c r="O413" s="143"/>
      <c r="P413" s="143"/>
      <c r="Q413" s="137"/>
      <c r="R413" s="137"/>
      <c r="S413" s="137"/>
      <c r="T413" s="137"/>
      <c r="U413" s="137"/>
      <c r="V413" s="137"/>
      <c r="W413" s="137"/>
      <c r="X413" s="137"/>
      <c r="Y413" s="137"/>
      <c r="Z413" s="137"/>
      <c r="AA413" s="137"/>
    </row>
    <row r="414" spans="5:27" x14ac:dyDescent="0.35">
      <c r="E414" s="137"/>
      <c r="F414" s="137"/>
      <c r="G414" s="190"/>
      <c r="H414" s="137"/>
      <c r="I414" s="137"/>
      <c r="J414" s="137"/>
      <c r="M414" s="143"/>
      <c r="N414" s="143"/>
      <c r="O414" s="143"/>
      <c r="P414" s="143"/>
      <c r="Q414" s="137"/>
      <c r="R414" s="137"/>
      <c r="S414" s="137"/>
      <c r="T414" s="137"/>
      <c r="U414" s="137"/>
      <c r="V414" s="137"/>
      <c r="W414" s="137"/>
      <c r="X414" s="137"/>
      <c r="Y414" s="137"/>
      <c r="Z414" s="137"/>
      <c r="AA414" s="137"/>
    </row>
    <row r="415" spans="5:27" x14ac:dyDescent="0.35">
      <c r="E415" s="137"/>
      <c r="F415" s="137"/>
      <c r="G415" s="190"/>
      <c r="H415" s="137"/>
      <c r="I415" s="137"/>
      <c r="J415" s="137"/>
      <c r="M415" s="143"/>
      <c r="N415" s="143"/>
      <c r="O415" s="143"/>
      <c r="P415" s="143"/>
      <c r="Q415" s="137"/>
      <c r="R415" s="137"/>
      <c r="S415" s="137"/>
      <c r="T415" s="137"/>
      <c r="U415" s="137"/>
      <c r="V415" s="137"/>
      <c r="W415" s="137"/>
      <c r="X415" s="137"/>
      <c r="Y415" s="137"/>
      <c r="Z415" s="137"/>
      <c r="AA415" s="137"/>
    </row>
    <row r="416" spans="5:27" x14ac:dyDescent="0.35">
      <c r="E416" s="137"/>
      <c r="F416" s="137"/>
      <c r="G416" s="190"/>
      <c r="H416" s="137"/>
      <c r="I416" s="137"/>
      <c r="J416" s="137"/>
      <c r="M416" s="143"/>
      <c r="N416" s="143"/>
      <c r="O416" s="143"/>
      <c r="P416" s="143"/>
      <c r="Q416" s="137"/>
      <c r="R416" s="137"/>
      <c r="S416" s="137"/>
      <c r="T416" s="137"/>
      <c r="U416" s="137"/>
      <c r="V416" s="137"/>
      <c r="W416" s="137"/>
      <c r="X416" s="137"/>
      <c r="Y416" s="137"/>
      <c r="Z416" s="137"/>
      <c r="AA416" s="137"/>
    </row>
    <row r="417" spans="5:27" x14ac:dyDescent="0.35">
      <c r="E417" s="137"/>
      <c r="F417" s="137"/>
      <c r="G417" s="190"/>
      <c r="H417" s="137"/>
      <c r="I417" s="137"/>
      <c r="J417" s="137"/>
      <c r="M417" s="143"/>
      <c r="N417" s="143"/>
      <c r="O417" s="143"/>
      <c r="P417" s="143"/>
      <c r="Q417" s="137"/>
      <c r="R417" s="137"/>
      <c r="S417" s="137"/>
      <c r="T417" s="137"/>
      <c r="U417" s="137"/>
      <c r="V417" s="137"/>
      <c r="W417" s="137"/>
      <c r="X417" s="137"/>
      <c r="Y417" s="137"/>
      <c r="Z417" s="137"/>
      <c r="AA417" s="137"/>
    </row>
    <row r="418" spans="5:27" x14ac:dyDescent="0.35">
      <c r="E418" s="137"/>
      <c r="F418" s="137"/>
      <c r="G418" s="190"/>
      <c r="H418" s="137"/>
      <c r="I418" s="137"/>
      <c r="J418" s="137"/>
      <c r="M418" s="143"/>
      <c r="N418" s="143"/>
      <c r="O418" s="143"/>
      <c r="P418" s="143"/>
      <c r="Q418" s="137"/>
      <c r="R418" s="137"/>
      <c r="S418" s="137"/>
      <c r="T418" s="137"/>
      <c r="U418" s="137"/>
      <c r="V418" s="137"/>
      <c r="W418" s="137"/>
      <c r="X418" s="137"/>
      <c r="Y418" s="137"/>
      <c r="Z418" s="137"/>
      <c r="AA418" s="137"/>
    </row>
    <row r="419" spans="5:27" x14ac:dyDescent="0.35">
      <c r="E419" s="137"/>
      <c r="F419" s="137"/>
      <c r="G419" s="190"/>
      <c r="H419" s="137"/>
      <c r="I419" s="137"/>
      <c r="J419" s="137"/>
      <c r="M419" s="143"/>
      <c r="N419" s="143"/>
      <c r="O419" s="143"/>
      <c r="P419" s="143"/>
      <c r="Q419" s="137"/>
      <c r="R419" s="137"/>
      <c r="S419" s="137"/>
      <c r="T419" s="137"/>
      <c r="U419" s="137"/>
      <c r="V419" s="137"/>
      <c r="W419" s="137"/>
      <c r="X419" s="137"/>
      <c r="Y419" s="137"/>
      <c r="Z419" s="137"/>
      <c r="AA419" s="137"/>
    </row>
    <row r="420" spans="5:27" x14ac:dyDescent="0.35">
      <c r="E420" s="137"/>
      <c r="F420" s="137"/>
      <c r="G420" s="190"/>
      <c r="H420" s="137"/>
      <c r="I420" s="137"/>
      <c r="J420" s="137"/>
      <c r="M420" s="143"/>
      <c r="N420" s="143"/>
      <c r="O420" s="143"/>
      <c r="P420" s="143"/>
      <c r="Q420" s="137"/>
      <c r="R420" s="137"/>
      <c r="S420" s="137"/>
      <c r="T420" s="137"/>
      <c r="U420" s="137"/>
      <c r="V420" s="137"/>
      <c r="W420" s="137"/>
      <c r="X420" s="137"/>
      <c r="Y420" s="137"/>
      <c r="Z420" s="137"/>
      <c r="AA420" s="137"/>
    </row>
    <row r="421" spans="5:27" x14ac:dyDescent="0.35">
      <c r="E421" s="137"/>
      <c r="F421" s="137"/>
      <c r="G421" s="190"/>
      <c r="H421" s="137"/>
      <c r="I421" s="137"/>
      <c r="J421" s="137"/>
      <c r="M421" s="143"/>
      <c r="N421" s="143"/>
      <c r="O421" s="143"/>
      <c r="P421" s="143"/>
      <c r="Q421" s="137"/>
      <c r="R421" s="137"/>
      <c r="S421" s="137"/>
      <c r="T421" s="137"/>
      <c r="U421" s="137"/>
      <c r="V421" s="137"/>
      <c r="W421" s="137"/>
      <c r="X421" s="137"/>
      <c r="Y421" s="137"/>
      <c r="Z421" s="137"/>
      <c r="AA421" s="137"/>
    </row>
    <row r="422" spans="5:27" x14ac:dyDescent="0.35">
      <c r="E422" s="137"/>
      <c r="F422" s="137"/>
      <c r="G422" s="190"/>
      <c r="H422" s="137"/>
      <c r="I422" s="137"/>
      <c r="J422" s="137"/>
      <c r="M422" s="143"/>
      <c r="N422" s="143"/>
      <c r="O422" s="143"/>
      <c r="P422" s="143"/>
      <c r="Q422" s="137"/>
      <c r="R422" s="137"/>
      <c r="S422" s="137"/>
      <c r="T422" s="137"/>
      <c r="U422" s="137"/>
      <c r="V422" s="137"/>
      <c r="W422" s="137"/>
      <c r="X422" s="137"/>
      <c r="Y422" s="137"/>
      <c r="Z422" s="137"/>
      <c r="AA422" s="137"/>
    </row>
    <row r="423" spans="5:27" x14ac:dyDescent="0.35">
      <c r="E423" s="137"/>
      <c r="F423" s="137"/>
      <c r="G423" s="190"/>
      <c r="H423" s="137"/>
      <c r="I423" s="137"/>
      <c r="J423" s="137"/>
      <c r="M423" s="143"/>
      <c r="N423" s="143"/>
      <c r="O423" s="143"/>
      <c r="P423" s="143"/>
      <c r="Q423" s="137"/>
      <c r="R423" s="137"/>
      <c r="S423" s="137"/>
      <c r="T423" s="137"/>
      <c r="U423" s="137"/>
      <c r="V423" s="137"/>
      <c r="W423" s="137"/>
      <c r="X423" s="137"/>
      <c r="Y423" s="137"/>
      <c r="Z423" s="137"/>
      <c r="AA423" s="137"/>
    </row>
    <row r="424" spans="5:27" x14ac:dyDescent="0.35">
      <c r="E424" s="137"/>
      <c r="F424" s="137"/>
      <c r="G424" s="190"/>
      <c r="H424" s="137"/>
      <c r="I424" s="137"/>
      <c r="J424" s="137"/>
      <c r="M424" s="143"/>
      <c r="N424" s="143"/>
      <c r="O424" s="143"/>
      <c r="P424" s="143"/>
      <c r="Q424" s="137"/>
      <c r="R424" s="137"/>
      <c r="S424" s="137"/>
      <c r="T424" s="137"/>
      <c r="U424" s="137"/>
      <c r="V424" s="137"/>
      <c r="W424" s="137"/>
      <c r="X424" s="137"/>
      <c r="Y424" s="137"/>
      <c r="Z424" s="137"/>
      <c r="AA424" s="137"/>
    </row>
    <row r="425" spans="5:27" x14ac:dyDescent="0.35">
      <c r="E425" s="137"/>
      <c r="F425" s="137"/>
      <c r="G425" s="190"/>
      <c r="H425" s="137"/>
      <c r="I425" s="137"/>
      <c r="J425" s="137"/>
      <c r="M425" s="143"/>
      <c r="N425" s="143"/>
      <c r="O425" s="143"/>
      <c r="P425" s="143"/>
      <c r="Q425" s="137"/>
      <c r="R425" s="137"/>
      <c r="S425" s="137"/>
      <c r="T425" s="137"/>
      <c r="U425" s="137"/>
      <c r="V425" s="137"/>
      <c r="W425" s="137"/>
      <c r="X425" s="137"/>
      <c r="Y425" s="137"/>
      <c r="Z425" s="137"/>
      <c r="AA425" s="137"/>
    </row>
    <row r="426" spans="5:27" x14ac:dyDescent="0.35">
      <c r="E426" s="137"/>
      <c r="F426" s="137"/>
      <c r="G426" s="190"/>
      <c r="H426" s="137"/>
      <c r="I426" s="137"/>
      <c r="J426" s="137"/>
      <c r="M426" s="143"/>
      <c r="N426" s="143"/>
      <c r="O426" s="143"/>
      <c r="P426" s="143"/>
      <c r="Q426" s="137"/>
      <c r="R426" s="137"/>
      <c r="S426" s="137"/>
      <c r="T426" s="137"/>
      <c r="U426" s="137"/>
      <c r="V426" s="137"/>
      <c r="W426" s="137"/>
      <c r="X426" s="137"/>
      <c r="Y426" s="137"/>
      <c r="Z426" s="137"/>
      <c r="AA426" s="137"/>
    </row>
    <row r="427" spans="5:27" x14ac:dyDescent="0.35">
      <c r="E427" s="137"/>
      <c r="F427" s="137"/>
      <c r="G427" s="190"/>
      <c r="H427" s="137"/>
      <c r="I427" s="137"/>
      <c r="J427" s="137"/>
      <c r="M427" s="143"/>
      <c r="N427" s="143"/>
      <c r="O427" s="143"/>
      <c r="P427" s="143"/>
      <c r="Q427" s="137"/>
      <c r="R427" s="137"/>
      <c r="S427" s="137"/>
      <c r="T427" s="137"/>
      <c r="U427" s="137"/>
      <c r="V427" s="137"/>
      <c r="W427" s="137"/>
      <c r="X427" s="137"/>
      <c r="Y427" s="137"/>
      <c r="Z427" s="137"/>
      <c r="AA427" s="137"/>
    </row>
    <row r="428" spans="5:27" x14ac:dyDescent="0.35">
      <c r="E428" s="137"/>
      <c r="F428" s="137"/>
      <c r="G428" s="190"/>
      <c r="H428" s="137"/>
      <c r="I428" s="137"/>
      <c r="J428" s="137"/>
      <c r="M428" s="143"/>
      <c r="N428" s="143"/>
      <c r="O428" s="143"/>
      <c r="P428" s="143"/>
      <c r="Q428" s="137"/>
      <c r="R428" s="137"/>
      <c r="S428" s="137"/>
      <c r="T428" s="137"/>
      <c r="U428" s="137"/>
      <c r="V428" s="137"/>
      <c r="W428" s="137"/>
      <c r="X428" s="137"/>
      <c r="Y428" s="137"/>
      <c r="Z428" s="137"/>
      <c r="AA428" s="137"/>
    </row>
    <row r="429" spans="5:27" x14ac:dyDescent="0.35">
      <c r="E429" s="137"/>
      <c r="F429" s="137"/>
      <c r="G429" s="190"/>
      <c r="H429" s="137"/>
      <c r="I429" s="137"/>
      <c r="J429" s="137"/>
      <c r="M429" s="143"/>
      <c r="N429" s="143"/>
      <c r="O429" s="143"/>
      <c r="P429" s="143"/>
      <c r="Q429" s="137"/>
      <c r="R429" s="137"/>
      <c r="S429" s="137"/>
      <c r="T429" s="137"/>
      <c r="U429" s="137"/>
      <c r="V429" s="137"/>
      <c r="W429" s="137"/>
      <c r="X429" s="137"/>
      <c r="Y429" s="137"/>
      <c r="Z429" s="137"/>
      <c r="AA429" s="137"/>
    </row>
    <row r="430" spans="5:27" x14ac:dyDescent="0.35">
      <c r="E430" s="137"/>
      <c r="F430" s="137"/>
      <c r="G430" s="190"/>
      <c r="H430" s="137"/>
      <c r="I430" s="137"/>
      <c r="J430" s="137"/>
      <c r="M430" s="143"/>
      <c r="N430" s="143"/>
      <c r="O430" s="143"/>
      <c r="P430" s="143"/>
      <c r="Q430" s="137"/>
      <c r="R430" s="137"/>
      <c r="S430" s="137"/>
      <c r="T430" s="137"/>
      <c r="U430" s="137"/>
      <c r="V430" s="137"/>
      <c r="W430" s="137"/>
      <c r="X430" s="137"/>
      <c r="Y430" s="137"/>
      <c r="Z430" s="137"/>
      <c r="AA430" s="137"/>
    </row>
    <row r="431" spans="5:27" x14ac:dyDescent="0.35">
      <c r="E431" s="137"/>
      <c r="F431" s="137"/>
      <c r="G431" s="190"/>
      <c r="H431" s="137"/>
      <c r="I431" s="137"/>
      <c r="J431" s="137"/>
      <c r="M431" s="143"/>
      <c r="N431" s="143"/>
      <c r="O431" s="143"/>
      <c r="P431" s="143"/>
      <c r="Q431" s="137"/>
      <c r="R431" s="137"/>
      <c r="S431" s="137"/>
      <c r="T431" s="137"/>
      <c r="U431" s="137"/>
      <c r="V431" s="137"/>
      <c r="W431" s="137"/>
      <c r="X431" s="137"/>
      <c r="Y431" s="137"/>
      <c r="Z431" s="137"/>
      <c r="AA431" s="137"/>
    </row>
    <row r="432" spans="5:27" x14ac:dyDescent="0.35">
      <c r="E432" s="137"/>
      <c r="F432" s="137"/>
      <c r="G432" s="190"/>
      <c r="H432" s="137"/>
      <c r="I432" s="137"/>
      <c r="J432" s="137"/>
      <c r="M432" s="143"/>
      <c r="N432" s="143"/>
      <c r="O432" s="143"/>
      <c r="P432" s="143"/>
      <c r="Q432" s="137"/>
      <c r="R432" s="137"/>
      <c r="S432" s="137"/>
      <c r="T432" s="137"/>
      <c r="U432" s="137"/>
      <c r="V432" s="137"/>
      <c r="W432" s="137"/>
      <c r="X432" s="137"/>
      <c r="Y432" s="137"/>
      <c r="Z432" s="137"/>
      <c r="AA432" s="137"/>
    </row>
    <row r="433" spans="5:27" x14ac:dyDescent="0.35">
      <c r="E433" s="137"/>
      <c r="F433" s="137"/>
      <c r="G433" s="190"/>
      <c r="H433" s="137"/>
      <c r="I433" s="137"/>
      <c r="J433" s="137"/>
      <c r="M433" s="143"/>
      <c r="N433" s="143"/>
      <c r="O433" s="143"/>
      <c r="P433" s="143"/>
      <c r="Q433" s="137"/>
      <c r="R433" s="137"/>
      <c r="S433" s="137"/>
      <c r="T433" s="137"/>
      <c r="U433" s="137"/>
      <c r="V433" s="137"/>
      <c r="W433" s="137"/>
      <c r="X433" s="137"/>
      <c r="Y433" s="137"/>
      <c r="Z433" s="137"/>
      <c r="AA433" s="137"/>
    </row>
    <row r="434" spans="5:27" x14ac:dyDescent="0.35">
      <c r="E434" s="137"/>
      <c r="F434" s="137"/>
      <c r="G434" s="190"/>
      <c r="H434" s="137"/>
      <c r="I434" s="137"/>
      <c r="J434" s="137"/>
      <c r="M434" s="143"/>
      <c r="N434" s="143"/>
      <c r="O434" s="143"/>
      <c r="P434" s="143"/>
      <c r="Q434" s="137"/>
      <c r="R434" s="137"/>
      <c r="S434" s="137"/>
      <c r="T434" s="137"/>
      <c r="U434" s="137"/>
      <c r="V434" s="137"/>
      <c r="W434" s="137"/>
      <c r="X434" s="137"/>
      <c r="Y434" s="137"/>
      <c r="Z434" s="137"/>
      <c r="AA434" s="137"/>
    </row>
    <row r="435" spans="5:27" x14ac:dyDescent="0.35">
      <c r="E435" s="137"/>
      <c r="F435" s="137"/>
      <c r="G435" s="190"/>
      <c r="H435" s="137"/>
      <c r="I435" s="137"/>
      <c r="J435" s="137"/>
      <c r="M435" s="143"/>
      <c r="N435" s="143"/>
      <c r="O435" s="143"/>
      <c r="P435" s="143"/>
      <c r="Q435" s="137"/>
      <c r="R435" s="137"/>
      <c r="S435" s="137"/>
      <c r="T435" s="137"/>
      <c r="U435" s="137"/>
      <c r="V435" s="137"/>
      <c r="W435" s="137"/>
      <c r="X435" s="137"/>
      <c r="Y435" s="137"/>
      <c r="Z435" s="137"/>
      <c r="AA435" s="137"/>
    </row>
    <row r="436" spans="5:27" x14ac:dyDescent="0.35">
      <c r="E436" s="137"/>
      <c r="F436" s="137"/>
      <c r="G436" s="190"/>
      <c r="H436" s="137"/>
      <c r="I436" s="137"/>
      <c r="J436" s="137"/>
      <c r="M436" s="143"/>
      <c r="N436" s="143"/>
      <c r="O436" s="143"/>
      <c r="P436" s="143"/>
      <c r="Q436" s="137"/>
      <c r="R436" s="137"/>
      <c r="S436" s="137"/>
      <c r="T436" s="137"/>
      <c r="U436" s="137"/>
      <c r="V436" s="137"/>
      <c r="W436" s="137"/>
      <c r="X436" s="137"/>
      <c r="Y436" s="137"/>
      <c r="Z436" s="137"/>
      <c r="AA436" s="137"/>
    </row>
    <row r="437" spans="5:27" x14ac:dyDescent="0.35">
      <c r="E437" s="137"/>
      <c r="F437" s="137"/>
      <c r="G437" s="190"/>
      <c r="H437" s="137"/>
      <c r="I437" s="137"/>
      <c r="J437" s="137"/>
      <c r="M437" s="143"/>
      <c r="N437" s="143"/>
      <c r="O437" s="143"/>
      <c r="P437" s="143"/>
      <c r="Q437" s="137"/>
      <c r="R437" s="137"/>
      <c r="S437" s="137"/>
      <c r="T437" s="137"/>
      <c r="U437" s="137"/>
      <c r="V437" s="137"/>
      <c r="W437" s="137"/>
      <c r="X437" s="137"/>
      <c r="Y437" s="137"/>
      <c r="Z437" s="137"/>
      <c r="AA437" s="137"/>
    </row>
    <row r="438" spans="5:27" x14ac:dyDescent="0.35">
      <c r="E438" s="137"/>
      <c r="F438" s="137"/>
      <c r="G438" s="190"/>
      <c r="H438" s="137"/>
      <c r="I438" s="137"/>
      <c r="J438" s="137"/>
      <c r="M438" s="143"/>
      <c r="N438" s="143"/>
      <c r="O438" s="143"/>
      <c r="P438" s="143"/>
      <c r="Q438" s="137"/>
      <c r="R438" s="137"/>
      <c r="S438" s="137"/>
      <c r="T438" s="137"/>
      <c r="U438" s="137"/>
      <c r="V438" s="137"/>
      <c r="W438" s="137"/>
      <c r="X438" s="137"/>
      <c r="Y438" s="137"/>
      <c r="Z438" s="137"/>
      <c r="AA438" s="137"/>
    </row>
    <row r="439" spans="5:27" x14ac:dyDescent="0.35">
      <c r="E439" s="137"/>
      <c r="F439" s="137"/>
      <c r="G439" s="190"/>
      <c r="H439" s="137"/>
      <c r="I439" s="137"/>
      <c r="J439" s="137"/>
      <c r="M439" s="143"/>
      <c r="N439" s="143"/>
      <c r="O439" s="143"/>
      <c r="P439" s="143"/>
      <c r="Q439" s="137"/>
      <c r="R439" s="137"/>
      <c r="S439" s="137"/>
      <c r="T439" s="137"/>
      <c r="U439" s="137"/>
      <c r="V439" s="137"/>
      <c r="W439" s="137"/>
      <c r="X439" s="137"/>
      <c r="Y439" s="137"/>
      <c r="Z439" s="137"/>
      <c r="AA439" s="137"/>
    </row>
    <row r="440" spans="5:27" x14ac:dyDescent="0.35">
      <c r="E440" s="137"/>
      <c r="F440" s="137"/>
      <c r="G440" s="190"/>
      <c r="H440" s="137"/>
      <c r="I440" s="137"/>
      <c r="J440" s="137"/>
      <c r="M440" s="143"/>
      <c r="N440" s="143"/>
      <c r="O440" s="143"/>
      <c r="P440" s="143"/>
      <c r="Q440" s="137"/>
      <c r="R440" s="137"/>
      <c r="S440" s="137"/>
      <c r="T440" s="137"/>
      <c r="U440" s="137"/>
      <c r="V440" s="137"/>
      <c r="W440" s="137"/>
      <c r="X440" s="137"/>
      <c r="Y440" s="137"/>
      <c r="Z440" s="137"/>
      <c r="AA440" s="137"/>
    </row>
    <row r="441" spans="5:27" x14ac:dyDescent="0.35">
      <c r="E441" s="137"/>
      <c r="F441" s="137"/>
      <c r="G441" s="190"/>
      <c r="H441" s="137"/>
      <c r="I441" s="137"/>
      <c r="J441" s="137"/>
      <c r="M441" s="143"/>
      <c r="N441" s="143"/>
      <c r="O441" s="143"/>
      <c r="P441" s="143"/>
      <c r="Q441" s="137"/>
      <c r="R441" s="137"/>
      <c r="S441" s="137"/>
      <c r="T441" s="137"/>
      <c r="U441" s="137"/>
      <c r="V441" s="137"/>
      <c r="W441" s="137"/>
      <c r="X441" s="137"/>
      <c r="Y441" s="137"/>
      <c r="Z441" s="137"/>
      <c r="AA441" s="137"/>
    </row>
    <row r="442" spans="5:27" x14ac:dyDescent="0.35">
      <c r="E442" s="137"/>
      <c r="F442" s="137"/>
      <c r="G442" s="190"/>
      <c r="H442" s="137"/>
      <c r="I442" s="137"/>
      <c r="J442" s="137"/>
      <c r="M442" s="143"/>
      <c r="N442" s="143"/>
      <c r="O442" s="143"/>
      <c r="P442" s="143"/>
      <c r="Q442" s="137"/>
      <c r="R442" s="137"/>
      <c r="S442" s="137"/>
      <c r="T442" s="137"/>
      <c r="U442" s="137"/>
      <c r="V442" s="137"/>
      <c r="W442" s="137"/>
      <c r="X442" s="137"/>
      <c r="Y442" s="137"/>
      <c r="Z442" s="137"/>
      <c r="AA442" s="137"/>
    </row>
    <row r="443" spans="5:27" x14ac:dyDescent="0.35">
      <c r="E443" s="137"/>
      <c r="F443" s="137"/>
      <c r="G443" s="190"/>
      <c r="H443" s="137"/>
      <c r="I443" s="137"/>
      <c r="J443" s="137"/>
      <c r="M443" s="143"/>
      <c r="N443" s="143"/>
      <c r="O443" s="143"/>
      <c r="P443" s="143"/>
      <c r="Q443" s="137"/>
      <c r="R443" s="137"/>
      <c r="S443" s="137"/>
      <c r="T443" s="137"/>
      <c r="U443" s="137"/>
      <c r="V443" s="137"/>
      <c r="W443" s="137"/>
      <c r="X443" s="137"/>
      <c r="Y443" s="137"/>
      <c r="Z443" s="137"/>
      <c r="AA443" s="137"/>
    </row>
    <row r="444" spans="5:27" x14ac:dyDescent="0.35">
      <c r="E444" s="137"/>
      <c r="F444" s="137"/>
      <c r="G444" s="190"/>
      <c r="H444" s="137"/>
      <c r="I444" s="137"/>
      <c r="J444" s="137"/>
      <c r="M444" s="143"/>
      <c r="N444" s="143"/>
      <c r="O444" s="143"/>
      <c r="P444" s="143"/>
      <c r="Q444" s="137"/>
      <c r="R444" s="137"/>
      <c r="S444" s="137"/>
      <c r="T444" s="137"/>
      <c r="U444" s="137"/>
      <c r="V444" s="137"/>
      <c r="W444" s="137"/>
      <c r="X444" s="137"/>
      <c r="Y444" s="137"/>
      <c r="Z444" s="137"/>
      <c r="AA444" s="137"/>
    </row>
    <row r="445" spans="5:27" x14ac:dyDescent="0.35">
      <c r="E445" s="137"/>
      <c r="F445" s="137"/>
      <c r="G445" s="190"/>
      <c r="H445" s="137"/>
      <c r="I445" s="137"/>
      <c r="J445" s="137"/>
      <c r="M445" s="143"/>
      <c r="N445" s="143"/>
      <c r="O445" s="143"/>
      <c r="P445" s="143"/>
      <c r="Q445" s="137"/>
      <c r="R445" s="137"/>
      <c r="S445" s="137"/>
      <c r="T445" s="137"/>
      <c r="U445" s="137"/>
      <c r="V445" s="137"/>
      <c r="W445" s="137"/>
      <c r="X445" s="137"/>
      <c r="Y445" s="137"/>
      <c r="Z445" s="137"/>
      <c r="AA445" s="137"/>
    </row>
    <row r="446" spans="5:27" x14ac:dyDescent="0.35">
      <c r="E446" s="137"/>
      <c r="F446" s="137"/>
      <c r="G446" s="190"/>
      <c r="H446" s="137"/>
      <c r="I446" s="137"/>
      <c r="J446" s="137"/>
      <c r="M446" s="143"/>
      <c r="N446" s="143"/>
      <c r="O446" s="143"/>
      <c r="P446" s="143"/>
      <c r="Q446" s="137"/>
      <c r="R446" s="137"/>
      <c r="S446" s="137"/>
      <c r="T446" s="137"/>
      <c r="U446" s="137"/>
      <c r="V446" s="137"/>
      <c r="W446" s="137"/>
      <c r="X446" s="137"/>
      <c r="Y446" s="137"/>
      <c r="Z446" s="137"/>
      <c r="AA446" s="137"/>
    </row>
    <row r="447" spans="5:27" x14ac:dyDescent="0.35">
      <c r="E447" s="137"/>
      <c r="F447" s="137"/>
      <c r="G447" s="190"/>
      <c r="H447" s="137"/>
      <c r="I447" s="137"/>
      <c r="J447" s="137"/>
      <c r="M447" s="143"/>
      <c r="N447" s="143"/>
      <c r="O447" s="143"/>
      <c r="P447" s="143"/>
      <c r="Q447" s="137"/>
      <c r="R447" s="137"/>
      <c r="S447" s="137"/>
      <c r="T447" s="137"/>
      <c r="U447" s="137"/>
      <c r="V447" s="137"/>
      <c r="W447" s="137"/>
      <c r="X447" s="137"/>
      <c r="Y447" s="137"/>
      <c r="Z447" s="137"/>
      <c r="AA447" s="137"/>
    </row>
    <row r="448" spans="5:27" x14ac:dyDescent="0.35">
      <c r="E448" s="137"/>
      <c r="F448" s="137"/>
      <c r="G448" s="190"/>
      <c r="H448" s="137"/>
      <c r="I448" s="137"/>
      <c r="J448" s="137"/>
      <c r="M448" s="143"/>
      <c r="N448" s="143"/>
      <c r="O448" s="143"/>
      <c r="P448" s="143"/>
      <c r="Q448" s="137"/>
      <c r="R448" s="137"/>
      <c r="S448" s="137"/>
      <c r="T448" s="137"/>
      <c r="U448" s="137"/>
      <c r="V448" s="137"/>
      <c r="W448" s="137"/>
      <c r="X448" s="137"/>
      <c r="Y448" s="137"/>
      <c r="Z448" s="137"/>
      <c r="AA448" s="137"/>
    </row>
    <row r="449" spans="5:27" x14ac:dyDescent="0.35">
      <c r="E449" s="137"/>
      <c r="F449" s="137"/>
      <c r="G449" s="190"/>
      <c r="H449" s="137"/>
      <c r="I449" s="137"/>
      <c r="J449" s="137"/>
      <c r="M449" s="143"/>
      <c r="N449" s="143"/>
      <c r="O449" s="143"/>
      <c r="P449" s="143"/>
      <c r="Q449" s="137"/>
      <c r="R449" s="137"/>
      <c r="S449" s="137"/>
      <c r="T449" s="137"/>
      <c r="U449" s="137"/>
      <c r="V449" s="137"/>
      <c r="W449" s="137"/>
      <c r="X449" s="137"/>
      <c r="Y449" s="137"/>
      <c r="Z449" s="137"/>
      <c r="AA449" s="137"/>
    </row>
    <row r="450" spans="5:27" x14ac:dyDescent="0.35">
      <c r="E450" s="137"/>
      <c r="F450" s="137"/>
      <c r="G450" s="190"/>
      <c r="H450" s="137"/>
      <c r="I450" s="137"/>
      <c r="J450" s="137"/>
      <c r="M450" s="143"/>
      <c r="N450" s="143"/>
      <c r="O450" s="143"/>
      <c r="P450" s="143"/>
      <c r="Q450" s="137"/>
      <c r="R450" s="137"/>
      <c r="S450" s="137"/>
      <c r="T450" s="137"/>
      <c r="U450" s="137"/>
      <c r="V450" s="137"/>
      <c r="W450" s="137"/>
      <c r="X450" s="137"/>
      <c r="Y450" s="137"/>
      <c r="Z450" s="137"/>
      <c r="AA450" s="137"/>
    </row>
    <row r="451" spans="5:27" x14ac:dyDescent="0.35">
      <c r="E451" s="137"/>
      <c r="F451" s="137"/>
      <c r="G451" s="190"/>
      <c r="H451" s="137"/>
      <c r="I451" s="137"/>
      <c r="J451" s="137"/>
      <c r="M451" s="143"/>
      <c r="N451" s="143"/>
      <c r="O451" s="143"/>
      <c r="P451" s="143"/>
      <c r="Q451" s="137"/>
      <c r="R451" s="137"/>
      <c r="S451" s="137"/>
      <c r="T451" s="137"/>
      <c r="U451" s="137"/>
      <c r="V451" s="137"/>
      <c r="W451" s="137"/>
      <c r="X451" s="137"/>
      <c r="Y451" s="137"/>
      <c r="Z451" s="137"/>
      <c r="AA451" s="137"/>
    </row>
    <row r="452" spans="5:27" x14ac:dyDescent="0.35">
      <c r="E452" s="137"/>
      <c r="F452" s="137"/>
      <c r="G452" s="190"/>
      <c r="H452" s="137"/>
      <c r="I452" s="137"/>
      <c r="J452" s="137"/>
      <c r="M452" s="143"/>
      <c r="N452" s="143"/>
      <c r="O452" s="143"/>
      <c r="P452" s="143"/>
      <c r="Q452" s="137"/>
      <c r="R452" s="137"/>
      <c r="S452" s="137"/>
      <c r="T452" s="137"/>
      <c r="U452" s="137"/>
      <c r="V452" s="137"/>
      <c r="W452" s="137"/>
      <c r="X452" s="137"/>
      <c r="Y452" s="137"/>
      <c r="Z452" s="137"/>
      <c r="AA452" s="137"/>
    </row>
    <row r="453" spans="5:27" x14ac:dyDescent="0.35">
      <c r="E453" s="137"/>
      <c r="F453" s="137"/>
      <c r="G453" s="190"/>
      <c r="H453" s="137"/>
      <c r="I453" s="137"/>
      <c r="J453" s="137"/>
      <c r="M453" s="143"/>
      <c r="N453" s="143"/>
      <c r="O453" s="143"/>
      <c r="P453" s="143"/>
      <c r="Q453" s="137"/>
      <c r="R453" s="137"/>
      <c r="S453" s="137"/>
      <c r="T453" s="137"/>
      <c r="U453" s="137"/>
      <c r="V453" s="137"/>
      <c r="W453" s="137"/>
      <c r="X453" s="137"/>
      <c r="Y453" s="137"/>
      <c r="Z453" s="137"/>
      <c r="AA453" s="137"/>
    </row>
    <row r="454" spans="5:27" x14ac:dyDescent="0.35">
      <c r="E454" s="137"/>
      <c r="F454" s="137"/>
      <c r="G454" s="190"/>
      <c r="H454" s="137"/>
      <c r="I454" s="137"/>
      <c r="J454" s="137"/>
      <c r="M454" s="143"/>
      <c r="N454" s="143"/>
      <c r="O454" s="143"/>
      <c r="P454" s="143"/>
      <c r="Q454" s="137"/>
      <c r="R454" s="137"/>
      <c r="S454" s="137"/>
      <c r="T454" s="137"/>
      <c r="U454" s="137"/>
      <c r="V454" s="137"/>
      <c r="W454" s="137"/>
      <c r="X454" s="137"/>
      <c r="Y454" s="137"/>
      <c r="Z454" s="137"/>
      <c r="AA454" s="137"/>
    </row>
    <row r="455" spans="5:27" x14ac:dyDescent="0.35">
      <c r="E455" s="137"/>
      <c r="F455" s="137"/>
      <c r="G455" s="190"/>
      <c r="H455" s="137"/>
      <c r="I455" s="137"/>
      <c r="J455" s="137"/>
      <c r="M455" s="143"/>
      <c r="N455" s="143"/>
      <c r="O455" s="143"/>
      <c r="P455" s="143"/>
      <c r="Q455" s="137"/>
      <c r="R455" s="137"/>
      <c r="S455" s="137"/>
      <c r="T455" s="137"/>
      <c r="U455" s="137"/>
      <c r="V455" s="137"/>
      <c r="W455" s="137"/>
      <c r="X455" s="137"/>
      <c r="Y455" s="137"/>
      <c r="Z455" s="137"/>
      <c r="AA455" s="137"/>
    </row>
    <row r="456" spans="5:27" x14ac:dyDescent="0.35">
      <c r="E456" s="137"/>
      <c r="F456" s="137"/>
      <c r="G456" s="190"/>
      <c r="H456" s="137"/>
      <c r="I456" s="137"/>
      <c r="J456" s="137"/>
      <c r="M456" s="143"/>
      <c r="N456" s="143"/>
      <c r="O456" s="143"/>
      <c r="P456" s="143"/>
      <c r="Q456" s="137"/>
      <c r="R456" s="137"/>
      <c r="S456" s="137"/>
      <c r="T456" s="137"/>
      <c r="U456" s="137"/>
      <c r="V456" s="137"/>
      <c r="W456" s="137"/>
      <c r="X456" s="137"/>
      <c r="Y456" s="137"/>
      <c r="Z456" s="137"/>
      <c r="AA456" s="137"/>
    </row>
    <row r="457" spans="5:27" x14ac:dyDescent="0.35">
      <c r="E457" s="137"/>
      <c r="F457" s="137"/>
      <c r="G457" s="190"/>
      <c r="H457" s="137"/>
      <c r="I457" s="137"/>
      <c r="J457" s="137"/>
      <c r="M457" s="143"/>
      <c r="N457" s="143"/>
      <c r="O457" s="143"/>
      <c r="P457" s="143"/>
      <c r="Q457" s="137"/>
      <c r="R457" s="137"/>
      <c r="S457" s="137"/>
      <c r="T457" s="137"/>
      <c r="U457" s="137"/>
      <c r="V457" s="137"/>
      <c r="W457" s="137"/>
      <c r="X457" s="137"/>
      <c r="Y457" s="137"/>
      <c r="Z457" s="137"/>
      <c r="AA457" s="137"/>
    </row>
    <row r="458" spans="5:27" x14ac:dyDescent="0.35">
      <c r="E458" s="137"/>
      <c r="F458" s="137"/>
      <c r="G458" s="190"/>
      <c r="H458" s="137"/>
      <c r="I458" s="137"/>
      <c r="J458" s="137"/>
      <c r="M458" s="143"/>
      <c r="N458" s="143"/>
      <c r="O458" s="143"/>
      <c r="P458" s="143"/>
      <c r="Q458" s="137"/>
      <c r="R458" s="137"/>
      <c r="S458" s="137"/>
      <c r="T458" s="137"/>
      <c r="U458" s="137"/>
      <c r="V458" s="137"/>
      <c r="W458" s="137"/>
      <c r="X458" s="137"/>
      <c r="Y458" s="137"/>
      <c r="Z458" s="137"/>
      <c r="AA458" s="137"/>
    </row>
    <row r="459" spans="5:27" x14ac:dyDescent="0.35">
      <c r="E459" s="137"/>
      <c r="F459" s="137"/>
      <c r="G459" s="190"/>
      <c r="H459" s="137"/>
      <c r="I459" s="137"/>
      <c r="J459" s="137"/>
      <c r="M459" s="143"/>
      <c r="N459" s="143"/>
      <c r="O459" s="143"/>
      <c r="P459" s="143"/>
      <c r="Q459" s="137"/>
      <c r="R459" s="137"/>
      <c r="S459" s="137"/>
      <c r="T459" s="137"/>
      <c r="U459" s="137"/>
      <c r="V459" s="137"/>
      <c r="W459" s="137"/>
      <c r="X459" s="137"/>
      <c r="Y459" s="137"/>
      <c r="Z459" s="137"/>
      <c r="AA459" s="137"/>
    </row>
    <row r="460" spans="5:27" x14ac:dyDescent="0.35">
      <c r="E460" s="137"/>
      <c r="F460" s="137"/>
      <c r="G460" s="190"/>
      <c r="H460" s="137"/>
      <c r="I460" s="137"/>
      <c r="J460" s="137"/>
      <c r="M460" s="143"/>
      <c r="N460" s="143"/>
      <c r="O460" s="143"/>
      <c r="P460" s="143"/>
      <c r="Q460" s="137"/>
      <c r="R460" s="137"/>
      <c r="S460" s="137"/>
      <c r="T460" s="137"/>
      <c r="U460" s="137"/>
      <c r="V460" s="137"/>
      <c r="W460" s="137"/>
      <c r="X460" s="137"/>
      <c r="Y460" s="137"/>
      <c r="Z460" s="137"/>
      <c r="AA460" s="137"/>
    </row>
    <row r="461" spans="5:27" x14ac:dyDescent="0.35">
      <c r="E461" s="137"/>
      <c r="F461" s="137"/>
      <c r="G461" s="190"/>
      <c r="H461" s="137"/>
      <c r="I461" s="137"/>
      <c r="J461" s="137"/>
      <c r="M461" s="143"/>
      <c r="N461" s="143"/>
      <c r="O461" s="143"/>
      <c r="P461" s="143"/>
      <c r="Q461" s="137"/>
      <c r="R461" s="137"/>
      <c r="S461" s="137"/>
      <c r="T461" s="137"/>
      <c r="U461" s="137"/>
      <c r="V461" s="137"/>
      <c r="W461" s="137"/>
      <c r="X461" s="137"/>
      <c r="Y461" s="137"/>
      <c r="Z461" s="137"/>
      <c r="AA461" s="137"/>
    </row>
    <row r="462" spans="5:27" x14ac:dyDescent="0.35">
      <c r="E462" s="137"/>
      <c r="F462" s="137"/>
      <c r="G462" s="190"/>
      <c r="H462" s="137"/>
      <c r="I462" s="137"/>
      <c r="J462" s="137"/>
      <c r="M462" s="143"/>
      <c r="N462" s="143"/>
      <c r="O462" s="143"/>
      <c r="P462" s="143"/>
      <c r="Q462" s="137"/>
      <c r="R462" s="137"/>
      <c r="S462" s="137"/>
      <c r="T462" s="137"/>
      <c r="U462" s="137"/>
      <c r="V462" s="137"/>
      <c r="W462" s="137"/>
      <c r="X462" s="137"/>
      <c r="Y462" s="137"/>
      <c r="Z462" s="137"/>
      <c r="AA462" s="137"/>
    </row>
    <row r="463" spans="5:27" x14ac:dyDescent="0.35">
      <c r="E463" s="137"/>
      <c r="F463" s="137"/>
      <c r="G463" s="190"/>
      <c r="H463" s="137"/>
      <c r="I463" s="137"/>
      <c r="J463" s="137"/>
      <c r="M463" s="143"/>
      <c r="N463" s="143"/>
      <c r="O463" s="143"/>
      <c r="P463" s="143"/>
      <c r="Q463" s="137"/>
      <c r="R463" s="137"/>
      <c r="S463" s="137"/>
      <c r="T463" s="137"/>
      <c r="U463" s="137"/>
      <c r="V463" s="137"/>
      <c r="W463" s="137"/>
      <c r="X463" s="137"/>
      <c r="Y463" s="137"/>
      <c r="Z463" s="137"/>
      <c r="AA463" s="137"/>
    </row>
    <row r="464" spans="5:27" x14ac:dyDescent="0.35">
      <c r="E464" s="137"/>
      <c r="F464" s="137"/>
      <c r="G464" s="190"/>
      <c r="H464" s="137"/>
      <c r="I464" s="137"/>
      <c r="J464" s="137"/>
      <c r="M464" s="143"/>
      <c r="N464" s="143"/>
      <c r="O464" s="143"/>
      <c r="P464" s="143"/>
      <c r="Q464" s="137"/>
      <c r="R464" s="137"/>
      <c r="S464" s="137"/>
      <c r="T464" s="137"/>
      <c r="U464" s="137"/>
      <c r="V464" s="137"/>
      <c r="W464" s="137"/>
      <c r="X464" s="137"/>
      <c r="Y464" s="137"/>
      <c r="Z464" s="137"/>
      <c r="AA464" s="137"/>
    </row>
    <row r="465" spans="5:27" x14ac:dyDescent="0.35">
      <c r="E465" s="137"/>
      <c r="F465" s="137"/>
      <c r="G465" s="190"/>
      <c r="H465" s="137"/>
      <c r="I465" s="137"/>
      <c r="J465" s="137"/>
      <c r="M465" s="143"/>
      <c r="N465" s="143"/>
      <c r="O465" s="143"/>
      <c r="P465" s="143"/>
      <c r="Q465" s="137"/>
      <c r="R465" s="137"/>
      <c r="S465" s="137"/>
      <c r="T465" s="137"/>
      <c r="U465" s="137"/>
      <c r="V465" s="137"/>
      <c r="W465" s="137"/>
      <c r="X465" s="137"/>
      <c r="Y465" s="137"/>
      <c r="Z465" s="137"/>
      <c r="AA465" s="137"/>
    </row>
    <row r="466" spans="5:27" x14ac:dyDescent="0.35">
      <c r="E466" s="137"/>
      <c r="F466" s="137"/>
      <c r="G466" s="190"/>
      <c r="H466" s="137"/>
      <c r="I466" s="137"/>
      <c r="J466" s="137"/>
      <c r="M466" s="143"/>
      <c r="N466" s="143"/>
      <c r="O466" s="143"/>
      <c r="P466" s="143"/>
      <c r="Q466" s="137"/>
      <c r="R466" s="137"/>
      <c r="S466" s="137"/>
      <c r="T466" s="137"/>
      <c r="U466" s="137"/>
      <c r="V466" s="137"/>
      <c r="W466" s="137"/>
      <c r="X466" s="137"/>
      <c r="Y466" s="137"/>
      <c r="Z466" s="137"/>
      <c r="AA466" s="137"/>
    </row>
    <row r="467" spans="5:27" x14ac:dyDescent="0.35">
      <c r="E467" s="137"/>
      <c r="F467" s="137"/>
      <c r="G467" s="190"/>
      <c r="H467" s="137"/>
      <c r="I467" s="137"/>
      <c r="J467" s="137"/>
      <c r="M467" s="143"/>
      <c r="N467" s="143"/>
      <c r="O467" s="143"/>
      <c r="P467" s="143"/>
      <c r="Q467" s="137"/>
      <c r="R467" s="137"/>
      <c r="S467" s="137"/>
      <c r="T467" s="137"/>
      <c r="U467" s="137"/>
      <c r="V467" s="137"/>
      <c r="W467" s="137"/>
      <c r="X467" s="137"/>
      <c r="Y467" s="137"/>
      <c r="Z467" s="137"/>
      <c r="AA467" s="137"/>
    </row>
    <row r="468" spans="5:27" x14ac:dyDescent="0.35">
      <c r="E468" s="137"/>
      <c r="F468" s="137"/>
      <c r="G468" s="190"/>
      <c r="H468" s="137"/>
      <c r="I468" s="137"/>
      <c r="J468" s="137"/>
      <c r="M468" s="143"/>
      <c r="N468" s="143"/>
      <c r="O468" s="143"/>
      <c r="P468" s="143"/>
      <c r="Q468" s="137"/>
      <c r="R468" s="137"/>
      <c r="S468" s="137"/>
      <c r="T468" s="137"/>
      <c r="U468" s="137"/>
      <c r="V468" s="137"/>
      <c r="W468" s="137"/>
      <c r="X468" s="137"/>
      <c r="Y468" s="137"/>
      <c r="Z468" s="137"/>
      <c r="AA468" s="137"/>
    </row>
    <row r="469" spans="5:27" x14ac:dyDescent="0.35">
      <c r="E469" s="137"/>
      <c r="F469" s="137"/>
      <c r="G469" s="190"/>
      <c r="H469" s="137"/>
      <c r="I469" s="137"/>
      <c r="J469" s="137"/>
      <c r="M469" s="143"/>
      <c r="N469" s="143"/>
      <c r="O469" s="143"/>
      <c r="P469" s="143"/>
      <c r="Q469" s="137"/>
      <c r="R469" s="137"/>
      <c r="S469" s="137"/>
      <c r="T469" s="137"/>
      <c r="U469" s="137"/>
      <c r="V469" s="137"/>
      <c r="W469" s="137"/>
      <c r="X469" s="137"/>
      <c r="Y469" s="137"/>
      <c r="Z469" s="137"/>
      <c r="AA469" s="137"/>
    </row>
    <row r="470" spans="5:27" x14ac:dyDescent="0.35">
      <c r="E470" s="137"/>
      <c r="F470" s="137"/>
      <c r="G470" s="190"/>
      <c r="H470" s="137"/>
      <c r="I470" s="137"/>
      <c r="J470" s="137"/>
      <c r="M470" s="143"/>
      <c r="N470" s="143"/>
      <c r="O470" s="143"/>
      <c r="P470" s="143"/>
      <c r="Q470" s="137"/>
      <c r="R470" s="137"/>
      <c r="S470" s="137"/>
      <c r="T470" s="137"/>
      <c r="U470" s="137"/>
      <c r="V470" s="137"/>
      <c r="W470" s="137"/>
      <c r="X470" s="137"/>
      <c r="Y470" s="137"/>
      <c r="Z470" s="137"/>
      <c r="AA470" s="137"/>
    </row>
    <row r="471" spans="5:27" x14ac:dyDescent="0.35">
      <c r="E471" s="137"/>
      <c r="F471" s="137"/>
      <c r="G471" s="190"/>
      <c r="H471" s="137"/>
      <c r="I471" s="137"/>
      <c r="J471" s="137"/>
      <c r="M471" s="143"/>
      <c r="N471" s="143"/>
      <c r="O471" s="143"/>
      <c r="P471" s="143"/>
      <c r="Q471" s="137"/>
      <c r="R471" s="137"/>
      <c r="S471" s="137"/>
      <c r="T471" s="137"/>
      <c r="U471" s="137"/>
      <c r="V471" s="137"/>
      <c r="W471" s="137"/>
      <c r="X471" s="137"/>
      <c r="Y471" s="137"/>
      <c r="Z471" s="137"/>
      <c r="AA471" s="137"/>
    </row>
    <row r="472" spans="5:27" x14ac:dyDescent="0.35">
      <c r="E472" s="137"/>
      <c r="F472" s="137"/>
      <c r="G472" s="190"/>
      <c r="H472" s="137"/>
      <c r="I472" s="137"/>
      <c r="J472" s="137"/>
      <c r="M472" s="143"/>
      <c r="N472" s="143"/>
      <c r="O472" s="143"/>
      <c r="P472" s="143"/>
      <c r="Q472" s="137"/>
      <c r="R472" s="137"/>
      <c r="S472" s="137"/>
      <c r="T472" s="137"/>
      <c r="U472" s="137"/>
      <c r="V472" s="137"/>
      <c r="W472" s="137"/>
      <c r="X472" s="137"/>
      <c r="Y472" s="137"/>
      <c r="Z472" s="137"/>
      <c r="AA472" s="137"/>
    </row>
    <row r="473" spans="5:27" x14ac:dyDescent="0.35">
      <c r="E473" s="137"/>
      <c r="F473" s="137"/>
      <c r="G473" s="190"/>
      <c r="H473" s="137"/>
      <c r="I473" s="137"/>
      <c r="J473" s="137"/>
      <c r="M473" s="143"/>
      <c r="N473" s="143"/>
      <c r="O473" s="143"/>
      <c r="P473" s="143"/>
      <c r="Q473" s="137"/>
      <c r="R473" s="137"/>
      <c r="S473" s="137"/>
      <c r="T473" s="137"/>
      <c r="U473" s="137"/>
      <c r="V473" s="137"/>
      <c r="W473" s="137"/>
      <c r="X473" s="137"/>
      <c r="Y473" s="137"/>
      <c r="Z473" s="137"/>
      <c r="AA473" s="137"/>
    </row>
    <row r="474" spans="5:27" x14ac:dyDescent="0.35">
      <c r="E474" s="137"/>
      <c r="F474" s="137"/>
      <c r="G474" s="190"/>
      <c r="H474" s="137"/>
      <c r="I474" s="137"/>
      <c r="J474" s="137"/>
      <c r="M474" s="143"/>
      <c r="N474" s="143"/>
      <c r="O474" s="143"/>
      <c r="P474" s="143"/>
      <c r="Q474" s="137"/>
      <c r="R474" s="137"/>
      <c r="S474" s="137"/>
      <c r="T474" s="137"/>
      <c r="U474" s="137"/>
      <c r="V474" s="137"/>
      <c r="W474" s="137"/>
      <c r="X474" s="137"/>
      <c r="Y474" s="137"/>
      <c r="Z474" s="137"/>
      <c r="AA474" s="137"/>
    </row>
    <row r="475" spans="5:27" x14ac:dyDescent="0.35">
      <c r="E475" s="137"/>
      <c r="F475" s="137"/>
      <c r="G475" s="190"/>
      <c r="H475" s="137"/>
      <c r="I475" s="137"/>
      <c r="J475" s="137"/>
      <c r="M475" s="143"/>
      <c r="N475" s="143"/>
      <c r="O475" s="143"/>
      <c r="P475" s="143"/>
      <c r="Q475" s="137"/>
      <c r="R475" s="137"/>
      <c r="S475" s="137"/>
      <c r="T475" s="137"/>
      <c r="U475" s="137"/>
      <c r="V475" s="137"/>
      <c r="W475" s="137"/>
      <c r="X475" s="137"/>
      <c r="Y475" s="137"/>
      <c r="Z475" s="137"/>
      <c r="AA475" s="137"/>
    </row>
    <row r="476" spans="5:27" x14ac:dyDescent="0.35">
      <c r="E476" s="137"/>
      <c r="F476" s="137"/>
      <c r="G476" s="190"/>
      <c r="H476" s="137"/>
      <c r="I476" s="137"/>
      <c r="J476" s="137"/>
      <c r="M476" s="143"/>
      <c r="N476" s="143"/>
      <c r="O476" s="143"/>
      <c r="P476" s="143"/>
      <c r="Q476" s="137"/>
      <c r="R476" s="137"/>
      <c r="S476" s="137"/>
      <c r="T476" s="137"/>
      <c r="U476" s="137"/>
      <c r="V476" s="137"/>
      <c r="W476" s="137"/>
      <c r="X476" s="137"/>
      <c r="Y476" s="137"/>
      <c r="Z476" s="137"/>
      <c r="AA476" s="137"/>
    </row>
    <row r="477" spans="5:27" x14ac:dyDescent="0.35">
      <c r="E477" s="137"/>
      <c r="F477" s="137"/>
      <c r="G477" s="190"/>
      <c r="H477" s="137"/>
      <c r="I477" s="137"/>
      <c r="J477" s="137"/>
      <c r="M477" s="143"/>
      <c r="N477" s="143"/>
      <c r="O477" s="143"/>
      <c r="P477" s="143"/>
      <c r="Q477" s="137"/>
      <c r="R477" s="137"/>
      <c r="S477" s="137"/>
      <c r="T477" s="137"/>
      <c r="U477" s="137"/>
      <c r="V477" s="137"/>
      <c r="W477" s="137"/>
      <c r="X477" s="137"/>
      <c r="Y477" s="137"/>
      <c r="Z477" s="137"/>
      <c r="AA477" s="137"/>
    </row>
    <row r="478" spans="5:27" x14ac:dyDescent="0.35">
      <c r="E478" s="137"/>
      <c r="F478" s="137"/>
      <c r="G478" s="190"/>
      <c r="H478" s="137"/>
      <c r="I478" s="137"/>
      <c r="J478" s="137"/>
      <c r="M478" s="143"/>
      <c r="N478" s="143"/>
      <c r="O478" s="143"/>
      <c r="P478" s="143"/>
      <c r="Q478" s="137"/>
      <c r="R478" s="137"/>
      <c r="S478" s="137"/>
      <c r="T478" s="137"/>
      <c r="U478" s="137"/>
      <c r="V478" s="137"/>
      <c r="W478" s="137"/>
      <c r="X478" s="137"/>
      <c r="Y478" s="137"/>
      <c r="Z478" s="137"/>
      <c r="AA478" s="137"/>
    </row>
    <row r="479" spans="5:27" x14ac:dyDescent="0.35">
      <c r="E479" s="137"/>
      <c r="F479" s="137"/>
      <c r="G479" s="190"/>
      <c r="H479" s="137"/>
      <c r="I479" s="137"/>
      <c r="J479" s="137"/>
      <c r="M479" s="143"/>
      <c r="N479" s="143"/>
      <c r="O479" s="143"/>
      <c r="P479" s="143"/>
      <c r="Q479" s="137"/>
      <c r="R479" s="137"/>
      <c r="S479" s="137"/>
      <c r="T479" s="137"/>
      <c r="U479" s="137"/>
      <c r="V479" s="137"/>
      <c r="W479" s="137"/>
      <c r="X479" s="137"/>
      <c r="Y479" s="137"/>
      <c r="Z479" s="137"/>
      <c r="AA479" s="137"/>
    </row>
    <row r="480" spans="5:27" x14ac:dyDescent="0.35">
      <c r="E480" s="137"/>
      <c r="F480" s="137"/>
      <c r="G480" s="190"/>
      <c r="H480" s="137"/>
      <c r="I480" s="137"/>
      <c r="J480" s="137"/>
      <c r="M480" s="143"/>
      <c r="N480" s="143"/>
      <c r="O480" s="143"/>
      <c r="P480" s="143"/>
      <c r="Q480" s="137"/>
      <c r="R480" s="137"/>
      <c r="S480" s="137"/>
      <c r="T480" s="137"/>
      <c r="U480" s="137"/>
      <c r="V480" s="137"/>
      <c r="W480" s="137"/>
      <c r="X480" s="137"/>
      <c r="Y480" s="137"/>
      <c r="Z480" s="137"/>
      <c r="AA480" s="137"/>
    </row>
    <row r="481" spans="5:27" x14ac:dyDescent="0.35">
      <c r="E481" s="137"/>
      <c r="F481" s="137"/>
      <c r="G481" s="190"/>
      <c r="H481" s="137"/>
      <c r="I481" s="137"/>
      <c r="J481" s="137"/>
      <c r="M481" s="143"/>
      <c r="N481" s="143"/>
      <c r="O481" s="143"/>
      <c r="P481" s="143"/>
      <c r="Q481" s="137"/>
      <c r="R481" s="137"/>
      <c r="S481" s="137"/>
      <c r="T481" s="137"/>
      <c r="U481" s="137"/>
      <c r="V481" s="137"/>
      <c r="W481" s="137"/>
      <c r="X481" s="137"/>
      <c r="Y481" s="137"/>
      <c r="Z481" s="137"/>
      <c r="AA481" s="137"/>
    </row>
    <row r="482" spans="5:27" x14ac:dyDescent="0.35">
      <c r="E482" s="137"/>
      <c r="F482" s="137"/>
      <c r="G482" s="190"/>
      <c r="H482" s="137"/>
      <c r="I482" s="137"/>
      <c r="J482" s="137"/>
      <c r="M482" s="143"/>
      <c r="N482" s="143"/>
      <c r="O482" s="143"/>
      <c r="P482" s="143"/>
      <c r="Q482" s="137"/>
      <c r="R482" s="137"/>
      <c r="S482" s="137"/>
      <c r="T482" s="137"/>
      <c r="U482" s="137"/>
      <c r="V482" s="137"/>
      <c r="W482" s="137"/>
      <c r="X482" s="137"/>
      <c r="Y482" s="137"/>
      <c r="Z482" s="137"/>
      <c r="AA482" s="137"/>
    </row>
    <row r="483" spans="5:27" x14ac:dyDescent="0.35">
      <c r="E483" s="137"/>
      <c r="F483" s="137"/>
      <c r="G483" s="190"/>
      <c r="H483" s="137"/>
      <c r="I483" s="137"/>
      <c r="J483" s="137"/>
      <c r="M483" s="143"/>
      <c r="N483" s="143"/>
      <c r="O483" s="143"/>
      <c r="P483" s="143"/>
      <c r="Q483" s="137"/>
      <c r="R483" s="137"/>
      <c r="S483" s="137"/>
      <c r="T483" s="137"/>
      <c r="U483" s="137"/>
      <c r="V483" s="137"/>
      <c r="W483" s="137"/>
      <c r="X483" s="137"/>
      <c r="Y483" s="137"/>
      <c r="Z483" s="137"/>
      <c r="AA483" s="137"/>
    </row>
    <row r="484" spans="5:27" x14ac:dyDescent="0.35">
      <c r="E484" s="137"/>
      <c r="F484" s="137"/>
      <c r="G484" s="190"/>
      <c r="H484" s="137"/>
      <c r="I484" s="137"/>
      <c r="J484" s="137"/>
      <c r="M484" s="143"/>
      <c r="N484" s="143"/>
      <c r="O484" s="143"/>
      <c r="P484" s="143"/>
      <c r="Q484" s="137"/>
      <c r="R484" s="137"/>
      <c r="S484" s="137"/>
      <c r="T484" s="137"/>
      <c r="U484" s="137"/>
      <c r="V484" s="137"/>
      <c r="W484" s="137"/>
      <c r="X484" s="137"/>
      <c r="Y484" s="137"/>
      <c r="Z484" s="137"/>
      <c r="AA484" s="137"/>
    </row>
    <row r="485" spans="5:27" x14ac:dyDescent="0.35">
      <c r="E485" s="137"/>
      <c r="F485" s="137"/>
      <c r="G485" s="190"/>
      <c r="H485" s="137"/>
      <c r="I485" s="137"/>
      <c r="J485" s="137"/>
      <c r="M485" s="143"/>
      <c r="N485" s="143"/>
      <c r="O485" s="143"/>
      <c r="P485" s="143"/>
      <c r="Q485" s="137"/>
      <c r="R485" s="137"/>
      <c r="S485" s="137"/>
      <c r="T485" s="137"/>
      <c r="U485" s="137"/>
      <c r="V485" s="137"/>
      <c r="W485" s="137"/>
      <c r="X485" s="137"/>
      <c r="Y485" s="137"/>
      <c r="Z485" s="137"/>
      <c r="AA485" s="137"/>
    </row>
    <row r="486" spans="5:27" x14ac:dyDescent="0.35">
      <c r="E486" s="137"/>
      <c r="F486" s="137"/>
      <c r="G486" s="190"/>
      <c r="H486" s="137"/>
      <c r="I486" s="137"/>
      <c r="J486" s="137"/>
      <c r="M486" s="143"/>
      <c r="N486" s="143"/>
      <c r="O486" s="143"/>
      <c r="P486" s="143"/>
      <c r="Q486" s="137"/>
      <c r="R486" s="137"/>
      <c r="S486" s="137"/>
      <c r="T486" s="137"/>
      <c r="U486" s="137"/>
      <c r="V486" s="137"/>
      <c r="W486" s="137"/>
      <c r="X486" s="137"/>
      <c r="Y486" s="137"/>
      <c r="Z486" s="137"/>
      <c r="AA486" s="137"/>
    </row>
    <row r="487" spans="5:27" x14ac:dyDescent="0.35">
      <c r="E487" s="137"/>
      <c r="F487" s="137"/>
      <c r="G487" s="190"/>
      <c r="H487" s="137"/>
      <c r="I487" s="137"/>
      <c r="J487" s="137"/>
      <c r="M487" s="143"/>
      <c r="N487" s="143"/>
      <c r="O487" s="143"/>
      <c r="P487" s="143"/>
      <c r="Q487" s="137"/>
      <c r="R487" s="137"/>
      <c r="S487" s="137"/>
      <c r="T487" s="137"/>
      <c r="U487" s="137"/>
      <c r="V487" s="137"/>
      <c r="W487" s="137"/>
      <c r="X487" s="137"/>
      <c r="Y487" s="137"/>
      <c r="Z487" s="137"/>
      <c r="AA487" s="137"/>
    </row>
    <row r="488" spans="5:27" x14ac:dyDescent="0.35">
      <c r="E488" s="137"/>
      <c r="F488" s="137"/>
      <c r="G488" s="190"/>
      <c r="H488" s="137"/>
      <c r="I488" s="137"/>
      <c r="J488" s="137"/>
      <c r="M488" s="143"/>
      <c r="N488" s="143"/>
      <c r="O488" s="143"/>
      <c r="P488" s="143"/>
      <c r="Q488" s="137"/>
      <c r="R488" s="137"/>
      <c r="S488" s="137"/>
      <c r="T488" s="137"/>
      <c r="U488" s="137"/>
      <c r="V488" s="137"/>
      <c r="W488" s="137"/>
      <c r="X488" s="137"/>
      <c r="Y488" s="137"/>
      <c r="Z488" s="137"/>
      <c r="AA488" s="137"/>
    </row>
    <row r="489" spans="5:27" x14ac:dyDescent="0.35">
      <c r="E489" s="137"/>
      <c r="F489" s="137"/>
      <c r="G489" s="190"/>
      <c r="H489" s="137"/>
      <c r="I489" s="137"/>
      <c r="J489" s="137"/>
      <c r="M489" s="143"/>
      <c r="N489" s="143"/>
      <c r="O489" s="143"/>
      <c r="P489" s="143"/>
      <c r="Q489" s="137"/>
      <c r="R489" s="137"/>
      <c r="S489" s="137"/>
      <c r="T489" s="137"/>
      <c r="U489" s="137"/>
      <c r="V489" s="137"/>
      <c r="W489" s="137"/>
      <c r="X489" s="137"/>
      <c r="Y489" s="137"/>
      <c r="Z489" s="137"/>
      <c r="AA489" s="137"/>
    </row>
    <row r="490" spans="5:27" x14ac:dyDescent="0.35">
      <c r="E490" s="137"/>
      <c r="F490" s="137"/>
      <c r="G490" s="190"/>
      <c r="H490" s="137"/>
      <c r="I490" s="137"/>
      <c r="J490" s="137"/>
      <c r="M490" s="143"/>
      <c r="N490" s="143"/>
      <c r="O490" s="143"/>
      <c r="P490" s="143"/>
      <c r="Q490" s="137"/>
      <c r="R490" s="137"/>
      <c r="S490" s="137"/>
      <c r="T490" s="137"/>
      <c r="U490" s="137"/>
      <c r="V490" s="137"/>
      <c r="W490" s="137"/>
      <c r="X490" s="137"/>
      <c r="Y490" s="137"/>
      <c r="Z490" s="137"/>
      <c r="AA490" s="137"/>
    </row>
    <row r="491" spans="5:27" x14ac:dyDescent="0.35">
      <c r="E491" s="137"/>
      <c r="F491" s="137"/>
      <c r="G491" s="190"/>
      <c r="H491" s="137"/>
      <c r="I491" s="137"/>
      <c r="J491" s="137"/>
      <c r="M491" s="143"/>
      <c r="N491" s="143"/>
      <c r="O491" s="143"/>
      <c r="P491" s="143"/>
      <c r="Q491" s="137"/>
      <c r="R491" s="137"/>
      <c r="S491" s="137"/>
      <c r="T491" s="137"/>
      <c r="U491" s="137"/>
      <c r="V491" s="137"/>
      <c r="W491" s="137"/>
      <c r="X491" s="137"/>
      <c r="Y491" s="137"/>
      <c r="Z491" s="137"/>
      <c r="AA491" s="137"/>
    </row>
    <row r="492" spans="5:27" x14ac:dyDescent="0.35">
      <c r="E492" s="137"/>
      <c r="F492" s="137"/>
      <c r="G492" s="190"/>
      <c r="H492" s="137"/>
      <c r="I492" s="137"/>
      <c r="J492" s="137"/>
      <c r="M492" s="143"/>
      <c r="N492" s="143"/>
      <c r="O492" s="143"/>
      <c r="P492" s="143"/>
      <c r="Q492" s="137"/>
      <c r="R492" s="137"/>
      <c r="S492" s="137"/>
      <c r="T492" s="137"/>
      <c r="U492" s="137"/>
      <c r="V492" s="137"/>
      <c r="W492" s="137"/>
      <c r="X492" s="137"/>
      <c r="Y492" s="137"/>
      <c r="Z492" s="137"/>
      <c r="AA492" s="137"/>
    </row>
    <row r="493" spans="5:27" x14ac:dyDescent="0.35">
      <c r="E493" s="137"/>
      <c r="F493" s="137"/>
      <c r="G493" s="190"/>
      <c r="H493" s="137"/>
      <c r="I493" s="137"/>
      <c r="J493" s="137"/>
      <c r="M493" s="143"/>
      <c r="N493" s="143"/>
      <c r="O493" s="143"/>
      <c r="P493" s="143"/>
      <c r="Q493" s="137"/>
      <c r="R493" s="137"/>
      <c r="S493" s="137"/>
      <c r="T493" s="137"/>
      <c r="U493" s="137"/>
      <c r="V493" s="137"/>
      <c r="W493" s="137"/>
      <c r="X493" s="137"/>
      <c r="Y493" s="137"/>
      <c r="Z493" s="137"/>
      <c r="AA493" s="137"/>
    </row>
    <row r="494" spans="5:27" x14ac:dyDescent="0.35">
      <c r="E494" s="137"/>
      <c r="F494" s="137"/>
      <c r="G494" s="190"/>
      <c r="H494" s="137"/>
      <c r="I494" s="137"/>
      <c r="J494" s="137"/>
      <c r="M494" s="143"/>
      <c r="N494" s="143"/>
      <c r="O494" s="143"/>
      <c r="P494" s="143"/>
      <c r="Q494" s="137"/>
      <c r="R494" s="137"/>
      <c r="S494" s="137"/>
      <c r="T494" s="137"/>
      <c r="U494" s="137"/>
      <c r="V494" s="137"/>
      <c r="W494" s="137"/>
      <c r="X494" s="137"/>
      <c r="Y494" s="137"/>
      <c r="Z494" s="137"/>
      <c r="AA494" s="137"/>
    </row>
    <row r="495" spans="5:27" x14ac:dyDescent="0.35">
      <c r="E495" s="137"/>
      <c r="F495" s="137"/>
      <c r="G495" s="190"/>
      <c r="H495" s="137"/>
      <c r="I495" s="137"/>
      <c r="J495" s="137"/>
      <c r="M495" s="143"/>
      <c r="N495" s="143"/>
      <c r="O495" s="143"/>
      <c r="P495" s="143"/>
      <c r="Q495" s="137"/>
      <c r="R495" s="137"/>
      <c r="S495" s="137"/>
      <c r="T495" s="137"/>
      <c r="U495" s="137"/>
      <c r="V495" s="137"/>
      <c r="W495" s="137"/>
      <c r="X495" s="137"/>
      <c r="Y495" s="137"/>
      <c r="Z495" s="137"/>
      <c r="AA495" s="137"/>
    </row>
    <row r="496" spans="5:27" x14ac:dyDescent="0.35">
      <c r="E496" s="137"/>
      <c r="F496" s="137"/>
      <c r="G496" s="190"/>
      <c r="H496" s="137"/>
      <c r="I496" s="137"/>
      <c r="J496" s="137"/>
      <c r="M496" s="143"/>
      <c r="N496" s="143"/>
      <c r="O496" s="143"/>
      <c r="P496" s="143"/>
      <c r="Q496" s="137"/>
      <c r="R496" s="137"/>
      <c r="S496" s="137"/>
      <c r="T496" s="137"/>
      <c r="U496" s="137"/>
      <c r="V496" s="137"/>
      <c r="W496" s="137"/>
      <c r="X496" s="137"/>
      <c r="Y496" s="137"/>
      <c r="Z496" s="137"/>
      <c r="AA496" s="137"/>
    </row>
    <row r="497" spans="5:27" x14ac:dyDescent="0.35">
      <c r="E497" s="137"/>
      <c r="F497" s="137"/>
      <c r="G497" s="190"/>
      <c r="H497" s="137"/>
      <c r="I497" s="137"/>
      <c r="J497" s="137"/>
      <c r="M497" s="143"/>
      <c r="N497" s="143"/>
      <c r="O497" s="143"/>
      <c r="P497" s="143"/>
      <c r="Q497" s="137"/>
      <c r="R497" s="137"/>
      <c r="S497" s="137"/>
      <c r="T497" s="137"/>
      <c r="U497" s="137"/>
      <c r="V497" s="137"/>
      <c r="W497" s="137"/>
      <c r="X497" s="137"/>
      <c r="Y497" s="137"/>
      <c r="Z497" s="137"/>
      <c r="AA497" s="137"/>
    </row>
    <row r="498" spans="5:27" x14ac:dyDescent="0.35">
      <c r="E498" s="137"/>
      <c r="F498" s="137"/>
      <c r="G498" s="190"/>
      <c r="H498" s="137"/>
      <c r="I498" s="137"/>
      <c r="J498" s="137"/>
      <c r="M498" s="143"/>
      <c r="N498" s="143"/>
      <c r="O498" s="143"/>
      <c r="P498" s="143"/>
      <c r="Q498" s="137"/>
      <c r="R498" s="137"/>
      <c r="S498" s="137"/>
      <c r="T498" s="137"/>
      <c r="U498" s="137"/>
      <c r="V498" s="137"/>
      <c r="W498" s="137"/>
      <c r="X498" s="137"/>
      <c r="Y498" s="137"/>
      <c r="Z498" s="137"/>
      <c r="AA498" s="137"/>
    </row>
    <row r="499" spans="5:27" x14ac:dyDescent="0.35">
      <c r="E499" s="137"/>
      <c r="F499" s="137"/>
      <c r="G499" s="190"/>
      <c r="H499" s="137"/>
      <c r="I499" s="137"/>
      <c r="J499" s="137"/>
      <c r="M499" s="143"/>
      <c r="N499" s="143"/>
      <c r="O499" s="143"/>
      <c r="P499" s="143"/>
      <c r="Q499" s="137"/>
      <c r="R499" s="137"/>
      <c r="S499" s="137"/>
      <c r="T499" s="137"/>
      <c r="U499" s="137"/>
      <c r="V499" s="137"/>
      <c r="W499" s="137"/>
      <c r="X499" s="137"/>
      <c r="Y499" s="137"/>
      <c r="Z499" s="137"/>
      <c r="AA499" s="137"/>
    </row>
    <row r="500" spans="5:27" x14ac:dyDescent="0.35">
      <c r="E500" s="137"/>
      <c r="F500" s="137"/>
      <c r="G500" s="190"/>
      <c r="H500" s="137"/>
      <c r="I500" s="137"/>
      <c r="J500" s="137"/>
      <c r="M500" s="143"/>
      <c r="N500" s="143"/>
      <c r="O500" s="143"/>
      <c r="P500" s="143"/>
      <c r="Q500" s="137"/>
      <c r="R500" s="137"/>
      <c r="S500" s="137"/>
      <c r="T500" s="137"/>
      <c r="U500" s="137"/>
      <c r="V500" s="137"/>
      <c r="W500" s="137"/>
      <c r="X500" s="137"/>
      <c r="Y500" s="137"/>
      <c r="Z500" s="137"/>
      <c r="AA500" s="137"/>
    </row>
    <row r="501" spans="5:27" x14ac:dyDescent="0.35">
      <c r="E501" s="137"/>
      <c r="F501" s="137"/>
      <c r="G501" s="190"/>
      <c r="H501" s="137"/>
      <c r="I501" s="137"/>
      <c r="J501" s="137"/>
      <c r="M501" s="143"/>
      <c r="N501" s="143"/>
      <c r="O501" s="143"/>
      <c r="P501" s="143"/>
      <c r="Q501" s="137"/>
      <c r="R501" s="137"/>
      <c r="S501" s="137"/>
      <c r="T501" s="137"/>
      <c r="U501" s="137"/>
      <c r="V501" s="137"/>
      <c r="W501" s="137"/>
      <c r="X501" s="137"/>
      <c r="Y501" s="137"/>
      <c r="Z501" s="137"/>
      <c r="AA501" s="137"/>
    </row>
    <row r="502" spans="5:27" x14ac:dyDescent="0.35">
      <c r="E502" s="137"/>
      <c r="F502" s="137"/>
      <c r="G502" s="190"/>
      <c r="H502" s="137"/>
      <c r="I502" s="137"/>
      <c r="J502" s="137"/>
      <c r="M502" s="143"/>
      <c r="N502" s="143"/>
      <c r="O502" s="143"/>
      <c r="P502" s="143"/>
      <c r="Q502" s="137"/>
      <c r="R502" s="137"/>
      <c r="S502" s="137"/>
      <c r="T502" s="137"/>
      <c r="U502" s="137"/>
      <c r="V502" s="137"/>
      <c r="W502" s="137"/>
      <c r="X502" s="137"/>
      <c r="Y502" s="137"/>
      <c r="Z502" s="137"/>
      <c r="AA502" s="137"/>
    </row>
    <row r="503" spans="5:27" x14ac:dyDescent="0.35">
      <c r="E503" s="137"/>
      <c r="F503" s="137"/>
      <c r="G503" s="190"/>
      <c r="H503" s="137"/>
      <c r="I503" s="137"/>
      <c r="J503" s="137"/>
      <c r="M503" s="143"/>
      <c r="N503" s="143"/>
      <c r="O503" s="143"/>
      <c r="P503" s="143"/>
      <c r="Q503" s="137"/>
      <c r="R503" s="137"/>
      <c r="S503" s="137"/>
      <c r="T503" s="137"/>
      <c r="U503" s="137"/>
      <c r="V503" s="137"/>
      <c r="W503" s="137"/>
      <c r="X503" s="137"/>
      <c r="Y503" s="137"/>
      <c r="Z503" s="137"/>
      <c r="AA503" s="137"/>
    </row>
    <row r="504" spans="5:27" x14ac:dyDescent="0.35">
      <c r="E504" s="137"/>
      <c r="F504" s="137"/>
      <c r="G504" s="190"/>
      <c r="H504" s="137"/>
      <c r="I504" s="137"/>
      <c r="J504" s="137"/>
      <c r="M504" s="143"/>
      <c r="N504" s="143"/>
      <c r="O504" s="143"/>
      <c r="P504" s="143"/>
      <c r="Q504" s="137"/>
      <c r="R504" s="137"/>
      <c r="S504" s="137"/>
      <c r="T504" s="137"/>
      <c r="U504" s="137"/>
      <c r="V504" s="137"/>
      <c r="W504" s="137"/>
      <c r="X504" s="137"/>
      <c r="Y504" s="137"/>
      <c r="Z504" s="137"/>
      <c r="AA504" s="137"/>
    </row>
    <row r="505" spans="5:27" x14ac:dyDescent="0.35">
      <c r="E505" s="137"/>
      <c r="F505" s="137"/>
      <c r="G505" s="190"/>
      <c r="H505" s="137"/>
      <c r="I505" s="137"/>
      <c r="J505" s="137"/>
      <c r="M505" s="143"/>
      <c r="N505" s="143"/>
      <c r="O505" s="143"/>
      <c r="P505" s="143"/>
      <c r="Q505" s="137"/>
      <c r="R505" s="137"/>
      <c r="S505" s="137"/>
      <c r="T505" s="137"/>
      <c r="U505" s="137"/>
      <c r="V505" s="137"/>
      <c r="W505" s="137"/>
      <c r="X505" s="137"/>
      <c r="Y505" s="137"/>
      <c r="Z505" s="137"/>
      <c r="AA505" s="137"/>
    </row>
    <row r="506" spans="5:27" x14ac:dyDescent="0.35">
      <c r="E506" s="137"/>
      <c r="F506" s="137"/>
      <c r="G506" s="190"/>
      <c r="H506" s="137"/>
      <c r="I506" s="137"/>
      <c r="J506" s="137"/>
      <c r="M506" s="143"/>
      <c r="N506" s="143"/>
      <c r="O506" s="143"/>
      <c r="P506" s="143"/>
      <c r="Q506" s="137"/>
      <c r="R506" s="137"/>
      <c r="S506" s="137"/>
      <c r="T506" s="137"/>
      <c r="U506" s="137"/>
      <c r="V506" s="137"/>
      <c r="W506" s="137"/>
      <c r="X506" s="137"/>
      <c r="Y506" s="137"/>
      <c r="Z506" s="137"/>
      <c r="AA506" s="137"/>
    </row>
    <row r="507" spans="5:27" x14ac:dyDescent="0.35">
      <c r="E507" s="137"/>
      <c r="F507" s="137"/>
      <c r="G507" s="190"/>
      <c r="H507" s="137"/>
      <c r="I507" s="137"/>
      <c r="J507" s="137"/>
      <c r="M507" s="143"/>
      <c r="N507" s="143"/>
      <c r="O507" s="143"/>
      <c r="P507" s="143"/>
      <c r="Q507" s="137"/>
      <c r="R507" s="137"/>
      <c r="S507" s="137"/>
      <c r="T507" s="137"/>
      <c r="U507" s="137"/>
      <c r="V507" s="137"/>
      <c r="W507" s="137"/>
      <c r="X507" s="137"/>
      <c r="Y507" s="137"/>
      <c r="Z507" s="137"/>
      <c r="AA507" s="137"/>
    </row>
    <row r="508" spans="5:27" x14ac:dyDescent="0.35">
      <c r="E508" s="137"/>
      <c r="F508" s="137"/>
      <c r="G508" s="190"/>
      <c r="H508" s="137"/>
      <c r="I508" s="137"/>
      <c r="J508" s="137"/>
      <c r="M508" s="143"/>
      <c r="N508" s="143"/>
      <c r="O508" s="143"/>
      <c r="P508" s="143"/>
      <c r="Q508" s="137"/>
      <c r="R508" s="137"/>
      <c r="S508" s="137"/>
      <c r="T508" s="137"/>
      <c r="U508" s="137"/>
      <c r="V508" s="137"/>
      <c r="W508" s="137"/>
      <c r="X508" s="137"/>
      <c r="Y508" s="137"/>
      <c r="Z508" s="137"/>
      <c r="AA508" s="137"/>
    </row>
    <row r="509" spans="5:27" x14ac:dyDescent="0.35">
      <c r="E509" s="137"/>
      <c r="F509" s="137"/>
      <c r="G509" s="190"/>
      <c r="H509" s="137"/>
      <c r="I509" s="137"/>
      <c r="J509" s="137"/>
      <c r="M509" s="143"/>
      <c r="N509" s="143"/>
      <c r="O509" s="143"/>
      <c r="P509" s="143"/>
      <c r="Q509" s="137"/>
      <c r="R509" s="137"/>
      <c r="S509" s="137"/>
      <c r="T509" s="137"/>
      <c r="U509" s="137"/>
      <c r="V509" s="137"/>
      <c r="W509" s="137"/>
      <c r="X509" s="137"/>
      <c r="Y509" s="137"/>
      <c r="Z509" s="137"/>
      <c r="AA509" s="137"/>
    </row>
    <row r="510" spans="5:27" x14ac:dyDescent="0.35">
      <c r="E510" s="137"/>
      <c r="F510" s="137"/>
      <c r="G510" s="190"/>
      <c r="H510" s="137"/>
      <c r="I510" s="137"/>
      <c r="J510" s="137"/>
      <c r="M510" s="143"/>
      <c r="N510" s="143"/>
      <c r="O510" s="143"/>
      <c r="P510" s="143"/>
      <c r="Q510" s="137"/>
      <c r="R510" s="137"/>
      <c r="S510" s="137"/>
      <c r="T510" s="137"/>
      <c r="U510" s="137"/>
      <c r="V510" s="137"/>
      <c r="W510" s="137"/>
      <c r="X510" s="137"/>
      <c r="Y510" s="137"/>
      <c r="Z510" s="137"/>
      <c r="AA510" s="137"/>
    </row>
    <row r="511" spans="5:27" x14ac:dyDescent="0.35">
      <c r="E511" s="137"/>
      <c r="F511" s="137"/>
      <c r="G511" s="190"/>
      <c r="H511" s="137"/>
      <c r="I511" s="137"/>
      <c r="J511" s="137"/>
      <c r="M511" s="143"/>
      <c r="N511" s="143"/>
      <c r="O511" s="143"/>
      <c r="P511" s="143"/>
      <c r="Q511" s="137"/>
      <c r="R511" s="137"/>
      <c r="S511" s="137"/>
      <c r="T511" s="137"/>
      <c r="U511" s="137"/>
      <c r="V511" s="137"/>
      <c r="W511" s="137"/>
      <c r="X511" s="137"/>
      <c r="Y511" s="137"/>
      <c r="Z511" s="137"/>
      <c r="AA511" s="137"/>
    </row>
    <row r="512" spans="5:27" x14ac:dyDescent="0.35">
      <c r="E512" s="137"/>
      <c r="F512" s="137"/>
      <c r="G512" s="190"/>
      <c r="H512" s="137"/>
      <c r="I512" s="137"/>
      <c r="J512" s="137"/>
      <c r="M512" s="143"/>
      <c r="N512" s="143"/>
      <c r="O512" s="143"/>
      <c r="P512" s="143"/>
      <c r="Q512" s="137"/>
      <c r="R512" s="137"/>
      <c r="S512" s="137"/>
      <c r="T512" s="137"/>
      <c r="U512" s="137"/>
      <c r="V512" s="137"/>
      <c r="W512" s="137"/>
      <c r="X512" s="137"/>
      <c r="Y512" s="137"/>
      <c r="Z512" s="137"/>
      <c r="AA512" s="137"/>
    </row>
    <row r="513" spans="5:27" x14ac:dyDescent="0.35">
      <c r="E513" s="137"/>
      <c r="F513" s="137"/>
      <c r="G513" s="190"/>
      <c r="H513" s="137"/>
      <c r="I513" s="137"/>
      <c r="J513" s="137"/>
      <c r="M513" s="143"/>
      <c r="N513" s="143"/>
      <c r="O513" s="143"/>
      <c r="P513" s="143"/>
      <c r="Q513" s="137"/>
      <c r="R513" s="137"/>
      <c r="S513" s="137"/>
      <c r="T513" s="137"/>
      <c r="U513" s="137"/>
      <c r="V513" s="137"/>
      <c r="W513" s="137"/>
      <c r="X513" s="137"/>
      <c r="Y513" s="137"/>
      <c r="Z513" s="137"/>
      <c r="AA513" s="137"/>
    </row>
    <row r="514" spans="5:27" x14ac:dyDescent="0.35">
      <c r="E514" s="137"/>
      <c r="F514" s="137"/>
      <c r="G514" s="190"/>
      <c r="H514" s="137"/>
      <c r="I514" s="137"/>
      <c r="J514" s="137"/>
      <c r="M514" s="143"/>
      <c r="N514" s="143"/>
      <c r="O514" s="143"/>
      <c r="P514" s="143"/>
      <c r="Q514" s="137"/>
      <c r="R514" s="137"/>
      <c r="S514" s="137"/>
      <c r="T514" s="137"/>
      <c r="U514" s="137"/>
      <c r="V514" s="137"/>
      <c r="W514" s="137"/>
      <c r="X514" s="137"/>
      <c r="Y514" s="137"/>
      <c r="Z514" s="137"/>
      <c r="AA514" s="137"/>
    </row>
    <row r="515" spans="5:27" x14ac:dyDescent="0.35">
      <c r="E515" s="137"/>
      <c r="F515" s="137"/>
      <c r="G515" s="190"/>
      <c r="H515" s="137"/>
      <c r="I515" s="137"/>
      <c r="J515" s="137"/>
      <c r="M515" s="143"/>
      <c r="N515" s="143"/>
      <c r="O515" s="143"/>
      <c r="P515" s="143"/>
      <c r="Q515" s="137"/>
      <c r="R515" s="137"/>
      <c r="S515" s="137"/>
      <c r="T515" s="137"/>
      <c r="U515" s="137"/>
      <c r="V515" s="137"/>
      <c r="W515" s="137"/>
      <c r="X515" s="137"/>
      <c r="Y515" s="137"/>
      <c r="Z515" s="137"/>
      <c r="AA515" s="137"/>
    </row>
    <row r="516" spans="5:27" x14ac:dyDescent="0.35">
      <c r="E516" s="137"/>
      <c r="F516" s="137"/>
      <c r="G516" s="190"/>
      <c r="H516" s="137"/>
      <c r="I516" s="137"/>
      <c r="J516" s="137"/>
      <c r="M516" s="143"/>
      <c r="N516" s="143"/>
      <c r="O516" s="143"/>
      <c r="P516" s="143"/>
      <c r="Q516" s="137"/>
      <c r="R516" s="137"/>
      <c r="S516" s="137"/>
      <c r="T516" s="137"/>
      <c r="U516" s="137"/>
      <c r="V516" s="137"/>
      <c r="W516" s="137"/>
      <c r="X516" s="137"/>
      <c r="Y516" s="137"/>
      <c r="Z516" s="137"/>
      <c r="AA516" s="137"/>
    </row>
    <row r="517" spans="5:27" x14ac:dyDescent="0.35">
      <c r="E517" s="137"/>
      <c r="F517" s="137"/>
      <c r="G517" s="190"/>
      <c r="H517" s="137"/>
      <c r="I517" s="137"/>
      <c r="J517" s="137"/>
      <c r="M517" s="143"/>
      <c r="N517" s="143"/>
      <c r="O517" s="143"/>
      <c r="P517" s="143"/>
      <c r="Q517" s="137"/>
      <c r="R517" s="137"/>
      <c r="S517" s="137"/>
      <c r="T517" s="137"/>
      <c r="U517" s="137"/>
      <c r="V517" s="137"/>
      <c r="W517" s="137"/>
      <c r="X517" s="137"/>
      <c r="Y517" s="137"/>
      <c r="Z517" s="137"/>
      <c r="AA517" s="137"/>
    </row>
    <row r="518" spans="5:27" x14ac:dyDescent="0.35">
      <c r="E518" s="137"/>
      <c r="F518" s="137"/>
      <c r="G518" s="190"/>
      <c r="H518" s="137"/>
      <c r="I518" s="137"/>
      <c r="J518" s="137"/>
      <c r="M518" s="143"/>
      <c r="N518" s="143"/>
      <c r="O518" s="143"/>
      <c r="P518" s="143"/>
      <c r="Q518" s="137"/>
      <c r="R518" s="137"/>
      <c r="S518" s="137"/>
      <c r="T518" s="137"/>
      <c r="U518" s="137"/>
      <c r="V518" s="137"/>
      <c r="W518" s="137"/>
      <c r="X518" s="137"/>
      <c r="Y518" s="137"/>
      <c r="Z518" s="137"/>
      <c r="AA518" s="137"/>
    </row>
    <row r="519" spans="5:27" x14ac:dyDescent="0.35">
      <c r="E519" s="137"/>
      <c r="F519" s="137"/>
      <c r="G519" s="190"/>
      <c r="H519" s="137"/>
      <c r="I519" s="137"/>
      <c r="J519" s="137"/>
      <c r="M519" s="143"/>
      <c r="N519" s="143"/>
      <c r="O519" s="143"/>
      <c r="P519" s="143"/>
      <c r="Q519" s="137"/>
      <c r="R519" s="137"/>
      <c r="S519" s="137"/>
      <c r="T519" s="137"/>
      <c r="U519" s="137"/>
      <c r="V519" s="137"/>
      <c r="W519" s="137"/>
      <c r="X519" s="137"/>
      <c r="Y519" s="137"/>
      <c r="Z519" s="137"/>
      <c r="AA519" s="137"/>
    </row>
    <row r="520" spans="5:27" x14ac:dyDescent="0.35">
      <c r="E520" s="137"/>
      <c r="F520" s="137"/>
      <c r="G520" s="190"/>
      <c r="H520" s="137"/>
      <c r="I520" s="137"/>
      <c r="J520" s="137"/>
      <c r="M520" s="143"/>
      <c r="N520" s="143"/>
      <c r="O520" s="143"/>
      <c r="P520" s="143"/>
      <c r="Q520" s="137"/>
      <c r="R520" s="137"/>
      <c r="S520" s="137"/>
      <c r="T520" s="137"/>
      <c r="U520" s="137"/>
      <c r="V520" s="137"/>
      <c r="W520" s="137"/>
      <c r="X520" s="137"/>
      <c r="Y520" s="137"/>
      <c r="Z520" s="137"/>
      <c r="AA520" s="137"/>
    </row>
    <row r="521" spans="5:27" x14ac:dyDescent="0.35">
      <c r="E521" s="137"/>
      <c r="F521" s="137"/>
      <c r="G521" s="190"/>
      <c r="H521" s="137"/>
      <c r="I521" s="137"/>
      <c r="J521" s="137"/>
      <c r="M521" s="143"/>
      <c r="N521" s="143"/>
      <c r="O521" s="143"/>
      <c r="P521" s="143"/>
      <c r="Q521" s="137"/>
      <c r="R521" s="137"/>
      <c r="S521" s="137"/>
      <c r="T521" s="137"/>
      <c r="U521" s="137"/>
      <c r="V521" s="137"/>
      <c r="W521" s="137"/>
      <c r="X521" s="137"/>
      <c r="Y521" s="137"/>
      <c r="Z521" s="137"/>
      <c r="AA521" s="137"/>
    </row>
    <row r="522" spans="5:27" x14ac:dyDescent="0.35">
      <c r="E522" s="137"/>
      <c r="F522" s="137"/>
      <c r="G522" s="190"/>
      <c r="H522" s="137"/>
      <c r="I522" s="137"/>
      <c r="J522" s="137"/>
      <c r="M522" s="143"/>
      <c r="N522" s="143"/>
      <c r="O522" s="143"/>
      <c r="P522" s="143"/>
      <c r="Q522" s="137"/>
      <c r="R522" s="137"/>
      <c r="S522" s="137"/>
      <c r="T522" s="137"/>
      <c r="U522" s="137"/>
      <c r="V522" s="137"/>
      <c r="W522" s="137"/>
      <c r="X522" s="137"/>
      <c r="Y522" s="137"/>
      <c r="Z522" s="137"/>
      <c r="AA522" s="137"/>
    </row>
    <row r="523" spans="5:27" x14ac:dyDescent="0.35">
      <c r="E523" s="137"/>
      <c r="F523" s="137"/>
      <c r="G523" s="190"/>
      <c r="H523" s="137"/>
      <c r="I523" s="137"/>
      <c r="J523" s="137"/>
      <c r="M523" s="143"/>
      <c r="N523" s="143"/>
      <c r="O523" s="143"/>
      <c r="P523" s="143"/>
      <c r="Q523" s="137"/>
      <c r="R523" s="137"/>
      <c r="S523" s="137"/>
      <c r="T523" s="137"/>
      <c r="U523" s="137"/>
      <c r="V523" s="137"/>
      <c r="W523" s="137"/>
      <c r="X523" s="137"/>
      <c r="Y523" s="137"/>
      <c r="Z523" s="137"/>
      <c r="AA523" s="137"/>
    </row>
    <row r="524" spans="5:27" x14ac:dyDescent="0.35">
      <c r="E524" s="137"/>
      <c r="F524" s="137"/>
      <c r="G524" s="190"/>
      <c r="H524" s="137"/>
      <c r="I524" s="137"/>
      <c r="J524" s="137"/>
      <c r="M524" s="143"/>
      <c r="N524" s="143"/>
      <c r="O524" s="143"/>
      <c r="P524" s="143"/>
      <c r="Q524" s="137"/>
      <c r="R524" s="137"/>
      <c r="S524" s="137"/>
      <c r="T524" s="137"/>
      <c r="U524" s="137"/>
      <c r="V524" s="137"/>
      <c r="W524" s="137"/>
      <c r="X524" s="137"/>
      <c r="Y524" s="137"/>
      <c r="Z524" s="137"/>
      <c r="AA524" s="137"/>
    </row>
    <row r="525" spans="5:27" x14ac:dyDescent="0.35">
      <c r="E525" s="137"/>
      <c r="F525" s="137"/>
      <c r="G525" s="190"/>
      <c r="H525" s="137"/>
      <c r="I525" s="137"/>
      <c r="J525" s="137"/>
      <c r="M525" s="143"/>
      <c r="N525" s="143"/>
      <c r="O525" s="143"/>
      <c r="P525" s="143"/>
      <c r="Q525" s="137"/>
      <c r="R525" s="137"/>
      <c r="S525" s="137"/>
      <c r="T525" s="137"/>
      <c r="U525" s="137"/>
      <c r="V525" s="137"/>
      <c r="W525" s="137"/>
      <c r="X525" s="137"/>
      <c r="Y525" s="137"/>
      <c r="Z525" s="137"/>
      <c r="AA525" s="137"/>
    </row>
    <row r="526" spans="5:27" x14ac:dyDescent="0.35">
      <c r="E526" s="137"/>
      <c r="F526" s="137"/>
      <c r="G526" s="190"/>
      <c r="H526" s="137"/>
      <c r="I526" s="137"/>
      <c r="J526" s="137"/>
      <c r="M526" s="143"/>
      <c r="N526" s="143"/>
      <c r="O526" s="143"/>
      <c r="P526" s="143"/>
      <c r="Q526" s="137"/>
      <c r="R526" s="137"/>
      <c r="S526" s="137"/>
      <c r="T526" s="137"/>
      <c r="U526" s="137"/>
      <c r="V526" s="137"/>
      <c r="W526" s="137"/>
      <c r="X526" s="137"/>
      <c r="Y526" s="137"/>
      <c r="Z526" s="137"/>
      <c r="AA526" s="137"/>
    </row>
    <row r="527" spans="5:27" x14ac:dyDescent="0.35">
      <c r="E527" s="137"/>
      <c r="F527" s="137"/>
      <c r="G527" s="190"/>
      <c r="H527" s="137"/>
      <c r="I527" s="137"/>
      <c r="J527" s="137"/>
      <c r="M527" s="143"/>
      <c r="N527" s="143"/>
      <c r="O527" s="143"/>
      <c r="P527" s="143"/>
      <c r="Q527" s="137"/>
      <c r="R527" s="137"/>
      <c r="S527" s="137"/>
      <c r="T527" s="137"/>
      <c r="U527" s="137"/>
      <c r="V527" s="137"/>
      <c r="W527" s="137"/>
      <c r="X527" s="137"/>
      <c r="Y527" s="137"/>
      <c r="Z527" s="137"/>
      <c r="AA527" s="137"/>
    </row>
    <row r="528" spans="5:27" x14ac:dyDescent="0.35">
      <c r="E528" s="137"/>
      <c r="F528" s="137"/>
      <c r="G528" s="190"/>
      <c r="H528" s="137"/>
      <c r="I528" s="137"/>
      <c r="J528" s="137"/>
      <c r="M528" s="143"/>
      <c r="N528" s="143"/>
      <c r="O528" s="143"/>
      <c r="P528" s="143"/>
      <c r="Q528" s="137"/>
      <c r="R528" s="137"/>
      <c r="S528" s="137"/>
      <c r="T528" s="137"/>
      <c r="U528" s="137"/>
      <c r="V528" s="137"/>
      <c r="W528" s="137"/>
      <c r="X528" s="137"/>
      <c r="Y528" s="137"/>
      <c r="Z528" s="137"/>
      <c r="AA528" s="137"/>
    </row>
    <row r="529" spans="5:27" x14ac:dyDescent="0.35">
      <c r="E529" s="137"/>
      <c r="F529" s="137"/>
      <c r="G529" s="190"/>
      <c r="H529" s="137"/>
      <c r="I529" s="137"/>
      <c r="J529" s="137"/>
      <c r="M529" s="143"/>
      <c r="N529" s="143"/>
      <c r="O529" s="143"/>
      <c r="P529" s="143"/>
      <c r="Q529" s="137"/>
      <c r="R529" s="137"/>
      <c r="S529" s="137"/>
      <c r="T529" s="137"/>
      <c r="U529" s="137"/>
      <c r="V529" s="137"/>
      <c r="W529" s="137"/>
      <c r="X529" s="137"/>
      <c r="Y529" s="137"/>
      <c r="Z529" s="137"/>
      <c r="AA529" s="137"/>
    </row>
    <row r="530" spans="5:27" x14ac:dyDescent="0.35">
      <c r="E530" s="137"/>
      <c r="F530" s="137"/>
      <c r="G530" s="190"/>
      <c r="H530" s="137"/>
      <c r="I530" s="137"/>
      <c r="J530" s="137"/>
      <c r="M530" s="143"/>
      <c r="N530" s="143"/>
      <c r="O530" s="143"/>
      <c r="P530" s="143"/>
      <c r="Q530" s="137"/>
      <c r="R530" s="137"/>
      <c r="S530" s="137"/>
      <c r="T530" s="137"/>
      <c r="U530" s="137"/>
      <c r="V530" s="137"/>
      <c r="W530" s="137"/>
      <c r="X530" s="137"/>
      <c r="Y530" s="137"/>
      <c r="Z530" s="137"/>
      <c r="AA530" s="137"/>
    </row>
    <row r="531" spans="5:27" x14ac:dyDescent="0.35">
      <c r="E531" s="137"/>
      <c r="F531" s="137"/>
      <c r="G531" s="190"/>
      <c r="H531" s="137"/>
      <c r="I531" s="137"/>
      <c r="J531" s="137"/>
      <c r="M531" s="143"/>
      <c r="N531" s="143"/>
      <c r="O531" s="143"/>
      <c r="P531" s="143"/>
      <c r="Q531" s="137"/>
      <c r="R531" s="137"/>
      <c r="S531" s="137"/>
      <c r="T531" s="137"/>
      <c r="U531" s="137"/>
      <c r="V531" s="137"/>
      <c r="W531" s="137"/>
      <c r="X531" s="137"/>
      <c r="Y531" s="137"/>
      <c r="Z531" s="137"/>
      <c r="AA531" s="137"/>
    </row>
    <row r="532" spans="5:27" x14ac:dyDescent="0.35">
      <c r="E532" s="137"/>
      <c r="F532" s="137"/>
      <c r="G532" s="190"/>
      <c r="H532" s="137"/>
      <c r="I532" s="137"/>
      <c r="J532" s="137"/>
      <c r="M532" s="143"/>
      <c r="N532" s="143"/>
      <c r="O532" s="143"/>
      <c r="P532" s="143"/>
      <c r="Q532" s="137"/>
      <c r="R532" s="137"/>
      <c r="S532" s="137"/>
      <c r="T532" s="137"/>
      <c r="U532" s="137"/>
      <c r="V532" s="137"/>
      <c r="W532" s="137"/>
      <c r="X532" s="137"/>
      <c r="Y532" s="137"/>
      <c r="Z532" s="137"/>
      <c r="AA532" s="137"/>
    </row>
    <row r="533" spans="5:27" x14ac:dyDescent="0.35">
      <c r="E533" s="137"/>
      <c r="F533" s="137"/>
      <c r="G533" s="190"/>
      <c r="H533" s="137"/>
      <c r="I533" s="137"/>
      <c r="J533" s="137"/>
      <c r="M533" s="143"/>
      <c r="N533" s="143"/>
      <c r="O533" s="143"/>
      <c r="P533" s="143"/>
      <c r="Q533" s="137"/>
      <c r="R533" s="137"/>
      <c r="S533" s="137"/>
      <c r="T533" s="137"/>
      <c r="U533" s="137"/>
      <c r="V533" s="137"/>
      <c r="W533" s="137"/>
      <c r="X533" s="137"/>
      <c r="Y533" s="137"/>
      <c r="Z533" s="137"/>
      <c r="AA533" s="137"/>
    </row>
    <row r="534" spans="5:27" x14ac:dyDescent="0.35">
      <c r="E534" s="137"/>
      <c r="F534" s="137"/>
      <c r="G534" s="190"/>
      <c r="H534" s="137"/>
      <c r="I534" s="137"/>
      <c r="J534" s="137"/>
      <c r="M534" s="143"/>
      <c r="N534" s="143"/>
      <c r="O534" s="143"/>
      <c r="P534" s="143"/>
      <c r="Q534" s="137"/>
      <c r="R534" s="137"/>
      <c r="S534" s="137"/>
      <c r="T534" s="137"/>
      <c r="U534" s="137"/>
      <c r="V534" s="137"/>
      <c r="W534" s="137"/>
      <c r="X534" s="137"/>
      <c r="Y534" s="137"/>
      <c r="Z534" s="137"/>
      <c r="AA534" s="137"/>
    </row>
    <row r="535" spans="5:27" x14ac:dyDescent="0.35">
      <c r="E535" s="137"/>
      <c r="F535" s="137"/>
      <c r="G535" s="190"/>
      <c r="H535" s="137"/>
      <c r="I535" s="137"/>
      <c r="J535" s="137"/>
      <c r="M535" s="143"/>
      <c r="N535" s="143"/>
      <c r="O535" s="143"/>
      <c r="P535" s="143"/>
      <c r="Q535" s="137"/>
      <c r="R535" s="137"/>
      <c r="S535" s="137"/>
      <c r="T535" s="137"/>
      <c r="U535" s="137"/>
      <c r="V535" s="137"/>
      <c r="W535" s="137"/>
      <c r="X535" s="137"/>
      <c r="Y535" s="137"/>
      <c r="Z535" s="137"/>
      <c r="AA535" s="137"/>
    </row>
    <row r="536" spans="5:27" x14ac:dyDescent="0.35">
      <c r="E536" s="137"/>
      <c r="F536" s="137"/>
      <c r="G536" s="190"/>
      <c r="H536" s="137"/>
      <c r="I536" s="137"/>
      <c r="J536" s="137"/>
      <c r="M536" s="143"/>
      <c r="N536" s="143"/>
      <c r="O536" s="143"/>
      <c r="P536" s="143"/>
      <c r="Q536" s="137"/>
      <c r="R536" s="137"/>
      <c r="S536" s="137"/>
      <c r="T536" s="137"/>
      <c r="U536" s="137"/>
      <c r="V536" s="137"/>
      <c r="W536" s="137"/>
      <c r="X536" s="137"/>
      <c r="Y536" s="137"/>
      <c r="Z536" s="137"/>
      <c r="AA536" s="137"/>
    </row>
    <row r="537" spans="5:27" x14ac:dyDescent="0.35">
      <c r="E537" s="137"/>
      <c r="F537" s="137"/>
      <c r="G537" s="190"/>
      <c r="H537" s="137"/>
      <c r="I537" s="137"/>
      <c r="J537" s="137"/>
      <c r="M537" s="143"/>
      <c r="N537" s="143"/>
      <c r="O537" s="143"/>
      <c r="P537" s="143"/>
      <c r="Q537" s="137"/>
      <c r="R537" s="137"/>
      <c r="S537" s="137"/>
      <c r="T537" s="137"/>
      <c r="U537" s="137"/>
      <c r="V537" s="137"/>
      <c r="W537" s="137"/>
      <c r="X537" s="137"/>
      <c r="Y537" s="137"/>
      <c r="Z537" s="137"/>
      <c r="AA537" s="137"/>
    </row>
    <row r="538" spans="5:27" x14ac:dyDescent="0.35">
      <c r="E538" s="137"/>
      <c r="F538" s="137"/>
      <c r="G538" s="190"/>
      <c r="H538" s="137"/>
      <c r="I538" s="137"/>
      <c r="J538" s="137"/>
      <c r="M538" s="143"/>
      <c r="N538" s="143"/>
      <c r="O538" s="143"/>
      <c r="P538" s="143"/>
      <c r="Q538" s="137"/>
      <c r="R538" s="137"/>
      <c r="S538" s="137"/>
      <c r="T538" s="137"/>
      <c r="U538" s="137"/>
      <c r="V538" s="137"/>
      <c r="W538" s="137"/>
      <c r="X538" s="137"/>
      <c r="Y538" s="137"/>
      <c r="Z538" s="137"/>
      <c r="AA538" s="137"/>
    </row>
    <row r="539" spans="5:27" x14ac:dyDescent="0.35">
      <c r="E539" s="137"/>
      <c r="F539" s="137"/>
      <c r="G539" s="190"/>
      <c r="H539" s="137"/>
      <c r="I539" s="137"/>
      <c r="J539" s="137"/>
      <c r="M539" s="143"/>
      <c r="N539" s="143"/>
      <c r="O539" s="143"/>
      <c r="P539" s="143"/>
      <c r="Q539" s="137"/>
      <c r="R539" s="137"/>
      <c r="S539" s="137"/>
      <c r="T539" s="137"/>
      <c r="U539" s="137"/>
      <c r="V539" s="137"/>
      <c r="W539" s="137"/>
      <c r="X539" s="137"/>
      <c r="Y539" s="137"/>
      <c r="Z539" s="137"/>
      <c r="AA539" s="137"/>
    </row>
    <row r="540" spans="5:27" x14ac:dyDescent="0.35">
      <c r="E540" s="137"/>
      <c r="F540" s="137"/>
      <c r="G540" s="190"/>
      <c r="H540" s="137"/>
      <c r="I540" s="137"/>
      <c r="J540" s="137"/>
      <c r="M540" s="143"/>
      <c r="N540" s="143"/>
      <c r="O540" s="143"/>
      <c r="P540" s="143"/>
      <c r="Q540" s="137"/>
      <c r="R540" s="137"/>
      <c r="S540" s="137"/>
      <c r="T540" s="137"/>
      <c r="U540" s="137"/>
      <c r="V540" s="137"/>
      <c r="W540" s="137"/>
      <c r="X540" s="137"/>
      <c r="Y540" s="137"/>
      <c r="Z540" s="137"/>
      <c r="AA540" s="137"/>
    </row>
    <row r="541" spans="5:27" x14ac:dyDescent="0.35">
      <c r="E541" s="137"/>
      <c r="F541" s="137"/>
      <c r="G541" s="190"/>
      <c r="H541" s="137"/>
      <c r="I541" s="137"/>
      <c r="J541" s="137"/>
      <c r="M541" s="143"/>
      <c r="N541" s="143"/>
      <c r="O541" s="143"/>
      <c r="P541" s="143"/>
      <c r="Q541" s="137"/>
      <c r="R541" s="137"/>
      <c r="S541" s="137"/>
      <c r="T541" s="137"/>
      <c r="U541" s="137"/>
      <c r="V541" s="137"/>
      <c r="W541" s="137"/>
      <c r="X541" s="137"/>
      <c r="Y541" s="137"/>
      <c r="Z541" s="137"/>
      <c r="AA541" s="137"/>
    </row>
    <row r="542" spans="5:27" x14ac:dyDescent="0.35">
      <c r="E542" s="137"/>
      <c r="F542" s="137"/>
      <c r="G542" s="190"/>
      <c r="H542" s="137"/>
      <c r="I542" s="137"/>
      <c r="J542" s="137"/>
      <c r="M542" s="143"/>
      <c r="N542" s="143"/>
      <c r="O542" s="143"/>
      <c r="P542" s="143"/>
      <c r="Q542" s="137"/>
      <c r="R542" s="137"/>
      <c r="S542" s="137"/>
      <c r="T542" s="137"/>
      <c r="U542" s="137"/>
      <c r="V542" s="137"/>
      <c r="W542" s="137"/>
      <c r="X542" s="137"/>
      <c r="Y542" s="137"/>
      <c r="Z542" s="137"/>
      <c r="AA542" s="137"/>
    </row>
    <row r="543" spans="5:27" x14ac:dyDescent="0.35">
      <c r="E543" s="137"/>
      <c r="F543" s="137"/>
      <c r="G543" s="190"/>
      <c r="H543" s="137"/>
      <c r="I543" s="137"/>
      <c r="J543" s="137"/>
      <c r="M543" s="143"/>
      <c r="N543" s="143"/>
      <c r="O543" s="143"/>
      <c r="P543" s="143"/>
      <c r="Q543" s="137"/>
      <c r="R543" s="137"/>
      <c r="S543" s="137"/>
      <c r="T543" s="137"/>
      <c r="U543" s="137"/>
      <c r="V543" s="137"/>
      <c r="W543" s="137"/>
      <c r="X543" s="137"/>
      <c r="Y543" s="137"/>
      <c r="Z543" s="137"/>
      <c r="AA543" s="137"/>
    </row>
    <row r="544" spans="5:27" x14ac:dyDescent="0.35">
      <c r="E544" s="137"/>
      <c r="F544" s="137"/>
      <c r="G544" s="190"/>
      <c r="H544" s="137"/>
      <c r="I544" s="137"/>
      <c r="J544" s="137"/>
      <c r="M544" s="143"/>
      <c r="N544" s="143"/>
      <c r="O544" s="143"/>
      <c r="P544" s="143"/>
      <c r="Q544" s="137"/>
      <c r="R544" s="137"/>
      <c r="S544" s="137"/>
      <c r="T544" s="137"/>
      <c r="U544" s="137"/>
      <c r="V544" s="137"/>
      <c r="W544" s="137"/>
      <c r="X544" s="137"/>
      <c r="Y544" s="137"/>
      <c r="Z544" s="137"/>
      <c r="AA544" s="137"/>
    </row>
    <row r="545" spans="5:27" x14ac:dyDescent="0.35">
      <c r="E545" s="137"/>
      <c r="F545" s="137"/>
      <c r="G545" s="190"/>
      <c r="H545" s="137"/>
      <c r="I545" s="137"/>
      <c r="J545" s="137"/>
      <c r="M545" s="143"/>
      <c r="N545" s="143"/>
      <c r="O545" s="143"/>
      <c r="P545" s="143"/>
      <c r="Q545" s="137"/>
      <c r="R545" s="137"/>
      <c r="S545" s="137"/>
      <c r="T545" s="137"/>
      <c r="U545" s="137"/>
      <c r="V545" s="137"/>
      <c r="W545" s="137"/>
      <c r="X545" s="137"/>
      <c r="Y545" s="137"/>
      <c r="Z545" s="137"/>
      <c r="AA545" s="137"/>
    </row>
    <row r="546" spans="5:27" x14ac:dyDescent="0.35">
      <c r="E546" s="137"/>
      <c r="F546" s="137"/>
      <c r="G546" s="190"/>
      <c r="H546" s="137"/>
      <c r="I546" s="137"/>
      <c r="J546" s="137"/>
      <c r="M546" s="143"/>
      <c r="N546" s="143"/>
      <c r="O546" s="143"/>
      <c r="P546" s="143"/>
      <c r="Q546" s="137"/>
      <c r="R546" s="137"/>
      <c r="S546" s="137"/>
      <c r="T546" s="137"/>
      <c r="U546" s="137"/>
      <c r="V546" s="137"/>
      <c r="W546" s="137"/>
      <c r="X546" s="137"/>
      <c r="Y546" s="137"/>
      <c r="Z546" s="137"/>
      <c r="AA546" s="137"/>
    </row>
    <row r="547" spans="5:27" x14ac:dyDescent="0.35">
      <c r="E547" s="137"/>
      <c r="F547" s="137"/>
      <c r="G547" s="190"/>
      <c r="H547" s="137"/>
      <c r="I547" s="137"/>
      <c r="J547" s="137"/>
      <c r="M547" s="143"/>
      <c r="N547" s="143"/>
      <c r="O547" s="143"/>
      <c r="P547" s="143"/>
      <c r="Q547" s="137"/>
      <c r="R547" s="137"/>
      <c r="S547" s="137"/>
      <c r="T547" s="137"/>
      <c r="U547" s="137"/>
      <c r="V547" s="137"/>
      <c r="W547" s="137"/>
      <c r="X547" s="137"/>
      <c r="Y547" s="137"/>
      <c r="Z547" s="137"/>
      <c r="AA547" s="137"/>
    </row>
    <row r="548" spans="5:27" x14ac:dyDescent="0.35">
      <c r="E548" s="137"/>
      <c r="F548" s="137"/>
      <c r="G548" s="190"/>
      <c r="H548" s="137"/>
      <c r="I548" s="137"/>
      <c r="J548" s="137"/>
      <c r="M548" s="143"/>
      <c r="N548" s="143"/>
      <c r="O548" s="143"/>
      <c r="P548" s="143"/>
      <c r="Q548" s="137"/>
      <c r="R548" s="137"/>
      <c r="S548" s="137"/>
      <c r="T548" s="137"/>
      <c r="U548" s="137"/>
      <c r="V548" s="137"/>
      <c r="W548" s="137"/>
      <c r="X548" s="137"/>
      <c r="Y548" s="137"/>
      <c r="Z548" s="137"/>
      <c r="AA548" s="137"/>
    </row>
    <row r="549" spans="5:27" x14ac:dyDescent="0.35">
      <c r="E549" s="137"/>
      <c r="F549" s="137"/>
      <c r="G549" s="190"/>
      <c r="H549" s="137"/>
      <c r="I549" s="137"/>
      <c r="J549" s="137"/>
      <c r="M549" s="143"/>
      <c r="N549" s="143"/>
      <c r="O549" s="143"/>
      <c r="P549" s="143"/>
      <c r="Q549" s="137"/>
      <c r="R549" s="137"/>
      <c r="S549" s="137"/>
      <c r="T549" s="137"/>
      <c r="U549" s="137"/>
      <c r="V549" s="137"/>
      <c r="W549" s="137"/>
      <c r="X549" s="137"/>
      <c r="Y549" s="137"/>
      <c r="Z549" s="137"/>
      <c r="AA549" s="137"/>
    </row>
    <row r="550" spans="5:27" x14ac:dyDescent="0.35">
      <c r="E550" s="137"/>
      <c r="F550" s="137"/>
      <c r="G550" s="190"/>
      <c r="H550" s="137"/>
      <c r="I550" s="137"/>
      <c r="J550" s="137"/>
      <c r="M550" s="143"/>
      <c r="N550" s="143"/>
      <c r="O550" s="143"/>
      <c r="P550" s="143"/>
      <c r="Q550" s="137"/>
      <c r="R550" s="137"/>
      <c r="S550" s="137"/>
      <c r="T550" s="137"/>
      <c r="U550" s="137"/>
      <c r="V550" s="137"/>
      <c r="W550" s="137"/>
      <c r="X550" s="137"/>
      <c r="Y550" s="137"/>
      <c r="Z550" s="137"/>
      <c r="AA550" s="137"/>
    </row>
    <row r="551" spans="5:27" x14ac:dyDescent="0.35">
      <c r="E551" s="137"/>
      <c r="F551" s="137"/>
      <c r="G551" s="190"/>
      <c r="H551" s="137"/>
      <c r="I551" s="137"/>
      <c r="J551" s="137"/>
      <c r="M551" s="143"/>
      <c r="N551" s="143"/>
      <c r="O551" s="143"/>
      <c r="P551" s="143"/>
      <c r="Q551" s="137"/>
      <c r="R551" s="137"/>
      <c r="S551" s="137"/>
      <c r="T551" s="137"/>
      <c r="U551" s="137"/>
      <c r="V551" s="137"/>
      <c r="W551" s="137"/>
      <c r="X551" s="137"/>
      <c r="Y551" s="137"/>
      <c r="Z551" s="137"/>
      <c r="AA551" s="137"/>
    </row>
    <row r="552" spans="5:27" x14ac:dyDescent="0.35">
      <c r="E552" s="137"/>
      <c r="F552" s="137"/>
      <c r="G552" s="190"/>
      <c r="H552" s="137"/>
      <c r="I552" s="137"/>
      <c r="J552" s="137"/>
      <c r="M552" s="143"/>
      <c r="N552" s="143"/>
      <c r="O552" s="143"/>
      <c r="P552" s="143"/>
      <c r="Q552" s="137"/>
      <c r="R552" s="137"/>
      <c r="S552" s="137"/>
      <c r="T552" s="137"/>
      <c r="U552" s="137"/>
      <c r="V552" s="137"/>
      <c r="W552" s="137"/>
      <c r="X552" s="137"/>
      <c r="Y552" s="137"/>
      <c r="Z552" s="137"/>
      <c r="AA552" s="137"/>
    </row>
    <row r="553" spans="5:27" x14ac:dyDescent="0.35">
      <c r="E553" s="137"/>
      <c r="F553" s="137"/>
      <c r="G553" s="190"/>
      <c r="H553" s="137"/>
      <c r="I553" s="137"/>
      <c r="J553" s="137"/>
      <c r="M553" s="143"/>
      <c r="N553" s="143"/>
      <c r="O553" s="143"/>
      <c r="P553" s="143"/>
      <c r="Q553" s="137"/>
      <c r="R553" s="137"/>
      <c r="S553" s="137"/>
      <c r="T553" s="137"/>
      <c r="U553" s="137"/>
      <c r="V553" s="137"/>
      <c r="W553" s="137"/>
      <c r="X553" s="137"/>
      <c r="Y553" s="137"/>
      <c r="Z553" s="137"/>
      <c r="AA553" s="137"/>
    </row>
    <row r="554" spans="5:27" x14ac:dyDescent="0.35">
      <c r="E554" s="137"/>
      <c r="F554" s="137"/>
      <c r="G554" s="190"/>
      <c r="H554" s="137"/>
      <c r="I554" s="137"/>
      <c r="J554" s="137"/>
      <c r="M554" s="143"/>
      <c r="N554" s="143"/>
      <c r="O554" s="143"/>
      <c r="P554" s="143"/>
      <c r="Q554" s="137"/>
      <c r="R554" s="137"/>
      <c r="S554" s="137"/>
      <c r="T554" s="137"/>
      <c r="U554" s="137"/>
      <c r="V554" s="137"/>
      <c r="W554" s="137"/>
      <c r="X554" s="137"/>
      <c r="Y554" s="137"/>
      <c r="Z554" s="137"/>
      <c r="AA554" s="137"/>
    </row>
    <row r="555" spans="5:27" x14ac:dyDescent="0.35">
      <c r="E555" s="137"/>
      <c r="F555" s="137"/>
      <c r="G555" s="190"/>
      <c r="H555" s="137"/>
      <c r="I555" s="137"/>
      <c r="J555" s="137"/>
      <c r="M555" s="143"/>
      <c r="N555" s="143"/>
      <c r="O555" s="143"/>
      <c r="P555" s="143"/>
      <c r="Q555" s="137"/>
      <c r="R555" s="137"/>
      <c r="S555" s="137"/>
      <c r="T555" s="137"/>
      <c r="U555" s="137"/>
      <c r="V555" s="137"/>
      <c r="W555" s="137"/>
      <c r="X555" s="137"/>
      <c r="Y555" s="137"/>
      <c r="Z555" s="137"/>
      <c r="AA555" s="137"/>
    </row>
    <row r="556" spans="5:27" x14ac:dyDescent="0.35">
      <c r="E556" s="137"/>
      <c r="F556" s="137"/>
      <c r="G556" s="190"/>
      <c r="H556" s="137"/>
      <c r="I556" s="137"/>
      <c r="J556" s="137"/>
      <c r="M556" s="143"/>
      <c r="N556" s="143"/>
      <c r="O556" s="143"/>
      <c r="P556" s="143"/>
      <c r="Q556" s="137"/>
      <c r="R556" s="137"/>
      <c r="S556" s="137"/>
      <c r="T556" s="137"/>
      <c r="U556" s="137"/>
      <c r="V556" s="137"/>
      <c r="W556" s="137"/>
      <c r="X556" s="137"/>
      <c r="Y556" s="137"/>
      <c r="Z556" s="137"/>
      <c r="AA556" s="137"/>
    </row>
    <row r="557" spans="5:27" x14ac:dyDescent="0.35">
      <c r="E557" s="137"/>
      <c r="F557" s="137"/>
      <c r="G557" s="190"/>
      <c r="H557" s="137"/>
      <c r="I557" s="137"/>
      <c r="J557" s="137"/>
      <c r="M557" s="143"/>
      <c r="N557" s="143"/>
      <c r="O557" s="143"/>
      <c r="P557" s="143"/>
      <c r="Q557" s="137"/>
      <c r="R557" s="137"/>
      <c r="S557" s="137"/>
      <c r="T557" s="137"/>
      <c r="U557" s="137"/>
      <c r="V557" s="137"/>
      <c r="W557" s="137"/>
      <c r="X557" s="137"/>
      <c r="Y557" s="137"/>
      <c r="Z557" s="137"/>
      <c r="AA557" s="137"/>
    </row>
    <row r="558" spans="5:27" x14ac:dyDescent="0.35">
      <c r="E558" s="137"/>
      <c r="F558" s="137"/>
      <c r="G558" s="190"/>
      <c r="H558" s="137"/>
      <c r="I558" s="137"/>
      <c r="J558" s="137"/>
      <c r="M558" s="143"/>
      <c r="N558" s="143"/>
      <c r="O558" s="143"/>
      <c r="P558" s="143"/>
      <c r="Q558" s="137"/>
      <c r="R558" s="137"/>
      <c r="S558" s="137"/>
      <c r="T558" s="137"/>
      <c r="U558" s="137"/>
      <c r="V558" s="137"/>
      <c r="W558" s="137"/>
      <c r="X558" s="137"/>
      <c r="Y558" s="137"/>
      <c r="Z558" s="137"/>
      <c r="AA558" s="137"/>
    </row>
    <row r="559" spans="5:27" x14ac:dyDescent="0.35">
      <c r="E559" s="137"/>
      <c r="F559" s="137"/>
      <c r="G559" s="190"/>
      <c r="H559" s="137"/>
      <c r="I559" s="137"/>
      <c r="J559" s="137"/>
      <c r="M559" s="143"/>
      <c r="N559" s="143"/>
      <c r="O559" s="143"/>
      <c r="P559" s="143"/>
      <c r="Q559" s="137"/>
      <c r="R559" s="137"/>
      <c r="S559" s="137"/>
      <c r="T559" s="137"/>
      <c r="U559" s="137"/>
      <c r="V559" s="137"/>
      <c r="W559" s="137"/>
      <c r="X559" s="137"/>
      <c r="Y559" s="137"/>
      <c r="Z559" s="137"/>
      <c r="AA559" s="137"/>
    </row>
    <row r="560" spans="5:27" x14ac:dyDescent="0.35">
      <c r="E560" s="137"/>
      <c r="F560" s="137"/>
      <c r="G560" s="190"/>
      <c r="H560" s="137"/>
      <c r="I560" s="137"/>
      <c r="J560" s="137"/>
      <c r="M560" s="143"/>
      <c r="N560" s="143"/>
      <c r="O560" s="143"/>
      <c r="P560" s="143"/>
      <c r="Q560" s="137"/>
      <c r="R560" s="137"/>
      <c r="S560" s="137"/>
      <c r="T560" s="137"/>
      <c r="U560" s="137"/>
      <c r="V560" s="137"/>
      <c r="W560" s="137"/>
      <c r="X560" s="137"/>
      <c r="Y560" s="137"/>
      <c r="Z560" s="137"/>
      <c r="AA560" s="137"/>
    </row>
    <row r="561" spans="5:27" x14ac:dyDescent="0.35">
      <c r="E561" s="137"/>
      <c r="F561" s="137"/>
      <c r="G561" s="190"/>
      <c r="H561" s="137"/>
      <c r="I561" s="137"/>
      <c r="J561" s="137"/>
      <c r="M561" s="143"/>
      <c r="N561" s="143"/>
      <c r="O561" s="143"/>
      <c r="P561" s="143"/>
      <c r="Q561" s="137"/>
      <c r="R561" s="137"/>
      <c r="S561" s="137"/>
      <c r="T561" s="137"/>
      <c r="U561" s="137"/>
      <c r="V561" s="137"/>
      <c r="W561" s="137"/>
      <c r="X561" s="137"/>
      <c r="Y561" s="137"/>
      <c r="Z561" s="137"/>
      <c r="AA561" s="137"/>
    </row>
    <row r="562" spans="5:27" x14ac:dyDescent="0.35">
      <c r="E562" s="137"/>
      <c r="F562" s="137"/>
      <c r="G562" s="190"/>
      <c r="H562" s="137"/>
      <c r="I562" s="137"/>
      <c r="J562" s="137"/>
      <c r="M562" s="143"/>
      <c r="N562" s="143"/>
      <c r="O562" s="143"/>
      <c r="P562" s="143"/>
      <c r="Q562" s="137"/>
      <c r="R562" s="137"/>
      <c r="S562" s="137"/>
      <c r="T562" s="137"/>
      <c r="U562" s="137"/>
      <c r="V562" s="137"/>
      <c r="W562" s="137"/>
      <c r="X562" s="137"/>
      <c r="Y562" s="137"/>
      <c r="Z562" s="137"/>
      <c r="AA562" s="137"/>
    </row>
    <row r="563" spans="5:27" x14ac:dyDescent="0.35">
      <c r="E563" s="137"/>
      <c r="F563" s="137"/>
      <c r="G563" s="190"/>
      <c r="H563" s="137"/>
      <c r="I563" s="137"/>
      <c r="J563" s="137"/>
      <c r="M563" s="143"/>
      <c r="N563" s="143"/>
      <c r="O563" s="143"/>
      <c r="P563" s="143"/>
      <c r="Q563" s="137"/>
      <c r="R563" s="137"/>
      <c r="S563" s="137"/>
      <c r="T563" s="137"/>
      <c r="U563" s="137"/>
      <c r="V563" s="137"/>
      <c r="W563" s="137"/>
      <c r="X563" s="137"/>
      <c r="Y563" s="137"/>
      <c r="Z563" s="137"/>
      <c r="AA563" s="137"/>
    </row>
    <row r="564" spans="5:27" x14ac:dyDescent="0.35">
      <c r="E564" s="137"/>
      <c r="F564" s="137"/>
      <c r="G564" s="190"/>
      <c r="H564" s="137"/>
      <c r="I564" s="137"/>
      <c r="J564" s="137"/>
      <c r="M564" s="143"/>
      <c r="N564" s="143"/>
      <c r="O564" s="143"/>
      <c r="P564" s="143"/>
      <c r="Q564" s="137"/>
      <c r="R564" s="137"/>
      <c r="S564" s="137"/>
      <c r="T564" s="137"/>
      <c r="U564" s="137"/>
      <c r="V564" s="137"/>
      <c r="W564" s="137"/>
      <c r="X564" s="137"/>
      <c r="Y564" s="137"/>
      <c r="Z564" s="137"/>
      <c r="AA564" s="137"/>
    </row>
    <row r="565" spans="5:27" x14ac:dyDescent="0.35">
      <c r="E565" s="137"/>
      <c r="F565" s="137"/>
      <c r="G565" s="190"/>
      <c r="H565" s="137"/>
      <c r="I565" s="137"/>
      <c r="J565" s="137"/>
      <c r="M565" s="143"/>
      <c r="N565" s="143"/>
      <c r="O565" s="143"/>
      <c r="P565" s="143"/>
      <c r="Q565" s="137"/>
      <c r="R565" s="137"/>
      <c r="S565" s="137"/>
      <c r="T565" s="137"/>
      <c r="U565" s="137"/>
      <c r="V565" s="137"/>
      <c r="W565" s="137"/>
      <c r="X565" s="137"/>
      <c r="Y565" s="137"/>
      <c r="Z565" s="137"/>
      <c r="AA565" s="137"/>
    </row>
    <row r="566" spans="5:27" x14ac:dyDescent="0.35">
      <c r="E566" s="137"/>
      <c r="F566" s="137"/>
      <c r="G566" s="190"/>
      <c r="H566" s="137"/>
      <c r="I566" s="137"/>
      <c r="J566" s="137"/>
      <c r="M566" s="143"/>
      <c r="N566" s="143"/>
      <c r="O566" s="143"/>
      <c r="P566" s="143"/>
      <c r="Q566" s="137"/>
      <c r="R566" s="137"/>
      <c r="S566" s="137"/>
      <c r="T566" s="137"/>
      <c r="U566" s="137"/>
      <c r="V566" s="137"/>
      <c r="W566" s="137"/>
      <c r="X566" s="137"/>
      <c r="Y566" s="137"/>
      <c r="Z566" s="137"/>
      <c r="AA566" s="137"/>
    </row>
    <row r="567" spans="5:27" x14ac:dyDescent="0.35">
      <c r="E567" s="137"/>
      <c r="F567" s="137"/>
      <c r="G567" s="190"/>
      <c r="H567" s="137"/>
      <c r="I567" s="137"/>
      <c r="J567" s="137"/>
      <c r="M567" s="143"/>
      <c r="N567" s="143"/>
      <c r="O567" s="143"/>
      <c r="P567" s="143"/>
      <c r="Q567" s="137"/>
      <c r="R567" s="137"/>
      <c r="S567" s="137"/>
      <c r="T567" s="137"/>
      <c r="U567" s="137"/>
      <c r="V567" s="137"/>
      <c r="W567" s="137"/>
      <c r="X567" s="137"/>
      <c r="Y567" s="137"/>
      <c r="Z567" s="137"/>
      <c r="AA567" s="137"/>
    </row>
    <row r="568" spans="5:27" x14ac:dyDescent="0.35">
      <c r="E568" s="137"/>
      <c r="F568" s="137"/>
      <c r="G568" s="190"/>
      <c r="H568" s="137"/>
      <c r="I568" s="137"/>
      <c r="J568" s="137"/>
      <c r="M568" s="143"/>
      <c r="N568" s="143"/>
      <c r="O568" s="143"/>
      <c r="P568" s="143"/>
      <c r="Q568" s="137"/>
      <c r="R568" s="137"/>
      <c r="S568" s="137"/>
      <c r="T568" s="137"/>
      <c r="U568" s="137"/>
      <c r="V568" s="137"/>
      <c r="W568" s="137"/>
      <c r="X568" s="137"/>
      <c r="Y568" s="137"/>
      <c r="Z568" s="137"/>
      <c r="AA568" s="137"/>
    </row>
    <row r="569" spans="5:27" x14ac:dyDescent="0.35">
      <c r="E569" s="137"/>
      <c r="F569" s="137"/>
      <c r="G569" s="190"/>
      <c r="H569" s="137"/>
      <c r="I569" s="137"/>
      <c r="J569" s="137"/>
      <c r="M569" s="143"/>
      <c r="N569" s="143"/>
      <c r="O569" s="143"/>
      <c r="P569" s="143"/>
      <c r="Q569" s="137"/>
      <c r="R569" s="137"/>
      <c r="S569" s="137"/>
      <c r="T569" s="137"/>
      <c r="U569" s="137"/>
      <c r="V569" s="137"/>
      <c r="W569" s="137"/>
      <c r="X569" s="137"/>
      <c r="Y569" s="137"/>
      <c r="Z569" s="137"/>
      <c r="AA569" s="137"/>
    </row>
    <row r="570" spans="5:27" x14ac:dyDescent="0.35">
      <c r="E570" s="137"/>
      <c r="F570" s="137"/>
      <c r="G570" s="190"/>
      <c r="H570" s="137"/>
      <c r="I570" s="137"/>
      <c r="J570" s="137"/>
      <c r="M570" s="143"/>
      <c r="N570" s="143"/>
      <c r="O570" s="143"/>
      <c r="P570" s="143"/>
      <c r="Q570" s="137"/>
      <c r="R570" s="137"/>
      <c r="S570" s="137"/>
      <c r="T570" s="137"/>
      <c r="U570" s="137"/>
      <c r="V570" s="137"/>
      <c r="W570" s="137"/>
      <c r="X570" s="137"/>
      <c r="Y570" s="137"/>
      <c r="Z570" s="137"/>
      <c r="AA570" s="137"/>
    </row>
    <row r="571" spans="5:27" x14ac:dyDescent="0.35">
      <c r="E571" s="137"/>
      <c r="F571" s="137"/>
      <c r="G571" s="190"/>
      <c r="H571" s="137"/>
      <c r="I571" s="137"/>
      <c r="J571" s="137"/>
      <c r="M571" s="143"/>
      <c r="N571" s="143"/>
      <c r="O571" s="143"/>
      <c r="P571" s="143"/>
      <c r="Q571" s="137"/>
      <c r="R571" s="137"/>
      <c r="S571" s="137"/>
      <c r="T571" s="137"/>
      <c r="U571" s="137"/>
      <c r="V571" s="137"/>
      <c r="W571" s="137"/>
      <c r="X571" s="137"/>
      <c r="Y571" s="137"/>
      <c r="Z571" s="137"/>
      <c r="AA571" s="137"/>
    </row>
    <row r="572" spans="5:27" x14ac:dyDescent="0.35">
      <c r="E572" s="137"/>
      <c r="F572" s="137"/>
      <c r="G572" s="190"/>
      <c r="H572" s="137"/>
      <c r="I572" s="137"/>
      <c r="J572" s="137"/>
      <c r="M572" s="143"/>
      <c r="N572" s="143"/>
      <c r="O572" s="143"/>
      <c r="P572" s="143"/>
      <c r="Q572" s="137"/>
      <c r="R572" s="137"/>
      <c r="S572" s="137"/>
      <c r="T572" s="137"/>
      <c r="U572" s="137"/>
      <c r="V572" s="137"/>
      <c r="W572" s="137"/>
      <c r="X572" s="137"/>
      <c r="Y572" s="137"/>
      <c r="Z572" s="137"/>
      <c r="AA572" s="137"/>
    </row>
    <row r="573" spans="5:27" x14ac:dyDescent="0.35">
      <c r="E573" s="137"/>
      <c r="F573" s="137"/>
      <c r="G573" s="190"/>
      <c r="H573" s="137"/>
      <c r="I573" s="137"/>
      <c r="J573" s="137"/>
      <c r="M573" s="143"/>
      <c r="N573" s="143"/>
      <c r="O573" s="143"/>
      <c r="P573" s="143"/>
      <c r="Q573" s="137"/>
      <c r="R573" s="137"/>
      <c r="S573" s="137"/>
      <c r="T573" s="137"/>
      <c r="U573" s="137"/>
      <c r="V573" s="137"/>
      <c r="W573" s="137"/>
      <c r="X573" s="137"/>
      <c r="Y573" s="137"/>
      <c r="Z573" s="137"/>
      <c r="AA573" s="137"/>
    </row>
    <row r="574" spans="5:27" x14ac:dyDescent="0.35">
      <c r="E574" s="137"/>
      <c r="F574" s="137"/>
      <c r="G574" s="190"/>
      <c r="H574" s="137"/>
      <c r="I574" s="137"/>
      <c r="J574" s="137"/>
      <c r="M574" s="143"/>
      <c r="N574" s="143"/>
      <c r="O574" s="143"/>
      <c r="P574" s="143"/>
      <c r="Q574" s="137"/>
      <c r="R574" s="137"/>
      <c r="S574" s="137"/>
      <c r="T574" s="137"/>
      <c r="U574" s="137"/>
      <c r="V574" s="137"/>
      <c r="W574" s="137"/>
      <c r="X574" s="137"/>
      <c r="Y574" s="137"/>
      <c r="Z574" s="137"/>
      <c r="AA574" s="137"/>
    </row>
    <row r="575" spans="5:27" x14ac:dyDescent="0.35">
      <c r="E575" s="137"/>
      <c r="F575" s="137"/>
      <c r="G575" s="190"/>
      <c r="H575" s="137"/>
      <c r="I575" s="137"/>
      <c r="J575" s="137"/>
      <c r="M575" s="143"/>
      <c r="N575" s="143"/>
      <c r="O575" s="143"/>
      <c r="P575" s="143"/>
      <c r="Q575" s="137"/>
      <c r="R575" s="137"/>
      <c r="S575" s="137"/>
      <c r="T575" s="137"/>
      <c r="U575" s="137"/>
      <c r="V575" s="137"/>
      <c r="W575" s="137"/>
      <c r="X575" s="137"/>
      <c r="Y575" s="137"/>
      <c r="Z575" s="137"/>
      <c r="AA575" s="137"/>
    </row>
    <row r="576" spans="5:27" x14ac:dyDescent="0.35">
      <c r="E576" s="137"/>
      <c r="F576" s="137"/>
      <c r="G576" s="190"/>
      <c r="H576" s="137"/>
      <c r="I576" s="137"/>
      <c r="J576" s="137"/>
      <c r="M576" s="143"/>
      <c r="N576" s="143"/>
      <c r="O576" s="143"/>
      <c r="P576" s="143"/>
      <c r="Q576" s="137"/>
      <c r="R576" s="137"/>
      <c r="S576" s="137"/>
      <c r="T576" s="137"/>
      <c r="U576" s="137"/>
      <c r="V576" s="137"/>
      <c r="W576" s="137"/>
      <c r="X576" s="137"/>
      <c r="Y576" s="137"/>
      <c r="Z576" s="137"/>
      <c r="AA576" s="137"/>
    </row>
    <row r="577" spans="5:27" x14ac:dyDescent="0.35">
      <c r="E577" s="137"/>
      <c r="F577" s="137"/>
      <c r="G577" s="190"/>
      <c r="H577" s="137"/>
      <c r="I577" s="137"/>
      <c r="J577" s="137"/>
      <c r="M577" s="143"/>
      <c r="N577" s="143"/>
      <c r="O577" s="143"/>
      <c r="P577" s="143"/>
      <c r="Q577" s="137"/>
      <c r="R577" s="137"/>
      <c r="S577" s="137"/>
      <c r="T577" s="137"/>
      <c r="U577" s="137"/>
      <c r="V577" s="137"/>
      <c r="W577" s="137"/>
      <c r="X577" s="137"/>
      <c r="Y577" s="137"/>
      <c r="Z577" s="137"/>
      <c r="AA577" s="137"/>
    </row>
    <row r="578" spans="5:27" x14ac:dyDescent="0.35">
      <c r="E578" s="137"/>
      <c r="F578" s="137"/>
      <c r="G578" s="190"/>
      <c r="H578" s="137"/>
      <c r="I578" s="137"/>
      <c r="J578" s="137"/>
      <c r="M578" s="143"/>
      <c r="N578" s="143"/>
      <c r="O578" s="143"/>
      <c r="P578" s="143"/>
      <c r="Q578" s="137"/>
      <c r="R578" s="137"/>
      <c r="S578" s="137"/>
      <c r="T578" s="137"/>
      <c r="U578" s="137"/>
      <c r="V578" s="137"/>
      <c r="W578" s="137"/>
      <c r="X578" s="137"/>
      <c r="Y578" s="137"/>
      <c r="Z578" s="137"/>
      <c r="AA578" s="137"/>
    </row>
    <row r="579" spans="5:27" x14ac:dyDescent="0.35">
      <c r="E579" s="137"/>
      <c r="F579" s="137"/>
      <c r="G579" s="190"/>
      <c r="H579" s="137"/>
      <c r="I579" s="137"/>
      <c r="J579" s="137"/>
      <c r="M579" s="143"/>
      <c r="N579" s="143"/>
      <c r="O579" s="143"/>
      <c r="P579" s="143"/>
      <c r="Q579" s="137"/>
      <c r="R579" s="137"/>
      <c r="S579" s="137"/>
      <c r="T579" s="137"/>
      <c r="U579" s="137"/>
      <c r="V579" s="137"/>
      <c r="W579" s="137"/>
      <c r="X579" s="137"/>
      <c r="Y579" s="137"/>
      <c r="Z579" s="137"/>
      <c r="AA579" s="137"/>
    </row>
    <row r="580" spans="5:27" x14ac:dyDescent="0.35">
      <c r="E580" s="137"/>
      <c r="F580" s="137"/>
      <c r="G580" s="190"/>
      <c r="H580" s="137"/>
      <c r="I580" s="137"/>
      <c r="J580" s="137"/>
      <c r="M580" s="143"/>
      <c r="N580" s="143"/>
      <c r="O580" s="143"/>
      <c r="P580" s="143"/>
      <c r="Q580" s="137"/>
      <c r="R580" s="137"/>
      <c r="S580" s="137"/>
      <c r="T580" s="137"/>
      <c r="U580" s="137"/>
      <c r="V580" s="137"/>
      <c r="W580" s="137"/>
      <c r="X580" s="137"/>
      <c r="Y580" s="137"/>
      <c r="Z580" s="137"/>
      <c r="AA580" s="137"/>
    </row>
    <row r="581" spans="5:27" x14ac:dyDescent="0.35">
      <c r="E581" s="137"/>
      <c r="F581" s="137"/>
      <c r="G581" s="190"/>
      <c r="H581" s="137"/>
      <c r="I581" s="137"/>
      <c r="J581" s="137"/>
      <c r="M581" s="143"/>
      <c r="N581" s="143"/>
      <c r="O581" s="143"/>
      <c r="P581" s="143"/>
      <c r="Q581" s="137"/>
      <c r="R581" s="137"/>
      <c r="S581" s="137"/>
      <c r="T581" s="137"/>
      <c r="U581" s="137"/>
      <c r="V581" s="137"/>
      <c r="W581" s="137"/>
      <c r="X581" s="137"/>
      <c r="Y581" s="137"/>
      <c r="Z581" s="137"/>
      <c r="AA581" s="137"/>
    </row>
    <row r="582" spans="5:27" x14ac:dyDescent="0.35">
      <c r="E582" s="137"/>
      <c r="F582" s="137"/>
      <c r="G582" s="190"/>
      <c r="H582" s="137"/>
      <c r="I582" s="137"/>
      <c r="J582" s="137"/>
      <c r="M582" s="143"/>
      <c r="N582" s="143"/>
      <c r="O582" s="143"/>
      <c r="P582" s="143"/>
      <c r="Q582" s="137"/>
      <c r="R582" s="137"/>
      <c r="S582" s="137"/>
      <c r="T582" s="137"/>
      <c r="U582" s="137"/>
      <c r="V582" s="137"/>
      <c r="W582" s="137"/>
      <c r="X582" s="137"/>
      <c r="Y582" s="137"/>
      <c r="Z582" s="137"/>
      <c r="AA582" s="137"/>
    </row>
    <row r="583" spans="5:27" x14ac:dyDescent="0.35">
      <c r="E583" s="137"/>
      <c r="F583" s="137"/>
      <c r="G583" s="190"/>
      <c r="H583" s="137"/>
      <c r="I583" s="137"/>
      <c r="J583" s="137"/>
      <c r="M583" s="143"/>
      <c r="N583" s="143"/>
      <c r="O583" s="143"/>
      <c r="P583" s="143"/>
      <c r="Q583" s="137"/>
      <c r="R583" s="137"/>
      <c r="S583" s="137"/>
      <c r="T583" s="137"/>
      <c r="U583" s="137"/>
      <c r="V583" s="137"/>
      <c r="W583" s="137"/>
      <c r="X583" s="137"/>
      <c r="Y583" s="137"/>
      <c r="Z583" s="137"/>
      <c r="AA583" s="137"/>
    </row>
    <row r="584" spans="5:27" x14ac:dyDescent="0.35">
      <c r="E584" s="137"/>
      <c r="F584" s="137"/>
      <c r="G584" s="190"/>
      <c r="H584" s="137"/>
      <c r="I584" s="137"/>
      <c r="J584" s="137"/>
      <c r="M584" s="143"/>
      <c r="N584" s="143"/>
      <c r="O584" s="143"/>
      <c r="P584" s="143"/>
      <c r="Q584" s="137"/>
      <c r="R584" s="137"/>
      <c r="S584" s="137"/>
      <c r="T584" s="137"/>
      <c r="U584" s="137"/>
      <c r="V584" s="137"/>
      <c r="W584" s="137"/>
      <c r="X584" s="137"/>
      <c r="Y584" s="137"/>
      <c r="Z584" s="137"/>
      <c r="AA584" s="137"/>
    </row>
    <row r="585" spans="5:27" x14ac:dyDescent="0.35">
      <c r="E585" s="137"/>
      <c r="F585" s="137"/>
      <c r="G585" s="190"/>
      <c r="H585" s="137"/>
      <c r="I585" s="137"/>
      <c r="J585" s="137"/>
      <c r="M585" s="143"/>
      <c r="N585" s="143"/>
      <c r="O585" s="143"/>
      <c r="P585" s="143"/>
      <c r="Q585" s="137"/>
      <c r="R585" s="137"/>
      <c r="S585" s="137"/>
      <c r="T585" s="137"/>
      <c r="U585" s="137"/>
      <c r="V585" s="137"/>
      <c r="W585" s="137"/>
      <c r="X585" s="137"/>
      <c r="Y585" s="137"/>
      <c r="Z585" s="137"/>
      <c r="AA585" s="137"/>
    </row>
    <row r="586" spans="5:27" x14ac:dyDescent="0.35">
      <c r="E586" s="137"/>
      <c r="F586" s="137"/>
      <c r="G586" s="190"/>
      <c r="H586" s="137"/>
      <c r="I586" s="137"/>
      <c r="J586" s="137"/>
      <c r="M586" s="143"/>
      <c r="N586" s="143"/>
      <c r="O586" s="143"/>
      <c r="P586" s="143"/>
      <c r="Q586" s="137"/>
      <c r="R586" s="137"/>
      <c r="S586" s="137"/>
      <c r="T586" s="137"/>
      <c r="U586" s="137"/>
      <c r="V586" s="137"/>
      <c r="W586" s="137"/>
      <c r="X586" s="137"/>
      <c r="Y586" s="137"/>
      <c r="Z586" s="137"/>
      <c r="AA586" s="137"/>
    </row>
    <row r="587" spans="5:27" x14ac:dyDescent="0.35">
      <c r="E587" s="137"/>
      <c r="F587" s="137"/>
      <c r="G587" s="190"/>
      <c r="H587" s="137"/>
      <c r="I587" s="137"/>
      <c r="J587" s="137"/>
      <c r="M587" s="143"/>
      <c r="N587" s="143"/>
      <c r="O587" s="143"/>
      <c r="P587" s="143"/>
      <c r="Q587" s="137"/>
      <c r="R587" s="137"/>
      <c r="S587" s="137"/>
      <c r="T587" s="137"/>
      <c r="U587" s="137"/>
      <c r="V587" s="137"/>
      <c r="W587" s="137"/>
      <c r="X587" s="137"/>
      <c r="Y587" s="137"/>
      <c r="Z587" s="137"/>
      <c r="AA587" s="137"/>
    </row>
    <row r="588" spans="5:27" x14ac:dyDescent="0.35">
      <c r="E588" s="137"/>
      <c r="F588" s="137"/>
      <c r="G588" s="190"/>
      <c r="H588" s="137"/>
      <c r="I588" s="137"/>
      <c r="J588" s="137"/>
      <c r="M588" s="143"/>
      <c r="N588" s="143"/>
      <c r="O588" s="143"/>
      <c r="P588" s="143"/>
      <c r="Q588" s="137"/>
      <c r="R588" s="137"/>
      <c r="S588" s="137"/>
      <c r="T588" s="137"/>
      <c r="U588" s="137"/>
      <c r="V588" s="137"/>
      <c r="W588" s="137"/>
      <c r="X588" s="137"/>
      <c r="Y588" s="137"/>
      <c r="Z588" s="137"/>
      <c r="AA588" s="137"/>
    </row>
    <row r="589" spans="5:27" x14ac:dyDescent="0.35">
      <c r="E589" s="137"/>
      <c r="F589" s="137"/>
      <c r="G589" s="190"/>
      <c r="H589" s="137"/>
      <c r="I589" s="137"/>
      <c r="J589" s="137"/>
      <c r="M589" s="143"/>
      <c r="N589" s="143"/>
      <c r="O589" s="143"/>
      <c r="P589" s="143"/>
      <c r="Q589" s="137"/>
      <c r="R589" s="137"/>
      <c r="S589" s="137"/>
      <c r="T589" s="137"/>
      <c r="U589" s="137"/>
      <c r="V589" s="137"/>
      <c r="W589" s="137"/>
      <c r="X589" s="137"/>
      <c r="Y589" s="137"/>
      <c r="Z589" s="137"/>
      <c r="AA589" s="137"/>
    </row>
    <row r="590" spans="5:27" x14ac:dyDescent="0.35">
      <c r="E590" s="137"/>
      <c r="F590" s="137"/>
      <c r="G590" s="190"/>
      <c r="H590" s="137"/>
      <c r="I590" s="137"/>
      <c r="J590" s="137"/>
      <c r="M590" s="143"/>
      <c r="N590" s="143"/>
      <c r="O590" s="143"/>
      <c r="P590" s="143"/>
      <c r="Q590" s="137"/>
      <c r="R590" s="137"/>
      <c r="S590" s="137"/>
      <c r="T590" s="137"/>
      <c r="U590" s="137"/>
      <c r="V590" s="137"/>
      <c r="W590" s="137"/>
      <c r="X590" s="137"/>
      <c r="Y590" s="137"/>
      <c r="Z590" s="137"/>
      <c r="AA590" s="137"/>
    </row>
    <row r="591" spans="5:27" x14ac:dyDescent="0.35">
      <c r="E591" s="137"/>
      <c r="F591" s="137"/>
      <c r="G591" s="190"/>
      <c r="H591" s="137"/>
      <c r="I591" s="137"/>
      <c r="J591" s="137"/>
      <c r="M591" s="143"/>
      <c r="N591" s="143"/>
      <c r="O591" s="143"/>
      <c r="P591" s="143"/>
      <c r="Q591" s="137"/>
      <c r="R591" s="137"/>
      <c r="S591" s="137"/>
      <c r="T591" s="137"/>
      <c r="U591" s="137"/>
      <c r="V591" s="137"/>
      <c r="W591" s="137"/>
      <c r="X591" s="137"/>
      <c r="Y591" s="137"/>
      <c r="Z591" s="137"/>
      <c r="AA591" s="137"/>
    </row>
    <row r="592" spans="5:27" x14ac:dyDescent="0.35">
      <c r="E592" s="137"/>
      <c r="F592" s="137"/>
      <c r="G592" s="190"/>
      <c r="H592" s="137"/>
      <c r="I592" s="137"/>
      <c r="J592" s="137"/>
      <c r="M592" s="143"/>
      <c r="N592" s="143"/>
      <c r="O592" s="143"/>
      <c r="P592" s="143"/>
      <c r="Q592" s="137"/>
      <c r="R592" s="137"/>
      <c r="S592" s="137"/>
      <c r="T592" s="137"/>
      <c r="U592" s="137"/>
      <c r="V592" s="137"/>
      <c r="W592" s="137"/>
      <c r="X592" s="137"/>
      <c r="Y592" s="137"/>
      <c r="Z592" s="137"/>
      <c r="AA592" s="137"/>
    </row>
    <row r="593" spans="5:27" x14ac:dyDescent="0.35">
      <c r="E593" s="137"/>
      <c r="F593" s="137"/>
      <c r="G593" s="190"/>
      <c r="H593" s="137"/>
      <c r="I593" s="137"/>
      <c r="J593" s="137"/>
      <c r="M593" s="143"/>
      <c r="N593" s="143"/>
      <c r="O593" s="143"/>
      <c r="P593" s="143"/>
      <c r="Q593" s="137"/>
      <c r="R593" s="137"/>
      <c r="S593" s="137"/>
      <c r="T593" s="137"/>
      <c r="U593" s="137"/>
      <c r="V593" s="137"/>
      <c r="W593" s="137"/>
      <c r="X593" s="137"/>
      <c r="Y593" s="137"/>
      <c r="Z593" s="137"/>
      <c r="AA593" s="137"/>
    </row>
    <row r="594" spans="5:27" x14ac:dyDescent="0.35">
      <c r="E594" s="137"/>
      <c r="F594" s="137"/>
      <c r="G594" s="190"/>
      <c r="H594" s="137"/>
      <c r="I594" s="137"/>
      <c r="J594" s="137"/>
      <c r="M594" s="143"/>
      <c r="N594" s="143"/>
      <c r="O594" s="143"/>
      <c r="P594" s="143"/>
      <c r="Q594" s="137"/>
      <c r="R594" s="137"/>
      <c r="S594" s="137"/>
      <c r="T594" s="137"/>
      <c r="U594" s="137"/>
      <c r="V594" s="137"/>
      <c r="W594" s="137"/>
      <c r="X594" s="137"/>
      <c r="Y594" s="137"/>
      <c r="Z594" s="137"/>
      <c r="AA594" s="137"/>
    </row>
    <row r="595" spans="5:27" x14ac:dyDescent="0.35">
      <c r="E595" s="137"/>
      <c r="F595" s="137"/>
      <c r="G595" s="190"/>
      <c r="H595" s="137"/>
      <c r="I595" s="137"/>
      <c r="J595" s="137"/>
      <c r="M595" s="143"/>
      <c r="N595" s="143"/>
      <c r="O595" s="143"/>
      <c r="P595" s="143"/>
      <c r="Q595" s="137"/>
      <c r="R595" s="137"/>
      <c r="S595" s="137"/>
      <c r="T595" s="137"/>
      <c r="U595" s="137"/>
      <c r="V595" s="137"/>
      <c r="W595" s="137"/>
      <c r="X595" s="137"/>
      <c r="Y595" s="137"/>
      <c r="Z595" s="137"/>
      <c r="AA595" s="137"/>
    </row>
    <row r="596" spans="5:27" x14ac:dyDescent="0.35">
      <c r="E596" s="137"/>
      <c r="F596" s="137"/>
      <c r="G596" s="190"/>
      <c r="H596" s="137"/>
      <c r="I596" s="137"/>
      <c r="J596" s="137"/>
      <c r="M596" s="143"/>
      <c r="N596" s="143"/>
      <c r="O596" s="143"/>
      <c r="P596" s="143"/>
      <c r="Q596" s="137"/>
      <c r="R596" s="137"/>
      <c r="S596" s="137"/>
      <c r="T596" s="137"/>
      <c r="U596" s="137"/>
      <c r="V596" s="137"/>
      <c r="W596" s="137"/>
      <c r="X596" s="137"/>
      <c r="Y596" s="137"/>
      <c r="Z596" s="137"/>
      <c r="AA596" s="137"/>
    </row>
    <row r="597" spans="5:27" x14ac:dyDescent="0.35">
      <c r="E597" s="137"/>
      <c r="F597" s="137"/>
      <c r="G597" s="190"/>
      <c r="H597" s="137"/>
      <c r="I597" s="137"/>
      <c r="J597" s="137"/>
      <c r="M597" s="143"/>
      <c r="N597" s="143"/>
      <c r="O597" s="143"/>
      <c r="P597" s="143"/>
      <c r="Q597" s="137"/>
      <c r="R597" s="137"/>
      <c r="S597" s="137"/>
      <c r="T597" s="137"/>
      <c r="U597" s="137"/>
      <c r="V597" s="137"/>
      <c r="W597" s="137"/>
      <c r="X597" s="137"/>
      <c r="Y597" s="137"/>
      <c r="Z597" s="137"/>
      <c r="AA597" s="137"/>
    </row>
    <row r="598" spans="5:27" x14ac:dyDescent="0.35">
      <c r="E598" s="137"/>
      <c r="F598" s="137"/>
      <c r="G598" s="190"/>
      <c r="H598" s="137"/>
      <c r="I598" s="137"/>
      <c r="J598" s="137"/>
      <c r="M598" s="143"/>
      <c r="N598" s="143"/>
      <c r="O598" s="143"/>
      <c r="P598" s="143"/>
      <c r="Q598" s="137"/>
      <c r="R598" s="137"/>
      <c r="S598" s="137"/>
      <c r="T598" s="137"/>
      <c r="U598" s="137"/>
      <c r="V598" s="137"/>
      <c r="W598" s="137"/>
      <c r="X598" s="137"/>
      <c r="Y598" s="137"/>
      <c r="Z598" s="137"/>
      <c r="AA598" s="137"/>
    </row>
    <row r="599" spans="5:27" x14ac:dyDescent="0.35">
      <c r="E599" s="137"/>
      <c r="F599" s="137"/>
      <c r="G599" s="190"/>
      <c r="H599" s="137"/>
      <c r="I599" s="137"/>
      <c r="J599" s="137"/>
      <c r="M599" s="143"/>
      <c r="N599" s="143"/>
      <c r="O599" s="143"/>
      <c r="P599" s="143"/>
      <c r="Q599" s="137"/>
      <c r="R599" s="137"/>
      <c r="S599" s="137"/>
      <c r="T599" s="137"/>
      <c r="U599" s="137"/>
      <c r="V599" s="137"/>
      <c r="W599" s="137"/>
      <c r="X599" s="137"/>
      <c r="Y599" s="137"/>
      <c r="Z599" s="137"/>
      <c r="AA599" s="137"/>
    </row>
    <row r="600" spans="5:27" x14ac:dyDescent="0.35">
      <c r="E600" s="137"/>
      <c r="F600" s="137"/>
      <c r="G600" s="190"/>
      <c r="H600" s="137"/>
      <c r="I600" s="137"/>
      <c r="J600" s="137"/>
      <c r="M600" s="143"/>
      <c r="N600" s="143"/>
      <c r="O600" s="143"/>
      <c r="P600" s="143"/>
      <c r="Q600" s="137"/>
      <c r="R600" s="137"/>
      <c r="S600" s="137"/>
      <c r="T600" s="137"/>
      <c r="U600" s="137"/>
      <c r="V600" s="137"/>
      <c r="W600" s="137"/>
      <c r="X600" s="137"/>
      <c r="Y600" s="137"/>
      <c r="Z600" s="137"/>
      <c r="AA600" s="137"/>
    </row>
    <row r="601" spans="5:27" x14ac:dyDescent="0.35">
      <c r="E601" s="137"/>
      <c r="F601" s="137"/>
      <c r="G601" s="190"/>
      <c r="H601" s="137"/>
      <c r="I601" s="137"/>
      <c r="J601" s="137"/>
      <c r="M601" s="143"/>
      <c r="N601" s="143"/>
      <c r="O601" s="143"/>
      <c r="P601" s="143"/>
      <c r="Q601" s="137"/>
      <c r="R601" s="137"/>
      <c r="S601" s="137"/>
      <c r="T601" s="137"/>
      <c r="U601" s="137"/>
      <c r="V601" s="137"/>
      <c r="W601" s="137"/>
      <c r="X601" s="137"/>
      <c r="Y601" s="137"/>
      <c r="Z601" s="137"/>
      <c r="AA601" s="137"/>
    </row>
    <row r="602" spans="5:27" x14ac:dyDescent="0.35">
      <c r="E602" s="137"/>
      <c r="F602" s="137"/>
      <c r="G602" s="190"/>
      <c r="H602" s="137"/>
      <c r="I602" s="137"/>
      <c r="J602" s="137"/>
      <c r="M602" s="143"/>
      <c r="N602" s="143"/>
      <c r="O602" s="143"/>
      <c r="P602" s="143"/>
      <c r="Q602" s="137"/>
      <c r="R602" s="137"/>
      <c r="S602" s="137"/>
      <c r="T602" s="137"/>
      <c r="U602" s="137"/>
      <c r="V602" s="137"/>
      <c r="W602" s="137"/>
      <c r="X602" s="137"/>
      <c r="Y602" s="137"/>
      <c r="Z602" s="137"/>
      <c r="AA602" s="137"/>
    </row>
    <row r="603" spans="5:27" x14ac:dyDescent="0.35">
      <c r="E603" s="137"/>
      <c r="F603" s="137"/>
      <c r="G603" s="190"/>
      <c r="H603" s="137"/>
      <c r="I603" s="137"/>
      <c r="J603" s="137"/>
      <c r="M603" s="143"/>
      <c r="N603" s="143"/>
      <c r="O603" s="143"/>
      <c r="P603" s="143"/>
      <c r="Q603" s="137"/>
      <c r="R603" s="137"/>
      <c r="S603" s="137"/>
      <c r="T603" s="137"/>
      <c r="U603" s="137"/>
      <c r="V603" s="137"/>
      <c r="W603" s="137"/>
      <c r="X603" s="137"/>
      <c r="Y603" s="137"/>
      <c r="Z603" s="137"/>
      <c r="AA603" s="137"/>
    </row>
    <row r="604" spans="5:27" x14ac:dyDescent="0.35">
      <c r="E604" s="137"/>
      <c r="F604" s="137"/>
      <c r="G604" s="190"/>
      <c r="H604" s="137"/>
      <c r="I604" s="137"/>
      <c r="J604" s="137"/>
      <c r="M604" s="143"/>
      <c r="N604" s="143"/>
      <c r="O604" s="143"/>
      <c r="P604" s="143"/>
      <c r="Q604" s="137"/>
      <c r="R604" s="137"/>
      <c r="S604" s="137"/>
      <c r="T604" s="137"/>
      <c r="U604" s="137"/>
      <c r="V604" s="137"/>
      <c r="W604" s="137"/>
      <c r="X604" s="137"/>
      <c r="Y604" s="137"/>
      <c r="Z604" s="137"/>
      <c r="AA604" s="137"/>
    </row>
    <row r="605" spans="5:27" x14ac:dyDescent="0.35">
      <c r="E605" s="137"/>
      <c r="F605" s="137"/>
      <c r="G605" s="190"/>
      <c r="H605" s="137"/>
      <c r="I605" s="137"/>
      <c r="J605" s="137"/>
      <c r="M605" s="143"/>
      <c r="N605" s="143"/>
      <c r="O605" s="143"/>
      <c r="P605" s="143"/>
      <c r="Q605" s="137"/>
      <c r="R605" s="137"/>
      <c r="S605" s="137"/>
      <c r="T605" s="137"/>
      <c r="U605" s="137"/>
      <c r="V605" s="137"/>
      <c r="W605" s="137"/>
      <c r="X605" s="137"/>
      <c r="Y605" s="137"/>
      <c r="Z605" s="137"/>
      <c r="AA605" s="137"/>
    </row>
    <row r="606" spans="5:27" x14ac:dyDescent="0.35">
      <c r="E606" s="137"/>
      <c r="F606" s="137"/>
      <c r="G606" s="190"/>
      <c r="H606" s="137"/>
      <c r="I606" s="137"/>
      <c r="J606" s="137"/>
      <c r="M606" s="143"/>
      <c r="N606" s="143"/>
      <c r="O606" s="143"/>
      <c r="P606" s="143"/>
      <c r="Q606" s="137"/>
      <c r="R606" s="137"/>
      <c r="S606" s="137"/>
      <c r="T606" s="137"/>
      <c r="U606" s="137"/>
      <c r="V606" s="137"/>
      <c r="W606" s="137"/>
      <c r="X606" s="137"/>
      <c r="Y606" s="137"/>
      <c r="Z606" s="137"/>
      <c r="AA606" s="137"/>
    </row>
    <row r="607" spans="5:27" x14ac:dyDescent="0.35">
      <c r="E607" s="137"/>
      <c r="F607" s="137"/>
      <c r="G607" s="190"/>
      <c r="H607" s="137"/>
      <c r="I607" s="137"/>
      <c r="J607" s="137"/>
      <c r="M607" s="143"/>
      <c r="N607" s="143"/>
      <c r="O607" s="143"/>
      <c r="P607" s="143"/>
      <c r="Q607" s="137"/>
      <c r="R607" s="137"/>
      <c r="S607" s="137"/>
      <c r="T607" s="137"/>
      <c r="U607" s="137"/>
      <c r="V607" s="137"/>
      <c r="W607" s="137"/>
      <c r="X607" s="137"/>
      <c r="Y607" s="137"/>
      <c r="Z607" s="137"/>
      <c r="AA607" s="137"/>
    </row>
    <row r="608" spans="5:27" x14ac:dyDescent="0.35">
      <c r="E608" s="137"/>
      <c r="F608" s="137"/>
      <c r="G608" s="190"/>
      <c r="H608" s="137"/>
      <c r="I608" s="137"/>
      <c r="J608" s="137"/>
      <c r="M608" s="143"/>
      <c r="N608" s="143"/>
      <c r="O608" s="143"/>
      <c r="P608" s="143"/>
      <c r="Q608" s="137"/>
      <c r="R608" s="137"/>
      <c r="S608" s="137"/>
      <c r="T608" s="137"/>
      <c r="U608" s="137"/>
      <c r="V608" s="137"/>
      <c r="W608" s="137"/>
      <c r="X608" s="137"/>
      <c r="Y608" s="137"/>
      <c r="Z608" s="137"/>
      <c r="AA608" s="137"/>
    </row>
    <row r="609" spans="5:27" x14ac:dyDescent="0.35">
      <c r="E609" s="137"/>
      <c r="F609" s="137"/>
      <c r="G609" s="190"/>
      <c r="H609" s="137"/>
      <c r="I609" s="137"/>
      <c r="J609" s="137"/>
      <c r="M609" s="143"/>
      <c r="N609" s="143"/>
      <c r="O609" s="143"/>
      <c r="P609" s="143"/>
      <c r="Q609" s="137"/>
      <c r="R609" s="137"/>
      <c r="S609" s="137"/>
      <c r="T609" s="137"/>
      <c r="U609" s="137"/>
      <c r="V609" s="137"/>
      <c r="W609" s="137"/>
      <c r="X609" s="137"/>
      <c r="Y609" s="137"/>
      <c r="Z609" s="137"/>
      <c r="AA609" s="137"/>
    </row>
    <row r="610" spans="5:27" x14ac:dyDescent="0.35">
      <c r="E610" s="137"/>
      <c r="F610" s="137"/>
      <c r="G610" s="190"/>
      <c r="H610" s="137"/>
      <c r="I610" s="137"/>
      <c r="J610" s="137"/>
      <c r="M610" s="143"/>
      <c r="N610" s="143"/>
      <c r="O610" s="143"/>
      <c r="P610" s="143"/>
      <c r="Q610" s="137"/>
      <c r="R610" s="137"/>
      <c r="S610" s="137"/>
      <c r="T610" s="137"/>
      <c r="U610" s="137"/>
      <c r="V610" s="137"/>
      <c r="W610" s="137"/>
      <c r="X610" s="137"/>
      <c r="Y610" s="137"/>
      <c r="Z610" s="137"/>
      <c r="AA610" s="137"/>
    </row>
    <row r="611" spans="5:27" x14ac:dyDescent="0.35">
      <c r="E611" s="137"/>
      <c r="F611" s="137"/>
      <c r="G611" s="190"/>
      <c r="H611" s="137"/>
      <c r="I611" s="137"/>
      <c r="J611" s="137"/>
      <c r="M611" s="143"/>
      <c r="N611" s="143"/>
      <c r="O611" s="143"/>
      <c r="P611" s="143"/>
      <c r="Q611" s="137"/>
      <c r="R611" s="137"/>
      <c r="S611" s="137"/>
      <c r="T611" s="137"/>
      <c r="U611" s="137"/>
      <c r="V611" s="137"/>
      <c r="W611" s="137"/>
      <c r="X611" s="137"/>
      <c r="Y611" s="137"/>
      <c r="Z611" s="137"/>
      <c r="AA611" s="137"/>
    </row>
    <row r="612" spans="5:27" x14ac:dyDescent="0.35">
      <c r="E612" s="137"/>
      <c r="F612" s="137"/>
      <c r="G612" s="190"/>
      <c r="H612" s="137"/>
      <c r="I612" s="137"/>
      <c r="J612" s="137"/>
      <c r="M612" s="143"/>
      <c r="N612" s="143"/>
      <c r="O612" s="143"/>
      <c r="P612" s="143"/>
      <c r="Q612" s="137"/>
      <c r="R612" s="137"/>
      <c r="S612" s="137"/>
      <c r="T612" s="137"/>
      <c r="U612" s="137"/>
      <c r="V612" s="137"/>
      <c r="W612" s="137"/>
      <c r="X612" s="137"/>
      <c r="Y612" s="137"/>
      <c r="Z612" s="137"/>
      <c r="AA612" s="137"/>
    </row>
    <row r="613" spans="5:27" x14ac:dyDescent="0.35">
      <c r="E613" s="137"/>
      <c r="F613" s="137"/>
      <c r="G613" s="190"/>
      <c r="H613" s="137"/>
      <c r="I613" s="137"/>
      <c r="J613" s="137"/>
      <c r="M613" s="143"/>
      <c r="N613" s="143"/>
      <c r="O613" s="143"/>
      <c r="P613" s="143"/>
      <c r="Q613" s="137"/>
      <c r="R613" s="137"/>
      <c r="S613" s="137"/>
      <c r="T613" s="137"/>
      <c r="U613" s="137"/>
      <c r="V613" s="137"/>
      <c r="W613" s="137"/>
      <c r="X613" s="137"/>
      <c r="Y613" s="137"/>
      <c r="Z613" s="137"/>
      <c r="AA613" s="137"/>
    </row>
    <row r="614" spans="5:27" x14ac:dyDescent="0.35">
      <c r="E614" s="137"/>
      <c r="F614" s="137"/>
      <c r="G614" s="190"/>
      <c r="H614" s="137"/>
      <c r="I614" s="137"/>
      <c r="J614" s="137"/>
      <c r="M614" s="143"/>
      <c r="N614" s="143"/>
      <c r="O614" s="143"/>
      <c r="P614" s="143"/>
      <c r="Q614" s="137"/>
      <c r="R614" s="137"/>
      <c r="S614" s="137"/>
      <c r="T614" s="137"/>
      <c r="U614" s="137"/>
      <c r="V614" s="137"/>
      <c r="W614" s="137"/>
      <c r="X614" s="137"/>
      <c r="Y614" s="137"/>
      <c r="Z614" s="137"/>
      <c r="AA614" s="137"/>
    </row>
    <row r="615" spans="5:27" x14ac:dyDescent="0.35">
      <c r="E615" s="137"/>
      <c r="F615" s="137"/>
      <c r="G615" s="190"/>
      <c r="H615" s="137"/>
      <c r="I615" s="137"/>
      <c r="J615" s="137"/>
      <c r="M615" s="143"/>
      <c r="N615" s="143"/>
      <c r="O615" s="143"/>
      <c r="P615" s="143"/>
      <c r="Q615" s="137"/>
      <c r="R615" s="137"/>
      <c r="S615" s="137"/>
      <c r="T615" s="137"/>
      <c r="U615" s="137"/>
      <c r="V615" s="137"/>
      <c r="W615" s="137"/>
      <c r="X615" s="137"/>
      <c r="Y615" s="137"/>
      <c r="Z615" s="137"/>
      <c r="AA615" s="137"/>
    </row>
    <row r="616" spans="5:27" x14ac:dyDescent="0.35">
      <c r="E616" s="137"/>
      <c r="F616" s="137"/>
      <c r="G616" s="190"/>
      <c r="H616" s="137"/>
      <c r="I616" s="137"/>
      <c r="J616" s="137"/>
      <c r="M616" s="143"/>
      <c r="N616" s="143"/>
      <c r="O616" s="143"/>
      <c r="P616" s="143"/>
      <c r="Q616" s="137"/>
      <c r="R616" s="137"/>
      <c r="S616" s="137"/>
      <c r="T616" s="137"/>
      <c r="U616" s="137"/>
      <c r="V616" s="137"/>
      <c r="W616" s="137"/>
      <c r="X616" s="137"/>
      <c r="Y616" s="137"/>
      <c r="Z616" s="137"/>
      <c r="AA616" s="137"/>
    </row>
    <row r="617" spans="5:27" x14ac:dyDescent="0.35">
      <c r="E617" s="137"/>
      <c r="F617" s="137"/>
      <c r="G617" s="190"/>
      <c r="H617" s="137"/>
      <c r="I617" s="137"/>
      <c r="J617" s="137"/>
      <c r="M617" s="143"/>
      <c r="N617" s="143"/>
      <c r="O617" s="143"/>
      <c r="P617" s="143"/>
      <c r="Q617" s="137"/>
      <c r="R617" s="137"/>
      <c r="S617" s="137"/>
      <c r="T617" s="137"/>
      <c r="U617" s="137"/>
      <c r="V617" s="137"/>
      <c r="W617" s="137"/>
      <c r="X617" s="137"/>
      <c r="Y617" s="137"/>
      <c r="Z617" s="137"/>
      <c r="AA617" s="137"/>
    </row>
    <row r="618" spans="5:27" x14ac:dyDescent="0.35">
      <c r="E618" s="137"/>
      <c r="F618" s="137"/>
      <c r="G618" s="190"/>
      <c r="H618" s="137"/>
      <c r="I618" s="137"/>
      <c r="J618" s="137"/>
      <c r="M618" s="143"/>
      <c r="N618" s="143"/>
      <c r="O618" s="143"/>
      <c r="P618" s="143"/>
      <c r="Q618" s="137"/>
      <c r="R618" s="137"/>
      <c r="S618" s="137"/>
      <c r="T618" s="137"/>
      <c r="U618" s="137"/>
      <c r="V618" s="137"/>
      <c r="W618" s="137"/>
      <c r="X618" s="137"/>
      <c r="Y618" s="137"/>
      <c r="Z618" s="137"/>
      <c r="AA618" s="137"/>
    </row>
    <row r="619" spans="5:27" x14ac:dyDescent="0.35">
      <c r="E619" s="137"/>
      <c r="F619" s="137"/>
      <c r="G619" s="190"/>
      <c r="H619" s="137"/>
      <c r="I619" s="137"/>
      <c r="J619" s="137"/>
      <c r="M619" s="143"/>
      <c r="N619" s="143"/>
      <c r="O619" s="143"/>
      <c r="P619" s="143"/>
      <c r="Q619" s="137"/>
      <c r="R619" s="137"/>
      <c r="S619" s="137"/>
      <c r="T619" s="137"/>
      <c r="U619" s="137"/>
      <c r="V619" s="137"/>
      <c r="W619" s="137"/>
      <c r="X619" s="137"/>
      <c r="Y619" s="137"/>
      <c r="Z619" s="137"/>
      <c r="AA619" s="137"/>
    </row>
    <row r="620" spans="5:27" x14ac:dyDescent="0.35">
      <c r="E620" s="137"/>
      <c r="F620" s="137"/>
      <c r="G620" s="190"/>
      <c r="H620" s="137"/>
      <c r="I620" s="137"/>
      <c r="J620" s="137"/>
      <c r="M620" s="143"/>
      <c r="N620" s="143"/>
      <c r="O620" s="143"/>
      <c r="P620" s="143"/>
      <c r="Q620" s="137"/>
      <c r="R620" s="137"/>
      <c r="S620" s="137"/>
      <c r="T620" s="137"/>
      <c r="U620" s="137"/>
      <c r="V620" s="137"/>
      <c r="W620" s="137"/>
      <c r="X620" s="137"/>
      <c r="Y620" s="137"/>
      <c r="Z620" s="137"/>
      <c r="AA620" s="137"/>
    </row>
    <row r="621" spans="5:27" x14ac:dyDescent="0.35">
      <c r="E621" s="137"/>
      <c r="F621" s="137"/>
      <c r="G621" s="190"/>
      <c r="H621" s="137"/>
      <c r="I621" s="137"/>
      <c r="J621" s="137"/>
      <c r="M621" s="143"/>
      <c r="N621" s="143"/>
      <c r="O621" s="143"/>
      <c r="P621" s="143"/>
      <c r="Q621" s="137"/>
      <c r="R621" s="137"/>
      <c r="S621" s="137"/>
      <c r="T621" s="137"/>
      <c r="U621" s="137"/>
      <c r="V621" s="137"/>
      <c r="W621" s="137"/>
      <c r="X621" s="137"/>
      <c r="Y621" s="137"/>
      <c r="Z621" s="137"/>
      <c r="AA621" s="137"/>
    </row>
    <row r="622" spans="5:27" x14ac:dyDescent="0.35">
      <c r="E622" s="137"/>
      <c r="F622" s="137"/>
      <c r="G622" s="190"/>
      <c r="H622" s="137"/>
      <c r="I622" s="137"/>
      <c r="J622" s="137"/>
      <c r="M622" s="143"/>
      <c r="N622" s="143"/>
      <c r="O622" s="143"/>
      <c r="P622" s="143"/>
      <c r="Q622" s="137"/>
      <c r="R622" s="137"/>
      <c r="S622" s="137"/>
      <c r="T622" s="137"/>
      <c r="U622" s="137"/>
      <c r="V622" s="137"/>
      <c r="W622" s="137"/>
      <c r="X622" s="137"/>
      <c r="Y622" s="137"/>
      <c r="Z622" s="137"/>
      <c r="AA622" s="137"/>
    </row>
    <row r="623" spans="5:27" x14ac:dyDescent="0.35">
      <c r="E623" s="137"/>
      <c r="F623" s="137"/>
      <c r="G623" s="190"/>
      <c r="H623" s="137"/>
      <c r="I623" s="137"/>
      <c r="J623" s="137"/>
      <c r="M623" s="143"/>
      <c r="N623" s="143"/>
      <c r="O623" s="143"/>
      <c r="P623" s="143"/>
      <c r="Q623" s="137"/>
      <c r="R623" s="137"/>
      <c r="S623" s="137"/>
      <c r="T623" s="137"/>
      <c r="U623" s="137"/>
      <c r="V623" s="137"/>
      <c r="W623" s="137"/>
      <c r="X623" s="137"/>
      <c r="Y623" s="137"/>
      <c r="Z623" s="137"/>
      <c r="AA623" s="137"/>
    </row>
    <row r="624" spans="5:27" x14ac:dyDescent="0.35">
      <c r="E624" s="137"/>
      <c r="F624" s="137"/>
      <c r="G624" s="190"/>
      <c r="H624" s="137"/>
      <c r="I624" s="137"/>
      <c r="J624" s="137"/>
      <c r="M624" s="143"/>
      <c r="N624" s="143"/>
      <c r="O624" s="143"/>
      <c r="P624" s="143"/>
      <c r="Q624" s="137"/>
      <c r="R624" s="137"/>
      <c r="S624" s="137"/>
      <c r="T624" s="137"/>
      <c r="U624" s="137"/>
      <c r="V624" s="137"/>
      <c r="W624" s="137"/>
      <c r="X624" s="137"/>
      <c r="Y624" s="137"/>
      <c r="Z624" s="137"/>
      <c r="AA624" s="137"/>
    </row>
    <row r="625" spans="5:27" x14ac:dyDescent="0.35">
      <c r="E625" s="137"/>
      <c r="F625" s="137"/>
      <c r="G625" s="190"/>
      <c r="H625" s="137"/>
      <c r="I625" s="137"/>
      <c r="J625" s="137"/>
      <c r="M625" s="143"/>
      <c r="N625" s="143"/>
      <c r="O625" s="143"/>
      <c r="P625" s="143"/>
      <c r="Q625" s="137"/>
      <c r="R625" s="137"/>
      <c r="S625" s="137"/>
      <c r="T625" s="137"/>
      <c r="U625" s="137"/>
      <c r="V625" s="137"/>
      <c r="W625" s="137"/>
      <c r="X625" s="137"/>
      <c r="Y625" s="137"/>
      <c r="Z625" s="137"/>
      <c r="AA625" s="137"/>
    </row>
    <row r="626" spans="5:27" x14ac:dyDescent="0.35">
      <c r="E626" s="137"/>
      <c r="F626" s="137"/>
      <c r="G626" s="190"/>
      <c r="H626" s="137"/>
      <c r="I626" s="137"/>
      <c r="J626" s="137"/>
      <c r="M626" s="143"/>
      <c r="N626" s="143"/>
      <c r="O626" s="143"/>
      <c r="P626" s="143"/>
      <c r="Q626" s="137"/>
      <c r="R626" s="137"/>
      <c r="S626" s="137"/>
      <c r="T626" s="137"/>
      <c r="U626" s="137"/>
      <c r="V626" s="137"/>
      <c r="W626" s="137"/>
      <c r="X626" s="137"/>
      <c r="Y626" s="137"/>
      <c r="Z626" s="137"/>
      <c r="AA626" s="137"/>
    </row>
    <row r="627" spans="5:27" x14ac:dyDescent="0.35">
      <c r="E627" s="137"/>
      <c r="F627" s="137"/>
      <c r="G627" s="190"/>
      <c r="H627" s="137"/>
      <c r="I627" s="137"/>
      <c r="J627" s="137"/>
      <c r="M627" s="143"/>
      <c r="N627" s="143"/>
      <c r="O627" s="143"/>
      <c r="P627" s="143"/>
      <c r="Q627" s="137"/>
      <c r="R627" s="137"/>
      <c r="S627" s="137"/>
      <c r="T627" s="137"/>
      <c r="U627" s="137"/>
      <c r="V627" s="137"/>
      <c r="W627" s="137"/>
      <c r="X627" s="137"/>
      <c r="Y627" s="137"/>
      <c r="Z627" s="137"/>
      <c r="AA627" s="137"/>
    </row>
    <row r="628" spans="5:27" x14ac:dyDescent="0.35">
      <c r="E628" s="137"/>
      <c r="F628" s="137"/>
      <c r="G628" s="190"/>
      <c r="H628" s="137"/>
      <c r="I628" s="137"/>
      <c r="J628" s="137"/>
      <c r="M628" s="143"/>
      <c r="N628" s="143"/>
      <c r="O628" s="143"/>
      <c r="P628" s="143"/>
      <c r="Q628" s="137"/>
      <c r="R628" s="137"/>
      <c r="S628" s="137"/>
      <c r="T628" s="137"/>
      <c r="U628" s="137"/>
      <c r="V628" s="137"/>
      <c r="W628" s="137"/>
      <c r="X628" s="137"/>
      <c r="Y628" s="137"/>
      <c r="Z628" s="137"/>
      <c r="AA628" s="137"/>
    </row>
    <row r="629" spans="5:27" x14ac:dyDescent="0.35">
      <c r="E629" s="137"/>
      <c r="F629" s="137"/>
      <c r="G629" s="190"/>
      <c r="H629" s="137"/>
      <c r="I629" s="137"/>
      <c r="J629" s="137"/>
      <c r="M629" s="143"/>
      <c r="N629" s="143"/>
      <c r="O629" s="143"/>
      <c r="P629" s="143"/>
      <c r="Q629" s="137"/>
      <c r="R629" s="137"/>
      <c r="S629" s="137"/>
      <c r="T629" s="137"/>
      <c r="U629" s="137"/>
      <c r="V629" s="137"/>
      <c r="W629" s="137"/>
      <c r="X629" s="137"/>
      <c r="Y629" s="137"/>
      <c r="Z629" s="137"/>
      <c r="AA629" s="137"/>
    </row>
    <row r="630" spans="5:27" x14ac:dyDescent="0.35">
      <c r="E630" s="137"/>
      <c r="F630" s="137"/>
      <c r="G630" s="190"/>
      <c r="H630" s="137"/>
      <c r="I630" s="137"/>
      <c r="J630" s="137"/>
      <c r="M630" s="143"/>
      <c r="N630" s="143"/>
      <c r="O630" s="143"/>
      <c r="P630" s="143"/>
      <c r="Q630" s="137"/>
      <c r="R630" s="137"/>
      <c r="S630" s="137"/>
      <c r="T630" s="137"/>
      <c r="U630" s="137"/>
      <c r="V630" s="137"/>
      <c r="W630" s="137"/>
      <c r="X630" s="137"/>
      <c r="Y630" s="137"/>
      <c r="Z630" s="137"/>
      <c r="AA630" s="137"/>
    </row>
    <row r="631" spans="5:27" x14ac:dyDescent="0.35">
      <c r="E631" s="137"/>
      <c r="F631" s="137"/>
      <c r="G631" s="190"/>
      <c r="H631" s="137"/>
      <c r="I631" s="137"/>
      <c r="J631" s="137"/>
      <c r="M631" s="143"/>
      <c r="N631" s="143"/>
      <c r="O631" s="143"/>
      <c r="P631" s="143"/>
      <c r="Q631" s="137"/>
      <c r="R631" s="137"/>
      <c r="S631" s="137"/>
      <c r="T631" s="137"/>
      <c r="U631" s="137"/>
      <c r="V631" s="137"/>
      <c r="W631" s="137"/>
      <c r="X631" s="137"/>
      <c r="Y631" s="137"/>
      <c r="Z631" s="137"/>
      <c r="AA631" s="137"/>
    </row>
    <row r="632" spans="5:27" x14ac:dyDescent="0.35">
      <c r="E632" s="137"/>
      <c r="F632" s="137"/>
      <c r="G632" s="190"/>
      <c r="H632" s="137"/>
      <c r="I632" s="137"/>
      <c r="J632" s="137"/>
      <c r="M632" s="143"/>
      <c r="N632" s="143"/>
      <c r="O632" s="143"/>
      <c r="P632" s="143"/>
      <c r="Q632" s="137"/>
      <c r="R632" s="137"/>
      <c r="S632" s="137"/>
      <c r="T632" s="137"/>
      <c r="U632" s="137"/>
      <c r="V632" s="137"/>
      <c r="W632" s="137"/>
      <c r="X632" s="137"/>
      <c r="Y632" s="137"/>
      <c r="Z632" s="137"/>
      <c r="AA632" s="137"/>
    </row>
    <row r="633" spans="5:27" x14ac:dyDescent="0.35">
      <c r="E633" s="137"/>
      <c r="F633" s="137"/>
      <c r="G633" s="190"/>
      <c r="H633" s="137"/>
      <c r="I633" s="137"/>
      <c r="J633" s="137"/>
      <c r="M633" s="143"/>
      <c r="N633" s="143"/>
      <c r="O633" s="143"/>
      <c r="P633" s="143"/>
      <c r="Q633" s="137"/>
      <c r="R633" s="137"/>
      <c r="S633" s="137"/>
      <c r="T633" s="137"/>
      <c r="U633" s="137"/>
      <c r="V633" s="137"/>
      <c r="W633" s="137"/>
      <c r="X633" s="137"/>
      <c r="Y633" s="137"/>
      <c r="Z633" s="137"/>
      <c r="AA633" s="137"/>
    </row>
    <row r="634" spans="5:27" x14ac:dyDescent="0.35">
      <c r="E634" s="137"/>
      <c r="F634" s="137"/>
      <c r="G634" s="190"/>
      <c r="H634" s="137"/>
      <c r="I634" s="137"/>
      <c r="J634" s="137"/>
      <c r="M634" s="143"/>
      <c r="N634" s="143"/>
      <c r="O634" s="143"/>
      <c r="P634" s="143"/>
      <c r="Q634" s="137"/>
      <c r="R634" s="137"/>
      <c r="S634" s="137"/>
      <c r="T634" s="137"/>
      <c r="U634" s="137"/>
      <c r="V634" s="137"/>
      <c r="W634" s="137"/>
      <c r="X634" s="137"/>
      <c r="Y634" s="137"/>
      <c r="Z634" s="137"/>
      <c r="AA634" s="137"/>
    </row>
    <row r="635" spans="5:27" x14ac:dyDescent="0.35">
      <c r="E635" s="137"/>
      <c r="F635" s="137"/>
      <c r="G635" s="190"/>
      <c r="H635" s="137"/>
      <c r="I635" s="137"/>
      <c r="J635" s="137"/>
      <c r="M635" s="143"/>
      <c r="N635" s="143"/>
      <c r="O635" s="143"/>
      <c r="P635" s="143"/>
      <c r="Q635" s="137"/>
      <c r="R635" s="137"/>
      <c r="S635" s="137"/>
      <c r="T635" s="137"/>
      <c r="U635" s="137"/>
      <c r="V635" s="137"/>
      <c r="W635" s="137"/>
      <c r="X635" s="137"/>
      <c r="Y635" s="137"/>
      <c r="Z635" s="137"/>
      <c r="AA635" s="137"/>
    </row>
    <row r="636" spans="5:27" x14ac:dyDescent="0.35">
      <c r="E636" s="137"/>
      <c r="F636" s="137"/>
      <c r="G636" s="190"/>
      <c r="H636" s="137"/>
      <c r="I636" s="137"/>
      <c r="J636" s="137"/>
      <c r="M636" s="143"/>
      <c r="N636" s="143"/>
      <c r="O636" s="143"/>
      <c r="P636" s="143"/>
      <c r="Q636" s="137"/>
      <c r="R636" s="137"/>
      <c r="S636" s="137"/>
      <c r="T636" s="137"/>
      <c r="U636" s="137"/>
      <c r="V636" s="137"/>
      <c r="W636" s="137"/>
      <c r="X636" s="137"/>
      <c r="Y636" s="137"/>
      <c r="Z636" s="137"/>
      <c r="AA636" s="137"/>
    </row>
    <row r="637" spans="5:27" x14ac:dyDescent="0.35">
      <c r="E637" s="137"/>
      <c r="F637" s="137"/>
      <c r="G637" s="190"/>
      <c r="H637" s="137"/>
      <c r="I637" s="137"/>
      <c r="J637" s="137"/>
      <c r="M637" s="143"/>
      <c r="N637" s="143"/>
      <c r="O637" s="143"/>
      <c r="P637" s="143"/>
      <c r="Q637" s="137"/>
      <c r="R637" s="137"/>
      <c r="S637" s="137"/>
      <c r="T637" s="137"/>
      <c r="U637" s="137"/>
      <c r="V637" s="137"/>
      <c r="W637" s="137"/>
      <c r="X637" s="137"/>
      <c r="Y637" s="137"/>
      <c r="Z637" s="137"/>
      <c r="AA637" s="137"/>
    </row>
    <row r="638" spans="5:27" x14ac:dyDescent="0.35">
      <c r="E638" s="137"/>
      <c r="F638" s="137"/>
      <c r="G638" s="190"/>
      <c r="H638" s="137"/>
      <c r="I638" s="137"/>
      <c r="J638" s="137"/>
      <c r="M638" s="143"/>
      <c r="N638" s="143"/>
      <c r="O638" s="143"/>
      <c r="P638" s="143"/>
      <c r="Q638" s="137"/>
      <c r="R638" s="137"/>
      <c r="S638" s="137"/>
      <c r="T638" s="137"/>
      <c r="U638" s="137"/>
      <c r="V638" s="137"/>
      <c r="W638" s="137"/>
      <c r="X638" s="137"/>
      <c r="Y638" s="137"/>
      <c r="Z638" s="137"/>
      <c r="AA638" s="137"/>
    </row>
    <row r="639" spans="5:27" x14ac:dyDescent="0.35">
      <c r="E639" s="137"/>
      <c r="F639" s="137"/>
      <c r="G639" s="190"/>
      <c r="H639" s="137"/>
      <c r="I639" s="137"/>
      <c r="J639" s="137"/>
      <c r="M639" s="143"/>
      <c r="N639" s="143"/>
      <c r="O639" s="143"/>
      <c r="P639" s="143"/>
      <c r="Q639" s="137"/>
      <c r="R639" s="137"/>
      <c r="S639" s="137"/>
      <c r="T639" s="137"/>
      <c r="U639" s="137"/>
      <c r="V639" s="137"/>
      <c r="W639" s="137"/>
      <c r="X639" s="137"/>
      <c r="Y639" s="137"/>
      <c r="Z639" s="137"/>
      <c r="AA639" s="137"/>
    </row>
    <row r="640" spans="5:27" x14ac:dyDescent="0.35">
      <c r="E640" s="137"/>
      <c r="F640" s="137"/>
      <c r="G640" s="190"/>
      <c r="H640" s="137"/>
      <c r="I640" s="137"/>
      <c r="J640" s="137"/>
      <c r="M640" s="143"/>
      <c r="N640" s="143"/>
      <c r="O640" s="143"/>
      <c r="P640" s="143"/>
      <c r="Q640" s="137"/>
      <c r="R640" s="137"/>
      <c r="S640" s="137"/>
      <c r="T640" s="137"/>
      <c r="U640" s="137"/>
      <c r="V640" s="137"/>
      <c r="W640" s="137"/>
      <c r="X640" s="137"/>
      <c r="Y640" s="137"/>
      <c r="Z640" s="137"/>
      <c r="AA640" s="137"/>
    </row>
    <row r="641" spans="5:27" x14ac:dyDescent="0.35">
      <c r="E641" s="137"/>
      <c r="F641" s="137"/>
      <c r="G641" s="190"/>
      <c r="H641" s="137"/>
      <c r="I641" s="137"/>
      <c r="J641" s="137"/>
      <c r="M641" s="143"/>
      <c r="N641" s="143"/>
      <c r="O641" s="143"/>
      <c r="P641" s="143"/>
      <c r="Q641" s="137"/>
      <c r="R641" s="137"/>
      <c r="S641" s="137"/>
      <c r="T641" s="137"/>
      <c r="U641" s="137"/>
      <c r="V641" s="137"/>
      <c r="W641" s="137"/>
      <c r="X641" s="137"/>
      <c r="Y641" s="137"/>
      <c r="Z641" s="137"/>
      <c r="AA641" s="137"/>
    </row>
    <row r="642" spans="5:27" x14ac:dyDescent="0.35">
      <c r="E642" s="137"/>
      <c r="F642" s="137"/>
      <c r="G642" s="190"/>
      <c r="H642" s="137"/>
      <c r="I642" s="137"/>
      <c r="J642" s="137"/>
      <c r="M642" s="143"/>
      <c r="N642" s="143"/>
      <c r="O642" s="143"/>
      <c r="P642" s="143"/>
      <c r="Q642" s="137"/>
      <c r="R642" s="137"/>
      <c r="S642" s="137"/>
      <c r="T642" s="137"/>
      <c r="U642" s="137"/>
      <c r="V642" s="137"/>
      <c r="W642" s="137"/>
      <c r="X642" s="137"/>
      <c r="Y642" s="137"/>
      <c r="Z642" s="137"/>
      <c r="AA642" s="137"/>
    </row>
    <row r="643" spans="5:27" x14ac:dyDescent="0.35">
      <c r="E643" s="137"/>
      <c r="F643" s="137"/>
      <c r="G643" s="190"/>
      <c r="H643" s="137"/>
      <c r="I643" s="137"/>
      <c r="J643" s="137"/>
      <c r="M643" s="143"/>
      <c r="N643" s="143"/>
      <c r="O643" s="143"/>
      <c r="P643" s="143"/>
      <c r="Q643" s="137"/>
      <c r="R643" s="137"/>
      <c r="S643" s="137"/>
      <c r="T643" s="137"/>
      <c r="U643" s="137"/>
      <c r="V643" s="137"/>
      <c r="W643" s="137"/>
      <c r="X643" s="137"/>
      <c r="Y643" s="137"/>
      <c r="Z643" s="137"/>
      <c r="AA643" s="137"/>
    </row>
    <row r="644" spans="5:27" x14ac:dyDescent="0.35">
      <c r="E644" s="137"/>
      <c r="F644" s="137"/>
      <c r="G644" s="190"/>
      <c r="H644" s="137"/>
      <c r="I644" s="137"/>
      <c r="J644" s="137"/>
      <c r="M644" s="143"/>
      <c r="N644" s="143"/>
      <c r="O644" s="143"/>
      <c r="P644" s="143"/>
      <c r="Q644" s="137"/>
      <c r="R644" s="137"/>
      <c r="S644" s="137"/>
      <c r="T644" s="137"/>
      <c r="U644" s="137"/>
      <c r="V644" s="137"/>
      <c r="W644" s="137"/>
      <c r="X644" s="137"/>
      <c r="Y644" s="137"/>
      <c r="Z644" s="137"/>
      <c r="AA644" s="137"/>
    </row>
    <row r="645" spans="5:27" x14ac:dyDescent="0.35">
      <c r="E645" s="137"/>
      <c r="F645" s="137"/>
      <c r="G645" s="190"/>
      <c r="H645" s="137"/>
      <c r="I645" s="137"/>
      <c r="J645" s="137"/>
      <c r="M645" s="143"/>
      <c r="N645" s="143"/>
      <c r="O645" s="143"/>
      <c r="P645" s="143"/>
      <c r="Q645" s="137"/>
      <c r="R645" s="137"/>
      <c r="S645" s="137"/>
      <c r="T645" s="137"/>
      <c r="U645" s="137"/>
      <c r="V645" s="137"/>
      <c r="W645" s="137"/>
      <c r="X645" s="137"/>
      <c r="Y645" s="137"/>
      <c r="Z645" s="137"/>
      <c r="AA645" s="137"/>
    </row>
    <row r="646" spans="5:27" x14ac:dyDescent="0.35">
      <c r="E646" s="137"/>
      <c r="F646" s="137"/>
      <c r="G646" s="190"/>
      <c r="H646" s="137"/>
      <c r="I646" s="137"/>
      <c r="J646" s="137"/>
      <c r="M646" s="143"/>
      <c r="N646" s="143"/>
      <c r="O646" s="143"/>
      <c r="P646" s="143"/>
      <c r="Q646" s="137"/>
      <c r="R646" s="137"/>
      <c r="S646" s="137"/>
      <c r="T646" s="137"/>
      <c r="U646" s="137"/>
      <c r="V646" s="137"/>
      <c r="W646" s="137"/>
      <c r="X646" s="137"/>
      <c r="Y646" s="137"/>
      <c r="Z646" s="137"/>
      <c r="AA646" s="137"/>
    </row>
    <row r="647" spans="5:27" x14ac:dyDescent="0.35">
      <c r="E647" s="137"/>
      <c r="F647" s="137"/>
      <c r="G647" s="190"/>
      <c r="H647" s="137"/>
      <c r="I647" s="137"/>
      <c r="J647" s="137"/>
      <c r="M647" s="143"/>
      <c r="N647" s="143"/>
      <c r="O647" s="143"/>
      <c r="P647" s="143"/>
      <c r="Q647" s="137"/>
      <c r="R647" s="137"/>
      <c r="S647" s="137"/>
      <c r="T647" s="137"/>
      <c r="U647" s="137"/>
      <c r="V647" s="137"/>
      <c r="W647" s="137"/>
      <c r="X647" s="137"/>
      <c r="Y647" s="137"/>
      <c r="Z647" s="137"/>
      <c r="AA647" s="137"/>
    </row>
    <row r="648" spans="5:27" x14ac:dyDescent="0.35">
      <c r="E648" s="137"/>
      <c r="F648" s="137"/>
      <c r="G648" s="190"/>
      <c r="H648" s="137"/>
      <c r="I648" s="137"/>
      <c r="J648" s="137"/>
      <c r="M648" s="143"/>
      <c r="N648" s="143"/>
      <c r="O648" s="143"/>
      <c r="P648" s="143"/>
      <c r="Q648" s="137"/>
      <c r="R648" s="137"/>
      <c r="S648" s="137"/>
      <c r="T648" s="137"/>
      <c r="U648" s="137"/>
      <c r="V648" s="137"/>
      <c r="W648" s="137"/>
      <c r="X648" s="137"/>
      <c r="Y648" s="137"/>
      <c r="Z648" s="137"/>
      <c r="AA648" s="137"/>
    </row>
    <row r="649" spans="5:27" x14ac:dyDescent="0.35">
      <c r="E649" s="137"/>
      <c r="F649" s="137"/>
      <c r="G649" s="190"/>
      <c r="H649" s="137"/>
      <c r="I649" s="137"/>
      <c r="J649" s="137"/>
      <c r="M649" s="143"/>
      <c r="N649" s="143"/>
      <c r="O649" s="143"/>
      <c r="P649" s="143"/>
      <c r="Q649" s="137"/>
      <c r="R649" s="137"/>
      <c r="S649" s="137"/>
      <c r="T649" s="137"/>
      <c r="U649" s="137"/>
      <c r="V649" s="137"/>
      <c r="W649" s="137"/>
      <c r="X649" s="137"/>
      <c r="Y649" s="137"/>
      <c r="Z649" s="137"/>
      <c r="AA649" s="137"/>
    </row>
    <row r="650" spans="5:27" x14ac:dyDescent="0.35">
      <c r="E650" s="137"/>
      <c r="F650" s="137"/>
      <c r="G650" s="190"/>
      <c r="H650" s="137"/>
      <c r="I650" s="137"/>
      <c r="J650" s="137"/>
      <c r="M650" s="143"/>
      <c r="N650" s="143"/>
      <c r="O650" s="143"/>
      <c r="P650" s="143"/>
      <c r="Q650" s="137"/>
      <c r="R650" s="137"/>
      <c r="S650" s="137"/>
      <c r="T650" s="137"/>
      <c r="U650" s="137"/>
      <c r="V650" s="137"/>
      <c r="W650" s="137"/>
      <c r="X650" s="137"/>
      <c r="Y650" s="137"/>
      <c r="Z650" s="137"/>
      <c r="AA650" s="137"/>
    </row>
    <row r="651" spans="5:27" x14ac:dyDescent="0.35">
      <c r="E651" s="137"/>
      <c r="F651" s="137"/>
      <c r="G651" s="190"/>
      <c r="H651" s="137"/>
      <c r="I651" s="137"/>
      <c r="J651" s="137"/>
      <c r="M651" s="143"/>
      <c r="N651" s="143"/>
      <c r="O651" s="143"/>
      <c r="P651" s="143"/>
      <c r="Q651" s="137"/>
      <c r="R651" s="137"/>
      <c r="S651" s="137"/>
      <c r="T651" s="137"/>
      <c r="U651" s="137"/>
      <c r="V651" s="137"/>
      <c r="W651" s="137"/>
      <c r="X651" s="137"/>
      <c r="Y651" s="137"/>
      <c r="Z651" s="137"/>
      <c r="AA651" s="137"/>
    </row>
    <row r="652" spans="5:27" x14ac:dyDescent="0.35">
      <c r="E652" s="137"/>
      <c r="F652" s="137"/>
      <c r="G652" s="190"/>
      <c r="H652" s="137"/>
      <c r="I652" s="137"/>
      <c r="J652" s="137"/>
      <c r="M652" s="143"/>
      <c r="N652" s="143"/>
      <c r="O652" s="143"/>
      <c r="P652" s="143"/>
      <c r="Q652" s="137"/>
      <c r="R652" s="137"/>
      <c r="S652" s="137"/>
      <c r="T652" s="137"/>
      <c r="U652" s="137"/>
      <c r="V652" s="137"/>
      <c r="W652" s="137"/>
      <c r="X652" s="137"/>
      <c r="Y652" s="137"/>
      <c r="Z652" s="137"/>
      <c r="AA652" s="137"/>
    </row>
    <row r="653" spans="5:27" x14ac:dyDescent="0.35">
      <c r="E653" s="137"/>
      <c r="F653" s="137"/>
      <c r="G653" s="190"/>
      <c r="H653" s="137"/>
      <c r="I653" s="137"/>
      <c r="J653" s="137"/>
      <c r="M653" s="143"/>
      <c r="N653" s="143"/>
      <c r="O653" s="143"/>
      <c r="P653" s="143"/>
      <c r="Q653" s="137"/>
      <c r="R653" s="137"/>
      <c r="S653" s="137"/>
      <c r="T653" s="137"/>
      <c r="U653" s="137"/>
      <c r="V653" s="137"/>
      <c r="W653" s="137"/>
      <c r="X653" s="137"/>
      <c r="Y653" s="137"/>
      <c r="Z653" s="137"/>
      <c r="AA653" s="137"/>
    </row>
    <row r="654" spans="5:27" x14ac:dyDescent="0.35">
      <c r="E654" s="137"/>
      <c r="F654" s="137"/>
      <c r="G654" s="190"/>
      <c r="H654" s="137"/>
      <c r="I654" s="137"/>
      <c r="J654" s="137"/>
      <c r="M654" s="143"/>
      <c r="N654" s="143"/>
      <c r="O654" s="143"/>
      <c r="P654" s="143"/>
      <c r="Q654" s="137"/>
      <c r="R654" s="137"/>
      <c r="S654" s="137"/>
      <c r="T654" s="137"/>
      <c r="U654" s="137"/>
      <c r="V654" s="137"/>
      <c r="W654" s="137"/>
      <c r="X654" s="137"/>
      <c r="Y654" s="137"/>
      <c r="Z654" s="137"/>
      <c r="AA654" s="137"/>
    </row>
    <row r="655" spans="5:27" x14ac:dyDescent="0.35">
      <c r="E655" s="137"/>
      <c r="F655" s="137"/>
      <c r="G655" s="190"/>
      <c r="H655" s="137"/>
      <c r="I655" s="137"/>
      <c r="J655" s="137"/>
      <c r="M655" s="143"/>
      <c r="N655" s="143"/>
      <c r="O655" s="143"/>
      <c r="P655" s="143"/>
      <c r="Q655" s="137"/>
      <c r="R655" s="137"/>
      <c r="S655" s="137"/>
      <c r="T655" s="137"/>
      <c r="U655" s="137"/>
      <c r="V655" s="137"/>
      <c r="W655" s="137"/>
      <c r="X655" s="137"/>
      <c r="Y655" s="137"/>
      <c r="Z655" s="137"/>
      <c r="AA655" s="137"/>
    </row>
    <row r="656" spans="5:27" x14ac:dyDescent="0.35">
      <c r="E656" s="137"/>
      <c r="F656" s="137"/>
      <c r="G656" s="190"/>
      <c r="H656" s="137"/>
      <c r="I656" s="137"/>
      <c r="J656" s="137"/>
      <c r="M656" s="143"/>
      <c r="N656" s="143"/>
      <c r="O656" s="143"/>
      <c r="P656" s="143"/>
      <c r="Q656" s="137"/>
      <c r="R656" s="137"/>
      <c r="S656" s="137"/>
      <c r="T656" s="137"/>
      <c r="U656" s="137"/>
      <c r="V656" s="137"/>
      <c r="W656" s="137"/>
      <c r="X656" s="137"/>
      <c r="Y656" s="137"/>
      <c r="Z656" s="137"/>
      <c r="AA656" s="137"/>
    </row>
    <row r="657" spans="5:27" x14ac:dyDescent="0.35">
      <c r="E657" s="137"/>
      <c r="F657" s="137"/>
      <c r="G657" s="190"/>
      <c r="H657" s="137"/>
      <c r="I657" s="137"/>
      <c r="J657" s="137"/>
      <c r="M657" s="143"/>
      <c r="N657" s="143"/>
      <c r="O657" s="143"/>
      <c r="P657" s="143"/>
      <c r="Q657" s="137"/>
      <c r="R657" s="137"/>
      <c r="S657" s="137"/>
      <c r="T657" s="137"/>
      <c r="U657" s="137"/>
      <c r="V657" s="137"/>
      <c r="W657" s="137"/>
      <c r="X657" s="137"/>
      <c r="Y657" s="137"/>
      <c r="Z657" s="137"/>
      <c r="AA657" s="137"/>
    </row>
    <row r="658" spans="5:27" x14ac:dyDescent="0.35">
      <c r="E658" s="137"/>
      <c r="F658" s="137"/>
      <c r="G658" s="190"/>
      <c r="H658" s="137"/>
      <c r="I658" s="137"/>
      <c r="J658" s="137"/>
      <c r="M658" s="143"/>
      <c r="N658" s="143"/>
      <c r="O658" s="143"/>
      <c r="P658" s="143"/>
      <c r="Q658" s="137"/>
      <c r="R658" s="137"/>
      <c r="S658" s="137"/>
      <c r="T658" s="137"/>
      <c r="U658" s="137"/>
      <c r="V658" s="137"/>
      <c r="W658" s="137"/>
      <c r="X658" s="137"/>
      <c r="Y658" s="137"/>
      <c r="Z658" s="137"/>
      <c r="AA658" s="137"/>
    </row>
    <row r="659" spans="5:27" x14ac:dyDescent="0.35">
      <c r="E659" s="137"/>
      <c r="F659" s="137"/>
      <c r="G659" s="190"/>
      <c r="H659" s="137"/>
      <c r="I659" s="137"/>
      <c r="J659" s="137"/>
      <c r="M659" s="143"/>
      <c r="N659" s="143"/>
      <c r="O659" s="143"/>
      <c r="P659" s="143"/>
      <c r="Q659" s="137"/>
      <c r="R659" s="137"/>
      <c r="S659" s="137"/>
      <c r="T659" s="137"/>
      <c r="U659" s="137"/>
      <c r="V659" s="137"/>
      <c r="W659" s="137"/>
      <c r="X659" s="137"/>
      <c r="Y659" s="137"/>
      <c r="Z659" s="137"/>
      <c r="AA659" s="137"/>
    </row>
    <row r="660" spans="5:27" x14ac:dyDescent="0.35">
      <c r="E660" s="137"/>
      <c r="F660" s="137"/>
      <c r="G660" s="190"/>
      <c r="H660" s="137"/>
      <c r="I660" s="137"/>
      <c r="J660" s="137"/>
      <c r="M660" s="143"/>
      <c r="N660" s="143"/>
      <c r="O660" s="143"/>
      <c r="P660" s="143"/>
      <c r="Q660" s="137"/>
      <c r="R660" s="137"/>
      <c r="S660" s="137"/>
      <c r="T660" s="137"/>
      <c r="U660" s="137"/>
      <c r="V660" s="137"/>
      <c r="W660" s="137"/>
      <c r="X660" s="137"/>
      <c r="Y660" s="137"/>
      <c r="Z660" s="137"/>
      <c r="AA660" s="137"/>
    </row>
    <row r="661" spans="5:27" x14ac:dyDescent="0.35">
      <c r="E661" s="137"/>
      <c r="F661" s="137"/>
      <c r="G661" s="190"/>
      <c r="H661" s="137"/>
      <c r="I661" s="137"/>
      <c r="J661" s="137"/>
      <c r="M661" s="143"/>
      <c r="N661" s="143"/>
      <c r="O661" s="143"/>
      <c r="P661" s="143"/>
      <c r="Q661" s="137"/>
      <c r="R661" s="137"/>
      <c r="S661" s="137"/>
      <c r="T661" s="137"/>
      <c r="U661" s="137"/>
      <c r="V661" s="137"/>
      <c r="W661" s="137"/>
      <c r="X661" s="137"/>
      <c r="Y661" s="137"/>
      <c r="Z661" s="137"/>
      <c r="AA661" s="137"/>
    </row>
    <row r="662" spans="5:27" x14ac:dyDescent="0.35">
      <c r="E662" s="137"/>
      <c r="F662" s="137"/>
      <c r="G662" s="190"/>
      <c r="H662" s="137"/>
      <c r="I662" s="137"/>
      <c r="J662" s="137"/>
      <c r="M662" s="143"/>
      <c r="N662" s="143"/>
      <c r="O662" s="143"/>
      <c r="P662" s="143"/>
      <c r="Q662" s="137"/>
      <c r="R662" s="137"/>
      <c r="S662" s="137"/>
      <c r="T662" s="137"/>
      <c r="U662" s="137"/>
      <c r="V662" s="137"/>
      <c r="W662" s="137"/>
      <c r="X662" s="137"/>
      <c r="Y662" s="137"/>
      <c r="Z662" s="137"/>
      <c r="AA662" s="137"/>
    </row>
    <row r="663" spans="5:27" x14ac:dyDescent="0.35">
      <c r="E663" s="137"/>
      <c r="F663" s="137"/>
      <c r="G663" s="190"/>
      <c r="H663" s="137"/>
      <c r="I663" s="137"/>
      <c r="J663" s="137"/>
      <c r="M663" s="143"/>
      <c r="N663" s="143"/>
      <c r="O663" s="143"/>
      <c r="P663" s="143"/>
      <c r="Q663" s="137"/>
      <c r="R663" s="137"/>
      <c r="S663" s="137"/>
      <c r="T663" s="137"/>
      <c r="U663" s="137"/>
      <c r="V663" s="137"/>
      <c r="W663" s="137"/>
      <c r="X663" s="137"/>
      <c r="Y663" s="137"/>
      <c r="Z663" s="137"/>
      <c r="AA663" s="137"/>
    </row>
    <row r="664" spans="5:27" x14ac:dyDescent="0.35">
      <c r="E664" s="137"/>
      <c r="F664" s="137"/>
      <c r="G664" s="190"/>
      <c r="H664" s="137"/>
      <c r="I664" s="137"/>
      <c r="J664" s="137"/>
      <c r="M664" s="143"/>
      <c r="N664" s="143"/>
      <c r="O664" s="143"/>
      <c r="P664" s="143"/>
      <c r="Q664" s="137"/>
      <c r="R664" s="137"/>
      <c r="S664" s="137"/>
      <c r="T664" s="137"/>
      <c r="U664" s="137"/>
      <c r="V664" s="137"/>
      <c r="W664" s="137"/>
      <c r="X664" s="137"/>
      <c r="Y664" s="137"/>
      <c r="Z664" s="137"/>
      <c r="AA664" s="137"/>
    </row>
    <row r="665" spans="5:27" x14ac:dyDescent="0.35">
      <c r="E665" s="137"/>
      <c r="F665" s="137"/>
      <c r="G665" s="190"/>
      <c r="H665" s="137"/>
      <c r="I665" s="137"/>
      <c r="J665" s="137"/>
      <c r="M665" s="143"/>
      <c r="N665" s="143"/>
      <c r="O665" s="143"/>
      <c r="P665" s="143"/>
      <c r="Q665" s="137"/>
      <c r="R665" s="137"/>
      <c r="S665" s="137"/>
      <c r="T665" s="137"/>
      <c r="U665" s="137"/>
      <c r="V665" s="137"/>
      <c r="W665" s="137"/>
      <c r="X665" s="137"/>
      <c r="Y665" s="137"/>
      <c r="Z665" s="137"/>
      <c r="AA665" s="137"/>
    </row>
    <row r="666" spans="5:27" x14ac:dyDescent="0.35">
      <c r="E666" s="137"/>
      <c r="F666" s="137"/>
      <c r="G666" s="190"/>
      <c r="H666" s="137"/>
      <c r="I666" s="137"/>
      <c r="J666" s="137"/>
      <c r="M666" s="143"/>
      <c r="N666" s="143"/>
      <c r="O666" s="143"/>
      <c r="P666" s="143"/>
      <c r="Q666" s="137"/>
      <c r="R666" s="137"/>
      <c r="S666" s="137"/>
      <c r="T666" s="137"/>
      <c r="U666" s="137"/>
      <c r="V666" s="137"/>
      <c r="W666" s="137"/>
      <c r="X666" s="137"/>
      <c r="Y666" s="137"/>
      <c r="Z666" s="137"/>
      <c r="AA666" s="137"/>
    </row>
    <row r="667" spans="5:27" x14ac:dyDescent="0.35">
      <c r="E667" s="137"/>
      <c r="F667" s="137"/>
      <c r="G667" s="190"/>
      <c r="H667" s="137"/>
      <c r="I667" s="137"/>
      <c r="J667" s="137"/>
      <c r="M667" s="143"/>
      <c r="N667" s="143"/>
      <c r="O667" s="143"/>
      <c r="P667" s="143"/>
      <c r="Q667" s="137"/>
      <c r="R667" s="137"/>
      <c r="S667" s="137"/>
      <c r="T667" s="137"/>
      <c r="U667" s="137"/>
      <c r="V667" s="137"/>
      <c r="W667" s="137"/>
      <c r="X667" s="137"/>
      <c r="Y667" s="137"/>
      <c r="Z667" s="137"/>
      <c r="AA667" s="137"/>
    </row>
    <row r="668" spans="5:27" x14ac:dyDescent="0.35">
      <c r="E668" s="137"/>
      <c r="F668" s="137"/>
      <c r="G668" s="190"/>
      <c r="H668" s="137"/>
      <c r="I668" s="137"/>
      <c r="J668" s="137"/>
      <c r="M668" s="143"/>
      <c r="N668" s="143"/>
      <c r="O668" s="143"/>
      <c r="P668" s="143"/>
      <c r="Q668" s="137"/>
      <c r="R668" s="137"/>
      <c r="S668" s="137"/>
      <c r="T668" s="137"/>
      <c r="U668" s="137"/>
      <c r="V668" s="137"/>
      <c r="W668" s="137"/>
      <c r="X668" s="137"/>
      <c r="Y668" s="137"/>
      <c r="Z668" s="137"/>
      <c r="AA668" s="137"/>
    </row>
    <row r="669" spans="5:27" x14ac:dyDescent="0.35">
      <c r="E669" s="137"/>
      <c r="F669" s="137"/>
      <c r="G669" s="190"/>
      <c r="H669" s="137"/>
      <c r="I669" s="137"/>
      <c r="J669" s="137"/>
      <c r="M669" s="143"/>
      <c r="N669" s="143"/>
      <c r="O669" s="143"/>
      <c r="P669" s="143"/>
      <c r="Q669" s="137"/>
      <c r="R669" s="137"/>
      <c r="S669" s="137"/>
      <c r="T669" s="137"/>
      <c r="U669" s="137"/>
      <c r="V669" s="137"/>
      <c r="W669" s="137"/>
      <c r="X669" s="137"/>
      <c r="Y669" s="137"/>
      <c r="Z669" s="137"/>
      <c r="AA669" s="137"/>
    </row>
    <row r="670" spans="5:27" x14ac:dyDescent="0.35">
      <c r="E670" s="137"/>
      <c r="F670" s="137"/>
      <c r="G670" s="190"/>
      <c r="H670" s="137"/>
      <c r="I670" s="137"/>
      <c r="J670" s="137"/>
      <c r="M670" s="143"/>
      <c r="N670" s="143"/>
      <c r="O670" s="143"/>
      <c r="P670" s="143"/>
      <c r="Q670" s="137"/>
      <c r="R670" s="137"/>
      <c r="S670" s="137"/>
      <c r="T670" s="137"/>
      <c r="U670" s="137"/>
      <c r="V670" s="137"/>
      <c r="W670" s="137"/>
      <c r="X670" s="137"/>
      <c r="Y670" s="137"/>
      <c r="Z670" s="137"/>
      <c r="AA670" s="137"/>
    </row>
    <row r="671" spans="5:27" x14ac:dyDescent="0.35">
      <c r="E671" s="137"/>
      <c r="F671" s="137"/>
      <c r="G671" s="190"/>
      <c r="H671" s="137"/>
      <c r="I671" s="137"/>
      <c r="J671" s="137"/>
      <c r="M671" s="143"/>
      <c r="N671" s="143"/>
      <c r="O671" s="143"/>
      <c r="P671" s="143"/>
      <c r="Q671" s="137"/>
      <c r="R671" s="137"/>
      <c r="S671" s="137"/>
      <c r="T671" s="137"/>
      <c r="U671" s="137"/>
      <c r="V671" s="137"/>
      <c r="W671" s="137"/>
      <c r="X671" s="137"/>
      <c r="Y671" s="137"/>
      <c r="Z671" s="137"/>
      <c r="AA671" s="137"/>
    </row>
    <row r="672" spans="5:27" x14ac:dyDescent="0.35">
      <c r="E672" s="137"/>
      <c r="F672" s="137"/>
      <c r="G672" s="190"/>
      <c r="H672" s="137"/>
      <c r="I672" s="137"/>
      <c r="J672" s="137"/>
      <c r="M672" s="143"/>
      <c r="N672" s="143"/>
      <c r="O672" s="143"/>
      <c r="P672" s="143"/>
      <c r="Q672" s="137"/>
      <c r="R672" s="137"/>
      <c r="S672" s="137"/>
      <c r="T672" s="137"/>
      <c r="U672" s="137"/>
      <c r="V672" s="137"/>
      <c r="W672" s="137"/>
      <c r="X672" s="137"/>
      <c r="Y672" s="137"/>
      <c r="Z672" s="137"/>
      <c r="AA672" s="137"/>
    </row>
    <row r="673" spans="5:27" x14ac:dyDescent="0.35">
      <c r="E673" s="137"/>
      <c r="F673" s="137"/>
      <c r="G673" s="190"/>
      <c r="H673" s="137"/>
      <c r="I673" s="137"/>
      <c r="J673" s="137"/>
      <c r="M673" s="143"/>
      <c r="N673" s="143"/>
      <c r="O673" s="143"/>
      <c r="P673" s="143"/>
      <c r="Q673" s="137"/>
      <c r="R673" s="137"/>
      <c r="S673" s="137"/>
      <c r="T673" s="137"/>
      <c r="U673" s="137"/>
      <c r="V673" s="137"/>
      <c r="W673" s="137"/>
      <c r="X673" s="137"/>
      <c r="Y673" s="137"/>
      <c r="Z673" s="137"/>
      <c r="AA673" s="137"/>
    </row>
    <row r="674" spans="5:27" x14ac:dyDescent="0.35">
      <c r="E674" s="137"/>
      <c r="F674" s="137"/>
      <c r="G674" s="190"/>
      <c r="H674" s="137"/>
      <c r="I674" s="137"/>
      <c r="J674" s="137"/>
      <c r="M674" s="143"/>
      <c r="N674" s="143"/>
      <c r="O674" s="143"/>
      <c r="P674" s="143"/>
      <c r="Q674" s="137"/>
      <c r="R674" s="137"/>
      <c r="S674" s="137"/>
      <c r="T674" s="137"/>
      <c r="U674" s="137"/>
      <c r="V674" s="137"/>
      <c r="W674" s="137"/>
      <c r="X674" s="137"/>
      <c r="Y674" s="137"/>
      <c r="Z674" s="137"/>
      <c r="AA674" s="137"/>
    </row>
    <row r="675" spans="5:27" x14ac:dyDescent="0.35">
      <c r="E675" s="137"/>
      <c r="F675" s="137"/>
      <c r="G675" s="190"/>
      <c r="H675" s="137"/>
      <c r="I675" s="137"/>
      <c r="J675" s="137"/>
      <c r="M675" s="143"/>
      <c r="N675" s="143"/>
      <c r="O675" s="143"/>
      <c r="P675" s="143"/>
      <c r="Q675" s="137"/>
      <c r="R675" s="137"/>
      <c r="S675" s="137"/>
      <c r="T675" s="137"/>
      <c r="U675" s="137"/>
      <c r="V675" s="137"/>
      <c r="W675" s="137"/>
      <c r="X675" s="137"/>
      <c r="Y675" s="137"/>
      <c r="Z675" s="137"/>
      <c r="AA675" s="137"/>
    </row>
    <row r="676" spans="5:27" x14ac:dyDescent="0.35">
      <c r="E676" s="137"/>
      <c r="F676" s="137"/>
      <c r="G676" s="190"/>
      <c r="H676" s="137"/>
      <c r="I676" s="137"/>
      <c r="J676" s="137"/>
      <c r="M676" s="143"/>
      <c r="N676" s="143"/>
      <c r="O676" s="143"/>
      <c r="P676" s="143"/>
      <c r="Q676" s="137"/>
      <c r="R676" s="137"/>
      <c r="S676" s="137"/>
      <c r="T676" s="137"/>
      <c r="U676" s="137"/>
      <c r="V676" s="137"/>
      <c r="W676" s="137"/>
      <c r="X676" s="137"/>
      <c r="Y676" s="137"/>
      <c r="Z676" s="137"/>
      <c r="AA676" s="137"/>
    </row>
    <row r="677" spans="5:27" x14ac:dyDescent="0.35">
      <c r="E677" s="137"/>
      <c r="F677" s="137"/>
      <c r="G677" s="190"/>
      <c r="H677" s="137"/>
      <c r="I677" s="137"/>
      <c r="J677" s="137"/>
      <c r="M677" s="143"/>
      <c r="N677" s="143"/>
      <c r="O677" s="143"/>
      <c r="P677" s="143"/>
      <c r="Q677" s="137"/>
      <c r="R677" s="137"/>
      <c r="S677" s="137"/>
      <c r="T677" s="137"/>
      <c r="U677" s="137"/>
      <c r="V677" s="137"/>
      <c r="W677" s="137"/>
      <c r="X677" s="137"/>
      <c r="Y677" s="137"/>
      <c r="Z677" s="137"/>
      <c r="AA677" s="137"/>
    </row>
    <row r="678" spans="5:27" x14ac:dyDescent="0.35">
      <c r="E678" s="137"/>
      <c r="F678" s="137"/>
      <c r="G678" s="190"/>
      <c r="H678" s="137"/>
      <c r="I678" s="137"/>
      <c r="J678" s="137"/>
      <c r="M678" s="143"/>
      <c r="N678" s="143"/>
      <c r="O678" s="143"/>
      <c r="P678" s="143"/>
      <c r="Q678" s="137"/>
      <c r="R678" s="137"/>
      <c r="S678" s="137"/>
      <c r="T678" s="137"/>
      <c r="U678" s="137"/>
      <c r="V678" s="137"/>
      <c r="W678" s="137"/>
      <c r="X678" s="137"/>
      <c r="Y678" s="137"/>
      <c r="Z678" s="137"/>
      <c r="AA678" s="137"/>
    </row>
    <row r="679" spans="5:27" x14ac:dyDescent="0.35">
      <c r="E679" s="137"/>
      <c r="F679" s="137"/>
      <c r="G679" s="190"/>
      <c r="H679" s="137"/>
      <c r="I679" s="137"/>
      <c r="J679" s="137"/>
      <c r="M679" s="143"/>
      <c r="N679" s="143"/>
      <c r="O679" s="143"/>
      <c r="P679" s="143"/>
      <c r="Q679" s="137"/>
      <c r="R679" s="137"/>
      <c r="S679" s="137"/>
      <c r="T679" s="137"/>
      <c r="U679" s="137"/>
      <c r="V679" s="137"/>
      <c r="W679" s="137"/>
      <c r="X679" s="137"/>
      <c r="Y679" s="137"/>
      <c r="Z679" s="137"/>
      <c r="AA679" s="137"/>
    </row>
    <row r="680" spans="5:27" x14ac:dyDescent="0.35">
      <c r="E680" s="137"/>
      <c r="F680" s="137"/>
      <c r="G680" s="190"/>
      <c r="H680" s="137"/>
      <c r="I680" s="137"/>
      <c r="J680" s="137"/>
      <c r="M680" s="143"/>
      <c r="N680" s="143"/>
      <c r="O680" s="143"/>
      <c r="P680" s="143"/>
      <c r="Q680" s="137"/>
      <c r="R680" s="137"/>
      <c r="S680" s="137"/>
      <c r="T680" s="137"/>
      <c r="U680" s="137"/>
      <c r="V680" s="137"/>
      <c r="W680" s="137"/>
      <c r="X680" s="137"/>
      <c r="Y680" s="137"/>
      <c r="Z680" s="137"/>
      <c r="AA680" s="137"/>
    </row>
    <row r="681" spans="5:27" x14ac:dyDescent="0.35">
      <c r="E681" s="137"/>
      <c r="F681" s="137"/>
      <c r="G681" s="190"/>
      <c r="H681" s="137"/>
      <c r="I681" s="137"/>
      <c r="J681" s="137"/>
      <c r="M681" s="143"/>
      <c r="N681" s="143"/>
      <c r="O681" s="143"/>
      <c r="P681" s="143"/>
      <c r="Q681" s="137"/>
      <c r="R681" s="137"/>
      <c r="S681" s="137"/>
      <c r="T681" s="137"/>
      <c r="U681" s="137"/>
      <c r="V681" s="137"/>
      <c r="W681" s="137"/>
      <c r="X681" s="137"/>
      <c r="Y681" s="137"/>
      <c r="Z681" s="137"/>
      <c r="AA681" s="137"/>
    </row>
    <row r="682" spans="5:27" x14ac:dyDescent="0.35">
      <c r="E682" s="137"/>
      <c r="F682" s="137"/>
      <c r="G682" s="190"/>
      <c r="H682" s="137"/>
      <c r="I682" s="137"/>
      <c r="J682" s="137"/>
      <c r="M682" s="143"/>
      <c r="N682" s="143"/>
      <c r="O682" s="143"/>
      <c r="P682" s="143"/>
      <c r="Q682" s="137"/>
      <c r="R682" s="137"/>
      <c r="S682" s="137"/>
      <c r="T682" s="137"/>
      <c r="U682" s="137"/>
      <c r="V682" s="137"/>
      <c r="W682" s="137"/>
      <c r="X682" s="137"/>
      <c r="Y682" s="137"/>
      <c r="Z682" s="137"/>
      <c r="AA682" s="137"/>
    </row>
    <row r="683" spans="5:27" x14ac:dyDescent="0.35">
      <c r="E683" s="137"/>
      <c r="F683" s="137"/>
      <c r="G683" s="190"/>
      <c r="H683" s="137"/>
      <c r="I683" s="137"/>
      <c r="J683" s="137"/>
      <c r="M683" s="143"/>
      <c r="N683" s="143"/>
      <c r="O683" s="143"/>
      <c r="P683" s="143"/>
      <c r="Q683" s="137"/>
      <c r="R683" s="137"/>
      <c r="S683" s="137"/>
      <c r="T683" s="137"/>
      <c r="U683" s="137"/>
      <c r="V683" s="137"/>
      <c r="W683" s="137"/>
      <c r="X683" s="137"/>
      <c r="Y683" s="137"/>
      <c r="Z683" s="137"/>
      <c r="AA683" s="137"/>
    </row>
    <row r="684" spans="5:27" x14ac:dyDescent="0.35">
      <c r="E684" s="137"/>
      <c r="F684" s="137"/>
      <c r="G684" s="190"/>
      <c r="H684" s="137"/>
      <c r="I684" s="137"/>
      <c r="J684" s="137"/>
      <c r="M684" s="143"/>
      <c r="N684" s="143"/>
      <c r="O684" s="143"/>
      <c r="P684" s="143"/>
      <c r="Q684" s="137"/>
      <c r="R684" s="137"/>
      <c r="S684" s="137"/>
      <c r="T684" s="137"/>
      <c r="U684" s="137"/>
      <c r="V684" s="137"/>
      <c r="W684" s="137"/>
      <c r="X684" s="137"/>
      <c r="Y684" s="137"/>
      <c r="Z684" s="137"/>
      <c r="AA684" s="137"/>
    </row>
    <row r="685" spans="5:27" x14ac:dyDescent="0.35">
      <c r="E685" s="137"/>
      <c r="F685" s="137"/>
      <c r="G685" s="190"/>
      <c r="H685" s="137"/>
      <c r="I685" s="137"/>
      <c r="J685" s="137"/>
      <c r="M685" s="143"/>
      <c r="N685" s="143"/>
      <c r="O685" s="143"/>
      <c r="P685" s="143"/>
      <c r="Q685" s="137"/>
      <c r="R685" s="137"/>
      <c r="S685" s="137"/>
      <c r="T685" s="137"/>
      <c r="U685" s="137"/>
      <c r="V685" s="137"/>
      <c r="W685" s="137"/>
      <c r="X685" s="137"/>
      <c r="Y685" s="137"/>
      <c r="Z685" s="137"/>
      <c r="AA685" s="137"/>
    </row>
    <row r="686" spans="5:27" x14ac:dyDescent="0.35">
      <c r="E686" s="137"/>
      <c r="F686" s="137"/>
      <c r="G686" s="190"/>
      <c r="H686" s="137"/>
      <c r="I686" s="137"/>
      <c r="J686" s="137"/>
      <c r="M686" s="143"/>
      <c r="N686" s="143"/>
      <c r="O686" s="143"/>
      <c r="P686" s="143"/>
      <c r="Q686" s="137"/>
      <c r="R686" s="137"/>
      <c r="S686" s="137"/>
      <c r="T686" s="137"/>
      <c r="U686" s="137"/>
      <c r="V686" s="137"/>
      <c r="W686" s="137"/>
      <c r="X686" s="137"/>
      <c r="Y686" s="137"/>
      <c r="Z686" s="137"/>
      <c r="AA686" s="137"/>
    </row>
    <row r="687" spans="5:27" x14ac:dyDescent="0.35">
      <c r="E687" s="137"/>
      <c r="F687" s="137"/>
      <c r="G687" s="190"/>
      <c r="H687" s="137"/>
      <c r="I687" s="137"/>
      <c r="J687" s="137"/>
      <c r="M687" s="143"/>
      <c r="N687" s="143"/>
      <c r="O687" s="143"/>
      <c r="P687" s="143"/>
      <c r="Q687" s="137"/>
      <c r="R687" s="137"/>
      <c r="S687" s="137"/>
      <c r="T687" s="137"/>
      <c r="U687" s="137"/>
      <c r="V687" s="137"/>
      <c r="W687" s="137"/>
      <c r="X687" s="137"/>
      <c r="Y687" s="137"/>
      <c r="Z687" s="137"/>
      <c r="AA687" s="137"/>
    </row>
    <row r="688" spans="5:27" x14ac:dyDescent="0.35">
      <c r="E688" s="137"/>
      <c r="F688" s="137"/>
      <c r="G688" s="190"/>
      <c r="H688" s="137"/>
      <c r="I688" s="137"/>
      <c r="J688" s="137"/>
      <c r="M688" s="143"/>
      <c r="N688" s="143"/>
      <c r="O688" s="143"/>
      <c r="P688" s="143"/>
      <c r="Q688" s="137"/>
      <c r="R688" s="137"/>
      <c r="S688" s="137"/>
      <c r="T688" s="137"/>
      <c r="U688" s="137"/>
      <c r="V688" s="137"/>
      <c r="W688" s="137"/>
      <c r="X688" s="137"/>
      <c r="Y688" s="137"/>
      <c r="Z688" s="137"/>
      <c r="AA688" s="137"/>
    </row>
    <row r="689" spans="5:27" x14ac:dyDescent="0.35">
      <c r="E689" s="137"/>
      <c r="F689" s="137"/>
      <c r="G689" s="190"/>
      <c r="H689" s="137"/>
      <c r="I689" s="137"/>
      <c r="J689" s="137"/>
      <c r="M689" s="143"/>
      <c r="N689" s="143"/>
      <c r="O689" s="143"/>
      <c r="P689" s="143"/>
      <c r="Q689" s="137"/>
      <c r="R689" s="137"/>
      <c r="S689" s="137"/>
      <c r="T689" s="137"/>
      <c r="U689" s="137"/>
      <c r="V689" s="137"/>
      <c r="W689" s="137"/>
      <c r="X689" s="137"/>
      <c r="Y689" s="137"/>
      <c r="Z689" s="137"/>
      <c r="AA689" s="137"/>
    </row>
    <row r="690" spans="5:27" x14ac:dyDescent="0.35">
      <c r="E690" s="137"/>
      <c r="F690" s="137"/>
      <c r="G690" s="190"/>
      <c r="H690" s="137"/>
      <c r="I690" s="137"/>
      <c r="J690" s="137"/>
      <c r="M690" s="143"/>
      <c r="N690" s="143"/>
      <c r="O690" s="143"/>
      <c r="P690" s="143"/>
      <c r="Q690" s="137"/>
      <c r="R690" s="137"/>
      <c r="S690" s="137"/>
      <c r="T690" s="137"/>
      <c r="U690" s="137"/>
      <c r="V690" s="137"/>
      <c r="W690" s="137"/>
      <c r="X690" s="137"/>
      <c r="Y690" s="137"/>
      <c r="Z690" s="137"/>
      <c r="AA690" s="137"/>
    </row>
    <row r="691" spans="5:27" x14ac:dyDescent="0.35">
      <c r="E691" s="137"/>
      <c r="F691" s="137"/>
      <c r="G691" s="190"/>
      <c r="H691" s="137"/>
      <c r="I691" s="137"/>
      <c r="J691" s="137"/>
      <c r="M691" s="143"/>
      <c r="N691" s="143"/>
      <c r="O691" s="143"/>
      <c r="P691" s="143"/>
      <c r="Q691" s="137"/>
      <c r="R691" s="137"/>
      <c r="S691" s="137"/>
      <c r="T691" s="137"/>
      <c r="U691" s="137"/>
      <c r="V691" s="137"/>
      <c r="W691" s="137"/>
      <c r="X691" s="137"/>
      <c r="Y691" s="137"/>
      <c r="Z691" s="137"/>
      <c r="AA691" s="137"/>
    </row>
    <row r="692" spans="5:27" x14ac:dyDescent="0.35">
      <c r="E692" s="137"/>
      <c r="F692" s="137"/>
      <c r="G692" s="190"/>
      <c r="H692" s="137"/>
      <c r="I692" s="137"/>
      <c r="J692" s="137"/>
      <c r="M692" s="143"/>
      <c r="N692" s="143"/>
      <c r="O692" s="143"/>
      <c r="P692" s="143"/>
      <c r="Q692" s="137"/>
      <c r="R692" s="137"/>
      <c r="S692" s="137"/>
      <c r="T692" s="137"/>
      <c r="U692" s="137"/>
      <c r="V692" s="137"/>
      <c r="W692" s="137"/>
      <c r="X692" s="137"/>
      <c r="Y692" s="137"/>
      <c r="Z692" s="137"/>
      <c r="AA692" s="137"/>
    </row>
    <row r="693" spans="5:27" x14ac:dyDescent="0.35">
      <c r="E693" s="137"/>
      <c r="F693" s="137"/>
      <c r="G693" s="190"/>
      <c r="H693" s="137"/>
      <c r="I693" s="137"/>
      <c r="J693" s="137"/>
      <c r="M693" s="143"/>
      <c r="N693" s="143"/>
      <c r="O693" s="143"/>
      <c r="P693" s="143"/>
      <c r="Q693" s="137"/>
      <c r="R693" s="137"/>
      <c r="S693" s="137"/>
      <c r="T693" s="137"/>
      <c r="U693" s="137"/>
      <c r="V693" s="137"/>
      <c r="W693" s="137"/>
      <c r="X693" s="137"/>
      <c r="Y693" s="137"/>
      <c r="Z693" s="137"/>
      <c r="AA693" s="137"/>
    </row>
    <row r="694" spans="5:27" x14ac:dyDescent="0.35">
      <c r="E694" s="137"/>
      <c r="F694" s="137"/>
      <c r="G694" s="190"/>
      <c r="H694" s="137"/>
      <c r="I694" s="137"/>
      <c r="J694" s="137"/>
      <c r="M694" s="143"/>
      <c r="N694" s="143"/>
      <c r="O694" s="143"/>
      <c r="P694" s="143"/>
      <c r="Q694" s="137"/>
      <c r="R694" s="137"/>
      <c r="S694" s="137"/>
      <c r="T694" s="137"/>
      <c r="U694" s="137"/>
      <c r="V694" s="137"/>
      <c r="W694" s="137"/>
      <c r="X694" s="137"/>
      <c r="Y694" s="137"/>
      <c r="Z694" s="137"/>
      <c r="AA694" s="137"/>
    </row>
    <row r="695" spans="5:27" x14ac:dyDescent="0.35">
      <c r="E695" s="137"/>
      <c r="F695" s="137"/>
      <c r="G695" s="190"/>
      <c r="H695" s="137"/>
      <c r="I695" s="137"/>
      <c r="J695" s="137"/>
      <c r="M695" s="143"/>
      <c r="N695" s="143"/>
      <c r="O695" s="143"/>
      <c r="P695" s="143"/>
      <c r="Q695" s="137"/>
      <c r="R695" s="137"/>
      <c r="S695" s="137"/>
      <c r="T695" s="137"/>
      <c r="U695" s="137"/>
      <c r="V695" s="137"/>
      <c r="W695" s="137"/>
      <c r="X695" s="137"/>
      <c r="Y695" s="137"/>
      <c r="Z695" s="137"/>
      <c r="AA695" s="137"/>
    </row>
    <row r="696" spans="5:27" x14ac:dyDescent="0.35">
      <c r="E696" s="137"/>
      <c r="F696" s="137"/>
      <c r="G696" s="190"/>
      <c r="H696" s="137"/>
      <c r="I696" s="137"/>
      <c r="J696" s="137"/>
      <c r="M696" s="143"/>
      <c r="N696" s="143"/>
      <c r="O696" s="143"/>
      <c r="P696" s="143"/>
      <c r="Q696" s="137"/>
      <c r="R696" s="137"/>
      <c r="S696" s="137"/>
      <c r="T696" s="137"/>
      <c r="U696" s="137"/>
      <c r="V696" s="137"/>
      <c r="W696" s="137"/>
      <c r="X696" s="137"/>
      <c r="Y696" s="137"/>
      <c r="Z696" s="137"/>
      <c r="AA696" s="137"/>
    </row>
    <row r="697" spans="5:27" x14ac:dyDescent="0.35">
      <c r="E697" s="137"/>
      <c r="F697" s="137"/>
      <c r="G697" s="190"/>
      <c r="H697" s="137"/>
      <c r="I697" s="137"/>
      <c r="J697" s="137"/>
      <c r="M697" s="143"/>
      <c r="N697" s="143"/>
      <c r="O697" s="143"/>
      <c r="P697" s="143"/>
      <c r="Q697" s="137"/>
      <c r="R697" s="137"/>
      <c r="S697" s="137"/>
      <c r="T697" s="137"/>
      <c r="U697" s="137"/>
      <c r="V697" s="137"/>
      <c r="W697" s="137"/>
      <c r="X697" s="137"/>
      <c r="Y697" s="137"/>
      <c r="Z697" s="137"/>
      <c r="AA697" s="137"/>
    </row>
    <row r="698" spans="5:27" x14ac:dyDescent="0.35">
      <c r="E698" s="137"/>
      <c r="F698" s="137"/>
      <c r="G698" s="190"/>
      <c r="H698" s="137"/>
      <c r="I698" s="137"/>
      <c r="J698" s="137"/>
      <c r="M698" s="143"/>
      <c r="N698" s="143"/>
      <c r="O698" s="143"/>
      <c r="P698" s="143"/>
      <c r="Q698" s="137"/>
      <c r="R698" s="137"/>
      <c r="S698" s="137"/>
      <c r="T698" s="137"/>
      <c r="U698" s="137"/>
      <c r="V698" s="137"/>
      <c r="W698" s="137"/>
      <c r="X698" s="137"/>
      <c r="Y698" s="137"/>
      <c r="Z698" s="137"/>
      <c r="AA698" s="137"/>
    </row>
    <row r="699" spans="5:27" x14ac:dyDescent="0.35">
      <c r="E699" s="137"/>
      <c r="F699" s="137"/>
      <c r="G699" s="190"/>
      <c r="H699" s="137"/>
      <c r="I699" s="137"/>
      <c r="J699" s="137"/>
      <c r="M699" s="143"/>
      <c r="N699" s="143"/>
      <c r="O699" s="143"/>
      <c r="P699" s="143"/>
      <c r="Q699" s="137"/>
      <c r="R699" s="137"/>
      <c r="S699" s="137"/>
      <c r="T699" s="137"/>
      <c r="U699" s="137"/>
      <c r="V699" s="137"/>
      <c r="W699" s="137"/>
      <c r="X699" s="137"/>
      <c r="Y699" s="137"/>
      <c r="Z699" s="137"/>
      <c r="AA699" s="137"/>
    </row>
    <row r="700" spans="5:27" x14ac:dyDescent="0.35">
      <c r="E700" s="137"/>
      <c r="F700" s="137"/>
      <c r="G700" s="190"/>
      <c r="H700" s="137"/>
      <c r="I700" s="137"/>
      <c r="J700" s="137"/>
      <c r="M700" s="143"/>
      <c r="N700" s="143"/>
      <c r="O700" s="143"/>
      <c r="P700" s="143"/>
      <c r="Q700" s="137"/>
      <c r="R700" s="137"/>
      <c r="S700" s="137"/>
      <c r="T700" s="137"/>
      <c r="U700" s="137"/>
      <c r="V700" s="137"/>
      <c r="W700" s="137"/>
      <c r="X700" s="137"/>
      <c r="Y700" s="137"/>
      <c r="Z700" s="137"/>
      <c r="AA700" s="137"/>
    </row>
    <row r="701" spans="5:27" x14ac:dyDescent="0.35">
      <c r="E701" s="137"/>
      <c r="F701" s="137"/>
      <c r="G701" s="190"/>
      <c r="H701" s="137"/>
      <c r="I701" s="137"/>
      <c r="J701" s="137"/>
      <c r="M701" s="143"/>
      <c r="N701" s="143"/>
      <c r="O701" s="143"/>
      <c r="P701" s="143"/>
      <c r="Q701" s="137"/>
      <c r="R701" s="137"/>
      <c r="S701" s="137"/>
      <c r="T701" s="137"/>
      <c r="U701" s="137"/>
      <c r="V701" s="137"/>
      <c r="W701" s="137"/>
      <c r="X701" s="137"/>
      <c r="Y701" s="137"/>
      <c r="Z701" s="137"/>
      <c r="AA701" s="137"/>
    </row>
    <row r="702" spans="5:27" x14ac:dyDescent="0.35">
      <c r="E702" s="137"/>
      <c r="F702" s="137"/>
      <c r="G702" s="190"/>
      <c r="H702" s="137"/>
      <c r="I702" s="137"/>
      <c r="J702" s="137"/>
      <c r="M702" s="143"/>
      <c r="N702" s="143"/>
      <c r="O702" s="143"/>
      <c r="P702" s="143"/>
      <c r="Q702" s="137"/>
      <c r="R702" s="137"/>
      <c r="S702" s="137"/>
      <c r="T702" s="137"/>
      <c r="U702" s="137"/>
      <c r="V702" s="137"/>
      <c r="W702" s="137"/>
      <c r="X702" s="137"/>
      <c r="Y702" s="137"/>
      <c r="Z702" s="137"/>
      <c r="AA702" s="137"/>
    </row>
    <row r="703" spans="5:27" x14ac:dyDescent="0.35">
      <c r="E703" s="137"/>
      <c r="F703" s="137"/>
      <c r="G703" s="190"/>
      <c r="H703" s="137"/>
      <c r="I703" s="137"/>
      <c r="J703" s="137"/>
      <c r="M703" s="143"/>
      <c r="N703" s="143"/>
      <c r="O703" s="143"/>
      <c r="P703" s="143"/>
      <c r="Q703" s="137"/>
      <c r="R703" s="137"/>
      <c r="S703" s="137"/>
      <c r="T703" s="137"/>
      <c r="U703" s="137"/>
      <c r="V703" s="137"/>
      <c r="W703" s="137"/>
      <c r="X703" s="137"/>
      <c r="Y703" s="137"/>
      <c r="Z703" s="137"/>
      <c r="AA703" s="137"/>
    </row>
    <row r="704" spans="5:27" x14ac:dyDescent="0.35">
      <c r="E704" s="137"/>
      <c r="F704" s="137"/>
      <c r="G704" s="190"/>
      <c r="H704" s="137"/>
      <c r="I704" s="137"/>
      <c r="J704" s="137"/>
      <c r="M704" s="143"/>
      <c r="N704" s="143"/>
      <c r="O704" s="143"/>
      <c r="P704" s="143"/>
      <c r="Q704" s="137"/>
      <c r="R704" s="137"/>
      <c r="S704" s="137"/>
      <c r="T704" s="137"/>
      <c r="U704" s="137"/>
      <c r="V704" s="137"/>
      <c r="W704" s="137"/>
      <c r="X704" s="137"/>
      <c r="Y704" s="137"/>
      <c r="Z704" s="137"/>
      <c r="AA704" s="137"/>
    </row>
    <row r="705" spans="5:27" x14ac:dyDescent="0.35">
      <c r="E705" s="137"/>
      <c r="F705" s="137"/>
      <c r="G705" s="190"/>
      <c r="H705" s="137"/>
      <c r="I705" s="137"/>
      <c r="J705" s="137"/>
      <c r="M705" s="143"/>
      <c r="N705" s="143"/>
      <c r="O705" s="143"/>
      <c r="P705" s="143"/>
      <c r="Q705" s="137"/>
      <c r="R705" s="137"/>
      <c r="S705" s="137"/>
      <c r="T705" s="137"/>
      <c r="U705" s="137"/>
      <c r="V705" s="137"/>
      <c r="W705" s="137"/>
      <c r="X705" s="137"/>
      <c r="Y705" s="137"/>
      <c r="Z705" s="137"/>
      <c r="AA705" s="137"/>
    </row>
    <row r="706" spans="5:27" x14ac:dyDescent="0.35">
      <c r="E706" s="137"/>
      <c r="F706" s="137"/>
      <c r="G706" s="190"/>
      <c r="H706" s="137"/>
      <c r="I706" s="137"/>
      <c r="J706" s="137"/>
      <c r="M706" s="143"/>
      <c r="N706" s="143"/>
      <c r="O706" s="143"/>
      <c r="P706" s="143"/>
      <c r="Q706" s="137"/>
      <c r="R706" s="137"/>
      <c r="S706" s="137"/>
      <c r="T706" s="137"/>
      <c r="U706" s="137"/>
      <c r="V706" s="137"/>
      <c r="W706" s="137"/>
      <c r="X706" s="137"/>
      <c r="Y706" s="137"/>
      <c r="Z706" s="137"/>
      <c r="AA706" s="137"/>
    </row>
    <row r="707" spans="5:27" x14ac:dyDescent="0.35">
      <c r="E707" s="137"/>
      <c r="F707" s="137"/>
      <c r="G707" s="190"/>
      <c r="H707" s="137"/>
      <c r="I707" s="137"/>
      <c r="J707" s="137"/>
      <c r="M707" s="143"/>
      <c r="N707" s="143"/>
      <c r="O707" s="143"/>
      <c r="P707" s="143"/>
      <c r="Q707" s="137"/>
      <c r="R707" s="137"/>
      <c r="S707" s="137"/>
      <c r="T707" s="137"/>
      <c r="U707" s="137"/>
      <c r="V707" s="137"/>
      <c r="W707" s="137"/>
      <c r="X707" s="137"/>
      <c r="Y707" s="137"/>
      <c r="Z707" s="137"/>
      <c r="AA707" s="137"/>
    </row>
    <row r="708" spans="5:27" x14ac:dyDescent="0.35">
      <c r="E708" s="137"/>
      <c r="F708" s="137"/>
      <c r="G708" s="190"/>
      <c r="H708" s="137"/>
      <c r="I708" s="137"/>
      <c r="J708" s="137"/>
      <c r="M708" s="143"/>
      <c r="N708" s="143"/>
      <c r="O708" s="143"/>
      <c r="P708" s="143"/>
      <c r="Q708" s="137"/>
      <c r="R708" s="137"/>
      <c r="S708" s="137"/>
      <c r="T708" s="137"/>
      <c r="U708" s="137"/>
      <c r="V708" s="137"/>
      <c r="W708" s="137"/>
      <c r="X708" s="137"/>
      <c r="Y708" s="137"/>
      <c r="Z708" s="137"/>
      <c r="AA708" s="137"/>
    </row>
    <row r="709" spans="5:27" x14ac:dyDescent="0.35">
      <c r="E709" s="137"/>
      <c r="F709" s="137"/>
      <c r="G709" s="190"/>
      <c r="H709" s="137"/>
      <c r="I709" s="137"/>
      <c r="J709" s="137"/>
      <c r="M709" s="143"/>
      <c r="N709" s="143"/>
      <c r="O709" s="143"/>
      <c r="P709" s="143"/>
      <c r="Q709" s="137"/>
      <c r="R709" s="137"/>
      <c r="S709" s="137"/>
      <c r="T709" s="137"/>
      <c r="U709" s="137"/>
      <c r="V709" s="137"/>
      <c r="W709" s="137"/>
      <c r="X709" s="137"/>
      <c r="Y709" s="137"/>
      <c r="Z709" s="137"/>
      <c r="AA709" s="137"/>
    </row>
    <row r="710" spans="5:27" x14ac:dyDescent="0.35">
      <c r="E710" s="137"/>
      <c r="F710" s="137"/>
      <c r="G710" s="190"/>
      <c r="H710" s="137"/>
      <c r="I710" s="137"/>
      <c r="J710" s="137"/>
      <c r="M710" s="143"/>
      <c r="N710" s="143"/>
      <c r="O710" s="143"/>
      <c r="P710" s="143"/>
      <c r="Q710" s="137"/>
      <c r="R710" s="137"/>
      <c r="S710" s="137"/>
      <c r="T710" s="137"/>
      <c r="U710" s="137"/>
      <c r="V710" s="137"/>
      <c r="W710" s="137"/>
      <c r="X710" s="137"/>
      <c r="Y710" s="137"/>
      <c r="Z710" s="137"/>
      <c r="AA710" s="137"/>
    </row>
    <row r="711" spans="5:27" x14ac:dyDescent="0.35">
      <c r="E711" s="137"/>
      <c r="F711" s="137"/>
      <c r="G711" s="190"/>
      <c r="H711" s="137"/>
      <c r="I711" s="137"/>
      <c r="J711" s="137"/>
      <c r="M711" s="143"/>
      <c r="N711" s="143"/>
      <c r="O711" s="143"/>
      <c r="P711" s="143"/>
      <c r="Q711" s="137"/>
      <c r="R711" s="137"/>
      <c r="S711" s="137"/>
      <c r="T711" s="137"/>
      <c r="U711" s="137"/>
      <c r="V711" s="137"/>
      <c r="W711" s="137"/>
      <c r="X711" s="137"/>
      <c r="Y711" s="137"/>
      <c r="Z711" s="137"/>
      <c r="AA711" s="137"/>
    </row>
    <row r="712" spans="5:27" x14ac:dyDescent="0.35">
      <c r="E712" s="137"/>
      <c r="F712" s="137"/>
      <c r="G712" s="190"/>
      <c r="H712" s="137"/>
      <c r="I712" s="137"/>
      <c r="J712" s="137"/>
      <c r="M712" s="143"/>
      <c r="N712" s="143"/>
      <c r="O712" s="143"/>
      <c r="P712" s="143"/>
      <c r="Q712" s="137"/>
      <c r="R712" s="137"/>
      <c r="S712" s="137"/>
      <c r="T712" s="137"/>
      <c r="U712" s="137"/>
      <c r="V712" s="137"/>
      <c r="W712" s="137"/>
      <c r="X712" s="137"/>
      <c r="Y712" s="137"/>
      <c r="Z712" s="137"/>
      <c r="AA712" s="137"/>
    </row>
    <row r="713" spans="5:27" x14ac:dyDescent="0.35">
      <c r="E713" s="137"/>
      <c r="F713" s="137"/>
      <c r="G713" s="190"/>
      <c r="H713" s="137"/>
      <c r="I713" s="137"/>
      <c r="J713" s="137"/>
      <c r="M713" s="143"/>
      <c r="N713" s="143"/>
      <c r="O713" s="143"/>
      <c r="P713" s="143"/>
      <c r="Q713" s="137"/>
      <c r="R713" s="137"/>
      <c r="S713" s="137"/>
      <c r="T713" s="137"/>
      <c r="U713" s="137"/>
      <c r="V713" s="137"/>
      <c r="W713" s="137"/>
      <c r="X713" s="137"/>
      <c r="Y713" s="137"/>
      <c r="Z713" s="137"/>
      <c r="AA713" s="137"/>
    </row>
    <row r="714" spans="5:27" x14ac:dyDescent="0.35">
      <c r="E714" s="137"/>
      <c r="F714" s="137"/>
      <c r="G714" s="190"/>
      <c r="H714" s="137"/>
      <c r="I714" s="137"/>
      <c r="J714" s="137"/>
      <c r="M714" s="143"/>
      <c r="N714" s="143"/>
      <c r="O714" s="143"/>
      <c r="P714" s="143"/>
      <c r="Q714" s="137"/>
      <c r="R714" s="137"/>
      <c r="S714" s="137"/>
      <c r="T714" s="137"/>
      <c r="U714" s="137"/>
      <c r="V714" s="137"/>
      <c r="W714" s="137"/>
      <c r="X714" s="137"/>
      <c r="Y714" s="137"/>
      <c r="Z714" s="137"/>
      <c r="AA714" s="137"/>
    </row>
    <row r="715" spans="5:27" x14ac:dyDescent="0.35">
      <c r="E715" s="137"/>
      <c r="F715" s="137"/>
      <c r="G715" s="190"/>
      <c r="H715" s="137"/>
      <c r="I715" s="137"/>
      <c r="J715" s="137"/>
      <c r="M715" s="143"/>
      <c r="N715" s="143"/>
      <c r="O715" s="143"/>
      <c r="P715" s="143"/>
      <c r="Q715" s="137"/>
      <c r="R715" s="137"/>
      <c r="S715" s="137"/>
      <c r="T715" s="137"/>
      <c r="U715" s="137"/>
      <c r="V715" s="137"/>
      <c r="W715" s="137"/>
      <c r="X715" s="137"/>
      <c r="Y715" s="137"/>
      <c r="Z715" s="137"/>
      <c r="AA715" s="137"/>
    </row>
    <row r="716" spans="5:27" x14ac:dyDescent="0.35">
      <c r="E716" s="137"/>
      <c r="F716" s="137"/>
      <c r="G716" s="190"/>
      <c r="H716" s="137"/>
      <c r="I716" s="137"/>
      <c r="J716" s="137"/>
      <c r="M716" s="143"/>
      <c r="N716" s="143"/>
      <c r="O716" s="143"/>
      <c r="P716" s="143"/>
      <c r="Q716" s="137"/>
      <c r="R716" s="137"/>
      <c r="S716" s="137"/>
      <c r="T716" s="137"/>
      <c r="U716" s="137"/>
      <c r="V716" s="137"/>
      <c r="W716" s="137"/>
      <c r="X716" s="137"/>
      <c r="Y716" s="137"/>
      <c r="Z716" s="137"/>
      <c r="AA716" s="137"/>
    </row>
    <row r="717" spans="5:27" x14ac:dyDescent="0.35">
      <c r="E717" s="137"/>
      <c r="F717" s="137"/>
      <c r="G717" s="190"/>
      <c r="H717" s="137"/>
      <c r="I717" s="137"/>
      <c r="J717" s="137"/>
      <c r="M717" s="143"/>
      <c r="N717" s="143"/>
      <c r="O717" s="143"/>
      <c r="P717" s="143"/>
      <c r="Q717" s="137"/>
      <c r="R717" s="137"/>
      <c r="S717" s="137"/>
      <c r="T717" s="137"/>
      <c r="U717" s="137"/>
      <c r="V717" s="137"/>
      <c r="W717" s="137"/>
      <c r="X717" s="137"/>
      <c r="Y717" s="137"/>
      <c r="Z717" s="137"/>
      <c r="AA717" s="137"/>
    </row>
    <row r="718" spans="5:27" x14ac:dyDescent="0.35">
      <c r="E718" s="137"/>
      <c r="F718" s="137"/>
      <c r="G718" s="190"/>
      <c r="H718" s="137"/>
      <c r="I718" s="137"/>
      <c r="J718" s="137"/>
      <c r="M718" s="143"/>
      <c r="N718" s="143"/>
      <c r="O718" s="143"/>
      <c r="P718" s="143"/>
      <c r="Q718" s="137"/>
      <c r="R718" s="137"/>
      <c r="S718" s="137"/>
      <c r="T718" s="137"/>
      <c r="U718" s="137"/>
      <c r="V718" s="137"/>
      <c r="W718" s="137"/>
      <c r="X718" s="137"/>
      <c r="Y718" s="137"/>
      <c r="Z718" s="137"/>
      <c r="AA718" s="137"/>
    </row>
    <row r="719" spans="5:27" x14ac:dyDescent="0.35">
      <c r="E719" s="137"/>
      <c r="F719" s="137"/>
      <c r="G719" s="190"/>
      <c r="H719" s="137"/>
      <c r="I719" s="137"/>
      <c r="J719" s="137"/>
      <c r="M719" s="143"/>
      <c r="N719" s="143"/>
      <c r="O719" s="143"/>
      <c r="P719" s="143"/>
      <c r="Q719" s="137"/>
      <c r="R719" s="137"/>
      <c r="S719" s="137"/>
      <c r="T719" s="137"/>
      <c r="U719" s="137"/>
      <c r="V719" s="137"/>
      <c r="W719" s="137"/>
      <c r="X719" s="137"/>
      <c r="Y719" s="137"/>
      <c r="Z719" s="137"/>
      <c r="AA719" s="137"/>
    </row>
    <row r="720" spans="5:27" x14ac:dyDescent="0.35">
      <c r="E720" s="137"/>
      <c r="F720" s="137"/>
      <c r="G720" s="190"/>
      <c r="H720" s="137"/>
      <c r="I720" s="137"/>
      <c r="J720" s="137"/>
      <c r="M720" s="143"/>
      <c r="N720" s="143"/>
      <c r="O720" s="143"/>
      <c r="P720" s="143"/>
      <c r="Q720" s="137"/>
      <c r="R720" s="137"/>
      <c r="S720" s="137"/>
      <c r="T720" s="137"/>
      <c r="U720" s="137"/>
      <c r="V720" s="137"/>
      <c r="W720" s="137"/>
      <c r="X720" s="137"/>
      <c r="Y720" s="137"/>
      <c r="Z720" s="137"/>
      <c r="AA720" s="137"/>
    </row>
    <row r="721" spans="5:27" x14ac:dyDescent="0.35">
      <c r="E721" s="137"/>
      <c r="F721" s="137"/>
      <c r="G721" s="190"/>
      <c r="H721" s="137"/>
      <c r="I721" s="137"/>
      <c r="J721" s="137"/>
      <c r="M721" s="143"/>
      <c r="N721" s="143"/>
      <c r="O721" s="143"/>
      <c r="P721" s="143"/>
      <c r="Q721" s="137"/>
      <c r="R721" s="137"/>
      <c r="S721" s="137"/>
      <c r="T721" s="137"/>
      <c r="U721" s="137"/>
      <c r="V721" s="137"/>
      <c r="W721" s="137"/>
      <c r="X721" s="137"/>
      <c r="Y721" s="137"/>
      <c r="Z721" s="137"/>
      <c r="AA721" s="137"/>
    </row>
    <row r="722" spans="5:27" x14ac:dyDescent="0.35">
      <c r="E722" s="137"/>
      <c r="F722" s="137"/>
      <c r="G722" s="190"/>
      <c r="H722" s="137"/>
      <c r="I722" s="137"/>
      <c r="J722" s="137"/>
      <c r="M722" s="143"/>
      <c r="N722" s="143"/>
      <c r="O722" s="143"/>
      <c r="P722" s="143"/>
      <c r="Q722" s="137"/>
      <c r="R722" s="137"/>
      <c r="S722" s="137"/>
      <c r="T722" s="137"/>
      <c r="U722" s="137"/>
      <c r="V722" s="137"/>
      <c r="W722" s="137"/>
      <c r="X722" s="137"/>
      <c r="Y722" s="137"/>
      <c r="Z722" s="137"/>
      <c r="AA722" s="137"/>
    </row>
    <row r="723" spans="5:27" x14ac:dyDescent="0.35">
      <c r="E723" s="137"/>
      <c r="F723" s="137"/>
      <c r="G723" s="190"/>
      <c r="H723" s="137"/>
      <c r="I723" s="137"/>
      <c r="J723" s="137"/>
      <c r="M723" s="143"/>
      <c r="N723" s="143"/>
      <c r="O723" s="143"/>
      <c r="P723" s="143"/>
      <c r="Q723" s="137"/>
      <c r="R723" s="137"/>
      <c r="S723" s="137"/>
      <c r="T723" s="137"/>
      <c r="U723" s="137"/>
      <c r="V723" s="137"/>
      <c r="W723" s="137"/>
      <c r="X723" s="137"/>
      <c r="Y723" s="137"/>
      <c r="Z723" s="137"/>
      <c r="AA723" s="137"/>
    </row>
    <row r="724" spans="5:27" x14ac:dyDescent="0.35">
      <c r="E724" s="137"/>
      <c r="F724" s="137"/>
      <c r="G724" s="190"/>
      <c r="H724" s="137"/>
      <c r="I724" s="137"/>
      <c r="J724" s="137"/>
      <c r="M724" s="143"/>
      <c r="N724" s="143"/>
      <c r="O724" s="143"/>
      <c r="P724" s="143"/>
      <c r="Q724" s="137"/>
      <c r="R724" s="137"/>
      <c r="S724" s="137"/>
      <c r="T724" s="137"/>
      <c r="U724" s="137"/>
      <c r="V724" s="137"/>
      <c r="W724" s="137"/>
      <c r="X724" s="137"/>
      <c r="Y724" s="137"/>
      <c r="Z724" s="137"/>
      <c r="AA724" s="137"/>
    </row>
    <row r="725" spans="5:27" x14ac:dyDescent="0.35">
      <c r="E725" s="137"/>
      <c r="F725" s="137"/>
      <c r="G725" s="190"/>
      <c r="H725" s="137"/>
      <c r="I725" s="137"/>
      <c r="J725" s="137"/>
      <c r="M725" s="143"/>
      <c r="N725" s="143"/>
      <c r="O725" s="143"/>
      <c r="P725" s="143"/>
      <c r="Q725" s="137"/>
      <c r="R725" s="137"/>
      <c r="S725" s="137"/>
      <c r="T725" s="137"/>
      <c r="U725" s="137"/>
      <c r="V725" s="137"/>
      <c r="W725" s="137"/>
      <c r="X725" s="137"/>
      <c r="Y725" s="137"/>
      <c r="Z725" s="137"/>
      <c r="AA725" s="137"/>
    </row>
    <row r="726" spans="5:27" x14ac:dyDescent="0.35">
      <c r="E726" s="137"/>
      <c r="F726" s="137"/>
      <c r="G726" s="190"/>
      <c r="H726" s="137"/>
      <c r="I726" s="137"/>
      <c r="J726" s="137"/>
      <c r="M726" s="143"/>
      <c r="N726" s="143"/>
      <c r="O726" s="143"/>
      <c r="P726" s="143"/>
      <c r="Q726" s="137"/>
      <c r="R726" s="137"/>
      <c r="S726" s="137"/>
      <c r="T726" s="137"/>
      <c r="U726" s="137"/>
      <c r="V726" s="137"/>
      <c r="W726" s="137"/>
      <c r="X726" s="137"/>
      <c r="Y726" s="137"/>
      <c r="Z726" s="137"/>
      <c r="AA726" s="137"/>
    </row>
    <row r="727" spans="5:27" x14ac:dyDescent="0.35">
      <c r="E727" s="137"/>
      <c r="F727" s="137"/>
      <c r="G727" s="190"/>
      <c r="H727" s="137"/>
      <c r="I727" s="137"/>
      <c r="J727" s="137"/>
      <c r="M727" s="143"/>
      <c r="N727" s="143"/>
      <c r="O727" s="143"/>
      <c r="P727" s="143"/>
      <c r="Q727" s="137"/>
      <c r="R727" s="137"/>
      <c r="S727" s="137"/>
      <c r="T727" s="137"/>
      <c r="U727" s="137"/>
      <c r="V727" s="137"/>
      <c r="W727" s="137"/>
      <c r="X727" s="137"/>
      <c r="Y727" s="137"/>
      <c r="Z727" s="137"/>
      <c r="AA727" s="137"/>
    </row>
    <row r="728" spans="5:27" x14ac:dyDescent="0.35">
      <c r="E728" s="137"/>
      <c r="F728" s="137"/>
      <c r="G728" s="190"/>
      <c r="H728" s="137"/>
      <c r="I728" s="137"/>
      <c r="J728" s="137"/>
      <c r="M728" s="143"/>
      <c r="N728" s="143"/>
      <c r="O728" s="143"/>
      <c r="P728" s="143"/>
      <c r="Q728" s="137"/>
      <c r="R728" s="137"/>
      <c r="S728" s="137"/>
      <c r="T728" s="137"/>
      <c r="U728" s="137"/>
      <c r="V728" s="137"/>
      <c r="W728" s="137"/>
      <c r="X728" s="137"/>
      <c r="Y728" s="137"/>
      <c r="Z728" s="137"/>
      <c r="AA728" s="137"/>
    </row>
    <row r="729" spans="5:27" x14ac:dyDescent="0.35">
      <c r="E729" s="137"/>
      <c r="F729" s="137"/>
      <c r="G729" s="190"/>
      <c r="H729" s="137"/>
      <c r="I729" s="137"/>
      <c r="J729" s="137"/>
      <c r="M729" s="143"/>
      <c r="N729" s="143"/>
      <c r="O729" s="143"/>
      <c r="P729" s="143"/>
      <c r="Q729" s="137"/>
      <c r="R729" s="137"/>
      <c r="S729" s="137"/>
      <c r="T729" s="137"/>
      <c r="U729" s="137"/>
      <c r="V729" s="137"/>
      <c r="W729" s="137"/>
      <c r="X729" s="137"/>
      <c r="Y729" s="137"/>
      <c r="Z729" s="137"/>
      <c r="AA729" s="137"/>
    </row>
    <row r="730" spans="5:27" x14ac:dyDescent="0.35">
      <c r="E730" s="137"/>
      <c r="F730" s="137"/>
      <c r="G730" s="190"/>
      <c r="H730" s="137"/>
      <c r="I730" s="137"/>
      <c r="J730" s="137"/>
      <c r="M730" s="143"/>
      <c r="N730" s="143"/>
      <c r="O730" s="143"/>
      <c r="P730" s="143"/>
      <c r="Q730" s="137"/>
      <c r="R730" s="137"/>
      <c r="S730" s="137"/>
      <c r="T730" s="137"/>
      <c r="U730" s="137"/>
      <c r="V730" s="137"/>
      <c r="W730" s="137"/>
      <c r="X730" s="137"/>
      <c r="Y730" s="137"/>
      <c r="Z730" s="137"/>
      <c r="AA730" s="137"/>
    </row>
    <row r="731" spans="5:27" x14ac:dyDescent="0.35">
      <c r="E731" s="137"/>
      <c r="F731" s="137"/>
      <c r="G731" s="190"/>
      <c r="H731" s="137"/>
      <c r="I731" s="137"/>
      <c r="J731" s="137"/>
      <c r="M731" s="143"/>
      <c r="N731" s="143"/>
      <c r="O731" s="143"/>
      <c r="P731" s="143"/>
      <c r="Q731" s="137"/>
      <c r="R731" s="137"/>
      <c r="S731" s="137"/>
      <c r="T731" s="137"/>
      <c r="U731" s="137"/>
      <c r="V731" s="137"/>
      <c r="W731" s="137"/>
      <c r="X731" s="137"/>
      <c r="Y731" s="137"/>
      <c r="Z731" s="137"/>
      <c r="AA731" s="137"/>
    </row>
    <row r="732" spans="5:27" x14ac:dyDescent="0.35">
      <c r="E732" s="137"/>
      <c r="F732" s="137"/>
      <c r="G732" s="190"/>
      <c r="H732" s="137"/>
      <c r="I732" s="137"/>
      <c r="J732" s="137"/>
      <c r="M732" s="143"/>
      <c r="N732" s="143"/>
      <c r="O732" s="143"/>
      <c r="P732" s="143"/>
      <c r="Q732" s="137"/>
      <c r="R732" s="137"/>
      <c r="S732" s="137"/>
      <c r="T732" s="137"/>
      <c r="U732" s="137"/>
      <c r="V732" s="137"/>
      <c r="W732" s="137"/>
      <c r="X732" s="137"/>
      <c r="Y732" s="137"/>
      <c r="Z732" s="137"/>
      <c r="AA732" s="137"/>
    </row>
    <row r="733" spans="5:27" x14ac:dyDescent="0.35">
      <c r="E733" s="137"/>
      <c r="F733" s="137"/>
      <c r="G733" s="190"/>
      <c r="H733" s="137"/>
      <c r="I733" s="137"/>
      <c r="J733" s="137"/>
      <c r="M733" s="143"/>
      <c r="N733" s="143"/>
      <c r="O733" s="143"/>
      <c r="P733" s="143"/>
      <c r="Q733" s="137"/>
      <c r="R733" s="137"/>
      <c r="S733" s="137"/>
      <c r="T733" s="137"/>
      <c r="U733" s="137"/>
      <c r="V733" s="137"/>
      <c r="W733" s="137"/>
      <c r="X733" s="137"/>
      <c r="Y733" s="137"/>
      <c r="Z733" s="137"/>
      <c r="AA733" s="137"/>
    </row>
    <row r="734" spans="5:27" x14ac:dyDescent="0.35">
      <c r="E734" s="137"/>
      <c r="F734" s="137"/>
      <c r="G734" s="190"/>
      <c r="H734" s="137"/>
      <c r="I734" s="137"/>
      <c r="J734" s="137"/>
      <c r="M734" s="143"/>
      <c r="N734" s="143"/>
      <c r="O734" s="143"/>
      <c r="P734" s="143"/>
      <c r="Q734" s="137"/>
      <c r="R734" s="137"/>
      <c r="S734" s="137"/>
      <c r="T734" s="137"/>
      <c r="U734" s="137"/>
      <c r="V734" s="137"/>
      <c r="W734" s="137"/>
      <c r="X734" s="137"/>
      <c r="Y734" s="137"/>
      <c r="Z734" s="137"/>
      <c r="AA734" s="137"/>
    </row>
    <row r="735" spans="5:27" x14ac:dyDescent="0.35">
      <c r="E735" s="137"/>
      <c r="F735" s="137"/>
      <c r="G735" s="190"/>
      <c r="H735" s="137"/>
      <c r="I735" s="137"/>
      <c r="J735" s="137"/>
      <c r="M735" s="143"/>
      <c r="N735" s="143"/>
      <c r="O735" s="143"/>
      <c r="P735" s="143"/>
      <c r="Q735" s="137"/>
      <c r="R735" s="137"/>
      <c r="S735" s="137"/>
      <c r="T735" s="137"/>
      <c r="U735" s="137"/>
      <c r="V735" s="137"/>
      <c r="W735" s="137"/>
      <c r="X735" s="137"/>
      <c r="Y735" s="137"/>
      <c r="Z735" s="137"/>
      <c r="AA735" s="137"/>
    </row>
    <row r="736" spans="5:27" x14ac:dyDescent="0.35">
      <c r="E736" s="137"/>
      <c r="F736" s="137"/>
      <c r="G736" s="190"/>
      <c r="H736" s="137"/>
      <c r="I736" s="137"/>
      <c r="J736" s="137"/>
      <c r="M736" s="143"/>
      <c r="N736" s="143"/>
      <c r="O736" s="143"/>
      <c r="P736" s="143"/>
      <c r="Q736" s="137"/>
      <c r="R736" s="137"/>
      <c r="S736" s="137"/>
      <c r="T736" s="137"/>
      <c r="U736" s="137"/>
      <c r="V736" s="137"/>
      <c r="W736" s="137"/>
      <c r="X736" s="137"/>
      <c r="Y736" s="137"/>
      <c r="Z736" s="137"/>
      <c r="AA736" s="137"/>
    </row>
    <row r="737" spans="5:27" x14ac:dyDescent="0.35">
      <c r="E737" s="137"/>
      <c r="F737" s="137"/>
      <c r="G737" s="190"/>
      <c r="H737" s="137"/>
      <c r="I737" s="137"/>
      <c r="J737" s="137"/>
      <c r="M737" s="143"/>
      <c r="N737" s="143"/>
      <c r="O737" s="143"/>
      <c r="P737" s="143"/>
      <c r="Q737" s="137"/>
      <c r="R737" s="137"/>
      <c r="S737" s="137"/>
      <c r="T737" s="137"/>
      <c r="U737" s="137"/>
      <c r="V737" s="137"/>
      <c r="W737" s="137"/>
      <c r="X737" s="137"/>
      <c r="Y737" s="137"/>
      <c r="Z737" s="137"/>
      <c r="AA737" s="137"/>
    </row>
    <row r="738" spans="5:27" x14ac:dyDescent="0.35">
      <c r="E738" s="137"/>
      <c r="F738" s="137"/>
      <c r="G738" s="190"/>
      <c r="H738" s="137"/>
      <c r="I738" s="137"/>
      <c r="J738" s="137"/>
      <c r="M738" s="143"/>
      <c r="N738" s="143"/>
      <c r="O738" s="143"/>
      <c r="P738" s="143"/>
      <c r="Q738" s="137"/>
      <c r="R738" s="137"/>
      <c r="S738" s="137"/>
      <c r="T738" s="137"/>
      <c r="U738" s="137"/>
      <c r="V738" s="137"/>
      <c r="W738" s="137"/>
      <c r="X738" s="137"/>
      <c r="Y738" s="137"/>
      <c r="Z738" s="137"/>
      <c r="AA738" s="137"/>
    </row>
    <row r="739" spans="5:27" x14ac:dyDescent="0.35">
      <c r="E739" s="137"/>
      <c r="F739" s="137"/>
      <c r="G739" s="190"/>
      <c r="H739" s="137"/>
      <c r="I739" s="137"/>
      <c r="J739" s="137"/>
      <c r="M739" s="143"/>
      <c r="N739" s="143"/>
      <c r="O739" s="143"/>
      <c r="P739" s="143"/>
      <c r="Q739" s="137"/>
      <c r="R739" s="137"/>
      <c r="S739" s="137"/>
      <c r="T739" s="137"/>
      <c r="U739" s="137"/>
      <c r="V739" s="137"/>
      <c r="W739" s="137"/>
      <c r="X739" s="137"/>
      <c r="Y739" s="137"/>
      <c r="Z739" s="137"/>
      <c r="AA739" s="137"/>
    </row>
    <row r="740" spans="5:27" x14ac:dyDescent="0.35">
      <c r="E740" s="137"/>
      <c r="F740" s="137"/>
      <c r="G740" s="190"/>
      <c r="H740" s="137"/>
      <c r="I740" s="137"/>
      <c r="J740" s="137"/>
      <c r="M740" s="143"/>
      <c r="N740" s="143"/>
      <c r="O740" s="143"/>
      <c r="P740" s="143"/>
      <c r="Q740" s="137"/>
      <c r="R740" s="137"/>
      <c r="S740" s="137"/>
      <c r="T740" s="137"/>
      <c r="U740" s="137"/>
      <c r="V740" s="137"/>
      <c r="W740" s="137"/>
      <c r="X740" s="137"/>
      <c r="Y740" s="137"/>
      <c r="Z740" s="137"/>
      <c r="AA740" s="137"/>
    </row>
    <row r="741" spans="5:27" x14ac:dyDescent="0.35">
      <c r="E741" s="137"/>
      <c r="F741" s="137"/>
      <c r="G741" s="190"/>
      <c r="H741" s="137"/>
      <c r="I741" s="137"/>
      <c r="J741" s="137"/>
      <c r="M741" s="143"/>
      <c r="N741" s="143"/>
      <c r="O741" s="143"/>
      <c r="P741" s="143"/>
      <c r="Q741" s="137"/>
      <c r="R741" s="137"/>
      <c r="S741" s="137"/>
      <c r="T741" s="137"/>
      <c r="U741" s="137"/>
      <c r="V741" s="137"/>
      <c r="W741" s="137"/>
      <c r="X741" s="137"/>
      <c r="Y741" s="137"/>
      <c r="Z741" s="137"/>
      <c r="AA741" s="137"/>
    </row>
    <row r="742" spans="5:27" x14ac:dyDescent="0.35">
      <c r="E742" s="137"/>
      <c r="F742" s="137"/>
      <c r="G742" s="190"/>
      <c r="H742" s="137"/>
      <c r="I742" s="137"/>
      <c r="J742" s="137"/>
      <c r="M742" s="143"/>
      <c r="N742" s="143"/>
      <c r="O742" s="143"/>
      <c r="P742" s="143"/>
      <c r="Q742" s="137"/>
      <c r="R742" s="137"/>
      <c r="S742" s="137"/>
      <c r="T742" s="137"/>
      <c r="U742" s="137"/>
      <c r="V742" s="137"/>
      <c r="W742" s="137"/>
      <c r="X742" s="137"/>
      <c r="Y742" s="137"/>
      <c r="Z742" s="137"/>
      <c r="AA742" s="137"/>
    </row>
    <row r="743" spans="5:27" x14ac:dyDescent="0.35">
      <c r="E743" s="137"/>
      <c r="F743" s="137"/>
      <c r="G743" s="190"/>
      <c r="H743" s="137"/>
      <c r="I743" s="137"/>
      <c r="J743" s="137"/>
      <c r="M743" s="143"/>
      <c r="N743" s="143"/>
      <c r="O743" s="143"/>
      <c r="P743" s="143"/>
      <c r="Q743" s="137"/>
      <c r="R743" s="137"/>
      <c r="S743" s="137"/>
      <c r="T743" s="137"/>
      <c r="U743" s="137"/>
      <c r="V743" s="137"/>
      <c r="W743" s="137"/>
      <c r="X743" s="137"/>
      <c r="Y743" s="137"/>
      <c r="Z743" s="137"/>
      <c r="AA743" s="137"/>
    </row>
    <row r="744" spans="5:27" x14ac:dyDescent="0.35">
      <c r="E744" s="137"/>
      <c r="F744" s="137"/>
      <c r="G744" s="190"/>
      <c r="H744" s="137"/>
      <c r="I744" s="137"/>
      <c r="J744" s="137"/>
      <c r="M744" s="143"/>
      <c r="N744" s="143"/>
      <c r="O744" s="143"/>
      <c r="P744" s="143"/>
      <c r="Q744" s="137"/>
      <c r="R744" s="137"/>
      <c r="S744" s="137"/>
      <c r="T744" s="137"/>
      <c r="U744" s="137"/>
      <c r="V744" s="137"/>
      <c r="W744" s="137"/>
      <c r="X744" s="137"/>
      <c r="Y744" s="137"/>
      <c r="Z744" s="137"/>
      <c r="AA744" s="137"/>
    </row>
    <row r="745" spans="5:27" x14ac:dyDescent="0.35">
      <c r="E745" s="137"/>
      <c r="F745" s="137"/>
      <c r="G745" s="190"/>
      <c r="H745" s="137"/>
      <c r="I745" s="137"/>
      <c r="J745" s="137"/>
      <c r="M745" s="143"/>
      <c r="N745" s="143"/>
      <c r="O745" s="143"/>
      <c r="P745" s="143"/>
      <c r="Q745" s="137"/>
      <c r="R745" s="137"/>
      <c r="S745" s="137"/>
      <c r="T745" s="137"/>
      <c r="U745" s="137"/>
      <c r="V745" s="137"/>
      <c r="W745" s="137"/>
      <c r="X745" s="137"/>
      <c r="Y745" s="137"/>
      <c r="Z745" s="137"/>
      <c r="AA745" s="137"/>
    </row>
    <row r="746" spans="5:27" x14ac:dyDescent="0.35">
      <c r="E746" s="137"/>
      <c r="F746" s="137"/>
      <c r="G746" s="190"/>
      <c r="H746" s="137"/>
      <c r="I746" s="137"/>
      <c r="J746" s="137"/>
      <c r="M746" s="143"/>
      <c r="N746" s="143"/>
      <c r="O746" s="143"/>
      <c r="P746" s="143"/>
      <c r="Q746" s="137"/>
      <c r="R746" s="137"/>
      <c r="S746" s="137"/>
      <c r="T746" s="137"/>
      <c r="U746" s="137"/>
      <c r="V746" s="137"/>
      <c r="W746" s="137"/>
      <c r="X746" s="137"/>
      <c r="Y746" s="137"/>
      <c r="Z746" s="137"/>
      <c r="AA746" s="137"/>
    </row>
    <row r="747" spans="5:27" x14ac:dyDescent="0.35">
      <c r="E747" s="137"/>
      <c r="F747" s="137"/>
      <c r="G747" s="190"/>
      <c r="H747" s="137"/>
      <c r="I747" s="137"/>
      <c r="J747" s="137"/>
      <c r="M747" s="143"/>
      <c r="N747" s="143"/>
      <c r="O747" s="143"/>
      <c r="P747" s="143"/>
      <c r="Q747" s="137"/>
      <c r="R747" s="137"/>
      <c r="S747" s="137"/>
      <c r="T747" s="137"/>
      <c r="U747" s="137"/>
      <c r="V747" s="137"/>
      <c r="W747" s="137"/>
      <c r="X747" s="137"/>
      <c r="Y747" s="137"/>
      <c r="Z747" s="137"/>
      <c r="AA747" s="137"/>
    </row>
    <row r="748" spans="5:27" x14ac:dyDescent="0.35">
      <c r="E748" s="137"/>
      <c r="F748" s="137"/>
      <c r="G748" s="190"/>
      <c r="H748" s="137"/>
      <c r="I748" s="137"/>
      <c r="J748" s="137"/>
      <c r="M748" s="143"/>
      <c r="N748" s="143"/>
      <c r="O748" s="143"/>
      <c r="P748" s="143"/>
      <c r="Q748" s="137"/>
      <c r="R748" s="137"/>
      <c r="S748" s="137"/>
      <c r="T748" s="137"/>
      <c r="U748" s="137"/>
      <c r="V748" s="137"/>
      <c r="W748" s="137"/>
      <c r="X748" s="137"/>
      <c r="Y748" s="137"/>
      <c r="Z748" s="137"/>
      <c r="AA748" s="137"/>
    </row>
    <row r="749" spans="5:27" x14ac:dyDescent="0.35">
      <c r="E749" s="137"/>
      <c r="F749" s="137"/>
      <c r="G749" s="190"/>
      <c r="H749" s="137"/>
      <c r="I749" s="137"/>
      <c r="J749" s="137"/>
      <c r="M749" s="143"/>
      <c r="N749" s="143"/>
      <c r="O749" s="143"/>
      <c r="P749" s="143"/>
      <c r="Q749" s="137"/>
      <c r="R749" s="137"/>
      <c r="S749" s="137"/>
      <c r="T749" s="137"/>
      <c r="U749" s="137"/>
      <c r="V749" s="137"/>
      <c r="W749" s="137"/>
      <c r="X749" s="137"/>
      <c r="Y749" s="137"/>
      <c r="Z749" s="137"/>
      <c r="AA749" s="137"/>
    </row>
    <row r="750" spans="5:27" x14ac:dyDescent="0.35">
      <c r="E750" s="137"/>
      <c r="F750" s="137"/>
      <c r="G750" s="190"/>
      <c r="H750" s="137"/>
      <c r="I750" s="137"/>
      <c r="J750" s="137"/>
      <c r="M750" s="143"/>
      <c r="N750" s="143"/>
      <c r="O750" s="143"/>
      <c r="P750" s="143"/>
      <c r="Q750" s="137"/>
      <c r="R750" s="137"/>
      <c r="S750" s="137"/>
      <c r="T750" s="137"/>
      <c r="U750" s="137"/>
      <c r="V750" s="137"/>
      <c r="W750" s="137"/>
      <c r="X750" s="137"/>
      <c r="Y750" s="137"/>
      <c r="Z750" s="137"/>
      <c r="AA750" s="137"/>
    </row>
    <row r="751" spans="5:27" x14ac:dyDescent="0.35">
      <c r="E751" s="137"/>
      <c r="F751" s="137"/>
      <c r="G751" s="190"/>
      <c r="H751" s="137"/>
      <c r="I751" s="137"/>
      <c r="J751" s="137"/>
      <c r="M751" s="143"/>
      <c r="N751" s="143"/>
      <c r="O751" s="143"/>
      <c r="P751" s="143"/>
      <c r="Q751" s="137"/>
      <c r="R751" s="137"/>
      <c r="S751" s="137"/>
      <c r="T751" s="137"/>
      <c r="U751" s="137"/>
      <c r="V751" s="137"/>
      <c r="W751" s="137"/>
      <c r="X751" s="137"/>
      <c r="Y751" s="137"/>
      <c r="Z751" s="137"/>
      <c r="AA751" s="137"/>
    </row>
    <row r="752" spans="5:27" x14ac:dyDescent="0.35">
      <c r="E752" s="137"/>
      <c r="F752" s="137"/>
      <c r="G752" s="190"/>
      <c r="H752" s="137"/>
      <c r="I752" s="137"/>
      <c r="J752" s="137"/>
      <c r="M752" s="143"/>
      <c r="N752" s="143"/>
      <c r="O752" s="143"/>
      <c r="P752" s="143"/>
      <c r="Q752" s="137"/>
      <c r="R752" s="137"/>
      <c r="S752" s="137"/>
      <c r="T752" s="137"/>
      <c r="U752" s="137"/>
      <c r="V752" s="137"/>
      <c r="W752" s="137"/>
      <c r="X752" s="137"/>
      <c r="Y752" s="137"/>
      <c r="Z752" s="137"/>
      <c r="AA752" s="137"/>
    </row>
    <row r="753" spans="5:27" x14ac:dyDescent="0.35">
      <c r="E753" s="137"/>
      <c r="F753" s="137"/>
      <c r="G753" s="190"/>
      <c r="H753" s="137"/>
      <c r="I753" s="137"/>
      <c r="J753" s="137"/>
      <c r="M753" s="143"/>
      <c r="N753" s="143"/>
      <c r="O753" s="143"/>
      <c r="P753" s="143"/>
      <c r="Q753" s="137"/>
      <c r="R753" s="137"/>
      <c r="S753" s="137"/>
      <c r="T753" s="137"/>
      <c r="U753" s="137"/>
      <c r="V753" s="137"/>
      <c r="W753" s="137"/>
      <c r="X753" s="137"/>
      <c r="Y753" s="137"/>
      <c r="Z753" s="137"/>
      <c r="AA753" s="137"/>
    </row>
    <row r="754" spans="5:27" x14ac:dyDescent="0.35">
      <c r="E754" s="137"/>
      <c r="F754" s="137"/>
      <c r="G754" s="190"/>
      <c r="H754" s="137"/>
      <c r="I754" s="137"/>
      <c r="J754" s="137"/>
      <c r="M754" s="143"/>
      <c r="N754" s="143"/>
      <c r="O754" s="143"/>
      <c r="P754" s="143"/>
      <c r="Q754" s="137"/>
      <c r="R754" s="137"/>
      <c r="S754" s="137"/>
      <c r="T754" s="137"/>
      <c r="U754" s="137"/>
      <c r="V754" s="137"/>
      <c r="W754" s="137"/>
      <c r="X754" s="137"/>
      <c r="Y754" s="137"/>
      <c r="Z754" s="137"/>
      <c r="AA754" s="137"/>
    </row>
    <row r="755" spans="5:27" x14ac:dyDescent="0.35">
      <c r="E755" s="137"/>
      <c r="F755" s="137"/>
      <c r="G755" s="190"/>
      <c r="H755" s="137"/>
      <c r="I755" s="137"/>
      <c r="J755" s="137"/>
      <c r="M755" s="143"/>
      <c r="N755" s="143"/>
      <c r="O755" s="143"/>
      <c r="P755" s="143"/>
      <c r="Q755" s="137"/>
      <c r="R755" s="137"/>
      <c r="S755" s="137"/>
      <c r="T755" s="137"/>
      <c r="U755" s="137"/>
      <c r="V755" s="137"/>
      <c r="W755" s="137"/>
      <c r="X755" s="137"/>
      <c r="Y755" s="137"/>
      <c r="Z755" s="137"/>
      <c r="AA755" s="137"/>
    </row>
    <row r="756" spans="5:27" x14ac:dyDescent="0.35">
      <c r="E756" s="137"/>
      <c r="F756" s="137"/>
      <c r="G756" s="190"/>
      <c r="H756" s="137"/>
      <c r="I756" s="137"/>
      <c r="J756" s="137"/>
      <c r="M756" s="143"/>
      <c r="N756" s="143"/>
      <c r="O756" s="143"/>
      <c r="P756" s="143"/>
      <c r="Q756" s="137"/>
      <c r="R756" s="137"/>
      <c r="S756" s="137"/>
      <c r="T756" s="137"/>
      <c r="U756" s="137"/>
      <c r="V756" s="137"/>
      <c r="W756" s="137"/>
      <c r="X756" s="137"/>
      <c r="Y756" s="137"/>
      <c r="Z756" s="137"/>
      <c r="AA756" s="137"/>
    </row>
    <row r="757" spans="5:27" x14ac:dyDescent="0.35">
      <c r="E757" s="137"/>
      <c r="F757" s="137"/>
      <c r="G757" s="190"/>
      <c r="H757" s="137"/>
      <c r="I757" s="137"/>
      <c r="J757" s="137"/>
      <c r="M757" s="143"/>
      <c r="N757" s="143"/>
      <c r="O757" s="143"/>
      <c r="P757" s="143"/>
      <c r="Q757" s="137"/>
      <c r="R757" s="137"/>
      <c r="S757" s="137"/>
      <c r="T757" s="137"/>
      <c r="U757" s="137"/>
      <c r="V757" s="137"/>
      <c r="W757" s="137"/>
      <c r="X757" s="137"/>
      <c r="Y757" s="137"/>
      <c r="Z757" s="137"/>
      <c r="AA757" s="137"/>
    </row>
    <row r="758" spans="5:27" x14ac:dyDescent="0.35">
      <c r="E758" s="137"/>
      <c r="F758" s="137"/>
      <c r="G758" s="190"/>
      <c r="H758" s="137"/>
      <c r="I758" s="137"/>
      <c r="J758" s="137"/>
      <c r="M758" s="143"/>
      <c r="N758" s="143"/>
      <c r="O758" s="143"/>
      <c r="P758" s="143"/>
      <c r="Q758" s="137"/>
      <c r="R758" s="137"/>
      <c r="S758" s="137"/>
      <c r="T758" s="137"/>
      <c r="U758" s="137"/>
      <c r="V758" s="137"/>
      <c r="W758" s="137"/>
      <c r="X758" s="137"/>
      <c r="Y758" s="137"/>
      <c r="Z758" s="137"/>
      <c r="AA758" s="137"/>
    </row>
    <row r="759" spans="5:27" x14ac:dyDescent="0.35">
      <c r="E759" s="137"/>
      <c r="F759" s="137"/>
      <c r="G759" s="190"/>
      <c r="H759" s="137"/>
      <c r="I759" s="137"/>
      <c r="J759" s="137"/>
      <c r="M759" s="143"/>
      <c r="N759" s="143"/>
      <c r="O759" s="143"/>
      <c r="P759" s="143"/>
      <c r="Q759" s="137"/>
      <c r="R759" s="137"/>
      <c r="S759" s="137"/>
      <c r="T759" s="137"/>
      <c r="U759" s="137"/>
      <c r="V759" s="137"/>
      <c r="W759" s="137"/>
      <c r="X759" s="137"/>
      <c r="Y759" s="137"/>
      <c r="Z759" s="137"/>
      <c r="AA759" s="137"/>
    </row>
    <row r="760" spans="5:27" x14ac:dyDescent="0.35">
      <c r="E760" s="137"/>
      <c r="F760" s="137"/>
      <c r="G760" s="190"/>
      <c r="H760" s="137"/>
      <c r="I760" s="137"/>
      <c r="J760" s="137"/>
      <c r="M760" s="143"/>
      <c r="N760" s="143"/>
      <c r="O760" s="143"/>
      <c r="P760" s="143"/>
      <c r="Q760" s="137"/>
      <c r="R760" s="137"/>
      <c r="S760" s="137"/>
      <c r="T760" s="137"/>
      <c r="U760" s="137"/>
      <c r="V760" s="137"/>
      <c r="W760" s="137"/>
      <c r="X760" s="137"/>
      <c r="Y760" s="137"/>
      <c r="Z760" s="137"/>
      <c r="AA760" s="137"/>
    </row>
    <row r="761" spans="5:27" x14ac:dyDescent="0.35">
      <c r="E761" s="137"/>
      <c r="F761" s="137"/>
      <c r="G761" s="190"/>
      <c r="H761" s="137"/>
      <c r="I761" s="137"/>
      <c r="J761" s="137"/>
      <c r="M761" s="143"/>
      <c r="N761" s="143"/>
      <c r="O761" s="143"/>
      <c r="P761" s="143"/>
      <c r="Q761" s="137"/>
      <c r="R761" s="137"/>
      <c r="S761" s="137"/>
      <c r="T761" s="137"/>
      <c r="U761" s="137"/>
      <c r="V761" s="137"/>
      <c r="W761" s="137"/>
      <c r="X761" s="137"/>
      <c r="Y761" s="137"/>
      <c r="Z761" s="137"/>
      <c r="AA761" s="137"/>
    </row>
    <row r="762" spans="5:27" x14ac:dyDescent="0.35">
      <c r="E762" s="137"/>
      <c r="F762" s="137"/>
      <c r="G762" s="190"/>
      <c r="H762" s="137"/>
      <c r="I762" s="137"/>
      <c r="J762" s="137"/>
      <c r="M762" s="143"/>
      <c r="N762" s="143"/>
      <c r="O762" s="143"/>
      <c r="P762" s="143"/>
      <c r="Q762" s="137"/>
      <c r="R762" s="137"/>
      <c r="S762" s="137"/>
      <c r="T762" s="137"/>
      <c r="U762" s="137"/>
      <c r="V762" s="137"/>
      <c r="W762" s="137"/>
      <c r="X762" s="137"/>
      <c r="Y762" s="137"/>
      <c r="Z762" s="137"/>
      <c r="AA762" s="137"/>
    </row>
    <row r="763" spans="5:27" x14ac:dyDescent="0.35">
      <c r="E763" s="137"/>
      <c r="F763" s="137"/>
      <c r="G763" s="190"/>
      <c r="H763" s="137"/>
      <c r="I763" s="137"/>
      <c r="J763" s="137"/>
      <c r="M763" s="143"/>
      <c r="N763" s="143"/>
      <c r="O763" s="143"/>
      <c r="P763" s="143"/>
      <c r="Q763" s="137"/>
      <c r="R763" s="137"/>
      <c r="S763" s="137"/>
      <c r="T763" s="137"/>
      <c r="U763" s="137"/>
      <c r="V763" s="137"/>
      <c r="W763" s="137"/>
      <c r="X763" s="137"/>
      <c r="Y763" s="137"/>
      <c r="Z763" s="137"/>
      <c r="AA763" s="137"/>
    </row>
    <row r="764" spans="5:27" x14ac:dyDescent="0.35">
      <c r="E764" s="137"/>
      <c r="F764" s="137"/>
      <c r="G764" s="190"/>
      <c r="H764" s="137"/>
      <c r="I764" s="137"/>
      <c r="J764" s="137"/>
      <c r="M764" s="143"/>
      <c r="N764" s="143"/>
      <c r="O764" s="143"/>
      <c r="P764" s="143"/>
      <c r="Q764" s="137"/>
      <c r="R764" s="137"/>
      <c r="S764" s="137"/>
      <c r="T764" s="137"/>
      <c r="U764" s="137"/>
      <c r="V764" s="137"/>
      <c r="W764" s="137"/>
      <c r="X764" s="137"/>
      <c r="Y764" s="137"/>
      <c r="Z764" s="137"/>
      <c r="AA764" s="137"/>
    </row>
    <row r="765" spans="5:27" x14ac:dyDescent="0.35">
      <c r="E765" s="137"/>
      <c r="F765" s="137"/>
      <c r="G765" s="190"/>
      <c r="H765" s="137"/>
      <c r="I765" s="137"/>
      <c r="J765" s="137"/>
      <c r="M765" s="143"/>
      <c r="N765" s="143"/>
      <c r="O765" s="143"/>
      <c r="P765" s="143"/>
      <c r="Q765" s="137"/>
      <c r="R765" s="137"/>
      <c r="S765" s="137"/>
      <c r="T765" s="137"/>
      <c r="U765" s="137"/>
      <c r="V765" s="137"/>
      <c r="W765" s="137"/>
      <c r="X765" s="137"/>
      <c r="Y765" s="137"/>
      <c r="Z765" s="137"/>
      <c r="AA765" s="137"/>
    </row>
    <row r="766" spans="5:27" x14ac:dyDescent="0.35">
      <c r="E766" s="137"/>
      <c r="F766" s="137"/>
      <c r="G766" s="190"/>
      <c r="H766" s="137"/>
      <c r="I766" s="137"/>
      <c r="J766" s="137"/>
      <c r="M766" s="143"/>
      <c r="N766" s="143"/>
      <c r="O766" s="143"/>
      <c r="P766" s="143"/>
      <c r="Q766" s="137"/>
      <c r="R766" s="137"/>
      <c r="S766" s="137"/>
      <c r="T766" s="137"/>
      <c r="U766" s="137"/>
      <c r="V766" s="137"/>
      <c r="W766" s="137"/>
      <c r="X766" s="137"/>
      <c r="Y766" s="137"/>
      <c r="Z766" s="137"/>
      <c r="AA766" s="137"/>
    </row>
    <row r="767" spans="5:27" x14ac:dyDescent="0.35">
      <c r="E767" s="137"/>
      <c r="F767" s="137"/>
      <c r="G767" s="190"/>
      <c r="H767" s="137"/>
      <c r="I767" s="137"/>
      <c r="J767" s="137"/>
      <c r="M767" s="143"/>
      <c r="N767" s="143"/>
      <c r="O767" s="143"/>
      <c r="P767" s="143"/>
      <c r="Q767" s="137"/>
      <c r="R767" s="137"/>
      <c r="S767" s="137"/>
      <c r="T767" s="137"/>
      <c r="U767" s="137"/>
      <c r="V767" s="137"/>
      <c r="W767" s="137"/>
      <c r="X767" s="137"/>
      <c r="Y767" s="137"/>
      <c r="Z767" s="137"/>
      <c r="AA767" s="137"/>
    </row>
    <row r="768" spans="5:27" x14ac:dyDescent="0.35">
      <c r="E768" s="137"/>
      <c r="F768" s="137"/>
      <c r="G768" s="190"/>
      <c r="H768" s="137"/>
      <c r="I768" s="137"/>
      <c r="J768" s="137"/>
      <c r="M768" s="143"/>
      <c r="N768" s="143"/>
      <c r="O768" s="143"/>
      <c r="P768" s="143"/>
      <c r="Q768" s="137"/>
      <c r="R768" s="137"/>
      <c r="S768" s="137"/>
      <c r="T768" s="137"/>
      <c r="U768" s="137"/>
      <c r="V768" s="137"/>
      <c r="W768" s="137"/>
      <c r="X768" s="137"/>
      <c r="Y768" s="137"/>
      <c r="Z768" s="137"/>
      <c r="AA768" s="137"/>
    </row>
    <row r="769" spans="5:27" x14ac:dyDescent="0.35">
      <c r="E769" s="137"/>
      <c r="F769" s="137"/>
      <c r="G769" s="190"/>
      <c r="H769" s="137"/>
      <c r="I769" s="137"/>
      <c r="J769" s="137"/>
      <c r="M769" s="143"/>
      <c r="N769" s="143"/>
      <c r="O769" s="143"/>
      <c r="P769" s="143"/>
      <c r="Q769" s="137"/>
      <c r="R769" s="137"/>
      <c r="S769" s="137"/>
      <c r="T769" s="137"/>
      <c r="U769" s="137"/>
      <c r="V769" s="137"/>
      <c r="W769" s="137"/>
      <c r="X769" s="137"/>
      <c r="Y769" s="137"/>
      <c r="Z769" s="137"/>
      <c r="AA769" s="137"/>
    </row>
    <row r="770" spans="5:27" x14ac:dyDescent="0.35">
      <c r="E770" s="137"/>
      <c r="F770" s="137"/>
      <c r="G770" s="190"/>
      <c r="H770" s="137"/>
      <c r="I770" s="137"/>
      <c r="J770" s="137"/>
      <c r="M770" s="143"/>
      <c r="N770" s="143"/>
      <c r="O770" s="143"/>
      <c r="P770" s="143"/>
      <c r="Q770" s="137"/>
      <c r="R770" s="137"/>
      <c r="S770" s="137"/>
      <c r="T770" s="137"/>
      <c r="U770" s="137"/>
      <c r="V770" s="137"/>
      <c r="W770" s="137"/>
      <c r="X770" s="137"/>
      <c r="Y770" s="137"/>
      <c r="Z770" s="137"/>
      <c r="AA770" s="137"/>
    </row>
    <row r="771" spans="5:27" x14ac:dyDescent="0.35">
      <c r="E771" s="137"/>
      <c r="F771" s="137"/>
      <c r="G771" s="190"/>
      <c r="H771" s="137"/>
      <c r="I771" s="137"/>
      <c r="J771" s="137"/>
      <c r="M771" s="143"/>
      <c r="N771" s="143"/>
      <c r="O771" s="143"/>
      <c r="P771" s="143"/>
      <c r="Q771" s="137"/>
      <c r="R771" s="137"/>
      <c r="S771" s="137"/>
      <c r="T771" s="137"/>
      <c r="U771" s="137"/>
      <c r="V771" s="137"/>
      <c r="W771" s="137"/>
      <c r="X771" s="137"/>
      <c r="Y771" s="137"/>
      <c r="Z771" s="137"/>
      <c r="AA771" s="137"/>
    </row>
    <row r="772" spans="5:27" x14ac:dyDescent="0.35">
      <c r="E772" s="137"/>
      <c r="F772" s="137"/>
      <c r="G772" s="190"/>
      <c r="H772" s="137"/>
      <c r="I772" s="137"/>
      <c r="J772" s="137"/>
      <c r="M772" s="143"/>
      <c r="N772" s="143"/>
      <c r="O772" s="143"/>
      <c r="P772" s="143"/>
      <c r="Q772" s="137"/>
      <c r="R772" s="137"/>
      <c r="S772" s="137"/>
      <c r="T772" s="137"/>
      <c r="U772" s="137"/>
      <c r="V772" s="137"/>
      <c r="W772" s="137"/>
      <c r="X772" s="137"/>
      <c r="Y772" s="137"/>
      <c r="Z772" s="137"/>
      <c r="AA772" s="137"/>
    </row>
    <row r="773" spans="5:27" x14ac:dyDescent="0.35">
      <c r="E773" s="137"/>
      <c r="F773" s="137"/>
      <c r="G773" s="190"/>
      <c r="H773" s="137"/>
      <c r="I773" s="137"/>
      <c r="J773" s="137"/>
      <c r="M773" s="143"/>
      <c r="N773" s="143"/>
      <c r="O773" s="143"/>
      <c r="P773" s="143"/>
      <c r="Q773" s="137"/>
      <c r="R773" s="137"/>
      <c r="S773" s="137"/>
      <c r="T773" s="137"/>
      <c r="U773" s="137"/>
      <c r="V773" s="137"/>
      <c r="W773" s="137"/>
      <c r="X773" s="137"/>
      <c r="Y773" s="137"/>
      <c r="Z773" s="137"/>
      <c r="AA773" s="137"/>
    </row>
    <row r="774" spans="5:27" x14ac:dyDescent="0.35">
      <c r="E774" s="137"/>
      <c r="F774" s="137"/>
      <c r="G774" s="190"/>
      <c r="H774" s="137"/>
      <c r="I774" s="137"/>
      <c r="J774" s="137"/>
      <c r="M774" s="143"/>
      <c r="N774" s="143"/>
      <c r="O774" s="143"/>
      <c r="P774" s="143"/>
      <c r="Q774" s="137"/>
      <c r="R774" s="137"/>
      <c r="S774" s="137"/>
      <c r="T774" s="137"/>
      <c r="U774" s="137"/>
      <c r="V774" s="137"/>
      <c r="W774" s="137"/>
      <c r="X774" s="137"/>
      <c r="Y774" s="137"/>
      <c r="Z774" s="137"/>
      <c r="AA774" s="137"/>
    </row>
    <row r="775" spans="5:27" x14ac:dyDescent="0.35">
      <c r="E775" s="137"/>
      <c r="F775" s="137"/>
      <c r="G775" s="190"/>
      <c r="H775" s="137"/>
      <c r="I775" s="137"/>
      <c r="J775" s="137"/>
      <c r="M775" s="143"/>
      <c r="N775" s="143"/>
      <c r="O775" s="143"/>
      <c r="P775" s="143"/>
      <c r="Q775" s="137"/>
      <c r="R775" s="137"/>
      <c r="S775" s="137"/>
      <c r="T775" s="137"/>
      <c r="U775" s="137"/>
      <c r="V775" s="137"/>
      <c r="W775" s="137"/>
      <c r="X775" s="137"/>
      <c r="Y775" s="137"/>
      <c r="Z775" s="137"/>
      <c r="AA775" s="137"/>
    </row>
    <row r="776" spans="5:27" x14ac:dyDescent="0.35">
      <c r="E776" s="137"/>
      <c r="F776" s="137"/>
      <c r="G776" s="190"/>
      <c r="H776" s="137"/>
      <c r="I776" s="137"/>
      <c r="J776" s="137"/>
      <c r="M776" s="143"/>
      <c r="N776" s="143"/>
      <c r="O776" s="143"/>
      <c r="P776" s="143"/>
      <c r="Q776" s="137"/>
      <c r="R776" s="137"/>
      <c r="S776" s="137"/>
      <c r="T776" s="137"/>
      <c r="U776" s="137"/>
      <c r="V776" s="137"/>
      <c r="W776" s="137"/>
      <c r="X776" s="137"/>
      <c r="Y776" s="137"/>
      <c r="Z776" s="137"/>
      <c r="AA776" s="137"/>
    </row>
    <row r="777" spans="5:27" x14ac:dyDescent="0.35">
      <c r="E777" s="137"/>
      <c r="F777" s="137"/>
      <c r="G777" s="190"/>
      <c r="H777" s="137"/>
      <c r="I777" s="137"/>
      <c r="J777" s="137"/>
      <c r="M777" s="143"/>
      <c r="N777" s="143"/>
      <c r="O777" s="143"/>
      <c r="P777" s="143"/>
      <c r="Q777" s="137"/>
      <c r="R777" s="137"/>
      <c r="S777" s="137"/>
      <c r="T777" s="137"/>
      <c r="U777" s="137"/>
      <c r="V777" s="137"/>
      <c r="W777" s="137"/>
      <c r="X777" s="137"/>
      <c r="Y777" s="137"/>
      <c r="Z777" s="137"/>
      <c r="AA777" s="137"/>
    </row>
    <row r="778" spans="5:27" x14ac:dyDescent="0.35">
      <c r="E778" s="137"/>
      <c r="F778" s="137"/>
      <c r="G778" s="190"/>
      <c r="H778" s="137"/>
      <c r="I778" s="137"/>
      <c r="J778" s="137"/>
      <c r="M778" s="143"/>
      <c r="N778" s="143"/>
      <c r="O778" s="143"/>
      <c r="P778" s="143"/>
      <c r="Q778" s="137"/>
      <c r="R778" s="137"/>
      <c r="S778" s="137"/>
      <c r="T778" s="137"/>
      <c r="U778" s="137"/>
      <c r="V778" s="137"/>
      <c r="W778" s="137"/>
      <c r="X778" s="137"/>
      <c r="Y778" s="137"/>
      <c r="Z778" s="137"/>
      <c r="AA778" s="137"/>
    </row>
    <row r="779" spans="5:27" x14ac:dyDescent="0.35">
      <c r="E779" s="137"/>
      <c r="F779" s="137"/>
      <c r="G779" s="190"/>
      <c r="H779" s="137"/>
      <c r="I779" s="137"/>
      <c r="J779" s="137"/>
      <c r="M779" s="143"/>
      <c r="N779" s="143"/>
      <c r="O779" s="143"/>
      <c r="P779" s="143"/>
      <c r="Q779" s="137"/>
      <c r="R779" s="137"/>
      <c r="S779" s="137"/>
      <c r="T779" s="137"/>
      <c r="U779" s="137"/>
      <c r="V779" s="137"/>
      <c r="W779" s="137"/>
      <c r="X779" s="137"/>
      <c r="Y779" s="137"/>
      <c r="Z779" s="137"/>
      <c r="AA779" s="137"/>
    </row>
    <row r="780" spans="5:27" x14ac:dyDescent="0.35">
      <c r="E780" s="137"/>
      <c r="F780" s="137"/>
      <c r="G780" s="190"/>
      <c r="H780" s="137"/>
      <c r="I780" s="137"/>
      <c r="J780" s="137"/>
      <c r="M780" s="143"/>
      <c r="N780" s="143"/>
      <c r="O780" s="143"/>
      <c r="P780" s="143"/>
      <c r="Q780" s="137"/>
      <c r="R780" s="137"/>
      <c r="S780" s="137"/>
      <c r="T780" s="137"/>
      <c r="U780" s="137"/>
      <c r="V780" s="137"/>
      <c r="W780" s="137"/>
      <c r="X780" s="137"/>
      <c r="Y780" s="137"/>
      <c r="Z780" s="137"/>
      <c r="AA780" s="137"/>
    </row>
    <row r="781" spans="5:27" x14ac:dyDescent="0.35">
      <c r="E781" s="137"/>
      <c r="F781" s="137"/>
      <c r="G781" s="190"/>
      <c r="H781" s="137"/>
      <c r="I781" s="137"/>
      <c r="J781" s="137"/>
      <c r="M781" s="143"/>
      <c r="N781" s="143"/>
      <c r="O781" s="143"/>
      <c r="P781" s="143"/>
      <c r="Q781" s="137"/>
      <c r="R781" s="137"/>
      <c r="S781" s="137"/>
      <c r="T781" s="137"/>
      <c r="U781" s="137"/>
      <c r="V781" s="137"/>
      <c r="W781" s="137"/>
      <c r="X781" s="137"/>
      <c r="Y781" s="137"/>
      <c r="Z781" s="137"/>
      <c r="AA781" s="137"/>
    </row>
    <row r="782" spans="5:27" x14ac:dyDescent="0.35">
      <c r="E782" s="137"/>
      <c r="F782" s="137"/>
      <c r="G782" s="190"/>
      <c r="H782" s="137"/>
      <c r="I782" s="137"/>
      <c r="J782" s="137"/>
      <c r="M782" s="143"/>
      <c r="N782" s="143"/>
      <c r="O782" s="143"/>
      <c r="P782" s="143"/>
      <c r="Q782" s="137"/>
      <c r="R782" s="137"/>
      <c r="S782" s="137"/>
      <c r="T782" s="137"/>
      <c r="U782" s="137"/>
      <c r="V782" s="137"/>
      <c r="W782" s="137"/>
      <c r="X782" s="137"/>
      <c r="Y782" s="137"/>
      <c r="Z782" s="137"/>
      <c r="AA782" s="137"/>
    </row>
    <row r="783" spans="5:27" x14ac:dyDescent="0.35">
      <c r="E783" s="137"/>
      <c r="F783" s="137"/>
      <c r="G783" s="190"/>
      <c r="H783" s="137"/>
      <c r="I783" s="137"/>
      <c r="J783" s="137"/>
      <c r="M783" s="143"/>
      <c r="N783" s="143"/>
      <c r="O783" s="143"/>
      <c r="P783" s="143"/>
      <c r="Q783" s="137"/>
      <c r="R783" s="137"/>
      <c r="S783" s="137"/>
      <c r="T783" s="137"/>
      <c r="U783" s="137"/>
      <c r="V783" s="137"/>
      <c r="W783" s="137"/>
      <c r="X783" s="137"/>
      <c r="Y783" s="137"/>
      <c r="Z783" s="137"/>
      <c r="AA783" s="137"/>
    </row>
    <row r="784" spans="5:27" x14ac:dyDescent="0.35">
      <c r="E784" s="137"/>
      <c r="F784" s="137"/>
      <c r="G784" s="190"/>
      <c r="H784" s="137"/>
      <c r="I784" s="137"/>
      <c r="J784" s="137"/>
      <c r="M784" s="143"/>
      <c r="N784" s="143"/>
      <c r="O784" s="143"/>
      <c r="P784" s="143"/>
      <c r="Q784" s="137"/>
      <c r="R784" s="137"/>
      <c r="S784" s="137"/>
      <c r="T784" s="137"/>
      <c r="U784" s="137"/>
      <c r="V784" s="137"/>
      <c r="W784" s="137"/>
      <c r="X784" s="137"/>
      <c r="Y784" s="137"/>
      <c r="Z784" s="137"/>
      <c r="AA784" s="137"/>
    </row>
    <row r="785" spans="5:27" x14ac:dyDescent="0.35">
      <c r="E785" s="137"/>
      <c r="F785" s="137"/>
      <c r="G785" s="190"/>
      <c r="H785" s="137"/>
      <c r="I785" s="137"/>
      <c r="J785" s="137"/>
      <c r="M785" s="143"/>
      <c r="N785" s="143"/>
      <c r="O785" s="143"/>
      <c r="P785" s="143"/>
      <c r="Q785" s="137"/>
      <c r="R785" s="137"/>
      <c r="S785" s="137"/>
      <c r="T785" s="137"/>
      <c r="U785" s="137"/>
      <c r="V785" s="137"/>
      <c r="W785" s="137"/>
      <c r="X785" s="137"/>
      <c r="Y785" s="137"/>
      <c r="Z785" s="137"/>
      <c r="AA785" s="137"/>
    </row>
    <row r="786" spans="5:27" x14ac:dyDescent="0.35">
      <c r="E786" s="137"/>
      <c r="F786" s="137"/>
      <c r="G786" s="190"/>
      <c r="H786" s="137"/>
      <c r="I786" s="137"/>
      <c r="J786" s="137"/>
      <c r="M786" s="143"/>
      <c r="N786" s="143"/>
      <c r="O786" s="143"/>
      <c r="P786" s="143"/>
      <c r="Q786" s="137"/>
      <c r="R786" s="137"/>
      <c r="S786" s="137"/>
      <c r="T786" s="137"/>
      <c r="U786" s="137"/>
      <c r="V786" s="137"/>
      <c r="W786" s="137"/>
      <c r="X786" s="137"/>
      <c r="Y786" s="137"/>
      <c r="Z786" s="137"/>
      <c r="AA786" s="137"/>
    </row>
    <row r="787" spans="5:27" x14ac:dyDescent="0.35">
      <c r="E787" s="137"/>
      <c r="F787" s="137"/>
      <c r="G787" s="190"/>
      <c r="H787" s="137"/>
      <c r="I787" s="137"/>
      <c r="J787" s="137"/>
      <c r="M787" s="143"/>
      <c r="N787" s="143"/>
      <c r="O787" s="143"/>
      <c r="P787" s="143"/>
      <c r="Q787" s="137"/>
      <c r="R787" s="137"/>
      <c r="S787" s="137"/>
      <c r="T787" s="137"/>
      <c r="U787" s="137"/>
      <c r="V787" s="137"/>
      <c r="W787" s="137"/>
      <c r="X787" s="137"/>
      <c r="Y787" s="137"/>
      <c r="Z787" s="137"/>
      <c r="AA787" s="137"/>
    </row>
    <row r="788" spans="5:27" x14ac:dyDescent="0.35">
      <c r="E788" s="137"/>
      <c r="F788" s="137"/>
      <c r="G788" s="190"/>
      <c r="H788" s="137"/>
      <c r="I788" s="137"/>
      <c r="J788" s="137"/>
      <c r="M788" s="143"/>
      <c r="N788" s="143"/>
      <c r="O788" s="143"/>
      <c r="P788" s="143"/>
      <c r="Q788" s="137"/>
      <c r="R788" s="137"/>
      <c r="S788" s="137"/>
      <c r="T788" s="137"/>
      <c r="U788" s="137"/>
      <c r="V788" s="137"/>
      <c r="W788" s="137"/>
      <c r="X788" s="137"/>
      <c r="Y788" s="137"/>
      <c r="Z788" s="137"/>
      <c r="AA788" s="137"/>
    </row>
    <row r="789" spans="5:27" x14ac:dyDescent="0.35">
      <c r="E789" s="137"/>
      <c r="F789" s="137"/>
      <c r="G789" s="190"/>
      <c r="H789" s="137"/>
      <c r="I789" s="137"/>
      <c r="J789" s="137"/>
      <c r="M789" s="143"/>
      <c r="N789" s="143"/>
      <c r="O789" s="143"/>
      <c r="P789" s="143"/>
      <c r="Q789" s="137"/>
      <c r="R789" s="137"/>
      <c r="S789" s="137"/>
      <c r="T789" s="137"/>
      <c r="U789" s="137"/>
      <c r="V789" s="137"/>
      <c r="W789" s="137"/>
      <c r="X789" s="137"/>
      <c r="Y789" s="137"/>
      <c r="Z789" s="137"/>
      <c r="AA789" s="137"/>
    </row>
    <row r="790" spans="5:27" x14ac:dyDescent="0.35">
      <c r="E790" s="137"/>
      <c r="F790" s="137"/>
      <c r="G790" s="190"/>
      <c r="H790" s="137"/>
      <c r="I790" s="137"/>
      <c r="J790" s="137"/>
      <c r="M790" s="143"/>
      <c r="N790" s="143"/>
      <c r="O790" s="143"/>
      <c r="P790" s="143"/>
      <c r="Q790" s="137"/>
      <c r="R790" s="137"/>
      <c r="S790" s="137"/>
      <c r="T790" s="137"/>
      <c r="U790" s="137"/>
      <c r="V790" s="137"/>
      <c r="W790" s="137"/>
      <c r="X790" s="137"/>
      <c r="Y790" s="137"/>
      <c r="Z790" s="137"/>
      <c r="AA790" s="137"/>
    </row>
    <row r="791" spans="5:27" x14ac:dyDescent="0.35">
      <c r="E791" s="137"/>
      <c r="F791" s="137"/>
      <c r="G791" s="190"/>
      <c r="H791" s="137"/>
      <c r="I791" s="137"/>
      <c r="J791" s="137"/>
      <c r="M791" s="143"/>
      <c r="N791" s="143"/>
      <c r="O791" s="143"/>
      <c r="P791" s="143"/>
      <c r="Q791" s="137"/>
      <c r="R791" s="137"/>
      <c r="S791" s="137"/>
      <c r="T791" s="137"/>
      <c r="U791" s="137"/>
      <c r="V791" s="137"/>
      <c r="W791" s="137"/>
      <c r="X791" s="137"/>
      <c r="Y791" s="137"/>
      <c r="Z791" s="137"/>
      <c r="AA791" s="137"/>
    </row>
    <row r="792" spans="5:27" x14ac:dyDescent="0.35">
      <c r="E792" s="137"/>
      <c r="F792" s="137"/>
      <c r="G792" s="190"/>
      <c r="H792" s="137"/>
      <c r="I792" s="137"/>
      <c r="J792" s="137"/>
      <c r="M792" s="143"/>
      <c r="N792" s="143"/>
      <c r="O792" s="143"/>
      <c r="P792" s="143"/>
      <c r="Q792" s="137"/>
      <c r="R792" s="137"/>
      <c r="S792" s="137"/>
      <c r="T792" s="137"/>
      <c r="U792" s="137"/>
      <c r="V792" s="137"/>
      <c r="W792" s="137"/>
      <c r="X792" s="137"/>
      <c r="Y792" s="137"/>
      <c r="Z792" s="137"/>
      <c r="AA792" s="137"/>
    </row>
    <row r="793" spans="5:27" x14ac:dyDescent="0.35">
      <c r="E793" s="137"/>
      <c r="F793" s="137"/>
      <c r="G793" s="190"/>
      <c r="H793" s="137"/>
      <c r="I793" s="137"/>
      <c r="J793" s="137"/>
      <c r="M793" s="143"/>
      <c r="N793" s="143"/>
      <c r="O793" s="143"/>
      <c r="P793" s="143"/>
      <c r="Q793" s="137"/>
      <c r="R793" s="137"/>
      <c r="S793" s="137"/>
      <c r="T793" s="137"/>
      <c r="U793" s="137"/>
      <c r="V793" s="137"/>
      <c r="W793" s="137"/>
      <c r="X793" s="137"/>
      <c r="Y793" s="137"/>
      <c r="Z793" s="137"/>
      <c r="AA793" s="137"/>
    </row>
    <row r="794" spans="5:27" x14ac:dyDescent="0.35">
      <c r="E794" s="137"/>
      <c r="F794" s="137"/>
      <c r="G794" s="190"/>
      <c r="H794" s="137"/>
      <c r="I794" s="137"/>
      <c r="J794" s="137"/>
      <c r="M794" s="143"/>
      <c r="N794" s="143"/>
      <c r="O794" s="143"/>
      <c r="P794" s="143"/>
      <c r="Q794" s="137"/>
      <c r="R794" s="137"/>
      <c r="S794" s="137"/>
      <c r="T794" s="137"/>
      <c r="U794" s="137"/>
      <c r="V794" s="137"/>
      <c r="W794" s="137"/>
      <c r="X794" s="137"/>
      <c r="Y794" s="137"/>
      <c r="Z794" s="137"/>
      <c r="AA794" s="137"/>
    </row>
    <row r="795" spans="5:27" x14ac:dyDescent="0.35">
      <c r="E795" s="137"/>
      <c r="F795" s="137"/>
      <c r="G795" s="190"/>
      <c r="H795" s="137"/>
      <c r="I795" s="137"/>
      <c r="J795" s="137"/>
      <c r="M795" s="143"/>
      <c r="N795" s="143"/>
      <c r="O795" s="143"/>
      <c r="P795" s="143"/>
      <c r="Q795" s="137"/>
      <c r="R795" s="137"/>
      <c r="S795" s="137"/>
      <c r="T795" s="137"/>
      <c r="U795" s="137"/>
      <c r="V795" s="137"/>
      <c r="W795" s="137"/>
      <c r="X795" s="137"/>
      <c r="Y795" s="137"/>
      <c r="Z795" s="137"/>
      <c r="AA795" s="137"/>
    </row>
    <row r="796" spans="5:27" x14ac:dyDescent="0.35">
      <c r="E796" s="137"/>
      <c r="F796" s="137"/>
      <c r="G796" s="190"/>
      <c r="H796" s="137"/>
      <c r="I796" s="137"/>
      <c r="J796" s="137"/>
      <c r="M796" s="143"/>
      <c r="N796" s="143"/>
      <c r="O796" s="143"/>
      <c r="P796" s="143"/>
      <c r="Q796" s="137"/>
      <c r="R796" s="137"/>
      <c r="S796" s="137"/>
      <c r="T796" s="137"/>
      <c r="U796" s="137"/>
      <c r="V796" s="137"/>
      <c r="W796" s="137"/>
      <c r="X796" s="137"/>
      <c r="Y796" s="137"/>
      <c r="Z796" s="137"/>
      <c r="AA796" s="137"/>
    </row>
    <row r="797" spans="5:27" x14ac:dyDescent="0.35">
      <c r="E797" s="137"/>
      <c r="F797" s="137"/>
      <c r="G797" s="190"/>
      <c r="H797" s="137"/>
      <c r="I797" s="137"/>
      <c r="J797" s="137"/>
      <c r="M797" s="143"/>
      <c r="N797" s="143"/>
      <c r="O797" s="143"/>
      <c r="P797" s="143"/>
      <c r="Q797" s="137"/>
      <c r="R797" s="137"/>
      <c r="S797" s="137"/>
      <c r="T797" s="137"/>
      <c r="U797" s="137"/>
      <c r="V797" s="137"/>
      <c r="W797" s="137"/>
      <c r="X797" s="137"/>
      <c r="Y797" s="137"/>
      <c r="Z797" s="137"/>
      <c r="AA797" s="137"/>
    </row>
    <row r="798" spans="5:27" x14ac:dyDescent="0.35">
      <c r="E798" s="137"/>
      <c r="F798" s="137"/>
      <c r="G798" s="190"/>
      <c r="H798" s="137"/>
      <c r="I798" s="137"/>
      <c r="J798" s="137"/>
      <c r="M798" s="143"/>
      <c r="N798" s="143"/>
      <c r="O798" s="143"/>
      <c r="P798" s="143"/>
      <c r="Q798" s="137"/>
      <c r="R798" s="137"/>
      <c r="S798" s="137"/>
      <c r="T798" s="137"/>
      <c r="U798" s="137"/>
      <c r="V798" s="137"/>
      <c r="W798" s="137"/>
      <c r="X798" s="137"/>
      <c r="Y798" s="137"/>
      <c r="Z798" s="137"/>
      <c r="AA798" s="137"/>
    </row>
    <row r="799" spans="5:27" x14ac:dyDescent="0.35">
      <c r="E799" s="137"/>
      <c r="F799" s="137"/>
      <c r="G799" s="190"/>
      <c r="H799" s="137"/>
      <c r="I799" s="137"/>
      <c r="J799" s="137"/>
      <c r="M799" s="143"/>
      <c r="N799" s="143"/>
      <c r="O799" s="143"/>
      <c r="P799" s="143"/>
      <c r="Q799" s="137"/>
      <c r="R799" s="137"/>
      <c r="S799" s="137"/>
      <c r="T799" s="137"/>
      <c r="U799" s="137"/>
      <c r="V799" s="137"/>
      <c r="W799" s="137"/>
      <c r="X799" s="137"/>
      <c r="Y799" s="137"/>
      <c r="Z799" s="137"/>
      <c r="AA799" s="137"/>
    </row>
    <row r="800" spans="5:27" x14ac:dyDescent="0.35">
      <c r="E800" s="137"/>
      <c r="F800" s="137"/>
      <c r="G800" s="190"/>
      <c r="H800" s="137"/>
      <c r="I800" s="137"/>
      <c r="J800" s="137"/>
      <c r="M800" s="143"/>
      <c r="N800" s="143"/>
      <c r="O800" s="143"/>
      <c r="P800" s="143"/>
      <c r="Q800" s="137"/>
      <c r="R800" s="137"/>
      <c r="S800" s="137"/>
      <c r="T800" s="137"/>
      <c r="U800" s="137"/>
      <c r="V800" s="137"/>
      <c r="W800" s="137"/>
      <c r="X800" s="137"/>
      <c r="Y800" s="137"/>
      <c r="Z800" s="137"/>
      <c r="AA800" s="137"/>
    </row>
    <row r="801" spans="5:27" x14ac:dyDescent="0.35">
      <c r="E801" s="137"/>
      <c r="F801" s="137"/>
      <c r="G801" s="190"/>
      <c r="H801" s="137"/>
      <c r="I801" s="137"/>
      <c r="J801" s="137"/>
      <c r="M801" s="143"/>
      <c r="N801" s="143"/>
      <c r="O801" s="143"/>
      <c r="P801" s="143"/>
      <c r="Q801" s="137"/>
      <c r="R801" s="137"/>
      <c r="S801" s="137"/>
      <c r="T801" s="137"/>
      <c r="U801" s="137"/>
      <c r="V801" s="137"/>
      <c r="W801" s="137"/>
      <c r="X801" s="137"/>
      <c r="Y801" s="137"/>
      <c r="Z801" s="137"/>
      <c r="AA801" s="137"/>
    </row>
    <row r="802" spans="5:27" x14ac:dyDescent="0.35">
      <c r="E802" s="137"/>
      <c r="F802" s="137"/>
      <c r="G802" s="190"/>
      <c r="H802" s="137"/>
      <c r="I802" s="137"/>
      <c r="J802" s="137"/>
      <c r="M802" s="143"/>
      <c r="N802" s="143"/>
      <c r="O802" s="143"/>
      <c r="P802" s="143"/>
      <c r="Q802" s="137"/>
      <c r="R802" s="137"/>
      <c r="S802" s="137"/>
      <c r="T802" s="137"/>
      <c r="U802" s="137"/>
      <c r="V802" s="137"/>
      <c r="W802" s="137"/>
      <c r="X802" s="137"/>
      <c r="Y802" s="137"/>
      <c r="Z802" s="137"/>
      <c r="AA802" s="137"/>
    </row>
    <row r="803" spans="5:27" x14ac:dyDescent="0.35">
      <c r="E803" s="137"/>
      <c r="F803" s="137"/>
      <c r="G803" s="190"/>
      <c r="H803" s="137"/>
      <c r="I803" s="137"/>
      <c r="J803" s="137"/>
      <c r="M803" s="143"/>
      <c r="N803" s="143"/>
      <c r="O803" s="143"/>
      <c r="P803" s="143"/>
      <c r="Q803" s="137"/>
      <c r="R803" s="137"/>
      <c r="S803" s="137"/>
      <c r="T803" s="137"/>
      <c r="U803" s="137"/>
      <c r="V803" s="137"/>
      <c r="W803" s="137"/>
      <c r="X803" s="137"/>
      <c r="Y803" s="137"/>
      <c r="Z803" s="137"/>
      <c r="AA803" s="137"/>
    </row>
    <row r="804" spans="5:27" x14ac:dyDescent="0.35">
      <c r="E804" s="137"/>
      <c r="F804" s="137"/>
      <c r="G804" s="190"/>
      <c r="H804" s="137"/>
      <c r="I804" s="137"/>
      <c r="J804" s="137"/>
      <c r="M804" s="143"/>
      <c r="N804" s="143"/>
      <c r="O804" s="143"/>
      <c r="P804" s="143"/>
      <c r="Q804" s="137"/>
      <c r="R804" s="137"/>
      <c r="S804" s="137"/>
      <c r="T804" s="137"/>
      <c r="U804" s="137"/>
      <c r="V804" s="137"/>
      <c r="W804" s="137"/>
      <c r="X804" s="137"/>
      <c r="Y804" s="137"/>
      <c r="Z804" s="137"/>
      <c r="AA804" s="137"/>
    </row>
    <row r="805" spans="5:27" x14ac:dyDescent="0.35">
      <c r="E805" s="137"/>
      <c r="F805" s="137"/>
      <c r="G805" s="190"/>
      <c r="H805" s="137"/>
      <c r="I805" s="137"/>
      <c r="J805" s="137"/>
      <c r="M805" s="143"/>
      <c r="N805" s="143"/>
      <c r="O805" s="143"/>
      <c r="P805" s="143"/>
      <c r="Q805" s="137"/>
      <c r="R805" s="137"/>
      <c r="S805" s="137"/>
      <c r="T805" s="137"/>
      <c r="U805" s="137"/>
      <c r="V805" s="137"/>
      <c r="W805" s="137"/>
      <c r="X805" s="137"/>
      <c r="Y805" s="137"/>
      <c r="Z805" s="137"/>
      <c r="AA805" s="137"/>
    </row>
    <row r="806" spans="5:27" x14ac:dyDescent="0.35">
      <c r="E806" s="137"/>
      <c r="F806" s="137"/>
      <c r="G806" s="190"/>
      <c r="H806" s="137"/>
      <c r="I806" s="137"/>
      <c r="J806" s="137"/>
      <c r="M806" s="143"/>
      <c r="N806" s="143"/>
      <c r="O806" s="143"/>
      <c r="P806" s="143"/>
      <c r="Q806" s="137"/>
      <c r="R806" s="137"/>
      <c r="S806" s="137"/>
      <c r="T806" s="137"/>
      <c r="U806" s="137"/>
      <c r="V806" s="137"/>
      <c r="W806" s="137"/>
      <c r="X806" s="137"/>
      <c r="Y806" s="137"/>
      <c r="Z806" s="137"/>
      <c r="AA806" s="137"/>
    </row>
    <row r="807" spans="5:27" x14ac:dyDescent="0.35">
      <c r="E807" s="137"/>
      <c r="F807" s="137"/>
      <c r="G807" s="190"/>
      <c r="H807" s="137"/>
      <c r="I807" s="137"/>
      <c r="J807" s="137"/>
      <c r="M807" s="143"/>
      <c r="N807" s="143"/>
      <c r="O807" s="143"/>
      <c r="P807" s="143"/>
      <c r="Q807" s="137"/>
      <c r="R807" s="137"/>
      <c r="S807" s="137"/>
      <c r="T807" s="137"/>
      <c r="U807" s="137"/>
      <c r="V807" s="137"/>
      <c r="W807" s="137"/>
      <c r="X807" s="137"/>
      <c r="Y807" s="137"/>
      <c r="Z807" s="137"/>
      <c r="AA807" s="137"/>
    </row>
    <row r="808" spans="5:27" x14ac:dyDescent="0.35">
      <c r="E808" s="137"/>
      <c r="F808" s="137"/>
      <c r="G808" s="190"/>
      <c r="H808" s="137"/>
      <c r="I808" s="137"/>
      <c r="J808" s="137"/>
      <c r="M808" s="143"/>
      <c r="N808" s="143"/>
      <c r="O808" s="143"/>
      <c r="P808" s="143"/>
      <c r="Q808" s="137"/>
      <c r="R808" s="137"/>
      <c r="S808" s="137"/>
      <c r="T808" s="137"/>
      <c r="U808" s="137"/>
      <c r="V808" s="137"/>
      <c r="W808" s="137"/>
      <c r="X808" s="137"/>
      <c r="Y808" s="137"/>
      <c r="Z808" s="137"/>
      <c r="AA808" s="137"/>
    </row>
    <row r="809" spans="5:27" x14ac:dyDescent="0.35">
      <c r="E809" s="137"/>
      <c r="F809" s="137"/>
      <c r="G809" s="190"/>
      <c r="H809" s="137"/>
      <c r="I809" s="137"/>
      <c r="J809" s="137"/>
      <c r="M809" s="143"/>
      <c r="N809" s="143"/>
      <c r="O809" s="143"/>
      <c r="P809" s="143"/>
      <c r="Q809" s="137"/>
      <c r="R809" s="137"/>
      <c r="S809" s="137"/>
      <c r="T809" s="137"/>
      <c r="U809" s="137"/>
      <c r="V809" s="137"/>
      <c r="W809" s="137"/>
      <c r="X809" s="137"/>
      <c r="Y809" s="137"/>
      <c r="Z809" s="137"/>
      <c r="AA809" s="137"/>
    </row>
    <row r="810" spans="5:27" x14ac:dyDescent="0.35">
      <c r="E810" s="137"/>
      <c r="F810" s="137"/>
      <c r="G810" s="190"/>
      <c r="H810" s="137"/>
      <c r="I810" s="137"/>
      <c r="J810" s="137"/>
      <c r="M810" s="143"/>
      <c r="N810" s="143"/>
      <c r="O810" s="143"/>
      <c r="P810" s="143"/>
      <c r="Q810" s="137"/>
      <c r="R810" s="137"/>
      <c r="S810" s="137"/>
      <c r="T810" s="137"/>
      <c r="U810" s="137"/>
      <c r="V810" s="137"/>
      <c r="W810" s="137"/>
      <c r="X810" s="137"/>
      <c r="Y810" s="137"/>
      <c r="Z810" s="137"/>
      <c r="AA810" s="137"/>
    </row>
    <row r="811" spans="5:27" x14ac:dyDescent="0.35">
      <c r="E811" s="137"/>
      <c r="F811" s="137"/>
      <c r="G811" s="190"/>
      <c r="H811" s="137"/>
      <c r="I811" s="137"/>
      <c r="J811" s="137"/>
      <c r="M811" s="143"/>
      <c r="N811" s="143"/>
      <c r="O811" s="143"/>
      <c r="P811" s="143"/>
      <c r="Q811" s="137"/>
      <c r="R811" s="137"/>
      <c r="S811" s="137"/>
      <c r="T811" s="137"/>
      <c r="U811" s="137"/>
      <c r="V811" s="137"/>
      <c r="W811" s="137"/>
      <c r="X811" s="137"/>
      <c r="Y811" s="137"/>
      <c r="Z811" s="137"/>
      <c r="AA811" s="137"/>
    </row>
    <row r="812" spans="5:27" x14ac:dyDescent="0.35">
      <c r="E812" s="137"/>
      <c r="F812" s="137"/>
      <c r="G812" s="190"/>
      <c r="H812" s="137"/>
      <c r="I812" s="137"/>
      <c r="J812" s="137"/>
      <c r="M812" s="143"/>
      <c r="N812" s="143"/>
      <c r="O812" s="143"/>
      <c r="P812" s="143"/>
      <c r="Q812" s="137"/>
      <c r="R812" s="137"/>
      <c r="S812" s="137"/>
      <c r="T812" s="137"/>
      <c r="U812" s="137"/>
      <c r="V812" s="137"/>
      <c r="W812" s="137"/>
      <c r="X812" s="137"/>
      <c r="Y812" s="137"/>
      <c r="Z812" s="137"/>
      <c r="AA812" s="137"/>
    </row>
    <row r="813" spans="5:27" x14ac:dyDescent="0.35">
      <c r="E813" s="137"/>
      <c r="F813" s="137"/>
      <c r="G813" s="190"/>
      <c r="H813" s="137"/>
      <c r="I813" s="137"/>
      <c r="J813" s="137"/>
      <c r="M813" s="143"/>
      <c r="N813" s="143"/>
      <c r="O813" s="143"/>
      <c r="P813" s="143"/>
      <c r="Q813" s="137"/>
      <c r="R813" s="137"/>
      <c r="S813" s="137"/>
      <c r="T813" s="137"/>
      <c r="U813" s="137"/>
      <c r="V813" s="137"/>
      <c r="W813" s="137"/>
      <c r="X813" s="137"/>
      <c r="Y813" s="137"/>
      <c r="Z813" s="137"/>
      <c r="AA813" s="137"/>
    </row>
    <row r="814" spans="5:27" x14ac:dyDescent="0.35">
      <c r="E814" s="137"/>
      <c r="F814" s="137"/>
      <c r="G814" s="190"/>
      <c r="H814" s="137"/>
      <c r="I814" s="137"/>
      <c r="J814" s="137"/>
      <c r="M814" s="143"/>
      <c r="N814" s="143"/>
      <c r="O814" s="143"/>
      <c r="P814" s="143"/>
      <c r="Q814" s="137"/>
      <c r="R814" s="137"/>
      <c r="S814" s="137"/>
      <c r="T814" s="137"/>
      <c r="U814" s="137"/>
      <c r="V814" s="137"/>
      <c r="W814" s="137"/>
      <c r="X814" s="137"/>
      <c r="Y814" s="137"/>
      <c r="Z814" s="137"/>
      <c r="AA814" s="137"/>
    </row>
    <row r="815" spans="5:27" x14ac:dyDescent="0.35">
      <c r="E815" s="137"/>
      <c r="F815" s="137"/>
      <c r="G815" s="190"/>
      <c r="H815" s="137"/>
      <c r="I815" s="137"/>
      <c r="J815" s="137"/>
      <c r="M815" s="143"/>
      <c r="N815" s="143"/>
      <c r="O815" s="143"/>
      <c r="P815" s="143"/>
      <c r="Q815" s="137"/>
      <c r="R815" s="137"/>
      <c r="S815" s="137"/>
      <c r="T815" s="137"/>
      <c r="U815" s="137"/>
      <c r="V815" s="137"/>
      <c r="W815" s="137"/>
      <c r="X815" s="137"/>
      <c r="Y815" s="137"/>
      <c r="Z815" s="137"/>
      <c r="AA815" s="137"/>
    </row>
    <row r="816" spans="5:27" x14ac:dyDescent="0.35">
      <c r="E816" s="137"/>
      <c r="F816" s="137"/>
      <c r="G816" s="190"/>
      <c r="H816" s="137"/>
      <c r="I816" s="137"/>
      <c r="J816" s="137"/>
      <c r="M816" s="143"/>
      <c r="N816" s="143"/>
      <c r="O816" s="143"/>
      <c r="P816" s="143"/>
      <c r="Q816" s="137"/>
      <c r="R816" s="137"/>
      <c r="S816" s="137"/>
      <c r="T816" s="137"/>
      <c r="U816" s="137"/>
      <c r="V816" s="137"/>
      <c r="W816" s="137"/>
      <c r="X816" s="137"/>
      <c r="Y816" s="137"/>
      <c r="Z816" s="137"/>
      <c r="AA816" s="137"/>
    </row>
    <row r="817" spans="5:27" x14ac:dyDescent="0.35">
      <c r="E817" s="137"/>
      <c r="F817" s="137"/>
      <c r="G817" s="190"/>
      <c r="H817" s="137"/>
      <c r="I817" s="137"/>
      <c r="J817" s="137"/>
      <c r="M817" s="143"/>
      <c r="N817" s="143"/>
      <c r="O817" s="143"/>
      <c r="P817" s="143"/>
      <c r="Q817" s="137"/>
      <c r="R817" s="137"/>
      <c r="S817" s="137"/>
      <c r="T817" s="137"/>
      <c r="U817" s="137"/>
      <c r="V817" s="137"/>
      <c r="W817" s="137"/>
      <c r="X817" s="137"/>
      <c r="Y817" s="137"/>
      <c r="Z817" s="137"/>
      <c r="AA817" s="137"/>
    </row>
    <row r="818" spans="5:27" x14ac:dyDescent="0.35">
      <c r="E818" s="137"/>
      <c r="F818" s="137"/>
      <c r="G818" s="190"/>
      <c r="H818" s="137"/>
      <c r="I818" s="137"/>
      <c r="J818" s="137"/>
      <c r="M818" s="143"/>
      <c r="N818" s="143"/>
      <c r="O818" s="143"/>
      <c r="P818" s="143"/>
      <c r="Q818" s="137"/>
      <c r="R818" s="137"/>
      <c r="S818" s="137"/>
      <c r="T818" s="137"/>
      <c r="U818" s="137"/>
      <c r="V818" s="137"/>
      <c r="W818" s="137"/>
      <c r="X818" s="137"/>
      <c r="Y818" s="137"/>
      <c r="Z818" s="137"/>
      <c r="AA818" s="137"/>
    </row>
    <row r="819" spans="5:27" x14ac:dyDescent="0.35">
      <c r="E819" s="137"/>
      <c r="F819" s="137"/>
      <c r="G819" s="190"/>
      <c r="H819" s="137"/>
      <c r="I819" s="137"/>
      <c r="J819" s="137"/>
      <c r="M819" s="143"/>
      <c r="N819" s="143"/>
      <c r="O819" s="143"/>
      <c r="P819" s="143"/>
      <c r="Q819" s="137"/>
      <c r="R819" s="137"/>
      <c r="S819" s="137"/>
      <c r="T819" s="137"/>
      <c r="U819" s="137"/>
      <c r="V819" s="137"/>
      <c r="W819" s="137"/>
      <c r="X819" s="137"/>
      <c r="Y819" s="137"/>
      <c r="Z819" s="137"/>
      <c r="AA819" s="137"/>
    </row>
    <row r="820" spans="5:27" x14ac:dyDescent="0.35">
      <c r="E820" s="137"/>
      <c r="F820" s="137"/>
      <c r="G820" s="190"/>
      <c r="H820" s="137"/>
      <c r="I820" s="137"/>
      <c r="J820" s="137"/>
      <c r="M820" s="143"/>
      <c r="N820" s="143"/>
      <c r="O820" s="143"/>
      <c r="P820" s="143"/>
      <c r="Q820" s="137"/>
      <c r="R820" s="137"/>
      <c r="S820" s="137"/>
      <c r="T820" s="137"/>
      <c r="U820" s="137"/>
      <c r="V820" s="137"/>
      <c r="W820" s="137"/>
      <c r="X820" s="137"/>
      <c r="Y820" s="137"/>
      <c r="Z820" s="137"/>
      <c r="AA820" s="137"/>
    </row>
    <row r="821" spans="5:27" x14ac:dyDescent="0.35">
      <c r="E821" s="137"/>
      <c r="F821" s="137"/>
      <c r="G821" s="190"/>
      <c r="H821" s="137"/>
      <c r="I821" s="137"/>
      <c r="J821" s="137"/>
      <c r="M821" s="143"/>
      <c r="N821" s="143"/>
      <c r="O821" s="143"/>
      <c r="P821" s="143"/>
      <c r="Q821" s="137"/>
      <c r="R821" s="137"/>
      <c r="S821" s="137"/>
      <c r="T821" s="137"/>
      <c r="U821" s="137"/>
      <c r="V821" s="137"/>
      <c r="W821" s="137"/>
      <c r="X821" s="137"/>
      <c r="Y821" s="137"/>
      <c r="Z821" s="137"/>
      <c r="AA821" s="137"/>
    </row>
    <row r="822" spans="5:27" x14ac:dyDescent="0.35">
      <c r="E822" s="137"/>
      <c r="F822" s="137"/>
      <c r="G822" s="190"/>
      <c r="H822" s="137"/>
      <c r="I822" s="137"/>
      <c r="J822" s="137"/>
      <c r="M822" s="143"/>
      <c r="N822" s="143"/>
      <c r="O822" s="143"/>
      <c r="P822" s="143"/>
      <c r="Q822" s="137"/>
      <c r="R822" s="137"/>
      <c r="S822" s="137"/>
      <c r="T822" s="137"/>
      <c r="U822" s="137"/>
      <c r="V822" s="137"/>
      <c r="W822" s="137"/>
      <c r="X822" s="137"/>
      <c r="Y822" s="137"/>
      <c r="Z822" s="137"/>
      <c r="AA822" s="137"/>
    </row>
    <row r="823" spans="5:27" x14ac:dyDescent="0.35">
      <c r="E823" s="137"/>
      <c r="F823" s="137"/>
      <c r="G823" s="190"/>
      <c r="H823" s="137"/>
      <c r="I823" s="137"/>
      <c r="J823" s="137"/>
      <c r="M823" s="143"/>
      <c r="N823" s="143"/>
      <c r="O823" s="143"/>
      <c r="P823" s="143"/>
      <c r="Q823" s="137"/>
      <c r="R823" s="137"/>
      <c r="S823" s="137"/>
      <c r="T823" s="137"/>
      <c r="U823" s="137"/>
      <c r="V823" s="137"/>
      <c r="W823" s="137"/>
      <c r="X823" s="137"/>
      <c r="Y823" s="137"/>
      <c r="Z823" s="137"/>
      <c r="AA823" s="137"/>
    </row>
    <row r="824" spans="5:27" x14ac:dyDescent="0.35">
      <c r="E824" s="137"/>
      <c r="F824" s="137"/>
      <c r="G824" s="190"/>
      <c r="H824" s="137"/>
      <c r="I824" s="137"/>
      <c r="J824" s="137"/>
      <c r="M824" s="143"/>
      <c r="N824" s="143"/>
      <c r="O824" s="143"/>
      <c r="P824" s="143"/>
      <c r="Q824" s="137"/>
      <c r="R824" s="137"/>
      <c r="S824" s="137"/>
      <c r="T824" s="137"/>
      <c r="U824" s="137"/>
      <c r="V824" s="137"/>
      <c r="W824" s="137"/>
      <c r="X824" s="137"/>
      <c r="Y824" s="137"/>
      <c r="Z824" s="137"/>
      <c r="AA824" s="137"/>
    </row>
    <row r="825" spans="5:27" x14ac:dyDescent="0.35">
      <c r="E825" s="137"/>
      <c r="F825" s="137"/>
      <c r="G825" s="190"/>
      <c r="H825" s="137"/>
      <c r="I825" s="137"/>
      <c r="J825" s="137"/>
      <c r="M825" s="143"/>
      <c r="N825" s="143"/>
      <c r="O825" s="143"/>
      <c r="P825" s="143"/>
      <c r="Q825" s="137"/>
      <c r="R825" s="137"/>
      <c r="S825" s="137"/>
      <c r="T825" s="137"/>
      <c r="U825" s="137"/>
      <c r="V825" s="137"/>
      <c r="W825" s="137"/>
      <c r="X825" s="137"/>
      <c r="Y825" s="137"/>
      <c r="Z825" s="137"/>
      <c r="AA825" s="137"/>
    </row>
    <row r="826" spans="5:27" x14ac:dyDescent="0.35">
      <c r="E826" s="137"/>
      <c r="F826" s="137"/>
      <c r="G826" s="190"/>
      <c r="H826" s="137"/>
      <c r="I826" s="137"/>
      <c r="J826" s="137"/>
      <c r="M826" s="143"/>
      <c r="N826" s="143"/>
      <c r="O826" s="143"/>
      <c r="P826" s="143"/>
      <c r="Q826" s="137"/>
      <c r="R826" s="137"/>
      <c r="S826" s="137"/>
      <c r="T826" s="137"/>
      <c r="U826" s="137"/>
      <c r="V826" s="137"/>
      <c r="W826" s="137"/>
      <c r="X826" s="137"/>
      <c r="Y826" s="137"/>
      <c r="Z826" s="137"/>
      <c r="AA826" s="137"/>
    </row>
    <row r="827" spans="5:27" x14ac:dyDescent="0.35">
      <c r="E827" s="137"/>
      <c r="F827" s="137"/>
      <c r="G827" s="190"/>
      <c r="H827" s="137"/>
      <c r="I827" s="137"/>
      <c r="J827" s="137"/>
      <c r="M827" s="143"/>
      <c r="N827" s="143"/>
      <c r="O827" s="143"/>
      <c r="P827" s="143"/>
      <c r="Q827" s="137"/>
      <c r="R827" s="137"/>
      <c r="S827" s="137"/>
      <c r="T827" s="137"/>
      <c r="U827" s="137"/>
      <c r="V827" s="137"/>
      <c r="W827" s="137"/>
      <c r="X827" s="137"/>
      <c r="Y827" s="137"/>
      <c r="Z827" s="137"/>
      <c r="AA827" s="137"/>
    </row>
    <row r="828" spans="5:27" x14ac:dyDescent="0.35">
      <c r="E828" s="137"/>
      <c r="F828" s="137"/>
      <c r="G828" s="190"/>
      <c r="H828" s="137"/>
      <c r="I828" s="137"/>
      <c r="J828" s="137"/>
      <c r="M828" s="143"/>
      <c r="N828" s="143"/>
      <c r="O828" s="143"/>
      <c r="P828" s="143"/>
      <c r="Q828" s="137"/>
      <c r="R828" s="137"/>
      <c r="S828" s="137"/>
      <c r="T828" s="137"/>
      <c r="U828" s="137"/>
      <c r="V828" s="137"/>
      <c r="W828" s="137"/>
      <c r="X828" s="137"/>
      <c r="Y828" s="137"/>
      <c r="Z828" s="137"/>
      <c r="AA828" s="137"/>
    </row>
    <row r="829" spans="5:27" x14ac:dyDescent="0.35">
      <c r="E829" s="137"/>
      <c r="F829" s="137"/>
      <c r="G829" s="190"/>
      <c r="H829" s="137"/>
      <c r="I829" s="137"/>
      <c r="J829" s="137"/>
      <c r="M829" s="143"/>
      <c r="N829" s="143"/>
      <c r="O829" s="143"/>
      <c r="P829" s="143"/>
      <c r="Q829" s="137"/>
      <c r="R829" s="137"/>
      <c r="S829" s="137"/>
      <c r="T829" s="137"/>
      <c r="U829" s="137"/>
      <c r="V829" s="137"/>
      <c r="W829" s="137"/>
      <c r="X829" s="137"/>
      <c r="Y829" s="137"/>
      <c r="Z829" s="137"/>
      <c r="AA829" s="137"/>
    </row>
    <row r="830" spans="5:27" x14ac:dyDescent="0.35">
      <c r="E830" s="137"/>
      <c r="F830" s="137"/>
      <c r="G830" s="190"/>
      <c r="H830" s="137"/>
      <c r="I830" s="137"/>
      <c r="J830" s="137"/>
      <c r="M830" s="143"/>
      <c r="N830" s="143"/>
      <c r="O830" s="143"/>
      <c r="P830" s="143"/>
      <c r="Q830" s="137"/>
      <c r="R830" s="137"/>
      <c r="S830" s="137"/>
      <c r="T830" s="137"/>
      <c r="U830" s="137"/>
      <c r="V830" s="137"/>
      <c r="W830" s="137"/>
      <c r="X830" s="137"/>
      <c r="Y830" s="137"/>
      <c r="Z830" s="137"/>
      <c r="AA830" s="137"/>
    </row>
    <row r="831" spans="5:27" x14ac:dyDescent="0.35">
      <c r="E831" s="137"/>
      <c r="F831" s="137"/>
      <c r="G831" s="190"/>
      <c r="H831" s="137"/>
      <c r="I831" s="137"/>
      <c r="J831" s="137"/>
      <c r="M831" s="143"/>
      <c r="N831" s="143"/>
      <c r="O831" s="143"/>
      <c r="P831" s="143"/>
      <c r="Q831" s="137"/>
      <c r="R831" s="137"/>
      <c r="S831" s="137"/>
      <c r="T831" s="137"/>
      <c r="U831" s="137"/>
      <c r="V831" s="137"/>
      <c r="W831" s="137"/>
      <c r="X831" s="137"/>
      <c r="Y831" s="137"/>
      <c r="Z831" s="137"/>
      <c r="AA831" s="137"/>
    </row>
    <row r="832" spans="5:27" x14ac:dyDescent="0.35">
      <c r="E832" s="137"/>
      <c r="F832" s="137"/>
      <c r="G832" s="190"/>
      <c r="H832" s="137"/>
      <c r="I832" s="137"/>
      <c r="J832" s="137"/>
      <c r="M832" s="143"/>
      <c r="N832" s="143"/>
      <c r="O832" s="143"/>
      <c r="P832" s="143"/>
      <c r="Q832" s="137"/>
      <c r="R832" s="137"/>
      <c r="S832" s="137"/>
      <c r="T832" s="137"/>
      <c r="U832" s="137"/>
      <c r="V832" s="137"/>
      <c r="W832" s="137"/>
      <c r="X832" s="137"/>
      <c r="Y832" s="137"/>
      <c r="Z832" s="137"/>
      <c r="AA832" s="137"/>
    </row>
    <row r="833" spans="5:27" x14ac:dyDescent="0.35">
      <c r="E833" s="137"/>
      <c r="F833" s="137"/>
      <c r="G833" s="190"/>
      <c r="H833" s="137"/>
      <c r="I833" s="137"/>
      <c r="J833" s="137"/>
      <c r="M833" s="143"/>
      <c r="N833" s="143"/>
      <c r="O833" s="143"/>
      <c r="P833" s="143"/>
      <c r="Q833" s="137"/>
      <c r="R833" s="137"/>
      <c r="S833" s="137"/>
      <c r="T833" s="137"/>
      <c r="U833" s="137"/>
      <c r="V833" s="137"/>
      <c r="W833" s="137"/>
      <c r="X833" s="137"/>
      <c r="Y833" s="137"/>
      <c r="Z833" s="137"/>
      <c r="AA833" s="137"/>
    </row>
    <row r="834" spans="5:27" x14ac:dyDescent="0.35">
      <c r="E834" s="137"/>
      <c r="F834" s="137"/>
      <c r="G834" s="190"/>
      <c r="H834" s="137"/>
      <c r="I834" s="137"/>
      <c r="J834" s="137"/>
      <c r="M834" s="143"/>
      <c r="N834" s="143"/>
      <c r="O834" s="143"/>
      <c r="P834" s="143"/>
      <c r="Q834" s="137"/>
      <c r="R834" s="137"/>
      <c r="S834" s="137"/>
      <c r="T834" s="137"/>
      <c r="U834" s="137"/>
      <c r="V834" s="137"/>
      <c r="W834" s="137"/>
      <c r="X834" s="137"/>
      <c r="Y834" s="137"/>
      <c r="Z834" s="137"/>
      <c r="AA834" s="137"/>
    </row>
    <row r="835" spans="5:27" x14ac:dyDescent="0.35">
      <c r="E835" s="137"/>
      <c r="F835" s="137"/>
      <c r="G835" s="190"/>
      <c r="H835" s="137"/>
      <c r="I835" s="137"/>
      <c r="J835" s="137"/>
      <c r="M835" s="143"/>
      <c r="N835" s="143"/>
      <c r="O835" s="143"/>
      <c r="P835" s="143"/>
      <c r="Q835" s="137"/>
      <c r="R835" s="137"/>
      <c r="S835" s="137"/>
      <c r="T835" s="137"/>
      <c r="U835" s="137"/>
      <c r="V835" s="137"/>
      <c r="W835" s="137"/>
      <c r="X835" s="137"/>
      <c r="Y835" s="137"/>
      <c r="Z835" s="137"/>
      <c r="AA835" s="137"/>
    </row>
    <row r="836" spans="5:27" x14ac:dyDescent="0.35">
      <c r="E836" s="137"/>
      <c r="F836" s="137"/>
      <c r="G836" s="190"/>
      <c r="H836" s="137"/>
      <c r="I836" s="137"/>
      <c r="J836" s="137"/>
      <c r="M836" s="143"/>
      <c r="N836" s="143"/>
      <c r="O836" s="143"/>
      <c r="P836" s="143"/>
      <c r="Q836" s="137"/>
      <c r="R836" s="137"/>
      <c r="S836" s="137"/>
      <c r="T836" s="137"/>
      <c r="U836" s="137"/>
      <c r="V836" s="137"/>
      <c r="W836" s="137"/>
      <c r="X836" s="137"/>
      <c r="Y836" s="137"/>
      <c r="Z836" s="137"/>
      <c r="AA836" s="137"/>
    </row>
    <row r="837" spans="5:27" x14ac:dyDescent="0.35">
      <c r="E837" s="137"/>
      <c r="F837" s="137"/>
      <c r="G837" s="190"/>
      <c r="H837" s="137"/>
      <c r="I837" s="137"/>
      <c r="J837" s="137"/>
      <c r="M837" s="143"/>
      <c r="N837" s="143"/>
      <c r="O837" s="143"/>
      <c r="P837" s="143"/>
      <c r="Q837" s="137"/>
      <c r="R837" s="137"/>
      <c r="S837" s="137"/>
      <c r="T837" s="137"/>
      <c r="U837" s="137"/>
      <c r="V837" s="137"/>
      <c r="W837" s="137"/>
      <c r="X837" s="137"/>
      <c r="Y837" s="137"/>
      <c r="Z837" s="137"/>
      <c r="AA837" s="137"/>
    </row>
    <row r="838" spans="5:27" x14ac:dyDescent="0.35">
      <c r="E838" s="137"/>
      <c r="F838" s="137"/>
      <c r="G838" s="190"/>
      <c r="H838" s="137"/>
      <c r="I838" s="137"/>
      <c r="J838" s="137"/>
      <c r="M838" s="143"/>
      <c r="N838" s="143"/>
      <c r="O838" s="143"/>
      <c r="P838" s="143"/>
      <c r="Q838" s="137"/>
      <c r="R838" s="137"/>
      <c r="S838" s="137"/>
      <c r="T838" s="137"/>
      <c r="U838" s="137"/>
      <c r="V838" s="137"/>
      <c r="W838" s="137"/>
      <c r="X838" s="137"/>
      <c r="Y838" s="137"/>
      <c r="Z838" s="137"/>
      <c r="AA838" s="137"/>
    </row>
    <row r="839" spans="5:27" x14ac:dyDescent="0.35">
      <c r="E839" s="137"/>
      <c r="F839" s="137"/>
      <c r="G839" s="190"/>
      <c r="H839" s="137"/>
      <c r="I839" s="137"/>
      <c r="J839" s="137"/>
      <c r="M839" s="143"/>
      <c r="N839" s="143"/>
      <c r="O839" s="143"/>
      <c r="P839" s="143"/>
      <c r="Q839" s="137"/>
      <c r="R839" s="137"/>
      <c r="S839" s="137"/>
      <c r="T839" s="137"/>
      <c r="U839" s="137"/>
      <c r="V839" s="137"/>
      <c r="W839" s="137"/>
      <c r="X839" s="137"/>
      <c r="Y839" s="137"/>
      <c r="Z839" s="137"/>
      <c r="AA839" s="137"/>
    </row>
    <row r="840" spans="5:27" x14ac:dyDescent="0.35">
      <c r="E840" s="137"/>
      <c r="F840" s="137"/>
      <c r="G840" s="190"/>
      <c r="H840" s="137"/>
      <c r="I840" s="137"/>
      <c r="J840" s="137"/>
      <c r="M840" s="143"/>
      <c r="N840" s="143"/>
      <c r="O840" s="143"/>
      <c r="P840" s="143"/>
      <c r="Q840" s="137"/>
      <c r="R840" s="137"/>
      <c r="S840" s="137"/>
      <c r="T840" s="137"/>
      <c r="U840" s="137"/>
      <c r="V840" s="137"/>
      <c r="W840" s="137"/>
      <c r="X840" s="137"/>
      <c r="Y840" s="137"/>
      <c r="Z840" s="137"/>
      <c r="AA840" s="137"/>
    </row>
    <row r="841" spans="5:27" x14ac:dyDescent="0.35">
      <c r="E841" s="137"/>
      <c r="F841" s="137"/>
      <c r="G841" s="190"/>
      <c r="H841" s="137"/>
      <c r="I841" s="137"/>
      <c r="J841" s="137"/>
      <c r="M841" s="143"/>
      <c r="N841" s="143"/>
      <c r="O841" s="143"/>
      <c r="P841" s="143"/>
      <c r="Q841" s="137"/>
      <c r="R841" s="137"/>
      <c r="S841" s="137"/>
      <c r="T841" s="137"/>
      <c r="U841" s="137"/>
      <c r="V841" s="137"/>
      <c r="W841" s="137"/>
      <c r="X841" s="137"/>
      <c r="Y841" s="137"/>
      <c r="Z841" s="137"/>
      <c r="AA841" s="137"/>
    </row>
    <row r="842" spans="5:27" x14ac:dyDescent="0.35">
      <c r="E842" s="137"/>
      <c r="F842" s="137"/>
      <c r="G842" s="190"/>
      <c r="H842" s="137"/>
      <c r="I842" s="137"/>
      <c r="J842" s="137"/>
      <c r="M842" s="143"/>
      <c r="N842" s="143"/>
      <c r="O842" s="143"/>
      <c r="P842" s="143"/>
      <c r="Q842" s="137"/>
      <c r="R842" s="137"/>
      <c r="S842" s="137"/>
      <c r="T842" s="137"/>
      <c r="U842" s="137"/>
      <c r="V842" s="137"/>
      <c r="W842" s="137"/>
      <c r="X842" s="137"/>
      <c r="Y842" s="137"/>
      <c r="Z842" s="137"/>
      <c r="AA842" s="137"/>
    </row>
    <row r="843" spans="5:27" x14ac:dyDescent="0.35">
      <c r="E843" s="137"/>
      <c r="F843" s="137"/>
      <c r="G843" s="190"/>
      <c r="H843" s="137"/>
      <c r="I843" s="137"/>
      <c r="J843" s="137"/>
      <c r="M843" s="143"/>
      <c r="N843" s="143"/>
      <c r="O843" s="143"/>
      <c r="P843" s="143"/>
      <c r="Q843" s="137"/>
      <c r="R843" s="137"/>
      <c r="S843" s="137"/>
      <c r="T843" s="137"/>
      <c r="U843" s="137"/>
      <c r="V843" s="137"/>
      <c r="W843" s="137"/>
      <c r="X843" s="137"/>
      <c r="Y843" s="137"/>
      <c r="Z843" s="137"/>
      <c r="AA843" s="137"/>
    </row>
    <row r="844" spans="5:27" x14ac:dyDescent="0.35">
      <c r="E844" s="137"/>
      <c r="F844" s="137"/>
      <c r="G844" s="190"/>
      <c r="H844" s="137"/>
      <c r="I844" s="137"/>
      <c r="J844" s="137"/>
      <c r="M844" s="143"/>
      <c r="N844" s="143"/>
      <c r="O844" s="143"/>
      <c r="P844" s="143"/>
      <c r="Q844" s="137"/>
      <c r="R844" s="137"/>
      <c r="S844" s="137"/>
      <c r="T844" s="137"/>
      <c r="U844" s="137"/>
      <c r="V844" s="137"/>
      <c r="W844" s="137"/>
      <c r="X844" s="137"/>
      <c r="Y844" s="137"/>
      <c r="Z844" s="137"/>
      <c r="AA844" s="137"/>
    </row>
    <row r="845" spans="5:27" x14ac:dyDescent="0.35">
      <c r="E845" s="137"/>
      <c r="F845" s="137"/>
      <c r="G845" s="190"/>
      <c r="H845" s="137"/>
      <c r="I845" s="137"/>
      <c r="J845" s="137"/>
      <c r="M845" s="143"/>
      <c r="N845" s="143"/>
      <c r="O845" s="143"/>
      <c r="P845" s="143"/>
      <c r="Q845" s="137"/>
      <c r="R845" s="137"/>
      <c r="S845" s="137"/>
      <c r="T845" s="137"/>
      <c r="U845" s="137"/>
      <c r="V845" s="137"/>
      <c r="W845" s="137"/>
      <c r="X845" s="137"/>
      <c r="Y845" s="137"/>
      <c r="Z845" s="137"/>
      <c r="AA845" s="137"/>
    </row>
    <row r="846" spans="5:27" x14ac:dyDescent="0.35">
      <c r="E846" s="137"/>
      <c r="F846" s="137"/>
      <c r="G846" s="190"/>
      <c r="H846" s="137"/>
      <c r="I846" s="137"/>
      <c r="J846" s="137"/>
      <c r="M846" s="143"/>
      <c r="N846" s="143"/>
      <c r="O846" s="143"/>
      <c r="P846" s="143"/>
      <c r="Q846" s="137"/>
      <c r="R846" s="137"/>
      <c r="S846" s="137"/>
      <c r="T846" s="137"/>
      <c r="U846" s="137"/>
      <c r="V846" s="137"/>
      <c r="W846" s="137"/>
      <c r="X846" s="137"/>
      <c r="Y846" s="137"/>
      <c r="Z846" s="137"/>
      <c r="AA846" s="137"/>
    </row>
    <row r="847" spans="5:27" x14ac:dyDescent="0.35">
      <c r="E847" s="137"/>
      <c r="F847" s="137"/>
      <c r="G847" s="190"/>
      <c r="H847" s="137"/>
      <c r="I847" s="137"/>
      <c r="J847" s="137"/>
      <c r="M847" s="143"/>
      <c r="N847" s="143"/>
      <c r="O847" s="143"/>
      <c r="P847" s="143"/>
      <c r="Q847" s="137"/>
      <c r="R847" s="137"/>
      <c r="S847" s="137"/>
      <c r="T847" s="137"/>
      <c r="U847" s="137"/>
      <c r="V847" s="137"/>
      <c r="W847" s="137"/>
      <c r="X847" s="137"/>
      <c r="Y847" s="137"/>
      <c r="Z847" s="137"/>
      <c r="AA847" s="137"/>
    </row>
    <row r="848" spans="5:27" x14ac:dyDescent="0.35">
      <c r="E848" s="137"/>
      <c r="F848" s="137"/>
      <c r="G848" s="190"/>
      <c r="H848" s="137"/>
      <c r="I848" s="137"/>
      <c r="J848" s="137"/>
      <c r="M848" s="143"/>
      <c r="N848" s="143"/>
      <c r="O848" s="143"/>
      <c r="P848" s="143"/>
      <c r="Q848" s="137"/>
      <c r="R848" s="137"/>
      <c r="S848" s="137"/>
      <c r="T848" s="137"/>
      <c r="U848" s="137"/>
      <c r="V848" s="137"/>
      <c r="W848" s="137"/>
      <c r="X848" s="137"/>
      <c r="Y848" s="137"/>
      <c r="Z848" s="137"/>
      <c r="AA848" s="137"/>
    </row>
    <row r="849" spans="5:27" x14ac:dyDescent="0.35">
      <c r="E849" s="137"/>
      <c r="F849" s="137"/>
      <c r="G849" s="190"/>
      <c r="H849" s="137"/>
      <c r="I849" s="137"/>
      <c r="J849" s="137"/>
      <c r="M849" s="143"/>
      <c r="N849" s="143"/>
      <c r="O849" s="143"/>
      <c r="P849" s="143"/>
      <c r="Q849" s="137"/>
      <c r="R849" s="137"/>
      <c r="S849" s="137"/>
      <c r="T849" s="137"/>
      <c r="U849" s="137"/>
      <c r="V849" s="137"/>
      <c r="W849" s="137"/>
      <c r="X849" s="137"/>
      <c r="Y849" s="137"/>
      <c r="Z849" s="137"/>
      <c r="AA849" s="137"/>
    </row>
    <row r="850" spans="5:27" x14ac:dyDescent="0.35">
      <c r="E850" s="137"/>
      <c r="F850" s="137"/>
      <c r="G850" s="190"/>
      <c r="H850" s="137"/>
      <c r="I850" s="137"/>
      <c r="J850" s="137"/>
      <c r="M850" s="143"/>
      <c r="N850" s="143"/>
      <c r="O850" s="143"/>
      <c r="P850" s="143"/>
      <c r="Q850" s="137"/>
      <c r="R850" s="137"/>
      <c r="S850" s="137"/>
      <c r="T850" s="137"/>
      <c r="U850" s="137"/>
      <c r="V850" s="137"/>
      <c r="W850" s="137"/>
      <c r="X850" s="137"/>
      <c r="Y850" s="137"/>
      <c r="Z850" s="137"/>
      <c r="AA850" s="137"/>
    </row>
    <row r="851" spans="5:27" x14ac:dyDescent="0.35">
      <c r="E851" s="137"/>
      <c r="F851" s="137"/>
      <c r="G851" s="190"/>
      <c r="H851" s="137"/>
      <c r="I851" s="137"/>
      <c r="J851" s="137"/>
      <c r="M851" s="143"/>
      <c r="N851" s="143"/>
      <c r="O851" s="143"/>
      <c r="P851" s="143"/>
      <c r="Q851" s="137"/>
      <c r="R851" s="137"/>
      <c r="S851" s="137"/>
      <c r="T851" s="137"/>
      <c r="U851" s="137"/>
      <c r="V851" s="137"/>
      <c r="W851" s="137"/>
      <c r="X851" s="137"/>
      <c r="Y851" s="137"/>
      <c r="Z851" s="137"/>
      <c r="AA851" s="137"/>
    </row>
    <row r="852" spans="5:27" x14ac:dyDescent="0.35">
      <c r="E852" s="137"/>
      <c r="F852" s="137"/>
      <c r="G852" s="190"/>
      <c r="H852" s="137"/>
      <c r="I852" s="137"/>
      <c r="J852" s="137"/>
      <c r="M852" s="143"/>
      <c r="N852" s="143"/>
      <c r="O852" s="143"/>
      <c r="P852" s="143"/>
      <c r="Q852" s="137"/>
      <c r="R852" s="137"/>
      <c r="S852" s="137"/>
      <c r="T852" s="137"/>
      <c r="U852" s="137"/>
      <c r="V852" s="137"/>
      <c r="W852" s="137"/>
      <c r="X852" s="137"/>
      <c r="Y852" s="137"/>
      <c r="Z852" s="137"/>
      <c r="AA852" s="137"/>
    </row>
    <row r="853" spans="5:27" x14ac:dyDescent="0.35">
      <c r="E853" s="137"/>
      <c r="F853" s="137"/>
      <c r="G853" s="190"/>
      <c r="H853" s="137"/>
      <c r="I853" s="137"/>
      <c r="J853" s="137"/>
      <c r="M853" s="143"/>
      <c r="N853" s="143"/>
      <c r="O853" s="143"/>
      <c r="P853" s="143"/>
      <c r="Q853" s="137"/>
      <c r="R853" s="137"/>
      <c r="S853" s="137"/>
      <c r="T853" s="137"/>
      <c r="U853" s="137"/>
      <c r="V853" s="137"/>
      <c r="W853" s="137"/>
      <c r="X853" s="137"/>
      <c r="Y853" s="137"/>
      <c r="Z853" s="137"/>
      <c r="AA853" s="137"/>
    </row>
    <row r="854" spans="5:27" x14ac:dyDescent="0.35">
      <c r="E854" s="137"/>
      <c r="F854" s="137"/>
      <c r="G854" s="190"/>
      <c r="H854" s="137"/>
      <c r="I854" s="137"/>
      <c r="J854" s="137"/>
      <c r="M854" s="143"/>
      <c r="N854" s="143"/>
      <c r="O854" s="143"/>
      <c r="P854" s="143"/>
      <c r="Q854" s="137"/>
      <c r="R854" s="137"/>
      <c r="S854" s="137"/>
      <c r="T854" s="137"/>
      <c r="U854" s="137"/>
      <c r="V854" s="137"/>
      <c r="W854" s="137"/>
      <c r="X854" s="137"/>
      <c r="Y854" s="137"/>
      <c r="Z854" s="137"/>
      <c r="AA854" s="137"/>
    </row>
    <row r="855" spans="5:27" x14ac:dyDescent="0.35">
      <c r="E855" s="137"/>
      <c r="F855" s="137"/>
      <c r="G855" s="190"/>
      <c r="H855" s="137"/>
      <c r="I855" s="137"/>
      <c r="J855" s="137"/>
      <c r="M855" s="143"/>
      <c r="N855" s="143"/>
      <c r="O855" s="143"/>
      <c r="P855" s="143"/>
      <c r="Q855" s="137"/>
      <c r="R855" s="137"/>
      <c r="S855" s="137"/>
      <c r="T855" s="137"/>
      <c r="U855" s="137"/>
      <c r="V855" s="137"/>
      <c r="W855" s="137"/>
      <c r="X855" s="137"/>
      <c r="Y855" s="137"/>
      <c r="Z855" s="137"/>
      <c r="AA855" s="137"/>
    </row>
    <row r="856" spans="5:27" x14ac:dyDescent="0.35">
      <c r="E856" s="137"/>
      <c r="F856" s="137"/>
      <c r="G856" s="190"/>
      <c r="H856" s="137"/>
      <c r="I856" s="137"/>
      <c r="J856" s="137"/>
      <c r="M856" s="143"/>
      <c r="N856" s="143"/>
      <c r="O856" s="143"/>
      <c r="P856" s="143"/>
      <c r="Q856" s="137"/>
      <c r="R856" s="137"/>
      <c r="S856" s="137"/>
      <c r="T856" s="137"/>
      <c r="U856" s="137"/>
      <c r="V856" s="137"/>
      <c r="W856" s="137"/>
      <c r="X856" s="137"/>
      <c r="Y856" s="137"/>
      <c r="Z856" s="137"/>
      <c r="AA856" s="137"/>
    </row>
    <row r="857" spans="5:27" x14ac:dyDescent="0.35">
      <c r="E857" s="137"/>
      <c r="F857" s="137"/>
      <c r="G857" s="190"/>
      <c r="H857" s="137"/>
      <c r="I857" s="137"/>
      <c r="J857" s="137"/>
      <c r="M857" s="143"/>
      <c r="N857" s="143"/>
      <c r="O857" s="143"/>
      <c r="P857" s="143"/>
      <c r="Q857" s="137"/>
      <c r="R857" s="137"/>
      <c r="S857" s="137"/>
      <c r="T857" s="137"/>
      <c r="U857" s="137"/>
      <c r="V857" s="137"/>
      <c r="W857" s="137"/>
      <c r="X857" s="137"/>
      <c r="Y857" s="137"/>
      <c r="Z857" s="137"/>
      <c r="AA857" s="137"/>
    </row>
    <row r="858" spans="5:27" x14ac:dyDescent="0.35">
      <c r="E858" s="137"/>
      <c r="F858" s="137"/>
      <c r="G858" s="190"/>
      <c r="H858" s="137"/>
      <c r="I858" s="137"/>
      <c r="J858" s="137"/>
      <c r="M858" s="143"/>
      <c r="N858" s="143"/>
      <c r="O858" s="143"/>
      <c r="P858" s="143"/>
      <c r="Q858" s="137"/>
      <c r="R858" s="137"/>
      <c r="S858" s="137"/>
      <c r="T858" s="137"/>
      <c r="U858" s="137"/>
      <c r="V858" s="137"/>
      <c r="W858" s="137"/>
      <c r="X858" s="137"/>
      <c r="Y858" s="137"/>
      <c r="Z858" s="137"/>
      <c r="AA858" s="137"/>
    </row>
    <row r="859" spans="5:27" x14ac:dyDescent="0.35">
      <c r="E859" s="137"/>
      <c r="F859" s="137"/>
      <c r="G859" s="190"/>
      <c r="H859" s="137"/>
      <c r="I859" s="137"/>
      <c r="J859" s="137"/>
      <c r="M859" s="143"/>
      <c r="N859" s="143"/>
      <c r="O859" s="143"/>
      <c r="P859" s="143"/>
      <c r="Q859" s="137"/>
      <c r="R859" s="137"/>
      <c r="S859" s="137"/>
      <c r="T859" s="137"/>
      <c r="U859" s="137"/>
      <c r="V859" s="137"/>
      <c r="W859" s="137"/>
      <c r="X859" s="137"/>
      <c r="Y859" s="137"/>
      <c r="Z859" s="137"/>
      <c r="AA859" s="137"/>
    </row>
    <row r="860" spans="5:27" x14ac:dyDescent="0.35">
      <c r="E860" s="137"/>
      <c r="F860" s="137"/>
      <c r="G860" s="190"/>
      <c r="H860" s="137"/>
      <c r="I860" s="137"/>
      <c r="J860" s="137"/>
      <c r="M860" s="143"/>
      <c r="N860" s="143"/>
      <c r="O860" s="143"/>
      <c r="P860" s="143"/>
      <c r="Q860" s="137"/>
      <c r="R860" s="137"/>
      <c r="S860" s="137"/>
      <c r="T860" s="137"/>
      <c r="U860" s="137"/>
      <c r="V860" s="137"/>
      <c r="W860" s="137"/>
      <c r="X860" s="137"/>
      <c r="Y860" s="137"/>
      <c r="Z860" s="137"/>
      <c r="AA860" s="137"/>
    </row>
    <row r="861" spans="5:27" x14ac:dyDescent="0.35">
      <c r="E861" s="137"/>
      <c r="F861" s="137"/>
      <c r="G861" s="190"/>
      <c r="H861" s="137"/>
      <c r="I861" s="137"/>
      <c r="J861" s="137"/>
      <c r="M861" s="143"/>
      <c r="N861" s="143"/>
      <c r="O861" s="143"/>
      <c r="P861" s="143"/>
      <c r="Q861" s="137"/>
      <c r="R861" s="137"/>
      <c r="S861" s="137"/>
      <c r="T861" s="137"/>
      <c r="U861" s="137"/>
      <c r="V861" s="137"/>
      <c r="W861" s="137"/>
      <c r="X861" s="137"/>
      <c r="Y861" s="137"/>
      <c r="Z861" s="137"/>
      <c r="AA861" s="137"/>
    </row>
    <row r="862" spans="5:27" x14ac:dyDescent="0.35">
      <c r="E862" s="137"/>
      <c r="F862" s="137"/>
      <c r="G862" s="190"/>
      <c r="H862" s="137"/>
      <c r="I862" s="137"/>
      <c r="J862" s="137"/>
      <c r="M862" s="143"/>
      <c r="N862" s="143"/>
      <c r="O862" s="143"/>
      <c r="P862" s="143"/>
      <c r="Q862" s="137"/>
      <c r="R862" s="137"/>
      <c r="S862" s="137"/>
      <c r="T862" s="137"/>
      <c r="U862" s="137"/>
      <c r="V862" s="137"/>
      <c r="W862" s="137"/>
      <c r="X862" s="137"/>
      <c r="Y862" s="137"/>
      <c r="Z862" s="137"/>
      <c r="AA862" s="137"/>
    </row>
    <row r="863" spans="5:27" x14ac:dyDescent="0.35">
      <c r="E863" s="137"/>
      <c r="F863" s="137"/>
      <c r="G863" s="190"/>
      <c r="H863" s="137"/>
      <c r="I863" s="137"/>
      <c r="J863" s="137"/>
      <c r="M863" s="143"/>
      <c r="N863" s="143"/>
      <c r="O863" s="143"/>
      <c r="P863" s="143"/>
      <c r="Q863" s="137"/>
      <c r="R863" s="137"/>
      <c r="S863" s="137"/>
      <c r="T863" s="137"/>
      <c r="U863" s="137"/>
      <c r="V863" s="137"/>
      <c r="W863" s="137"/>
      <c r="X863" s="137"/>
      <c r="Y863" s="137"/>
      <c r="Z863" s="137"/>
      <c r="AA863" s="137"/>
    </row>
    <row r="864" spans="5:27" x14ac:dyDescent="0.35">
      <c r="E864" s="137"/>
      <c r="F864" s="137"/>
      <c r="G864" s="190"/>
      <c r="H864" s="137"/>
      <c r="I864" s="137"/>
      <c r="J864" s="137"/>
      <c r="M864" s="143"/>
      <c r="N864" s="143"/>
      <c r="O864" s="143"/>
      <c r="P864" s="143"/>
      <c r="Q864" s="137"/>
      <c r="R864" s="137"/>
      <c r="S864" s="137"/>
      <c r="T864" s="137"/>
      <c r="U864" s="137"/>
      <c r="V864" s="137"/>
      <c r="W864" s="137"/>
      <c r="X864" s="137"/>
      <c r="Y864" s="137"/>
      <c r="Z864" s="137"/>
      <c r="AA864" s="137"/>
    </row>
    <row r="865" spans="5:27" x14ac:dyDescent="0.35">
      <c r="E865" s="137"/>
      <c r="F865" s="137"/>
      <c r="G865" s="190"/>
      <c r="H865" s="137"/>
      <c r="I865" s="137"/>
      <c r="J865" s="137"/>
      <c r="M865" s="143"/>
      <c r="N865" s="143"/>
      <c r="O865" s="143"/>
      <c r="P865" s="143"/>
      <c r="Q865" s="137"/>
      <c r="R865" s="137"/>
      <c r="S865" s="137"/>
      <c r="T865" s="137"/>
      <c r="U865" s="137"/>
      <c r="V865" s="137"/>
      <c r="W865" s="137"/>
      <c r="X865" s="137"/>
      <c r="Y865" s="137"/>
      <c r="Z865" s="137"/>
      <c r="AA865" s="137"/>
    </row>
    <row r="866" spans="5:27" x14ac:dyDescent="0.35">
      <c r="E866" s="137"/>
      <c r="F866" s="137"/>
      <c r="G866" s="190"/>
      <c r="H866" s="137"/>
      <c r="I866" s="137"/>
      <c r="J866" s="137"/>
      <c r="M866" s="143"/>
      <c r="N866" s="143"/>
      <c r="O866" s="143"/>
      <c r="P866" s="143"/>
      <c r="Q866" s="137"/>
      <c r="R866" s="137"/>
      <c r="S866" s="137"/>
      <c r="T866" s="137"/>
      <c r="U866" s="137"/>
      <c r="V866" s="137"/>
      <c r="W866" s="137"/>
      <c r="X866" s="137"/>
      <c r="Y866" s="137"/>
      <c r="Z866" s="137"/>
      <c r="AA866" s="137"/>
    </row>
    <row r="867" spans="5:27" x14ac:dyDescent="0.35">
      <c r="E867" s="137"/>
      <c r="F867" s="137"/>
      <c r="G867" s="190"/>
      <c r="H867" s="137"/>
      <c r="I867" s="137"/>
      <c r="J867" s="137"/>
      <c r="M867" s="143"/>
      <c r="N867" s="143"/>
      <c r="O867" s="143"/>
      <c r="P867" s="143"/>
      <c r="Q867" s="137"/>
      <c r="R867" s="137"/>
      <c r="S867" s="137"/>
      <c r="T867" s="137"/>
      <c r="U867" s="137"/>
      <c r="V867" s="137"/>
      <c r="W867" s="137"/>
      <c r="X867" s="137"/>
      <c r="Y867" s="137"/>
      <c r="Z867" s="137"/>
      <c r="AA867" s="137"/>
    </row>
    <row r="868" spans="5:27" x14ac:dyDescent="0.35">
      <c r="E868" s="137"/>
      <c r="F868" s="137"/>
      <c r="G868" s="190"/>
      <c r="H868" s="137"/>
      <c r="I868" s="137"/>
      <c r="J868" s="137"/>
      <c r="M868" s="143"/>
      <c r="N868" s="143"/>
      <c r="O868" s="143"/>
      <c r="P868" s="143"/>
      <c r="Q868" s="137"/>
      <c r="R868" s="137"/>
      <c r="S868" s="137"/>
      <c r="T868" s="137"/>
      <c r="U868" s="137"/>
      <c r="V868" s="137"/>
      <c r="W868" s="137"/>
      <c r="X868" s="137"/>
      <c r="Y868" s="137"/>
      <c r="Z868" s="137"/>
      <c r="AA868" s="137"/>
    </row>
    <row r="869" spans="5:27" x14ac:dyDescent="0.35">
      <c r="E869" s="137"/>
      <c r="F869" s="137"/>
      <c r="G869" s="190"/>
      <c r="H869" s="137"/>
      <c r="I869" s="137"/>
      <c r="J869" s="137"/>
      <c r="M869" s="143"/>
      <c r="N869" s="143"/>
      <c r="O869" s="143"/>
      <c r="P869" s="143"/>
      <c r="Q869" s="137"/>
      <c r="R869" s="137"/>
      <c r="S869" s="137"/>
      <c r="T869" s="137"/>
      <c r="U869" s="137"/>
      <c r="V869" s="137"/>
      <c r="W869" s="137"/>
      <c r="X869" s="137"/>
      <c r="Y869" s="137"/>
      <c r="Z869" s="137"/>
      <c r="AA869" s="137"/>
    </row>
    <row r="870" spans="5:27" x14ac:dyDescent="0.35">
      <c r="E870" s="137"/>
      <c r="F870" s="137"/>
      <c r="G870" s="190"/>
      <c r="H870" s="137"/>
      <c r="I870" s="137"/>
      <c r="J870" s="137"/>
      <c r="M870" s="143"/>
      <c r="N870" s="143"/>
      <c r="O870" s="143"/>
      <c r="P870" s="143"/>
      <c r="Q870" s="137"/>
      <c r="R870" s="137"/>
      <c r="S870" s="137"/>
      <c r="T870" s="137"/>
      <c r="U870" s="137"/>
      <c r="V870" s="137"/>
      <c r="W870" s="137"/>
      <c r="X870" s="137"/>
      <c r="Y870" s="137"/>
      <c r="Z870" s="137"/>
      <c r="AA870" s="137"/>
    </row>
    <row r="871" spans="5:27" x14ac:dyDescent="0.35">
      <c r="E871" s="137"/>
      <c r="F871" s="137"/>
      <c r="G871" s="190"/>
      <c r="H871" s="137"/>
      <c r="I871" s="137"/>
      <c r="J871" s="137"/>
      <c r="M871" s="143"/>
      <c r="N871" s="143"/>
      <c r="O871" s="143"/>
      <c r="P871" s="143"/>
      <c r="Q871" s="137"/>
      <c r="R871" s="137"/>
      <c r="S871" s="137"/>
      <c r="T871" s="137"/>
      <c r="U871" s="137"/>
      <c r="V871" s="137"/>
      <c r="W871" s="137"/>
      <c r="X871" s="137"/>
      <c r="Y871" s="137"/>
      <c r="Z871" s="137"/>
      <c r="AA871" s="137"/>
    </row>
    <row r="872" spans="5:27" x14ac:dyDescent="0.35">
      <c r="E872" s="137"/>
      <c r="F872" s="137"/>
      <c r="G872" s="190"/>
      <c r="H872" s="137"/>
      <c r="I872" s="137"/>
      <c r="J872" s="137"/>
      <c r="M872" s="143"/>
      <c r="N872" s="143"/>
      <c r="O872" s="143"/>
      <c r="P872" s="143"/>
      <c r="Q872" s="137"/>
      <c r="R872" s="137"/>
      <c r="S872" s="137"/>
      <c r="T872" s="137"/>
      <c r="U872" s="137"/>
      <c r="V872" s="137"/>
      <c r="W872" s="137"/>
      <c r="X872" s="137"/>
      <c r="Y872" s="137"/>
      <c r="Z872" s="137"/>
      <c r="AA872" s="137"/>
    </row>
    <row r="873" spans="5:27" x14ac:dyDescent="0.35">
      <c r="E873" s="137"/>
      <c r="F873" s="137"/>
      <c r="G873" s="190"/>
      <c r="H873" s="137"/>
      <c r="I873" s="137"/>
      <c r="J873" s="137"/>
      <c r="M873" s="143"/>
      <c r="N873" s="143"/>
      <c r="O873" s="143"/>
      <c r="P873" s="143"/>
      <c r="Q873" s="137"/>
      <c r="R873" s="137"/>
      <c r="S873" s="137"/>
      <c r="T873" s="137"/>
      <c r="U873" s="137"/>
      <c r="V873" s="137"/>
      <c r="W873" s="137"/>
      <c r="X873" s="137"/>
      <c r="Y873" s="137"/>
      <c r="Z873" s="137"/>
      <c r="AA873" s="137"/>
    </row>
    <row r="874" spans="5:27" x14ac:dyDescent="0.35">
      <c r="E874" s="137"/>
      <c r="F874" s="137"/>
      <c r="G874" s="190"/>
      <c r="H874" s="137"/>
      <c r="I874" s="137"/>
      <c r="J874" s="137"/>
      <c r="M874" s="143"/>
      <c r="N874" s="143"/>
      <c r="O874" s="143"/>
      <c r="P874" s="143"/>
      <c r="Q874" s="137"/>
      <c r="R874" s="137"/>
      <c r="S874" s="137"/>
      <c r="T874" s="137"/>
      <c r="U874" s="137"/>
      <c r="V874" s="137"/>
      <c r="W874" s="137"/>
      <c r="X874" s="137"/>
      <c r="Y874" s="137"/>
      <c r="Z874" s="137"/>
      <c r="AA874" s="137"/>
    </row>
    <row r="875" spans="5:27" x14ac:dyDescent="0.35">
      <c r="E875" s="137"/>
      <c r="F875" s="137"/>
      <c r="G875" s="190"/>
      <c r="H875" s="137"/>
      <c r="I875" s="137"/>
      <c r="J875" s="137"/>
      <c r="M875" s="143"/>
      <c r="N875" s="143"/>
      <c r="O875" s="143"/>
      <c r="P875" s="143"/>
      <c r="Q875" s="137"/>
      <c r="R875" s="137"/>
      <c r="S875" s="137"/>
      <c r="T875" s="137"/>
      <c r="U875" s="137"/>
      <c r="V875" s="137"/>
      <c r="W875" s="137"/>
      <c r="X875" s="137"/>
      <c r="Y875" s="137"/>
      <c r="Z875" s="137"/>
      <c r="AA875" s="137"/>
    </row>
    <row r="876" spans="5:27" x14ac:dyDescent="0.35">
      <c r="E876" s="137"/>
      <c r="F876" s="137"/>
      <c r="G876" s="190"/>
      <c r="H876" s="137"/>
      <c r="I876" s="137"/>
      <c r="J876" s="137"/>
      <c r="M876" s="143"/>
      <c r="N876" s="143"/>
      <c r="O876" s="143"/>
      <c r="P876" s="143"/>
      <c r="Q876" s="137"/>
      <c r="R876" s="137"/>
      <c r="S876" s="137"/>
      <c r="T876" s="137"/>
      <c r="U876" s="137"/>
      <c r="V876" s="137"/>
      <c r="W876" s="137"/>
      <c r="X876" s="137"/>
      <c r="Y876" s="137"/>
      <c r="Z876" s="137"/>
      <c r="AA876" s="137"/>
    </row>
    <row r="877" spans="5:27" x14ac:dyDescent="0.35">
      <c r="E877" s="137"/>
      <c r="F877" s="137"/>
      <c r="G877" s="190"/>
      <c r="H877" s="137"/>
      <c r="I877" s="137"/>
      <c r="J877" s="137"/>
      <c r="M877" s="143"/>
      <c r="N877" s="143"/>
      <c r="O877" s="143"/>
      <c r="P877" s="143"/>
      <c r="Q877" s="137"/>
      <c r="R877" s="137"/>
      <c r="S877" s="137"/>
      <c r="T877" s="137"/>
      <c r="U877" s="137"/>
      <c r="V877" s="137"/>
      <c r="W877" s="137"/>
      <c r="X877" s="137"/>
      <c r="Y877" s="137"/>
      <c r="Z877" s="137"/>
      <c r="AA877" s="137"/>
    </row>
    <row r="878" spans="5:27" x14ac:dyDescent="0.35">
      <c r="E878" s="137"/>
      <c r="F878" s="137"/>
      <c r="G878" s="190"/>
      <c r="H878" s="137"/>
      <c r="I878" s="137"/>
      <c r="J878" s="137"/>
      <c r="M878" s="143"/>
      <c r="N878" s="143"/>
      <c r="O878" s="143"/>
      <c r="P878" s="143"/>
      <c r="Q878" s="137"/>
      <c r="R878" s="137"/>
      <c r="S878" s="137"/>
      <c r="T878" s="137"/>
      <c r="U878" s="137"/>
      <c r="V878" s="137"/>
      <c r="W878" s="137"/>
      <c r="X878" s="137"/>
      <c r="Y878" s="137"/>
      <c r="Z878" s="137"/>
      <c r="AA878" s="137"/>
    </row>
    <row r="879" spans="5:27" x14ac:dyDescent="0.35">
      <c r="E879" s="137"/>
      <c r="F879" s="137"/>
      <c r="G879" s="190"/>
      <c r="H879" s="137"/>
      <c r="I879" s="137"/>
      <c r="J879" s="137"/>
      <c r="M879" s="143"/>
      <c r="N879" s="143"/>
      <c r="O879" s="143"/>
      <c r="P879" s="143"/>
      <c r="Q879" s="137"/>
      <c r="R879" s="137"/>
      <c r="S879" s="137"/>
      <c r="T879" s="137"/>
      <c r="U879" s="137"/>
      <c r="V879" s="137"/>
      <c r="W879" s="137"/>
      <c r="X879" s="137"/>
      <c r="Y879" s="137"/>
      <c r="Z879" s="137"/>
      <c r="AA879" s="137"/>
    </row>
    <row r="880" spans="5:27" x14ac:dyDescent="0.35">
      <c r="E880" s="137"/>
      <c r="F880" s="137"/>
      <c r="G880" s="190"/>
      <c r="H880" s="137"/>
      <c r="I880" s="137"/>
      <c r="J880" s="137"/>
      <c r="M880" s="143"/>
      <c r="N880" s="143"/>
      <c r="O880" s="143"/>
      <c r="P880" s="143"/>
      <c r="Q880" s="137"/>
      <c r="R880" s="137"/>
      <c r="S880" s="137"/>
      <c r="T880" s="137"/>
      <c r="U880" s="137"/>
      <c r="V880" s="137"/>
      <c r="W880" s="137"/>
      <c r="X880" s="137"/>
      <c r="Y880" s="137"/>
      <c r="Z880" s="137"/>
      <c r="AA880" s="137"/>
    </row>
    <row r="881" spans="5:27" x14ac:dyDescent="0.35">
      <c r="E881" s="137"/>
      <c r="F881" s="137"/>
      <c r="G881" s="190"/>
      <c r="H881" s="137"/>
      <c r="I881" s="137"/>
      <c r="J881" s="137"/>
      <c r="M881" s="143"/>
      <c r="N881" s="143"/>
      <c r="O881" s="143"/>
      <c r="P881" s="143"/>
      <c r="Q881" s="137"/>
      <c r="R881" s="137"/>
      <c r="S881" s="137"/>
      <c r="T881" s="137"/>
      <c r="U881" s="137"/>
      <c r="V881" s="137"/>
      <c r="W881" s="137"/>
      <c r="X881" s="137"/>
      <c r="Y881" s="137"/>
      <c r="Z881" s="137"/>
      <c r="AA881" s="137"/>
    </row>
    <row r="882" spans="5:27" x14ac:dyDescent="0.35">
      <c r="E882" s="137"/>
      <c r="F882" s="137"/>
      <c r="G882" s="190"/>
      <c r="H882" s="137"/>
      <c r="I882" s="137"/>
      <c r="J882" s="137"/>
      <c r="M882" s="143"/>
      <c r="N882" s="143"/>
      <c r="O882" s="143"/>
      <c r="P882" s="143"/>
      <c r="Q882" s="137"/>
      <c r="R882" s="137"/>
      <c r="S882" s="137"/>
      <c r="T882" s="137"/>
      <c r="U882" s="137"/>
      <c r="V882" s="137"/>
      <c r="W882" s="137"/>
      <c r="X882" s="137"/>
      <c r="Y882" s="137"/>
      <c r="Z882" s="137"/>
      <c r="AA882" s="137"/>
    </row>
    <row r="883" spans="5:27" x14ac:dyDescent="0.35">
      <c r="E883" s="137"/>
      <c r="F883" s="137"/>
      <c r="G883" s="190"/>
      <c r="H883" s="137"/>
      <c r="I883" s="137"/>
      <c r="J883" s="137"/>
      <c r="M883" s="143"/>
      <c r="N883" s="143"/>
      <c r="O883" s="143"/>
      <c r="P883" s="143"/>
      <c r="Q883" s="137"/>
      <c r="R883" s="137"/>
      <c r="S883" s="137"/>
      <c r="T883" s="137"/>
      <c r="U883" s="137"/>
      <c r="V883" s="137"/>
      <c r="W883" s="137"/>
      <c r="X883" s="137"/>
      <c r="Y883" s="137"/>
      <c r="Z883" s="137"/>
      <c r="AA883" s="137"/>
    </row>
    <row r="884" spans="5:27" x14ac:dyDescent="0.35">
      <c r="E884" s="137"/>
      <c r="F884" s="137"/>
      <c r="G884" s="190"/>
      <c r="H884" s="137"/>
      <c r="I884" s="137"/>
      <c r="J884" s="137"/>
      <c r="M884" s="143"/>
      <c r="N884" s="143"/>
      <c r="O884" s="143"/>
      <c r="P884" s="143"/>
      <c r="Q884" s="137"/>
      <c r="R884" s="137"/>
      <c r="S884" s="137"/>
      <c r="T884" s="137"/>
      <c r="U884" s="137"/>
      <c r="V884" s="137"/>
      <c r="W884" s="137"/>
      <c r="X884" s="137"/>
      <c r="Y884" s="137"/>
      <c r="Z884" s="137"/>
      <c r="AA884" s="137"/>
    </row>
    <row r="885" spans="5:27" x14ac:dyDescent="0.35">
      <c r="E885" s="137"/>
      <c r="F885" s="137"/>
      <c r="G885" s="190"/>
      <c r="H885" s="137"/>
      <c r="I885" s="137"/>
      <c r="J885" s="137"/>
      <c r="M885" s="143"/>
      <c r="N885" s="143"/>
      <c r="O885" s="143"/>
      <c r="P885" s="143"/>
      <c r="Q885" s="137"/>
      <c r="R885" s="137"/>
      <c r="S885" s="137"/>
      <c r="T885" s="137"/>
      <c r="U885" s="137"/>
      <c r="V885" s="137"/>
      <c r="W885" s="137"/>
      <c r="X885" s="137"/>
      <c r="Y885" s="137"/>
      <c r="Z885" s="137"/>
      <c r="AA885" s="137"/>
    </row>
    <row r="886" spans="5:27" x14ac:dyDescent="0.35">
      <c r="E886" s="137"/>
      <c r="F886" s="137"/>
      <c r="G886" s="190"/>
      <c r="H886" s="137"/>
      <c r="I886" s="137"/>
      <c r="J886" s="137"/>
      <c r="M886" s="143"/>
      <c r="N886" s="143"/>
      <c r="O886" s="143"/>
      <c r="P886" s="143"/>
      <c r="Q886" s="137"/>
      <c r="R886" s="137"/>
      <c r="S886" s="137"/>
      <c r="T886" s="137"/>
      <c r="U886" s="137"/>
      <c r="V886" s="137"/>
      <c r="W886" s="137"/>
      <c r="X886" s="137"/>
      <c r="Y886" s="137"/>
      <c r="Z886" s="137"/>
      <c r="AA886" s="137"/>
    </row>
    <row r="887" spans="5:27" x14ac:dyDescent="0.35">
      <c r="E887" s="137"/>
      <c r="F887" s="137"/>
      <c r="G887" s="190"/>
      <c r="H887" s="137"/>
      <c r="I887" s="137"/>
      <c r="J887" s="137"/>
      <c r="M887" s="143"/>
      <c r="N887" s="143"/>
      <c r="O887" s="143"/>
      <c r="P887" s="143"/>
      <c r="Q887" s="137"/>
      <c r="R887" s="137"/>
      <c r="S887" s="137"/>
      <c r="T887" s="137"/>
      <c r="U887" s="137"/>
      <c r="V887" s="137"/>
      <c r="W887" s="137"/>
      <c r="X887" s="137"/>
      <c r="Y887" s="137"/>
      <c r="Z887" s="137"/>
      <c r="AA887" s="137"/>
    </row>
    <row r="888" spans="5:27" x14ac:dyDescent="0.35">
      <c r="E888" s="137"/>
      <c r="F888" s="137"/>
      <c r="G888" s="190"/>
      <c r="H888" s="137"/>
      <c r="I888" s="137"/>
      <c r="J888" s="137"/>
      <c r="M888" s="143"/>
      <c r="N888" s="143"/>
      <c r="O888" s="143"/>
      <c r="P888" s="143"/>
      <c r="Q888" s="137"/>
      <c r="R888" s="137"/>
      <c r="S888" s="137"/>
      <c r="T888" s="137"/>
      <c r="U888" s="137"/>
      <c r="V888" s="137"/>
      <c r="W888" s="137"/>
      <c r="X888" s="137"/>
      <c r="Y888" s="137"/>
      <c r="Z888" s="137"/>
      <c r="AA888" s="137"/>
    </row>
    <row r="889" spans="5:27" x14ac:dyDescent="0.35">
      <c r="E889" s="137"/>
      <c r="F889" s="137"/>
      <c r="G889" s="190"/>
      <c r="H889" s="137"/>
      <c r="I889" s="137"/>
      <c r="J889" s="137"/>
      <c r="M889" s="143"/>
      <c r="N889" s="143"/>
      <c r="O889" s="143"/>
      <c r="P889" s="143"/>
      <c r="Q889" s="137"/>
      <c r="R889" s="137"/>
      <c r="S889" s="137"/>
      <c r="T889" s="137"/>
      <c r="U889" s="137"/>
      <c r="V889" s="137"/>
      <c r="W889" s="137"/>
      <c r="X889" s="137"/>
      <c r="Y889" s="137"/>
      <c r="Z889" s="137"/>
      <c r="AA889" s="137"/>
    </row>
    <row r="890" spans="5:27" x14ac:dyDescent="0.35">
      <c r="E890" s="137"/>
      <c r="F890" s="137"/>
      <c r="G890" s="190"/>
      <c r="H890" s="137"/>
      <c r="I890" s="137"/>
      <c r="J890" s="137"/>
      <c r="M890" s="143"/>
      <c r="N890" s="143"/>
      <c r="O890" s="143"/>
      <c r="P890" s="143"/>
      <c r="Q890" s="137"/>
      <c r="R890" s="137"/>
      <c r="S890" s="137"/>
      <c r="T890" s="137"/>
      <c r="U890" s="137"/>
      <c r="V890" s="137"/>
      <c r="W890" s="137"/>
      <c r="X890" s="137"/>
      <c r="Y890" s="137"/>
      <c r="Z890" s="137"/>
      <c r="AA890" s="137"/>
    </row>
    <row r="891" spans="5:27" x14ac:dyDescent="0.35">
      <c r="E891" s="137"/>
      <c r="F891" s="137"/>
      <c r="G891" s="190"/>
      <c r="H891" s="137"/>
      <c r="I891" s="137"/>
      <c r="J891" s="137"/>
      <c r="M891" s="143"/>
      <c r="N891" s="143"/>
      <c r="O891" s="143"/>
      <c r="P891" s="143"/>
      <c r="Q891" s="137"/>
      <c r="R891" s="137"/>
      <c r="S891" s="137"/>
      <c r="T891" s="137"/>
      <c r="U891" s="137"/>
      <c r="V891" s="137"/>
      <c r="W891" s="137"/>
      <c r="X891" s="137"/>
      <c r="Y891" s="137"/>
      <c r="Z891" s="137"/>
      <c r="AA891" s="137"/>
    </row>
    <row r="892" spans="5:27" x14ac:dyDescent="0.35">
      <c r="E892" s="137"/>
      <c r="F892" s="137"/>
      <c r="G892" s="190"/>
      <c r="H892" s="137"/>
      <c r="I892" s="137"/>
      <c r="J892" s="137"/>
      <c r="M892" s="143"/>
      <c r="N892" s="143"/>
      <c r="O892" s="143"/>
      <c r="P892" s="143"/>
      <c r="Q892" s="137"/>
      <c r="R892" s="137"/>
      <c r="S892" s="137"/>
      <c r="T892" s="137"/>
      <c r="U892" s="137"/>
      <c r="V892" s="137"/>
      <c r="W892" s="137"/>
      <c r="X892" s="137"/>
      <c r="Y892" s="137"/>
      <c r="Z892" s="137"/>
      <c r="AA892" s="137"/>
    </row>
    <row r="893" spans="5:27" x14ac:dyDescent="0.35">
      <c r="E893" s="137"/>
      <c r="F893" s="137"/>
      <c r="G893" s="190"/>
      <c r="H893" s="137"/>
      <c r="I893" s="137"/>
      <c r="J893" s="137"/>
      <c r="M893" s="143"/>
      <c r="N893" s="143"/>
      <c r="O893" s="143"/>
      <c r="P893" s="143"/>
      <c r="Q893" s="137"/>
      <c r="R893" s="137"/>
      <c r="S893" s="137"/>
      <c r="T893" s="137"/>
      <c r="U893" s="137"/>
      <c r="V893" s="137"/>
      <c r="W893" s="137"/>
      <c r="X893" s="137"/>
      <c r="Y893" s="137"/>
      <c r="Z893" s="137"/>
      <c r="AA893" s="137"/>
    </row>
    <row r="894" spans="5:27" x14ac:dyDescent="0.35">
      <c r="E894" s="137"/>
      <c r="F894" s="137"/>
      <c r="G894" s="190"/>
      <c r="H894" s="137"/>
      <c r="I894" s="137"/>
      <c r="J894" s="137"/>
      <c r="M894" s="143"/>
      <c r="N894" s="143"/>
      <c r="O894" s="143"/>
      <c r="P894" s="143"/>
      <c r="Q894" s="137"/>
      <c r="R894" s="137"/>
      <c r="S894" s="137"/>
      <c r="T894" s="137"/>
      <c r="U894" s="137"/>
      <c r="V894" s="137"/>
      <c r="W894" s="137"/>
      <c r="X894" s="137"/>
      <c r="Y894" s="137"/>
      <c r="Z894" s="137"/>
      <c r="AA894" s="137"/>
    </row>
    <row r="895" spans="5:27" x14ac:dyDescent="0.35">
      <c r="E895" s="137"/>
      <c r="F895" s="137"/>
      <c r="G895" s="190"/>
      <c r="H895" s="137"/>
      <c r="I895" s="137"/>
      <c r="J895" s="137"/>
      <c r="M895" s="143"/>
      <c r="N895" s="143"/>
      <c r="O895" s="143"/>
      <c r="P895" s="143"/>
      <c r="Q895" s="137"/>
      <c r="R895" s="137"/>
      <c r="S895" s="137"/>
      <c r="T895" s="137"/>
      <c r="U895" s="137"/>
      <c r="V895" s="137"/>
      <c r="W895" s="137"/>
      <c r="X895" s="137"/>
      <c r="Y895" s="137"/>
      <c r="Z895" s="137"/>
      <c r="AA895" s="137"/>
    </row>
    <row r="896" spans="5:27" x14ac:dyDescent="0.35">
      <c r="E896" s="137"/>
      <c r="F896" s="137"/>
      <c r="G896" s="190"/>
      <c r="H896" s="137"/>
      <c r="I896" s="137"/>
      <c r="J896" s="137"/>
      <c r="M896" s="143"/>
      <c r="N896" s="143"/>
      <c r="O896" s="143"/>
      <c r="P896" s="143"/>
      <c r="Q896" s="137"/>
      <c r="R896" s="137"/>
      <c r="S896" s="137"/>
      <c r="T896" s="137"/>
      <c r="U896" s="137"/>
      <c r="V896" s="137"/>
      <c r="W896" s="137"/>
      <c r="X896" s="137"/>
      <c r="Y896" s="137"/>
      <c r="Z896" s="137"/>
      <c r="AA896" s="137"/>
    </row>
    <row r="897" spans="5:27" x14ac:dyDescent="0.35">
      <c r="E897" s="137"/>
      <c r="F897" s="137"/>
      <c r="G897" s="190"/>
      <c r="H897" s="137"/>
      <c r="I897" s="137"/>
      <c r="J897" s="137"/>
      <c r="M897" s="143"/>
      <c r="N897" s="143"/>
      <c r="O897" s="143"/>
      <c r="P897" s="143"/>
      <c r="Q897" s="137"/>
      <c r="R897" s="137"/>
      <c r="S897" s="137"/>
      <c r="T897" s="137"/>
      <c r="U897" s="137"/>
      <c r="V897" s="137"/>
      <c r="W897" s="137"/>
      <c r="X897" s="137"/>
      <c r="Y897" s="137"/>
      <c r="Z897" s="137"/>
      <c r="AA897" s="137"/>
    </row>
    <row r="898" spans="5:27" x14ac:dyDescent="0.35">
      <c r="E898" s="137"/>
      <c r="F898" s="137"/>
      <c r="G898" s="190"/>
      <c r="H898" s="137"/>
      <c r="I898" s="137"/>
      <c r="J898" s="137"/>
      <c r="M898" s="143"/>
      <c r="N898" s="143"/>
      <c r="O898" s="143"/>
      <c r="P898" s="143"/>
      <c r="Q898" s="137"/>
      <c r="R898" s="137"/>
      <c r="S898" s="137"/>
      <c r="T898" s="137"/>
      <c r="U898" s="137"/>
      <c r="V898" s="137"/>
      <c r="W898" s="137"/>
      <c r="X898" s="137"/>
      <c r="Y898" s="137"/>
      <c r="Z898" s="137"/>
      <c r="AA898" s="137"/>
    </row>
    <row r="899" spans="5:27" x14ac:dyDescent="0.35">
      <c r="E899" s="137"/>
      <c r="F899" s="137"/>
      <c r="G899" s="190"/>
      <c r="H899" s="137"/>
      <c r="I899" s="137"/>
      <c r="J899" s="137"/>
      <c r="M899" s="143"/>
      <c r="N899" s="143"/>
      <c r="O899" s="143"/>
      <c r="P899" s="143"/>
      <c r="Q899" s="137"/>
      <c r="R899" s="137"/>
      <c r="S899" s="137"/>
      <c r="T899" s="137"/>
      <c r="U899" s="137"/>
      <c r="V899" s="137"/>
      <c r="W899" s="137"/>
      <c r="X899" s="137"/>
      <c r="Y899" s="137"/>
      <c r="Z899" s="137"/>
      <c r="AA899" s="137"/>
    </row>
    <row r="900" spans="5:27" x14ac:dyDescent="0.35">
      <c r="E900" s="137"/>
      <c r="F900" s="137"/>
      <c r="G900" s="190"/>
      <c r="H900" s="137"/>
      <c r="I900" s="137"/>
      <c r="J900" s="137"/>
      <c r="M900" s="143"/>
      <c r="N900" s="143"/>
      <c r="O900" s="143"/>
      <c r="P900" s="143"/>
      <c r="Q900" s="137"/>
      <c r="R900" s="137"/>
      <c r="S900" s="137"/>
      <c r="T900" s="137"/>
      <c r="U900" s="137"/>
      <c r="V900" s="137"/>
      <c r="W900" s="137"/>
      <c r="X900" s="137"/>
      <c r="Y900" s="137"/>
      <c r="Z900" s="137"/>
      <c r="AA900" s="137"/>
    </row>
    <row r="901" spans="5:27" x14ac:dyDescent="0.35">
      <c r="E901" s="137"/>
      <c r="F901" s="137"/>
      <c r="G901" s="190"/>
      <c r="H901" s="137"/>
      <c r="I901" s="137"/>
      <c r="J901" s="137"/>
      <c r="M901" s="143"/>
      <c r="N901" s="143"/>
      <c r="O901" s="143"/>
      <c r="P901" s="143"/>
      <c r="Q901" s="137"/>
      <c r="R901" s="137"/>
      <c r="S901" s="137"/>
      <c r="T901" s="137"/>
      <c r="U901" s="137"/>
      <c r="V901" s="137"/>
      <c r="W901" s="137"/>
      <c r="X901" s="137"/>
      <c r="Y901" s="137"/>
      <c r="Z901" s="137"/>
      <c r="AA901" s="137"/>
    </row>
    <row r="902" spans="5:27" x14ac:dyDescent="0.35">
      <c r="E902" s="137"/>
      <c r="F902" s="137"/>
      <c r="G902" s="190"/>
      <c r="H902" s="137"/>
      <c r="I902" s="137"/>
      <c r="J902" s="137"/>
      <c r="M902" s="143"/>
      <c r="N902" s="143"/>
      <c r="O902" s="143"/>
      <c r="P902" s="143"/>
      <c r="Q902" s="137"/>
      <c r="R902" s="137"/>
      <c r="S902" s="137"/>
      <c r="T902" s="137"/>
      <c r="U902" s="137"/>
      <c r="V902" s="137"/>
      <c r="W902" s="137"/>
      <c r="X902" s="137"/>
      <c r="Y902" s="137"/>
      <c r="Z902" s="137"/>
      <c r="AA902" s="137"/>
    </row>
    <row r="903" spans="5:27" x14ac:dyDescent="0.35">
      <c r="E903" s="137"/>
      <c r="F903" s="137"/>
      <c r="G903" s="190"/>
      <c r="H903" s="137"/>
      <c r="I903" s="137"/>
      <c r="J903" s="137"/>
      <c r="M903" s="143"/>
      <c r="N903" s="143"/>
      <c r="O903" s="143"/>
      <c r="P903" s="143"/>
      <c r="Q903" s="137"/>
      <c r="R903" s="137"/>
      <c r="S903" s="137"/>
      <c r="T903" s="137"/>
      <c r="U903" s="137"/>
      <c r="V903" s="137"/>
      <c r="W903" s="137"/>
      <c r="X903" s="137"/>
      <c r="Y903" s="137"/>
      <c r="Z903" s="137"/>
      <c r="AA903" s="137"/>
    </row>
    <row r="904" spans="5:27" x14ac:dyDescent="0.35">
      <c r="E904" s="137"/>
      <c r="F904" s="137"/>
      <c r="G904" s="190"/>
      <c r="H904" s="137"/>
      <c r="I904" s="137"/>
      <c r="J904" s="137"/>
      <c r="M904" s="143"/>
      <c r="N904" s="143"/>
      <c r="O904" s="143"/>
      <c r="P904" s="143"/>
      <c r="Q904" s="137"/>
      <c r="R904" s="137"/>
      <c r="S904" s="137"/>
      <c r="T904" s="137"/>
      <c r="U904" s="137"/>
      <c r="V904" s="137"/>
      <c r="W904" s="137"/>
      <c r="X904" s="137"/>
      <c r="Y904" s="137"/>
      <c r="Z904" s="137"/>
      <c r="AA904" s="137"/>
    </row>
    <row r="905" spans="5:27" x14ac:dyDescent="0.35">
      <c r="E905" s="137"/>
      <c r="F905" s="137"/>
      <c r="G905" s="190"/>
      <c r="H905" s="137"/>
      <c r="I905" s="137"/>
      <c r="J905" s="137"/>
      <c r="M905" s="143"/>
      <c r="N905" s="143"/>
      <c r="O905" s="143"/>
      <c r="P905" s="143"/>
      <c r="Q905" s="137"/>
      <c r="R905" s="137"/>
      <c r="S905" s="137"/>
      <c r="T905" s="137"/>
      <c r="U905" s="137"/>
      <c r="V905" s="137"/>
      <c r="W905" s="137"/>
      <c r="X905" s="137"/>
      <c r="Y905" s="137"/>
      <c r="Z905" s="137"/>
      <c r="AA905" s="137"/>
    </row>
    <row r="906" spans="5:27" x14ac:dyDescent="0.35">
      <c r="E906" s="137"/>
      <c r="F906" s="137"/>
      <c r="G906" s="190"/>
      <c r="H906" s="137"/>
      <c r="I906" s="137"/>
      <c r="J906" s="137"/>
      <c r="M906" s="143"/>
      <c r="N906" s="143"/>
      <c r="O906" s="143"/>
      <c r="P906" s="143"/>
      <c r="Q906" s="137"/>
      <c r="R906" s="137"/>
      <c r="S906" s="137"/>
      <c r="T906" s="137"/>
      <c r="U906" s="137"/>
      <c r="V906" s="137"/>
      <c r="W906" s="137"/>
      <c r="X906" s="137"/>
      <c r="Y906" s="137"/>
      <c r="Z906" s="137"/>
      <c r="AA906" s="137"/>
    </row>
    <row r="907" spans="5:27" x14ac:dyDescent="0.35">
      <c r="E907" s="137"/>
      <c r="F907" s="137"/>
      <c r="G907" s="190"/>
      <c r="H907" s="137"/>
      <c r="I907" s="137"/>
      <c r="J907" s="137"/>
      <c r="M907" s="143"/>
      <c r="N907" s="143"/>
      <c r="O907" s="143"/>
      <c r="P907" s="143"/>
      <c r="Q907" s="137"/>
      <c r="R907" s="137"/>
      <c r="S907" s="137"/>
      <c r="T907" s="137"/>
      <c r="U907" s="137"/>
      <c r="V907" s="137"/>
      <c r="W907" s="137"/>
      <c r="X907" s="137"/>
      <c r="Y907" s="137"/>
      <c r="Z907" s="137"/>
      <c r="AA907" s="137"/>
    </row>
    <row r="908" spans="5:27" x14ac:dyDescent="0.35">
      <c r="E908" s="137"/>
      <c r="F908" s="137"/>
      <c r="G908" s="190"/>
      <c r="H908" s="137"/>
      <c r="I908" s="137"/>
      <c r="J908" s="137"/>
      <c r="M908" s="143"/>
      <c r="N908" s="143"/>
      <c r="O908" s="143"/>
      <c r="P908" s="143"/>
      <c r="Q908" s="137"/>
      <c r="R908" s="137"/>
      <c r="S908" s="137"/>
      <c r="T908" s="137"/>
      <c r="U908" s="137"/>
      <c r="V908" s="137"/>
      <c r="W908" s="137"/>
      <c r="X908" s="137"/>
      <c r="Y908" s="137"/>
      <c r="Z908" s="137"/>
      <c r="AA908" s="137"/>
    </row>
    <row r="909" spans="5:27" x14ac:dyDescent="0.35">
      <c r="E909" s="137"/>
      <c r="F909" s="137"/>
      <c r="G909" s="190"/>
      <c r="H909" s="137"/>
      <c r="I909" s="137"/>
      <c r="J909" s="137"/>
      <c r="M909" s="143"/>
      <c r="N909" s="143"/>
      <c r="O909" s="143"/>
      <c r="P909" s="143"/>
      <c r="Q909" s="137"/>
      <c r="R909" s="137"/>
      <c r="S909" s="137"/>
      <c r="T909" s="137"/>
      <c r="U909" s="137"/>
      <c r="V909" s="137"/>
      <c r="W909" s="137"/>
      <c r="X909" s="137"/>
      <c r="Y909" s="137"/>
      <c r="Z909" s="137"/>
      <c r="AA909" s="137"/>
    </row>
    <row r="910" spans="5:27" x14ac:dyDescent="0.35">
      <c r="E910" s="137"/>
      <c r="F910" s="137"/>
      <c r="G910" s="190"/>
      <c r="H910" s="137"/>
      <c r="I910" s="137"/>
      <c r="J910" s="137"/>
      <c r="M910" s="143"/>
      <c r="N910" s="143"/>
      <c r="O910" s="143"/>
      <c r="P910" s="143"/>
      <c r="Q910" s="137"/>
      <c r="R910" s="137"/>
      <c r="S910" s="137"/>
      <c r="T910" s="137"/>
      <c r="U910" s="137"/>
      <c r="V910" s="137"/>
      <c r="W910" s="137"/>
      <c r="X910" s="137"/>
      <c r="Y910" s="137"/>
      <c r="Z910" s="137"/>
      <c r="AA910" s="137"/>
    </row>
    <row r="911" spans="5:27" x14ac:dyDescent="0.35">
      <c r="E911" s="137"/>
      <c r="F911" s="137"/>
      <c r="G911" s="190"/>
      <c r="H911" s="137"/>
      <c r="I911" s="137"/>
      <c r="J911" s="137"/>
      <c r="M911" s="143"/>
      <c r="N911" s="143"/>
      <c r="O911" s="143"/>
      <c r="P911" s="143"/>
      <c r="Q911" s="137"/>
      <c r="R911" s="137"/>
      <c r="S911" s="137"/>
      <c r="T911" s="137"/>
      <c r="U911" s="137"/>
      <c r="V911" s="137"/>
      <c r="W911" s="137"/>
      <c r="X911" s="137"/>
      <c r="Y911" s="137"/>
      <c r="Z911" s="137"/>
      <c r="AA911" s="137"/>
    </row>
    <row r="912" spans="5:27" x14ac:dyDescent="0.35">
      <c r="E912" s="137"/>
      <c r="F912" s="137"/>
      <c r="G912" s="190"/>
      <c r="H912" s="137"/>
      <c r="I912" s="137"/>
      <c r="J912" s="137"/>
      <c r="M912" s="143"/>
      <c r="N912" s="143"/>
      <c r="O912" s="143"/>
      <c r="P912" s="143"/>
      <c r="Q912" s="137"/>
      <c r="R912" s="137"/>
      <c r="S912" s="137"/>
      <c r="T912" s="137"/>
      <c r="U912" s="137"/>
      <c r="V912" s="137"/>
      <c r="W912" s="137"/>
      <c r="X912" s="137"/>
      <c r="Y912" s="137"/>
      <c r="Z912" s="137"/>
      <c r="AA912" s="137"/>
    </row>
    <row r="913" spans="5:27" x14ac:dyDescent="0.35">
      <c r="E913" s="137"/>
      <c r="F913" s="137"/>
      <c r="G913" s="190"/>
      <c r="H913" s="137"/>
      <c r="I913" s="137"/>
      <c r="J913" s="137"/>
      <c r="M913" s="143"/>
      <c r="N913" s="143"/>
      <c r="O913" s="143"/>
      <c r="P913" s="143"/>
      <c r="Q913" s="137"/>
      <c r="R913" s="137"/>
      <c r="S913" s="137"/>
      <c r="T913" s="137"/>
      <c r="U913" s="137"/>
      <c r="V913" s="137"/>
      <c r="W913" s="137"/>
      <c r="X913" s="137"/>
      <c r="Y913" s="137"/>
      <c r="Z913" s="137"/>
      <c r="AA913" s="137"/>
    </row>
    <row r="914" spans="5:27" x14ac:dyDescent="0.35">
      <c r="E914" s="137"/>
      <c r="F914" s="137"/>
      <c r="G914" s="190"/>
      <c r="H914" s="137"/>
      <c r="I914" s="137"/>
      <c r="J914" s="137"/>
      <c r="M914" s="143"/>
      <c r="N914" s="143"/>
      <c r="O914" s="143"/>
      <c r="P914" s="143"/>
      <c r="Q914" s="137"/>
      <c r="R914" s="137"/>
      <c r="S914" s="137"/>
      <c r="T914" s="137"/>
      <c r="U914" s="137"/>
      <c r="V914" s="137"/>
      <c r="W914" s="137"/>
      <c r="X914" s="137"/>
      <c r="Y914" s="137"/>
      <c r="Z914" s="137"/>
      <c r="AA914" s="137"/>
    </row>
    <row r="915" spans="5:27" x14ac:dyDescent="0.35">
      <c r="E915" s="137"/>
      <c r="F915" s="137"/>
      <c r="G915" s="190"/>
      <c r="H915" s="137"/>
      <c r="I915" s="137"/>
      <c r="J915" s="137"/>
      <c r="M915" s="143"/>
      <c r="N915" s="143"/>
      <c r="O915" s="143"/>
      <c r="P915" s="143"/>
      <c r="Q915" s="137"/>
      <c r="R915" s="137"/>
      <c r="S915" s="137"/>
      <c r="T915" s="137"/>
      <c r="U915" s="137"/>
      <c r="V915" s="137"/>
      <c r="W915" s="137"/>
      <c r="X915" s="137"/>
      <c r="Y915" s="137"/>
      <c r="Z915" s="137"/>
      <c r="AA915" s="137"/>
    </row>
    <row r="916" spans="5:27" x14ac:dyDescent="0.35">
      <c r="E916" s="137"/>
      <c r="F916" s="137"/>
      <c r="G916" s="190"/>
      <c r="H916" s="137"/>
      <c r="I916" s="137"/>
      <c r="J916" s="137"/>
      <c r="M916" s="143"/>
      <c r="N916" s="143"/>
      <c r="O916" s="143"/>
      <c r="P916" s="143"/>
      <c r="Q916" s="137"/>
      <c r="R916" s="137"/>
      <c r="S916" s="137"/>
      <c r="T916" s="137"/>
      <c r="U916" s="137"/>
      <c r="V916" s="137"/>
      <c r="W916" s="137"/>
      <c r="X916" s="137"/>
      <c r="Y916" s="137"/>
      <c r="Z916" s="137"/>
      <c r="AA916" s="137"/>
    </row>
    <row r="917" spans="5:27" x14ac:dyDescent="0.35">
      <c r="E917" s="137"/>
      <c r="F917" s="137"/>
      <c r="G917" s="190"/>
      <c r="H917" s="137"/>
      <c r="I917" s="137"/>
      <c r="J917" s="137"/>
      <c r="M917" s="143"/>
      <c r="N917" s="143"/>
      <c r="O917" s="143"/>
      <c r="P917" s="143"/>
      <c r="Q917" s="137"/>
      <c r="R917" s="137"/>
      <c r="S917" s="137"/>
      <c r="T917" s="137"/>
      <c r="U917" s="137"/>
      <c r="V917" s="137"/>
      <c r="W917" s="137"/>
      <c r="X917" s="137"/>
      <c r="Y917" s="137"/>
      <c r="Z917" s="137"/>
      <c r="AA917" s="137"/>
    </row>
    <row r="918" spans="5:27" x14ac:dyDescent="0.35">
      <c r="E918" s="137"/>
      <c r="F918" s="137"/>
      <c r="G918" s="190"/>
      <c r="H918" s="137"/>
      <c r="I918" s="137"/>
      <c r="J918" s="137"/>
      <c r="M918" s="143"/>
      <c r="N918" s="143"/>
      <c r="O918" s="143"/>
      <c r="P918" s="143"/>
      <c r="Q918" s="137"/>
      <c r="R918" s="137"/>
      <c r="S918" s="137"/>
      <c r="T918" s="137"/>
      <c r="U918" s="137"/>
      <c r="V918" s="137"/>
      <c r="W918" s="137"/>
      <c r="X918" s="137"/>
      <c r="Y918" s="137"/>
      <c r="Z918" s="137"/>
      <c r="AA918" s="137"/>
    </row>
    <row r="919" spans="5:27" x14ac:dyDescent="0.35">
      <c r="E919" s="137"/>
      <c r="F919" s="137"/>
      <c r="G919" s="190"/>
      <c r="H919" s="137"/>
      <c r="I919" s="137"/>
      <c r="J919" s="137"/>
      <c r="M919" s="143"/>
      <c r="N919" s="143"/>
      <c r="O919" s="143"/>
      <c r="P919" s="143"/>
      <c r="Q919" s="137"/>
      <c r="R919" s="137"/>
      <c r="S919" s="137"/>
      <c r="T919" s="137"/>
      <c r="U919" s="137"/>
      <c r="V919" s="137"/>
      <c r="W919" s="137"/>
      <c r="X919" s="137"/>
      <c r="Y919" s="137"/>
      <c r="Z919" s="137"/>
      <c r="AA919" s="137"/>
    </row>
    <row r="920" spans="5:27" x14ac:dyDescent="0.35">
      <c r="E920" s="137"/>
      <c r="F920" s="137"/>
      <c r="G920" s="190"/>
      <c r="H920" s="137"/>
      <c r="I920" s="137"/>
      <c r="J920" s="137"/>
      <c r="M920" s="143"/>
      <c r="N920" s="143"/>
      <c r="O920" s="143"/>
      <c r="P920" s="143"/>
      <c r="Q920" s="137"/>
      <c r="R920" s="137"/>
      <c r="S920" s="137"/>
      <c r="T920" s="137"/>
      <c r="U920" s="137"/>
      <c r="V920" s="137"/>
      <c r="W920" s="137"/>
      <c r="X920" s="137"/>
      <c r="Y920" s="137"/>
      <c r="Z920" s="137"/>
      <c r="AA920" s="137"/>
    </row>
    <row r="921" spans="5:27" x14ac:dyDescent="0.35">
      <c r="E921" s="137"/>
      <c r="F921" s="137"/>
      <c r="G921" s="190"/>
      <c r="H921" s="137"/>
      <c r="I921" s="137"/>
      <c r="J921" s="137"/>
      <c r="M921" s="143"/>
      <c r="N921" s="143"/>
      <c r="O921" s="143"/>
      <c r="P921" s="143"/>
      <c r="Q921" s="137"/>
      <c r="R921" s="137"/>
      <c r="S921" s="137"/>
      <c r="T921" s="137"/>
      <c r="U921" s="137"/>
      <c r="V921" s="137"/>
      <c r="W921" s="137"/>
      <c r="X921" s="137"/>
      <c r="Y921" s="137"/>
      <c r="Z921" s="137"/>
      <c r="AA921" s="137"/>
    </row>
    <row r="922" spans="5:27" x14ac:dyDescent="0.35">
      <c r="E922" s="137"/>
      <c r="F922" s="137"/>
      <c r="G922" s="190"/>
      <c r="H922" s="137"/>
      <c r="I922" s="137"/>
      <c r="J922" s="137"/>
      <c r="M922" s="143"/>
      <c r="N922" s="143"/>
      <c r="O922" s="143"/>
      <c r="P922" s="143"/>
      <c r="Q922" s="137"/>
      <c r="R922" s="137"/>
      <c r="S922" s="137"/>
      <c r="T922" s="137"/>
      <c r="U922" s="137"/>
      <c r="V922" s="137"/>
      <c r="W922" s="137"/>
      <c r="X922" s="137"/>
      <c r="Y922" s="137"/>
      <c r="Z922" s="137"/>
      <c r="AA922" s="137"/>
    </row>
    <row r="923" spans="5:27" x14ac:dyDescent="0.35">
      <c r="E923" s="137"/>
      <c r="F923" s="137"/>
      <c r="G923" s="190"/>
      <c r="H923" s="137"/>
      <c r="I923" s="137"/>
      <c r="J923" s="137"/>
      <c r="M923" s="143"/>
      <c r="N923" s="143"/>
      <c r="O923" s="143"/>
      <c r="P923" s="143"/>
      <c r="Q923" s="137"/>
      <c r="R923" s="137"/>
      <c r="S923" s="137"/>
      <c r="T923" s="137"/>
      <c r="U923" s="137"/>
      <c r="V923" s="137"/>
      <c r="W923" s="137"/>
      <c r="X923" s="137"/>
      <c r="Y923" s="137"/>
      <c r="Z923" s="137"/>
      <c r="AA923" s="137"/>
    </row>
    <row r="924" spans="5:27" x14ac:dyDescent="0.35">
      <c r="E924" s="137"/>
      <c r="F924" s="137"/>
      <c r="G924" s="190"/>
      <c r="H924" s="137"/>
      <c r="I924" s="137"/>
      <c r="J924" s="137"/>
      <c r="M924" s="143"/>
      <c r="N924" s="143"/>
      <c r="O924" s="143"/>
      <c r="P924" s="143"/>
      <c r="Q924" s="137"/>
      <c r="R924" s="137"/>
      <c r="S924" s="137"/>
      <c r="T924" s="137"/>
      <c r="U924" s="137"/>
      <c r="V924" s="137"/>
      <c r="W924" s="137"/>
      <c r="X924" s="137"/>
      <c r="Y924" s="137"/>
      <c r="Z924" s="137"/>
      <c r="AA924" s="137"/>
    </row>
    <row r="925" spans="5:27" x14ac:dyDescent="0.35">
      <c r="E925" s="137"/>
      <c r="F925" s="137"/>
      <c r="G925" s="190"/>
      <c r="H925" s="137"/>
      <c r="I925" s="137"/>
      <c r="J925" s="137"/>
      <c r="M925" s="143"/>
      <c r="N925" s="143"/>
      <c r="O925" s="143"/>
      <c r="P925" s="143"/>
      <c r="Q925" s="137"/>
      <c r="R925" s="137"/>
      <c r="S925" s="137"/>
      <c r="T925" s="137"/>
      <c r="U925" s="137"/>
      <c r="V925" s="137"/>
      <c r="W925" s="137"/>
      <c r="X925" s="137"/>
      <c r="Y925" s="137"/>
      <c r="Z925" s="137"/>
      <c r="AA925" s="137"/>
    </row>
    <row r="926" spans="5:27" x14ac:dyDescent="0.35">
      <c r="E926" s="137"/>
      <c r="F926" s="137"/>
      <c r="G926" s="190"/>
      <c r="H926" s="137"/>
      <c r="I926" s="137"/>
      <c r="J926" s="137"/>
      <c r="M926" s="143"/>
      <c r="N926" s="143"/>
      <c r="O926" s="143"/>
      <c r="P926" s="143"/>
      <c r="Q926" s="137"/>
      <c r="R926" s="137"/>
      <c r="S926" s="137"/>
      <c r="T926" s="137"/>
      <c r="U926" s="137"/>
      <c r="V926" s="137"/>
      <c r="W926" s="137"/>
      <c r="X926" s="137"/>
      <c r="Y926" s="137"/>
      <c r="Z926" s="137"/>
      <c r="AA926" s="137"/>
    </row>
    <row r="927" spans="5:27" x14ac:dyDescent="0.35">
      <c r="E927" s="137"/>
      <c r="F927" s="137"/>
      <c r="G927" s="190"/>
      <c r="H927" s="137"/>
      <c r="I927" s="137"/>
      <c r="J927" s="137"/>
      <c r="M927" s="143"/>
      <c r="N927" s="143"/>
      <c r="O927" s="143"/>
      <c r="P927" s="143"/>
      <c r="Q927" s="137"/>
      <c r="R927" s="137"/>
      <c r="S927" s="137"/>
      <c r="T927" s="137"/>
      <c r="U927" s="137"/>
      <c r="V927" s="137"/>
      <c r="W927" s="137"/>
      <c r="X927" s="137"/>
      <c r="Y927" s="137"/>
      <c r="Z927" s="137"/>
      <c r="AA927" s="137"/>
    </row>
    <row r="928" spans="5:27" x14ac:dyDescent="0.35">
      <c r="E928" s="137"/>
      <c r="F928" s="137"/>
      <c r="G928" s="190"/>
      <c r="H928" s="137"/>
      <c r="I928" s="137"/>
      <c r="J928" s="137"/>
      <c r="M928" s="143"/>
      <c r="N928" s="143"/>
      <c r="O928" s="143"/>
      <c r="P928" s="143"/>
      <c r="Q928" s="137"/>
      <c r="R928" s="137"/>
      <c r="S928" s="137"/>
      <c r="T928" s="137"/>
      <c r="U928" s="137"/>
      <c r="V928" s="137"/>
      <c r="W928" s="137"/>
      <c r="X928" s="137"/>
      <c r="Y928" s="137"/>
      <c r="Z928" s="137"/>
      <c r="AA928" s="137"/>
    </row>
    <row r="929" spans="5:27" x14ac:dyDescent="0.35">
      <c r="E929" s="137"/>
      <c r="F929" s="137"/>
      <c r="G929" s="190"/>
      <c r="H929" s="137"/>
      <c r="I929" s="137"/>
      <c r="J929" s="137"/>
      <c r="M929" s="143"/>
      <c r="N929" s="143"/>
      <c r="O929" s="143"/>
      <c r="P929" s="143"/>
      <c r="Q929" s="137"/>
      <c r="R929" s="137"/>
      <c r="S929" s="137"/>
      <c r="T929" s="137"/>
      <c r="U929" s="137"/>
      <c r="V929" s="137"/>
      <c r="W929" s="137"/>
      <c r="X929" s="137"/>
      <c r="Y929" s="137"/>
      <c r="Z929" s="137"/>
      <c r="AA929" s="137"/>
    </row>
    <row r="930" spans="5:27" x14ac:dyDescent="0.35">
      <c r="E930" s="137"/>
      <c r="F930" s="137"/>
      <c r="G930" s="190"/>
      <c r="H930" s="137"/>
      <c r="I930" s="137"/>
      <c r="J930" s="137"/>
      <c r="M930" s="143"/>
      <c r="N930" s="143"/>
      <c r="O930" s="143"/>
      <c r="P930" s="143"/>
      <c r="Q930" s="137"/>
      <c r="R930" s="137"/>
      <c r="S930" s="137"/>
      <c r="T930" s="137"/>
      <c r="U930" s="137"/>
      <c r="V930" s="137"/>
      <c r="W930" s="137"/>
      <c r="X930" s="137"/>
      <c r="Y930" s="137"/>
      <c r="Z930" s="137"/>
      <c r="AA930" s="137"/>
    </row>
    <row r="931" spans="5:27" x14ac:dyDescent="0.35">
      <c r="E931" s="137"/>
      <c r="F931" s="137"/>
      <c r="G931" s="190"/>
      <c r="H931" s="137"/>
      <c r="I931" s="137"/>
      <c r="J931" s="137"/>
      <c r="M931" s="143"/>
      <c r="N931" s="143"/>
      <c r="O931" s="143"/>
      <c r="P931" s="143"/>
      <c r="Q931" s="137"/>
      <c r="R931" s="137"/>
      <c r="S931" s="137"/>
      <c r="T931" s="137"/>
      <c r="U931" s="137"/>
      <c r="V931" s="137"/>
      <c r="W931" s="137"/>
      <c r="X931" s="137"/>
      <c r="Y931" s="137"/>
      <c r="Z931" s="137"/>
      <c r="AA931" s="137"/>
    </row>
    <row r="932" spans="5:27" x14ac:dyDescent="0.35">
      <c r="E932" s="137"/>
      <c r="F932" s="137"/>
      <c r="G932" s="190"/>
      <c r="H932" s="137"/>
      <c r="I932" s="137"/>
      <c r="J932" s="137"/>
      <c r="M932" s="143"/>
      <c r="N932" s="143"/>
      <c r="O932" s="143"/>
      <c r="P932" s="143"/>
      <c r="Q932" s="137"/>
      <c r="R932" s="137"/>
      <c r="S932" s="137"/>
      <c r="T932" s="137"/>
      <c r="U932" s="137"/>
      <c r="V932" s="137"/>
      <c r="W932" s="137"/>
      <c r="X932" s="137"/>
      <c r="Y932" s="137"/>
      <c r="Z932" s="137"/>
      <c r="AA932" s="137"/>
    </row>
    <row r="933" spans="5:27" x14ac:dyDescent="0.35">
      <c r="E933" s="137"/>
      <c r="F933" s="137"/>
      <c r="G933" s="190"/>
      <c r="H933" s="137"/>
      <c r="I933" s="137"/>
      <c r="J933" s="137"/>
      <c r="M933" s="143"/>
      <c r="N933" s="143"/>
      <c r="O933" s="143"/>
      <c r="P933" s="143"/>
      <c r="Q933" s="137"/>
      <c r="R933" s="137"/>
      <c r="S933" s="137"/>
      <c r="T933" s="137"/>
      <c r="U933" s="137"/>
      <c r="V933" s="137"/>
      <c r="W933" s="137"/>
      <c r="X933" s="137"/>
      <c r="Y933" s="137"/>
      <c r="Z933" s="137"/>
      <c r="AA933" s="137"/>
    </row>
    <row r="934" spans="5:27" x14ac:dyDescent="0.35">
      <c r="E934" s="137"/>
      <c r="F934" s="137"/>
      <c r="G934" s="190"/>
      <c r="H934" s="137"/>
      <c r="I934" s="137"/>
      <c r="J934" s="137"/>
      <c r="M934" s="143"/>
      <c r="N934" s="143"/>
      <c r="O934" s="143"/>
      <c r="P934" s="143"/>
      <c r="Q934" s="137"/>
      <c r="R934" s="137"/>
      <c r="S934" s="137"/>
      <c r="T934" s="137"/>
      <c r="U934" s="137"/>
      <c r="V934" s="137"/>
      <c r="W934" s="137"/>
      <c r="X934" s="137"/>
      <c r="Y934" s="137"/>
      <c r="Z934" s="137"/>
      <c r="AA934" s="137"/>
    </row>
    <row r="935" spans="5:27" x14ac:dyDescent="0.35">
      <c r="E935" s="137"/>
      <c r="F935" s="137"/>
      <c r="G935" s="190"/>
      <c r="H935" s="137"/>
      <c r="I935" s="137"/>
      <c r="J935" s="137"/>
      <c r="M935" s="143"/>
      <c r="N935" s="143"/>
      <c r="O935" s="143"/>
      <c r="P935" s="143"/>
      <c r="Q935" s="137"/>
      <c r="R935" s="137"/>
      <c r="S935" s="137"/>
      <c r="T935" s="137"/>
      <c r="U935" s="137"/>
      <c r="V935" s="137"/>
      <c r="W935" s="137"/>
      <c r="X935" s="137"/>
      <c r="Y935" s="137"/>
      <c r="Z935" s="137"/>
      <c r="AA935" s="137"/>
    </row>
    <row r="936" spans="5:27" x14ac:dyDescent="0.35">
      <c r="E936" s="137"/>
      <c r="F936" s="137"/>
      <c r="G936" s="190"/>
      <c r="H936" s="137"/>
      <c r="I936" s="137"/>
      <c r="J936" s="137"/>
      <c r="M936" s="143"/>
      <c r="N936" s="143"/>
      <c r="O936" s="143"/>
      <c r="P936" s="143"/>
      <c r="Q936" s="137"/>
      <c r="R936" s="137"/>
      <c r="S936" s="137"/>
      <c r="T936" s="137"/>
      <c r="U936" s="137"/>
      <c r="V936" s="137"/>
      <c r="W936" s="137"/>
      <c r="X936" s="137"/>
      <c r="Y936" s="137"/>
      <c r="Z936" s="137"/>
      <c r="AA936" s="137"/>
    </row>
    <row r="937" spans="5:27" x14ac:dyDescent="0.35">
      <c r="E937" s="137"/>
      <c r="F937" s="137"/>
      <c r="G937" s="190"/>
      <c r="H937" s="137"/>
      <c r="I937" s="137"/>
      <c r="J937" s="137"/>
      <c r="M937" s="143"/>
      <c r="N937" s="143"/>
      <c r="O937" s="143"/>
      <c r="P937" s="143"/>
      <c r="Q937" s="137"/>
      <c r="R937" s="137"/>
      <c r="S937" s="137"/>
      <c r="T937" s="137"/>
      <c r="U937" s="137"/>
      <c r="V937" s="137"/>
      <c r="W937" s="137"/>
      <c r="X937" s="137"/>
      <c r="Y937" s="137"/>
      <c r="Z937" s="137"/>
      <c r="AA937" s="137"/>
    </row>
    <row r="938" spans="5:27" x14ac:dyDescent="0.35">
      <c r="E938" s="137"/>
      <c r="F938" s="137"/>
      <c r="G938" s="190"/>
      <c r="H938" s="137"/>
      <c r="I938" s="137"/>
      <c r="J938" s="137"/>
      <c r="M938" s="143"/>
      <c r="N938" s="143"/>
      <c r="O938" s="143"/>
      <c r="P938" s="143"/>
      <c r="Q938" s="137"/>
      <c r="R938" s="137"/>
      <c r="S938" s="137"/>
      <c r="T938" s="137"/>
      <c r="U938" s="137"/>
      <c r="V938" s="137"/>
      <c r="W938" s="137"/>
      <c r="X938" s="137"/>
      <c r="Y938" s="137"/>
      <c r="Z938" s="137"/>
      <c r="AA938" s="137"/>
    </row>
    <row r="939" spans="5:27" x14ac:dyDescent="0.35">
      <c r="E939" s="137"/>
      <c r="F939" s="137"/>
      <c r="G939" s="190"/>
      <c r="H939" s="137"/>
      <c r="I939" s="137"/>
      <c r="J939" s="137"/>
      <c r="M939" s="143"/>
      <c r="N939" s="143"/>
      <c r="O939" s="143"/>
      <c r="P939" s="143"/>
      <c r="Q939" s="137"/>
      <c r="R939" s="137"/>
      <c r="S939" s="137"/>
      <c r="T939" s="137"/>
      <c r="U939" s="137"/>
      <c r="V939" s="137"/>
      <c r="W939" s="137"/>
      <c r="X939" s="137"/>
      <c r="Y939" s="137"/>
      <c r="Z939" s="137"/>
      <c r="AA939" s="137"/>
    </row>
    <row r="940" spans="5:27" x14ac:dyDescent="0.35">
      <c r="E940" s="137"/>
      <c r="F940" s="137"/>
      <c r="G940" s="190"/>
      <c r="H940" s="137"/>
      <c r="I940" s="137"/>
      <c r="J940" s="137"/>
      <c r="M940" s="143"/>
      <c r="N940" s="143"/>
      <c r="O940" s="143"/>
      <c r="P940" s="143"/>
      <c r="Q940" s="137"/>
      <c r="R940" s="137"/>
      <c r="S940" s="137"/>
      <c r="T940" s="137"/>
      <c r="U940" s="137"/>
      <c r="V940" s="137"/>
      <c r="W940" s="137"/>
      <c r="X940" s="137"/>
      <c r="Y940" s="137"/>
      <c r="Z940" s="137"/>
      <c r="AA940" s="137"/>
    </row>
    <row r="941" spans="5:27" x14ac:dyDescent="0.35">
      <c r="E941" s="137"/>
      <c r="F941" s="137"/>
      <c r="G941" s="190"/>
      <c r="H941" s="137"/>
      <c r="I941" s="137"/>
      <c r="J941" s="137"/>
      <c r="M941" s="143"/>
      <c r="N941" s="143"/>
      <c r="O941" s="143"/>
      <c r="P941" s="143"/>
      <c r="Q941" s="137"/>
      <c r="R941" s="137"/>
      <c r="S941" s="137"/>
      <c r="T941" s="137"/>
      <c r="U941" s="137"/>
      <c r="V941" s="137"/>
      <c r="W941" s="137"/>
      <c r="X941" s="137"/>
      <c r="Y941" s="137"/>
      <c r="Z941" s="137"/>
      <c r="AA941" s="137"/>
    </row>
    <row r="942" spans="5:27" x14ac:dyDescent="0.35">
      <c r="E942" s="137"/>
      <c r="F942" s="137"/>
      <c r="G942" s="190"/>
      <c r="H942" s="137"/>
      <c r="I942" s="137"/>
      <c r="J942" s="137"/>
      <c r="M942" s="143"/>
      <c r="N942" s="143"/>
      <c r="O942" s="143"/>
      <c r="P942" s="143"/>
      <c r="Q942" s="137"/>
      <c r="R942" s="137"/>
      <c r="S942" s="137"/>
      <c r="T942" s="137"/>
      <c r="U942" s="137"/>
      <c r="V942" s="137"/>
      <c r="W942" s="137"/>
      <c r="X942" s="137"/>
      <c r="Y942" s="137"/>
      <c r="Z942" s="137"/>
      <c r="AA942" s="137"/>
    </row>
    <row r="943" spans="5:27" x14ac:dyDescent="0.35">
      <c r="E943" s="137"/>
      <c r="F943" s="137"/>
      <c r="G943" s="190"/>
      <c r="H943" s="137"/>
      <c r="I943" s="137"/>
      <c r="J943" s="137"/>
      <c r="M943" s="143"/>
      <c r="N943" s="143"/>
      <c r="O943" s="143"/>
      <c r="P943" s="143"/>
      <c r="Q943" s="137"/>
      <c r="R943" s="137"/>
      <c r="S943" s="137"/>
      <c r="T943" s="137"/>
      <c r="U943" s="137"/>
      <c r="V943" s="137"/>
      <c r="W943" s="137"/>
      <c r="X943" s="137"/>
      <c r="Y943" s="137"/>
      <c r="Z943" s="137"/>
      <c r="AA943" s="137"/>
    </row>
    <row r="944" spans="5:27" x14ac:dyDescent="0.35">
      <c r="E944" s="137"/>
      <c r="F944" s="137"/>
      <c r="G944" s="190"/>
      <c r="H944" s="137"/>
      <c r="I944" s="137"/>
      <c r="J944" s="137"/>
      <c r="M944" s="143"/>
      <c r="N944" s="143"/>
      <c r="O944" s="143"/>
      <c r="P944" s="143"/>
      <c r="Q944" s="137"/>
      <c r="R944" s="137"/>
      <c r="S944" s="137"/>
      <c r="T944" s="137"/>
      <c r="U944" s="137"/>
      <c r="V944" s="137"/>
      <c r="W944" s="137"/>
      <c r="X944" s="137"/>
      <c r="Y944" s="137"/>
      <c r="Z944" s="137"/>
      <c r="AA944" s="137"/>
    </row>
    <row r="945" spans="5:27" x14ac:dyDescent="0.35">
      <c r="E945" s="137"/>
      <c r="F945" s="137"/>
      <c r="G945" s="190"/>
      <c r="H945" s="137"/>
      <c r="I945" s="137"/>
      <c r="J945" s="137"/>
      <c r="M945" s="143"/>
      <c r="N945" s="143"/>
      <c r="O945" s="143"/>
      <c r="P945" s="143"/>
      <c r="Q945" s="137"/>
      <c r="R945" s="137"/>
      <c r="S945" s="137"/>
      <c r="T945" s="137"/>
      <c r="U945" s="137"/>
      <c r="V945" s="137"/>
      <c r="W945" s="137"/>
      <c r="X945" s="137"/>
      <c r="Y945" s="137"/>
      <c r="Z945" s="137"/>
      <c r="AA945" s="137"/>
    </row>
    <row r="946" spans="5:27" x14ac:dyDescent="0.35">
      <c r="E946" s="137"/>
      <c r="F946" s="137"/>
      <c r="G946" s="190"/>
      <c r="H946" s="137"/>
      <c r="I946" s="137"/>
      <c r="J946" s="137"/>
      <c r="M946" s="143"/>
      <c r="N946" s="143"/>
      <c r="O946" s="143"/>
      <c r="P946" s="143"/>
      <c r="Q946" s="137"/>
      <c r="R946" s="137"/>
      <c r="S946" s="137"/>
      <c r="T946" s="137"/>
      <c r="U946" s="137"/>
      <c r="V946" s="137"/>
      <c r="W946" s="137"/>
      <c r="X946" s="137"/>
      <c r="Y946" s="137"/>
      <c r="Z946" s="137"/>
      <c r="AA946" s="137"/>
    </row>
    <row r="947" spans="5:27" x14ac:dyDescent="0.35">
      <c r="E947" s="137"/>
      <c r="F947" s="137"/>
      <c r="G947" s="190"/>
      <c r="H947" s="137"/>
      <c r="I947" s="137"/>
      <c r="J947" s="137"/>
      <c r="M947" s="143"/>
      <c r="N947" s="143"/>
      <c r="O947" s="143"/>
      <c r="P947" s="143"/>
      <c r="Q947" s="137"/>
      <c r="R947" s="137"/>
      <c r="S947" s="137"/>
      <c r="T947" s="137"/>
      <c r="U947" s="137"/>
      <c r="V947" s="137"/>
      <c r="W947" s="137"/>
      <c r="X947" s="137"/>
      <c r="Y947" s="137"/>
      <c r="Z947" s="137"/>
      <c r="AA947" s="137"/>
    </row>
    <row r="948" spans="5:27" x14ac:dyDescent="0.35">
      <c r="E948" s="137"/>
      <c r="F948" s="137"/>
      <c r="G948" s="190"/>
      <c r="H948" s="137"/>
      <c r="I948" s="137"/>
      <c r="J948" s="137"/>
      <c r="M948" s="143"/>
      <c r="N948" s="143"/>
      <c r="O948" s="143"/>
      <c r="P948" s="143"/>
      <c r="Q948" s="137"/>
      <c r="R948" s="137"/>
      <c r="S948" s="137"/>
      <c r="T948" s="137"/>
      <c r="U948" s="137"/>
      <c r="V948" s="137"/>
      <c r="W948" s="137"/>
      <c r="X948" s="137"/>
      <c r="Y948" s="137"/>
      <c r="Z948" s="137"/>
      <c r="AA948" s="137"/>
    </row>
    <row r="949" spans="5:27" x14ac:dyDescent="0.35">
      <c r="E949" s="137"/>
      <c r="F949" s="137"/>
      <c r="G949" s="190"/>
      <c r="H949" s="137"/>
      <c r="I949" s="137"/>
      <c r="J949" s="137"/>
      <c r="M949" s="143"/>
      <c r="N949" s="143"/>
      <c r="O949" s="143"/>
      <c r="P949" s="143"/>
      <c r="Q949" s="137"/>
      <c r="R949" s="137"/>
      <c r="S949" s="137"/>
      <c r="T949" s="137"/>
      <c r="U949" s="137"/>
      <c r="V949" s="137"/>
      <c r="W949" s="137"/>
      <c r="X949" s="137"/>
      <c r="Y949" s="137"/>
      <c r="Z949" s="137"/>
      <c r="AA949" s="137"/>
    </row>
    <row r="950" spans="5:27" x14ac:dyDescent="0.35">
      <c r="E950" s="137"/>
      <c r="F950" s="137"/>
      <c r="G950" s="190"/>
      <c r="H950" s="137"/>
      <c r="I950" s="137"/>
      <c r="J950" s="137"/>
      <c r="M950" s="143"/>
      <c r="N950" s="143"/>
      <c r="O950" s="143"/>
      <c r="P950" s="143"/>
      <c r="Q950" s="137"/>
      <c r="R950" s="137"/>
      <c r="S950" s="137"/>
      <c r="T950" s="137"/>
      <c r="U950" s="137"/>
      <c r="V950" s="137"/>
      <c r="W950" s="137"/>
      <c r="X950" s="137"/>
      <c r="Y950" s="137"/>
      <c r="Z950" s="137"/>
      <c r="AA950" s="137"/>
    </row>
    <row r="951" spans="5:27" x14ac:dyDescent="0.35">
      <c r="E951" s="137"/>
      <c r="F951" s="137"/>
      <c r="G951" s="190"/>
      <c r="H951" s="137"/>
      <c r="I951" s="137"/>
      <c r="J951" s="137"/>
      <c r="M951" s="143"/>
      <c r="N951" s="143"/>
      <c r="O951" s="143"/>
      <c r="P951" s="143"/>
      <c r="Q951" s="137"/>
      <c r="R951" s="137"/>
      <c r="S951" s="137"/>
      <c r="T951" s="137"/>
      <c r="U951" s="137"/>
      <c r="V951" s="137"/>
      <c r="W951" s="137"/>
      <c r="X951" s="137"/>
      <c r="Y951" s="137"/>
      <c r="Z951" s="137"/>
      <c r="AA951" s="137"/>
    </row>
    <row r="952" spans="5:27" x14ac:dyDescent="0.35">
      <c r="E952" s="137"/>
      <c r="F952" s="137"/>
      <c r="G952" s="190"/>
      <c r="H952" s="137"/>
      <c r="I952" s="137"/>
      <c r="J952" s="137"/>
      <c r="M952" s="143"/>
      <c r="N952" s="143"/>
      <c r="O952" s="143"/>
      <c r="P952" s="143"/>
      <c r="Q952" s="137"/>
      <c r="R952" s="137"/>
      <c r="S952" s="137"/>
      <c r="T952" s="137"/>
      <c r="U952" s="137"/>
      <c r="V952" s="137"/>
      <c r="W952" s="137"/>
      <c r="X952" s="137"/>
      <c r="Y952" s="137"/>
      <c r="Z952" s="137"/>
      <c r="AA952" s="137"/>
    </row>
    <row r="953" spans="5:27" x14ac:dyDescent="0.35">
      <c r="E953" s="137"/>
      <c r="F953" s="137"/>
      <c r="G953" s="190"/>
      <c r="H953" s="137"/>
      <c r="I953" s="137"/>
      <c r="J953" s="137"/>
      <c r="M953" s="143"/>
      <c r="N953" s="143"/>
      <c r="O953" s="143"/>
      <c r="P953" s="143"/>
      <c r="Q953" s="137"/>
      <c r="R953" s="137"/>
      <c r="S953" s="137"/>
      <c r="T953" s="137"/>
      <c r="U953" s="137"/>
      <c r="V953" s="137"/>
      <c r="W953" s="137"/>
      <c r="X953" s="137"/>
      <c r="Y953" s="137"/>
      <c r="Z953" s="137"/>
      <c r="AA953" s="137"/>
    </row>
    <row r="954" spans="5:27" x14ac:dyDescent="0.35">
      <c r="E954" s="137"/>
      <c r="F954" s="137"/>
      <c r="G954" s="190"/>
      <c r="H954" s="137"/>
      <c r="I954" s="137"/>
      <c r="J954" s="137"/>
      <c r="M954" s="143"/>
      <c r="N954" s="143"/>
      <c r="O954" s="143"/>
      <c r="P954" s="143"/>
      <c r="Q954" s="137"/>
      <c r="R954" s="137"/>
      <c r="S954" s="137"/>
      <c r="T954" s="137"/>
      <c r="U954" s="137"/>
      <c r="V954" s="137"/>
      <c r="W954" s="137"/>
      <c r="X954" s="137"/>
      <c r="Y954" s="137"/>
      <c r="Z954" s="137"/>
      <c r="AA954" s="137"/>
    </row>
    <row r="955" spans="5:27" x14ac:dyDescent="0.35">
      <c r="E955" s="137"/>
      <c r="F955" s="137"/>
      <c r="G955" s="190"/>
      <c r="H955" s="137"/>
      <c r="I955" s="137"/>
      <c r="J955" s="137"/>
      <c r="M955" s="143"/>
      <c r="N955" s="143"/>
      <c r="O955" s="143"/>
      <c r="P955" s="143"/>
      <c r="Q955" s="137"/>
      <c r="R955" s="137"/>
      <c r="S955" s="137"/>
      <c r="T955" s="137"/>
      <c r="U955" s="137"/>
      <c r="V955" s="137"/>
      <c r="W955" s="137"/>
      <c r="X955" s="137"/>
      <c r="Y955" s="137"/>
      <c r="Z955" s="137"/>
      <c r="AA955" s="137"/>
    </row>
    <row r="956" spans="5:27" x14ac:dyDescent="0.35">
      <c r="E956" s="137"/>
      <c r="F956" s="137"/>
      <c r="G956" s="190"/>
      <c r="H956" s="137"/>
      <c r="I956" s="137"/>
      <c r="J956" s="137"/>
      <c r="M956" s="143"/>
      <c r="N956" s="143"/>
      <c r="O956" s="143"/>
      <c r="P956" s="143"/>
      <c r="Q956" s="137"/>
      <c r="R956" s="137"/>
      <c r="S956" s="137"/>
      <c r="T956" s="137"/>
      <c r="U956" s="137"/>
      <c r="V956" s="137"/>
      <c r="W956" s="137"/>
      <c r="X956" s="137"/>
      <c r="Y956" s="137"/>
      <c r="Z956" s="137"/>
      <c r="AA956" s="137"/>
    </row>
    <row r="957" spans="5:27" x14ac:dyDescent="0.35">
      <c r="E957" s="137"/>
      <c r="F957" s="137"/>
      <c r="G957" s="190"/>
      <c r="H957" s="137"/>
      <c r="I957" s="137"/>
      <c r="J957" s="137"/>
      <c r="M957" s="143"/>
      <c r="N957" s="143"/>
      <c r="O957" s="143"/>
      <c r="P957" s="143"/>
      <c r="Q957" s="137"/>
      <c r="R957" s="137"/>
      <c r="S957" s="137"/>
      <c r="T957" s="137"/>
      <c r="U957" s="137"/>
      <c r="V957" s="137"/>
      <c r="W957" s="137"/>
      <c r="X957" s="137"/>
      <c r="Y957" s="137"/>
      <c r="Z957" s="137"/>
      <c r="AA957" s="137"/>
    </row>
    <row r="958" spans="5:27" x14ac:dyDescent="0.35">
      <c r="E958" s="137"/>
      <c r="F958" s="137"/>
      <c r="G958" s="190"/>
      <c r="H958" s="137"/>
      <c r="I958" s="137"/>
      <c r="J958" s="137"/>
      <c r="M958" s="143"/>
      <c r="N958" s="143"/>
      <c r="O958" s="143"/>
      <c r="P958" s="143"/>
      <c r="Q958" s="137"/>
      <c r="R958" s="137"/>
      <c r="S958" s="137"/>
      <c r="T958" s="137"/>
      <c r="U958" s="137"/>
      <c r="V958" s="137"/>
      <c r="W958" s="137"/>
      <c r="X958" s="137"/>
      <c r="Y958" s="137"/>
      <c r="Z958" s="137"/>
      <c r="AA958" s="137"/>
    </row>
    <row r="959" spans="5:27" x14ac:dyDescent="0.35">
      <c r="E959" s="137"/>
      <c r="F959" s="137"/>
      <c r="G959" s="190"/>
      <c r="H959" s="137"/>
      <c r="I959" s="137"/>
      <c r="J959" s="137"/>
      <c r="M959" s="143"/>
      <c r="N959" s="143"/>
      <c r="O959" s="143"/>
      <c r="P959" s="143"/>
      <c r="Q959" s="137"/>
      <c r="R959" s="137"/>
      <c r="S959" s="137"/>
      <c r="T959" s="137"/>
      <c r="U959" s="137"/>
      <c r="V959" s="137"/>
      <c r="W959" s="137"/>
      <c r="X959" s="137"/>
      <c r="Y959" s="137"/>
      <c r="Z959" s="137"/>
      <c r="AA959" s="137"/>
    </row>
    <row r="960" spans="5:27" x14ac:dyDescent="0.35">
      <c r="E960" s="137"/>
      <c r="F960" s="137"/>
      <c r="G960" s="190"/>
      <c r="H960" s="137"/>
      <c r="I960" s="137"/>
      <c r="J960" s="137"/>
      <c r="M960" s="143"/>
      <c r="N960" s="143"/>
      <c r="O960" s="143"/>
      <c r="P960" s="143"/>
      <c r="Q960" s="137"/>
      <c r="R960" s="137"/>
      <c r="S960" s="137"/>
      <c r="T960" s="137"/>
      <c r="U960" s="137"/>
      <c r="V960" s="137"/>
      <c r="W960" s="137"/>
      <c r="X960" s="137"/>
      <c r="Y960" s="137"/>
      <c r="Z960" s="137"/>
      <c r="AA960" s="137"/>
    </row>
    <row r="961" spans="5:27" x14ac:dyDescent="0.35">
      <c r="E961" s="137"/>
      <c r="F961" s="137"/>
      <c r="G961" s="190"/>
      <c r="H961" s="137"/>
      <c r="I961" s="137"/>
      <c r="J961" s="137"/>
      <c r="M961" s="143"/>
      <c r="N961" s="143"/>
      <c r="O961" s="143"/>
      <c r="P961" s="143"/>
      <c r="Q961" s="137"/>
      <c r="R961" s="137"/>
      <c r="S961" s="137"/>
      <c r="T961" s="137"/>
      <c r="U961" s="137"/>
      <c r="V961" s="137"/>
      <c r="W961" s="137"/>
      <c r="X961" s="137"/>
      <c r="Y961" s="137"/>
      <c r="Z961" s="137"/>
      <c r="AA961" s="137"/>
    </row>
    <row r="962" spans="5:27" x14ac:dyDescent="0.35">
      <c r="E962" s="137"/>
      <c r="F962" s="137"/>
      <c r="G962" s="190"/>
      <c r="H962" s="137"/>
      <c r="I962" s="137"/>
      <c r="J962" s="137"/>
      <c r="M962" s="143"/>
      <c r="N962" s="143"/>
      <c r="O962" s="143"/>
      <c r="P962" s="143"/>
      <c r="Q962" s="137"/>
      <c r="R962" s="137"/>
      <c r="S962" s="137"/>
      <c r="T962" s="137"/>
      <c r="U962" s="137"/>
      <c r="V962" s="137"/>
      <c r="W962" s="137"/>
      <c r="X962" s="137"/>
      <c r="Y962" s="137"/>
      <c r="Z962" s="137"/>
      <c r="AA962" s="137"/>
    </row>
    <row r="963" spans="5:27" x14ac:dyDescent="0.35">
      <c r="E963" s="137"/>
      <c r="F963" s="137"/>
      <c r="G963" s="190"/>
      <c r="H963" s="137"/>
      <c r="I963" s="137"/>
      <c r="J963" s="137"/>
      <c r="M963" s="143"/>
      <c r="N963" s="143"/>
      <c r="O963" s="143"/>
      <c r="P963" s="143"/>
      <c r="Q963" s="137"/>
      <c r="R963" s="137"/>
      <c r="S963" s="137"/>
      <c r="T963" s="137"/>
      <c r="U963" s="137"/>
      <c r="V963" s="137"/>
      <c r="W963" s="137"/>
      <c r="X963" s="137"/>
      <c r="Y963" s="137"/>
      <c r="Z963" s="137"/>
      <c r="AA963" s="137"/>
    </row>
    <row r="964" spans="5:27" x14ac:dyDescent="0.35">
      <c r="E964" s="137"/>
      <c r="F964" s="137"/>
      <c r="G964" s="190"/>
      <c r="H964" s="137"/>
      <c r="I964" s="137"/>
      <c r="J964" s="137"/>
      <c r="M964" s="143"/>
      <c r="N964" s="143"/>
      <c r="O964" s="143"/>
      <c r="P964" s="143"/>
      <c r="Q964" s="137"/>
      <c r="R964" s="137"/>
      <c r="S964" s="137"/>
      <c r="T964" s="137"/>
      <c r="U964" s="137"/>
      <c r="V964" s="137"/>
      <c r="W964" s="137"/>
      <c r="X964" s="137"/>
      <c r="Y964" s="137"/>
      <c r="Z964" s="137"/>
      <c r="AA964" s="137"/>
    </row>
    <row r="965" spans="5:27" x14ac:dyDescent="0.35">
      <c r="E965" s="137"/>
      <c r="F965" s="137"/>
      <c r="G965" s="190"/>
      <c r="H965" s="137"/>
      <c r="I965" s="137"/>
      <c r="J965" s="137"/>
      <c r="M965" s="143"/>
      <c r="N965" s="143"/>
      <c r="O965" s="143"/>
      <c r="P965" s="143"/>
      <c r="Q965" s="137"/>
      <c r="R965" s="137"/>
      <c r="S965" s="137"/>
      <c r="T965" s="137"/>
      <c r="U965" s="137"/>
      <c r="V965" s="137"/>
      <c r="W965" s="137"/>
      <c r="X965" s="137"/>
      <c r="Y965" s="137"/>
      <c r="Z965" s="137"/>
      <c r="AA965" s="137"/>
    </row>
    <row r="966" spans="5:27" x14ac:dyDescent="0.35">
      <c r="E966" s="137"/>
      <c r="F966" s="137"/>
      <c r="G966" s="190"/>
      <c r="H966" s="137"/>
      <c r="I966" s="137"/>
      <c r="J966" s="137"/>
      <c r="M966" s="143"/>
      <c r="N966" s="143"/>
      <c r="O966" s="143"/>
      <c r="P966" s="143"/>
      <c r="Q966" s="137"/>
      <c r="R966" s="137"/>
      <c r="S966" s="137"/>
      <c r="T966" s="137"/>
      <c r="U966" s="137"/>
      <c r="V966" s="137"/>
      <c r="W966" s="137"/>
      <c r="X966" s="137"/>
      <c r="Y966" s="137"/>
      <c r="Z966" s="137"/>
      <c r="AA966" s="137"/>
    </row>
    <row r="967" spans="5:27" x14ac:dyDescent="0.35">
      <c r="E967" s="137"/>
      <c r="F967" s="137"/>
      <c r="G967" s="190"/>
      <c r="H967" s="137"/>
      <c r="I967" s="137"/>
      <c r="J967" s="137"/>
      <c r="M967" s="143"/>
      <c r="N967" s="143"/>
      <c r="O967" s="143"/>
      <c r="P967" s="143"/>
      <c r="Q967" s="137"/>
      <c r="R967" s="137"/>
      <c r="S967" s="137"/>
      <c r="T967" s="137"/>
      <c r="U967" s="137"/>
      <c r="V967" s="137"/>
      <c r="W967" s="137"/>
      <c r="X967" s="137"/>
      <c r="Y967" s="137"/>
      <c r="Z967" s="137"/>
      <c r="AA967" s="137"/>
    </row>
    <row r="968" spans="5:27" x14ac:dyDescent="0.35">
      <c r="E968" s="137"/>
      <c r="F968" s="137"/>
      <c r="G968" s="190"/>
      <c r="H968" s="137"/>
      <c r="I968" s="137"/>
      <c r="J968" s="137"/>
      <c r="M968" s="143"/>
      <c r="N968" s="143"/>
      <c r="O968" s="143"/>
      <c r="P968" s="143"/>
      <c r="Q968" s="137"/>
      <c r="R968" s="137"/>
      <c r="S968" s="137"/>
      <c r="T968" s="137"/>
      <c r="U968" s="137"/>
      <c r="V968" s="137"/>
      <c r="W968" s="137"/>
      <c r="X968" s="137"/>
      <c r="Y968" s="137"/>
      <c r="Z968" s="137"/>
      <c r="AA968" s="137"/>
    </row>
    <row r="969" spans="5:27" x14ac:dyDescent="0.35">
      <c r="E969" s="137"/>
      <c r="F969" s="137"/>
      <c r="G969" s="190"/>
      <c r="H969" s="137"/>
      <c r="I969" s="137"/>
      <c r="J969" s="137"/>
      <c r="M969" s="143"/>
      <c r="N969" s="143"/>
      <c r="O969" s="143"/>
      <c r="P969" s="143"/>
      <c r="Q969" s="137"/>
      <c r="R969" s="137"/>
      <c r="S969" s="137"/>
      <c r="T969" s="137"/>
      <c r="U969" s="137"/>
      <c r="V969" s="137"/>
      <c r="W969" s="137"/>
      <c r="X969" s="137"/>
      <c r="Y969" s="137"/>
      <c r="Z969" s="137"/>
      <c r="AA969" s="137"/>
    </row>
    <row r="970" spans="5:27" x14ac:dyDescent="0.35">
      <c r="E970" s="137"/>
      <c r="F970" s="137"/>
      <c r="G970" s="190"/>
      <c r="H970" s="137"/>
      <c r="I970" s="137"/>
      <c r="J970" s="137"/>
      <c r="M970" s="143"/>
      <c r="N970" s="143"/>
      <c r="O970" s="143"/>
      <c r="P970" s="143"/>
      <c r="Q970" s="137"/>
      <c r="R970" s="137"/>
      <c r="S970" s="137"/>
      <c r="T970" s="137"/>
      <c r="U970" s="137"/>
      <c r="V970" s="137"/>
      <c r="W970" s="137"/>
      <c r="X970" s="137"/>
      <c r="Y970" s="137"/>
      <c r="Z970" s="137"/>
      <c r="AA970" s="137"/>
    </row>
    <row r="971" spans="5:27" x14ac:dyDescent="0.35">
      <c r="E971" s="137"/>
      <c r="F971" s="137"/>
      <c r="G971" s="190"/>
      <c r="H971" s="137"/>
      <c r="I971" s="137"/>
      <c r="J971" s="137"/>
      <c r="M971" s="143"/>
      <c r="N971" s="143"/>
      <c r="O971" s="143"/>
      <c r="P971" s="143"/>
      <c r="Q971" s="137"/>
      <c r="R971" s="137"/>
      <c r="S971" s="137"/>
      <c r="T971" s="137"/>
      <c r="U971" s="137"/>
      <c r="V971" s="137"/>
      <c r="W971" s="137"/>
      <c r="X971" s="137"/>
      <c r="Y971" s="137"/>
      <c r="Z971" s="137"/>
      <c r="AA971" s="137"/>
    </row>
    <row r="972" spans="5:27" x14ac:dyDescent="0.35">
      <c r="E972" s="137"/>
      <c r="F972" s="137"/>
      <c r="G972" s="190"/>
      <c r="H972" s="137"/>
      <c r="I972" s="137"/>
      <c r="J972" s="137"/>
      <c r="M972" s="143"/>
      <c r="N972" s="143"/>
      <c r="O972" s="143"/>
      <c r="P972" s="143"/>
      <c r="Q972" s="137"/>
      <c r="R972" s="137"/>
      <c r="S972" s="137"/>
      <c r="T972" s="137"/>
      <c r="U972" s="137"/>
      <c r="V972" s="137"/>
      <c r="W972" s="137"/>
      <c r="X972" s="137"/>
      <c r="Y972" s="137"/>
      <c r="Z972" s="137"/>
      <c r="AA972" s="137"/>
    </row>
    <row r="973" spans="5:27" x14ac:dyDescent="0.35">
      <c r="E973" s="137"/>
      <c r="F973" s="137"/>
      <c r="G973" s="190"/>
      <c r="H973" s="137"/>
      <c r="I973" s="137"/>
      <c r="J973" s="137"/>
      <c r="M973" s="143"/>
      <c r="N973" s="143"/>
      <c r="O973" s="143"/>
      <c r="P973" s="143"/>
      <c r="Q973" s="137"/>
      <c r="R973" s="137"/>
      <c r="S973" s="137"/>
      <c r="T973" s="137"/>
      <c r="U973" s="137"/>
      <c r="V973" s="137"/>
      <c r="W973" s="137"/>
      <c r="X973" s="137"/>
      <c r="Y973" s="137"/>
      <c r="Z973" s="137"/>
      <c r="AA973" s="137"/>
    </row>
    <row r="974" spans="5:27" x14ac:dyDescent="0.35">
      <c r="E974" s="137"/>
      <c r="F974" s="137"/>
      <c r="G974" s="190"/>
      <c r="H974" s="137"/>
      <c r="I974" s="137"/>
      <c r="J974" s="137"/>
      <c r="M974" s="143"/>
      <c r="N974" s="143"/>
      <c r="O974" s="143"/>
      <c r="P974" s="143"/>
      <c r="Q974" s="137"/>
      <c r="R974" s="137"/>
      <c r="S974" s="137"/>
      <c r="T974" s="137"/>
      <c r="U974" s="137"/>
      <c r="V974" s="137"/>
      <c r="W974" s="137"/>
      <c r="X974" s="137"/>
      <c r="Y974" s="137"/>
      <c r="Z974" s="137"/>
      <c r="AA974" s="137"/>
    </row>
    <row r="975" spans="5:27" x14ac:dyDescent="0.35">
      <c r="E975" s="137"/>
      <c r="F975" s="137"/>
      <c r="G975" s="190"/>
      <c r="H975" s="137"/>
      <c r="I975" s="137"/>
      <c r="J975" s="137"/>
      <c r="M975" s="143"/>
      <c r="N975" s="143"/>
      <c r="O975" s="143"/>
      <c r="P975" s="143"/>
      <c r="Q975" s="137"/>
      <c r="R975" s="137"/>
      <c r="S975" s="137"/>
      <c r="T975" s="137"/>
      <c r="U975" s="137"/>
      <c r="V975" s="137"/>
      <c r="W975" s="137"/>
      <c r="X975" s="137"/>
      <c r="Y975" s="137"/>
      <c r="Z975" s="137"/>
      <c r="AA975" s="137"/>
    </row>
    <row r="976" spans="5:27" x14ac:dyDescent="0.35">
      <c r="E976" s="137"/>
      <c r="F976" s="137"/>
      <c r="G976" s="190"/>
      <c r="H976" s="137"/>
      <c r="I976" s="137"/>
      <c r="J976" s="137"/>
      <c r="M976" s="143"/>
      <c r="N976" s="143"/>
      <c r="O976" s="143"/>
      <c r="P976" s="143"/>
      <c r="Q976" s="137"/>
      <c r="R976" s="137"/>
      <c r="S976" s="137"/>
      <c r="T976" s="137"/>
      <c r="U976" s="137"/>
      <c r="V976" s="137"/>
      <c r="W976" s="137"/>
      <c r="X976" s="137"/>
      <c r="Y976" s="137"/>
      <c r="Z976" s="137"/>
      <c r="AA976" s="137"/>
    </row>
    <row r="977" spans="5:27" x14ac:dyDescent="0.35">
      <c r="E977" s="137"/>
      <c r="F977" s="137"/>
      <c r="G977" s="190"/>
      <c r="H977" s="137"/>
      <c r="I977" s="137"/>
      <c r="J977" s="137"/>
      <c r="M977" s="143"/>
      <c r="N977" s="143"/>
      <c r="O977" s="143"/>
      <c r="P977" s="143"/>
      <c r="Q977" s="137"/>
      <c r="R977" s="137"/>
      <c r="S977" s="137"/>
      <c r="T977" s="137"/>
      <c r="U977" s="137"/>
      <c r="V977" s="137"/>
      <c r="W977" s="137"/>
      <c r="X977" s="137"/>
      <c r="Y977" s="137"/>
      <c r="Z977" s="137"/>
      <c r="AA977" s="137"/>
    </row>
    <row r="978" spans="5:27" x14ac:dyDescent="0.35">
      <c r="E978" s="137"/>
      <c r="F978" s="137"/>
      <c r="G978" s="190"/>
      <c r="H978" s="137"/>
      <c r="I978" s="137"/>
      <c r="J978" s="137"/>
      <c r="M978" s="143"/>
      <c r="N978" s="143"/>
      <c r="O978" s="143"/>
      <c r="P978" s="143"/>
      <c r="Q978" s="137"/>
      <c r="R978" s="137"/>
      <c r="S978" s="137"/>
      <c r="T978" s="137"/>
      <c r="U978" s="137"/>
      <c r="V978" s="137"/>
      <c r="W978" s="137"/>
      <c r="X978" s="137"/>
      <c r="Y978" s="137"/>
      <c r="Z978" s="137"/>
      <c r="AA978" s="137"/>
    </row>
    <row r="979" spans="5:27" x14ac:dyDescent="0.35">
      <c r="E979" s="137"/>
      <c r="F979" s="137"/>
      <c r="G979" s="190"/>
      <c r="H979" s="137"/>
      <c r="I979" s="137"/>
      <c r="J979" s="137"/>
      <c r="M979" s="143"/>
      <c r="N979" s="143"/>
      <c r="O979" s="143"/>
      <c r="P979" s="143"/>
      <c r="Q979" s="137"/>
      <c r="R979" s="137"/>
      <c r="S979" s="137"/>
      <c r="T979" s="137"/>
      <c r="U979" s="137"/>
      <c r="V979" s="137"/>
      <c r="W979" s="137"/>
      <c r="X979" s="137"/>
      <c r="Y979" s="137"/>
      <c r="Z979" s="137"/>
      <c r="AA979" s="137"/>
    </row>
    <row r="980" spans="5:27" x14ac:dyDescent="0.35">
      <c r="E980" s="137"/>
      <c r="F980" s="137"/>
      <c r="G980" s="190"/>
      <c r="H980" s="137"/>
      <c r="I980" s="137"/>
      <c r="J980" s="137"/>
      <c r="M980" s="143"/>
      <c r="N980" s="143"/>
      <c r="O980" s="143"/>
      <c r="P980" s="143"/>
      <c r="Q980" s="137"/>
      <c r="R980" s="137"/>
      <c r="S980" s="137"/>
      <c r="T980" s="137"/>
      <c r="U980" s="137"/>
      <c r="V980" s="137"/>
      <c r="W980" s="137"/>
      <c r="X980" s="137"/>
      <c r="Y980" s="137"/>
      <c r="Z980" s="137"/>
      <c r="AA980" s="137"/>
    </row>
    <row r="981" spans="5:27" x14ac:dyDescent="0.35">
      <c r="E981" s="137"/>
      <c r="F981" s="137"/>
      <c r="G981" s="190"/>
      <c r="H981" s="137"/>
      <c r="I981" s="137"/>
      <c r="J981" s="137"/>
      <c r="M981" s="143"/>
      <c r="N981" s="143"/>
      <c r="O981" s="143"/>
      <c r="P981" s="143"/>
      <c r="Q981" s="137"/>
      <c r="R981" s="137"/>
      <c r="S981" s="137"/>
      <c r="T981" s="137"/>
      <c r="U981" s="137"/>
      <c r="V981" s="137"/>
      <c r="W981" s="137"/>
      <c r="X981" s="137"/>
      <c r="Y981" s="137"/>
      <c r="Z981" s="137"/>
      <c r="AA981" s="137"/>
    </row>
    <row r="982" spans="5:27" x14ac:dyDescent="0.35">
      <c r="E982" s="137"/>
      <c r="F982" s="137"/>
      <c r="G982" s="190"/>
      <c r="H982" s="137"/>
      <c r="I982" s="137"/>
      <c r="J982" s="137"/>
      <c r="M982" s="143"/>
      <c r="N982" s="143"/>
      <c r="O982" s="143"/>
      <c r="P982" s="143"/>
      <c r="Q982" s="137"/>
      <c r="R982" s="137"/>
      <c r="S982" s="137"/>
      <c r="T982" s="137"/>
      <c r="U982" s="137"/>
      <c r="V982" s="137"/>
      <c r="W982" s="137"/>
      <c r="X982" s="137"/>
      <c r="Y982" s="137"/>
      <c r="Z982" s="137"/>
      <c r="AA982" s="137"/>
    </row>
    <row r="983" spans="5:27" x14ac:dyDescent="0.35">
      <c r="E983" s="137"/>
      <c r="F983" s="137"/>
      <c r="G983" s="190"/>
      <c r="H983" s="137"/>
      <c r="I983" s="137"/>
      <c r="J983" s="137"/>
      <c r="M983" s="143"/>
      <c r="N983" s="143"/>
      <c r="O983" s="143"/>
      <c r="P983" s="143"/>
      <c r="Q983" s="137"/>
      <c r="R983" s="137"/>
      <c r="S983" s="137"/>
      <c r="T983" s="137"/>
      <c r="U983" s="137"/>
      <c r="V983" s="137"/>
      <c r="W983" s="137"/>
      <c r="X983" s="137"/>
      <c r="Y983" s="137"/>
      <c r="Z983" s="137"/>
      <c r="AA983" s="137"/>
    </row>
    <row r="984" spans="5:27" x14ac:dyDescent="0.35">
      <c r="E984" s="137"/>
      <c r="F984" s="137"/>
      <c r="G984" s="190"/>
      <c r="H984" s="137"/>
      <c r="I984" s="137"/>
      <c r="J984" s="137"/>
      <c r="M984" s="143"/>
      <c r="N984" s="143"/>
      <c r="O984" s="143"/>
      <c r="P984" s="143"/>
      <c r="Q984" s="137"/>
      <c r="R984" s="137"/>
      <c r="S984" s="137"/>
      <c r="T984" s="137"/>
      <c r="U984" s="137"/>
      <c r="V984" s="137"/>
      <c r="W984" s="137"/>
      <c r="X984" s="137"/>
      <c r="Y984" s="137"/>
      <c r="Z984" s="137"/>
      <c r="AA984" s="137"/>
    </row>
    <row r="985" spans="5:27" x14ac:dyDescent="0.35">
      <c r="E985" s="137"/>
      <c r="F985" s="137"/>
      <c r="G985" s="190"/>
      <c r="H985" s="137"/>
      <c r="I985" s="137"/>
      <c r="J985" s="137"/>
      <c r="M985" s="143"/>
      <c r="N985" s="143"/>
      <c r="O985" s="143"/>
      <c r="P985" s="143"/>
      <c r="Q985" s="137"/>
      <c r="R985" s="137"/>
      <c r="S985" s="137"/>
      <c r="T985" s="137"/>
      <c r="U985" s="137"/>
      <c r="V985" s="137"/>
      <c r="W985" s="137"/>
      <c r="X985" s="137"/>
      <c r="Y985" s="137"/>
      <c r="Z985" s="137"/>
      <c r="AA985" s="137"/>
    </row>
    <row r="986" spans="5:27" x14ac:dyDescent="0.35">
      <c r="E986" s="137"/>
      <c r="F986" s="137"/>
      <c r="G986" s="190"/>
      <c r="H986" s="137"/>
      <c r="I986" s="137"/>
      <c r="J986" s="137"/>
      <c r="M986" s="143"/>
      <c r="N986" s="143"/>
      <c r="O986" s="143"/>
      <c r="P986" s="143"/>
      <c r="Q986" s="137"/>
      <c r="R986" s="137"/>
      <c r="S986" s="137"/>
      <c r="T986" s="137"/>
      <c r="U986" s="137"/>
      <c r="V986" s="137"/>
      <c r="W986" s="137"/>
      <c r="X986" s="137"/>
      <c r="Y986" s="137"/>
      <c r="Z986" s="137"/>
      <c r="AA986" s="137"/>
    </row>
    <row r="987" spans="5:27" x14ac:dyDescent="0.35">
      <c r="E987" s="137"/>
      <c r="F987" s="137"/>
      <c r="G987" s="190"/>
      <c r="H987" s="137"/>
      <c r="I987" s="137"/>
      <c r="J987" s="137"/>
      <c r="M987" s="143"/>
      <c r="N987" s="143"/>
      <c r="O987" s="143"/>
      <c r="P987" s="143"/>
      <c r="Q987" s="137"/>
      <c r="R987" s="137"/>
      <c r="S987" s="137"/>
      <c r="T987" s="137"/>
      <c r="U987" s="137"/>
      <c r="V987" s="137"/>
      <c r="W987" s="137"/>
      <c r="X987" s="137"/>
      <c r="Y987" s="137"/>
      <c r="Z987" s="137"/>
      <c r="AA987" s="137"/>
    </row>
    <row r="988" spans="5:27" x14ac:dyDescent="0.35">
      <c r="E988" s="137"/>
      <c r="F988" s="137"/>
      <c r="G988" s="190"/>
      <c r="H988" s="137"/>
      <c r="I988" s="137"/>
      <c r="J988" s="137"/>
      <c r="M988" s="143"/>
      <c r="N988" s="143"/>
      <c r="O988" s="143"/>
      <c r="P988" s="143"/>
      <c r="Q988" s="137"/>
      <c r="R988" s="137"/>
      <c r="S988" s="137"/>
      <c r="T988" s="137"/>
      <c r="U988" s="137"/>
      <c r="V988" s="137"/>
      <c r="W988" s="137"/>
      <c r="X988" s="137"/>
      <c r="Y988" s="137"/>
      <c r="Z988" s="137"/>
      <c r="AA988" s="137"/>
    </row>
    <row r="989" spans="5:27" x14ac:dyDescent="0.35">
      <c r="E989" s="137"/>
      <c r="F989" s="137"/>
      <c r="G989" s="190"/>
      <c r="H989" s="137"/>
      <c r="I989" s="137"/>
      <c r="J989" s="137"/>
      <c r="M989" s="143"/>
      <c r="N989" s="143"/>
      <c r="O989" s="143"/>
      <c r="P989" s="143"/>
      <c r="Q989" s="137"/>
      <c r="R989" s="137"/>
      <c r="S989" s="137"/>
      <c r="T989" s="137"/>
      <c r="U989" s="137"/>
      <c r="V989" s="137"/>
      <c r="W989" s="137"/>
      <c r="X989" s="137"/>
      <c r="Y989" s="137"/>
      <c r="Z989" s="137"/>
      <c r="AA989" s="137"/>
    </row>
    <row r="990" spans="5:27" x14ac:dyDescent="0.35">
      <c r="E990" s="137"/>
      <c r="F990" s="137"/>
      <c r="G990" s="190"/>
      <c r="H990" s="137"/>
      <c r="I990" s="137"/>
      <c r="J990" s="137"/>
      <c r="M990" s="143"/>
      <c r="N990" s="143"/>
      <c r="O990" s="143"/>
      <c r="P990" s="143"/>
      <c r="Q990" s="137"/>
      <c r="R990" s="137"/>
      <c r="S990" s="137"/>
      <c r="T990" s="137"/>
      <c r="U990" s="137"/>
      <c r="V990" s="137"/>
      <c r="W990" s="137"/>
      <c r="X990" s="137"/>
      <c r="Y990" s="137"/>
      <c r="Z990" s="137"/>
      <c r="AA990" s="137"/>
    </row>
    <row r="991" spans="5:27" x14ac:dyDescent="0.35">
      <c r="E991" s="137"/>
      <c r="F991" s="137"/>
      <c r="G991" s="190"/>
      <c r="H991" s="137"/>
      <c r="I991" s="137"/>
      <c r="J991" s="137"/>
      <c r="M991" s="143"/>
      <c r="N991" s="143"/>
      <c r="O991" s="143"/>
      <c r="P991" s="143"/>
      <c r="Q991" s="137"/>
      <c r="R991" s="137"/>
      <c r="S991" s="137"/>
      <c r="T991" s="137"/>
      <c r="U991" s="137"/>
      <c r="V991" s="137"/>
      <c r="W991" s="137"/>
      <c r="X991" s="137"/>
      <c r="Y991" s="137"/>
      <c r="Z991" s="137"/>
      <c r="AA991" s="137"/>
    </row>
    <row r="992" spans="5:27" x14ac:dyDescent="0.35">
      <c r="E992" s="137"/>
      <c r="F992" s="137"/>
      <c r="G992" s="190"/>
      <c r="H992" s="137"/>
      <c r="I992" s="137"/>
      <c r="J992" s="137"/>
      <c r="M992" s="143"/>
      <c r="N992" s="143"/>
      <c r="O992" s="143"/>
      <c r="P992" s="143"/>
      <c r="Q992" s="137"/>
      <c r="R992" s="137"/>
      <c r="S992" s="137"/>
      <c r="T992" s="137"/>
      <c r="U992" s="137"/>
      <c r="V992" s="137"/>
      <c r="W992" s="137"/>
      <c r="X992" s="137"/>
      <c r="Y992" s="137"/>
      <c r="Z992" s="137"/>
      <c r="AA992" s="137"/>
    </row>
    <row r="993" spans="5:27" x14ac:dyDescent="0.35">
      <c r="E993" s="137"/>
      <c r="F993" s="137"/>
      <c r="G993" s="190"/>
      <c r="H993" s="137"/>
      <c r="I993" s="137"/>
      <c r="J993" s="137"/>
      <c r="M993" s="143"/>
      <c r="N993" s="143"/>
      <c r="O993" s="143"/>
      <c r="P993" s="143"/>
      <c r="Q993" s="137"/>
      <c r="R993" s="137"/>
      <c r="S993" s="137"/>
      <c r="T993" s="137"/>
      <c r="U993" s="137"/>
      <c r="V993" s="137"/>
      <c r="W993" s="137"/>
      <c r="X993" s="137"/>
      <c r="Y993" s="137"/>
      <c r="Z993" s="137"/>
      <c r="AA993" s="137"/>
    </row>
    <row r="994" spans="5:27" x14ac:dyDescent="0.35">
      <c r="E994" s="137"/>
      <c r="F994" s="137"/>
      <c r="G994" s="190"/>
      <c r="H994" s="137"/>
      <c r="I994" s="137"/>
      <c r="J994" s="137"/>
      <c r="M994" s="143"/>
      <c r="N994" s="143"/>
      <c r="O994" s="143"/>
      <c r="P994" s="143"/>
      <c r="Q994" s="137"/>
      <c r="R994" s="137"/>
      <c r="S994" s="137"/>
      <c r="T994" s="137"/>
      <c r="U994" s="137"/>
      <c r="V994" s="137"/>
      <c r="W994" s="137"/>
      <c r="X994" s="137"/>
      <c r="Y994" s="137"/>
      <c r="Z994" s="137"/>
      <c r="AA994" s="137"/>
    </row>
    <row r="995" spans="5:27" x14ac:dyDescent="0.35">
      <c r="E995" s="137"/>
      <c r="F995" s="137"/>
      <c r="G995" s="190"/>
      <c r="H995" s="137"/>
      <c r="I995" s="137"/>
      <c r="J995" s="137"/>
      <c r="M995" s="143"/>
      <c r="N995" s="143"/>
      <c r="O995" s="143"/>
      <c r="P995" s="143"/>
      <c r="Q995" s="137"/>
      <c r="R995" s="137"/>
      <c r="S995" s="137"/>
      <c r="T995" s="137"/>
      <c r="U995" s="137"/>
      <c r="V995" s="137"/>
      <c r="W995" s="137"/>
      <c r="X995" s="137"/>
      <c r="Y995" s="137"/>
      <c r="Z995" s="137"/>
      <c r="AA995" s="137"/>
    </row>
    <row r="996" spans="5:27" x14ac:dyDescent="0.35">
      <c r="E996" s="137"/>
      <c r="F996" s="137"/>
      <c r="G996" s="190"/>
      <c r="H996" s="137"/>
      <c r="I996" s="137"/>
      <c r="J996" s="137"/>
      <c r="M996" s="143"/>
      <c r="N996" s="143"/>
      <c r="O996" s="143"/>
      <c r="P996" s="143"/>
      <c r="Q996" s="137"/>
      <c r="R996" s="137"/>
      <c r="S996" s="137"/>
      <c r="T996" s="137"/>
      <c r="U996" s="137"/>
      <c r="V996" s="137"/>
      <c r="W996" s="137"/>
      <c r="X996" s="137"/>
      <c r="Y996" s="137"/>
      <c r="Z996" s="137"/>
      <c r="AA996" s="137"/>
    </row>
    <row r="997" spans="5:27" x14ac:dyDescent="0.35">
      <c r="E997" s="137"/>
      <c r="F997" s="137"/>
      <c r="G997" s="190"/>
      <c r="H997" s="137"/>
      <c r="I997" s="137"/>
      <c r="J997" s="137"/>
      <c r="M997" s="143"/>
      <c r="N997" s="143"/>
      <c r="O997" s="143"/>
      <c r="P997" s="143"/>
      <c r="Q997" s="137"/>
      <c r="R997" s="137"/>
      <c r="S997" s="137"/>
      <c r="T997" s="137"/>
      <c r="U997" s="137"/>
      <c r="V997" s="137"/>
      <c r="W997" s="137"/>
      <c r="X997" s="137"/>
      <c r="Y997" s="137"/>
      <c r="Z997" s="137"/>
      <c r="AA997" s="137"/>
    </row>
    <row r="998" spans="5:27" x14ac:dyDescent="0.35">
      <c r="E998" s="137"/>
      <c r="F998" s="137"/>
      <c r="G998" s="190"/>
      <c r="H998" s="137"/>
      <c r="I998" s="137"/>
      <c r="J998" s="137"/>
      <c r="M998" s="143"/>
      <c r="N998" s="143"/>
      <c r="O998" s="143"/>
      <c r="P998" s="143"/>
      <c r="Q998" s="137"/>
      <c r="R998" s="137"/>
      <c r="S998" s="137"/>
      <c r="T998" s="137"/>
      <c r="U998" s="137"/>
      <c r="V998" s="137"/>
      <c r="W998" s="137"/>
      <c r="X998" s="137"/>
      <c r="Y998" s="137"/>
      <c r="Z998" s="137"/>
      <c r="AA998" s="137"/>
    </row>
    <row r="999" spans="5:27" x14ac:dyDescent="0.35">
      <c r="E999" s="137"/>
      <c r="F999" s="137"/>
      <c r="G999" s="190"/>
      <c r="H999" s="137"/>
      <c r="I999" s="137"/>
      <c r="J999" s="137"/>
      <c r="M999" s="143"/>
      <c r="N999" s="143"/>
      <c r="O999" s="143"/>
      <c r="P999" s="143"/>
      <c r="Q999" s="137"/>
      <c r="R999" s="137"/>
      <c r="S999" s="137"/>
      <c r="T999" s="137"/>
      <c r="U999" s="137"/>
      <c r="V999" s="137"/>
      <c r="W999" s="137"/>
      <c r="X999" s="137"/>
      <c r="Y999" s="137"/>
      <c r="Z999" s="137"/>
      <c r="AA999" s="137"/>
    </row>
    <row r="1000" spans="5:27" x14ac:dyDescent="0.35">
      <c r="E1000" s="137"/>
      <c r="F1000" s="137"/>
      <c r="G1000" s="190"/>
      <c r="H1000" s="137"/>
      <c r="I1000" s="137"/>
      <c r="J1000" s="137"/>
      <c r="M1000" s="143"/>
      <c r="N1000" s="143"/>
      <c r="O1000" s="143"/>
      <c r="P1000" s="143"/>
      <c r="Q1000" s="137"/>
      <c r="R1000" s="137"/>
      <c r="S1000" s="137"/>
      <c r="T1000" s="137"/>
      <c r="U1000" s="137"/>
      <c r="V1000" s="137"/>
      <c r="W1000" s="137"/>
      <c r="X1000" s="137"/>
      <c r="Y1000" s="137"/>
      <c r="Z1000" s="137"/>
      <c r="AA1000" s="137"/>
    </row>
    <row r="1001" spans="5:27" x14ac:dyDescent="0.35">
      <c r="E1001" s="137"/>
      <c r="F1001" s="137"/>
      <c r="G1001" s="190"/>
      <c r="H1001" s="137"/>
      <c r="I1001" s="137"/>
      <c r="J1001" s="137"/>
      <c r="M1001" s="143"/>
      <c r="N1001" s="143"/>
      <c r="O1001" s="143"/>
      <c r="P1001" s="143"/>
      <c r="Q1001" s="137"/>
      <c r="R1001" s="137"/>
      <c r="S1001" s="137"/>
      <c r="T1001" s="137"/>
      <c r="U1001" s="137"/>
      <c r="V1001" s="137"/>
      <c r="W1001" s="137"/>
      <c r="X1001" s="137"/>
      <c r="Y1001" s="137"/>
      <c r="Z1001" s="137"/>
      <c r="AA1001" s="137"/>
    </row>
    <row r="1002" spans="5:27" x14ac:dyDescent="0.35">
      <c r="E1002" s="137"/>
      <c r="F1002" s="137"/>
      <c r="G1002" s="190"/>
      <c r="H1002" s="137"/>
      <c r="I1002" s="137"/>
      <c r="J1002" s="137"/>
      <c r="M1002" s="143"/>
      <c r="N1002" s="143"/>
      <c r="O1002" s="143"/>
      <c r="P1002" s="143"/>
      <c r="Q1002" s="137"/>
      <c r="R1002" s="137"/>
      <c r="S1002" s="137"/>
      <c r="T1002" s="137"/>
      <c r="U1002" s="137"/>
      <c r="V1002" s="137"/>
      <c r="W1002" s="137"/>
      <c r="X1002" s="137"/>
      <c r="Y1002" s="137"/>
      <c r="Z1002" s="137"/>
      <c r="AA1002" s="137"/>
    </row>
    <row r="1003" spans="5:27" x14ac:dyDescent="0.35">
      <c r="E1003" s="137"/>
      <c r="F1003" s="137"/>
      <c r="G1003" s="190"/>
      <c r="H1003" s="137"/>
      <c r="I1003" s="137"/>
      <c r="J1003" s="137"/>
      <c r="M1003" s="143"/>
      <c r="N1003" s="143"/>
      <c r="O1003" s="143"/>
      <c r="P1003" s="143"/>
      <c r="Q1003" s="137"/>
      <c r="R1003" s="137"/>
      <c r="S1003" s="137"/>
      <c r="T1003" s="137"/>
      <c r="U1003" s="137"/>
      <c r="V1003" s="137"/>
      <c r="W1003" s="137"/>
      <c r="X1003" s="137"/>
      <c r="Y1003" s="137"/>
      <c r="Z1003" s="137"/>
      <c r="AA1003" s="137"/>
    </row>
    <row r="1004" spans="5:27" x14ac:dyDescent="0.35">
      <c r="E1004" s="137"/>
      <c r="F1004" s="137"/>
      <c r="G1004" s="190"/>
      <c r="H1004" s="137"/>
      <c r="I1004" s="137"/>
      <c r="J1004" s="137"/>
      <c r="M1004" s="143"/>
      <c r="N1004" s="143"/>
      <c r="O1004" s="143"/>
      <c r="P1004" s="143"/>
      <c r="Q1004" s="137"/>
      <c r="R1004" s="137"/>
      <c r="S1004" s="137"/>
      <c r="T1004" s="137"/>
      <c r="U1004" s="137"/>
      <c r="V1004" s="137"/>
      <c r="W1004" s="137"/>
      <c r="X1004" s="137"/>
      <c r="Y1004" s="137"/>
      <c r="Z1004" s="137"/>
      <c r="AA1004" s="137"/>
    </row>
    <row r="1005" spans="5:27" x14ac:dyDescent="0.35">
      <c r="E1005" s="137"/>
      <c r="F1005" s="137"/>
      <c r="G1005" s="190"/>
      <c r="H1005" s="137"/>
      <c r="I1005" s="137"/>
      <c r="J1005" s="137"/>
      <c r="M1005" s="143"/>
      <c r="N1005" s="143"/>
      <c r="O1005" s="143"/>
      <c r="P1005" s="143"/>
      <c r="Q1005" s="137"/>
      <c r="R1005" s="137"/>
      <c r="S1005" s="137"/>
      <c r="T1005" s="137"/>
      <c r="U1005" s="137"/>
      <c r="V1005" s="137"/>
      <c r="W1005" s="137"/>
      <c r="X1005" s="137"/>
      <c r="Y1005" s="137"/>
      <c r="Z1005" s="137"/>
      <c r="AA1005" s="137"/>
    </row>
    <row r="1006" spans="5:27" x14ac:dyDescent="0.35">
      <c r="E1006" s="137"/>
      <c r="F1006" s="137"/>
      <c r="G1006" s="190"/>
      <c r="H1006" s="137"/>
      <c r="I1006" s="137"/>
      <c r="J1006" s="137"/>
      <c r="M1006" s="143"/>
      <c r="N1006" s="143"/>
      <c r="O1006" s="143"/>
      <c r="P1006" s="143"/>
      <c r="Q1006" s="137"/>
      <c r="R1006" s="137"/>
      <c r="S1006" s="137"/>
      <c r="T1006" s="137"/>
      <c r="U1006" s="137"/>
      <c r="V1006" s="137"/>
      <c r="W1006" s="137"/>
      <c r="X1006" s="137"/>
      <c r="Y1006" s="137"/>
      <c r="Z1006" s="137"/>
      <c r="AA1006" s="137"/>
    </row>
    <row r="1007" spans="5:27" x14ac:dyDescent="0.35">
      <c r="E1007" s="137"/>
      <c r="F1007" s="137"/>
      <c r="G1007" s="190"/>
      <c r="H1007" s="137"/>
      <c r="I1007" s="137"/>
      <c r="J1007" s="137"/>
      <c r="M1007" s="143"/>
      <c r="N1007" s="143"/>
      <c r="O1007" s="143"/>
      <c r="P1007" s="143"/>
      <c r="Q1007" s="137"/>
      <c r="R1007" s="137"/>
      <c r="S1007" s="137"/>
      <c r="T1007" s="137"/>
      <c r="U1007" s="137"/>
      <c r="V1007" s="137"/>
      <c r="W1007" s="137"/>
      <c r="X1007" s="137"/>
      <c r="Y1007" s="137"/>
      <c r="Z1007" s="137"/>
      <c r="AA1007" s="137"/>
    </row>
    <row r="1008" spans="5:27" x14ac:dyDescent="0.35">
      <c r="E1008" s="137"/>
      <c r="F1008" s="137"/>
      <c r="G1008" s="190"/>
      <c r="H1008" s="137"/>
      <c r="I1008" s="137"/>
      <c r="J1008" s="137"/>
      <c r="M1008" s="143"/>
      <c r="N1008" s="143"/>
      <c r="O1008" s="143"/>
      <c r="P1008" s="143"/>
      <c r="Q1008" s="137"/>
      <c r="R1008" s="137"/>
      <c r="S1008" s="137"/>
      <c r="T1008" s="137"/>
      <c r="U1008" s="137"/>
      <c r="V1008" s="137"/>
      <c r="W1008" s="137"/>
      <c r="X1008" s="137"/>
      <c r="Y1008" s="137"/>
      <c r="Z1008" s="137"/>
      <c r="AA1008" s="137"/>
    </row>
    <row r="1009" spans="5:27" x14ac:dyDescent="0.35">
      <c r="E1009" s="137"/>
      <c r="F1009" s="137"/>
      <c r="G1009" s="190"/>
      <c r="H1009" s="137"/>
      <c r="I1009" s="137"/>
      <c r="J1009" s="137"/>
      <c r="M1009" s="143"/>
      <c r="N1009" s="143"/>
      <c r="O1009" s="143"/>
      <c r="P1009" s="143"/>
      <c r="Q1009" s="137"/>
      <c r="R1009" s="137"/>
      <c r="S1009" s="137"/>
      <c r="T1009" s="137"/>
      <c r="U1009" s="137"/>
      <c r="V1009" s="137"/>
      <c r="W1009" s="137"/>
      <c r="X1009" s="137"/>
      <c r="Y1009" s="137"/>
      <c r="Z1009" s="137"/>
      <c r="AA1009" s="137"/>
    </row>
    <row r="1010" spans="5:27" x14ac:dyDescent="0.35">
      <c r="E1010" s="137"/>
      <c r="F1010" s="137"/>
      <c r="G1010" s="190"/>
      <c r="H1010" s="137"/>
      <c r="I1010" s="137"/>
      <c r="J1010" s="137"/>
      <c r="M1010" s="143"/>
      <c r="N1010" s="143"/>
      <c r="O1010" s="143"/>
      <c r="P1010" s="143"/>
      <c r="Q1010" s="137"/>
      <c r="R1010" s="137"/>
      <c r="S1010" s="137"/>
      <c r="T1010" s="137"/>
      <c r="U1010" s="137"/>
      <c r="V1010" s="137"/>
      <c r="W1010" s="137"/>
      <c r="X1010" s="137"/>
      <c r="Y1010" s="137"/>
      <c r="Z1010" s="137"/>
      <c r="AA1010" s="137"/>
    </row>
    <row r="1011" spans="5:27" x14ac:dyDescent="0.35">
      <c r="E1011" s="137"/>
      <c r="F1011" s="137"/>
      <c r="G1011" s="190"/>
      <c r="H1011" s="137"/>
      <c r="I1011" s="137"/>
      <c r="J1011" s="137"/>
      <c r="M1011" s="143"/>
      <c r="N1011" s="143"/>
      <c r="O1011" s="143"/>
      <c r="P1011" s="143"/>
      <c r="Q1011" s="137"/>
      <c r="R1011" s="137"/>
      <c r="S1011" s="137"/>
      <c r="T1011" s="137"/>
      <c r="U1011" s="137"/>
      <c r="V1011" s="137"/>
      <c r="W1011" s="137"/>
      <c r="X1011" s="137"/>
      <c r="Y1011" s="137"/>
      <c r="Z1011" s="137"/>
      <c r="AA1011" s="137"/>
    </row>
    <row r="1012" spans="5:27" x14ac:dyDescent="0.35">
      <c r="E1012" s="137"/>
      <c r="F1012" s="137"/>
      <c r="G1012" s="190"/>
      <c r="H1012" s="137"/>
      <c r="I1012" s="137"/>
      <c r="J1012" s="137"/>
      <c r="M1012" s="143"/>
      <c r="N1012" s="143"/>
      <c r="O1012" s="143"/>
      <c r="P1012" s="143"/>
      <c r="Q1012" s="137"/>
      <c r="R1012" s="137"/>
      <c r="S1012" s="137"/>
      <c r="T1012" s="137"/>
      <c r="U1012" s="137"/>
      <c r="V1012" s="137"/>
      <c r="W1012" s="137"/>
      <c r="X1012" s="137"/>
      <c r="Y1012" s="137"/>
      <c r="Z1012" s="137"/>
      <c r="AA1012" s="137"/>
    </row>
    <row r="1013" spans="5:27" x14ac:dyDescent="0.35">
      <c r="E1013" s="137"/>
      <c r="F1013" s="137"/>
      <c r="G1013" s="190"/>
      <c r="H1013" s="137"/>
      <c r="I1013" s="137"/>
      <c r="J1013" s="137"/>
      <c r="M1013" s="143"/>
      <c r="N1013" s="143"/>
      <c r="O1013" s="143"/>
      <c r="P1013" s="143"/>
      <c r="Q1013" s="137"/>
      <c r="R1013" s="137"/>
      <c r="S1013" s="137"/>
      <c r="T1013" s="137"/>
      <c r="U1013" s="137"/>
      <c r="V1013" s="137"/>
      <c r="W1013" s="137"/>
      <c r="X1013" s="137"/>
      <c r="Y1013" s="137"/>
      <c r="Z1013" s="137"/>
      <c r="AA1013" s="137"/>
    </row>
    <row r="1014" spans="5:27" x14ac:dyDescent="0.35">
      <c r="E1014" s="137"/>
      <c r="F1014" s="137"/>
      <c r="G1014" s="190"/>
      <c r="H1014" s="137"/>
      <c r="I1014" s="137"/>
      <c r="J1014" s="137"/>
      <c r="M1014" s="143"/>
      <c r="N1014" s="143"/>
      <c r="O1014" s="143"/>
      <c r="P1014" s="143"/>
      <c r="Q1014" s="137"/>
      <c r="R1014" s="137"/>
      <c r="S1014" s="137"/>
      <c r="T1014" s="137"/>
      <c r="U1014" s="137"/>
      <c r="V1014" s="137"/>
      <c r="W1014" s="137"/>
      <c r="X1014" s="137"/>
      <c r="Y1014" s="137"/>
      <c r="Z1014" s="137"/>
      <c r="AA1014" s="137"/>
    </row>
    <row r="1015" spans="5:27" x14ac:dyDescent="0.35">
      <c r="E1015" s="137"/>
      <c r="F1015" s="137"/>
      <c r="G1015" s="190"/>
      <c r="H1015" s="137"/>
      <c r="I1015" s="137"/>
      <c r="J1015" s="137"/>
      <c r="M1015" s="143"/>
      <c r="N1015" s="143"/>
      <c r="O1015" s="143"/>
      <c r="P1015" s="143"/>
      <c r="Q1015" s="137"/>
      <c r="R1015" s="137"/>
      <c r="S1015" s="137"/>
      <c r="T1015" s="137"/>
      <c r="U1015" s="137"/>
      <c r="V1015" s="137"/>
      <c r="W1015" s="137"/>
      <c r="X1015" s="137"/>
      <c r="Y1015" s="137"/>
      <c r="Z1015" s="137"/>
      <c r="AA1015" s="137"/>
    </row>
    <row r="1016" spans="5:27" x14ac:dyDescent="0.35">
      <c r="E1016" s="137"/>
      <c r="F1016" s="137"/>
      <c r="G1016" s="190"/>
      <c r="H1016" s="137"/>
      <c r="I1016" s="137"/>
      <c r="J1016" s="137"/>
      <c r="M1016" s="143"/>
      <c r="N1016" s="143"/>
      <c r="O1016" s="143"/>
      <c r="P1016" s="143"/>
      <c r="Q1016" s="137"/>
      <c r="R1016" s="137"/>
      <c r="S1016" s="137"/>
      <c r="T1016" s="137"/>
      <c r="U1016" s="137"/>
      <c r="V1016" s="137"/>
      <c r="W1016" s="137"/>
      <c r="X1016" s="137"/>
      <c r="Y1016" s="137"/>
      <c r="Z1016" s="137"/>
      <c r="AA1016" s="137"/>
    </row>
    <row r="1017" spans="5:27" x14ac:dyDescent="0.35">
      <c r="E1017" s="137"/>
      <c r="F1017" s="137"/>
      <c r="G1017" s="190"/>
      <c r="H1017" s="137"/>
      <c r="I1017" s="137"/>
      <c r="J1017" s="137"/>
      <c r="M1017" s="143"/>
      <c r="N1017" s="143"/>
      <c r="O1017" s="143"/>
      <c r="P1017" s="143"/>
      <c r="Q1017" s="137"/>
      <c r="R1017" s="137"/>
      <c r="S1017" s="137"/>
      <c r="T1017" s="137"/>
      <c r="U1017" s="137"/>
      <c r="V1017" s="137"/>
      <c r="W1017" s="137"/>
      <c r="X1017" s="137"/>
      <c r="Y1017" s="137"/>
      <c r="Z1017" s="137"/>
      <c r="AA1017" s="137"/>
    </row>
    <row r="1018" spans="5:27" x14ac:dyDescent="0.35">
      <c r="E1018" s="137"/>
      <c r="F1018" s="137"/>
      <c r="G1018" s="190"/>
      <c r="H1018" s="137"/>
      <c r="I1018" s="137"/>
      <c r="J1018" s="137"/>
      <c r="M1018" s="143"/>
      <c r="N1018" s="143"/>
      <c r="O1018" s="143"/>
      <c r="P1018" s="143"/>
      <c r="Q1018" s="137"/>
      <c r="R1018" s="137"/>
      <c r="S1018" s="137"/>
      <c r="T1018" s="137"/>
      <c r="U1018" s="137"/>
      <c r="V1018" s="137"/>
      <c r="W1018" s="137"/>
      <c r="X1018" s="137"/>
      <c r="Y1018" s="137"/>
      <c r="Z1018" s="137"/>
      <c r="AA1018" s="137"/>
    </row>
    <row r="1019" spans="5:27" x14ac:dyDescent="0.35">
      <c r="E1019" s="137"/>
      <c r="F1019" s="137"/>
      <c r="G1019" s="190"/>
      <c r="H1019" s="137"/>
      <c r="I1019" s="137"/>
      <c r="J1019" s="137"/>
      <c r="M1019" s="143"/>
      <c r="N1019" s="143"/>
      <c r="O1019" s="143"/>
      <c r="P1019" s="143"/>
      <c r="Q1019" s="137"/>
      <c r="R1019" s="137"/>
      <c r="S1019" s="137"/>
      <c r="T1019" s="137"/>
      <c r="U1019" s="137"/>
      <c r="V1019" s="137"/>
      <c r="W1019" s="137"/>
      <c r="X1019" s="137"/>
      <c r="Y1019" s="137"/>
      <c r="Z1019" s="137"/>
      <c r="AA1019" s="137"/>
    </row>
    <row r="1020" spans="5:27" x14ac:dyDescent="0.35">
      <c r="E1020" s="137"/>
      <c r="F1020" s="137"/>
      <c r="G1020" s="190"/>
      <c r="H1020" s="137"/>
      <c r="I1020" s="137"/>
      <c r="J1020" s="137"/>
      <c r="M1020" s="143"/>
      <c r="N1020" s="143"/>
      <c r="O1020" s="143"/>
      <c r="P1020" s="143"/>
      <c r="Q1020" s="137"/>
      <c r="R1020" s="137"/>
      <c r="S1020" s="137"/>
      <c r="T1020" s="137"/>
      <c r="U1020" s="137"/>
      <c r="V1020" s="137"/>
      <c r="W1020" s="137"/>
      <c r="X1020" s="137"/>
      <c r="Y1020" s="137"/>
      <c r="Z1020" s="137"/>
      <c r="AA1020" s="137"/>
    </row>
    <row r="1021" spans="5:27" x14ac:dyDescent="0.35">
      <c r="E1021" s="137"/>
      <c r="F1021" s="137"/>
      <c r="G1021" s="190"/>
      <c r="H1021" s="137"/>
      <c r="I1021" s="137"/>
      <c r="J1021" s="137"/>
      <c r="M1021" s="143"/>
      <c r="N1021" s="143"/>
      <c r="O1021" s="143"/>
      <c r="P1021" s="143"/>
      <c r="Q1021" s="137"/>
      <c r="R1021" s="137"/>
      <c r="S1021" s="137"/>
      <c r="T1021" s="137"/>
      <c r="U1021" s="137"/>
      <c r="V1021" s="137"/>
      <c r="W1021" s="137"/>
      <c r="X1021" s="137"/>
      <c r="Y1021" s="137"/>
      <c r="Z1021" s="137"/>
      <c r="AA1021" s="137"/>
    </row>
    <row r="1022" spans="5:27" x14ac:dyDescent="0.35">
      <c r="E1022" s="137"/>
      <c r="F1022" s="137"/>
      <c r="G1022" s="190"/>
      <c r="H1022" s="137"/>
      <c r="I1022" s="137"/>
      <c r="J1022" s="137"/>
      <c r="M1022" s="143"/>
      <c r="N1022" s="143"/>
      <c r="O1022" s="143"/>
      <c r="P1022" s="143"/>
      <c r="Q1022" s="137"/>
      <c r="R1022" s="137"/>
      <c r="S1022" s="137"/>
      <c r="T1022" s="137"/>
      <c r="U1022" s="137"/>
      <c r="V1022" s="137"/>
      <c r="W1022" s="137"/>
      <c r="X1022" s="137"/>
      <c r="Y1022" s="137"/>
      <c r="Z1022" s="137"/>
      <c r="AA1022" s="137"/>
    </row>
    <row r="1023" spans="5:27" x14ac:dyDescent="0.35">
      <c r="E1023" s="137"/>
      <c r="F1023" s="137"/>
      <c r="G1023" s="190"/>
      <c r="H1023" s="137"/>
      <c r="I1023" s="137"/>
      <c r="J1023" s="137"/>
      <c r="M1023" s="143"/>
      <c r="N1023" s="143"/>
      <c r="O1023" s="143"/>
      <c r="P1023" s="143"/>
      <c r="Q1023" s="137"/>
      <c r="R1023" s="137"/>
      <c r="S1023" s="137"/>
      <c r="T1023" s="137"/>
      <c r="U1023" s="137"/>
      <c r="V1023" s="137"/>
      <c r="W1023" s="137"/>
      <c r="X1023" s="137"/>
      <c r="Y1023" s="137"/>
      <c r="Z1023" s="137"/>
      <c r="AA1023" s="137"/>
    </row>
    <row r="1024" spans="5:27" x14ac:dyDescent="0.35">
      <c r="E1024" s="137"/>
      <c r="F1024" s="137"/>
      <c r="G1024" s="190"/>
      <c r="H1024" s="137"/>
      <c r="I1024" s="137"/>
      <c r="J1024" s="137"/>
      <c r="M1024" s="143"/>
      <c r="N1024" s="143"/>
      <c r="O1024" s="143"/>
      <c r="P1024" s="143"/>
      <c r="Q1024" s="137"/>
      <c r="R1024" s="137"/>
      <c r="S1024" s="137"/>
      <c r="T1024" s="137"/>
      <c r="U1024" s="137"/>
      <c r="V1024" s="137"/>
      <c r="W1024" s="137"/>
      <c r="X1024" s="137"/>
      <c r="Y1024" s="137"/>
      <c r="Z1024" s="137"/>
      <c r="AA1024" s="137"/>
    </row>
    <row r="1025" spans="5:27" x14ac:dyDescent="0.35">
      <c r="E1025" s="137"/>
      <c r="F1025" s="137"/>
      <c r="G1025" s="190"/>
      <c r="H1025" s="137"/>
      <c r="I1025" s="137"/>
      <c r="J1025" s="137"/>
      <c r="M1025" s="143"/>
      <c r="N1025" s="143"/>
      <c r="O1025" s="143"/>
      <c r="P1025" s="143"/>
      <c r="Q1025" s="137"/>
      <c r="R1025" s="137"/>
      <c r="S1025" s="137"/>
      <c r="T1025" s="137"/>
      <c r="U1025" s="137"/>
      <c r="V1025" s="137"/>
      <c r="W1025" s="137"/>
      <c r="X1025" s="137"/>
      <c r="Y1025" s="137"/>
      <c r="Z1025" s="137"/>
      <c r="AA1025" s="137"/>
    </row>
    <row r="1026" spans="5:27" x14ac:dyDescent="0.35">
      <c r="E1026" s="137"/>
      <c r="F1026" s="137"/>
      <c r="G1026" s="190"/>
      <c r="H1026" s="137"/>
      <c r="I1026" s="137"/>
      <c r="J1026" s="137"/>
      <c r="M1026" s="143"/>
      <c r="N1026" s="143"/>
      <c r="O1026" s="143"/>
      <c r="P1026" s="143"/>
      <c r="Q1026" s="137"/>
      <c r="R1026" s="137"/>
      <c r="S1026" s="137"/>
      <c r="T1026" s="137"/>
      <c r="U1026" s="137"/>
      <c r="V1026" s="137"/>
      <c r="W1026" s="137"/>
      <c r="X1026" s="137"/>
      <c r="Y1026" s="137"/>
      <c r="Z1026" s="137"/>
      <c r="AA1026" s="137"/>
    </row>
    <row r="1027" spans="5:27" x14ac:dyDescent="0.35">
      <c r="E1027" s="137"/>
      <c r="F1027" s="137"/>
      <c r="G1027" s="190"/>
      <c r="H1027" s="137"/>
      <c r="I1027" s="137"/>
      <c r="J1027" s="137"/>
      <c r="M1027" s="143"/>
      <c r="N1027" s="143"/>
      <c r="O1027" s="143"/>
      <c r="P1027" s="143"/>
      <c r="Q1027" s="137"/>
      <c r="R1027" s="137"/>
      <c r="S1027" s="137"/>
      <c r="T1027" s="137"/>
      <c r="U1027" s="137"/>
      <c r="V1027" s="137"/>
      <c r="W1027" s="137"/>
      <c r="X1027" s="137"/>
      <c r="Y1027" s="137"/>
      <c r="Z1027" s="137"/>
      <c r="AA1027" s="137"/>
    </row>
    <row r="1028" spans="5:27" x14ac:dyDescent="0.35">
      <c r="E1028" s="137"/>
      <c r="F1028" s="137"/>
      <c r="G1028" s="190"/>
      <c r="H1028" s="137"/>
      <c r="I1028" s="137"/>
      <c r="J1028" s="137"/>
      <c r="M1028" s="143"/>
      <c r="N1028" s="143"/>
      <c r="O1028" s="143"/>
      <c r="P1028" s="143"/>
      <c r="Q1028" s="137"/>
      <c r="R1028" s="137"/>
      <c r="S1028" s="137"/>
      <c r="T1028" s="137"/>
      <c r="U1028" s="137"/>
      <c r="V1028" s="137"/>
      <c r="W1028" s="137"/>
      <c r="X1028" s="137"/>
      <c r="Y1028" s="137"/>
      <c r="Z1028" s="137"/>
      <c r="AA1028" s="137"/>
    </row>
    <row r="1029" spans="5:27" x14ac:dyDescent="0.35">
      <c r="E1029" s="137"/>
      <c r="F1029" s="137"/>
      <c r="G1029" s="190"/>
      <c r="H1029" s="137"/>
      <c r="I1029" s="137"/>
      <c r="J1029" s="137"/>
      <c r="M1029" s="143"/>
      <c r="N1029" s="143"/>
      <c r="O1029" s="143"/>
      <c r="P1029" s="143"/>
      <c r="Q1029" s="137"/>
      <c r="R1029" s="137"/>
      <c r="S1029" s="137"/>
      <c r="T1029" s="137"/>
      <c r="U1029" s="137"/>
      <c r="V1029" s="137"/>
      <c r="W1029" s="137"/>
      <c r="X1029" s="137"/>
      <c r="Y1029" s="137"/>
      <c r="Z1029" s="137"/>
      <c r="AA1029" s="137"/>
    </row>
    <row r="1030" spans="5:27" x14ac:dyDescent="0.35">
      <c r="E1030" s="137"/>
      <c r="F1030" s="137"/>
      <c r="G1030" s="190"/>
      <c r="H1030" s="137"/>
      <c r="I1030" s="137"/>
      <c r="J1030" s="137"/>
      <c r="M1030" s="143"/>
      <c r="N1030" s="143"/>
      <c r="O1030" s="143"/>
      <c r="P1030" s="143"/>
      <c r="Q1030" s="137"/>
      <c r="R1030" s="137"/>
      <c r="S1030" s="137"/>
      <c r="T1030" s="137"/>
      <c r="U1030" s="137"/>
      <c r="V1030" s="137"/>
      <c r="W1030" s="137"/>
      <c r="X1030" s="137"/>
      <c r="Y1030" s="137"/>
      <c r="Z1030" s="137"/>
      <c r="AA1030" s="137"/>
    </row>
    <row r="1031" spans="5:27" x14ac:dyDescent="0.35">
      <c r="E1031" s="137"/>
      <c r="F1031" s="137"/>
      <c r="G1031" s="190"/>
      <c r="H1031" s="137"/>
      <c r="I1031" s="137"/>
      <c r="J1031" s="137"/>
      <c r="M1031" s="143"/>
      <c r="N1031" s="143"/>
      <c r="O1031" s="143"/>
      <c r="P1031" s="143"/>
      <c r="Q1031" s="137"/>
      <c r="R1031" s="137"/>
      <c r="S1031" s="137"/>
      <c r="T1031" s="137"/>
      <c r="U1031" s="137"/>
      <c r="V1031" s="137"/>
      <c r="W1031" s="137"/>
      <c r="X1031" s="137"/>
      <c r="Y1031" s="137"/>
      <c r="Z1031" s="137"/>
      <c r="AA1031" s="137"/>
    </row>
    <row r="1032" spans="5:27" x14ac:dyDescent="0.35">
      <c r="E1032" s="137"/>
      <c r="F1032" s="137"/>
      <c r="G1032" s="190"/>
      <c r="H1032" s="137"/>
      <c r="I1032" s="137"/>
      <c r="J1032" s="137"/>
      <c r="M1032" s="143"/>
      <c r="N1032" s="143"/>
      <c r="O1032" s="143"/>
      <c r="P1032" s="143"/>
      <c r="Q1032" s="137"/>
      <c r="R1032" s="137"/>
      <c r="S1032" s="137"/>
      <c r="T1032" s="137"/>
      <c r="U1032" s="137"/>
      <c r="V1032" s="137"/>
      <c r="W1032" s="137"/>
      <c r="X1032" s="137"/>
      <c r="Y1032" s="137"/>
      <c r="Z1032" s="137"/>
      <c r="AA1032" s="137"/>
    </row>
    <row r="1033" spans="5:27" x14ac:dyDescent="0.35">
      <c r="E1033" s="137"/>
      <c r="F1033" s="137"/>
      <c r="G1033" s="190"/>
      <c r="H1033" s="137"/>
      <c r="I1033" s="137"/>
      <c r="J1033" s="137"/>
      <c r="M1033" s="143"/>
      <c r="N1033" s="143"/>
      <c r="O1033" s="143"/>
      <c r="P1033" s="143"/>
      <c r="Q1033" s="137"/>
      <c r="R1033" s="137"/>
      <c r="S1033" s="137"/>
      <c r="T1033" s="137"/>
      <c r="U1033" s="137"/>
      <c r="V1033" s="137"/>
      <c r="W1033" s="137"/>
      <c r="X1033" s="137"/>
      <c r="Y1033" s="137"/>
      <c r="Z1033" s="137"/>
      <c r="AA1033" s="137"/>
    </row>
    <row r="1034" spans="5:27" x14ac:dyDescent="0.35">
      <c r="E1034" s="137"/>
      <c r="F1034" s="137"/>
      <c r="G1034" s="190"/>
      <c r="H1034" s="137"/>
      <c r="I1034" s="137"/>
      <c r="J1034" s="137"/>
      <c r="M1034" s="143"/>
      <c r="N1034" s="143"/>
      <c r="O1034" s="143"/>
      <c r="P1034" s="143"/>
      <c r="Q1034" s="137"/>
      <c r="R1034" s="137"/>
      <c r="S1034" s="137"/>
      <c r="T1034" s="137"/>
      <c r="U1034" s="137"/>
      <c r="V1034" s="137"/>
      <c r="W1034" s="137"/>
      <c r="X1034" s="137"/>
      <c r="Y1034" s="137"/>
      <c r="Z1034" s="137"/>
      <c r="AA1034" s="137"/>
    </row>
    <row r="1035" spans="5:27" x14ac:dyDescent="0.35">
      <c r="E1035" s="137"/>
      <c r="F1035" s="137"/>
      <c r="G1035" s="190"/>
      <c r="H1035" s="137"/>
      <c r="I1035" s="137"/>
      <c r="J1035" s="137"/>
      <c r="M1035" s="143"/>
      <c r="N1035" s="143"/>
      <c r="O1035" s="143"/>
      <c r="P1035" s="143"/>
      <c r="Q1035" s="137"/>
      <c r="R1035" s="137"/>
      <c r="S1035" s="137"/>
      <c r="T1035" s="137"/>
      <c r="U1035" s="137"/>
      <c r="V1035" s="137"/>
      <c r="W1035" s="137"/>
      <c r="X1035" s="137"/>
      <c r="Y1035" s="137"/>
      <c r="Z1035" s="137"/>
      <c r="AA1035" s="137"/>
    </row>
    <row r="1036" spans="5:27" x14ac:dyDescent="0.35">
      <c r="E1036" s="137"/>
      <c r="F1036" s="137"/>
      <c r="G1036" s="190"/>
      <c r="H1036" s="137"/>
      <c r="I1036" s="137"/>
      <c r="J1036" s="137"/>
      <c r="M1036" s="143"/>
      <c r="N1036" s="143"/>
      <c r="O1036" s="143"/>
      <c r="P1036" s="143"/>
      <c r="Q1036" s="137"/>
      <c r="R1036" s="137"/>
      <c r="S1036" s="137"/>
      <c r="T1036" s="137"/>
      <c r="U1036" s="137"/>
      <c r="V1036" s="137"/>
      <c r="W1036" s="137"/>
      <c r="X1036" s="137"/>
      <c r="Y1036" s="137"/>
      <c r="Z1036" s="137"/>
      <c r="AA1036" s="137"/>
    </row>
    <row r="1037" spans="5:27" x14ac:dyDescent="0.35">
      <c r="E1037" s="137"/>
      <c r="F1037" s="137"/>
      <c r="G1037" s="190"/>
      <c r="H1037" s="137"/>
      <c r="I1037" s="137"/>
      <c r="J1037" s="137"/>
      <c r="M1037" s="143"/>
      <c r="N1037" s="143"/>
      <c r="O1037" s="143"/>
      <c r="P1037" s="143"/>
      <c r="Q1037" s="137"/>
      <c r="R1037" s="137"/>
      <c r="S1037" s="137"/>
      <c r="T1037" s="137"/>
      <c r="U1037" s="137"/>
      <c r="V1037" s="137"/>
      <c r="W1037" s="137"/>
      <c r="X1037" s="137"/>
      <c r="Y1037" s="137"/>
      <c r="Z1037" s="137"/>
      <c r="AA1037" s="137"/>
    </row>
    <row r="1038" spans="5:27" x14ac:dyDescent="0.35">
      <c r="E1038" s="137"/>
      <c r="F1038" s="137"/>
      <c r="G1038" s="190"/>
      <c r="H1038" s="137"/>
      <c r="I1038" s="137"/>
      <c r="J1038" s="137"/>
      <c r="M1038" s="143"/>
      <c r="N1038" s="143"/>
      <c r="O1038" s="143"/>
      <c r="P1038" s="143"/>
      <c r="Q1038" s="137"/>
      <c r="R1038" s="137"/>
      <c r="S1038" s="137"/>
      <c r="T1038" s="137"/>
      <c r="U1038" s="137"/>
      <c r="V1038" s="137"/>
      <c r="W1038" s="137"/>
      <c r="X1038" s="137"/>
      <c r="Y1038" s="137"/>
      <c r="Z1038" s="137"/>
      <c r="AA1038" s="137"/>
    </row>
    <row r="1039" spans="5:27" x14ac:dyDescent="0.35">
      <c r="E1039" s="137"/>
      <c r="F1039" s="137"/>
      <c r="G1039" s="190"/>
      <c r="H1039" s="137"/>
      <c r="I1039" s="137"/>
      <c r="J1039" s="137"/>
      <c r="M1039" s="143"/>
      <c r="N1039" s="143"/>
      <c r="O1039" s="143"/>
      <c r="P1039" s="143"/>
      <c r="Q1039" s="137"/>
      <c r="R1039" s="137"/>
      <c r="S1039" s="137"/>
      <c r="T1039" s="137"/>
      <c r="U1039" s="137"/>
      <c r="V1039" s="137"/>
      <c r="W1039" s="137"/>
      <c r="X1039" s="137"/>
      <c r="Y1039" s="137"/>
      <c r="Z1039" s="137"/>
      <c r="AA1039" s="137"/>
    </row>
    <row r="1040" spans="5:27" x14ac:dyDescent="0.35">
      <c r="E1040" s="137"/>
      <c r="F1040" s="137"/>
      <c r="G1040" s="190"/>
      <c r="H1040" s="137"/>
      <c r="I1040" s="137"/>
      <c r="J1040" s="137"/>
      <c r="M1040" s="143"/>
      <c r="N1040" s="143"/>
      <c r="O1040" s="143"/>
      <c r="P1040" s="143"/>
      <c r="Q1040" s="137"/>
      <c r="R1040" s="137"/>
      <c r="S1040" s="137"/>
      <c r="T1040" s="137"/>
      <c r="U1040" s="137"/>
      <c r="V1040" s="137"/>
      <c r="W1040" s="137"/>
      <c r="X1040" s="137"/>
      <c r="Y1040" s="137"/>
      <c r="Z1040" s="137"/>
      <c r="AA1040" s="137"/>
    </row>
    <row r="1041" spans="5:27" x14ac:dyDescent="0.35">
      <c r="E1041" s="137"/>
      <c r="F1041" s="137"/>
      <c r="G1041" s="190"/>
      <c r="H1041" s="137"/>
      <c r="I1041" s="137"/>
      <c r="J1041" s="137"/>
      <c r="M1041" s="143"/>
      <c r="N1041" s="143"/>
      <c r="O1041" s="143"/>
      <c r="P1041" s="143"/>
      <c r="Q1041" s="137"/>
      <c r="R1041" s="137"/>
      <c r="S1041" s="137"/>
      <c r="T1041" s="137"/>
      <c r="U1041" s="137"/>
      <c r="V1041" s="137"/>
      <c r="W1041" s="137"/>
      <c r="X1041" s="137"/>
      <c r="Y1041" s="137"/>
      <c r="Z1041" s="137"/>
      <c r="AA1041" s="137"/>
    </row>
    <row r="1042" spans="5:27" x14ac:dyDescent="0.35">
      <c r="E1042" s="137"/>
      <c r="F1042" s="137"/>
      <c r="G1042" s="190"/>
      <c r="H1042" s="137"/>
      <c r="I1042" s="137"/>
      <c r="J1042" s="137"/>
      <c r="M1042" s="143"/>
      <c r="N1042" s="143"/>
      <c r="O1042" s="143"/>
      <c r="P1042" s="143"/>
      <c r="Q1042" s="137"/>
      <c r="R1042" s="137"/>
      <c r="S1042" s="137"/>
      <c r="T1042" s="137"/>
      <c r="U1042" s="137"/>
      <c r="V1042" s="137"/>
      <c r="W1042" s="137"/>
      <c r="X1042" s="137"/>
      <c r="Y1042" s="137"/>
      <c r="Z1042" s="137"/>
      <c r="AA1042" s="137"/>
    </row>
    <row r="1043" spans="5:27" x14ac:dyDescent="0.35">
      <c r="E1043" s="137"/>
      <c r="F1043" s="137"/>
      <c r="G1043" s="190"/>
      <c r="H1043" s="137"/>
      <c r="I1043" s="137"/>
      <c r="J1043" s="137"/>
      <c r="M1043" s="143"/>
      <c r="N1043" s="143"/>
      <c r="O1043" s="143"/>
      <c r="P1043" s="143"/>
      <c r="Q1043" s="137"/>
      <c r="R1043" s="137"/>
      <c r="S1043" s="137"/>
      <c r="T1043" s="137"/>
      <c r="U1043" s="137"/>
      <c r="V1043" s="137"/>
      <c r="W1043" s="137"/>
      <c r="X1043" s="137"/>
      <c r="Y1043" s="137"/>
      <c r="Z1043" s="137"/>
      <c r="AA1043" s="137"/>
    </row>
    <row r="1044" spans="5:27" x14ac:dyDescent="0.35">
      <c r="E1044" s="137"/>
      <c r="F1044" s="137"/>
      <c r="G1044" s="190"/>
      <c r="H1044" s="137"/>
      <c r="I1044" s="137"/>
      <c r="J1044" s="137"/>
      <c r="M1044" s="143"/>
      <c r="N1044" s="143"/>
      <c r="O1044" s="143"/>
      <c r="P1044" s="143"/>
      <c r="Q1044" s="137"/>
      <c r="R1044" s="137"/>
      <c r="S1044" s="137"/>
      <c r="T1044" s="137"/>
      <c r="U1044" s="137"/>
      <c r="V1044" s="137"/>
      <c r="W1044" s="137"/>
      <c r="X1044" s="137"/>
      <c r="Y1044" s="137"/>
      <c r="Z1044" s="137"/>
      <c r="AA1044" s="137"/>
    </row>
    <row r="1045" spans="5:27" x14ac:dyDescent="0.35">
      <c r="E1045" s="137"/>
      <c r="F1045" s="137"/>
      <c r="G1045" s="190"/>
      <c r="H1045" s="137"/>
      <c r="I1045" s="137"/>
      <c r="J1045" s="137"/>
      <c r="M1045" s="143"/>
      <c r="N1045" s="143"/>
      <c r="O1045" s="143"/>
      <c r="P1045" s="143"/>
      <c r="Q1045" s="137"/>
      <c r="R1045" s="137"/>
      <c r="S1045" s="137"/>
      <c r="T1045" s="137"/>
      <c r="U1045" s="137"/>
      <c r="V1045" s="137"/>
      <c r="W1045" s="137"/>
      <c r="X1045" s="137"/>
      <c r="Y1045" s="137"/>
      <c r="Z1045" s="137"/>
      <c r="AA1045" s="137"/>
    </row>
    <row r="1046" spans="5:27" x14ac:dyDescent="0.35">
      <c r="E1046" s="137"/>
      <c r="F1046" s="137"/>
      <c r="G1046" s="190"/>
      <c r="H1046" s="137"/>
      <c r="I1046" s="137"/>
      <c r="J1046" s="137"/>
      <c r="M1046" s="143"/>
      <c r="N1046" s="143"/>
      <c r="O1046" s="143"/>
      <c r="P1046" s="143"/>
      <c r="Q1046" s="137"/>
      <c r="R1046" s="137"/>
      <c r="S1046" s="137"/>
      <c r="T1046" s="137"/>
      <c r="U1046" s="137"/>
      <c r="V1046" s="137"/>
      <c r="W1046" s="137"/>
      <c r="X1046" s="137"/>
      <c r="Y1046" s="137"/>
      <c r="Z1046" s="137"/>
      <c r="AA1046" s="137"/>
    </row>
    <row r="1047" spans="5:27" x14ac:dyDescent="0.35">
      <c r="E1047" s="137"/>
      <c r="F1047" s="137"/>
      <c r="G1047" s="190"/>
      <c r="H1047" s="137"/>
      <c r="I1047" s="137"/>
      <c r="J1047" s="137"/>
      <c r="M1047" s="143"/>
      <c r="N1047" s="143"/>
      <c r="O1047" s="143"/>
      <c r="P1047" s="143"/>
      <c r="Q1047" s="137"/>
      <c r="R1047" s="137"/>
      <c r="S1047" s="137"/>
      <c r="T1047" s="137"/>
      <c r="U1047" s="137"/>
      <c r="V1047" s="137"/>
      <c r="W1047" s="137"/>
      <c r="X1047" s="137"/>
      <c r="Y1047" s="137"/>
      <c r="Z1047" s="137"/>
      <c r="AA1047" s="137"/>
    </row>
    <row r="1048" spans="5:27" x14ac:dyDescent="0.35">
      <c r="E1048" s="137"/>
      <c r="F1048" s="137"/>
      <c r="G1048" s="190"/>
      <c r="H1048" s="137"/>
      <c r="I1048" s="137"/>
      <c r="J1048" s="137"/>
      <c r="M1048" s="143"/>
      <c r="N1048" s="143"/>
      <c r="O1048" s="143"/>
      <c r="P1048" s="143"/>
      <c r="Q1048" s="137"/>
      <c r="R1048" s="137"/>
      <c r="S1048" s="137"/>
      <c r="T1048" s="137"/>
      <c r="U1048" s="137"/>
      <c r="V1048" s="137"/>
      <c r="W1048" s="137"/>
      <c r="X1048" s="137"/>
      <c r="Y1048" s="137"/>
      <c r="Z1048" s="137"/>
      <c r="AA1048" s="137"/>
    </row>
    <row r="1049" spans="5:27" x14ac:dyDescent="0.35">
      <c r="E1049" s="137"/>
      <c r="F1049" s="137"/>
      <c r="G1049" s="190"/>
      <c r="H1049" s="137"/>
      <c r="I1049" s="137"/>
      <c r="J1049" s="137"/>
      <c r="M1049" s="143"/>
      <c r="N1049" s="143"/>
      <c r="O1049" s="143"/>
      <c r="P1049" s="143"/>
      <c r="Q1049" s="137"/>
      <c r="R1049" s="137"/>
      <c r="S1049" s="137"/>
      <c r="T1049" s="137"/>
      <c r="U1049" s="137"/>
      <c r="V1049" s="137"/>
      <c r="W1049" s="137"/>
      <c r="X1049" s="137"/>
      <c r="Y1049" s="137"/>
      <c r="Z1049" s="137"/>
      <c r="AA1049" s="137"/>
    </row>
    <row r="1050" spans="5:27" x14ac:dyDescent="0.35">
      <c r="E1050" s="137"/>
      <c r="F1050" s="137"/>
      <c r="G1050" s="190"/>
      <c r="H1050" s="137"/>
      <c r="I1050" s="137"/>
      <c r="J1050" s="137"/>
      <c r="M1050" s="143"/>
      <c r="N1050" s="143"/>
      <c r="O1050" s="143"/>
      <c r="P1050" s="143"/>
      <c r="Q1050" s="137"/>
      <c r="R1050" s="137"/>
      <c r="S1050" s="137"/>
      <c r="T1050" s="137"/>
      <c r="U1050" s="137"/>
      <c r="V1050" s="137"/>
      <c r="W1050" s="137"/>
      <c r="X1050" s="137"/>
      <c r="Y1050" s="137"/>
      <c r="Z1050" s="137"/>
      <c r="AA1050" s="137"/>
    </row>
    <row r="1051" spans="5:27" x14ac:dyDescent="0.35">
      <c r="E1051" s="137"/>
      <c r="F1051" s="137"/>
      <c r="G1051" s="190"/>
      <c r="H1051" s="137"/>
      <c r="I1051" s="137"/>
      <c r="J1051" s="137"/>
      <c r="M1051" s="143"/>
      <c r="N1051" s="143"/>
      <c r="O1051" s="143"/>
      <c r="P1051" s="143"/>
      <c r="Q1051" s="137"/>
      <c r="R1051" s="137"/>
      <c r="S1051" s="137"/>
      <c r="T1051" s="137"/>
      <c r="U1051" s="137"/>
      <c r="V1051" s="137"/>
      <c r="W1051" s="137"/>
      <c r="X1051" s="137"/>
      <c r="Y1051" s="137"/>
      <c r="Z1051" s="137"/>
      <c r="AA1051" s="137"/>
    </row>
    <row r="1052" spans="5:27" x14ac:dyDescent="0.35">
      <c r="E1052" s="137"/>
      <c r="F1052" s="137"/>
      <c r="G1052" s="190"/>
      <c r="H1052" s="137"/>
      <c r="I1052" s="137"/>
      <c r="J1052" s="137"/>
      <c r="M1052" s="143"/>
      <c r="N1052" s="143"/>
      <c r="O1052" s="143"/>
      <c r="P1052" s="143"/>
      <c r="Q1052" s="137"/>
      <c r="R1052" s="137"/>
      <c r="S1052" s="137"/>
      <c r="T1052" s="137"/>
      <c r="U1052" s="137"/>
      <c r="V1052" s="137"/>
      <c r="W1052" s="137"/>
      <c r="X1052" s="137"/>
      <c r="Y1052" s="137"/>
      <c r="Z1052" s="137"/>
      <c r="AA1052" s="137"/>
    </row>
    <row r="1053" spans="5:27" x14ac:dyDescent="0.35">
      <c r="E1053" s="137"/>
      <c r="F1053" s="137"/>
      <c r="G1053" s="190"/>
      <c r="H1053" s="137"/>
      <c r="I1053" s="137"/>
      <c r="J1053" s="137"/>
      <c r="M1053" s="143"/>
      <c r="N1053" s="143"/>
      <c r="O1053" s="143"/>
      <c r="P1053" s="143"/>
      <c r="Q1053" s="137"/>
      <c r="R1053" s="137"/>
      <c r="S1053" s="137"/>
      <c r="T1053" s="137"/>
      <c r="U1053" s="137"/>
      <c r="V1053" s="137"/>
      <c r="W1053" s="137"/>
      <c r="X1053" s="137"/>
      <c r="Y1053" s="137"/>
      <c r="Z1053" s="137"/>
      <c r="AA1053" s="137"/>
    </row>
    <row r="1054" spans="5:27" x14ac:dyDescent="0.35">
      <c r="E1054" s="137"/>
      <c r="F1054" s="137"/>
      <c r="G1054" s="190"/>
      <c r="H1054" s="137"/>
      <c r="I1054" s="137"/>
      <c r="J1054" s="137"/>
      <c r="M1054" s="143"/>
      <c r="N1054" s="143"/>
      <c r="O1054" s="143"/>
      <c r="P1054" s="143"/>
      <c r="Q1054" s="137"/>
      <c r="R1054" s="137"/>
      <c r="S1054" s="137"/>
      <c r="T1054" s="137"/>
      <c r="U1054" s="137"/>
      <c r="V1054" s="137"/>
      <c r="W1054" s="137"/>
      <c r="X1054" s="137"/>
      <c r="Y1054" s="137"/>
      <c r="Z1054" s="137"/>
      <c r="AA1054" s="137"/>
    </row>
    <row r="1055" spans="5:27" x14ac:dyDescent="0.35">
      <c r="E1055" s="137"/>
      <c r="F1055" s="137"/>
      <c r="G1055" s="190"/>
      <c r="H1055" s="137"/>
      <c r="I1055" s="137"/>
      <c r="J1055" s="137"/>
      <c r="M1055" s="143"/>
      <c r="N1055" s="143"/>
      <c r="O1055" s="143"/>
      <c r="P1055" s="143"/>
      <c r="Q1055" s="137"/>
      <c r="R1055" s="137"/>
      <c r="S1055" s="137"/>
      <c r="T1055" s="137"/>
      <c r="U1055" s="137"/>
      <c r="V1055" s="137"/>
      <c r="W1055" s="137"/>
      <c r="X1055" s="137"/>
      <c r="Y1055" s="137"/>
      <c r="Z1055" s="137"/>
      <c r="AA1055" s="137"/>
    </row>
    <row r="1056" spans="5:27" x14ac:dyDescent="0.35">
      <c r="E1056" s="137"/>
      <c r="F1056" s="137"/>
      <c r="G1056" s="190"/>
      <c r="H1056" s="137"/>
      <c r="I1056" s="137"/>
      <c r="J1056" s="137"/>
      <c r="M1056" s="143"/>
      <c r="N1056" s="143"/>
      <c r="O1056" s="143"/>
      <c r="P1056" s="143"/>
      <c r="Q1056" s="137"/>
      <c r="R1056" s="137"/>
      <c r="S1056" s="137"/>
      <c r="T1056" s="137"/>
      <c r="U1056" s="137"/>
      <c r="V1056" s="137"/>
      <c r="W1056" s="137"/>
      <c r="X1056" s="137"/>
      <c r="Y1056" s="137"/>
      <c r="Z1056" s="137"/>
      <c r="AA1056" s="137"/>
    </row>
    <row r="1057" spans="5:27" x14ac:dyDescent="0.35">
      <c r="E1057" s="137"/>
      <c r="F1057" s="137"/>
      <c r="G1057" s="190"/>
      <c r="H1057" s="137"/>
      <c r="I1057" s="137"/>
      <c r="J1057" s="137"/>
      <c r="M1057" s="143"/>
      <c r="N1057" s="143"/>
      <c r="O1057" s="143"/>
      <c r="P1057" s="143"/>
      <c r="Q1057" s="137"/>
      <c r="R1057" s="137"/>
      <c r="S1057" s="137"/>
      <c r="T1057" s="137"/>
      <c r="U1057" s="137"/>
      <c r="V1057" s="137"/>
      <c r="W1057" s="137"/>
      <c r="X1057" s="137"/>
      <c r="Y1057" s="137"/>
      <c r="Z1057" s="137"/>
      <c r="AA1057" s="137"/>
    </row>
    <row r="1058" spans="5:27" x14ac:dyDescent="0.35">
      <c r="E1058" s="137"/>
      <c r="F1058" s="137"/>
      <c r="G1058" s="190"/>
      <c r="H1058" s="137"/>
      <c r="I1058" s="137"/>
      <c r="J1058" s="137"/>
      <c r="M1058" s="143"/>
      <c r="N1058" s="143"/>
      <c r="O1058" s="143"/>
      <c r="P1058" s="143"/>
      <c r="Q1058" s="137"/>
      <c r="R1058" s="137"/>
      <c r="S1058" s="137"/>
      <c r="T1058" s="137"/>
      <c r="U1058" s="137"/>
      <c r="V1058" s="137"/>
      <c r="W1058" s="137"/>
      <c r="X1058" s="137"/>
      <c r="Y1058" s="137"/>
      <c r="Z1058" s="137"/>
      <c r="AA1058" s="137"/>
    </row>
    <row r="1059" spans="5:27" x14ac:dyDescent="0.35">
      <c r="E1059" s="137"/>
      <c r="F1059" s="137"/>
      <c r="G1059" s="190"/>
      <c r="H1059" s="137"/>
      <c r="I1059" s="137"/>
      <c r="J1059" s="137"/>
      <c r="M1059" s="143"/>
      <c r="N1059" s="143"/>
      <c r="O1059" s="143"/>
      <c r="P1059" s="143"/>
      <c r="Q1059" s="137"/>
      <c r="R1059" s="137"/>
      <c r="S1059" s="137"/>
      <c r="T1059" s="137"/>
      <c r="U1059" s="137"/>
      <c r="V1059" s="137"/>
      <c r="W1059" s="137"/>
      <c r="X1059" s="137"/>
      <c r="Y1059" s="137"/>
      <c r="Z1059" s="137"/>
      <c r="AA1059" s="137"/>
    </row>
    <row r="1060" spans="5:27" x14ac:dyDescent="0.35">
      <c r="E1060" s="137"/>
      <c r="F1060" s="137"/>
      <c r="G1060" s="190"/>
      <c r="H1060" s="137"/>
      <c r="I1060" s="137"/>
      <c r="J1060" s="137"/>
      <c r="M1060" s="143"/>
      <c r="N1060" s="143"/>
      <c r="O1060" s="143"/>
      <c r="P1060" s="143"/>
      <c r="Q1060" s="137"/>
      <c r="R1060" s="137"/>
      <c r="S1060" s="137"/>
      <c r="T1060" s="137"/>
      <c r="U1060" s="137"/>
      <c r="V1060" s="137"/>
      <c r="W1060" s="137"/>
      <c r="X1060" s="137"/>
      <c r="Y1060" s="137"/>
      <c r="Z1060" s="137"/>
      <c r="AA1060" s="137"/>
    </row>
    <row r="1061" spans="5:27" x14ac:dyDescent="0.35">
      <c r="E1061" s="137"/>
      <c r="F1061" s="137"/>
      <c r="G1061" s="190"/>
      <c r="H1061" s="137"/>
      <c r="I1061" s="137"/>
      <c r="J1061" s="137"/>
      <c r="M1061" s="143"/>
      <c r="N1061" s="143"/>
      <c r="O1061" s="143"/>
      <c r="P1061" s="143"/>
      <c r="Q1061" s="137"/>
      <c r="R1061" s="137"/>
      <c r="S1061" s="137"/>
      <c r="T1061" s="137"/>
      <c r="U1061" s="137"/>
      <c r="V1061" s="137"/>
      <c r="W1061" s="137"/>
      <c r="X1061" s="137"/>
      <c r="Y1061" s="137"/>
      <c r="Z1061" s="137"/>
      <c r="AA1061" s="137"/>
    </row>
    <row r="1062" spans="5:27" x14ac:dyDescent="0.35">
      <c r="E1062" s="137"/>
      <c r="F1062" s="137"/>
      <c r="G1062" s="190"/>
      <c r="H1062" s="137"/>
      <c r="I1062" s="137"/>
      <c r="J1062" s="137"/>
      <c r="M1062" s="143"/>
      <c r="N1062" s="143"/>
      <c r="O1062" s="143"/>
      <c r="P1062" s="143"/>
      <c r="Q1062" s="137"/>
      <c r="R1062" s="137"/>
      <c r="S1062" s="137"/>
      <c r="T1062" s="137"/>
      <c r="U1062" s="137"/>
      <c r="V1062" s="137"/>
      <c r="W1062" s="137"/>
      <c r="X1062" s="137"/>
      <c r="Y1062" s="137"/>
      <c r="Z1062" s="137"/>
      <c r="AA1062" s="137"/>
    </row>
    <row r="1063" spans="5:27" x14ac:dyDescent="0.35">
      <c r="E1063" s="137"/>
      <c r="F1063" s="137"/>
      <c r="G1063" s="190"/>
      <c r="H1063" s="137"/>
      <c r="I1063" s="137"/>
      <c r="J1063" s="137"/>
      <c r="M1063" s="143"/>
      <c r="N1063" s="143"/>
      <c r="O1063" s="143"/>
      <c r="P1063" s="143"/>
      <c r="Q1063" s="137"/>
      <c r="R1063" s="137"/>
      <c r="S1063" s="137"/>
      <c r="T1063" s="137"/>
      <c r="U1063" s="137"/>
      <c r="V1063" s="137"/>
      <c r="W1063" s="137"/>
      <c r="X1063" s="137"/>
      <c r="Y1063" s="137"/>
      <c r="Z1063" s="137"/>
      <c r="AA1063" s="137"/>
    </row>
    <row r="1064" spans="5:27" x14ac:dyDescent="0.35">
      <c r="E1064" s="137"/>
      <c r="F1064" s="137"/>
      <c r="G1064" s="190"/>
      <c r="H1064" s="137"/>
      <c r="I1064" s="137"/>
      <c r="J1064" s="137"/>
      <c r="M1064" s="143"/>
      <c r="N1064" s="143"/>
      <c r="O1064" s="143"/>
      <c r="P1064" s="143"/>
      <c r="Q1064" s="137"/>
      <c r="R1064" s="137"/>
      <c r="S1064" s="137"/>
      <c r="T1064" s="137"/>
      <c r="U1064" s="137"/>
      <c r="V1064" s="137"/>
      <c r="W1064" s="137"/>
      <c r="X1064" s="137"/>
      <c r="Y1064" s="137"/>
      <c r="Z1064" s="137"/>
      <c r="AA1064" s="137"/>
    </row>
    <row r="1065" spans="5:27" x14ac:dyDescent="0.35">
      <c r="E1065" s="137"/>
      <c r="F1065" s="137"/>
      <c r="G1065" s="190"/>
      <c r="H1065" s="137"/>
      <c r="I1065" s="137"/>
      <c r="J1065" s="137"/>
      <c r="M1065" s="143"/>
      <c r="N1065" s="143"/>
      <c r="O1065" s="143"/>
      <c r="P1065" s="143"/>
      <c r="Q1065" s="137"/>
      <c r="R1065" s="137"/>
      <c r="S1065" s="137"/>
      <c r="T1065" s="137"/>
      <c r="U1065" s="137"/>
      <c r="V1065" s="137"/>
      <c r="W1065" s="137"/>
      <c r="X1065" s="137"/>
      <c r="Y1065" s="137"/>
      <c r="Z1065" s="137"/>
      <c r="AA1065" s="137"/>
    </row>
    <row r="1066" spans="5:27" x14ac:dyDescent="0.35">
      <c r="E1066" s="137"/>
      <c r="F1066" s="137"/>
      <c r="G1066" s="190"/>
      <c r="H1066" s="137"/>
      <c r="I1066" s="137"/>
      <c r="J1066" s="137"/>
      <c r="M1066" s="143"/>
      <c r="N1066" s="143"/>
      <c r="O1066" s="143"/>
      <c r="P1066" s="143"/>
      <c r="Q1066" s="137"/>
      <c r="R1066" s="137"/>
      <c r="S1066" s="137"/>
      <c r="T1066" s="137"/>
      <c r="U1066" s="137"/>
      <c r="V1066" s="137"/>
      <c r="W1066" s="137"/>
      <c r="X1066" s="137"/>
      <c r="Y1066" s="137"/>
      <c r="Z1066" s="137"/>
      <c r="AA1066" s="137"/>
    </row>
    <row r="1067" spans="5:27" x14ac:dyDescent="0.35">
      <c r="E1067" s="137"/>
      <c r="F1067" s="137"/>
      <c r="G1067" s="190"/>
      <c r="H1067" s="137"/>
      <c r="I1067" s="137"/>
      <c r="J1067" s="137"/>
      <c r="M1067" s="143"/>
      <c r="N1067" s="143"/>
      <c r="O1067" s="143"/>
      <c r="P1067" s="143"/>
      <c r="Q1067" s="137"/>
      <c r="R1067" s="137"/>
      <c r="S1067" s="137"/>
      <c r="T1067" s="137"/>
      <c r="U1067" s="137"/>
      <c r="V1067" s="137"/>
      <c r="W1067" s="137"/>
      <c r="X1067" s="137"/>
      <c r="Y1067" s="137"/>
      <c r="Z1067" s="137"/>
      <c r="AA1067" s="137"/>
    </row>
    <row r="1068" spans="5:27" x14ac:dyDescent="0.35">
      <c r="E1068" s="137"/>
      <c r="F1068" s="137"/>
      <c r="G1068" s="190"/>
      <c r="H1068" s="137"/>
      <c r="I1068" s="137"/>
      <c r="J1068" s="137"/>
      <c r="M1068" s="143"/>
      <c r="N1068" s="143"/>
      <c r="O1068" s="143"/>
      <c r="P1068" s="143"/>
      <c r="Q1068" s="137"/>
      <c r="R1068" s="137"/>
      <c r="S1068" s="137"/>
      <c r="T1068" s="137"/>
      <c r="U1068" s="137"/>
      <c r="V1068" s="137"/>
      <c r="W1068" s="137"/>
      <c r="X1068" s="137"/>
      <c r="Y1068" s="137"/>
      <c r="Z1068" s="137"/>
      <c r="AA1068" s="137"/>
    </row>
    <row r="1069" spans="5:27" x14ac:dyDescent="0.35">
      <c r="E1069" s="137"/>
      <c r="F1069" s="137"/>
      <c r="G1069" s="190"/>
      <c r="H1069" s="137"/>
      <c r="I1069" s="137"/>
      <c r="J1069" s="137"/>
      <c r="M1069" s="143"/>
      <c r="N1069" s="143"/>
      <c r="O1069" s="143"/>
      <c r="P1069" s="143"/>
      <c r="Q1069" s="137"/>
      <c r="R1069" s="137"/>
      <c r="S1069" s="137"/>
      <c r="T1069" s="137"/>
      <c r="U1069" s="137"/>
      <c r="V1069" s="137"/>
      <c r="W1069" s="137"/>
      <c r="X1069" s="137"/>
      <c r="Y1069" s="137"/>
      <c r="Z1069" s="137"/>
      <c r="AA1069" s="137"/>
    </row>
    <row r="1070" spans="5:27" x14ac:dyDescent="0.35">
      <c r="E1070" s="137"/>
      <c r="F1070" s="137"/>
      <c r="G1070" s="190"/>
      <c r="H1070" s="137"/>
      <c r="I1070" s="137"/>
      <c r="J1070" s="137"/>
      <c r="M1070" s="143"/>
      <c r="N1070" s="143"/>
      <c r="O1070" s="143"/>
      <c r="P1070" s="143"/>
      <c r="Q1070" s="137"/>
      <c r="R1070" s="137"/>
      <c r="S1070" s="137"/>
      <c r="T1070" s="137"/>
      <c r="U1070" s="137"/>
      <c r="V1070" s="137"/>
      <c r="W1070" s="137"/>
      <c r="X1070" s="137"/>
      <c r="Y1070" s="137"/>
      <c r="Z1070" s="137"/>
      <c r="AA1070" s="137"/>
    </row>
    <row r="1071" spans="5:27" x14ac:dyDescent="0.35">
      <c r="E1071" s="137"/>
      <c r="F1071" s="137"/>
      <c r="G1071" s="190"/>
      <c r="H1071" s="137"/>
      <c r="I1071" s="137"/>
      <c r="J1071" s="137"/>
      <c r="M1071" s="143"/>
      <c r="N1071" s="143"/>
      <c r="O1071" s="143"/>
      <c r="P1071" s="143"/>
      <c r="Q1071" s="137"/>
      <c r="R1071" s="137"/>
      <c r="S1071" s="137"/>
      <c r="T1071" s="137"/>
      <c r="U1071" s="137"/>
      <c r="V1071" s="137"/>
      <c r="W1071" s="137"/>
      <c r="X1071" s="137"/>
      <c r="Y1071" s="137"/>
      <c r="Z1071" s="137"/>
      <c r="AA1071" s="137"/>
    </row>
    <row r="1072" spans="5:27" x14ac:dyDescent="0.35">
      <c r="E1072" s="137"/>
      <c r="F1072" s="137"/>
      <c r="G1072" s="190"/>
      <c r="H1072" s="137"/>
      <c r="I1072" s="137"/>
      <c r="J1072" s="137"/>
      <c r="M1072" s="143"/>
      <c r="N1072" s="143"/>
      <c r="O1072" s="143"/>
      <c r="P1072" s="143"/>
      <c r="Q1072" s="137"/>
      <c r="R1072" s="137"/>
      <c r="S1072" s="137"/>
      <c r="T1072" s="137"/>
      <c r="U1072" s="137"/>
      <c r="V1072" s="137"/>
      <c r="W1072" s="137"/>
      <c r="X1072" s="137"/>
      <c r="Y1072" s="137"/>
      <c r="Z1072" s="137"/>
      <c r="AA1072" s="137"/>
    </row>
    <row r="1073" spans="5:27" x14ac:dyDescent="0.35">
      <c r="E1073" s="137"/>
      <c r="F1073" s="137"/>
      <c r="G1073" s="190"/>
      <c r="H1073" s="137"/>
      <c r="I1073" s="137"/>
      <c r="J1073" s="137"/>
      <c r="M1073" s="143"/>
      <c r="N1073" s="143"/>
      <c r="O1073" s="143"/>
      <c r="P1073" s="143"/>
      <c r="Q1073" s="137"/>
      <c r="R1073" s="137"/>
      <c r="S1073" s="137"/>
      <c r="T1073" s="137"/>
      <c r="U1073" s="137"/>
      <c r="V1073" s="137"/>
      <c r="W1073" s="137"/>
      <c r="X1073" s="137"/>
      <c r="Y1073" s="137"/>
      <c r="Z1073" s="137"/>
      <c r="AA1073" s="137"/>
    </row>
    <row r="1074" spans="5:27" x14ac:dyDescent="0.35">
      <c r="E1074" s="137"/>
      <c r="F1074" s="137"/>
      <c r="G1074" s="190"/>
      <c r="H1074" s="137"/>
      <c r="I1074" s="137"/>
      <c r="J1074" s="137"/>
      <c r="M1074" s="143"/>
      <c r="N1074" s="143"/>
      <c r="O1074" s="143"/>
      <c r="P1074" s="143"/>
      <c r="Q1074" s="137"/>
      <c r="R1074" s="137"/>
      <c r="S1074" s="137"/>
      <c r="T1074" s="137"/>
      <c r="U1074" s="137"/>
      <c r="V1074" s="137"/>
      <c r="W1074" s="137"/>
      <c r="X1074" s="137"/>
      <c r="Y1074" s="137"/>
      <c r="Z1074" s="137"/>
      <c r="AA1074" s="137"/>
    </row>
    <row r="1075" spans="5:27" x14ac:dyDescent="0.35">
      <c r="E1075" s="137"/>
      <c r="F1075" s="137"/>
      <c r="G1075" s="190"/>
      <c r="H1075" s="137"/>
      <c r="I1075" s="137"/>
      <c r="J1075" s="137"/>
      <c r="M1075" s="143"/>
      <c r="N1075" s="143"/>
      <c r="O1075" s="143"/>
      <c r="P1075" s="143"/>
      <c r="Q1075" s="137"/>
      <c r="R1075" s="137"/>
      <c r="S1075" s="137"/>
      <c r="T1075" s="137"/>
      <c r="U1075" s="137"/>
      <c r="V1075" s="137"/>
      <c r="W1075" s="137"/>
      <c r="X1075" s="137"/>
      <c r="Y1075" s="137"/>
      <c r="Z1075" s="137"/>
      <c r="AA1075" s="137"/>
    </row>
    <row r="1076" spans="5:27" x14ac:dyDescent="0.35">
      <c r="E1076" s="137"/>
      <c r="F1076" s="137"/>
      <c r="G1076" s="190"/>
      <c r="H1076" s="137"/>
      <c r="I1076" s="137"/>
      <c r="J1076" s="137"/>
      <c r="M1076" s="143"/>
      <c r="N1076" s="143"/>
      <c r="O1076" s="143"/>
      <c r="P1076" s="143"/>
      <c r="Q1076" s="137"/>
      <c r="R1076" s="137"/>
      <c r="S1076" s="137"/>
      <c r="T1076" s="137"/>
      <c r="U1076" s="137"/>
      <c r="V1076" s="137"/>
      <c r="W1076" s="137"/>
      <c r="X1076" s="137"/>
      <c r="Y1076" s="137"/>
      <c r="Z1076" s="137"/>
      <c r="AA1076" s="137"/>
    </row>
    <row r="1077" spans="5:27" x14ac:dyDescent="0.35">
      <c r="E1077" s="137"/>
      <c r="F1077" s="137"/>
      <c r="G1077" s="190"/>
      <c r="H1077" s="137"/>
      <c r="I1077" s="137"/>
      <c r="J1077" s="137"/>
      <c r="M1077" s="143"/>
      <c r="N1077" s="143"/>
      <c r="O1077" s="143"/>
      <c r="P1077" s="143"/>
      <c r="Q1077" s="137"/>
      <c r="R1077" s="137"/>
      <c r="S1077" s="137"/>
      <c r="T1077" s="137"/>
      <c r="U1077" s="137"/>
      <c r="V1077" s="137"/>
      <c r="W1077" s="137"/>
      <c r="X1077" s="137"/>
      <c r="Y1077" s="137"/>
      <c r="Z1077" s="137"/>
      <c r="AA1077" s="137"/>
    </row>
    <row r="1078" spans="5:27" x14ac:dyDescent="0.35">
      <c r="E1078" s="137"/>
      <c r="F1078" s="137"/>
      <c r="G1078" s="190"/>
      <c r="H1078" s="137"/>
      <c r="I1078" s="137"/>
      <c r="J1078" s="137"/>
      <c r="M1078" s="143"/>
      <c r="N1078" s="143"/>
      <c r="O1078" s="143"/>
      <c r="P1078" s="143"/>
      <c r="Q1078" s="137"/>
      <c r="R1078" s="137"/>
      <c r="S1078" s="137"/>
      <c r="T1078" s="137"/>
      <c r="U1078" s="137"/>
      <c r="V1078" s="137"/>
      <c r="W1078" s="137"/>
      <c r="X1078" s="137"/>
      <c r="Y1078" s="137"/>
      <c r="Z1078" s="137"/>
      <c r="AA1078" s="137"/>
    </row>
    <row r="1079" spans="5:27" x14ac:dyDescent="0.35">
      <c r="E1079" s="137"/>
      <c r="F1079" s="137"/>
      <c r="G1079" s="190"/>
      <c r="H1079" s="137"/>
      <c r="I1079" s="137"/>
      <c r="J1079" s="137"/>
      <c r="M1079" s="143"/>
      <c r="N1079" s="143"/>
      <c r="O1079" s="143"/>
      <c r="P1079" s="143"/>
      <c r="Q1079" s="137"/>
      <c r="R1079" s="137"/>
      <c r="S1079" s="137"/>
      <c r="T1079" s="137"/>
      <c r="U1079" s="137"/>
      <c r="V1079" s="137"/>
      <c r="W1079" s="137"/>
      <c r="X1079" s="137"/>
      <c r="Y1079" s="137"/>
      <c r="Z1079" s="137"/>
      <c r="AA1079" s="137"/>
    </row>
    <row r="1080" spans="5:27" x14ac:dyDescent="0.35">
      <c r="E1080" s="137"/>
      <c r="F1080" s="137"/>
      <c r="G1080" s="190"/>
      <c r="H1080" s="137"/>
      <c r="I1080" s="137"/>
      <c r="J1080" s="137"/>
      <c r="M1080" s="143"/>
      <c r="N1080" s="143"/>
      <c r="O1080" s="143"/>
      <c r="P1080" s="143"/>
      <c r="Q1080" s="137"/>
      <c r="R1080" s="137"/>
      <c r="S1080" s="137"/>
      <c r="T1080" s="137"/>
      <c r="U1080" s="137"/>
      <c r="V1080" s="137"/>
      <c r="W1080" s="137"/>
      <c r="X1080" s="137"/>
      <c r="Y1080" s="137"/>
      <c r="Z1080" s="137"/>
      <c r="AA1080" s="137"/>
    </row>
    <row r="1081" spans="5:27" x14ac:dyDescent="0.35">
      <c r="E1081" s="137"/>
      <c r="F1081" s="137"/>
      <c r="G1081" s="190"/>
      <c r="H1081" s="137"/>
      <c r="I1081" s="137"/>
      <c r="J1081" s="137"/>
      <c r="M1081" s="143"/>
      <c r="N1081" s="143"/>
      <c r="O1081" s="143"/>
      <c r="P1081" s="143"/>
      <c r="Q1081" s="137"/>
      <c r="R1081" s="137"/>
      <c r="S1081" s="137"/>
      <c r="T1081" s="137"/>
      <c r="U1081" s="137"/>
      <c r="V1081" s="137"/>
      <c r="W1081" s="137"/>
      <c r="X1081" s="137"/>
      <c r="Y1081" s="137"/>
      <c r="Z1081" s="137"/>
      <c r="AA1081" s="137"/>
    </row>
    <row r="1082" spans="5:27" x14ac:dyDescent="0.35">
      <c r="E1082" s="137"/>
      <c r="F1082" s="137"/>
      <c r="G1082" s="190"/>
      <c r="H1082" s="137"/>
      <c r="I1082" s="137"/>
      <c r="J1082" s="137"/>
      <c r="M1082" s="143"/>
      <c r="N1082" s="143"/>
      <c r="O1082" s="143"/>
      <c r="P1082" s="143"/>
      <c r="Q1082" s="137"/>
      <c r="R1082" s="137"/>
      <c r="S1082" s="137"/>
      <c r="T1082" s="137"/>
      <c r="U1082" s="137"/>
      <c r="V1082" s="137"/>
      <c r="W1082" s="137"/>
      <c r="X1082" s="137"/>
      <c r="Y1082" s="137"/>
      <c r="Z1082" s="137"/>
      <c r="AA1082" s="137"/>
    </row>
    <row r="1083" spans="5:27" x14ac:dyDescent="0.35">
      <c r="E1083" s="137"/>
      <c r="F1083" s="137"/>
      <c r="G1083" s="190"/>
      <c r="H1083" s="137"/>
      <c r="I1083" s="137"/>
      <c r="J1083" s="137"/>
      <c r="M1083" s="143"/>
      <c r="N1083" s="143"/>
      <c r="O1083" s="143"/>
      <c r="P1083" s="143"/>
      <c r="Q1083" s="137"/>
      <c r="R1083" s="137"/>
      <c r="S1083" s="137"/>
      <c r="T1083" s="137"/>
      <c r="U1083" s="137"/>
      <c r="V1083" s="137"/>
      <c r="W1083" s="137"/>
      <c r="X1083" s="137"/>
      <c r="Y1083" s="137"/>
      <c r="Z1083" s="137"/>
      <c r="AA1083" s="137"/>
    </row>
    <row r="1084" spans="5:27" x14ac:dyDescent="0.35">
      <c r="E1084" s="137"/>
      <c r="F1084" s="137"/>
      <c r="G1084" s="190"/>
      <c r="H1084" s="137"/>
      <c r="I1084" s="137"/>
      <c r="J1084" s="137"/>
      <c r="M1084" s="143"/>
      <c r="N1084" s="143"/>
      <c r="O1084" s="143"/>
      <c r="P1084" s="143"/>
      <c r="Q1084" s="137"/>
      <c r="R1084" s="137"/>
      <c r="S1084" s="137"/>
      <c r="T1084" s="137"/>
      <c r="U1084" s="137"/>
      <c r="V1084" s="137"/>
      <c r="W1084" s="137"/>
      <c r="X1084" s="137"/>
      <c r="Y1084" s="137"/>
      <c r="Z1084" s="137"/>
      <c r="AA1084" s="137"/>
    </row>
    <row r="1085" spans="5:27" x14ac:dyDescent="0.35">
      <c r="E1085" s="137"/>
      <c r="F1085" s="137"/>
      <c r="G1085" s="190"/>
      <c r="H1085" s="137"/>
      <c r="I1085" s="137"/>
      <c r="J1085" s="137"/>
      <c r="M1085" s="143"/>
      <c r="N1085" s="143"/>
      <c r="O1085" s="143"/>
      <c r="P1085" s="143"/>
      <c r="Q1085" s="137"/>
      <c r="R1085" s="137"/>
      <c r="S1085" s="137"/>
      <c r="T1085" s="137"/>
      <c r="U1085" s="137"/>
      <c r="V1085" s="137"/>
      <c r="W1085" s="137"/>
      <c r="X1085" s="137"/>
      <c r="Y1085" s="137"/>
      <c r="Z1085" s="137"/>
      <c r="AA1085" s="137"/>
    </row>
    <row r="1086" spans="5:27" x14ac:dyDescent="0.35">
      <c r="E1086" s="137"/>
      <c r="F1086" s="137"/>
      <c r="G1086" s="190"/>
      <c r="H1086" s="137"/>
      <c r="I1086" s="137"/>
      <c r="J1086" s="137"/>
      <c r="M1086" s="143"/>
      <c r="N1086" s="143"/>
      <c r="O1086" s="143"/>
      <c r="P1086" s="143"/>
      <c r="Q1086" s="137"/>
      <c r="R1086" s="137"/>
      <c r="S1086" s="137"/>
      <c r="T1086" s="137"/>
      <c r="U1086" s="137"/>
      <c r="V1086" s="137"/>
      <c r="W1086" s="137"/>
      <c r="X1086" s="137"/>
      <c r="Y1086" s="137"/>
      <c r="Z1086" s="137"/>
      <c r="AA1086" s="137"/>
    </row>
    <row r="1087" spans="5:27" x14ac:dyDescent="0.35">
      <c r="E1087" s="137"/>
      <c r="F1087" s="137"/>
      <c r="G1087" s="190"/>
      <c r="H1087" s="137"/>
      <c r="I1087" s="137"/>
      <c r="J1087" s="137"/>
      <c r="M1087" s="143"/>
      <c r="N1087" s="143"/>
      <c r="O1087" s="143"/>
      <c r="P1087" s="143"/>
      <c r="Q1087" s="137"/>
      <c r="R1087" s="137"/>
      <c r="S1087" s="137"/>
      <c r="T1087" s="137"/>
      <c r="U1087" s="137"/>
      <c r="V1087" s="137"/>
      <c r="W1087" s="137"/>
      <c r="X1087" s="137"/>
      <c r="Y1087" s="137"/>
      <c r="Z1087" s="137"/>
      <c r="AA1087" s="137"/>
    </row>
    <row r="1088" spans="5:27" x14ac:dyDescent="0.35">
      <c r="E1088" s="137"/>
      <c r="F1088" s="137"/>
      <c r="G1088" s="190"/>
      <c r="H1088" s="137"/>
      <c r="I1088" s="137"/>
      <c r="J1088" s="137"/>
      <c r="M1088" s="143"/>
      <c r="N1088" s="143"/>
      <c r="O1088" s="143"/>
      <c r="P1088" s="143"/>
      <c r="Q1088" s="137"/>
      <c r="R1088" s="137"/>
      <c r="S1088" s="137"/>
      <c r="T1088" s="137"/>
      <c r="U1088" s="137"/>
      <c r="V1088" s="137"/>
      <c r="W1088" s="137"/>
      <c r="X1088" s="137"/>
      <c r="Y1088" s="137"/>
      <c r="Z1088" s="137"/>
      <c r="AA1088" s="137"/>
    </row>
    <row r="1089" spans="5:27" x14ac:dyDescent="0.35">
      <c r="E1089" s="137"/>
      <c r="F1089" s="137"/>
      <c r="G1089" s="190"/>
      <c r="H1089" s="137"/>
      <c r="I1089" s="137"/>
      <c r="J1089" s="137"/>
      <c r="M1089" s="143"/>
      <c r="N1089" s="143"/>
      <c r="O1089" s="143"/>
      <c r="P1089" s="143"/>
      <c r="Q1089" s="137"/>
      <c r="R1089" s="137"/>
      <c r="S1089" s="137"/>
      <c r="T1089" s="137"/>
      <c r="U1089" s="137"/>
      <c r="V1089" s="137"/>
      <c r="W1089" s="137"/>
      <c r="X1089" s="137"/>
      <c r="Y1089" s="137"/>
      <c r="Z1089" s="137"/>
      <c r="AA1089" s="137"/>
    </row>
    <row r="1090" spans="5:27" x14ac:dyDescent="0.35">
      <c r="E1090" s="137"/>
      <c r="F1090" s="137"/>
      <c r="G1090" s="190"/>
      <c r="H1090" s="137"/>
      <c r="I1090" s="137"/>
      <c r="J1090" s="137"/>
      <c r="M1090" s="143"/>
      <c r="N1090" s="143"/>
      <c r="O1090" s="143"/>
      <c r="P1090" s="143"/>
      <c r="Q1090" s="137"/>
      <c r="R1090" s="137"/>
      <c r="S1090" s="137"/>
      <c r="T1090" s="137"/>
      <c r="U1090" s="137"/>
      <c r="V1090" s="137"/>
      <c r="W1090" s="137"/>
      <c r="X1090" s="137"/>
      <c r="Y1090" s="137"/>
      <c r="Z1090" s="137"/>
      <c r="AA1090" s="137"/>
    </row>
    <row r="1091" spans="5:27" x14ac:dyDescent="0.35">
      <c r="E1091" s="137"/>
      <c r="F1091" s="137"/>
      <c r="G1091" s="190"/>
      <c r="H1091" s="137"/>
      <c r="I1091" s="137"/>
      <c r="J1091" s="137"/>
      <c r="M1091" s="143"/>
      <c r="N1091" s="143"/>
      <c r="O1091" s="143"/>
      <c r="P1091" s="143"/>
      <c r="Q1091" s="137"/>
      <c r="R1091" s="137"/>
      <c r="S1091" s="137"/>
      <c r="T1091" s="137"/>
      <c r="U1091" s="137"/>
      <c r="V1091" s="137"/>
      <c r="W1091" s="137"/>
      <c r="X1091" s="137"/>
      <c r="Y1091" s="137"/>
      <c r="Z1091" s="137"/>
      <c r="AA1091" s="137"/>
    </row>
    <row r="1092" spans="5:27" x14ac:dyDescent="0.35">
      <c r="E1092" s="137"/>
      <c r="F1092" s="137"/>
      <c r="G1092" s="190"/>
      <c r="H1092" s="137"/>
      <c r="I1092" s="137"/>
      <c r="J1092" s="137"/>
      <c r="M1092" s="143"/>
      <c r="N1092" s="143"/>
      <c r="O1092" s="143"/>
      <c r="P1092" s="143"/>
      <c r="Q1092" s="137"/>
      <c r="R1092" s="137"/>
      <c r="S1092" s="137"/>
      <c r="T1092" s="137"/>
      <c r="U1092" s="137"/>
      <c r="V1092" s="137"/>
      <c r="W1092" s="137"/>
      <c r="X1092" s="137"/>
      <c r="Y1092" s="137"/>
      <c r="Z1092" s="137"/>
      <c r="AA1092" s="137"/>
    </row>
    <row r="1093" spans="5:27" x14ac:dyDescent="0.35">
      <c r="E1093" s="137"/>
      <c r="F1093" s="137"/>
      <c r="G1093" s="190"/>
      <c r="H1093" s="137"/>
      <c r="I1093" s="137"/>
      <c r="J1093" s="137"/>
      <c r="M1093" s="143"/>
      <c r="N1093" s="143"/>
      <c r="O1093" s="143"/>
      <c r="P1093" s="143"/>
      <c r="Q1093" s="137"/>
      <c r="R1093" s="137"/>
      <c r="S1093" s="137"/>
      <c r="T1093" s="137"/>
      <c r="U1093" s="137"/>
      <c r="V1093" s="137"/>
      <c r="W1093" s="137"/>
      <c r="X1093" s="137"/>
      <c r="Y1093" s="137"/>
      <c r="Z1093" s="137"/>
      <c r="AA1093" s="137"/>
    </row>
    <row r="1094" spans="5:27" x14ac:dyDescent="0.35">
      <c r="E1094" s="137"/>
      <c r="F1094" s="137"/>
      <c r="G1094" s="190"/>
      <c r="H1094" s="137"/>
      <c r="I1094" s="137"/>
      <c r="J1094" s="137"/>
      <c r="M1094" s="143"/>
      <c r="N1094" s="143"/>
      <c r="O1094" s="143"/>
      <c r="P1094" s="143"/>
      <c r="Q1094" s="137"/>
      <c r="R1094" s="137"/>
      <c r="S1094" s="137"/>
      <c r="T1094" s="137"/>
      <c r="U1094" s="137"/>
      <c r="V1094" s="137"/>
      <c r="W1094" s="137"/>
      <c r="X1094" s="137"/>
      <c r="Y1094" s="137"/>
      <c r="Z1094" s="137"/>
      <c r="AA1094" s="137"/>
    </row>
    <row r="1095" spans="5:27" x14ac:dyDescent="0.35">
      <c r="E1095" s="137"/>
      <c r="F1095" s="137"/>
      <c r="G1095" s="190"/>
      <c r="H1095" s="137"/>
      <c r="I1095" s="137"/>
      <c r="J1095" s="137"/>
      <c r="M1095" s="143"/>
      <c r="N1095" s="143"/>
      <c r="O1095" s="143"/>
      <c r="P1095" s="143"/>
      <c r="Q1095" s="137"/>
      <c r="R1095" s="137"/>
      <c r="S1095" s="137"/>
      <c r="T1095" s="137"/>
      <c r="U1095" s="137"/>
      <c r="V1095" s="137"/>
      <c r="W1095" s="137"/>
      <c r="X1095" s="137"/>
      <c r="Y1095" s="137"/>
      <c r="Z1095" s="137"/>
      <c r="AA1095" s="137"/>
    </row>
    <row r="1096" spans="5:27" x14ac:dyDescent="0.35">
      <c r="E1096" s="137"/>
      <c r="F1096" s="137"/>
      <c r="G1096" s="190"/>
      <c r="H1096" s="137"/>
      <c r="I1096" s="137"/>
      <c r="J1096" s="137"/>
      <c r="M1096" s="143"/>
      <c r="N1096" s="143"/>
      <c r="O1096" s="143"/>
      <c r="P1096" s="143"/>
      <c r="Q1096" s="137"/>
      <c r="R1096" s="137"/>
      <c r="S1096" s="137"/>
      <c r="T1096" s="137"/>
      <c r="U1096" s="137"/>
      <c r="V1096" s="137"/>
      <c r="W1096" s="137"/>
      <c r="X1096" s="137"/>
      <c r="Y1096" s="137"/>
      <c r="Z1096" s="137"/>
      <c r="AA1096" s="137"/>
    </row>
    <row r="1097" spans="5:27" x14ac:dyDescent="0.35">
      <c r="E1097" s="137"/>
      <c r="F1097" s="137"/>
      <c r="G1097" s="190"/>
      <c r="H1097" s="137"/>
      <c r="I1097" s="137"/>
      <c r="J1097" s="137"/>
      <c r="M1097" s="143"/>
      <c r="N1097" s="143"/>
      <c r="O1097" s="143"/>
      <c r="P1097" s="143"/>
      <c r="Q1097" s="137"/>
      <c r="R1097" s="137"/>
      <c r="S1097" s="137"/>
      <c r="T1097" s="137"/>
      <c r="U1097" s="137"/>
      <c r="V1097" s="137"/>
      <c r="W1097" s="137"/>
      <c r="X1097" s="137"/>
      <c r="Y1097" s="137"/>
      <c r="Z1097" s="137"/>
      <c r="AA1097" s="137"/>
    </row>
    <row r="1098" spans="5:27" x14ac:dyDescent="0.35">
      <c r="E1098" s="137"/>
      <c r="F1098" s="137"/>
      <c r="G1098" s="190"/>
      <c r="H1098" s="137"/>
      <c r="I1098" s="137"/>
      <c r="J1098" s="137"/>
      <c r="M1098" s="143"/>
      <c r="N1098" s="143"/>
      <c r="O1098" s="143"/>
      <c r="P1098" s="143"/>
      <c r="Q1098" s="137"/>
      <c r="R1098" s="137"/>
      <c r="S1098" s="137"/>
      <c r="T1098" s="137"/>
      <c r="U1098" s="137"/>
      <c r="V1098" s="137"/>
      <c r="W1098" s="137"/>
      <c r="X1098" s="137"/>
      <c r="Y1098" s="137"/>
      <c r="Z1098" s="137"/>
      <c r="AA1098" s="137"/>
    </row>
    <row r="1099" spans="5:27" x14ac:dyDescent="0.35">
      <c r="E1099" s="137"/>
      <c r="F1099" s="137"/>
      <c r="G1099" s="190"/>
      <c r="H1099" s="137"/>
      <c r="I1099" s="137"/>
      <c r="J1099" s="137"/>
      <c r="M1099" s="143"/>
      <c r="N1099" s="143"/>
      <c r="O1099" s="143"/>
      <c r="P1099" s="143"/>
      <c r="Q1099" s="137"/>
      <c r="R1099" s="137"/>
      <c r="S1099" s="137"/>
      <c r="T1099" s="137"/>
      <c r="U1099" s="137"/>
      <c r="V1099" s="137"/>
      <c r="W1099" s="137"/>
      <c r="X1099" s="137"/>
      <c r="Y1099" s="137"/>
      <c r="Z1099" s="137"/>
      <c r="AA1099" s="137"/>
    </row>
    <row r="1100" spans="5:27" x14ac:dyDescent="0.35">
      <c r="E1100" s="137"/>
      <c r="F1100" s="137"/>
      <c r="G1100" s="190"/>
      <c r="H1100" s="137"/>
      <c r="I1100" s="137"/>
      <c r="J1100" s="137"/>
      <c r="M1100" s="143"/>
      <c r="N1100" s="143"/>
      <c r="O1100" s="143"/>
      <c r="P1100" s="143"/>
      <c r="Q1100" s="137"/>
      <c r="R1100" s="137"/>
      <c r="S1100" s="137"/>
      <c r="T1100" s="137"/>
      <c r="U1100" s="137"/>
      <c r="V1100" s="137"/>
      <c r="W1100" s="137"/>
      <c r="X1100" s="137"/>
      <c r="Y1100" s="137"/>
      <c r="Z1100" s="137"/>
      <c r="AA1100" s="137"/>
    </row>
    <row r="1101" spans="5:27" x14ac:dyDescent="0.35">
      <c r="E1101" s="137"/>
      <c r="F1101" s="137"/>
      <c r="G1101" s="190"/>
      <c r="H1101" s="137"/>
      <c r="I1101" s="137"/>
      <c r="J1101" s="137"/>
      <c r="M1101" s="143"/>
      <c r="N1101" s="143"/>
      <c r="O1101" s="143"/>
      <c r="P1101" s="143"/>
      <c r="Q1101" s="137"/>
      <c r="R1101" s="137"/>
      <c r="S1101" s="137"/>
      <c r="T1101" s="137"/>
      <c r="U1101" s="137"/>
      <c r="V1101" s="137"/>
      <c r="W1101" s="137"/>
      <c r="X1101" s="137"/>
      <c r="Y1101" s="137"/>
      <c r="Z1101" s="137"/>
      <c r="AA1101" s="137"/>
    </row>
    <row r="1102" spans="5:27" x14ac:dyDescent="0.35">
      <c r="E1102" s="137"/>
      <c r="F1102" s="137"/>
      <c r="G1102" s="190"/>
      <c r="H1102" s="137"/>
      <c r="I1102" s="137"/>
      <c r="J1102" s="137"/>
      <c r="M1102" s="143"/>
      <c r="N1102" s="143"/>
      <c r="O1102" s="143"/>
      <c r="P1102" s="143"/>
      <c r="Q1102" s="137"/>
      <c r="R1102" s="137"/>
      <c r="S1102" s="137"/>
      <c r="T1102" s="137"/>
      <c r="U1102" s="137"/>
      <c r="V1102" s="137"/>
      <c r="W1102" s="137"/>
      <c r="X1102" s="137"/>
      <c r="Y1102" s="137"/>
      <c r="Z1102" s="137"/>
      <c r="AA1102" s="137"/>
    </row>
    <row r="1103" spans="5:27" x14ac:dyDescent="0.35">
      <c r="E1103" s="137"/>
      <c r="F1103" s="137"/>
      <c r="G1103" s="190"/>
      <c r="H1103" s="137"/>
      <c r="I1103" s="137"/>
      <c r="J1103" s="137"/>
      <c r="M1103" s="143"/>
      <c r="N1103" s="143"/>
      <c r="O1103" s="143"/>
      <c r="P1103" s="143"/>
      <c r="Q1103" s="137"/>
      <c r="R1103" s="137"/>
      <c r="S1103" s="137"/>
      <c r="T1103" s="137"/>
      <c r="U1103" s="137"/>
      <c r="V1103" s="137"/>
      <c r="W1103" s="137"/>
      <c r="X1103" s="137"/>
      <c r="Y1103" s="137"/>
      <c r="Z1103" s="137"/>
      <c r="AA1103" s="137"/>
    </row>
    <row r="1104" spans="5:27" x14ac:dyDescent="0.35">
      <c r="E1104" s="137"/>
      <c r="F1104" s="137"/>
      <c r="G1104" s="190"/>
      <c r="H1104" s="137"/>
      <c r="I1104" s="137"/>
      <c r="J1104" s="137"/>
      <c r="M1104" s="143"/>
      <c r="N1104" s="143"/>
      <c r="O1104" s="143"/>
      <c r="P1104" s="143"/>
      <c r="Q1104" s="137"/>
      <c r="R1104" s="137"/>
      <c r="S1104" s="137"/>
      <c r="T1104" s="137"/>
      <c r="U1104" s="137"/>
      <c r="V1104" s="137"/>
      <c r="W1104" s="137"/>
      <c r="X1104" s="137"/>
      <c r="Y1104" s="137"/>
      <c r="Z1104" s="137"/>
      <c r="AA1104" s="137"/>
    </row>
    <row r="1105" spans="5:27" x14ac:dyDescent="0.35">
      <c r="E1105" s="137"/>
      <c r="F1105" s="137"/>
      <c r="G1105" s="190"/>
      <c r="H1105" s="137"/>
      <c r="I1105" s="137"/>
      <c r="J1105" s="137"/>
      <c r="M1105" s="143"/>
      <c r="N1105" s="143"/>
      <c r="O1105" s="143"/>
      <c r="P1105" s="143"/>
      <c r="Q1105" s="137"/>
      <c r="R1105" s="137"/>
      <c r="S1105" s="137"/>
      <c r="T1105" s="137"/>
      <c r="U1105" s="137"/>
      <c r="V1105" s="137"/>
      <c r="W1105" s="137"/>
      <c r="X1105" s="137"/>
      <c r="Y1105" s="137"/>
      <c r="Z1105" s="137"/>
      <c r="AA1105" s="137"/>
    </row>
    <row r="1106" spans="5:27" x14ac:dyDescent="0.35">
      <c r="E1106" s="137"/>
      <c r="F1106" s="137"/>
      <c r="G1106" s="190"/>
      <c r="H1106" s="137"/>
      <c r="I1106" s="137"/>
      <c r="J1106" s="137"/>
      <c r="M1106" s="143"/>
      <c r="N1106" s="143"/>
      <c r="O1106" s="143"/>
      <c r="P1106" s="143"/>
      <c r="Q1106" s="137"/>
      <c r="R1106" s="137"/>
      <c r="S1106" s="137"/>
      <c r="T1106" s="137"/>
      <c r="U1106" s="137"/>
      <c r="V1106" s="137"/>
      <c r="W1106" s="137"/>
      <c r="X1106" s="137"/>
      <c r="Y1106" s="137"/>
      <c r="Z1106" s="137"/>
      <c r="AA1106" s="137"/>
    </row>
    <row r="1107" spans="5:27" x14ac:dyDescent="0.35">
      <c r="E1107" s="137"/>
      <c r="F1107" s="137"/>
      <c r="G1107" s="190"/>
      <c r="H1107" s="137"/>
      <c r="I1107" s="137"/>
      <c r="J1107" s="137"/>
      <c r="M1107" s="143"/>
      <c r="N1107" s="143"/>
      <c r="O1107" s="143"/>
      <c r="P1107" s="143"/>
      <c r="Q1107" s="137"/>
      <c r="R1107" s="137"/>
      <c r="S1107" s="137"/>
      <c r="T1107" s="137"/>
      <c r="U1107" s="137"/>
      <c r="V1107" s="137"/>
      <c r="W1107" s="137"/>
      <c r="X1107" s="137"/>
      <c r="Y1107" s="137"/>
      <c r="Z1107" s="137"/>
      <c r="AA1107" s="137"/>
    </row>
    <row r="1108" spans="5:27" x14ac:dyDescent="0.35">
      <c r="E1108" s="137"/>
      <c r="F1108" s="137"/>
      <c r="G1108" s="190"/>
      <c r="H1108" s="137"/>
      <c r="I1108" s="137"/>
      <c r="J1108" s="137"/>
      <c r="M1108" s="143"/>
      <c r="N1108" s="143"/>
      <c r="O1108" s="143"/>
      <c r="P1108" s="143"/>
      <c r="Q1108" s="137"/>
      <c r="R1108" s="137"/>
      <c r="S1108" s="137"/>
      <c r="T1108" s="137"/>
      <c r="U1108" s="137"/>
      <c r="V1108" s="137"/>
      <c r="W1108" s="137"/>
      <c r="X1108" s="137"/>
      <c r="Y1108" s="137"/>
      <c r="Z1108" s="137"/>
      <c r="AA1108" s="137"/>
    </row>
    <row r="1109" spans="5:27" x14ac:dyDescent="0.35">
      <c r="E1109" s="137"/>
      <c r="F1109" s="137"/>
      <c r="G1109" s="190"/>
      <c r="H1109" s="137"/>
      <c r="I1109" s="137"/>
      <c r="J1109" s="137"/>
      <c r="M1109" s="143"/>
      <c r="N1109" s="143"/>
      <c r="O1109" s="143"/>
      <c r="P1109" s="143"/>
      <c r="Q1109" s="137"/>
      <c r="R1109" s="137"/>
      <c r="S1109" s="137"/>
      <c r="T1109" s="137"/>
      <c r="U1109" s="137"/>
      <c r="V1109" s="137"/>
      <c r="W1109" s="137"/>
      <c r="X1109" s="137"/>
      <c r="Y1109" s="137"/>
      <c r="Z1109" s="137"/>
      <c r="AA1109" s="137"/>
    </row>
    <row r="1110" spans="5:27" x14ac:dyDescent="0.35">
      <c r="E1110" s="137"/>
      <c r="F1110" s="137"/>
      <c r="G1110" s="190"/>
      <c r="H1110" s="137"/>
      <c r="I1110" s="137"/>
      <c r="J1110" s="137"/>
      <c r="M1110" s="143"/>
      <c r="N1110" s="143"/>
      <c r="O1110" s="143"/>
      <c r="P1110" s="143"/>
      <c r="Q1110" s="137"/>
      <c r="R1110" s="137"/>
      <c r="S1110" s="137"/>
      <c r="T1110" s="137"/>
      <c r="U1110" s="137"/>
      <c r="V1110" s="137"/>
      <c r="W1110" s="137"/>
      <c r="X1110" s="137"/>
      <c r="Y1110" s="137"/>
      <c r="Z1110" s="137"/>
      <c r="AA1110" s="137"/>
    </row>
    <row r="1111" spans="5:27" x14ac:dyDescent="0.35">
      <c r="E1111" s="137"/>
      <c r="F1111" s="137"/>
      <c r="G1111" s="190"/>
      <c r="H1111" s="137"/>
      <c r="I1111" s="137"/>
      <c r="J1111" s="137"/>
      <c r="M1111" s="143"/>
      <c r="N1111" s="143"/>
      <c r="O1111" s="143"/>
      <c r="P1111" s="143"/>
      <c r="Q1111" s="137"/>
      <c r="R1111" s="137"/>
      <c r="S1111" s="137"/>
      <c r="T1111" s="137"/>
      <c r="U1111" s="137"/>
      <c r="V1111" s="137"/>
      <c r="W1111" s="137"/>
      <c r="X1111" s="137"/>
      <c r="Y1111" s="137"/>
      <c r="Z1111" s="137"/>
      <c r="AA1111" s="137"/>
    </row>
    <row r="1112" spans="5:27" x14ac:dyDescent="0.35">
      <c r="E1112" s="137"/>
      <c r="F1112" s="137"/>
      <c r="G1112" s="190"/>
      <c r="H1112" s="137"/>
      <c r="I1112" s="137"/>
      <c r="J1112" s="137"/>
      <c r="M1112" s="143"/>
      <c r="N1112" s="143"/>
      <c r="O1112" s="143"/>
      <c r="P1112" s="143"/>
      <c r="Q1112" s="137"/>
      <c r="R1112" s="137"/>
      <c r="S1112" s="137"/>
      <c r="T1112" s="137"/>
      <c r="U1112" s="137"/>
      <c r="V1112" s="137"/>
      <c r="W1112" s="137"/>
      <c r="X1112" s="137"/>
      <c r="Y1112" s="137"/>
      <c r="Z1112" s="137"/>
      <c r="AA1112" s="137"/>
    </row>
    <row r="1113" spans="5:27" x14ac:dyDescent="0.35">
      <c r="E1113" s="137"/>
      <c r="F1113" s="137"/>
      <c r="G1113" s="190"/>
      <c r="H1113" s="137"/>
      <c r="I1113" s="137"/>
      <c r="J1113" s="137"/>
      <c r="M1113" s="143"/>
      <c r="N1113" s="143"/>
      <c r="O1113" s="143"/>
      <c r="P1113" s="143"/>
      <c r="Q1113" s="137"/>
      <c r="R1113" s="137"/>
      <c r="S1113" s="137"/>
      <c r="T1113" s="137"/>
      <c r="U1113" s="137"/>
      <c r="V1113" s="137"/>
      <c r="W1113" s="137"/>
      <c r="X1113" s="137"/>
      <c r="Y1113" s="137"/>
      <c r="Z1113" s="137"/>
      <c r="AA1113" s="137"/>
    </row>
    <row r="1114" spans="5:27" x14ac:dyDescent="0.35">
      <c r="E1114" s="137"/>
      <c r="F1114" s="137"/>
      <c r="G1114" s="190"/>
      <c r="H1114" s="137"/>
      <c r="I1114" s="137"/>
      <c r="J1114" s="137"/>
      <c r="M1114" s="143"/>
      <c r="N1114" s="143"/>
      <c r="O1114" s="143"/>
      <c r="P1114" s="143"/>
      <c r="Q1114" s="137"/>
      <c r="R1114" s="137"/>
      <c r="S1114" s="137"/>
      <c r="T1114" s="137"/>
      <c r="U1114" s="137"/>
      <c r="V1114" s="137"/>
      <c r="W1114" s="137"/>
      <c r="X1114" s="137"/>
      <c r="Y1114" s="137"/>
      <c r="Z1114" s="137"/>
      <c r="AA1114" s="137"/>
    </row>
    <row r="1115" spans="5:27" x14ac:dyDescent="0.35">
      <c r="E1115" s="137"/>
      <c r="F1115" s="137"/>
      <c r="G1115" s="190"/>
      <c r="H1115" s="137"/>
      <c r="I1115" s="137"/>
      <c r="J1115" s="137"/>
      <c r="M1115" s="143"/>
      <c r="N1115" s="143"/>
      <c r="O1115" s="143"/>
      <c r="P1115" s="143"/>
      <c r="Q1115" s="137"/>
      <c r="R1115" s="137"/>
      <c r="S1115" s="137"/>
      <c r="T1115" s="137"/>
      <c r="U1115" s="137"/>
      <c r="V1115" s="137"/>
      <c r="W1115" s="137"/>
      <c r="X1115" s="137"/>
      <c r="Y1115" s="137"/>
      <c r="Z1115" s="137"/>
      <c r="AA1115" s="137"/>
    </row>
    <row r="1116" spans="5:27" x14ac:dyDescent="0.35">
      <c r="E1116" s="137"/>
      <c r="F1116" s="137"/>
      <c r="G1116" s="190"/>
      <c r="H1116" s="137"/>
      <c r="I1116" s="137"/>
      <c r="J1116" s="137"/>
      <c r="M1116" s="143"/>
      <c r="N1116" s="143"/>
      <c r="O1116" s="143"/>
      <c r="P1116" s="143"/>
      <c r="Q1116" s="137"/>
      <c r="R1116" s="137"/>
      <c r="S1116" s="137"/>
      <c r="T1116" s="137"/>
      <c r="U1116" s="137"/>
      <c r="V1116" s="137"/>
      <c r="W1116" s="137"/>
      <c r="X1116" s="137"/>
      <c r="Y1116" s="137"/>
      <c r="Z1116" s="137"/>
      <c r="AA1116" s="137"/>
    </row>
    <row r="1117" spans="5:27" x14ac:dyDescent="0.35">
      <c r="E1117" s="137"/>
      <c r="F1117" s="137"/>
      <c r="G1117" s="190"/>
      <c r="H1117" s="137"/>
      <c r="I1117" s="137"/>
      <c r="J1117" s="137"/>
      <c r="M1117" s="143"/>
      <c r="N1117" s="143"/>
      <c r="O1117" s="143"/>
      <c r="P1117" s="143"/>
      <c r="Q1117" s="137"/>
      <c r="R1117" s="137"/>
      <c r="S1117" s="137"/>
      <c r="T1117" s="137"/>
      <c r="U1117" s="137"/>
      <c r="V1117" s="137"/>
      <c r="W1117" s="137"/>
      <c r="X1117" s="137"/>
      <c r="Y1117" s="137"/>
      <c r="Z1117" s="137"/>
      <c r="AA1117" s="137"/>
    </row>
    <row r="1118" spans="5:27" x14ac:dyDescent="0.35">
      <c r="E1118" s="137"/>
      <c r="F1118" s="137"/>
      <c r="G1118" s="190"/>
      <c r="H1118" s="137"/>
      <c r="I1118" s="137"/>
      <c r="J1118" s="137"/>
      <c r="M1118" s="143"/>
      <c r="N1118" s="143"/>
      <c r="O1118" s="143"/>
      <c r="P1118" s="143"/>
      <c r="Q1118" s="137"/>
      <c r="R1118" s="137"/>
      <c r="S1118" s="137"/>
      <c r="T1118" s="137"/>
      <c r="U1118" s="137"/>
      <c r="V1118" s="137"/>
      <c r="W1118" s="137"/>
      <c r="X1118" s="137"/>
      <c r="Y1118" s="137"/>
      <c r="Z1118" s="137"/>
      <c r="AA1118" s="137"/>
    </row>
    <row r="1119" spans="5:27" x14ac:dyDescent="0.35">
      <c r="E1119" s="137"/>
      <c r="F1119" s="137"/>
      <c r="G1119" s="190"/>
      <c r="H1119" s="137"/>
      <c r="I1119" s="137"/>
      <c r="J1119" s="137"/>
      <c r="M1119" s="143"/>
      <c r="N1119" s="143"/>
      <c r="O1119" s="143"/>
      <c r="P1119" s="143"/>
      <c r="Q1119" s="137"/>
      <c r="R1119" s="137"/>
      <c r="S1119" s="137"/>
      <c r="T1119" s="137"/>
      <c r="U1119" s="137"/>
      <c r="V1119" s="137"/>
      <c r="W1119" s="137"/>
      <c r="X1119" s="137"/>
      <c r="Y1119" s="137"/>
      <c r="Z1119" s="137"/>
      <c r="AA1119" s="137"/>
    </row>
    <row r="1120" spans="5:27" x14ac:dyDescent="0.35">
      <c r="E1120" s="137"/>
      <c r="F1120" s="137"/>
      <c r="G1120" s="190"/>
      <c r="H1120" s="137"/>
      <c r="I1120" s="137"/>
      <c r="J1120" s="137"/>
      <c r="M1120" s="143"/>
      <c r="N1120" s="143"/>
      <c r="O1120" s="143"/>
      <c r="P1120" s="143"/>
      <c r="Q1120" s="137"/>
      <c r="R1120" s="137"/>
      <c r="S1120" s="137"/>
      <c r="T1120" s="137"/>
      <c r="U1120" s="137"/>
      <c r="V1120" s="137"/>
      <c r="W1120" s="137"/>
      <c r="X1120" s="137"/>
      <c r="Y1120" s="137"/>
      <c r="Z1120" s="137"/>
      <c r="AA1120" s="137"/>
    </row>
    <row r="1121" spans="5:27" x14ac:dyDescent="0.35">
      <c r="E1121" s="137"/>
      <c r="F1121" s="137"/>
      <c r="G1121" s="190"/>
      <c r="H1121" s="137"/>
      <c r="I1121" s="137"/>
      <c r="J1121" s="137"/>
      <c r="M1121" s="143"/>
      <c r="N1121" s="143"/>
      <c r="O1121" s="143"/>
      <c r="P1121" s="143"/>
      <c r="Q1121" s="137"/>
      <c r="R1121" s="137"/>
      <c r="S1121" s="137"/>
      <c r="T1121" s="137"/>
      <c r="U1121" s="137"/>
      <c r="V1121" s="137"/>
      <c r="W1121" s="137"/>
      <c r="X1121" s="137"/>
      <c r="Y1121" s="137"/>
      <c r="Z1121" s="137"/>
      <c r="AA1121" s="137"/>
    </row>
    <row r="1122" spans="5:27" x14ac:dyDescent="0.35">
      <c r="E1122" s="137"/>
      <c r="F1122" s="137"/>
      <c r="G1122" s="190"/>
      <c r="H1122" s="137"/>
      <c r="I1122" s="137"/>
      <c r="J1122" s="137"/>
      <c r="M1122" s="143"/>
      <c r="N1122" s="143"/>
      <c r="O1122" s="143"/>
      <c r="P1122" s="143"/>
      <c r="Q1122" s="137"/>
      <c r="R1122" s="137"/>
      <c r="S1122" s="137"/>
      <c r="T1122" s="137"/>
      <c r="U1122" s="137"/>
      <c r="V1122" s="137"/>
      <c r="W1122" s="137"/>
      <c r="X1122" s="137"/>
      <c r="Y1122" s="137"/>
      <c r="Z1122" s="137"/>
      <c r="AA1122" s="137"/>
    </row>
    <row r="1123" spans="5:27" x14ac:dyDescent="0.35">
      <c r="E1123" s="137"/>
      <c r="F1123" s="137"/>
      <c r="G1123" s="190"/>
      <c r="H1123" s="137"/>
      <c r="I1123" s="137"/>
      <c r="J1123" s="137"/>
      <c r="M1123" s="143"/>
      <c r="N1123" s="143"/>
      <c r="O1123" s="143"/>
      <c r="P1123" s="143"/>
      <c r="Q1123" s="137"/>
      <c r="R1123" s="137"/>
      <c r="S1123" s="137"/>
      <c r="T1123" s="137"/>
      <c r="U1123" s="137"/>
      <c r="V1123" s="137"/>
      <c r="W1123" s="137"/>
      <c r="X1123" s="137"/>
      <c r="Y1123" s="137"/>
      <c r="Z1123" s="137"/>
      <c r="AA1123" s="137"/>
    </row>
    <row r="1124" spans="5:27" x14ac:dyDescent="0.35">
      <c r="E1124" s="137"/>
      <c r="F1124" s="137"/>
      <c r="G1124" s="190"/>
      <c r="H1124" s="137"/>
      <c r="I1124" s="137"/>
      <c r="J1124" s="137"/>
      <c r="M1124" s="143"/>
      <c r="N1124" s="143"/>
      <c r="O1124" s="143"/>
      <c r="P1124" s="143"/>
      <c r="Q1124" s="137"/>
      <c r="R1124" s="137"/>
      <c r="S1124" s="137"/>
      <c r="T1124" s="137"/>
      <c r="U1124" s="137"/>
      <c r="V1124" s="137"/>
      <c r="W1124" s="137"/>
      <c r="X1124" s="137"/>
      <c r="Y1124" s="137"/>
      <c r="Z1124" s="137"/>
      <c r="AA1124" s="137"/>
    </row>
    <row r="1125" spans="5:27" x14ac:dyDescent="0.35">
      <c r="E1125" s="137"/>
      <c r="F1125" s="137"/>
      <c r="G1125" s="190"/>
      <c r="H1125" s="137"/>
      <c r="I1125" s="137"/>
      <c r="J1125" s="137"/>
      <c r="M1125" s="143"/>
      <c r="N1125" s="143"/>
      <c r="O1125" s="143"/>
      <c r="P1125" s="143"/>
      <c r="Q1125" s="137"/>
      <c r="R1125" s="137"/>
      <c r="S1125" s="137"/>
      <c r="T1125" s="137"/>
      <c r="U1125" s="137"/>
      <c r="V1125" s="137"/>
      <c r="W1125" s="137"/>
      <c r="X1125" s="137"/>
      <c r="Y1125" s="137"/>
      <c r="Z1125" s="137"/>
      <c r="AA1125" s="137"/>
    </row>
    <row r="1126" spans="5:27" x14ac:dyDescent="0.35">
      <c r="E1126" s="137"/>
      <c r="F1126" s="137"/>
      <c r="G1126" s="190"/>
      <c r="H1126" s="137"/>
      <c r="I1126" s="137"/>
      <c r="J1126" s="137"/>
      <c r="M1126" s="143"/>
      <c r="N1126" s="143"/>
      <c r="O1126" s="143"/>
      <c r="P1126" s="143"/>
      <c r="Q1126" s="137"/>
      <c r="R1126" s="137"/>
      <c r="S1126" s="137"/>
      <c r="T1126" s="137"/>
      <c r="U1126" s="137"/>
      <c r="V1126" s="137"/>
      <c r="W1126" s="137"/>
      <c r="X1126" s="137"/>
      <c r="Y1126" s="137"/>
      <c r="Z1126" s="137"/>
      <c r="AA1126" s="137"/>
    </row>
    <row r="1127" spans="5:27" x14ac:dyDescent="0.35">
      <c r="E1127" s="137"/>
      <c r="F1127" s="137"/>
      <c r="G1127" s="190"/>
      <c r="H1127" s="137"/>
      <c r="I1127" s="137"/>
      <c r="J1127" s="137"/>
      <c r="M1127" s="143"/>
      <c r="N1127" s="143"/>
      <c r="O1127" s="143"/>
      <c r="P1127" s="143"/>
      <c r="Q1127" s="137"/>
      <c r="R1127" s="137"/>
      <c r="S1127" s="137"/>
      <c r="T1127" s="137"/>
      <c r="U1127" s="137"/>
      <c r="V1127" s="137"/>
      <c r="W1127" s="137"/>
      <c r="X1127" s="137"/>
      <c r="Y1127" s="137"/>
      <c r="Z1127" s="137"/>
      <c r="AA1127" s="137"/>
    </row>
    <row r="1128" spans="5:27" x14ac:dyDescent="0.35">
      <c r="E1128" s="137"/>
      <c r="F1128" s="137"/>
      <c r="G1128" s="190"/>
      <c r="H1128" s="137"/>
      <c r="I1128" s="137"/>
      <c r="J1128" s="137"/>
      <c r="M1128" s="143"/>
      <c r="N1128" s="143"/>
      <c r="O1128" s="143"/>
      <c r="P1128" s="143"/>
      <c r="Q1128" s="137"/>
      <c r="R1128" s="137"/>
      <c r="S1128" s="137"/>
      <c r="T1128" s="137"/>
      <c r="U1128" s="137"/>
      <c r="V1128" s="137"/>
      <c r="W1128" s="137"/>
      <c r="X1128" s="137"/>
      <c r="Y1128" s="137"/>
      <c r="Z1128" s="137"/>
      <c r="AA1128" s="137"/>
    </row>
    <row r="1129" spans="5:27" x14ac:dyDescent="0.35">
      <c r="E1129" s="137"/>
      <c r="F1129" s="137"/>
      <c r="G1129" s="190"/>
      <c r="H1129" s="137"/>
      <c r="I1129" s="137"/>
      <c r="J1129" s="137"/>
      <c r="M1129" s="143"/>
      <c r="N1129" s="143"/>
      <c r="O1129" s="143"/>
      <c r="P1129" s="143"/>
      <c r="Q1129" s="137"/>
      <c r="R1129" s="137"/>
      <c r="S1129" s="137"/>
      <c r="T1129" s="137"/>
      <c r="U1129" s="137"/>
      <c r="V1129" s="137"/>
      <c r="W1129" s="137"/>
      <c r="X1129" s="137"/>
      <c r="Y1129" s="137"/>
      <c r="Z1129" s="137"/>
      <c r="AA1129" s="137"/>
    </row>
    <row r="1130" spans="5:27" x14ac:dyDescent="0.35">
      <c r="E1130" s="137"/>
      <c r="F1130" s="137"/>
      <c r="G1130" s="190"/>
      <c r="H1130" s="137"/>
      <c r="I1130" s="137"/>
      <c r="J1130" s="137"/>
      <c r="M1130" s="143"/>
      <c r="N1130" s="143"/>
      <c r="O1130" s="143"/>
      <c r="P1130" s="143"/>
      <c r="Q1130" s="137"/>
      <c r="R1130" s="137"/>
      <c r="S1130" s="137"/>
      <c r="T1130" s="137"/>
      <c r="U1130" s="137"/>
      <c r="V1130" s="137"/>
      <c r="W1130" s="137"/>
      <c r="X1130" s="137"/>
      <c r="Y1130" s="137"/>
      <c r="Z1130" s="137"/>
      <c r="AA1130" s="137"/>
    </row>
    <row r="1131" spans="5:27" x14ac:dyDescent="0.35">
      <c r="E1131" s="137"/>
      <c r="F1131" s="137"/>
      <c r="G1131" s="190"/>
      <c r="H1131" s="137"/>
      <c r="I1131" s="137"/>
      <c r="J1131" s="137"/>
      <c r="M1131" s="143"/>
      <c r="N1131" s="143"/>
      <c r="O1131" s="143"/>
      <c r="P1131" s="143"/>
      <c r="Q1131" s="137"/>
      <c r="R1131" s="137"/>
      <c r="S1131" s="137"/>
      <c r="T1131" s="137"/>
      <c r="U1131" s="137"/>
      <c r="V1131" s="137"/>
      <c r="W1131" s="137"/>
      <c r="X1131" s="137"/>
      <c r="Y1131" s="137"/>
      <c r="Z1131" s="137"/>
      <c r="AA1131" s="137"/>
    </row>
    <row r="1132" spans="5:27" x14ac:dyDescent="0.35">
      <c r="E1132" s="137"/>
      <c r="F1132" s="137"/>
      <c r="G1132" s="190"/>
      <c r="H1132" s="137"/>
      <c r="I1132" s="137"/>
      <c r="J1132" s="137"/>
      <c r="M1132" s="143"/>
      <c r="N1132" s="143"/>
      <c r="O1132" s="143"/>
      <c r="P1132" s="143"/>
      <c r="Q1132" s="137"/>
      <c r="R1132" s="137"/>
      <c r="S1132" s="137"/>
      <c r="T1132" s="137"/>
      <c r="U1132" s="137"/>
      <c r="V1132" s="137"/>
      <c r="W1132" s="137"/>
      <c r="X1132" s="137"/>
      <c r="Y1132" s="137"/>
      <c r="Z1132" s="137"/>
      <c r="AA1132" s="137"/>
    </row>
    <row r="1133" spans="5:27" x14ac:dyDescent="0.35">
      <c r="E1133" s="137"/>
      <c r="F1133" s="137"/>
      <c r="G1133" s="190"/>
      <c r="H1133" s="137"/>
      <c r="I1133" s="137"/>
      <c r="J1133" s="137"/>
      <c r="M1133" s="143"/>
      <c r="N1133" s="143"/>
      <c r="O1133" s="143"/>
      <c r="P1133" s="143"/>
      <c r="Q1133" s="137"/>
      <c r="R1133" s="137"/>
      <c r="S1133" s="137"/>
      <c r="T1133" s="137"/>
      <c r="U1133" s="137"/>
      <c r="V1133" s="137"/>
      <c r="W1133" s="137"/>
      <c r="X1133" s="137"/>
      <c r="Y1133" s="137"/>
      <c r="Z1133" s="137"/>
      <c r="AA1133" s="137"/>
    </row>
    <row r="1134" spans="5:27" x14ac:dyDescent="0.35">
      <c r="E1134" s="137"/>
      <c r="F1134" s="137"/>
      <c r="G1134" s="190"/>
      <c r="H1134" s="137"/>
      <c r="I1134" s="137"/>
      <c r="J1134" s="137"/>
      <c r="M1134" s="143"/>
      <c r="N1134" s="143"/>
      <c r="O1134" s="143"/>
      <c r="P1134" s="143"/>
      <c r="Q1134" s="137"/>
      <c r="R1134" s="137"/>
      <c r="S1134" s="137"/>
      <c r="T1134" s="137"/>
      <c r="U1134" s="137"/>
      <c r="V1134" s="137"/>
      <c r="W1134" s="137"/>
      <c r="X1134" s="137"/>
      <c r="Y1134" s="137"/>
      <c r="Z1134" s="137"/>
      <c r="AA1134" s="137"/>
    </row>
    <row r="1135" spans="5:27" x14ac:dyDescent="0.35">
      <c r="E1135" s="137"/>
      <c r="F1135" s="137"/>
      <c r="G1135" s="190"/>
      <c r="H1135" s="137"/>
      <c r="I1135" s="137"/>
      <c r="J1135" s="137"/>
      <c r="M1135" s="143"/>
      <c r="N1135" s="143"/>
      <c r="O1135" s="143"/>
      <c r="P1135" s="143"/>
      <c r="Q1135" s="137"/>
      <c r="R1135" s="137"/>
      <c r="S1135" s="137"/>
      <c r="T1135" s="137"/>
      <c r="U1135" s="137"/>
      <c r="V1135" s="137"/>
      <c r="W1135" s="137"/>
      <c r="X1135" s="137"/>
      <c r="Y1135" s="137"/>
      <c r="Z1135" s="137"/>
      <c r="AA1135" s="137"/>
    </row>
    <row r="1136" spans="5:27" x14ac:dyDescent="0.35">
      <c r="E1136" s="137"/>
      <c r="F1136" s="137"/>
      <c r="G1136" s="190"/>
      <c r="H1136" s="137"/>
      <c r="I1136" s="137"/>
      <c r="J1136" s="137"/>
      <c r="M1136" s="143"/>
      <c r="N1136" s="143"/>
      <c r="O1136" s="143"/>
      <c r="P1136" s="143"/>
      <c r="Q1136" s="137"/>
      <c r="R1136" s="137"/>
      <c r="S1136" s="137"/>
      <c r="T1136" s="137"/>
      <c r="U1136" s="137"/>
      <c r="V1136" s="137"/>
      <c r="W1136" s="137"/>
      <c r="X1136" s="137"/>
      <c r="Y1136" s="137"/>
      <c r="Z1136" s="137"/>
      <c r="AA1136" s="137"/>
    </row>
    <row r="1137" spans="5:27" x14ac:dyDescent="0.35">
      <c r="E1137" s="137"/>
      <c r="F1137" s="137"/>
      <c r="G1137" s="190"/>
      <c r="H1137" s="137"/>
      <c r="I1137" s="137"/>
      <c r="J1137" s="137"/>
      <c r="M1137" s="143"/>
      <c r="N1137" s="143"/>
      <c r="O1137" s="143"/>
      <c r="P1137" s="143"/>
      <c r="Q1137" s="137"/>
      <c r="R1137" s="137"/>
      <c r="S1137" s="137"/>
      <c r="T1137" s="137"/>
      <c r="U1137" s="137"/>
      <c r="V1137" s="137"/>
      <c r="W1137" s="137"/>
      <c r="X1137" s="137"/>
      <c r="Y1137" s="137"/>
      <c r="Z1137" s="137"/>
      <c r="AA1137" s="137"/>
    </row>
    <row r="1138" spans="5:27" x14ac:dyDescent="0.35">
      <c r="E1138" s="137"/>
      <c r="F1138" s="137"/>
      <c r="G1138" s="190"/>
      <c r="H1138" s="137"/>
      <c r="I1138" s="137"/>
      <c r="J1138" s="137"/>
      <c r="M1138" s="143"/>
      <c r="N1138" s="143"/>
      <c r="O1138" s="143"/>
      <c r="P1138" s="143"/>
      <c r="Q1138" s="137"/>
      <c r="R1138" s="137"/>
      <c r="S1138" s="137"/>
      <c r="T1138" s="137"/>
      <c r="U1138" s="137"/>
      <c r="V1138" s="137"/>
      <c r="W1138" s="137"/>
      <c r="X1138" s="137"/>
      <c r="Y1138" s="137"/>
      <c r="Z1138" s="137"/>
      <c r="AA1138" s="137"/>
    </row>
    <row r="1139" spans="5:27" x14ac:dyDescent="0.35">
      <c r="E1139" s="137"/>
      <c r="F1139" s="137"/>
      <c r="G1139" s="190"/>
      <c r="H1139" s="137"/>
      <c r="I1139" s="137"/>
      <c r="J1139" s="137"/>
      <c r="M1139" s="143"/>
      <c r="N1139" s="143"/>
      <c r="O1139" s="143"/>
      <c r="P1139" s="143"/>
      <c r="Q1139" s="137"/>
      <c r="R1139" s="137"/>
      <c r="S1139" s="137"/>
      <c r="T1139" s="137"/>
      <c r="U1139" s="137"/>
      <c r="V1139" s="137"/>
      <c r="W1139" s="137"/>
      <c r="X1139" s="137"/>
      <c r="Y1139" s="137"/>
      <c r="Z1139" s="137"/>
      <c r="AA1139" s="137"/>
    </row>
    <row r="1140" spans="5:27" x14ac:dyDescent="0.35">
      <c r="E1140" s="137"/>
      <c r="F1140" s="137"/>
      <c r="G1140" s="190"/>
      <c r="H1140" s="137"/>
      <c r="I1140" s="137"/>
      <c r="J1140" s="137"/>
      <c r="M1140" s="143"/>
      <c r="N1140" s="143"/>
      <c r="O1140" s="143"/>
      <c r="P1140" s="143"/>
      <c r="Q1140" s="137"/>
      <c r="R1140" s="137"/>
      <c r="S1140" s="137"/>
      <c r="T1140" s="137"/>
      <c r="U1140" s="137"/>
      <c r="V1140" s="137"/>
      <c r="W1140" s="137"/>
      <c r="X1140" s="137"/>
      <c r="Y1140" s="137"/>
      <c r="Z1140" s="137"/>
      <c r="AA1140" s="137"/>
    </row>
    <row r="1141" spans="5:27" x14ac:dyDescent="0.35">
      <c r="E1141" s="137"/>
      <c r="F1141" s="137"/>
      <c r="G1141" s="190"/>
      <c r="H1141" s="137"/>
      <c r="I1141" s="137"/>
      <c r="J1141" s="137"/>
      <c r="M1141" s="143"/>
      <c r="N1141" s="143"/>
      <c r="O1141" s="143"/>
      <c r="P1141" s="143"/>
      <c r="Q1141" s="137"/>
      <c r="R1141" s="137"/>
      <c r="S1141" s="137"/>
      <c r="T1141" s="137"/>
      <c r="U1141" s="137"/>
      <c r="V1141" s="137"/>
      <c r="W1141" s="137"/>
      <c r="X1141" s="137"/>
      <c r="Y1141" s="137"/>
      <c r="Z1141" s="137"/>
      <c r="AA1141" s="137"/>
    </row>
    <row r="1142" spans="5:27" x14ac:dyDescent="0.35">
      <c r="E1142" s="137"/>
      <c r="F1142" s="137"/>
      <c r="G1142" s="190"/>
      <c r="H1142" s="137"/>
      <c r="I1142" s="137"/>
      <c r="J1142" s="137"/>
      <c r="M1142" s="143"/>
      <c r="N1142" s="143"/>
      <c r="O1142" s="143"/>
      <c r="P1142" s="143"/>
      <c r="Q1142" s="137"/>
      <c r="R1142" s="137"/>
      <c r="S1142" s="137"/>
      <c r="T1142" s="137"/>
      <c r="U1142" s="137"/>
      <c r="V1142" s="137"/>
      <c r="W1142" s="137"/>
      <c r="X1142" s="137"/>
      <c r="Y1142" s="137"/>
      <c r="Z1142" s="137"/>
      <c r="AA1142" s="137"/>
    </row>
    <row r="1143" spans="5:27" x14ac:dyDescent="0.35">
      <c r="E1143" s="137"/>
      <c r="F1143" s="137"/>
      <c r="G1143" s="190"/>
      <c r="H1143" s="137"/>
      <c r="I1143" s="137"/>
      <c r="J1143" s="137"/>
      <c r="M1143" s="143"/>
      <c r="N1143" s="143"/>
      <c r="O1143" s="143"/>
      <c r="P1143" s="143"/>
      <c r="Q1143" s="137"/>
      <c r="R1143" s="137"/>
      <c r="S1143" s="137"/>
      <c r="T1143" s="137"/>
      <c r="U1143" s="137"/>
      <c r="V1143" s="137"/>
      <c r="W1143" s="137"/>
      <c r="X1143" s="137"/>
      <c r="Y1143" s="137"/>
      <c r="Z1143" s="137"/>
      <c r="AA1143" s="137"/>
    </row>
    <row r="1144" spans="5:27" x14ac:dyDescent="0.35">
      <c r="E1144" s="137"/>
      <c r="F1144" s="137"/>
      <c r="G1144" s="190"/>
      <c r="H1144" s="137"/>
      <c r="I1144" s="137"/>
      <c r="J1144" s="137"/>
      <c r="M1144" s="143"/>
      <c r="N1144" s="143"/>
      <c r="O1144" s="143"/>
      <c r="P1144" s="143"/>
      <c r="Q1144" s="137"/>
      <c r="R1144" s="137"/>
      <c r="S1144" s="137"/>
      <c r="T1144" s="137"/>
      <c r="U1144" s="137"/>
      <c r="V1144" s="137"/>
      <c r="W1144" s="137"/>
      <c r="X1144" s="137"/>
      <c r="Y1144" s="137"/>
      <c r="Z1144" s="137"/>
      <c r="AA1144" s="137"/>
    </row>
    <row r="1145" spans="5:27" x14ac:dyDescent="0.35">
      <c r="E1145" s="137"/>
      <c r="F1145" s="137"/>
      <c r="G1145" s="190"/>
      <c r="H1145" s="137"/>
      <c r="I1145" s="137"/>
      <c r="J1145" s="137"/>
      <c r="M1145" s="143"/>
      <c r="N1145" s="143"/>
      <c r="O1145" s="143"/>
      <c r="P1145" s="143"/>
      <c r="Q1145" s="137"/>
      <c r="R1145" s="137"/>
      <c r="S1145" s="137"/>
      <c r="T1145" s="137"/>
      <c r="U1145" s="137"/>
      <c r="V1145" s="137"/>
      <c r="W1145" s="137"/>
      <c r="X1145" s="137"/>
      <c r="Y1145" s="137"/>
      <c r="Z1145" s="137"/>
      <c r="AA1145" s="137"/>
    </row>
    <row r="1146" spans="5:27" x14ac:dyDescent="0.35">
      <c r="E1146" s="137"/>
      <c r="F1146" s="137"/>
      <c r="G1146" s="190"/>
      <c r="H1146" s="137"/>
      <c r="I1146" s="137"/>
      <c r="J1146" s="137"/>
      <c r="M1146" s="143"/>
      <c r="N1146" s="143"/>
      <c r="O1146" s="143"/>
      <c r="P1146" s="143"/>
      <c r="Q1146" s="137"/>
      <c r="R1146" s="137"/>
      <c r="S1146" s="137"/>
      <c r="T1146" s="137"/>
      <c r="U1146" s="137"/>
      <c r="V1146" s="137"/>
      <c r="W1146" s="137"/>
      <c r="X1146" s="137"/>
      <c r="Y1146" s="137"/>
      <c r="Z1146" s="137"/>
      <c r="AA1146" s="137"/>
    </row>
    <row r="1147" spans="5:27" x14ac:dyDescent="0.35">
      <c r="E1147" s="137"/>
      <c r="F1147" s="137"/>
      <c r="G1147" s="190"/>
      <c r="H1147" s="137"/>
      <c r="I1147" s="137"/>
      <c r="J1147" s="137"/>
      <c r="M1147" s="143"/>
      <c r="N1147" s="143"/>
      <c r="O1147" s="143"/>
      <c r="P1147" s="143"/>
      <c r="Q1147" s="137"/>
      <c r="R1147" s="137"/>
      <c r="S1147" s="137"/>
      <c r="T1147" s="137"/>
      <c r="U1147" s="137"/>
      <c r="V1147" s="137"/>
      <c r="W1147" s="137"/>
      <c r="X1147" s="137"/>
      <c r="Y1147" s="137"/>
      <c r="Z1147" s="137"/>
      <c r="AA1147" s="137"/>
    </row>
    <row r="1148" spans="5:27" x14ac:dyDescent="0.35">
      <c r="E1148" s="137"/>
      <c r="F1148" s="137"/>
      <c r="G1148" s="190"/>
      <c r="H1148" s="137"/>
      <c r="I1148" s="137"/>
      <c r="J1148" s="137"/>
      <c r="M1148" s="143"/>
      <c r="N1148" s="143"/>
      <c r="O1148" s="143"/>
      <c r="P1148" s="143"/>
      <c r="Q1148" s="137"/>
      <c r="R1148" s="137"/>
      <c r="S1148" s="137"/>
      <c r="T1148" s="137"/>
      <c r="U1148" s="137"/>
      <c r="V1148" s="137"/>
      <c r="W1148" s="137"/>
      <c r="X1148" s="137"/>
      <c r="Y1148" s="137"/>
      <c r="Z1148" s="137"/>
      <c r="AA1148" s="137"/>
    </row>
    <row r="1149" spans="5:27" x14ac:dyDescent="0.35">
      <c r="E1149" s="137"/>
      <c r="F1149" s="137"/>
      <c r="G1149" s="190"/>
      <c r="H1149" s="137"/>
      <c r="I1149" s="137"/>
      <c r="J1149" s="137"/>
      <c r="M1149" s="143"/>
      <c r="N1149" s="143"/>
      <c r="O1149" s="143"/>
      <c r="P1149" s="143"/>
      <c r="Q1149" s="137"/>
      <c r="R1149" s="137"/>
      <c r="S1149" s="137"/>
      <c r="T1149" s="137"/>
      <c r="U1149" s="137"/>
      <c r="V1149" s="137"/>
      <c r="W1149" s="137"/>
      <c r="X1149" s="137"/>
      <c r="Y1149" s="137"/>
      <c r="Z1149" s="137"/>
      <c r="AA1149" s="137"/>
    </row>
    <row r="1150" spans="5:27" x14ac:dyDescent="0.35">
      <c r="E1150" s="137"/>
      <c r="F1150" s="137"/>
      <c r="G1150" s="190"/>
      <c r="H1150" s="137"/>
      <c r="I1150" s="137"/>
      <c r="J1150" s="137"/>
      <c r="M1150" s="143"/>
      <c r="N1150" s="143"/>
      <c r="O1150" s="143"/>
      <c r="P1150" s="143"/>
      <c r="Q1150" s="137"/>
      <c r="R1150" s="137"/>
      <c r="S1150" s="137"/>
      <c r="T1150" s="137"/>
      <c r="U1150" s="137"/>
      <c r="V1150" s="137"/>
      <c r="W1150" s="137"/>
      <c r="X1150" s="137"/>
      <c r="Y1150" s="137"/>
      <c r="Z1150" s="137"/>
      <c r="AA1150" s="137"/>
    </row>
    <row r="1151" spans="5:27" x14ac:dyDescent="0.35">
      <c r="E1151" s="137"/>
      <c r="F1151" s="137"/>
      <c r="G1151" s="190"/>
      <c r="H1151" s="137"/>
      <c r="I1151" s="137"/>
      <c r="J1151" s="137"/>
      <c r="M1151" s="143"/>
      <c r="N1151" s="143"/>
      <c r="O1151" s="143"/>
      <c r="P1151" s="143"/>
      <c r="Q1151" s="137"/>
      <c r="R1151" s="137"/>
      <c r="S1151" s="137"/>
      <c r="T1151" s="137"/>
      <c r="U1151" s="137"/>
      <c r="V1151" s="137"/>
      <c r="W1151" s="137"/>
      <c r="X1151" s="137"/>
      <c r="Y1151" s="137"/>
      <c r="Z1151" s="137"/>
      <c r="AA1151" s="137"/>
    </row>
    <row r="1152" spans="5:27" x14ac:dyDescent="0.35">
      <c r="E1152" s="137"/>
      <c r="F1152" s="137"/>
      <c r="G1152" s="190"/>
      <c r="H1152" s="137"/>
      <c r="I1152" s="137"/>
      <c r="J1152" s="137"/>
      <c r="M1152" s="143"/>
      <c r="N1152" s="143"/>
      <c r="O1152" s="143"/>
      <c r="P1152" s="143"/>
      <c r="Q1152" s="137"/>
      <c r="R1152" s="137"/>
      <c r="S1152" s="137"/>
      <c r="T1152" s="137"/>
      <c r="U1152" s="137"/>
      <c r="V1152" s="137"/>
      <c r="W1152" s="137"/>
      <c r="X1152" s="137"/>
      <c r="Y1152" s="137"/>
      <c r="Z1152" s="137"/>
      <c r="AA1152" s="137"/>
    </row>
    <row r="1153" spans="5:27" x14ac:dyDescent="0.35">
      <c r="E1153" s="137"/>
      <c r="F1153" s="137"/>
      <c r="G1153" s="190"/>
      <c r="H1153" s="137"/>
      <c r="I1153" s="137"/>
      <c r="J1153" s="137"/>
      <c r="M1153" s="143"/>
      <c r="N1153" s="143"/>
      <c r="O1153" s="143"/>
      <c r="P1153" s="143"/>
      <c r="Q1153" s="137"/>
      <c r="R1153" s="137"/>
      <c r="S1153" s="137"/>
      <c r="T1153" s="137"/>
      <c r="U1153" s="137"/>
      <c r="V1153" s="137"/>
      <c r="W1153" s="137"/>
      <c r="X1153" s="137"/>
      <c r="Y1153" s="137"/>
      <c r="Z1153" s="137"/>
      <c r="AA1153" s="137"/>
    </row>
    <row r="1154" spans="5:27" x14ac:dyDescent="0.35">
      <c r="E1154" s="137"/>
      <c r="F1154" s="137"/>
      <c r="G1154" s="190"/>
      <c r="H1154" s="137"/>
      <c r="I1154" s="137"/>
      <c r="J1154" s="137"/>
      <c r="M1154" s="143"/>
      <c r="N1154" s="143"/>
      <c r="O1154" s="143"/>
      <c r="P1154" s="143"/>
      <c r="Q1154" s="137"/>
      <c r="R1154" s="137"/>
      <c r="S1154" s="137"/>
      <c r="T1154" s="137"/>
      <c r="U1154" s="137"/>
      <c r="V1154" s="137"/>
      <c r="W1154" s="137"/>
      <c r="X1154" s="137"/>
      <c r="Y1154" s="137"/>
      <c r="Z1154" s="137"/>
      <c r="AA1154" s="137"/>
    </row>
    <row r="1155" spans="5:27" x14ac:dyDescent="0.35">
      <c r="E1155" s="137"/>
      <c r="F1155" s="137"/>
      <c r="G1155" s="190"/>
      <c r="H1155" s="137"/>
      <c r="I1155" s="137"/>
      <c r="J1155" s="137"/>
      <c r="M1155" s="143"/>
      <c r="N1155" s="143"/>
      <c r="O1155" s="143"/>
      <c r="P1155" s="143"/>
      <c r="Q1155" s="137"/>
      <c r="R1155" s="137"/>
      <c r="S1155" s="137"/>
      <c r="T1155" s="137"/>
      <c r="U1155" s="137"/>
      <c r="V1155" s="137"/>
      <c r="W1155" s="137"/>
      <c r="X1155" s="137"/>
      <c r="Y1155" s="137"/>
      <c r="Z1155" s="137"/>
      <c r="AA1155" s="137"/>
    </row>
    <row r="1156" spans="5:27" x14ac:dyDescent="0.35">
      <c r="E1156" s="137"/>
      <c r="F1156" s="137"/>
      <c r="G1156" s="190"/>
      <c r="H1156" s="137"/>
      <c r="I1156" s="137"/>
      <c r="J1156" s="137"/>
      <c r="M1156" s="143"/>
      <c r="N1156" s="143"/>
      <c r="O1156" s="143"/>
      <c r="P1156" s="143"/>
      <c r="Q1156" s="137"/>
      <c r="R1156" s="137"/>
      <c r="S1156" s="137"/>
      <c r="T1156" s="137"/>
      <c r="U1156" s="137"/>
      <c r="V1156" s="137"/>
      <c r="W1156" s="137"/>
      <c r="X1156" s="137"/>
      <c r="Y1156" s="137"/>
      <c r="Z1156" s="137"/>
      <c r="AA1156" s="137"/>
    </row>
    <row r="1157" spans="5:27" x14ac:dyDescent="0.35">
      <c r="E1157" s="137"/>
      <c r="F1157" s="137"/>
      <c r="G1157" s="190"/>
      <c r="H1157" s="137"/>
      <c r="I1157" s="137"/>
      <c r="J1157" s="137"/>
      <c r="M1157" s="143"/>
      <c r="N1157" s="143"/>
      <c r="O1157" s="143"/>
      <c r="P1157" s="143"/>
      <c r="Q1157" s="137"/>
      <c r="R1157" s="137"/>
      <c r="S1157" s="137"/>
      <c r="T1157" s="137"/>
      <c r="U1157" s="137"/>
      <c r="V1157" s="137"/>
      <c r="W1157" s="137"/>
      <c r="X1157" s="137"/>
      <c r="Y1157" s="137"/>
      <c r="Z1157" s="137"/>
      <c r="AA1157" s="137"/>
    </row>
    <row r="1158" spans="5:27" x14ac:dyDescent="0.35">
      <c r="E1158" s="137"/>
      <c r="F1158" s="137"/>
      <c r="G1158" s="190"/>
      <c r="H1158" s="137"/>
      <c r="I1158" s="137"/>
      <c r="J1158" s="137"/>
      <c r="M1158" s="143"/>
      <c r="N1158" s="143"/>
      <c r="O1158" s="143"/>
      <c r="P1158" s="143"/>
      <c r="Q1158" s="137"/>
      <c r="R1158" s="137"/>
      <c r="S1158" s="137"/>
      <c r="T1158" s="137"/>
      <c r="U1158" s="137"/>
      <c r="V1158" s="137"/>
      <c r="W1158" s="137"/>
      <c r="X1158" s="137"/>
      <c r="Y1158" s="137"/>
      <c r="Z1158" s="137"/>
      <c r="AA1158" s="137"/>
    </row>
    <row r="1159" spans="5:27" x14ac:dyDescent="0.35">
      <c r="E1159" s="137"/>
      <c r="F1159" s="137"/>
      <c r="G1159" s="190"/>
      <c r="H1159" s="137"/>
      <c r="I1159" s="137"/>
      <c r="J1159" s="137"/>
      <c r="M1159" s="143"/>
      <c r="N1159" s="143"/>
      <c r="O1159" s="143"/>
      <c r="P1159" s="143"/>
      <c r="Q1159" s="137"/>
      <c r="R1159" s="137"/>
      <c r="S1159" s="137"/>
      <c r="T1159" s="137"/>
      <c r="U1159" s="137"/>
      <c r="V1159" s="137"/>
      <c r="W1159" s="137"/>
      <c r="X1159" s="137"/>
      <c r="Y1159" s="137"/>
      <c r="Z1159" s="137"/>
      <c r="AA1159" s="137"/>
    </row>
    <row r="1160" spans="5:27" x14ac:dyDescent="0.35">
      <c r="E1160" s="137"/>
      <c r="F1160" s="137"/>
      <c r="G1160" s="190"/>
      <c r="H1160" s="137"/>
      <c r="I1160" s="137"/>
      <c r="J1160" s="137"/>
      <c r="M1160" s="143"/>
      <c r="N1160" s="143"/>
      <c r="O1160" s="143"/>
      <c r="P1160" s="143"/>
      <c r="Q1160" s="137"/>
      <c r="R1160" s="137"/>
      <c r="S1160" s="137"/>
      <c r="T1160" s="137"/>
      <c r="U1160" s="137"/>
      <c r="V1160" s="137"/>
      <c r="W1160" s="137"/>
      <c r="X1160" s="137"/>
      <c r="Y1160" s="137"/>
      <c r="Z1160" s="137"/>
      <c r="AA1160" s="137"/>
    </row>
    <row r="1161" spans="5:27" x14ac:dyDescent="0.35">
      <c r="E1161" s="137"/>
      <c r="F1161" s="137"/>
      <c r="G1161" s="190"/>
      <c r="H1161" s="137"/>
      <c r="I1161" s="137"/>
      <c r="J1161" s="137"/>
      <c r="M1161" s="143"/>
      <c r="N1161" s="143"/>
      <c r="O1161" s="143"/>
      <c r="P1161" s="143"/>
      <c r="Q1161" s="137"/>
      <c r="R1161" s="137"/>
      <c r="S1161" s="137"/>
      <c r="T1161" s="137"/>
      <c r="U1161" s="137"/>
      <c r="V1161" s="137"/>
      <c r="W1161" s="137"/>
      <c r="X1161" s="137"/>
      <c r="Y1161" s="137"/>
      <c r="Z1161" s="137"/>
      <c r="AA1161" s="137"/>
    </row>
    <row r="1162" spans="5:27" x14ac:dyDescent="0.35">
      <c r="E1162" s="137"/>
      <c r="F1162" s="137"/>
      <c r="G1162" s="190"/>
      <c r="H1162" s="137"/>
      <c r="I1162" s="137"/>
      <c r="J1162" s="137"/>
      <c r="M1162" s="143"/>
      <c r="N1162" s="143"/>
      <c r="O1162" s="143"/>
      <c r="P1162" s="143"/>
      <c r="Q1162" s="137"/>
      <c r="R1162" s="137"/>
      <c r="S1162" s="137"/>
      <c r="T1162" s="137"/>
      <c r="U1162" s="137"/>
      <c r="V1162" s="137"/>
      <c r="W1162" s="137"/>
      <c r="X1162" s="137"/>
      <c r="Y1162" s="137"/>
      <c r="Z1162" s="137"/>
      <c r="AA1162" s="137"/>
    </row>
    <row r="1163" spans="5:27" x14ac:dyDescent="0.35">
      <c r="E1163" s="137"/>
      <c r="F1163" s="137"/>
      <c r="G1163" s="190"/>
      <c r="H1163" s="137"/>
      <c r="I1163" s="137"/>
      <c r="J1163" s="137"/>
      <c r="M1163" s="143"/>
      <c r="N1163" s="143"/>
      <c r="O1163" s="143"/>
      <c r="P1163" s="143"/>
      <c r="Q1163" s="137"/>
      <c r="R1163" s="137"/>
      <c r="S1163" s="137"/>
      <c r="T1163" s="137"/>
      <c r="U1163" s="137"/>
      <c r="V1163" s="137"/>
      <c r="W1163" s="137"/>
      <c r="X1163" s="137"/>
      <c r="Y1163" s="137"/>
      <c r="Z1163" s="137"/>
      <c r="AA1163" s="137"/>
    </row>
    <row r="1164" spans="5:27" x14ac:dyDescent="0.35">
      <c r="E1164" s="137"/>
      <c r="F1164" s="137"/>
      <c r="G1164" s="190"/>
      <c r="H1164" s="137"/>
      <c r="I1164" s="137"/>
      <c r="J1164" s="137"/>
      <c r="M1164" s="143"/>
      <c r="N1164" s="143"/>
      <c r="O1164" s="143"/>
      <c r="P1164" s="143"/>
      <c r="Q1164" s="137"/>
      <c r="R1164" s="137"/>
      <c r="S1164" s="137"/>
      <c r="T1164" s="137"/>
      <c r="U1164" s="137"/>
      <c r="V1164" s="137"/>
      <c r="W1164" s="137"/>
      <c r="X1164" s="137"/>
      <c r="Y1164" s="137"/>
      <c r="Z1164" s="137"/>
      <c r="AA1164" s="137"/>
    </row>
    <row r="1165" spans="5:27" x14ac:dyDescent="0.35">
      <c r="E1165" s="137"/>
      <c r="F1165" s="137"/>
      <c r="G1165" s="190"/>
      <c r="H1165" s="137"/>
      <c r="I1165" s="137"/>
      <c r="J1165" s="137"/>
      <c r="M1165" s="143"/>
      <c r="N1165" s="143"/>
      <c r="O1165" s="143"/>
      <c r="P1165" s="143"/>
      <c r="Q1165" s="137"/>
      <c r="R1165" s="137"/>
      <c r="S1165" s="137"/>
      <c r="T1165" s="137"/>
      <c r="U1165" s="137"/>
      <c r="V1165" s="137"/>
      <c r="W1165" s="137"/>
      <c r="X1165" s="137"/>
      <c r="Y1165" s="137"/>
      <c r="Z1165" s="137"/>
      <c r="AA1165" s="137"/>
    </row>
    <row r="1166" spans="5:27" x14ac:dyDescent="0.35">
      <c r="E1166" s="137"/>
      <c r="F1166" s="137"/>
      <c r="G1166" s="190"/>
      <c r="H1166" s="137"/>
      <c r="I1166" s="137"/>
      <c r="J1166" s="137"/>
      <c r="M1166" s="143"/>
      <c r="N1166" s="143"/>
      <c r="O1166" s="143"/>
      <c r="P1166" s="143"/>
      <c r="Q1166" s="137"/>
      <c r="R1166" s="137"/>
      <c r="S1166" s="137"/>
      <c r="T1166" s="137"/>
      <c r="U1166" s="137"/>
      <c r="V1166" s="137"/>
      <c r="W1166" s="137"/>
      <c r="X1166" s="137"/>
      <c r="Y1166" s="137"/>
      <c r="Z1166" s="137"/>
      <c r="AA1166" s="137"/>
    </row>
    <row r="1167" spans="5:27" x14ac:dyDescent="0.35">
      <c r="E1167" s="137"/>
      <c r="F1167" s="137"/>
      <c r="G1167" s="190"/>
      <c r="H1167" s="137"/>
      <c r="I1167" s="137"/>
      <c r="J1167" s="137"/>
      <c r="M1167" s="143"/>
      <c r="N1167" s="143"/>
      <c r="O1167" s="143"/>
      <c r="P1167" s="143"/>
      <c r="Q1167" s="137"/>
      <c r="R1167" s="137"/>
      <c r="S1167" s="137"/>
      <c r="T1167" s="137"/>
      <c r="U1167" s="137"/>
      <c r="V1167" s="137"/>
      <c r="W1167" s="137"/>
      <c r="X1167" s="137"/>
      <c r="Y1167" s="137"/>
      <c r="Z1167" s="137"/>
      <c r="AA1167" s="137"/>
    </row>
    <row r="1168" spans="5:27" x14ac:dyDescent="0.35">
      <c r="E1168" s="137"/>
      <c r="F1168" s="137"/>
      <c r="G1168" s="190"/>
      <c r="H1168" s="137"/>
      <c r="I1168" s="137"/>
      <c r="J1168" s="137"/>
      <c r="M1168" s="143"/>
      <c r="N1168" s="143"/>
      <c r="O1168" s="143"/>
      <c r="P1168" s="143"/>
      <c r="Q1168" s="137"/>
      <c r="R1168" s="137"/>
      <c r="S1168" s="137"/>
      <c r="T1168" s="137"/>
      <c r="U1168" s="137"/>
      <c r="V1168" s="137"/>
      <c r="W1168" s="137"/>
      <c r="X1168" s="137"/>
      <c r="Y1168" s="137"/>
      <c r="Z1168" s="137"/>
      <c r="AA1168" s="137"/>
    </row>
    <row r="1169" spans="5:27" x14ac:dyDescent="0.35">
      <c r="E1169" s="137"/>
      <c r="F1169" s="137"/>
      <c r="G1169" s="190"/>
      <c r="H1169" s="137"/>
      <c r="I1169" s="137"/>
      <c r="J1169" s="137"/>
      <c r="M1169" s="143"/>
      <c r="N1169" s="143"/>
      <c r="O1169" s="143"/>
      <c r="P1169" s="143"/>
      <c r="Q1169" s="137"/>
      <c r="R1169" s="137"/>
      <c r="S1169" s="137"/>
      <c r="T1169" s="137"/>
      <c r="U1169" s="137"/>
      <c r="V1169" s="137"/>
      <c r="W1169" s="137"/>
      <c r="X1169" s="137"/>
      <c r="Y1169" s="137"/>
      <c r="Z1169" s="137"/>
      <c r="AA1169" s="137"/>
    </row>
    <row r="1170" spans="5:27" x14ac:dyDescent="0.35">
      <c r="E1170" s="137"/>
      <c r="F1170" s="137"/>
      <c r="G1170" s="190"/>
      <c r="H1170" s="137"/>
      <c r="I1170" s="137"/>
      <c r="J1170" s="137"/>
      <c r="M1170" s="143"/>
      <c r="N1170" s="143"/>
      <c r="O1170" s="143"/>
      <c r="P1170" s="143"/>
      <c r="Q1170" s="137"/>
      <c r="R1170" s="137"/>
      <c r="S1170" s="137"/>
      <c r="T1170" s="137"/>
      <c r="U1170" s="137"/>
      <c r="V1170" s="137"/>
      <c r="W1170" s="137"/>
      <c r="X1170" s="137"/>
      <c r="Y1170" s="137"/>
      <c r="Z1170" s="137"/>
      <c r="AA1170" s="137"/>
    </row>
    <row r="1171" spans="5:27" x14ac:dyDescent="0.35">
      <c r="E1171" s="137"/>
      <c r="F1171" s="137"/>
      <c r="G1171" s="190"/>
      <c r="H1171" s="137"/>
      <c r="I1171" s="137"/>
      <c r="J1171" s="137"/>
      <c r="M1171" s="143"/>
      <c r="N1171" s="143"/>
      <c r="O1171" s="143"/>
      <c r="P1171" s="143"/>
      <c r="Q1171" s="137"/>
      <c r="R1171" s="137"/>
      <c r="S1171" s="137"/>
      <c r="T1171" s="137"/>
      <c r="U1171" s="137"/>
      <c r="V1171" s="137"/>
      <c r="W1171" s="137"/>
      <c r="X1171" s="137"/>
      <c r="Y1171" s="137"/>
      <c r="Z1171" s="137"/>
      <c r="AA1171" s="137"/>
    </row>
    <row r="1172" spans="5:27" x14ac:dyDescent="0.35">
      <c r="E1172" s="137"/>
      <c r="F1172" s="137"/>
      <c r="G1172" s="190"/>
      <c r="H1172" s="137"/>
      <c r="I1172" s="137"/>
      <c r="J1172" s="137"/>
      <c r="M1172" s="143"/>
      <c r="N1172" s="143"/>
      <c r="O1172" s="143"/>
      <c r="P1172" s="143"/>
      <c r="Q1172" s="137"/>
      <c r="R1172" s="137"/>
      <c r="S1172" s="137"/>
      <c r="T1172" s="137"/>
      <c r="U1172" s="137"/>
      <c r="V1172" s="137"/>
      <c r="W1172" s="137"/>
      <c r="X1172" s="137"/>
      <c r="Y1172" s="137"/>
      <c r="Z1172" s="137"/>
      <c r="AA1172" s="137"/>
    </row>
    <row r="1173" spans="5:27" x14ac:dyDescent="0.35">
      <c r="E1173" s="137"/>
      <c r="F1173" s="137"/>
      <c r="G1173" s="190"/>
      <c r="H1173" s="137"/>
      <c r="I1173" s="137"/>
      <c r="J1173" s="137"/>
      <c r="M1173" s="143"/>
      <c r="N1173" s="143"/>
      <c r="O1173" s="143"/>
      <c r="P1173" s="143"/>
      <c r="Q1173" s="137"/>
      <c r="R1173" s="137"/>
      <c r="S1173" s="137"/>
      <c r="T1173" s="137"/>
      <c r="U1173" s="137"/>
      <c r="V1173" s="137"/>
      <c r="W1173" s="137"/>
      <c r="X1173" s="137"/>
      <c r="Y1173" s="137"/>
      <c r="Z1173" s="137"/>
      <c r="AA1173" s="137"/>
    </row>
    <row r="1174" spans="5:27" x14ac:dyDescent="0.35">
      <c r="E1174" s="137"/>
      <c r="F1174" s="137"/>
      <c r="G1174" s="190"/>
      <c r="H1174" s="137"/>
      <c r="I1174" s="137"/>
      <c r="J1174" s="137"/>
      <c r="M1174" s="143"/>
      <c r="N1174" s="143"/>
      <c r="O1174" s="143"/>
      <c r="P1174" s="143"/>
      <c r="Q1174" s="137"/>
      <c r="R1174" s="137"/>
      <c r="S1174" s="137"/>
      <c r="T1174" s="137"/>
      <c r="U1174" s="137"/>
      <c r="V1174" s="137"/>
      <c r="W1174" s="137"/>
      <c r="X1174" s="137"/>
      <c r="Y1174" s="137"/>
      <c r="Z1174" s="137"/>
      <c r="AA1174" s="137"/>
    </row>
    <row r="1175" spans="5:27" x14ac:dyDescent="0.35">
      <c r="E1175" s="137"/>
      <c r="F1175" s="137"/>
      <c r="G1175" s="190"/>
      <c r="H1175" s="137"/>
      <c r="I1175" s="137"/>
      <c r="J1175" s="137"/>
      <c r="M1175" s="143"/>
      <c r="N1175" s="143"/>
      <c r="O1175" s="143"/>
      <c r="P1175" s="143"/>
      <c r="Q1175" s="137"/>
      <c r="R1175" s="137"/>
      <c r="S1175" s="137"/>
      <c r="T1175" s="137"/>
      <c r="U1175" s="137"/>
      <c r="V1175" s="137"/>
      <c r="W1175" s="137"/>
      <c r="X1175" s="137"/>
      <c r="Y1175" s="137"/>
      <c r="Z1175" s="137"/>
      <c r="AA1175" s="137"/>
    </row>
    <row r="1176" spans="5:27" x14ac:dyDescent="0.35">
      <c r="E1176" s="137"/>
      <c r="F1176" s="137"/>
      <c r="G1176" s="190"/>
      <c r="H1176" s="137"/>
      <c r="I1176" s="137"/>
      <c r="J1176" s="137"/>
      <c r="M1176" s="143"/>
      <c r="N1176" s="143"/>
      <c r="O1176" s="143"/>
      <c r="P1176" s="143"/>
      <c r="Q1176" s="137"/>
      <c r="R1176" s="137"/>
      <c r="S1176" s="137"/>
      <c r="T1176" s="137"/>
      <c r="U1176" s="137"/>
      <c r="V1176" s="137"/>
      <c r="W1176" s="137"/>
      <c r="X1176" s="137"/>
      <c r="Y1176" s="137"/>
      <c r="Z1176" s="137"/>
      <c r="AA1176" s="137"/>
    </row>
    <row r="1177" spans="5:27" x14ac:dyDescent="0.35">
      <c r="E1177" s="137"/>
      <c r="F1177" s="137"/>
      <c r="G1177" s="190"/>
      <c r="H1177" s="137"/>
      <c r="I1177" s="137"/>
      <c r="J1177" s="137"/>
      <c r="M1177" s="143"/>
      <c r="N1177" s="143"/>
      <c r="O1177" s="143"/>
      <c r="P1177" s="143"/>
      <c r="Q1177" s="137"/>
      <c r="R1177" s="137"/>
      <c r="S1177" s="137"/>
      <c r="T1177" s="137"/>
      <c r="U1177" s="137"/>
      <c r="V1177" s="137"/>
      <c r="W1177" s="137"/>
      <c r="X1177" s="137"/>
      <c r="Y1177" s="137"/>
      <c r="Z1177" s="137"/>
      <c r="AA1177" s="137"/>
    </row>
    <row r="1178" spans="5:27" x14ac:dyDescent="0.35">
      <c r="E1178" s="137"/>
      <c r="F1178" s="137"/>
      <c r="G1178" s="190"/>
      <c r="H1178" s="137"/>
      <c r="I1178" s="137"/>
      <c r="J1178" s="137"/>
      <c r="M1178" s="143"/>
      <c r="N1178" s="143"/>
      <c r="O1178" s="143"/>
      <c r="P1178" s="143"/>
      <c r="Q1178" s="137"/>
      <c r="R1178" s="137"/>
      <c r="S1178" s="137"/>
      <c r="T1178" s="137"/>
      <c r="U1178" s="137"/>
      <c r="V1178" s="137"/>
      <c r="W1178" s="137"/>
      <c r="X1178" s="137"/>
      <c r="Y1178" s="137"/>
      <c r="Z1178" s="137"/>
      <c r="AA1178" s="137"/>
    </row>
    <row r="1179" spans="5:27" x14ac:dyDescent="0.35">
      <c r="E1179" s="137"/>
      <c r="F1179" s="137"/>
      <c r="G1179" s="190"/>
      <c r="H1179" s="137"/>
      <c r="I1179" s="137"/>
      <c r="J1179" s="137"/>
      <c r="M1179" s="143"/>
      <c r="N1179" s="143"/>
      <c r="O1179" s="143"/>
      <c r="P1179" s="143"/>
      <c r="Q1179" s="137"/>
      <c r="R1179" s="137"/>
      <c r="S1179" s="137"/>
      <c r="T1179" s="137"/>
      <c r="U1179" s="137"/>
      <c r="V1179" s="137"/>
      <c r="W1179" s="137"/>
      <c r="X1179" s="137"/>
      <c r="Y1179" s="137"/>
      <c r="Z1179" s="137"/>
      <c r="AA1179" s="137"/>
    </row>
    <row r="1180" spans="5:27" x14ac:dyDescent="0.35">
      <c r="E1180" s="137"/>
      <c r="F1180" s="137"/>
      <c r="G1180" s="190"/>
      <c r="H1180" s="137"/>
      <c r="I1180" s="137"/>
      <c r="J1180" s="137"/>
      <c r="M1180" s="143"/>
      <c r="N1180" s="143"/>
      <c r="O1180" s="143"/>
      <c r="P1180" s="143"/>
      <c r="Q1180" s="137"/>
      <c r="R1180" s="137"/>
      <c r="S1180" s="137"/>
      <c r="T1180" s="137"/>
      <c r="U1180" s="137"/>
      <c r="V1180" s="137"/>
      <c r="W1180" s="137"/>
      <c r="X1180" s="137"/>
      <c r="Y1180" s="137"/>
      <c r="Z1180" s="137"/>
      <c r="AA1180" s="137"/>
    </row>
    <row r="1181" spans="5:27" x14ac:dyDescent="0.35">
      <c r="E1181" s="137"/>
      <c r="F1181" s="137"/>
      <c r="G1181" s="190"/>
      <c r="H1181" s="137"/>
      <c r="I1181" s="137"/>
      <c r="J1181" s="137"/>
      <c r="M1181" s="143"/>
      <c r="N1181" s="143"/>
      <c r="O1181" s="143"/>
      <c r="P1181" s="143"/>
      <c r="Q1181" s="137"/>
      <c r="R1181" s="137"/>
      <c r="S1181" s="137"/>
      <c r="T1181" s="137"/>
      <c r="U1181" s="137"/>
      <c r="V1181" s="137"/>
      <c r="W1181" s="137"/>
      <c r="X1181" s="137"/>
      <c r="Y1181" s="137"/>
      <c r="Z1181" s="137"/>
      <c r="AA1181" s="137"/>
    </row>
    <row r="1182" spans="5:27" x14ac:dyDescent="0.35">
      <c r="E1182" s="137"/>
      <c r="F1182" s="137"/>
      <c r="G1182" s="190"/>
      <c r="H1182" s="137"/>
      <c r="I1182" s="137"/>
      <c r="J1182" s="137"/>
      <c r="M1182" s="143"/>
      <c r="N1182" s="143"/>
      <c r="O1182" s="143"/>
      <c r="P1182" s="143"/>
      <c r="Q1182" s="137"/>
      <c r="R1182" s="137"/>
      <c r="S1182" s="137"/>
      <c r="T1182" s="137"/>
      <c r="U1182" s="137"/>
      <c r="V1182" s="137"/>
      <c r="W1182" s="137"/>
      <c r="X1182" s="137"/>
      <c r="Y1182" s="137"/>
      <c r="Z1182" s="137"/>
      <c r="AA1182" s="137"/>
    </row>
    <row r="1183" spans="5:27" x14ac:dyDescent="0.35">
      <c r="E1183" s="137"/>
      <c r="F1183" s="137"/>
      <c r="G1183" s="190"/>
      <c r="H1183" s="137"/>
      <c r="I1183" s="137"/>
      <c r="J1183" s="137"/>
      <c r="M1183" s="143"/>
      <c r="N1183" s="143"/>
      <c r="O1183" s="143"/>
      <c r="P1183" s="143"/>
      <c r="Q1183" s="137"/>
      <c r="R1183" s="137"/>
      <c r="S1183" s="137"/>
      <c r="T1183" s="137"/>
      <c r="U1183" s="137"/>
      <c r="V1183" s="137"/>
      <c r="W1183" s="137"/>
      <c r="X1183" s="137"/>
      <c r="Y1183" s="137"/>
      <c r="Z1183" s="137"/>
      <c r="AA1183" s="137"/>
    </row>
    <row r="1184" spans="5:27" x14ac:dyDescent="0.35">
      <c r="E1184" s="137"/>
      <c r="F1184" s="137"/>
      <c r="G1184" s="190"/>
      <c r="H1184" s="137"/>
      <c r="I1184" s="137"/>
      <c r="J1184" s="137"/>
      <c r="M1184" s="143"/>
      <c r="N1184" s="143"/>
      <c r="O1184" s="143"/>
      <c r="P1184" s="143"/>
      <c r="Q1184" s="137"/>
      <c r="R1184" s="137"/>
      <c r="S1184" s="137"/>
      <c r="T1184" s="137"/>
      <c r="U1184" s="137"/>
      <c r="V1184" s="137"/>
      <c r="W1184" s="137"/>
      <c r="X1184" s="137"/>
      <c r="Y1184" s="137"/>
      <c r="Z1184" s="137"/>
      <c r="AA1184" s="137"/>
    </row>
    <row r="1185" spans="5:27" x14ac:dyDescent="0.35">
      <c r="E1185" s="137"/>
      <c r="F1185" s="137"/>
      <c r="G1185" s="190"/>
      <c r="H1185" s="137"/>
      <c r="I1185" s="137"/>
      <c r="J1185" s="137"/>
      <c r="M1185" s="143"/>
      <c r="N1185" s="143"/>
      <c r="O1185" s="143"/>
      <c r="P1185" s="143"/>
      <c r="Q1185" s="137"/>
      <c r="R1185" s="137"/>
      <c r="S1185" s="137"/>
      <c r="T1185" s="137"/>
      <c r="U1185" s="137"/>
      <c r="V1185" s="137"/>
      <c r="W1185" s="137"/>
      <c r="X1185" s="137"/>
      <c r="Y1185" s="137"/>
      <c r="Z1185" s="137"/>
      <c r="AA1185" s="137"/>
    </row>
    <row r="1186" spans="5:27" x14ac:dyDescent="0.35">
      <c r="E1186" s="137"/>
      <c r="F1186" s="137"/>
      <c r="G1186" s="190"/>
      <c r="H1186" s="137"/>
      <c r="I1186" s="137"/>
      <c r="J1186" s="137"/>
      <c r="M1186" s="143"/>
      <c r="N1186" s="143"/>
      <c r="O1186" s="143"/>
      <c r="P1186" s="143"/>
      <c r="Q1186" s="137"/>
      <c r="R1186" s="137"/>
      <c r="S1186" s="137"/>
      <c r="T1186" s="137"/>
      <c r="U1186" s="137"/>
      <c r="V1186" s="137"/>
      <c r="W1186" s="137"/>
      <c r="X1186" s="137"/>
      <c r="Y1186" s="137"/>
      <c r="Z1186" s="137"/>
      <c r="AA1186" s="137"/>
    </row>
    <row r="1187" spans="5:27" x14ac:dyDescent="0.35">
      <c r="E1187" s="137"/>
      <c r="F1187" s="137"/>
      <c r="G1187" s="190"/>
      <c r="H1187" s="137"/>
      <c r="I1187" s="137"/>
      <c r="J1187" s="137"/>
      <c r="M1187" s="143"/>
      <c r="N1187" s="143"/>
      <c r="O1187" s="143"/>
      <c r="P1187" s="143"/>
      <c r="Q1187" s="137"/>
      <c r="R1187" s="137"/>
      <c r="S1187" s="137"/>
      <c r="T1187" s="137"/>
      <c r="U1187" s="137"/>
      <c r="V1187" s="137"/>
      <c r="W1187" s="137"/>
      <c r="X1187" s="137"/>
      <c r="Y1187" s="137"/>
      <c r="Z1187" s="137"/>
      <c r="AA1187" s="137"/>
    </row>
    <row r="1188" spans="5:27" x14ac:dyDescent="0.35">
      <c r="E1188" s="137"/>
      <c r="F1188" s="137"/>
      <c r="G1188" s="190"/>
      <c r="H1188" s="137"/>
      <c r="I1188" s="137"/>
      <c r="J1188" s="137"/>
      <c r="M1188" s="143"/>
      <c r="N1188" s="143"/>
      <c r="O1188" s="143"/>
      <c r="P1188" s="143"/>
      <c r="Q1188" s="137"/>
      <c r="R1188" s="137"/>
      <c r="S1188" s="137"/>
      <c r="T1188" s="137"/>
      <c r="U1188" s="137"/>
      <c r="V1188" s="137"/>
      <c r="W1188" s="137"/>
      <c r="X1188" s="137"/>
      <c r="Y1188" s="137"/>
      <c r="Z1188" s="137"/>
      <c r="AA1188" s="137"/>
    </row>
    <row r="1189" spans="5:27" x14ac:dyDescent="0.35">
      <c r="E1189" s="137"/>
      <c r="F1189" s="137"/>
      <c r="G1189" s="190"/>
      <c r="H1189" s="137"/>
      <c r="I1189" s="137"/>
      <c r="J1189" s="137"/>
      <c r="M1189" s="143"/>
      <c r="N1189" s="143"/>
      <c r="O1189" s="143"/>
      <c r="P1189" s="143"/>
      <c r="Q1189" s="137"/>
      <c r="R1189" s="137"/>
      <c r="S1189" s="137"/>
      <c r="T1189" s="137"/>
      <c r="U1189" s="137"/>
      <c r="V1189" s="137"/>
      <c r="W1189" s="137"/>
      <c r="X1189" s="137"/>
      <c r="Y1189" s="137"/>
      <c r="Z1189" s="137"/>
      <c r="AA1189" s="137"/>
    </row>
    <row r="1190" spans="5:27" x14ac:dyDescent="0.35">
      <c r="E1190" s="137"/>
      <c r="F1190" s="137"/>
      <c r="G1190" s="190"/>
      <c r="H1190" s="137"/>
      <c r="I1190" s="137"/>
      <c r="J1190" s="137"/>
      <c r="M1190" s="143"/>
      <c r="N1190" s="143"/>
      <c r="O1190" s="143"/>
      <c r="P1190" s="143"/>
      <c r="Q1190" s="137"/>
      <c r="R1190" s="137"/>
      <c r="S1190" s="137"/>
      <c r="T1190" s="137"/>
      <c r="U1190" s="137"/>
      <c r="V1190" s="137"/>
      <c r="W1190" s="137"/>
      <c r="X1190" s="137"/>
      <c r="Y1190" s="137"/>
      <c r="Z1190" s="137"/>
      <c r="AA1190" s="137"/>
    </row>
    <row r="1191" spans="5:27" x14ac:dyDescent="0.35">
      <c r="E1191" s="137"/>
      <c r="F1191" s="137"/>
      <c r="G1191" s="190"/>
      <c r="H1191" s="137"/>
      <c r="I1191" s="137"/>
      <c r="J1191" s="137"/>
      <c r="M1191" s="143"/>
      <c r="N1191" s="143"/>
      <c r="O1191" s="143"/>
      <c r="P1191" s="143"/>
      <c r="Q1191" s="137"/>
      <c r="R1191" s="137"/>
      <c r="S1191" s="137"/>
      <c r="T1191" s="137"/>
      <c r="U1191" s="137"/>
      <c r="V1191" s="137"/>
      <c r="W1191" s="137"/>
      <c r="X1191" s="137"/>
      <c r="Y1191" s="137"/>
      <c r="Z1191" s="137"/>
      <c r="AA1191" s="137"/>
    </row>
    <row r="1192" spans="5:27" x14ac:dyDescent="0.35">
      <c r="E1192" s="137"/>
      <c r="F1192" s="137"/>
      <c r="G1192" s="190"/>
      <c r="H1192" s="137"/>
      <c r="I1192" s="137"/>
      <c r="J1192" s="137"/>
      <c r="M1192" s="143"/>
      <c r="N1192" s="143"/>
      <c r="O1192" s="143"/>
      <c r="P1192" s="143"/>
      <c r="Q1192" s="137"/>
      <c r="R1192" s="137"/>
      <c r="S1192" s="137"/>
      <c r="T1192" s="137"/>
      <c r="U1192" s="137"/>
      <c r="V1192" s="137"/>
      <c r="W1192" s="137"/>
      <c r="X1192" s="137"/>
      <c r="Y1192" s="137"/>
      <c r="Z1192" s="137"/>
      <c r="AA1192" s="137"/>
    </row>
    <row r="1193" spans="5:27" x14ac:dyDescent="0.35">
      <c r="E1193" s="137"/>
      <c r="F1193" s="137"/>
      <c r="G1193" s="190"/>
      <c r="H1193" s="137"/>
      <c r="I1193" s="137"/>
      <c r="J1193" s="137"/>
      <c r="M1193" s="143"/>
      <c r="N1193" s="143"/>
      <c r="O1193" s="143"/>
      <c r="P1193" s="143"/>
      <c r="Q1193" s="137"/>
      <c r="R1193" s="137"/>
      <c r="S1193" s="137"/>
      <c r="T1193" s="137"/>
      <c r="U1193" s="137"/>
      <c r="V1193" s="137"/>
      <c r="W1193" s="137"/>
      <c r="X1193" s="137"/>
      <c r="Y1193" s="137"/>
      <c r="Z1193" s="137"/>
      <c r="AA1193" s="137"/>
    </row>
    <row r="1194" spans="5:27" x14ac:dyDescent="0.35">
      <c r="E1194" s="137"/>
      <c r="F1194" s="137"/>
      <c r="G1194" s="190"/>
      <c r="H1194" s="137"/>
      <c r="I1194" s="137"/>
      <c r="J1194" s="137"/>
      <c r="M1194" s="143"/>
      <c r="N1194" s="143"/>
      <c r="O1194" s="143"/>
      <c r="P1194" s="143"/>
      <c r="Q1194" s="137"/>
      <c r="R1194" s="137"/>
      <c r="S1194" s="137"/>
      <c r="T1194" s="137"/>
      <c r="U1194" s="137"/>
      <c r="V1194" s="137"/>
      <c r="W1194" s="137"/>
      <c r="X1194" s="137"/>
      <c r="Y1194" s="137"/>
      <c r="Z1194" s="137"/>
      <c r="AA1194" s="137"/>
    </row>
    <row r="1195" spans="5:27" x14ac:dyDescent="0.35">
      <c r="E1195" s="137"/>
      <c r="F1195" s="137"/>
      <c r="G1195" s="190"/>
      <c r="H1195" s="137"/>
      <c r="I1195" s="137"/>
      <c r="J1195" s="137"/>
      <c r="M1195" s="143"/>
      <c r="N1195" s="143"/>
      <c r="O1195" s="143"/>
      <c r="P1195" s="143"/>
      <c r="Q1195" s="137"/>
      <c r="R1195" s="137"/>
      <c r="S1195" s="137"/>
      <c r="T1195" s="137"/>
      <c r="U1195" s="137"/>
      <c r="V1195" s="137"/>
      <c r="W1195" s="137"/>
      <c r="X1195" s="137"/>
      <c r="Y1195" s="137"/>
      <c r="Z1195" s="137"/>
      <c r="AA1195" s="137"/>
    </row>
    <row r="1196" spans="5:27" x14ac:dyDescent="0.35">
      <c r="E1196" s="137"/>
      <c r="F1196" s="137"/>
      <c r="G1196" s="190"/>
      <c r="H1196" s="137"/>
      <c r="I1196" s="137"/>
      <c r="J1196" s="137"/>
      <c r="M1196" s="143"/>
      <c r="N1196" s="143"/>
      <c r="O1196" s="143"/>
      <c r="P1196" s="143"/>
      <c r="Q1196" s="137"/>
      <c r="R1196" s="137"/>
      <c r="S1196" s="137"/>
      <c r="T1196" s="137"/>
      <c r="U1196" s="137"/>
      <c r="V1196" s="137"/>
      <c r="W1196" s="137"/>
      <c r="X1196" s="137"/>
      <c r="Y1196" s="137"/>
      <c r="Z1196" s="137"/>
      <c r="AA1196" s="137"/>
    </row>
    <row r="1197" spans="5:27" x14ac:dyDescent="0.35">
      <c r="E1197" s="137"/>
      <c r="F1197" s="137"/>
      <c r="G1197" s="190"/>
      <c r="H1197" s="137"/>
      <c r="I1197" s="137"/>
      <c r="J1197" s="137"/>
      <c r="M1197" s="143"/>
      <c r="N1197" s="143"/>
      <c r="O1197" s="143"/>
      <c r="P1197" s="143"/>
      <c r="Q1197" s="137"/>
      <c r="R1197" s="137"/>
      <c r="S1197" s="137"/>
      <c r="T1197" s="137"/>
      <c r="U1197" s="137"/>
      <c r="V1197" s="137"/>
      <c r="W1197" s="137"/>
      <c r="X1197" s="137"/>
      <c r="Y1197" s="137"/>
      <c r="Z1197" s="137"/>
      <c r="AA1197" s="137"/>
    </row>
    <row r="1198" spans="5:27" x14ac:dyDescent="0.35">
      <c r="E1198" s="137"/>
      <c r="F1198" s="137"/>
      <c r="G1198" s="190"/>
      <c r="H1198" s="137"/>
      <c r="I1198" s="137"/>
      <c r="J1198" s="137"/>
      <c r="M1198" s="143"/>
      <c r="N1198" s="143"/>
      <c r="O1198" s="143"/>
      <c r="P1198" s="143"/>
      <c r="Q1198" s="137"/>
      <c r="R1198" s="137"/>
      <c r="S1198" s="137"/>
      <c r="T1198" s="137"/>
      <c r="U1198" s="137"/>
      <c r="V1198" s="137"/>
      <c r="W1198" s="137"/>
      <c r="X1198" s="137"/>
      <c r="Y1198" s="137"/>
      <c r="Z1198" s="137"/>
      <c r="AA1198" s="137"/>
    </row>
    <row r="1199" spans="5:27" x14ac:dyDescent="0.35">
      <c r="E1199" s="137"/>
      <c r="F1199" s="137"/>
      <c r="G1199" s="190"/>
      <c r="H1199" s="137"/>
      <c r="I1199" s="137"/>
      <c r="J1199" s="137"/>
      <c r="M1199" s="143"/>
      <c r="N1199" s="143"/>
      <c r="O1199" s="143"/>
      <c r="P1199" s="143"/>
      <c r="Q1199" s="137"/>
      <c r="R1199" s="137"/>
      <c r="S1199" s="137"/>
      <c r="T1199" s="137"/>
      <c r="U1199" s="137"/>
      <c r="V1199" s="137"/>
      <c r="W1199" s="137"/>
      <c r="X1199" s="137"/>
      <c r="Y1199" s="137"/>
      <c r="Z1199" s="137"/>
      <c r="AA1199" s="137"/>
    </row>
    <row r="1200" spans="5:27" x14ac:dyDescent="0.35">
      <c r="E1200" s="137"/>
      <c r="F1200" s="137"/>
      <c r="G1200" s="190"/>
      <c r="H1200" s="137"/>
      <c r="I1200" s="137"/>
      <c r="J1200" s="137"/>
      <c r="M1200" s="143"/>
      <c r="N1200" s="143"/>
      <c r="O1200" s="143"/>
      <c r="P1200" s="143"/>
      <c r="Q1200" s="137"/>
      <c r="R1200" s="137"/>
      <c r="S1200" s="137"/>
      <c r="T1200" s="137"/>
      <c r="U1200" s="137"/>
      <c r="V1200" s="137"/>
      <c r="W1200" s="137"/>
      <c r="X1200" s="137"/>
      <c r="Y1200" s="137"/>
      <c r="Z1200" s="137"/>
      <c r="AA1200" s="137"/>
    </row>
    <row r="1201" spans="5:27" x14ac:dyDescent="0.35">
      <c r="E1201" s="137"/>
      <c r="F1201" s="137"/>
      <c r="G1201" s="190"/>
      <c r="H1201" s="137"/>
      <c r="I1201" s="137"/>
      <c r="J1201" s="137"/>
      <c r="M1201" s="143"/>
      <c r="N1201" s="143"/>
      <c r="O1201" s="143"/>
      <c r="P1201" s="143"/>
      <c r="Q1201" s="137"/>
      <c r="R1201" s="137"/>
      <c r="S1201" s="137"/>
      <c r="T1201" s="137"/>
      <c r="U1201" s="137"/>
      <c r="V1201" s="137"/>
      <c r="W1201" s="137"/>
      <c r="X1201" s="137"/>
      <c r="Y1201" s="137"/>
      <c r="Z1201" s="137"/>
      <c r="AA1201" s="137"/>
    </row>
    <row r="1202" spans="5:27" x14ac:dyDescent="0.35">
      <c r="E1202" s="137"/>
      <c r="F1202" s="137"/>
      <c r="G1202" s="190"/>
      <c r="H1202" s="137"/>
      <c r="I1202" s="137"/>
      <c r="J1202" s="137"/>
      <c r="M1202" s="143"/>
      <c r="N1202" s="143"/>
      <c r="O1202" s="143"/>
      <c r="P1202" s="143"/>
      <c r="Q1202" s="137"/>
      <c r="R1202" s="137"/>
      <c r="S1202" s="137"/>
      <c r="T1202" s="137"/>
      <c r="U1202" s="137"/>
      <c r="V1202" s="137"/>
      <c r="W1202" s="137"/>
      <c r="X1202" s="137"/>
      <c r="Y1202" s="137"/>
      <c r="Z1202" s="137"/>
      <c r="AA1202" s="137"/>
    </row>
    <row r="1203" spans="5:27" x14ac:dyDescent="0.35">
      <c r="E1203" s="137"/>
      <c r="F1203" s="137"/>
      <c r="G1203" s="190"/>
      <c r="H1203" s="137"/>
      <c r="I1203" s="137"/>
      <c r="J1203" s="137"/>
      <c r="M1203" s="143"/>
      <c r="N1203" s="143"/>
      <c r="O1203" s="143"/>
      <c r="P1203" s="143"/>
      <c r="Q1203" s="137"/>
      <c r="R1203" s="137"/>
      <c r="S1203" s="137"/>
      <c r="T1203" s="137"/>
      <c r="U1203" s="137"/>
      <c r="V1203" s="137"/>
      <c r="W1203" s="137"/>
      <c r="X1203" s="137"/>
      <c r="Y1203" s="137"/>
      <c r="Z1203" s="137"/>
      <c r="AA1203" s="137"/>
    </row>
    <row r="1204" spans="5:27" x14ac:dyDescent="0.35">
      <c r="E1204" s="137"/>
      <c r="F1204" s="137"/>
      <c r="G1204" s="190"/>
      <c r="H1204" s="137"/>
      <c r="I1204" s="137"/>
      <c r="J1204" s="137"/>
      <c r="M1204" s="143"/>
      <c r="N1204" s="143"/>
      <c r="O1204" s="143"/>
      <c r="P1204" s="143"/>
      <c r="Q1204" s="137"/>
      <c r="R1204" s="137"/>
      <c r="S1204" s="137"/>
      <c r="T1204" s="137"/>
      <c r="U1204" s="137"/>
      <c r="V1204" s="137"/>
      <c r="W1204" s="137"/>
      <c r="X1204" s="137"/>
      <c r="Y1204" s="137"/>
      <c r="Z1204" s="137"/>
      <c r="AA1204" s="137"/>
    </row>
    <row r="1205" spans="5:27" x14ac:dyDescent="0.35">
      <c r="E1205" s="137"/>
      <c r="F1205" s="137"/>
      <c r="G1205" s="190"/>
      <c r="H1205" s="137"/>
      <c r="I1205" s="137"/>
      <c r="J1205" s="137"/>
      <c r="M1205" s="143"/>
      <c r="N1205" s="143"/>
      <c r="O1205" s="143"/>
      <c r="P1205" s="143"/>
      <c r="Q1205" s="137"/>
      <c r="R1205" s="137"/>
      <c r="S1205" s="137"/>
      <c r="T1205" s="137"/>
      <c r="U1205" s="137"/>
      <c r="V1205" s="137"/>
      <c r="W1205" s="137"/>
      <c r="X1205" s="137"/>
      <c r="Y1205" s="137"/>
      <c r="Z1205" s="137"/>
      <c r="AA1205" s="137"/>
    </row>
    <row r="1206" spans="5:27" x14ac:dyDescent="0.35">
      <c r="E1206" s="137"/>
      <c r="F1206" s="137"/>
      <c r="G1206" s="190"/>
      <c r="H1206" s="137"/>
      <c r="I1206" s="137"/>
      <c r="J1206" s="137"/>
      <c r="M1206" s="143"/>
      <c r="N1206" s="143"/>
      <c r="O1206" s="143"/>
      <c r="P1206" s="143"/>
      <c r="Q1206" s="137"/>
      <c r="R1206" s="137"/>
      <c r="S1206" s="137"/>
      <c r="T1206" s="137"/>
      <c r="U1206" s="137"/>
      <c r="V1206" s="137"/>
      <c r="W1206" s="137"/>
      <c r="X1206" s="137"/>
      <c r="Y1206" s="137"/>
      <c r="Z1206" s="137"/>
      <c r="AA1206" s="137"/>
    </row>
    <row r="1207" spans="5:27" x14ac:dyDescent="0.35">
      <c r="E1207" s="137"/>
      <c r="F1207" s="137"/>
      <c r="G1207" s="190"/>
      <c r="H1207" s="137"/>
      <c r="I1207" s="137"/>
      <c r="J1207" s="137"/>
      <c r="M1207" s="143"/>
      <c r="N1207" s="143"/>
      <c r="O1207" s="143"/>
      <c r="P1207" s="143"/>
      <c r="Q1207" s="137"/>
      <c r="R1207" s="137"/>
      <c r="S1207" s="137"/>
      <c r="T1207" s="137"/>
      <c r="U1207" s="137"/>
      <c r="V1207" s="137"/>
      <c r="W1207" s="137"/>
      <c r="X1207" s="137"/>
      <c r="Y1207" s="137"/>
      <c r="Z1207" s="137"/>
      <c r="AA1207" s="137"/>
    </row>
    <row r="1208" spans="5:27" x14ac:dyDescent="0.35">
      <c r="E1208" s="137"/>
      <c r="F1208" s="137"/>
      <c r="G1208" s="190"/>
      <c r="H1208" s="137"/>
      <c r="I1208" s="137"/>
      <c r="J1208" s="137"/>
      <c r="M1208" s="143"/>
      <c r="N1208" s="143"/>
      <c r="O1208" s="143"/>
      <c r="P1208" s="143"/>
      <c r="Q1208" s="137"/>
      <c r="R1208" s="137"/>
      <c r="S1208" s="137"/>
      <c r="T1208" s="137"/>
      <c r="U1208" s="137"/>
      <c r="V1208" s="137"/>
      <c r="W1208" s="137"/>
      <c r="X1208" s="137"/>
      <c r="Y1208" s="137"/>
      <c r="Z1208" s="137"/>
      <c r="AA1208" s="137"/>
    </row>
    <row r="1209" spans="5:27" x14ac:dyDescent="0.35">
      <c r="E1209" s="137"/>
      <c r="F1209" s="137"/>
      <c r="G1209" s="190"/>
      <c r="H1209" s="137"/>
      <c r="I1209" s="137"/>
      <c r="J1209" s="137"/>
      <c r="M1209" s="143"/>
      <c r="N1209" s="143"/>
      <c r="O1209" s="143"/>
      <c r="P1209" s="143"/>
      <c r="Q1209" s="137"/>
      <c r="R1209" s="137"/>
      <c r="S1209" s="137"/>
      <c r="T1209" s="137"/>
      <c r="U1209" s="137"/>
      <c r="V1209" s="137"/>
      <c r="W1209" s="137"/>
      <c r="X1209" s="137"/>
      <c r="Y1209" s="137"/>
      <c r="Z1209" s="137"/>
      <c r="AA1209" s="137"/>
    </row>
    <row r="1210" spans="5:27" x14ac:dyDescent="0.35">
      <c r="E1210" s="137"/>
      <c r="F1210" s="137"/>
      <c r="G1210" s="190"/>
      <c r="H1210" s="137"/>
      <c r="I1210" s="137"/>
      <c r="J1210" s="137"/>
      <c r="M1210" s="143"/>
      <c r="N1210" s="143"/>
      <c r="O1210" s="143"/>
      <c r="P1210" s="143"/>
      <c r="Q1210" s="137"/>
      <c r="R1210" s="137"/>
      <c r="S1210" s="137"/>
      <c r="T1210" s="137"/>
      <c r="U1210" s="137"/>
      <c r="V1210" s="137"/>
      <c r="W1210" s="137"/>
      <c r="X1210" s="137"/>
      <c r="Y1210" s="137"/>
      <c r="Z1210" s="137"/>
      <c r="AA1210" s="137"/>
    </row>
    <row r="1211" spans="5:27" x14ac:dyDescent="0.35">
      <c r="E1211" s="137"/>
      <c r="F1211" s="137"/>
      <c r="G1211" s="190"/>
      <c r="H1211" s="137"/>
      <c r="I1211" s="137"/>
      <c r="J1211" s="137"/>
      <c r="M1211" s="143"/>
      <c r="N1211" s="143"/>
      <c r="O1211" s="143"/>
      <c r="P1211" s="143"/>
      <c r="Q1211" s="137"/>
      <c r="R1211" s="137"/>
      <c r="S1211" s="137"/>
      <c r="T1211" s="137"/>
      <c r="U1211" s="137"/>
      <c r="V1211" s="137"/>
      <c r="W1211" s="137"/>
      <c r="X1211" s="137"/>
      <c r="Y1211" s="137"/>
      <c r="Z1211" s="137"/>
      <c r="AA1211" s="137"/>
    </row>
    <row r="1212" spans="5:27" x14ac:dyDescent="0.35">
      <c r="E1212" s="137"/>
      <c r="F1212" s="137"/>
      <c r="G1212" s="190"/>
      <c r="H1212" s="137"/>
      <c r="I1212" s="137"/>
      <c r="J1212" s="137"/>
      <c r="M1212" s="143"/>
      <c r="N1212" s="143"/>
      <c r="O1212" s="143"/>
      <c r="P1212" s="143"/>
      <c r="Q1212" s="137"/>
      <c r="R1212" s="137"/>
      <c r="S1212" s="137"/>
      <c r="T1212" s="137"/>
      <c r="U1212" s="137"/>
      <c r="V1212" s="137"/>
      <c r="W1212" s="137"/>
      <c r="X1212" s="137"/>
      <c r="Y1212" s="137"/>
      <c r="Z1212" s="137"/>
      <c r="AA1212" s="137"/>
    </row>
    <row r="1213" spans="5:27" x14ac:dyDescent="0.35">
      <c r="E1213" s="137"/>
      <c r="F1213" s="137"/>
      <c r="G1213" s="190"/>
      <c r="H1213" s="137"/>
      <c r="I1213" s="137"/>
      <c r="J1213" s="137"/>
      <c r="M1213" s="143"/>
      <c r="N1213" s="143"/>
      <c r="O1213" s="143"/>
      <c r="P1213" s="143"/>
      <c r="Q1213" s="137"/>
      <c r="R1213" s="137"/>
      <c r="S1213" s="137"/>
      <c r="T1213" s="137"/>
      <c r="U1213" s="137"/>
      <c r="V1213" s="137"/>
      <c r="W1213" s="137"/>
      <c r="X1213" s="137"/>
      <c r="Y1213" s="137"/>
      <c r="Z1213" s="137"/>
      <c r="AA1213" s="137"/>
    </row>
    <row r="1214" spans="5:27" x14ac:dyDescent="0.35">
      <c r="E1214" s="137"/>
      <c r="F1214" s="137"/>
      <c r="G1214" s="190"/>
      <c r="H1214" s="137"/>
      <c r="I1214" s="137"/>
      <c r="J1214" s="137"/>
      <c r="M1214" s="143"/>
      <c r="N1214" s="143"/>
      <c r="O1214" s="143"/>
      <c r="P1214" s="143"/>
      <c r="Q1214" s="137"/>
      <c r="R1214" s="137"/>
      <c r="S1214" s="137"/>
      <c r="T1214" s="137"/>
      <c r="U1214" s="137"/>
      <c r="V1214" s="137"/>
      <c r="W1214" s="137"/>
      <c r="X1214" s="137"/>
      <c r="Y1214" s="137"/>
      <c r="Z1214" s="137"/>
      <c r="AA1214" s="137"/>
    </row>
    <row r="1215" spans="5:27" x14ac:dyDescent="0.35">
      <c r="E1215" s="137"/>
      <c r="F1215" s="137"/>
      <c r="G1215" s="190"/>
      <c r="H1215" s="137"/>
      <c r="I1215" s="137"/>
      <c r="J1215" s="137"/>
      <c r="M1215" s="143"/>
      <c r="N1215" s="143"/>
      <c r="O1215" s="143"/>
      <c r="P1215" s="143"/>
      <c r="Q1215" s="137"/>
      <c r="R1215" s="137"/>
      <c r="S1215" s="137"/>
      <c r="T1215" s="137"/>
      <c r="U1215" s="137"/>
      <c r="V1215" s="137"/>
      <c r="W1215" s="137"/>
      <c r="X1215" s="137"/>
      <c r="Y1215" s="137"/>
      <c r="Z1215" s="137"/>
      <c r="AA1215" s="137"/>
    </row>
    <row r="1216" spans="5:27" x14ac:dyDescent="0.35">
      <c r="E1216" s="137"/>
      <c r="F1216" s="137"/>
      <c r="G1216" s="190"/>
      <c r="H1216" s="137"/>
      <c r="I1216" s="137"/>
      <c r="J1216" s="137"/>
      <c r="M1216" s="143"/>
      <c r="N1216" s="143"/>
      <c r="O1216" s="143"/>
      <c r="P1216" s="143"/>
      <c r="Q1216" s="137"/>
      <c r="R1216" s="137"/>
      <c r="S1216" s="137"/>
      <c r="T1216" s="137"/>
      <c r="U1216" s="137"/>
      <c r="V1216" s="137"/>
      <c r="W1216" s="137"/>
      <c r="X1216" s="137"/>
      <c r="Y1216" s="137"/>
      <c r="Z1216" s="137"/>
      <c r="AA1216" s="137"/>
    </row>
    <row r="1217" spans="5:27" x14ac:dyDescent="0.35">
      <c r="E1217" s="137"/>
      <c r="F1217" s="137"/>
      <c r="G1217" s="190"/>
      <c r="H1217" s="137"/>
      <c r="I1217" s="137"/>
      <c r="J1217" s="137"/>
      <c r="M1217" s="143"/>
      <c r="N1217" s="143"/>
      <c r="O1217" s="143"/>
      <c r="P1217" s="143"/>
      <c r="Q1217" s="137"/>
      <c r="R1217" s="137"/>
      <c r="S1217" s="137"/>
      <c r="T1217" s="137"/>
      <c r="U1217" s="137"/>
      <c r="V1217" s="137"/>
      <c r="W1217" s="137"/>
      <c r="X1217" s="137"/>
      <c r="Y1217" s="137"/>
      <c r="Z1217" s="137"/>
      <c r="AA1217" s="137"/>
    </row>
    <row r="1218" spans="5:27" x14ac:dyDescent="0.35">
      <c r="E1218" s="137"/>
      <c r="F1218" s="137"/>
      <c r="G1218" s="190"/>
      <c r="H1218" s="137"/>
      <c r="I1218" s="137"/>
      <c r="J1218" s="137"/>
      <c r="M1218" s="143"/>
      <c r="N1218" s="143"/>
      <c r="O1218" s="143"/>
      <c r="P1218" s="143"/>
      <c r="Q1218" s="137"/>
      <c r="R1218" s="137"/>
      <c r="S1218" s="137"/>
      <c r="T1218" s="137"/>
      <c r="U1218" s="137"/>
      <c r="V1218" s="137"/>
      <c r="W1218" s="137"/>
      <c r="X1218" s="137"/>
      <c r="Y1218" s="137"/>
      <c r="Z1218" s="137"/>
      <c r="AA1218" s="137"/>
    </row>
    <row r="1219" spans="5:27" x14ac:dyDescent="0.35">
      <c r="E1219" s="137"/>
      <c r="F1219" s="137"/>
      <c r="G1219" s="190"/>
      <c r="H1219" s="137"/>
      <c r="I1219" s="137"/>
      <c r="J1219" s="137"/>
      <c r="M1219" s="143"/>
      <c r="N1219" s="143"/>
      <c r="O1219" s="143"/>
      <c r="P1219" s="143"/>
      <c r="Q1219" s="137"/>
      <c r="R1219" s="137"/>
      <c r="S1219" s="137"/>
      <c r="T1219" s="137"/>
      <c r="U1219" s="137"/>
      <c r="V1219" s="137"/>
      <c r="W1219" s="137"/>
      <c r="X1219" s="137"/>
      <c r="Y1219" s="137"/>
      <c r="Z1219" s="137"/>
      <c r="AA1219" s="137"/>
    </row>
    <row r="1220" spans="5:27" x14ac:dyDescent="0.35">
      <c r="E1220" s="137"/>
      <c r="F1220" s="137"/>
      <c r="G1220" s="190"/>
      <c r="H1220" s="137"/>
      <c r="I1220" s="137"/>
      <c r="J1220" s="137"/>
      <c r="M1220" s="143"/>
      <c r="N1220" s="143"/>
      <c r="O1220" s="143"/>
      <c r="P1220" s="143"/>
      <c r="Q1220" s="137"/>
      <c r="R1220" s="137"/>
      <c r="S1220" s="137"/>
      <c r="T1220" s="137"/>
      <c r="U1220" s="137"/>
      <c r="V1220" s="137"/>
      <c r="W1220" s="137"/>
      <c r="X1220" s="137"/>
      <c r="Y1220" s="137"/>
      <c r="Z1220" s="137"/>
      <c r="AA1220" s="137"/>
    </row>
    <row r="1221" spans="5:27" x14ac:dyDescent="0.35">
      <c r="E1221" s="137"/>
      <c r="F1221" s="137"/>
      <c r="G1221" s="190"/>
      <c r="H1221" s="137"/>
      <c r="I1221" s="137"/>
      <c r="J1221" s="137"/>
      <c r="M1221" s="143"/>
      <c r="N1221" s="143"/>
      <c r="O1221" s="143"/>
      <c r="P1221" s="143"/>
      <c r="Q1221" s="137"/>
      <c r="R1221" s="137"/>
      <c r="S1221" s="137"/>
      <c r="T1221" s="137"/>
      <c r="U1221" s="137"/>
      <c r="V1221" s="137"/>
      <c r="W1221" s="137"/>
      <c r="X1221" s="137"/>
      <c r="Y1221" s="137"/>
      <c r="Z1221" s="137"/>
      <c r="AA1221" s="137"/>
    </row>
    <row r="1222" spans="5:27" x14ac:dyDescent="0.35">
      <c r="E1222" s="137"/>
      <c r="F1222" s="137"/>
      <c r="G1222" s="190"/>
      <c r="H1222" s="137"/>
      <c r="I1222" s="137"/>
      <c r="J1222" s="137"/>
      <c r="M1222" s="143"/>
      <c r="N1222" s="143"/>
      <c r="O1222" s="143"/>
      <c r="P1222" s="143"/>
      <c r="Q1222" s="137"/>
      <c r="R1222" s="137"/>
      <c r="S1222" s="137"/>
      <c r="T1222" s="137"/>
      <c r="U1222" s="137"/>
      <c r="V1222" s="137"/>
      <c r="W1222" s="137"/>
      <c r="X1222" s="137"/>
      <c r="Y1222" s="137"/>
      <c r="Z1222" s="137"/>
      <c r="AA1222" s="137"/>
    </row>
    <row r="1223" spans="5:27" x14ac:dyDescent="0.35">
      <c r="E1223" s="137"/>
      <c r="F1223" s="137"/>
      <c r="G1223" s="190"/>
      <c r="H1223" s="137"/>
      <c r="I1223" s="137"/>
      <c r="J1223" s="137"/>
      <c r="M1223" s="143"/>
      <c r="N1223" s="143"/>
      <c r="O1223" s="143"/>
      <c r="P1223" s="143"/>
      <c r="Q1223" s="137"/>
      <c r="R1223" s="137"/>
      <c r="S1223" s="137"/>
      <c r="T1223" s="137"/>
      <c r="U1223" s="137"/>
      <c r="V1223" s="137"/>
      <c r="W1223" s="137"/>
      <c r="X1223" s="137"/>
      <c r="Y1223" s="137"/>
      <c r="Z1223" s="137"/>
      <c r="AA1223" s="137"/>
    </row>
    <row r="1224" spans="5:27" x14ac:dyDescent="0.35">
      <c r="E1224" s="137"/>
      <c r="F1224" s="137"/>
      <c r="G1224" s="190"/>
      <c r="H1224" s="137"/>
      <c r="I1224" s="137"/>
      <c r="J1224" s="137"/>
      <c r="M1224" s="143"/>
      <c r="N1224" s="143"/>
      <c r="O1224" s="143"/>
      <c r="P1224" s="143"/>
      <c r="Q1224" s="137"/>
      <c r="R1224" s="137"/>
      <c r="S1224" s="137"/>
      <c r="T1224" s="137"/>
      <c r="U1224" s="137"/>
      <c r="V1224" s="137"/>
      <c r="W1224" s="137"/>
      <c r="X1224" s="137"/>
      <c r="Y1224" s="137"/>
      <c r="Z1224" s="137"/>
      <c r="AA1224" s="137"/>
    </row>
    <row r="1225" spans="5:27" x14ac:dyDescent="0.35">
      <c r="E1225" s="137"/>
      <c r="F1225" s="137"/>
      <c r="G1225" s="190"/>
      <c r="H1225" s="137"/>
      <c r="I1225" s="137"/>
      <c r="J1225" s="137"/>
      <c r="M1225" s="143"/>
      <c r="N1225" s="143"/>
      <c r="O1225" s="143"/>
      <c r="P1225" s="143"/>
      <c r="Q1225" s="137"/>
      <c r="R1225" s="137"/>
      <c r="S1225" s="137"/>
      <c r="T1225" s="137"/>
      <c r="U1225" s="137"/>
      <c r="V1225" s="137"/>
      <c r="W1225" s="137"/>
      <c r="X1225" s="137"/>
      <c r="Y1225" s="137"/>
      <c r="Z1225" s="137"/>
      <c r="AA1225" s="137"/>
    </row>
    <row r="1226" spans="5:27" x14ac:dyDescent="0.35">
      <c r="E1226" s="137"/>
      <c r="F1226" s="137"/>
      <c r="G1226" s="190"/>
      <c r="H1226" s="137"/>
      <c r="I1226" s="137"/>
      <c r="J1226" s="137"/>
      <c r="M1226" s="143"/>
      <c r="N1226" s="143"/>
      <c r="O1226" s="143"/>
      <c r="P1226" s="143"/>
      <c r="Q1226" s="137"/>
      <c r="R1226" s="137"/>
      <c r="S1226" s="137"/>
      <c r="T1226" s="137"/>
      <c r="U1226" s="137"/>
      <c r="V1226" s="137"/>
      <c r="W1226" s="137"/>
      <c r="X1226" s="137"/>
      <c r="Y1226" s="137"/>
      <c r="Z1226" s="137"/>
      <c r="AA1226" s="137"/>
    </row>
    <row r="1227" spans="5:27" x14ac:dyDescent="0.35">
      <c r="E1227" s="137"/>
      <c r="F1227" s="137"/>
      <c r="G1227" s="190"/>
      <c r="H1227" s="137"/>
      <c r="I1227" s="137"/>
      <c r="J1227" s="137"/>
      <c r="M1227" s="143"/>
      <c r="N1227" s="143"/>
      <c r="O1227" s="143"/>
      <c r="P1227" s="143"/>
      <c r="Q1227" s="137"/>
      <c r="R1227" s="137"/>
      <c r="S1227" s="137"/>
      <c r="T1227" s="137"/>
      <c r="U1227" s="137"/>
      <c r="V1227" s="137"/>
      <c r="W1227" s="137"/>
      <c r="X1227" s="137"/>
      <c r="Y1227" s="137"/>
      <c r="Z1227" s="137"/>
      <c r="AA1227" s="137"/>
    </row>
    <row r="1228" spans="5:27" x14ac:dyDescent="0.35">
      <c r="E1228" s="137"/>
      <c r="F1228" s="137"/>
      <c r="G1228" s="190"/>
      <c r="H1228" s="137"/>
      <c r="I1228" s="137"/>
      <c r="J1228" s="137"/>
      <c r="M1228" s="143"/>
      <c r="N1228" s="143"/>
      <c r="O1228" s="143"/>
      <c r="P1228" s="143"/>
      <c r="Q1228" s="137"/>
      <c r="R1228" s="137"/>
      <c r="S1228" s="137"/>
      <c r="T1228" s="137"/>
      <c r="U1228" s="137"/>
      <c r="V1228" s="137"/>
      <c r="W1228" s="137"/>
      <c r="X1228" s="137"/>
      <c r="Y1228" s="137"/>
      <c r="Z1228" s="137"/>
      <c r="AA1228" s="137"/>
    </row>
    <row r="1229" spans="5:27" x14ac:dyDescent="0.35">
      <c r="E1229" s="137"/>
      <c r="F1229" s="137"/>
      <c r="G1229" s="190"/>
      <c r="H1229" s="137"/>
      <c r="I1229" s="137"/>
      <c r="J1229" s="137"/>
      <c r="M1229" s="143"/>
      <c r="N1229" s="143"/>
      <c r="O1229" s="143"/>
      <c r="P1229" s="143"/>
      <c r="Q1229" s="137"/>
      <c r="R1229" s="137"/>
      <c r="S1229" s="137"/>
      <c r="T1229" s="137"/>
      <c r="U1229" s="137"/>
      <c r="V1229" s="137"/>
      <c r="W1229" s="137"/>
      <c r="X1229" s="137"/>
      <c r="Y1229" s="137"/>
      <c r="Z1229" s="137"/>
      <c r="AA1229" s="137"/>
    </row>
    <row r="1230" spans="5:27" x14ac:dyDescent="0.35">
      <c r="E1230" s="137"/>
      <c r="F1230" s="137"/>
      <c r="G1230" s="190"/>
      <c r="H1230" s="137"/>
      <c r="I1230" s="137"/>
      <c r="J1230" s="137"/>
      <c r="M1230" s="143"/>
      <c r="N1230" s="143"/>
      <c r="O1230" s="143"/>
      <c r="P1230" s="143"/>
      <c r="Q1230" s="137"/>
      <c r="R1230" s="137"/>
      <c r="S1230" s="137"/>
      <c r="T1230" s="137"/>
      <c r="U1230" s="137"/>
      <c r="V1230" s="137"/>
      <c r="W1230" s="137"/>
      <c r="X1230" s="137"/>
      <c r="Y1230" s="137"/>
      <c r="Z1230" s="137"/>
      <c r="AA1230" s="137"/>
    </row>
    <row r="1231" spans="5:27" x14ac:dyDescent="0.35">
      <c r="E1231" s="137"/>
      <c r="F1231" s="137"/>
      <c r="G1231" s="190"/>
      <c r="H1231" s="137"/>
      <c r="I1231" s="137"/>
      <c r="J1231" s="137"/>
      <c r="M1231" s="143"/>
      <c r="N1231" s="143"/>
      <c r="O1231" s="143"/>
      <c r="P1231" s="143"/>
      <c r="Q1231" s="137"/>
      <c r="R1231" s="137"/>
      <c r="S1231" s="137"/>
      <c r="T1231" s="137"/>
      <c r="U1231" s="137"/>
      <c r="V1231" s="137"/>
      <c r="W1231" s="137"/>
      <c r="X1231" s="137"/>
      <c r="Y1231" s="137"/>
      <c r="Z1231" s="137"/>
      <c r="AA1231" s="137"/>
    </row>
    <row r="1232" spans="5:27" x14ac:dyDescent="0.35">
      <c r="E1232" s="137"/>
      <c r="F1232" s="137"/>
      <c r="G1232" s="190"/>
      <c r="H1232" s="137"/>
      <c r="I1232" s="137"/>
      <c r="J1232" s="137"/>
      <c r="M1232" s="143"/>
      <c r="N1232" s="143"/>
      <c r="O1232" s="143"/>
      <c r="P1232" s="143"/>
      <c r="Q1232" s="137"/>
      <c r="R1232" s="137"/>
      <c r="S1232" s="137"/>
      <c r="T1232" s="137"/>
      <c r="U1232" s="137"/>
      <c r="V1232" s="137"/>
      <c r="W1232" s="137"/>
      <c r="X1232" s="137"/>
      <c r="Y1232" s="137"/>
      <c r="Z1232" s="137"/>
      <c r="AA1232" s="137"/>
    </row>
    <row r="1233" spans="5:27" x14ac:dyDescent="0.35">
      <c r="E1233" s="137"/>
      <c r="F1233" s="137"/>
      <c r="G1233" s="190"/>
      <c r="H1233" s="137"/>
      <c r="I1233" s="137"/>
      <c r="J1233" s="137"/>
      <c r="M1233" s="143"/>
      <c r="N1233" s="143"/>
      <c r="O1233" s="143"/>
      <c r="P1233" s="143"/>
      <c r="Q1233" s="137"/>
      <c r="R1233" s="137"/>
      <c r="S1233" s="137"/>
      <c r="T1233" s="137"/>
      <c r="U1233" s="137"/>
      <c r="V1233" s="137"/>
      <c r="W1233" s="137"/>
      <c r="X1233" s="137"/>
      <c r="Y1233" s="137"/>
      <c r="Z1233" s="137"/>
      <c r="AA1233" s="137"/>
    </row>
    <row r="1234" spans="5:27" x14ac:dyDescent="0.35">
      <c r="E1234" s="137"/>
      <c r="F1234" s="137"/>
      <c r="G1234" s="190"/>
      <c r="H1234" s="137"/>
      <c r="I1234" s="137"/>
      <c r="J1234" s="137"/>
      <c r="M1234" s="143"/>
      <c r="N1234" s="143"/>
      <c r="O1234" s="143"/>
      <c r="P1234" s="143"/>
      <c r="Q1234" s="137"/>
      <c r="R1234" s="137"/>
      <c r="S1234" s="137"/>
      <c r="T1234" s="137"/>
      <c r="U1234" s="137"/>
      <c r="V1234" s="137"/>
      <c r="W1234" s="137"/>
      <c r="X1234" s="137"/>
      <c r="Y1234" s="137"/>
      <c r="Z1234" s="137"/>
      <c r="AA1234" s="137"/>
    </row>
    <row r="1235" spans="5:27" x14ac:dyDescent="0.35">
      <c r="E1235" s="137"/>
      <c r="F1235" s="137"/>
      <c r="G1235" s="190"/>
      <c r="H1235" s="137"/>
      <c r="I1235" s="137"/>
      <c r="J1235" s="137"/>
      <c r="M1235" s="143"/>
      <c r="N1235" s="143"/>
      <c r="O1235" s="143"/>
      <c r="P1235" s="143"/>
      <c r="Q1235" s="137"/>
      <c r="R1235" s="137"/>
      <c r="S1235" s="137"/>
      <c r="T1235" s="137"/>
      <c r="U1235" s="137"/>
      <c r="V1235" s="137"/>
      <c r="W1235" s="137"/>
      <c r="X1235" s="137"/>
      <c r="Y1235" s="137"/>
      <c r="Z1235" s="137"/>
      <c r="AA1235" s="137"/>
    </row>
    <row r="1236" spans="5:27" x14ac:dyDescent="0.35">
      <c r="E1236" s="137"/>
      <c r="F1236" s="137"/>
      <c r="G1236" s="190"/>
      <c r="H1236" s="137"/>
      <c r="I1236" s="137"/>
      <c r="J1236" s="137"/>
      <c r="M1236" s="143"/>
      <c r="N1236" s="143"/>
      <c r="O1236" s="143"/>
      <c r="P1236" s="143"/>
      <c r="Q1236" s="137"/>
      <c r="R1236" s="137"/>
      <c r="S1236" s="137"/>
      <c r="T1236" s="137"/>
      <c r="U1236" s="137"/>
      <c r="V1236" s="137"/>
      <c r="W1236" s="137"/>
      <c r="X1236" s="137"/>
      <c r="Y1236" s="137"/>
      <c r="Z1236" s="137"/>
      <c r="AA1236" s="137"/>
    </row>
    <row r="1237" spans="5:27" x14ac:dyDescent="0.35">
      <c r="E1237" s="137"/>
      <c r="F1237" s="137"/>
      <c r="G1237" s="190"/>
      <c r="H1237" s="137"/>
      <c r="I1237" s="137"/>
      <c r="J1237" s="137"/>
      <c r="M1237" s="143"/>
      <c r="N1237" s="143"/>
      <c r="O1237" s="143"/>
      <c r="P1237" s="143"/>
      <c r="Q1237" s="137"/>
      <c r="R1237" s="137"/>
      <c r="S1237" s="137"/>
      <c r="T1237" s="137"/>
      <c r="U1237" s="137"/>
      <c r="V1237" s="137"/>
      <c r="W1237" s="137"/>
      <c r="X1237" s="137"/>
      <c r="Y1237" s="137"/>
      <c r="Z1237" s="137"/>
      <c r="AA1237" s="137"/>
    </row>
    <row r="1238" spans="5:27" x14ac:dyDescent="0.35">
      <c r="E1238" s="137"/>
      <c r="F1238" s="137"/>
      <c r="G1238" s="190"/>
      <c r="H1238" s="137"/>
      <c r="I1238" s="137"/>
      <c r="J1238" s="137"/>
      <c r="M1238" s="143"/>
      <c r="N1238" s="143"/>
      <c r="O1238" s="143"/>
      <c r="P1238" s="143"/>
      <c r="Q1238" s="137"/>
      <c r="R1238" s="137"/>
      <c r="S1238" s="137"/>
      <c r="T1238" s="137"/>
      <c r="U1238" s="137"/>
      <c r="V1238" s="137"/>
      <c r="W1238" s="137"/>
      <c r="X1238" s="137"/>
      <c r="Y1238" s="137"/>
      <c r="Z1238" s="137"/>
      <c r="AA1238" s="137"/>
    </row>
    <row r="1239" spans="5:27" x14ac:dyDescent="0.35">
      <c r="E1239" s="137"/>
      <c r="F1239" s="137"/>
      <c r="G1239" s="190"/>
      <c r="H1239" s="137"/>
      <c r="I1239" s="137"/>
      <c r="J1239" s="137"/>
      <c r="M1239" s="143"/>
      <c r="N1239" s="143"/>
      <c r="O1239" s="143"/>
      <c r="P1239" s="143"/>
      <c r="Q1239" s="137"/>
      <c r="R1239" s="137"/>
      <c r="S1239" s="137"/>
      <c r="T1239" s="137"/>
      <c r="U1239" s="137"/>
      <c r="V1239" s="137"/>
      <c r="W1239" s="137"/>
      <c r="X1239" s="137"/>
      <c r="Y1239" s="137"/>
      <c r="Z1239" s="137"/>
      <c r="AA1239" s="137"/>
    </row>
    <row r="1240" spans="5:27" x14ac:dyDescent="0.35">
      <c r="E1240" s="137"/>
      <c r="F1240" s="137"/>
      <c r="G1240" s="190"/>
      <c r="H1240" s="137"/>
      <c r="I1240" s="137"/>
      <c r="J1240" s="137"/>
      <c r="M1240" s="143"/>
      <c r="N1240" s="143"/>
      <c r="O1240" s="143"/>
      <c r="P1240" s="143"/>
      <c r="Q1240" s="137"/>
      <c r="R1240" s="137"/>
      <c r="S1240" s="137"/>
      <c r="T1240" s="137"/>
      <c r="U1240" s="137"/>
      <c r="V1240" s="137"/>
      <c r="W1240" s="137"/>
      <c r="X1240" s="137"/>
      <c r="Y1240" s="137"/>
      <c r="Z1240" s="137"/>
      <c r="AA1240" s="137"/>
    </row>
    <row r="1241" spans="5:27" x14ac:dyDescent="0.35">
      <c r="E1241" s="137"/>
      <c r="F1241" s="137"/>
      <c r="G1241" s="190"/>
      <c r="H1241" s="137"/>
      <c r="I1241" s="137"/>
      <c r="J1241" s="137"/>
      <c r="M1241" s="143"/>
      <c r="N1241" s="143"/>
      <c r="O1241" s="143"/>
      <c r="P1241" s="143"/>
      <c r="Q1241" s="137"/>
      <c r="R1241" s="137"/>
      <c r="S1241" s="137"/>
      <c r="T1241" s="137"/>
      <c r="U1241" s="137"/>
      <c r="V1241" s="137"/>
      <c r="W1241" s="137"/>
      <c r="X1241" s="137"/>
      <c r="Y1241" s="137"/>
      <c r="Z1241" s="137"/>
      <c r="AA1241" s="137"/>
    </row>
    <row r="1242" spans="5:27" x14ac:dyDescent="0.35">
      <c r="E1242" s="137"/>
      <c r="F1242" s="137"/>
      <c r="G1242" s="190"/>
      <c r="H1242" s="137"/>
      <c r="I1242" s="137"/>
      <c r="J1242" s="137"/>
      <c r="M1242" s="143"/>
      <c r="N1242" s="143"/>
      <c r="O1242" s="143"/>
      <c r="P1242" s="143"/>
      <c r="Q1242" s="137"/>
      <c r="R1242" s="137"/>
      <c r="S1242" s="137"/>
      <c r="T1242" s="137"/>
      <c r="U1242" s="137"/>
      <c r="V1242" s="137"/>
      <c r="W1242" s="137"/>
      <c r="X1242" s="137"/>
      <c r="Y1242" s="137"/>
      <c r="Z1242" s="137"/>
      <c r="AA1242" s="137"/>
    </row>
    <row r="1243" spans="5:27" x14ac:dyDescent="0.35">
      <c r="E1243" s="137"/>
      <c r="F1243" s="137"/>
      <c r="G1243" s="190"/>
      <c r="H1243" s="137"/>
      <c r="I1243" s="137"/>
      <c r="J1243" s="137"/>
      <c r="M1243" s="143"/>
      <c r="N1243" s="143"/>
      <c r="O1243" s="143"/>
      <c r="P1243" s="143"/>
      <c r="Q1243" s="137"/>
      <c r="R1243" s="137"/>
      <c r="S1243" s="137"/>
      <c r="T1243" s="137"/>
      <c r="U1243" s="137"/>
      <c r="V1243" s="137"/>
      <c r="W1243" s="137"/>
      <c r="X1243" s="137"/>
      <c r="Y1243" s="137"/>
      <c r="Z1243" s="137"/>
      <c r="AA1243" s="137"/>
    </row>
    <row r="1244" spans="5:27" x14ac:dyDescent="0.35">
      <c r="E1244" s="137"/>
      <c r="F1244" s="137"/>
      <c r="G1244" s="190"/>
      <c r="H1244" s="137"/>
      <c r="I1244" s="137"/>
      <c r="J1244" s="137"/>
      <c r="M1244" s="143"/>
      <c r="N1244" s="143"/>
      <c r="O1244" s="143"/>
      <c r="P1244" s="143"/>
      <c r="Q1244" s="137"/>
      <c r="R1244" s="137"/>
      <c r="S1244" s="137"/>
      <c r="T1244" s="137"/>
      <c r="U1244" s="137"/>
      <c r="V1244" s="137"/>
      <c r="W1244" s="137"/>
      <c r="X1244" s="137"/>
      <c r="Y1244" s="137"/>
      <c r="Z1244" s="137"/>
      <c r="AA1244" s="137"/>
    </row>
    <row r="1245" spans="5:27" x14ac:dyDescent="0.35">
      <c r="E1245" s="137"/>
      <c r="F1245" s="137"/>
      <c r="G1245" s="190"/>
      <c r="H1245" s="137"/>
      <c r="I1245" s="137"/>
      <c r="J1245" s="137"/>
      <c r="M1245" s="143"/>
      <c r="N1245" s="143"/>
      <c r="O1245" s="143"/>
      <c r="P1245" s="143"/>
      <c r="Q1245" s="137"/>
      <c r="R1245" s="137"/>
      <c r="S1245" s="137"/>
      <c r="T1245" s="137"/>
      <c r="U1245" s="137"/>
      <c r="V1245" s="137"/>
      <c r="W1245" s="137"/>
      <c r="X1245" s="137"/>
      <c r="Y1245" s="137"/>
      <c r="Z1245" s="137"/>
      <c r="AA1245" s="137"/>
    </row>
    <row r="1246" spans="5:27" x14ac:dyDescent="0.35">
      <c r="E1246" s="137"/>
      <c r="F1246" s="137"/>
      <c r="G1246" s="190"/>
      <c r="H1246" s="137"/>
      <c r="I1246" s="137"/>
      <c r="J1246" s="137"/>
      <c r="M1246" s="143"/>
      <c r="N1246" s="143"/>
      <c r="O1246" s="143"/>
      <c r="P1246" s="143"/>
      <c r="Q1246" s="137"/>
      <c r="R1246" s="137"/>
      <c r="S1246" s="137"/>
      <c r="T1246" s="137"/>
      <c r="U1246" s="137"/>
      <c r="V1246" s="137"/>
      <c r="W1246" s="137"/>
      <c r="X1246" s="137"/>
      <c r="Y1246" s="137"/>
      <c r="Z1246" s="137"/>
      <c r="AA1246" s="137"/>
    </row>
    <row r="1247" spans="5:27" x14ac:dyDescent="0.35">
      <c r="E1247" s="137"/>
      <c r="F1247" s="137"/>
      <c r="G1247" s="190"/>
      <c r="H1247" s="137"/>
      <c r="I1247" s="137"/>
      <c r="J1247" s="137"/>
      <c r="M1247" s="143"/>
      <c r="N1247" s="143"/>
      <c r="O1247" s="143"/>
      <c r="P1247" s="143"/>
      <c r="Q1247" s="137"/>
      <c r="R1247" s="137"/>
      <c r="S1247" s="137"/>
      <c r="T1247" s="137"/>
      <c r="U1247" s="137"/>
      <c r="V1247" s="137"/>
      <c r="W1247" s="137"/>
      <c r="X1247" s="137"/>
      <c r="Y1247" s="137"/>
      <c r="Z1247" s="137"/>
      <c r="AA1247" s="137"/>
    </row>
    <row r="1248" spans="5:27" x14ac:dyDescent="0.35">
      <c r="E1248" s="137"/>
      <c r="F1248" s="137"/>
      <c r="G1248" s="190"/>
      <c r="H1248" s="137"/>
      <c r="I1248" s="137"/>
      <c r="J1248" s="137"/>
      <c r="M1248" s="143"/>
      <c r="N1248" s="143"/>
      <c r="O1248" s="143"/>
      <c r="P1248" s="143"/>
      <c r="Q1248" s="137"/>
      <c r="R1248" s="137"/>
      <c r="S1248" s="137"/>
      <c r="T1248" s="137"/>
      <c r="U1248" s="137"/>
      <c r="V1248" s="137"/>
      <c r="W1248" s="137"/>
      <c r="X1248" s="137"/>
      <c r="Y1248" s="137"/>
      <c r="Z1248" s="137"/>
      <c r="AA1248" s="137"/>
    </row>
    <row r="1249" spans="5:27" x14ac:dyDescent="0.35">
      <c r="E1249" s="137"/>
      <c r="F1249" s="137"/>
      <c r="G1249" s="190"/>
      <c r="H1249" s="137"/>
      <c r="I1249" s="137"/>
      <c r="J1249" s="137"/>
      <c r="M1249" s="143"/>
      <c r="N1249" s="143"/>
      <c r="O1249" s="143"/>
      <c r="P1249" s="143"/>
      <c r="Q1249" s="137"/>
      <c r="R1249" s="137"/>
      <c r="S1249" s="137"/>
      <c r="T1249" s="137"/>
      <c r="U1249" s="137"/>
      <c r="V1249" s="137"/>
      <c r="W1249" s="137"/>
      <c r="X1249" s="137"/>
      <c r="Y1249" s="137"/>
      <c r="Z1249" s="137"/>
      <c r="AA1249" s="137"/>
    </row>
    <row r="1250" spans="5:27" x14ac:dyDescent="0.35">
      <c r="E1250" s="137"/>
      <c r="F1250" s="137"/>
      <c r="G1250" s="190"/>
      <c r="H1250" s="137"/>
      <c r="I1250" s="137"/>
      <c r="J1250" s="137"/>
      <c r="M1250" s="143"/>
      <c r="N1250" s="143"/>
      <c r="O1250" s="143"/>
      <c r="P1250" s="143"/>
      <c r="Q1250" s="137"/>
      <c r="R1250" s="137"/>
      <c r="S1250" s="137"/>
      <c r="T1250" s="137"/>
      <c r="U1250" s="137"/>
      <c r="V1250" s="137"/>
      <c r="W1250" s="137"/>
      <c r="X1250" s="137"/>
      <c r="Y1250" s="137"/>
      <c r="Z1250" s="137"/>
      <c r="AA1250" s="137"/>
    </row>
    <row r="1251" spans="5:27" x14ac:dyDescent="0.35">
      <c r="E1251" s="137"/>
      <c r="F1251" s="137"/>
      <c r="G1251" s="190"/>
      <c r="H1251" s="137"/>
      <c r="I1251" s="137"/>
      <c r="J1251" s="137"/>
      <c r="M1251" s="143"/>
      <c r="N1251" s="143"/>
      <c r="O1251" s="143"/>
      <c r="P1251" s="143"/>
      <c r="Q1251" s="137"/>
      <c r="R1251" s="137"/>
      <c r="S1251" s="137"/>
      <c r="T1251" s="137"/>
      <c r="U1251" s="137"/>
      <c r="V1251" s="137"/>
      <c r="W1251" s="137"/>
      <c r="X1251" s="137"/>
      <c r="Y1251" s="137"/>
      <c r="Z1251" s="137"/>
      <c r="AA1251" s="137"/>
    </row>
    <row r="1252" spans="5:27" x14ac:dyDescent="0.35">
      <c r="E1252" s="137"/>
      <c r="F1252" s="137"/>
      <c r="G1252" s="190"/>
      <c r="H1252" s="137"/>
      <c r="I1252" s="137"/>
      <c r="J1252" s="137"/>
      <c r="M1252" s="143"/>
      <c r="N1252" s="143"/>
      <c r="O1252" s="143"/>
      <c r="P1252" s="143"/>
      <c r="Q1252" s="137"/>
      <c r="R1252" s="137"/>
      <c r="S1252" s="137"/>
      <c r="T1252" s="137"/>
      <c r="U1252" s="137"/>
      <c r="V1252" s="137"/>
      <c r="W1252" s="137"/>
      <c r="X1252" s="137"/>
      <c r="Y1252" s="137"/>
      <c r="Z1252" s="137"/>
      <c r="AA1252" s="137"/>
    </row>
    <row r="1253" spans="5:27" x14ac:dyDescent="0.35">
      <c r="E1253" s="137"/>
      <c r="F1253" s="137"/>
      <c r="G1253" s="190"/>
      <c r="H1253" s="137"/>
      <c r="I1253" s="137"/>
      <c r="J1253" s="137"/>
      <c r="M1253" s="143"/>
      <c r="N1253" s="143"/>
      <c r="O1253" s="143"/>
      <c r="P1253" s="143"/>
      <c r="Q1253" s="137"/>
      <c r="R1253" s="137"/>
      <c r="S1253" s="137"/>
      <c r="T1253" s="137"/>
      <c r="U1253" s="137"/>
      <c r="V1253" s="137"/>
      <c r="W1253" s="137"/>
      <c r="X1253" s="137"/>
      <c r="Y1253" s="137"/>
      <c r="Z1253" s="137"/>
      <c r="AA1253" s="137"/>
    </row>
    <row r="1254" spans="5:27" x14ac:dyDescent="0.35">
      <c r="E1254" s="137"/>
      <c r="F1254" s="137"/>
      <c r="G1254" s="190"/>
      <c r="H1254" s="137"/>
      <c r="I1254" s="137"/>
      <c r="J1254" s="137"/>
      <c r="M1254" s="143"/>
      <c r="N1254" s="143"/>
      <c r="O1254" s="143"/>
      <c r="P1254" s="143"/>
      <c r="Q1254" s="137"/>
      <c r="R1254" s="137"/>
      <c r="S1254" s="137"/>
      <c r="T1254" s="137"/>
      <c r="U1254" s="137"/>
      <c r="V1254" s="137"/>
      <c r="W1254" s="137"/>
      <c r="X1254" s="137"/>
      <c r="Y1254" s="137"/>
      <c r="Z1254" s="137"/>
      <c r="AA1254" s="137"/>
    </row>
    <row r="1255" spans="5:27" x14ac:dyDescent="0.35">
      <c r="E1255" s="137"/>
      <c r="F1255" s="137"/>
      <c r="G1255" s="190"/>
      <c r="H1255" s="137"/>
      <c r="I1255" s="137"/>
      <c r="J1255" s="137"/>
      <c r="M1255" s="143"/>
      <c r="N1255" s="143"/>
      <c r="O1255" s="143"/>
      <c r="P1255" s="143"/>
      <c r="Q1255" s="137"/>
      <c r="R1255" s="137"/>
      <c r="S1255" s="137"/>
      <c r="T1255" s="137"/>
      <c r="U1255" s="137"/>
      <c r="V1255" s="137"/>
      <c r="W1255" s="137"/>
      <c r="X1255" s="137"/>
      <c r="Y1255" s="137"/>
      <c r="Z1255" s="137"/>
      <c r="AA1255" s="137"/>
    </row>
    <row r="1256" spans="5:27" x14ac:dyDescent="0.35">
      <c r="E1256" s="137"/>
      <c r="F1256" s="137"/>
      <c r="G1256" s="190"/>
      <c r="H1256" s="137"/>
      <c r="I1256" s="137"/>
      <c r="J1256" s="137"/>
      <c r="M1256" s="143"/>
      <c r="N1256" s="143"/>
      <c r="O1256" s="143"/>
      <c r="P1256" s="143"/>
      <c r="Q1256" s="137"/>
      <c r="R1256" s="137"/>
      <c r="S1256" s="137"/>
      <c r="T1256" s="137"/>
      <c r="U1256" s="137"/>
      <c r="V1256" s="137"/>
      <c r="W1256" s="137"/>
      <c r="X1256" s="137"/>
      <c r="Y1256" s="137"/>
      <c r="Z1256" s="137"/>
      <c r="AA1256" s="137"/>
    </row>
    <row r="1257" spans="5:27" x14ac:dyDescent="0.35">
      <c r="E1257" s="137"/>
      <c r="F1257" s="137"/>
      <c r="G1257" s="190"/>
      <c r="H1257" s="137"/>
      <c r="I1257" s="137"/>
      <c r="J1257" s="137"/>
      <c r="M1257" s="143"/>
      <c r="N1257" s="143"/>
      <c r="O1257" s="143"/>
      <c r="P1257" s="143"/>
      <c r="Q1257" s="137"/>
      <c r="R1257" s="137"/>
      <c r="S1257" s="137"/>
      <c r="T1257" s="137"/>
      <c r="U1257" s="137"/>
      <c r="V1257" s="137"/>
      <c r="W1257" s="137"/>
      <c r="X1257" s="137"/>
      <c r="Y1257" s="137"/>
      <c r="Z1257" s="137"/>
      <c r="AA1257" s="137"/>
    </row>
    <row r="1258" spans="5:27" x14ac:dyDescent="0.35">
      <c r="E1258" s="137"/>
      <c r="F1258" s="137"/>
      <c r="G1258" s="190"/>
      <c r="H1258" s="137"/>
      <c r="I1258" s="137"/>
      <c r="J1258" s="137"/>
      <c r="M1258" s="143"/>
      <c r="N1258" s="143"/>
      <c r="O1258" s="143"/>
      <c r="P1258" s="143"/>
      <c r="Q1258" s="137"/>
      <c r="R1258" s="137"/>
      <c r="S1258" s="137"/>
      <c r="T1258" s="137"/>
      <c r="U1258" s="137"/>
      <c r="V1258" s="137"/>
      <c r="W1258" s="137"/>
      <c r="X1258" s="137"/>
      <c r="Y1258" s="137"/>
      <c r="Z1258" s="137"/>
      <c r="AA1258" s="137"/>
    </row>
    <row r="1259" spans="5:27" x14ac:dyDescent="0.35">
      <c r="E1259" s="137"/>
      <c r="F1259" s="137"/>
      <c r="G1259" s="190"/>
      <c r="H1259" s="137"/>
      <c r="I1259" s="137"/>
      <c r="J1259" s="137"/>
      <c r="M1259" s="143"/>
      <c r="N1259" s="143"/>
      <c r="O1259" s="143"/>
      <c r="P1259" s="143"/>
      <c r="Q1259" s="137"/>
      <c r="R1259" s="137"/>
      <c r="S1259" s="137"/>
      <c r="T1259" s="137"/>
      <c r="U1259" s="137"/>
      <c r="V1259" s="137"/>
      <c r="W1259" s="137"/>
      <c r="X1259" s="137"/>
      <c r="Y1259" s="137"/>
      <c r="Z1259" s="137"/>
      <c r="AA1259" s="137"/>
    </row>
    <row r="1260" spans="5:27" x14ac:dyDescent="0.35">
      <c r="E1260" s="137"/>
      <c r="F1260" s="137"/>
      <c r="G1260" s="190"/>
      <c r="H1260" s="137"/>
      <c r="I1260" s="137"/>
      <c r="J1260" s="137"/>
      <c r="M1260" s="143"/>
      <c r="N1260" s="143"/>
      <c r="O1260" s="143"/>
      <c r="P1260" s="143"/>
      <c r="Q1260" s="137"/>
      <c r="R1260" s="137"/>
      <c r="S1260" s="137"/>
      <c r="T1260" s="137"/>
      <c r="U1260" s="137"/>
      <c r="V1260" s="137"/>
      <c r="W1260" s="137"/>
      <c r="X1260" s="137"/>
      <c r="Y1260" s="137"/>
      <c r="Z1260" s="137"/>
      <c r="AA1260" s="137"/>
    </row>
    <row r="1261" spans="5:27" x14ac:dyDescent="0.35">
      <c r="E1261" s="137"/>
      <c r="F1261" s="137"/>
      <c r="G1261" s="190"/>
      <c r="H1261" s="137"/>
      <c r="I1261" s="137"/>
      <c r="J1261" s="137"/>
      <c r="M1261" s="143"/>
      <c r="N1261" s="143"/>
      <c r="O1261" s="143"/>
      <c r="P1261" s="143"/>
      <c r="Q1261" s="137"/>
      <c r="R1261" s="137"/>
      <c r="S1261" s="137"/>
      <c r="T1261" s="137"/>
      <c r="U1261" s="137"/>
      <c r="V1261" s="137"/>
      <c r="W1261" s="137"/>
      <c r="X1261" s="137"/>
      <c r="Y1261" s="137"/>
      <c r="Z1261" s="137"/>
      <c r="AA1261" s="137"/>
    </row>
    <row r="1262" spans="5:27" x14ac:dyDescent="0.35">
      <c r="E1262" s="137"/>
      <c r="F1262" s="137"/>
      <c r="G1262" s="190"/>
      <c r="H1262" s="137"/>
      <c r="I1262" s="137"/>
      <c r="J1262" s="137"/>
      <c r="M1262" s="143"/>
      <c r="N1262" s="143"/>
      <c r="O1262" s="143"/>
      <c r="P1262" s="143"/>
      <c r="Q1262" s="137"/>
      <c r="R1262" s="137"/>
      <c r="S1262" s="137"/>
      <c r="T1262" s="137"/>
      <c r="U1262" s="137"/>
      <c r="V1262" s="137"/>
      <c r="W1262" s="137"/>
      <c r="X1262" s="137"/>
      <c r="Y1262" s="137"/>
      <c r="Z1262" s="137"/>
      <c r="AA1262" s="137"/>
    </row>
    <row r="1263" spans="5:27" x14ac:dyDescent="0.35">
      <c r="E1263" s="137"/>
      <c r="F1263" s="137"/>
      <c r="G1263" s="190"/>
      <c r="H1263" s="137"/>
      <c r="I1263" s="137"/>
      <c r="J1263" s="137"/>
      <c r="M1263" s="143"/>
      <c r="N1263" s="143"/>
      <c r="O1263" s="143"/>
      <c r="P1263" s="143"/>
      <c r="Q1263" s="137"/>
      <c r="R1263" s="137"/>
      <c r="S1263" s="137"/>
      <c r="T1263" s="137"/>
      <c r="U1263" s="137"/>
      <c r="V1263" s="137"/>
      <c r="W1263" s="137"/>
      <c r="X1263" s="137"/>
      <c r="Y1263" s="137"/>
      <c r="Z1263" s="137"/>
      <c r="AA1263" s="137"/>
    </row>
    <row r="1264" spans="5:27" x14ac:dyDescent="0.35">
      <c r="E1264" s="137"/>
      <c r="F1264" s="137"/>
      <c r="G1264" s="190"/>
      <c r="H1264" s="137"/>
      <c r="I1264" s="137"/>
      <c r="J1264" s="137"/>
      <c r="M1264" s="143"/>
      <c r="N1264" s="143"/>
      <c r="O1264" s="143"/>
      <c r="P1264" s="143"/>
      <c r="Q1264" s="137"/>
      <c r="R1264" s="137"/>
      <c r="S1264" s="137"/>
      <c r="T1264" s="137"/>
      <c r="U1264" s="137"/>
      <c r="V1264" s="137"/>
      <c r="W1264" s="137"/>
      <c r="X1264" s="137"/>
      <c r="Y1264" s="137"/>
      <c r="Z1264" s="137"/>
      <c r="AA1264" s="137"/>
    </row>
    <row r="1265" spans="5:27" x14ac:dyDescent="0.35">
      <c r="E1265" s="137"/>
      <c r="F1265" s="137"/>
      <c r="G1265" s="190"/>
      <c r="H1265" s="137"/>
      <c r="I1265" s="137"/>
      <c r="J1265" s="137"/>
      <c r="M1265" s="143"/>
      <c r="N1265" s="143"/>
      <c r="O1265" s="143"/>
      <c r="P1265" s="143"/>
      <c r="Q1265" s="137"/>
      <c r="R1265" s="137"/>
      <c r="S1265" s="137"/>
      <c r="T1265" s="137"/>
      <c r="U1265" s="137"/>
      <c r="V1265" s="137"/>
      <c r="W1265" s="137"/>
      <c r="X1265" s="137"/>
      <c r="Y1265" s="137"/>
      <c r="Z1265" s="137"/>
      <c r="AA1265" s="137"/>
    </row>
    <row r="1266" spans="5:27" x14ac:dyDescent="0.35">
      <c r="E1266" s="137"/>
      <c r="F1266" s="137"/>
      <c r="G1266" s="190"/>
      <c r="H1266" s="137"/>
      <c r="I1266" s="137"/>
      <c r="J1266" s="137"/>
      <c r="M1266" s="143"/>
      <c r="N1266" s="143"/>
      <c r="O1266" s="143"/>
      <c r="P1266" s="143"/>
      <c r="Q1266" s="137"/>
      <c r="R1266" s="137"/>
      <c r="S1266" s="137"/>
      <c r="T1266" s="137"/>
      <c r="U1266" s="137"/>
      <c r="V1266" s="137"/>
      <c r="W1266" s="137"/>
      <c r="X1266" s="137"/>
      <c r="Y1266" s="137"/>
      <c r="Z1266" s="137"/>
      <c r="AA1266" s="137"/>
    </row>
    <row r="1267" spans="5:27" x14ac:dyDescent="0.35">
      <c r="E1267" s="137"/>
      <c r="F1267" s="137"/>
      <c r="G1267" s="190"/>
      <c r="H1267" s="137"/>
      <c r="I1267" s="137"/>
      <c r="J1267" s="137"/>
      <c r="M1267" s="143"/>
      <c r="N1267" s="143"/>
      <c r="O1267" s="143"/>
      <c r="P1267" s="143"/>
      <c r="Q1267" s="137"/>
      <c r="R1267" s="137"/>
      <c r="S1267" s="137"/>
      <c r="T1267" s="137"/>
      <c r="U1267" s="137"/>
      <c r="V1267" s="137"/>
      <c r="W1267" s="137"/>
      <c r="X1267" s="137"/>
      <c r="Y1267" s="137"/>
      <c r="Z1267" s="137"/>
      <c r="AA1267" s="137"/>
    </row>
    <row r="1268" spans="5:27" x14ac:dyDescent="0.35">
      <c r="E1268" s="137"/>
      <c r="F1268" s="137"/>
      <c r="G1268" s="190"/>
      <c r="H1268" s="137"/>
      <c r="I1268" s="137"/>
      <c r="J1268" s="137"/>
      <c r="M1268" s="143"/>
      <c r="N1268" s="143"/>
      <c r="O1268" s="143"/>
      <c r="P1268" s="143"/>
      <c r="Q1268" s="137"/>
      <c r="R1268" s="137"/>
      <c r="S1268" s="137"/>
      <c r="T1268" s="137"/>
      <c r="U1268" s="137"/>
      <c r="V1268" s="137"/>
      <c r="W1268" s="137"/>
      <c r="X1268" s="137"/>
      <c r="Y1268" s="137"/>
      <c r="Z1268" s="137"/>
      <c r="AA1268" s="137"/>
    </row>
    <row r="1269" spans="5:27" x14ac:dyDescent="0.35">
      <c r="E1269" s="137"/>
      <c r="F1269" s="137"/>
      <c r="G1269" s="190"/>
      <c r="H1269" s="137"/>
      <c r="I1269" s="137"/>
      <c r="J1269" s="137"/>
      <c r="M1269" s="143"/>
      <c r="N1269" s="143"/>
      <c r="O1269" s="143"/>
      <c r="P1269" s="143"/>
      <c r="Q1269" s="137"/>
      <c r="R1269" s="137"/>
      <c r="S1269" s="137"/>
      <c r="T1269" s="137"/>
      <c r="U1269" s="137"/>
      <c r="V1269" s="137"/>
      <c r="W1269" s="137"/>
      <c r="X1269" s="137"/>
      <c r="Y1269" s="137"/>
      <c r="Z1269" s="137"/>
      <c r="AA1269" s="137"/>
    </row>
    <row r="1270" spans="5:27" x14ac:dyDescent="0.35">
      <c r="E1270" s="137"/>
      <c r="F1270" s="137"/>
      <c r="G1270" s="190"/>
      <c r="H1270" s="137"/>
      <c r="I1270" s="137"/>
      <c r="J1270" s="137"/>
      <c r="M1270" s="143"/>
      <c r="N1270" s="143"/>
      <c r="O1270" s="143"/>
      <c r="P1270" s="143"/>
      <c r="Q1270" s="137"/>
      <c r="R1270" s="137"/>
      <c r="S1270" s="137"/>
      <c r="T1270" s="137"/>
      <c r="U1270" s="137"/>
      <c r="V1270" s="137"/>
      <c r="W1270" s="137"/>
      <c r="X1270" s="137"/>
      <c r="Y1270" s="137"/>
      <c r="Z1270" s="137"/>
      <c r="AA1270" s="137"/>
    </row>
    <row r="1271" spans="5:27" x14ac:dyDescent="0.35">
      <c r="E1271" s="137"/>
      <c r="F1271" s="137"/>
      <c r="G1271" s="190"/>
      <c r="H1271" s="137"/>
      <c r="I1271" s="137"/>
      <c r="J1271" s="137"/>
      <c r="M1271" s="143"/>
      <c r="N1271" s="143"/>
      <c r="O1271" s="143"/>
      <c r="P1271" s="143"/>
      <c r="Q1271" s="137"/>
      <c r="R1271" s="137"/>
      <c r="S1271" s="137"/>
      <c r="T1271" s="137"/>
      <c r="U1271" s="137"/>
      <c r="V1271" s="137"/>
      <c r="W1271" s="137"/>
      <c r="X1271" s="137"/>
      <c r="Y1271" s="137"/>
      <c r="Z1271" s="137"/>
      <c r="AA1271" s="137"/>
    </row>
    <row r="1272" spans="5:27" x14ac:dyDescent="0.35">
      <c r="E1272" s="137"/>
      <c r="F1272" s="137"/>
      <c r="G1272" s="190"/>
      <c r="H1272" s="137"/>
      <c r="I1272" s="137"/>
      <c r="J1272" s="137"/>
      <c r="M1272" s="143"/>
      <c r="N1272" s="143"/>
      <c r="O1272" s="143"/>
      <c r="P1272" s="143"/>
      <c r="Q1272" s="137"/>
      <c r="R1272" s="137"/>
      <c r="S1272" s="137"/>
      <c r="T1272" s="137"/>
      <c r="U1272" s="137"/>
      <c r="V1272" s="137"/>
      <c r="W1272" s="137"/>
      <c r="X1272" s="137"/>
      <c r="Y1272" s="137"/>
      <c r="Z1272" s="137"/>
      <c r="AA1272" s="137"/>
    </row>
    <row r="1273" spans="5:27" x14ac:dyDescent="0.35">
      <c r="E1273" s="137"/>
      <c r="F1273" s="137"/>
      <c r="G1273" s="190"/>
      <c r="H1273" s="137"/>
      <c r="I1273" s="137"/>
      <c r="J1273" s="137"/>
      <c r="M1273" s="143"/>
      <c r="N1273" s="143"/>
      <c r="O1273" s="143"/>
      <c r="P1273" s="143"/>
      <c r="Q1273" s="137"/>
      <c r="R1273" s="137"/>
      <c r="S1273" s="137"/>
      <c r="T1273" s="137"/>
      <c r="U1273" s="137"/>
      <c r="V1273" s="137"/>
      <c r="W1273" s="137"/>
      <c r="X1273" s="137"/>
      <c r="Y1273" s="137"/>
      <c r="Z1273" s="137"/>
      <c r="AA1273" s="137"/>
    </row>
    <row r="1274" spans="5:27" x14ac:dyDescent="0.35">
      <c r="E1274" s="137"/>
      <c r="F1274" s="137"/>
      <c r="G1274" s="190"/>
      <c r="H1274" s="137"/>
      <c r="I1274" s="137"/>
      <c r="J1274" s="137"/>
      <c r="M1274" s="143"/>
      <c r="N1274" s="143"/>
      <c r="O1274" s="143"/>
      <c r="P1274" s="143"/>
      <c r="Q1274" s="137"/>
      <c r="R1274" s="137"/>
      <c r="S1274" s="137"/>
      <c r="T1274" s="137"/>
      <c r="U1274" s="137"/>
      <c r="V1274" s="137"/>
      <c r="W1274" s="137"/>
      <c r="X1274" s="137"/>
      <c r="Y1274" s="137"/>
      <c r="Z1274" s="137"/>
      <c r="AA1274" s="137"/>
    </row>
    <row r="1275" spans="5:27" x14ac:dyDescent="0.35">
      <c r="E1275" s="137"/>
      <c r="F1275" s="137"/>
      <c r="G1275" s="190"/>
      <c r="H1275" s="137"/>
      <c r="I1275" s="137"/>
      <c r="J1275" s="137"/>
      <c r="M1275" s="143"/>
      <c r="N1275" s="143"/>
      <c r="O1275" s="143"/>
      <c r="P1275" s="143"/>
      <c r="Q1275" s="137"/>
      <c r="R1275" s="137"/>
      <c r="S1275" s="137"/>
      <c r="T1275" s="137"/>
      <c r="U1275" s="137"/>
      <c r="V1275" s="137"/>
      <c r="W1275" s="137"/>
      <c r="X1275" s="137"/>
      <c r="Y1275" s="137"/>
      <c r="Z1275" s="137"/>
      <c r="AA1275" s="137"/>
    </row>
    <row r="1276" spans="5:27" x14ac:dyDescent="0.35">
      <c r="E1276" s="137"/>
      <c r="F1276" s="137"/>
      <c r="G1276" s="190"/>
      <c r="H1276" s="137"/>
      <c r="I1276" s="137"/>
      <c r="J1276" s="137"/>
      <c r="M1276" s="143"/>
      <c r="N1276" s="143"/>
      <c r="O1276" s="143"/>
      <c r="P1276" s="143"/>
      <c r="Q1276" s="137"/>
      <c r="R1276" s="137"/>
      <c r="S1276" s="137"/>
      <c r="T1276" s="137"/>
      <c r="U1276" s="137"/>
      <c r="V1276" s="137"/>
      <c r="W1276" s="137"/>
      <c r="X1276" s="137"/>
      <c r="Y1276" s="137"/>
      <c r="Z1276" s="137"/>
      <c r="AA1276" s="137"/>
    </row>
    <row r="1277" spans="5:27" x14ac:dyDescent="0.35">
      <c r="E1277" s="137"/>
      <c r="F1277" s="137"/>
      <c r="G1277" s="190"/>
      <c r="H1277" s="137"/>
      <c r="I1277" s="137"/>
      <c r="J1277" s="137"/>
      <c r="M1277" s="143"/>
      <c r="N1277" s="143"/>
      <c r="O1277" s="143"/>
      <c r="P1277" s="143"/>
      <c r="Q1277" s="137"/>
      <c r="R1277" s="137"/>
      <c r="S1277" s="137"/>
      <c r="T1277" s="137"/>
      <c r="U1277" s="137"/>
      <c r="V1277" s="137"/>
      <c r="W1277" s="137"/>
      <c r="X1277" s="137"/>
      <c r="Y1277" s="137"/>
      <c r="Z1277" s="137"/>
      <c r="AA1277" s="137"/>
    </row>
    <row r="1278" spans="5:27" x14ac:dyDescent="0.35">
      <c r="E1278" s="137"/>
      <c r="F1278" s="137"/>
      <c r="G1278" s="190"/>
      <c r="H1278" s="137"/>
      <c r="I1278" s="137"/>
      <c r="J1278" s="137"/>
      <c r="M1278" s="143"/>
      <c r="N1278" s="143"/>
      <c r="O1278" s="143"/>
      <c r="P1278" s="143"/>
      <c r="Q1278" s="137"/>
      <c r="R1278" s="137"/>
      <c r="S1278" s="137"/>
      <c r="T1278" s="137"/>
      <c r="U1278" s="137"/>
      <c r="V1278" s="137"/>
      <c r="W1278" s="137"/>
      <c r="X1278" s="137"/>
      <c r="Y1278" s="137"/>
      <c r="Z1278" s="137"/>
      <c r="AA1278" s="137"/>
    </row>
    <row r="1279" spans="5:27" x14ac:dyDescent="0.35">
      <c r="E1279" s="137"/>
      <c r="F1279" s="137"/>
      <c r="G1279" s="190"/>
      <c r="H1279" s="137"/>
      <c r="I1279" s="137"/>
      <c r="J1279" s="137"/>
      <c r="M1279" s="143"/>
      <c r="N1279" s="143"/>
      <c r="O1279" s="143"/>
      <c r="P1279" s="143"/>
      <c r="Q1279" s="137"/>
      <c r="R1279" s="137"/>
      <c r="S1279" s="137"/>
      <c r="T1279" s="137"/>
      <c r="U1279" s="137"/>
      <c r="V1279" s="137"/>
      <c r="W1279" s="137"/>
      <c r="X1279" s="137"/>
      <c r="Y1279" s="137"/>
      <c r="Z1279" s="137"/>
      <c r="AA1279" s="137"/>
    </row>
    <row r="1280" spans="5:27" x14ac:dyDescent="0.35">
      <c r="E1280" s="137"/>
      <c r="F1280" s="137"/>
      <c r="G1280" s="190"/>
      <c r="H1280" s="137"/>
      <c r="I1280" s="137"/>
      <c r="J1280" s="137"/>
      <c r="M1280" s="143"/>
      <c r="N1280" s="143"/>
      <c r="O1280" s="143"/>
      <c r="P1280" s="143"/>
      <c r="Q1280" s="137"/>
      <c r="R1280" s="137"/>
      <c r="S1280" s="137"/>
      <c r="T1280" s="137"/>
      <c r="U1280" s="137"/>
      <c r="V1280" s="137"/>
      <c r="W1280" s="137"/>
      <c r="X1280" s="137"/>
      <c r="Y1280" s="137"/>
      <c r="Z1280" s="137"/>
      <c r="AA1280" s="137"/>
    </row>
    <row r="1281" spans="5:27" x14ac:dyDescent="0.35">
      <c r="E1281" s="137"/>
      <c r="F1281" s="137"/>
      <c r="G1281" s="190"/>
      <c r="H1281" s="137"/>
      <c r="I1281" s="137"/>
      <c r="J1281" s="137"/>
      <c r="M1281" s="143"/>
      <c r="N1281" s="143"/>
      <c r="O1281" s="143"/>
      <c r="P1281" s="143"/>
      <c r="Q1281" s="137"/>
      <c r="R1281" s="137"/>
      <c r="S1281" s="137"/>
      <c r="T1281" s="137"/>
      <c r="U1281" s="137"/>
      <c r="V1281" s="137"/>
      <c r="W1281" s="137"/>
      <c r="X1281" s="137"/>
      <c r="Y1281" s="137"/>
      <c r="Z1281" s="137"/>
      <c r="AA1281" s="137"/>
    </row>
    <row r="1282" spans="5:27" x14ac:dyDescent="0.35">
      <c r="E1282" s="137"/>
      <c r="F1282" s="137"/>
      <c r="G1282" s="190"/>
      <c r="H1282" s="137"/>
      <c r="I1282" s="137"/>
      <c r="J1282" s="137"/>
      <c r="M1282" s="143"/>
      <c r="N1282" s="143"/>
      <c r="O1282" s="143"/>
      <c r="P1282" s="143"/>
      <c r="Q1282" s="137"/>
      <c r="R1282" s="137"/>
      <c r="S1282" s="137"/>
      <c r="T1282" s="137"/>
      <c r="U1282" s="137"/>
      <c r="V1282" s="137"/>
      <c r="W1282" s="137"/>
      <c r="X1282" s="137"/>
      <c r="Y1282" s="137"/>
      <c r="Z1282" s="137"/>
      <c r="AA1282" s="137"/>
    </row>
    <row r="1283" spans="5:27" x14ac:dyDescent="0.35">
      <c r="E1283" s="137"/>
      <c r="F1283" s="137"/>
      <c r="G1283" s="190"/>
      <c r="H1283" s="137"/>
      <c r="I1283" s="137"/>
      <c r="J1283" s="137"/>
      <c r="M1283" s="143"/>
      <c r="N1283" s="143"/>
      <c r="O1283" s="143"/>
      <c r="P1283" s="143"/>
      <c r="Q1283" s="137"/>
      <c r="R1283" s="137"/>
      <c r="S1283" s="137"/>
      <c r="T1283" s="137"/>
      <c r="U1283" s="137"/>
      <c r="V1283" s="137"/>
      <c r="W1283" s="137"/>
      <c r="X1283" s="137"/>
      <c r="Y1283" s="137"/>
      <c r="Z1283" s="137"/>
      <c r="AA1283" s="137"/>
    </row>
    <row r="1284" spans="5:27" x14ac:dyDescent="0.35">
      <c r="E1284" s="137"/>
      <c r="F1284" s="137"/>
      <c r="G1284" s="190"/>
      <c r="H1284" s="137"/>
      <c r="I1284" s="137"/>
      <c r="J1284" s="137"/>
      <c r="M1284" s="143"/>
      <c r="N1284" s="143"/>
      <c r="O1284" s="143"/>
      <c r="P1284" s="143"/>
      <c r="Q1284" s="137"/>
      <c r="R1284" s="137"/>
      <c r="S1284" s="137"/>
      <c r="T1284" s="137"/>
      <c r="U1284" s="137"/>
      <c r="V1284" s="137"/>
      <c r="W1284" s="137"/>
      <c r="X1284" s="137"/>
      <c r="Y1284" s="137"/>
      <c r="Z1284" s="137"/>
      <c r="AA1284" s="137"/>
    </row>
    <row r="1285" spans="5:27" x14ac:dyDescent="0.35">
      <c r="E1285" s="137"/>
      <c r="F1285" s="137"/>
      <c r="G1285" s="190"/>
      <c r="H1285" s="137"/>
      <c r="I1285" s="137"/>
      <c r="J1285" s="137"/>
      <c r="M1285" s="143"/>
      <c r="N1285" s="143"/>
      <c r="O1285" s="143"/>
      <c r="P1285" s="143"/>
      <c r="Q1285" s="137"/>
      <c r="R1285" s="137"/>
      <c r="S1285" s="137"/>
      <c r="T1285" s="137"/>
      <c r="U1285" s="137"/>
      <c r="V1285" s="137"/>
      <c r="W1285" s="137"/>
      <c r="X1285" s="137"/>
      <c r="Y1285" s="137"/>
      <c r="Z1285" s="137"/>
      <c r="AA1285" s="137"/>
    </row>
    <row r="1286" spans="5:27" x14ac:dyDescent="0.35">
      <c r="E1286" s="137"/>
      <c r="F1286" s="137"/>
      <c r="G1286" s="190"/>
      <c r="H1286" s="137"/>
      <c r="I1286" s="137"/>
      <c r="J1286" s="137"/>
      <c r="M1286" s="143"/>
      <c r="N1286" s="143"/>
      <c r="O1286" s="143"/>
      <c r="P1286" s="143"/>
      <c r="Q1286" s="137"/>
      <c r="R1286" s="137"/>
      <c r="S1286" s="137"/>
      <c r="T1286" s="137"/>
      <c r="U1286" s="137"/>
      <c r="V1286" s="137"/>
      <c r="W1286" s="137"/>
      <c r="X1286" s="137"/>
      <c r="Y1286" s="137"/>
      <c r="Z1286" s="137"/>
      <c r="AA1286" s="137"/>
    </row>
    <row r="1287" spans="5:27" x14ac:dyDescent="0.35">
      <c r="E1287" s="137"/>
      <c r="F1287" s="137"/>
      <c r="G1287" s="190"/>
      <c r="H1287" s="137"/>
      <c r="I1287" s="137"/>
      <c r="J1287" s="137"/>
      <c r="M1287" s="143"/>
      <c r="N1287" s="143"/>
      <c r="O1287" s="143"/>
      <c r="P1287" s="143"/>
      <c r="Q1287" s="137"/>
      <c r="R1287" s="137"/>
      <c r="S1287" s="137"/>
      <c r="T1287" s="137"/>
      <c r="U1287" s="137"/>
      <c r="V1287" s="137"/>
      <c r="W1287" s="137"/>
      <c r="X1287" s="137"/>
      <c r="Y1287" s="137"/>
      <c r="Z1287" s="137"/>
      <c r="AA1287" s="137"/>
    </row>
    <row r="1288" spans="5:27" x14ac:dyDescent="0.35">
      <c r="E1288" s="137"/>
      <c r="F1288" s="137"/>
      <c r="G1288" s="190"/>
      <c r="H1288" s="137"/>
      <c r="I1288" s="137"/>
      <c r="J1288" s="137"/>
      <c r="M1288" s="143"/>
      <c r="N1288" s="143"/>
      <c r="O1288" s="143"/>
      <c r="P1288" s="143"/>
      <c r="Q1288" s="137"/>
      <c r="R1288" s="137"/>
      <c r="S1288" s="137"/>
      <c r="T1288" s="137"/>
      <c r="U1288" s="137"/>
      <c r="V1288" s="137"/>
      <c r="W1288" s="137"/>
      <c r="X1288" s="137"/>
      <c r="Y1288" s="137"/>
      <c r="Z1288" s="137"/>
      <c r="AA1288" s="137"/>
    </row>
    <row r="1289" spans="5:27" x14ac:dyDescent="0.35">
      <c r="E1289" s="137"/>
      <c r="F1289" s="137"/>
      <c r="G1289" s="190"/>
      <c r="H1289" s="137"/>
      <c r="I1289" s="137"/>
      <c r="J1289" s="137"/>
      <c r="M1289" s="143"/>
      <c r="N1289" s="143"/>
      <c r="O1289" s="143"/>
      <c r="P1289" s="143"/>
      <c r="Q1289" s="137"/>
      <c r="R1289" s="137"/>
      <c r="S1289" s="137"/>
      <c r="T1289" s="137"/>
      <c r="U1289" s="137"/>
      <c r="V1289" s="137"/>
      <c r="W1289" s="137"/>
      <c r="X1289" s="137"/>
      <c r="Y1289" s="137"/>
      <c r="Z1289" s="137"/>
      <c r="AA1289" s="137"/>
    </row>
    <row r="1290" spans="5:27" x14ac:dyDescent="0.35">
      <c r="E1290" s="137"/>
      <c r="F1290" s="137"/>
      <c r="G1290" s="190"/>
      <c r="H1290" s="137"/>
      <c r="I1290" s="137"/>
      <c r="J1290" s="137"/>
      <c r="M1290" s="143"/>
      <c r="N1290" s="143"/>
      <c r="O1290" s="143"/>
      <c r="P1290" s="143"/>
      <c r="Q1290" s="137"/>
      <c r="R1290" s="137"/>
      <c r="S1290" s="137"/>
      <c r="T1290" s="137"/>
      <c r="U1290" s="137"/>
      <c r="V1290" s="137"/>
      <c r="W1290" s="137"/>
      <c r="X1290" s="137"/>
      <c r="Y1290" s="137"/>
      <c r="Z1290" s="137"/>
      <c r="AA1290" s="137"/>
    </row>
    <row r="1291" spans="5:27" x14ac:dyDescent="0.35">
      <c r="E1291" s="137"/>
      <c r="F1291" s="137"/>
      <c r="G1291" s="190"/>
      <c r="H1291" s="137"/>
      <c r="I1291" s="137"/>
      <c r="J1291" s="137"/>
      <c r="M1291" s="143"/>
      <c r="N1291" s="143"/>
      <c r="O1291" s="143"/>
      <c r="P1291" s="143"/>
      <c r="Q1291" s="137"/>
      <c r="R1291" s="137"/>
      <c r="S1291" s="137"/>
      <c r="T1291" s="137"/>
      <c r="U1291" s="137"/>
      <c r="V1291" s="137"/>
      <c r="W1291" s="137"/>
      <c r="X1291" s="137"/>
      <c r="Y1291" s="137"/>
      <c r="Z1291" s="137"/>
      <c r="AA1291" s="137"/>
    </row>
    <row r="1292" spans="5:27" x14ac:dyDescent="0.35">
      <c r="E1292" s="137"/>
      <c r="F1292" s="137"/>
      <c r="G1292" s="190"/>
      <c r="H1292" s="137"/>
      <c r="I1292" s="137"/>
      <c r="J1292" s="137"/>
      <c r="M1292" s="143"/>
      <c r="N1292" s="143"/>
      <c r="O1292" s="143"/>
      <c r="P1292" s="143"/>
      <c r="Q1292" s="137"/>
      <c r="R1292" s="137"/>
      <c r="S1292" s="137"/>
      <c r="T1292" s="137"/>
      <c r="U1292" s="137"/>
      <c r="V1292" s="137"/>
      <c r="W1292" s="137"/>
      <c r="X1292" s="137"/>
      <c r="Y1292" s="137"/>
      <c r="Z1292" s="137"/>
      <c r="AA1292" s="137"/>
    </row>
    <row r="1293" spans="5:27" x14ac:dyDescent="0.35">
      <c r="E1293" s="137"/>
      <c r="F1293" s="137"/>
      <c r="G1293" s="190"/>
      <c r="H1293" s="137"/>
      <c r="I1293" s="137"/>
      <c r="J1293" s="137"/>
      <c r="M1293" s="143"/>
      <c r="N1293" s="143"/>
      <c r="O1293" s="143"/>
      <c r="P1293" s="143"/>
      <c r="Q1293" s="137"/>
      <c r="R1293" s="137"/>
      <c r="S1293" s="137"/>
      <c r="T1293" s="137"/>
      <c r="U1293" s="137"/>
      <c r="V1293" s="137"/>
      <c r="W1293" s="137"/>
      <c r="X1293" s="137"/>
      <c r="Y1293" s="137"/>
      <c r="Z1293" s="137"/>
      <c r="AA1293" s="137"/>
    </row>
    <row r="1294" spans="5:27" x14ac:dyDescent="0.35">
      <c r="E1294" s="137"/>
      <c r="F1294" s="137"/>
      <c r="G1294" s="190"/>
      <c r="H1294" s="137"/>
      <c r="I1294" s="137"/>
      <c r="J1294" s="137"/>
      <c r="M1294" s="143"/>
      <c r="N1294" s="143"/>
      <c r="O1294" s="143"/>
      <c r="P1294" s="143"/>
      <c r="Q1294" s="137"/>
      <c r="R1294" s="137"/>
      <c r="S1294" s="137"/>
      <c r="T1294" s="137"/>
      <c r="U1294" s="137"/>
      <c r="V1294" s="137"/>
      <c r="W1294" s="137"/>
      <c r="X1294" s="137"/>
      <c r="Y1294" s="137"/>
      <c r="Z1294" s="137"/>
      <c r="AA1294" s="137"/>
    </row>
    <row r="1295" spans="5:27" x14ac:dyDescent="0.35">
      <c r="E1295" s="137"/>
      <c r="F1295" s="137"/>
      <c r="G1295" s="190"/>
      <c r="H1295" s="137"/>
      <c r="I1295" s="137"/>
      <c r="J1295" s="137"/>
      <c r="M1295" s="143"/>
      <c r="N1295" s="143"/>
      <c r="O1295" s="143"/>
      <c r="P1295" s="143"/>
      <c r="Q1295" s="137"/>
      <c r="R1295" s="137"/>
      <c r="S1295" s="137"/>
      <c r="T1295" s="137"/>
      <c r="U1295" s="137"/>
      <c r="V1295" s="137"/>
      <c r="W1295" s="137"/>
      <c r="X1295" s="137"/>
      <c r="Y1295" s="137"/>
      <c r="Z1295" s="137"/>
      <c r="AA1295" s="137"/>
    </row>
    <row r="1296" spans="5:27" x14ac:dyDescent="0.35">
      <c r="E1296" s="137"/>
      <c r="F1296" s="137"/>
      <c r="G1296" s="190"/>
      <c r="H1296" s="137"/>
      <c r="I1296" s="137"/>
      <c r="J1296" s="137"/>
      <c r="M1296" s="143"/>
      <c r="N1296" s="143"/>
      <c r="O1296" s="143"/>
      <c r="P1296" s="143"/>
      <c r="Q1296" s="137"/>
      <c r="R1296" s="137"/>
      <c r="S1296" s="137"/>
      <c r="T1296" s="137"/>
      <c r="U1296" s="137"/>
      <c r="V1296" s="137"/>
      <c r="W1296" s="137"/>
      <c r="X1296" s="137"/>
      <c r="Y1296" s="137"/>
      <c r="Z1296" s="137"/>
      <c r="AA1296" s="137"/>
    </row>
    <row r="1297" spans="5:27" x14ac:dyDescent="0.35">
      <c r="E1297" s="137"/>
      <c r="F1297" s="137"/>
      <c r="G1297" s="190"/>
      <c r="H1297" s="137"/>
      <c r="I1297" s="137"/>
      <c r="J1297" s="137"/>
      <c r="M1297" s="143"/>
      <c r="N1297" s="143"/>
      <c r="O1297" s="143"/>
      <c r="P1297" s="143"/>
      <c r="Q1297" s="137"/>
      <c r="R1297" s="137"/>
      <c r="S1297" s="137"/>
      <c r="T1297" s="137"/>
      <c r="U1297" s="137"/>
      <c r="V1297" s="137"/>
      <c r="W1297" s="137"/>
      <c r="X1297" s="137"/>
      <c r="Y1297" s="137"/>
      <c r="Z1297" s="137"/>
      <c r="AA1297" s="137"/>
    </row>
    <row r="1298" spans="5:27" x14ac:dyDescent="0.35">
      <c r="E1298" s="137"/>
      <c r="F1298" s="137"/>
      <c r="G1298" s="190"/>
      <c r="H1298" s="137"/>
      <c r="I1298" s="137"/>
      <c r="J1298" s="137"/>
      <c r="M1298" s="143"/>
      <c r="N1298" s="143"/>
      <c r="O1298" s="143"/>
      <c r="P1298" s="143"/>
      <c r="Q1298" s="137"/>
      <c r="R1298" s="137"/>
      <c r="S1298" s="137"/>
      <c r="T1298" s="137"/>
      <c r="U1298" s="137"/>
      <c r="V1298" s="137"/>
      <c r="W1298" s="137"/>
      <c r="X1298" s="137"/>
      <c r="Y1298" s="137"/>
      <c r="Z1298" s="137"/>
      <c r="AA1298" s="137"/>
    </row>
    <row r="1299" spans="5:27" x14ac:dyDescent="0.35">
      <c r="E1299" s="137"/>
      <c r="F1299" s="137"/>
      <c r="G1299" s="190"/>
      <c r="H1299" s="137"/>
      <c r="I1299" s="137"/>
      <c r="J1299" s="137"/>
      <c r="M1299" s="143"/>
      <c r="N1299" s="143"/>
      <c r="O1299" s="143"/>
      <c r="P1299" s="143"/>
      <c r="Q1299" s="137"/>
      <c r="R1299" s="137"/>
      <c r="S1299" s="137"/>
      <c r="T1299" s="137"/>
      <c r="U1299" s="137"/>
      <c r="V1299" s="137"/>
      <c r="W1299" s="137"/>
      <c r="X1299" s="137"/>
      <c r="Y1299" s="137"/>
      <c r="Z1299" s="137"/>
      <c r="AA1299" s="137"/>
    </row>
    <row r="1300" spans="5:27" x14ac:dyDescent="0.35">
      <c r="E1300" s="137"/>
      <c r="F1300" s="137"/>
      <c r="G1300" s="190"/>
      <c r="H1300" s="137"/>
      <c r="I1300" s="137"/>
      <c r="J1300" s="137"/>
      <c r="M1300" s="143"/>
      <c r="N1300" s="143"/>
      <c r="O1300" s="143"/>
      <c r="P1300" s="143"/>
      <c r="Q1300" s="137"/>
      <c r="R1300" s="137"/>
      <c r="S1300" s="137"/>
      <c r="T1300" s="137"/>
      <c r="U1300" s="137"/>
      <c r="V1300" s="137"/>
      <c r="W1300" s="137"/>
      <c r="X1300" s="137"/>
      <c r="Y1300" s="137"/>
      <c r="Z1300" s="137"/>
      <c r="AA1300" s="137"/>
    </row>
    <row r="1301" spans="5:27" x14ac:dyDescent="0.35">
      <c r="E1301" s="137"/>
      <c r="F1301" s="137"/>
      <c r="G1301" s="190"/>
      <c r="H1301" s="137"/>
      <c r="I1301" s="137"/>
      <c r="J1301" s="137"/>
      <c r="M1301" s="143"/>
      <c r="N1301" s="143"/>
      <c r="O1301" s="143"/>
      <c r="P1301" s="143"/>
      <c r="Q1301" s="137"/>
      <c r="R1301" s="137"/>
      <c r="S1301" s="137"/>
      <c r="T1301" s="137"/>
      <c r="U1301" s="137"/>
      <c r="V1301" s="137"/>
      <c r="W1301" s="137"/>
      <c r="X1301" s="137"/>
      <c r="Y1301" s="137"/>
      <c r="Z1301" s="137"/>
      <c r="AA1301" s="137"/>
    </row>
    <row r="1302" spans="5:27" x14ac:dyDescent="0.35">
      <c r="E1302" s="137"/>
      <c r="F1302" s="137"/>
      <c r="G1302" s="190"/>
      <c r="H1302" s="137"/>
      <c r="I1302" s="137"/>
      <c r="J1302" s="137"/>
      <c r="M1302" s="143"/>
      <c r="N1302" s="143"/>
      <c r="O1302" s="143"/>
      <c r="P1302" s="143"/>
      <c r="Q1302" s="137"/>
      <c r="R1302" s="137"/>
      <c r="S1302" s="137"/>
      <c r="T1302" s="137"/>
      <c r="U1302" s="137"/>
      <c r="V1302" s="137"/>
      <c r="W1302" s="137"/>
      <c r="X1302" s="137"/>
      <c r="Y1302" s="137"/>
      <c r="Z1302" s="137"/>
      <c r="AA1302" s="137"/>
    </row>
    <row r="1303" spans="5:27" x14ac:dyDescent="0.35">
      <c r="E1303" s="137"/>
      <c r="F1303" s="137"/>
      <c r="G1303" s="190"/>
      <c r="H1303" s="137"/>
      <c r="I1303" s="137"/>
      <c r="J1303" s="137"/>
      <c r="M1303" s="143"/>
      <c r="N1303" s="143"/>
      <c r="O1303" s="143"/>
      <c r="P1303" s="143"/>
      <c r="Q1303" s="137"/>
      <c r="R1303" s="137"/>
      <c r="S1303" s="137"/>
      <c r="T1303" s="137"/>
      <c r="U1303" s="137"/>
      <c r="V1303" s="137"/>
      <c r="W1303" s="137"/>
      <c r="X1303" s="137"/>
      <c r="Y1303" s="137"/>
      <c r="Z1303" s="137"/>
      <c r="AA1303" s="137"/>
    </row>
    <row r="1304" spans="5:27" x14ac:dyDescent="0.35">
      <c r="E1304" s="137"/>
      <c r="F1304" s="137"/>
      <c r="G1304" s="190"/>
      <c r="H1304" s="137"/>
      <c r="I1304" s="137"/>
      <c r="J1304" s="137"/>
      <c r="M1304" s="143"/>
      <c r="N1304" s="143"/>
      <c r="O1304" s="143"/>
      <c r="P1304" s="143"/>
      <c r="Q1304" s="137"/>
      <c r="R1304" s="137"/>
      <c r="S1304" s="137"/>
      <c r="T1304" s="137"/>
      <c r="U1304" s="137"/>
      <c r="V1304" s="137"/>
      <c r="W1304" s="137"/>
      <c r="X1304" s="137"/>
      <c r="Y1304" s="137"/>
      <c r="Z1304" s="137"/>
      <c r="AA1304" s="137"/>
    </row>
    <row r="1305" spans="5:27" x14ac:dyDescent="0.35">
      <c r="E1305" s="137"/>
      <c r="F1305" s="137"/>
      <c r="G1305" s="190"/>
      <c r="H1305" s="137"/>
      <c r="I1305" s="137"/>
      <c r="J1305" s="137"/>
      <c r="M1305" s="143"/>
      <c r="N1305" s="143"/>
      <c r="O1305" s="143"/>
      <c r="P1305" s="143"/>
      <c r="Q1305" s="137"/>
      <c r="R1305" s="137"/>
      <c r="S1305" s="137"/>
      <c r="T1305" s="137"/>
      <c r="U1305" s="137"/>
      <c r="V1305" s="137"/>
      <c r="W1305" s="137"/>
      <c r="X1305" s="137"/>
      <c r="Y1305" s="137"/>
      <c r="Z1305" s="137"/>
      <c r="AA1305" s="137"/>
    </row>
    <row r="1306" spans="5:27" x14ac:dyDescent="0.35">
      <c r="E1306" s="137"/>
      <c r="F1306" s="137"/>
      <c r="G1306" s="190"/>
      <c r="H1306" s="137"/>
      <c r="I1306" s="137"/>
      <c r="J1306" s="137"/>
      <c r="M1306" s="143"/>
      <c r="N1306" s="143"/>
      <c r="O1306" s="143"/>
      <c r="P1306" s="143"/>
      <c r="Q1306" s="137"/>
      <c r="R1306" s="137"/>
      <c r="S1306" s="137"/>
      <c r="T1306" s="137"/>
      <c r="U1306" s="137"/>
      <c r="V1306" s="137"/>
      <c r="W1306" s="137"/>
      <c r="X1306" s="137"/>
      <c r="Y1306" s="137"/>
      <c r="Z1306" s="137"/>
      <c r="AA1306" s="137"/>
    </row>
    <row r="1307" spans="5:27" x14ac:dyDescent="0.35">
      <c r="E1307" s="137"/>
      <c r="F1307" s="137"/>
      <c r="G1307" s="190"/>
      <c r="H1307" s="137"/>
      <c r="I1307" s="137"/>
      <c r="J1307" s="137"/>
      <c r="M1307" s="143"/>
      <c r="N1307" s="143"/>
      <c r="O1307" s="143"/>
      <c r="P1307" s="143"/>
      <c r="Q1307" s="137"/>
      <c r="R1307" s="137"/>
      <c r="S1307" s="137"/>
      <c r="T1307" s="137"/>
      <c r="U1307" s="137"/>
      <c r="V1307" s="137"/>
      <c r="W1307" s="137"/>
      <c r="X1307" s="137"/>
      <c r="Y1307" s="137"/>
      <c r="Z1307" s="137"/>
      <c r="AA1307" s="137"/>
    </row>
    <row r="1308" spans="5:27" x14ac:dyDescent="0.35">
      <c r="E1308" s="137"/>
      <c r="F1308" s="137"/>
      <c r="G1308" s="190"/>
      <c r="H1308" s="137"/>
      <c r="I1308" s="137"/>
      <c r="J1308" s="137"/>
      <c r="M1308" s="143"/>
      <c r="N1308" s="143"/>
      <c r="O1308" s="143"/>
      <c r="P1308" s="143"/>
      <c r="Q1308" s="137"/>
      <c r="R1308" s="137"/>
      <c r="S1308" s="137"/>
      <c r="T1308" s="137"/>
      <c r="U1308" s="137"/>
      <c r="V1308" s="137"/>
      <c r="W1308" s="137"/>
      <c r="X1308" s="137"/>
      <c r="Y1308" s="137"/>
      <c r="Z1308" s="137"/>
      <c r="AA1308" s="137"/>
    </row>
    <row r="1309" spans="5:27" x14ac:dyDescent="0.35">
      <c r="E1309" s="137"/>
      <c r="F1309" s="137"/>
      <c r="G1309" s="190"/>
      <c r="H1309" s="137"/>
      <c r="I1309" s="137"/>
      <c r="J1309" s="137"/>
      <c r="M1309" s="143"/>
      <c r="N1309" s="143"/>
      <c r="O1309" s="143"/>
      <c r="P1309" s="143"/>
      <c r="Q1309" s="137"/>
      <c r="R1309" s="137"/>
      <c r="S1309" s="137"/>
      <c r="T1309" s="137"/>
      <c r="U1309" s="137"/>
      <c r="V1309" s="137"/>
      <c r="W1309" s="137"/>
      <c r="X1309" s="137"/>
      <c r="Y1309" s="137"/>
      <c r="Z1309" s="137"/>
      <c r="AA1309" s="137"/>
    </row>
    <row r="1310" spans="5:27" x14ac:dyDescent="0.35">
      <c r="E1310" s="137"/>
      <c r="F1310" s="137"/>
      <c r="G1310" s="190"/>
      <c r="H1310" s="137"/>
      <c r="I1310" s="137"/>
      <c r="J1310" s="137"/>
      <c r="M1310" s="143"/>
      <c r="N1310" s="143"/>
      <c r="O1310" s="143"/>
      <c r="P1310" s="143"/>
      <c r="Q1310" s="137"/>
      <c r="R1310" s="137"/>
      <c r="S1310" s="137"/>
      <c r="T1310" s="137"/>
      <c r="U1310" s="137"/>
      <c r="V1310" s="137"/>
      <c r="W1310" s="137"/>
      <c r="X1310" s="137"/>
      <c r="Y1310" s="137"/>
      <c r="Z1310" s="137"/>
      <c r="AA1310" s="137"/>
    </row>
    <row r="1311" spans="5:27" x14ac:dyDescent="0.35">
      <c r="E1311" s="137"/>
      <c r="F1311" s="137"/>
      <c r="G1311" s="190"/>
      <c r="H1311" s="137"/>
      <c r="I1311" s="137"/>
      <c r="J1311" s="137"/>
      <c r="M1311" s="143"/>
      <c r="N1311" s="143"/>
      <c r="O1311" s="143"/>
      <c r="P1311" s="143"/>
      <c r="Q1311" s="137"/>
      <c r="R1311" s="137"/>
      <c r="S1311" s="137"/>
      <c r="T1311" s="137"/>
      <c r="U1311" s="137"/>
      <c r="V1311" s="137"/>
      <c r="W1311" s="137"/>
      <c r="X1311" s="137"/>
      <c r="Y1311" s="137"/>
      <c r="Z1311" s="137"/>
      <c r="AA1311" s="137"/>
    </row>
    <row r="1312" spans="5:27" x14ac:dyDescent="0.35">
      <c r="E1312" s="137"/>
      <c r="F1312" s="137"/>
      <c r="G1312" s="190"/>
      <c r="H1312" s="137"/>
      <c r="I1312" s="137"/>
      <c r="J1312" s="137"/>
      <c r="M1312" s="143"/>
      <c r="N1312" s="143"/>
      <c r="O1312" s="143"/>
      <c r="P1312" s="143"/>
      <c r="Q1312" s="137"/>
      <c r="R1312" s="137"/>
      <c r="S1312" s="137"/>
      <c r="T1312" s="137"/>
      <c r="U1312" s="137"/>
      <c r="V1312" s="137"/>
      <c r="W1312" s="137"/>
      <c r="X1312" s="137"/>
      <c r="Y1312" s="137"/>
      <c r="Z1312" s="137"/>
      <c r="AA1312" s="137"/>
    </row>
    <row r="1313" spans="5:27" x14ac:dyDescent="0.35">
      <c r="E1313" s="137"/>
      <c r="F1313" s="137"/>
      <c r="G1313" s="190"/>
      <c r="H1313" s="137"/>
      <c r="I1313" s="137"/>
      <c r="J1313" s="137"/>
      <c r="M1313" s="143"/>
      <c r="N1313" s="143"/>
      <c r="O1313" s="143"/>
      <c r="P1313" s="143"/>
      <c r="Q1313" s="137"/>
      <c r="R1313" s="137"/>
      <c r="S1313" s="137"/>
      <c r="T1313" s="137"/>
      <c r="U1313" s="137"/>
      <c r="V1313" s="137"/>
      <c r="W1313" s="137"/>
      <c r="X1313" s="137"/>
      <c r="Y1313" s="137"/>
      <c r="Z1313" s="137"/>
      <c r="AA1313" s="137"/>
    </row>
    <row r="1314" spans="5:27" x14ac:dyDescent="0.35">
      <c r="E1314" s="137"/>
      <c r="F1314" s="137"/>
      <c r="G1314" s="190"/>
      <c r="H1314" s="137"/>
      <c r="I1314" s="137"/>
      <c r="J1314" s="137"/>
      <c r="M1314" s="143"/>
      <c r="N1314" s="143"/>
      <c r="O1314" s="143"/>
      <c r="P1314" s="143"/>
      <c r="Q1314" s="137"/>
      <c r="R1314" s="137"/>
      <c r="S1314" s="137"/>
      <c r="T1314" s="137"/>
      <c r="U1314" s="137"/>
      <c r="V1314" s="137"/>
      <c r="W1314" s="137"/>
      <c r="X1314" s="137"/>
      <c r="Y1314" s="137"/>
      <c r="Z1314" s="137"/>
      <c r="AA1314" s="137"/>
    </row>
    <row r="1315" spans="5:27" x14ac:dyDescent="0.35">
      <c r="E1315" s="137"/>
      <c r="F1315" s="137"/>
      <c r="G1315" s="190"/>
      <c r="H1315" s="137"/>
      <c r="I1315" s="137"/>
      <c r="J1315" s="137"/>
      <c r="M1315" s="143"/>
      <c r="N1315" s="143"/>
      <c r="O1315" s="143"/>
      <c r="P1315" s="143"/>
      <c r="Q1315" s="137"/>
      <c r="R1315" s="137"/>
      <c r="S1315" s="137"/>
      <c r="T1315" s="137"/>
      <c r="U1315" s="137"/>
      <c r="V1315" s="137"/>
      <c r="W1315" s="137"/>
      <c r="X1315" s="137"/>
      <c r="Y1315" s="137"/>
      <c r="Z1315" s="137"/>
      <c r="AA1315" s="137"/>
    </row>
    <row r="1316" spans="5:27" x14ac:dyDescent="0.35">
      <c r="E1316" s="137"/>
      <c r="F1316" s="137"/>
      <c r="G1316" s="190"/>
      <c r="H1316" s="137"/>
      <c r="I1316" s="137"/>
      <c r="J1316" s="137"/>
      <c r="M1316" s="143"/>
      <c r="N1316" s="143"/>
      <c r="O1316" s="143"/>
      <c r="P1316" s="143"/>
      <c r="Q1316" s="137"/>
      <c r="R1316" s="137"/>
      <c r="S1316" s="137"/>
      <c r="T1316" s="137"/>
      <c r="U1316" s="137"/>
      <c r="V1316" s="137"/>
      <c r="W1316" s="137"/>
      <c r="X1316" s="137"/>
      <c r="Y1316" s="137"/>
      <c r="Z1316" s="137"/>
      <c r="AA1316" s="137"/>
    </row>
    <row r="1317" spans="5:27" x14ac:dyDescent="0.35">
      <c r="E1317" s="137"/>
      <c r="F1317" s="137"/>
      <c r="G1317" s="190"/>
      <c r="H1317" s="137"/>
      <c r="I1317" s="137"/>
      <c r="J1317" s="137"/>
      <c r="M1317" s="143"/>
      <c r="N1317" s="143"/>
      <c r="O1317" s="143"/>
      <c r="P1317" s="143"/>
      <c r="Q1317" s="137"/>
      <c r="R1317" s="137"/>
      <c r="S1317" s="137"/>
      <c r="T1317" s="137"/>
      <c r="U1317" s="137"/>
      <c r="V1317" s="137"/>
      <c r="W1317" s="137"/>
      <c r="X1317" s="137"/>
      <c r="Y1317" s="137"/>
      <c r="Z1317" s="137"/>
      <c r="AA1317" s="137"/>
    </row>
    <row r="1318" spans="5:27" x14ac:dyDescent="0.35">
      <c r="E1318" s="137"/>
      <c r="F1318" s="137"/>
      <c r="G1318" s="190"/>
      <c r="H1318" s="137"/>
      <c r="I1318" s="137"/>
      <c r="J1318" s="137"/>
      <c r="M1318" s="143"/>
      <c r="N1318" s="143"/>
      <c r="O1318" s="143"/>
      <c r="P1318" s="143"/>
      <c r="Q1318" s="137"/>
      <c r="R1318" s="137"/>
      <c r="S1318" s="137"/>
      <c r="T1318" s="137"/>
      <c r="U1318" s="137"/>
      <c r="V1318" s="137"/>
      <c r="W1318" s="137"/>
      <c r="X1318" s="137"/>
      <c r="Y1318" s="137"/>
      <c r="Z1318" s="137"/>
      <c r="AA1318" s="137"/>
    </row>
    <row r="1319" spans="5:27" x14ac:dyDescent="0.35">
      <c r="E1319" s="137"/>
      <c r="F1319" s="137"/>
      <c r="G1319" s="190"/>
      <c r="H1319" s="137"/>
      <c r="I1319" s="137"/>
      <c r="J1319" s="137"/>
      <c r="M1319" s="143"/>
      <c r="N1319" s="143"/>
      <c r="O1319" s="143"/>
      <c r="P1319" s="143"/>
      <c r="Q1319" s="137"/>
      <c r="R1319" s="137"/>
      <c r="S1319" s="137"/>
      <c r="T1319" s="137"/>
      <c r="U1319" s="137"/>
      <c r="V1319" s="137"/>
      <c r="W1319" s="137"/>
      <c r="X1319" s="137"/>
      <c r="Y1319" s="137"/>
      <c r="Z1319" s="137"/>
      <c r="AA1319" s="137"/>
    </row>
    <row r="1320" spans="5:27" x14ac:dyDescent="0.35">
      <c r="E1320" s="137"/>
      <c r="F1320" s="137"/>
      <c r="G1320" s="190"/>
      <c r="H1320" s="137"/>
      <c r="I1320" s="137"/>
      <c r="J1320" s="137"/>
      <c r="M1320" s="143"/>
      <c r="N1320" s="143"/>
      <c r="O1320" s="143"/>
      <c r="P1320" s="143"/>
      <c r="Q1320" s="137"/>
      <c r="R1320" s="137"/>
      <c r="S1320" s="137"/>
      <c r="T1320" s="137"/>
      <c r="U1320" s="137"/>
      <c r="V1320" s="137"/>
      <c r="W1320" s="137"/>
      <c r="X1320" s="137"/>
      <c r="Y1320" s="137"/>
      <c r="Z1320" s="137"/>
      <c r="AA1320" s="137"/>
    </row>
    <row r="1321" spans="5:27" x14ac:dyDescent="0.35">
      <c r="E1321" s="137"/>
      <c r="F1321" s="137"/>
      <c r="G1321" s="190"/>
      <c r="H1321" s="137"/>
      <c r="I1321" s="137"/>
      <c r="J1321" s="137"/>
      <c r="M1321" s="143"/>
      <c r="N1321" s="143"/>
      <c r="O1321" s="143"/>
      <c r="P1321" s="143"/>
      <c r="Q1321" s="137"/>
      <c r="R1321" s="137"/>
      <c r="S1321" s="137"/>
      <c r="T1321" s="137"/>
      <c r="U1321" s="137"/>
      <c r="V1321" s="137"/>
      <c r="W1321" s="137"/>
      <c r="X1321" s="137"/>
      <c r="Y1321" s="137"/>
      <c r="Z1321" s="137"/>
      <c r="AA1321" s="137"/>
    </row>
    <row r="1322" spans="5:27" x14ac:dyDescent="0.35">
      <c r="E1322" s="137"/>
      <c r="F1322" s="137"/>
      <c r="G1322" s="190"/>
      <c r="H1322" s="137"/>
      <c r="I1322" s="137"/>
      <c r="J1322" s="137"/>
      <c r="M1322" s="143"/>
      <c r="N1322" s="143"/>
      <c r="O1322" s="143"/>
      <c r="P1322" s="143"/>
      <c r="Q1322" s="137"/>
      <c r="R1322" s="137"/>
      <c r="S1322" s="137"/>
      <c r="T1322" s="137"/>
      <c r="U1322" s="137"/>
      <c r="V1322" s="137"/>
      <c r="W1322" s="137"/>
      <c r="X1322" s="137"/>
      <c r="Y1322" s="137"/>
      <c r="Z1322" s="137"/>
      <c r="AA1322" s="137"/>
    </row>
    <row r="1323" spans="5:27" x14ac:dyDescent="0.35">
      <c r="E1323" s="137"/>
      <c r="F1323" s="137"/>
      <c r="G1323" s="190"/>
      <c r="H1323" s="137"/>
      <c r="I1323" s="137"/>
      <c r="J1323" s="137"/>
      <c r="M1323" s="143"/>
      <c r="N1323" s="143"/>
      <c r="O1323" s="143"/>
      <c r="P1323" s="143"/>
      <c r="Q1323" s="137"/>
      <c r="R1323" s="137"/>
      <c r="S1323" s="137"/>
      <c r="T1323" s="137"/>
      <c r="U1323" s="137"/>
      <c r="V1323" s="137"/>
      <c r="W1323" s="137"/>
      <c r="X1323" s="137"/>
      <c r="Y1323" s="137"/>
      <c r="Z1323" s="137"/>
      <c r="AA1323" s="137"/>
    </row>
    <row r="1324" spans="5:27" x14ac:dyDescent="0.35">
      <c r="E1324" s="137"/>
      <c r="F1324" s="137"/>
      <c r="G1324" s="190"/>
      <c r="H1324" s="137"/>
      <c r="I1324" s="137"/>
      <c r="J1324" s="137"/>
      <c r="M1324" s="143"/>
      <c r="N1324" s="143"/>
      <c r="O1324" s="143"/>
      <c r="P1324" s="143"/>
      <c r="Q1324" s="137"/>
      <c r="R1324" s="137"/>
      <c r="S1324" s="137"/>
      <c r="T1324" s="137"/>
      <c r="U1324" s="137"/>
      <c r="V1324" s="137"/>
      <c r="W1324" s="137"/>
      <c r="X1324" s="137"/>
      <c r="Y1324" s="137"/>
      <c r="Z1324" s="137"/>
      <c r="AA1324" s="137"/>
    </row>
    <row r="1325" spans="5:27" x14ac:dyDescent="0.35">
      <c r="E1325" s="137"/>
      <c r="F1325" s="137"/>
      <c r="G1325" s="190"/>
      <c r="H1325" s="137"/>
      <c r="I1325" s="137"/>
      <c r="J1325" s="137"/>
      <c r="M1325" s="143"/>
      <c r="N1325" s="143"/>
      <c r="O1325" s="143"/>
      <c r="P1325" s="143"/>
      <c r="Q1325" s="137"/>
      <c r="R1325" s="137"/>
      <c r="S1325" s="137"/>
      <c r="T1325" s="137"/>
      <c r="U1325" s="137"/>
      <c r="V1325" s="137"/>
      <c r="W1325" s="137"/>
      <c r="X1325" s="137"/>
      <c r="Y1325" s="137"/>
      <c r="Z1325" s="137"/>
      <c r="AA1325" s="137"/>
    </row>
    <row r="1326" spans="5:27" x14ac:dyDescent="0.35">
      <c r="E1326" s="137"/>
      <c r="F1326" s="137"/>
      <c r="G1326" s="190"/>
      <c r="H1326" s="137"/>
      <c r="I1326" s="137"/>
      <c r="J1326" s="137"/>
      <c r="M1326" s="143"/>
      <c r="N1326" s="143"/>
      <c r="O1326" s="143"/>
      <c r="P1326" s="143"/>
      <c r="Q1326" s="137"/>
      <c r="R1326" s="137"/>
      <c r="S1326" s="137"/>
      <c r="T1326" s="137"/>
      <c r="U1326" s="137"/>
      <c r="V1326" s="137"/>
      <c r="W1326" s="137"/>
      <c r="X1326" s="137"/>
      <c r="Y1326" s="137"/>
      <c r="Z1326" s="137"/>
      <c r="AA1326" s="137"/>
    </row>
    <row r="1327" spans="5:27" x14ac:dyDescent="0.35">
      <c r="E1327" s="137"/>
      <c r="F1327" s="137"/>
      <c r="G1327" s="190"/>
      <c r="H1327" s="137"/>
      <c r="I1327" s="137"/>
      <c r="J1327" s="137"/>
      <c r="M1327" s="143"/>
      <c r="N1327" s="143"/>
      <c r="O1327" s="143"/>
      <c r="P1327" s="143"/>
      <c r="Q1327" s="137"/>
      <c r="R1327" s="137"/>
      <c r="S1327" s="137"/>
      <c r="T1327" s="137"/>
      <c r="U1327" s="137"/>
      <c r="V1327" s="137"/>
      <c r="W1327" s="137"/>
      <c r="X1327" s="137"/>
      <c r="Y1327" s="137"/>
      <c r="Z1327" s="137"/>
      <c r="AA1327" s="137"/>
    </row>
    <row r="1328" spans="5:27" x14ac:dyDescent="0.35">
      <c r="E1328" s="137"/>
      <c r="F1328" s="137"/>
      <c r="G1328" s="190"/>
      <c r="H1328" s="137"/>
      <c r="I1328" s="137"/>
      <c r="J1328" s="137"/>
      <c r="M1328" s="143"/>
      <c r="N1328" s="143"/>
      <c r="O1328" s="143"/>
      <c r="P1328" s="143"/>
      <c r="Q1328" s="137"/>
      <c r="R1328" s="137"/>
      <c r="S1328" s="137"/>
      <c r="T1328" s="137"/>
      <c r="U1328" s="137"/>
      <c r="V1328" s="137"/>
      <c r="W1328" s="137"/>
      <c r="X1328" s="137"/>
      <c r="Y1328" s="137"/>
      <c r="Z1328" s="137"/>
      <c r="AA1328" s="137"/>
    </row>
    <row r="1329" spans="5:27" x14ac:dyDescent="0.35">
      <c r="E1329" s="137"/>
      <c r="F1329" s="137"/>
      <c r="G1329" s="190"/>
      <c r="H1329" s="137"/>
      <c r="I1329" s="137"/>
      <c r="J1329" s="137"/>
      <c r="M1329" s="143"/>
      <c r="N1329" s="143"/>
      <c r="O1329" s="143"/>
      <c r="P1329" s="143"/>
      <c r="Q1329" s="137"/>
      <c r="R1329" s="137"/>
      <c r="S1329" s="137"/>
      <c r="T1329" s="137"/>
      <c r="U1329" s="137"/>
      <c r="V1329" s="137"/>
      <c r="W1329" s="137"/>
      <c r="X1329" s="137"/>
      <c r="Y1329" s="137"/>
      <c r="Z1329" s="137"/>
      <c r="AA1329" s="137"/>
    </row>
    <row r="1330" spans="5:27" x14ac:dyDescent="0.35">
      <c r="E1330" s="137"/>
      <c r="F1330" s="137"/>
      <c r="G1330" s="190"/>
      <c r="H1330" s="137"/>
      <c r="I1330" s="137"/>
      <c r="J1330" s="137"/>
      <c r="M1330" s="143"/>
      <c r="N1330" s="143"/>
      <c r="O1330" s="143"/>
      <c r="P1330" s="143"/>
      <c r="Q1330" s="137"/>
      <c r="R1330" s="137"/>
      <c r="S1330" s="137"/>
      <c r="T1330" s="137"/>
      <c r="U1330" s="137"/>
      <c r="V1330" s="137"/>
      <c r="W1330" s="137"/>
      <c r="X1330" s="137"/>
      <c r="Y1330" s="137"/>
      <c r="Z1330" s="137"/>
      <c r="AA1330" s="137"/>
    </row>
    <row r="1331" spans="5:27" x14ac:dyDescent="0.35">
      <c r="E1331" s="137"/>
      <c r="F1331" s="137"/>
      <c r="G1331" s="190"/>
      <c r="H1331" s="137"/>
      <c r="I1331" s="137"/>
      <c r="J1331" s="137"/>
      <c r="M1331" s="143"/>
      <c r="N1331" s="143"/>
      <c r="O1331" s="143"/>
      <c r="P1331" s="143"/>
      <c r="Q1331" s="137"/>
      <c r="R1331" s="137"/>
      <c r="S1331" s="137"/>
      <c r="T1331" s="137"/>
      <c r="U1331" s="137"/>
      <c r="V1331" s="137"/>
      <c r="W1331" s="137"/>
      <c r="X1331" s="137"/>
      <c r="Y1331" s="137"/>
      <c r="Z1331" s="137"/>
      <c r="AA1331" s="137"/>
    </row>
    <row r="1332" spans="5:27" x14ac:dyDescent="0.35">
      <c r="E1332" s="137"/>
      <c r="F1332" s="137"/>
      <c r="G1332" s="190"/>
      <c r="H1332" s="137"/>
      <c r="I1332" s="137"/>
      <c r="J1332" s="137"/>
      <c r="M1332" s="143"/>
      <c r="N1332" s="143"/>
      <c r="O1332" s="143"/>
      <c r="P1332" s="143"/>
      <c r="Q1332" s="137"/>
      <c r="R1332" s="137"/>
      <c r="S1332" s="137"/>
      <c r="T1332" s="137"/>
      <c r="U1332" s="137"/>
      <c r="V1332" s="137"/>
      <c r="W1332" s="137"/>
      <c r="X1332" s="137"/>
      <c r="Y1332" s="137"/>
      <c r="Z1332" s="137"/>
      <c r="AA1332" s="137"/>
    </row>
    <row r="1333" spans="5:27" x14ac:dyDescent="0.35">
      <c r="E1333" s="137"/>
      <c r="F1333" s="137"/>
      <c r="G1333" s="190"/>
      <c r="H1333" s="137"/>
      <c r="I1333" s="137"/>
      <c r="J1333" s="137"/>
      <c r="M1333" s="143"/>
      <c r="N1333" s="143"/>
      <c r="O1333" s="143"/>
      <c r="P1333" s="143"/>
      <c r="Q1333" s="137"/>
      <c r="R1333" s="137"/>
      <c r="S1333" s="137"/>
      <c r="T1333" s="137"/>
      <c r="U1333" s="137"/>
      <c r="V1333" s="137"/>
      <c r="W1333" s="137"/>
      <c r="X1333" s="137"/>
      <c r="Y1333" s="137"/>
      <c r="Z1333" s="137"/>
      <c r="AA1333" s="137"/>
    </row>
    <row r="1334" spans="5:27" x14ac:dyDescent="0.35">
      <c r="E1334" s="137"/>
      <c r="F1334" s="137"/>
      <c r="G1334" s="190"/>
      <c r="H1334" s="137"/>
      <c r="I1334" s="137"/>
      <c r="J1334" s="137"/>
      <c r="M1334" s="143"/>
      <c r="N1334" s="143"/>
      <c r="O1334" s="143"/>
      <c r="P1334" s="143"/>
      <c r="Q1334" s="137"/>
      <c r="R1334" s="137"/>
      <c r="S1334" s="137"/>
      <c r="T1334" s="137"/>
      <c r="U1334" s="137"/>
      <c r="V1334" s="137"/>
      <c r="W1334" s="137"/>
      <c r="X1334" s="137"/>
      <c r="Y1334" s="137"/>
      <c r="Z1334" s="137"/>
      <c r="AA1334" s="137"/>
    </row>
    <row r="1335" spans="5:27" x14ac:dyDescent="0.35">
      <c r="E1335" s="137"/>
      <c r="F1335" s="137"/>
      <c r="G1335" s="190"/>
      <c r="H1335" s="137"/>
      <c r="I1335" s="137"/>
      <c r="J1335" s="137"/>
      <c r="M1335" s="143"/>
      <c r="N1335" s="143"/>
      <c r="O1335" s="143"/>
      <c r="P1335" s="143"/>
      <c r="Q1335" s="137"/>
      <c r="R1335" s="137"/>
      <c r="S1335" s="137"/>
      <c r="T1335" s="137"/>
      <c r="U1335" s="137"/>
      <c r="V1335" s="137"/>
      <c r="W1335" s="137"/>
      <c r="X1335" s="137"/>
      <c r="Y1335" s="137"/>
      <c r="Z1335" s="137"/>
      <c r="AA1335" s="137"/>
    </row>
    <row r="1336" spans="5:27" x14ac:dyDescent="0.35">
      <c r="E1336" s="137"/>
      <c r="F1336" s="137"/>
      <c r="G1336" s="190"/>
      <c r="H1336" s="137"/>
      <c r="I1336" s="137"/>
      <c r="J1336" s="137"/>
      <c r="M1336" s="143"/>
      <c r="N1336" s="143"/>
      <c r="O1336" s="143"/>
      <c r="P1336" s="143"/>
      <c r="Q1336" s="137"/>
      <c r="R1336" s="137"/>
      <c r="S1336" s="137"/>
      <c r="T1336" s="137"/>
      <c r="U1336" s="137"/>
      <c r="V1336" s="137"/>
      <c r="W1336" s="137"/>
      <c r="X1336" s="137"/>
      <c r="Y1336" s="137"/>
      <c r="Z1336" s="137"/>
      <c r="AA1336" s="137"/>
    </row>
    <row r="1337" spans="5:27" x14ac:dyDescent="0.35">
      <c r="E1337" s="137"/>
      <c r="F1337" s="137"/>
      <c r="G1337" s="190"/>
      <c r="H1337" s="137"/>
      <c r="I1337" s="137"/>
      <c r="J1337" s="137"/>
      <c r="M1337" s="143"/>
      <c r="N1337" s="143"/>
      <c r="O1337" s="143"/>
      <c r="P1337" s="143"/>
      <c r="Q1337" s="137"/>
      <c r="R1337" s="137"/>
      <c r="S1337" s="137"/>
      <c r="T1337" s="137"/>
      <c r="U1337" s="137"/>
      <c r="V1337" s="137"/>
      <c r="W1337" s="137"/>
      <c r="X1337" s="137"/>
      <c r="Y1337" s="137"/>
      <c r="Z1337" s="137"/>
      <c r="AA1337" s="137"/>
    </row>
    <row r="1338" spans="5:27" x14ac:dyDescent="0.35">
      <c r="E1338" s="137"/>
      <c r="F1338" s="137"/>
      <c r="G1338" s="190"/>
      <c r="H1338" s="137"/>
      <c r="I1338" s="137"/>
      <c r="J1338" s="137"/>
      <c r="M1338" s="143"/>
      <c r="N1338" s="143"/>
      <c r="O1338" s="143"/>
      <c r="P1338" s="143"/>
      <c r="Q1338" s="137"/>
      <c r="R1338" s="137"/>
      <c r="S1338" s="137"/>
      <c r="T1338" s="137"/>
      <c r="U1338" s="137"/>
      <c r="V1338" s="137"/>
      <c r="W1338" s="137"/>
      <c r="X1338" s="137"/>
      <c r="Y1338" s="137"/>
      <c r="Z1338" s="137"/>
      <c r="AA1338" s="137"/>
    </row>
    <row r="1339" spans="5:27" x14ac:dyDescent="0.35">
      <c r="E1339" s="137"/>
      <c r="F1339" s="137"/>
      <c r="G1339" s="190"/>
      <c r="H1339" s="137"/>
      <c r="I1339" s="137"/>
      <c r="J1339" s="137"/>
      <c r="M1339" s="143"/>
      <c r="N1339" s="143"/>
      <c r="O1339" s="143"/>
      <c r="P1339" s="143"/>
      <c r="Q1339" s="137"/>
      <c r="R1339" s="137"/>
      <c r="S1339" s="137"/>
      <c r="T1339" s="137"/>
      <c r="U1339" s="137"/>
      <c r="V1339" s="137"/>
      <c r="W1339" s="137"/>
      <c r="X1339" s="137"/>
      <c r="Y1339" s="137"/>
      <c r="Z1339" s="137"/>
      <c r="AA1339" s="137"/>
    </row>
    <row r="1340" spans="5:27" x14ac:dyDescent="0.35">
      <c r="E1340" s="137"/>
      <c r="F1340" s="137"/>
      <c r="G1340" s="190"/>
      <c r="H1340" s="137"/>
      <c r="I1340" s="137"/>
      <c r="J1340" s="137"/>
      <c r="M1340" s="143"/>
      <c r="N1340" s="143"/>
      <c r="O1340" s="143"/>
      <c r="P1340" s="143"/>
      <c r="Q1340" s="137"/>
      <c r="R1340" s="137"/>
      <c r="S1340" s="137"/>
      <c r="T1340" s="137"/>
      <c r="U1340" s="137"/>
      <c r="V1340" s="137"/>
      <c r="W1340" s="137"/>
      <c r="X1340" s="137"/>
      <c r="Y1340" s="137"/>
      <c r="Z1340" s="137"/>
      <c r="AA1340" s="137"/>
    </row>
    <row r="1341" spans="5:27" x14ac:dyDescent="0.35">
      <c r="E1341" s="137"/>
      <c r="F1341" s="137"/>
      <c r="G1341" s="190"/>
      <c r="H1341" s="137"/>
      <c r="I1341" s="137"/>
      <c r="J1341" s="137"/>
      <c r="M1341" s="143"/>
      <c r="N1341" s="143"/>
      <c r="O1341" s="143"/>
      <c r="P1341" s="143"/>
      <c r="Q1341" s="137"/>
      <c r="R1341" s="137"/>
      <c r="S1341" s="137"/>
      <c r="T1341" s="137"/>
      <c r="U1341" s="137"/>
      <c r="V1341" s="137"/>
      <c r="W1341" s="137"/>
      <c r="X1341" s="137"/>
      <c r="Y1341" s="137"/>
      <c r="Z1341" s="137"/>
      <c r="AA1341" s="137"/>
    </row>
    <row r="1342" spans="5:27" x14ac:dyDescent="0.35">
      <c r="E1342" s="137"/>
      <c r="F1342" s="137"/>
      <c r="G1342" s="190"/>
      <c r="H1342" s="137"/>
      <c r="I1342" s="137"/>
      <c r="J1342" s="137"/>
      <c r="M1342" s="143"/>
      <c r="N1342" s="143"/>
      <c r="O1342" s="143"/>
      <c r="P1342" s="143"/>
      <c r="Q1342" s="137"/>
      <c r="R1342" s="137"/>
      <c r="S1342" s="137"/>
      <c r="T1342" s="137"/>
      <c r="U1342" s="137"/>
      <c r="V1342" s="137"/>
      <c r="W1342" s="137"/>
      <c r="X1342" s="137"/>
      <c r="Y1342" s="137"/>
      <c r="Z1342" s="137"/>
      <c r="AA1342" s="137"/>
    </row>
    <row r="1343" spans="5:27" x14ac:dyDescent="0.35">
      <c r="E1343" s="137"/>
      <c r="F1343" s="137"/>
      <c r="G1343" s="190"/>
      <c r="H1343" s="137"/>
      <c r="I1343" s="137"/>
      <c r="J1343" s="137"/>
      <c r="M1343" s="143"/>
      <c r="N1343" s="143"/>
      <c r="O1343" s="143"/>
      <c r="P1343" s="143"/>
      <c r="Q1343" s="137"/>
      <c r="R1343" s="137"/>
      <c r="S1343" s="137"/>
      <c r="T1343" s="137"/>
      <c r="U1343" s="137"/>
      <c r="V1343" s="137"/>
      <c r="W1343" s="137"/>
      <c r="X1343" s="137"/>
      <c r="Y1343" s="137"/>
      <c r="Z1343" s="137"/>
      <c r="AA1343" s="137"/>
    </row>
    <row r="1344" spans="5:27" x14ac:dyDescent="0.35">
      <c r="E1344" s="137"/>
      <c r="F1344" s="137"/>
      <c r="G1344" s="190"/>
      <c r="H1344" s="137"/>
      <c r="I1344" s="137"/>
      <c r="J1344" s="137"/>
      <c r="M1344" s="143"/>
      <c r="N1344" s="143"/>
      <c r="O1344" s="143"/>
      <c r="P1344" s="143"/>
      <c r="Q1344" s="137"/>
      <c r="R1344" s="137"/>
      <c r="S1344" s="137"/>
      <c r="T1344" s="137"/>
      <c r="U1344" s="137"/>
      <c r="V1344" s="137"/>
      <c r="W1344" s="137"/>
      <c r="X1344" s="137"/>
      <c r="Y1344" s="137"/>
      <c r="Z1344" s="137"/>
      <c r="AA1344" s="137"/>
    </row>
    <row r="1345" spans="5:27" x14ac:dyDescent="0.35">
      <c r="E1345" s="137"/>
      <c r="F1345" s="137"/>
      <c r="G1345" s="190"/>
      <c r="H1345" s="137"/>
      <c r="I1345" s="137"/>
      <c r="J1345" s="137"/>
      <c r="M1345" s="143"/>
      <c r="N1345" s="143"/>
      <c r="O1345" s="143"/>
      <c r="P1345" s="143"/>
      <c r="Q1345" s="137"/>
      <c r="R1345" s="137"/>
      <c r="S1345" s="137"/>
      <c r="T1345" s="137"/>
      <c r="U1345" s="137"/>
      <c r="V1345" s="137"/>
      <c r="W1345" s="137"/>
      <c r="X1345" s="137"/>
      <c r="Y1345" s="137"/>
      <c r="Z1345" s="137"/>
      <c r="AA1345" s="137"/>
    </row>
    <row r="1346" spans="5:27" x14ac:dyDescent="0.35">
      <c r="E1346" s="137"/>
      <c r="F1346" s="137"/>
      <c r="G1346" s="190"/>
      <c r="H1346" s="137"/>
      <c r="I1346" s="137"/>
      <c r="J1346" s="137"/>
      <c r="M1346" s="143"/>
      <c r="N1346" s="143"/>
      <c r="O1346" s="143"/>
      <c r="P1346" s="143"/>
      <c r="Q1346" s="137"/>
      <c r="R1346" s="137"/>
      <c r="S1346" s="137"/>
      <c r="T1346" s="137"/>
      <c r="U1346" s="137"/>
      <c r="V1346" s="137"/>
      <c r="W1346" s="137"/>
      <c r="X1346" s="137"/>
      <c r="Y1346" s="137"/>
      <c r="Z1346" s="137"/>
      <c r="AA1346" s="137"/>
    </row>
    <row r="1347" spans="5:27" x14ac:dyDescent="0.35">
      <c r="E1347" s="137"/>
      <c r="F1347" s="137"/>
      <c r="G1347" s="190"/>
      <c r="H1347" s="137"/>
      <c r="I1347" s="137"/>
      <c r="J1347" s="137"/>
      <c r="M1347" s="143"/>
      <c r="N1347" s="143"/>
      <c r="O1347" s="143"/>
      <c r="P1347" s="143"/>
      <c r="Q1347" s="137"/>
      <c r="R1347" s="137"/>
      <c r="S1347" s="137"/>
      <c r="T1347" s="137"/>
      <c r="U1347" s="137"/>
      <c r="V1347" s="137"/>
      <c r="W1347" s="137"/>
      <c r="X1347" s="137"/>
      <c r="Y1347" s="137"/>
      <c r="Z1347" s="137"/>
      <c r="AA1347" s="137"/>
    </row>
    <row r="1348" spans="5:27" x14ac:dyDescent="0.35">
      <c r="E1348" s="137"/>
      <c r="F1348" s="137"/>
      <c r="G1348" s="190"/>
      <c r="H1348" s="137"/>
      <c r="I1348" s="137"/>
      <c r="J1348" s="137"/>
      <c r="M1348" s="143"/>
      <c r="N1348" s="143"/>
      <c r="O1348" s="143"/>
      <c r="P1348" s="143"/>
      <c r="Q1348" s="137"/>
      <c r="R1348" s="137"/>
      <c r="S1348" s="137"/>
      <c r="T1348" s="137"/>
      <c r="U1348" s="137"/>
      <c r="V1348" s="137"/>
      <c r="W1348" s="137"/>
      <c r="X1348" s="137"/>
      <c r="Y1348" s="137"/>
      <c r="Z1348" s="137"/>
      <c r="AA1348" s="137"/>
    </row>
    <row r="1349" spans="5:27" x14ac:dyDescent="0.35">
      <c r="E1349" s="137"/>
      <c r="F1349" s="137"/>
      <c r="G1349" s="190"/>
      <c r="H1349" s="137"/>
      <c r="I1349" s="137"/>
      <c r="J1349" s="137"/>
      <c r="M1349" s="143"/>
      <c r="N1349" s="143"/>
      <c r="O1349" s="143"/>
      <c r="P1349" s="143"/>
      <c r="Q1349" s="137"/>
      <c r="R1349" s="137"/>
      <c r="S1349" s="137"/>
      <c r="T1349" s="137"/>
      <c r="U1349" s="137"/>
      <c r="V1349" s="137"/>
      <c r="W1349" s="137"/>
      <c r="X1349" s="137"/>
      <c r="Y1349" s="137"/>
      <c r="Z1349" s="137"/>
      <c r="AA1349" s="137"/>
    </row>
    <row r="1350" spans="5:27" x14ac:dyDescent="0.35">
      <c r="E1350" s="137"/>
      <c r="F1350" s="137"/>
      <c r="G1350" s="190"/>
      <c r="H1350" s="137"/>
      <c r="I1350" s="137"/>
      <c r="J1350" s="137"/>
      <c r="M1350" s="143"/>
      <c r="N1350" s="143"/>
      <c r="O1350" s="143"/>
      <c r="P1350" s="143"/>
      <c r="Q1350" s="137"/>
      <c r="R1350" s="137"/>
      <c r="S1350" s="137"/>
      <c r="T1350" s="137"/>
      <c r="U1350" s="137"/>
      <c r="V1350" s="137"/>
      <c r="W1350" s="137"/>
      <c r="X1350" s="137"/>
      <c r="Y1350" s="137"/>
      <c r="Z1350" s="137"/>
      <c r="AA1350" s="137"/>
    </row>
    <row r="1351" spans="5:27" x14ac:dyDescent="0.35">
      <c r="E1351" s="137"/>
      <c r="F1351" s="137"/>
      <c r="G1351" s="190"/>
      <c r="H1351" s="137"/>
      <c r="I1351" s="137"/>
      <c r="J1351" s="137"/>
      <c r="M1351" s="143"/>
      <c r="N1351" s="143"/>
      <c r="O1351" s="143"/>
      <c r="P1351" s="143"/>
      <c r="Q1351" s="137"/>
      <c r="R1351" s="137"/>
      <c r="S1351" s="137"/>
      <c r="T1351" s="137"/>
      <c r="U1351" s="137"/>
      <c r="V1351" s="137"/>
      <c r="W1351" s="137"/>
      <c r="X1351" s="137"/>
      <c r="Y1351" s="137"/>
      <c r="Z1351" s="137"/>
      <c r="AA1351" s="137"/>
    </row>
    <row r="1352" spans="5:27" x14ac:dyDescent="0.35">
      <c r="E1352" s="137"/>
      <c r="F1352" s="137"/>
      <c r="G1352" s="190"/>
      <c r="H1352" s="137"/>
      <c r="I1352" s="137"/>
      <c r="J1352" s="137"/>
      <c r="M1352" s="143"/>
      <c r="N1352" s="143"/>
      <c r="O1352" s="143"/>
      <c r="P1352" s="143"/>
      <c r="Q1352" s="137"/>
      <c r="R1352" s="137"/>
      <c r="S1352" s="137"/>
      <c r="T1352" s="137"/>
      <c r="U1352" s="137"/>
      <c r="V1352" s="137"/>
      <c r="W1352" s="137"/>
      <c r="X1352" s="137"/>
      <c r="Y1352" s="137"/>
      <c r="Z1352" s="137"/>
      <c r="AA1352" s="137"/>
    </row>
    <row r="1353" spans="5:27" x14ac:dyDescent="0.35">
      <c r="E1353" s="137"/>
      <c r="F1353" s="137"/>
      <c r="G1353" s="190"/>
      <c r="H1353" s="137"/>
      <c r="I1353" s="137"/>
      <c r="J1353" s="137"/>
      <c r="M1353" s="143"/>
      <c r="N1353" s="143"/>
      <c r="O1353" s="143"/>
      <c r="P1353" s="143"/>
      <c r="Q1353" s="137"/>
      <c r="R1353" s="137"/>
      <c r="S1353" s="137"/>
      <c r="T1353" s="137"/>
      <c r="U1353" s="137"/>
      <c r="V1353" s="137"/>
      <c r="W1353" s="137"/>
      <c r="X1353" s="137"/>
      <c r="Y1353" s="137"/>
      <c r="Z1353" s="137"/>
      <c r="AA1353" s="137"/>
    </row>
    <row r="1354" spans="5:27" x14ac:dyDescent="0.35">
      <c r="E1354" s="137"/>
      <c r="F1354" s="137"/>
      <c r="G1354" s="190"/>
      <c r="H1354" s="137"/>
      <c r="I1354" s="137"/>
      <c r="J1354" s="137"/>
      <c r="M1354" s="143"/>
      <c r="N1354" s="143"/>
      <c r="O1354" s="143"/>
      <c r="P1354" s="143"/>
      <c r="Q1354" s="137"/>
      <c r="R1354" s="137"/>
      <c r="S1354" s="137"/>
      <c r="T1354" s="137"/>
      <c r="U1354" s="137"/>
      <c r="V1354" s="137"/>
      <c r="W1354" s="137"/>
      <c r="X1354" s="137"/>
      <c r="Y1354" s="137"/>
      <c r="Z1354" s="137"/>
      <c r="AA1354" s="137"/>
    </row>
    <row r="1355" spans="5:27" x14ac:dyDescent="0.35">
      <c r="E1355" s="137"/>
      <c r="F1355" s="137"/>
      <c r="G1355" s="190"/>
      <c r="H1355" s="137"/>
      <c r="I1355" s="137"/>
      <c r="J1355" s="137"/>
      <c r="M1355" s="143"/>
      <c r="N1355" s="143"/>
      <c r="O1355" s="143"/>
      <c r="P1355" s="143"/>
      <c r="Q1355" s="137"/>
      <c r="R1355" s="137"/>
      <c r="S1355" s="137"/>
      <c r="T1355" s="137"/>
      <c r="U1355" s="137"/>
      <c r="V1355" s="137"/>
      <c r="W1355" s="137"/>
      <c r="X1355" s="137"/>
      <c r="Y1355" s="137"/>
      <c r="Z1355" s="137"/>
      <c r="AA1355" s="137"/>
    </row>
    <row r="1356" spans="5:27" x14ac:dyDescent="0.35">
      <c r="E1356" s="137"/>
      <c r="F1356" s="137"/>
      <c r="G1356" s="190"/>
      <c r="H1356" s="137"/>
      <c r="I1356" s="137"/>
      <c r="J1356" s="137"/>
      <c r="M1356" s="143"/>
      <c r="N1356" s="143"/>
      <c r="O1356" s="143"/>
      <c r="P1356" s="143"/>
      <c r="Q1356" s="137"/>
      <c r="R1356" s="137"/>
      <c r="S1356" s="137"/>
      <c r="T1356" s="137"/>
      <c r="U1356" s="137"/>
      <c r="V1356" s="137"/>
      <c r="W1356" s="137"/>
      <c r="X1356" s="137"/>
      <c r="Y1356" s="137"/>
      <c r="Z1356" s="137"/>
      <c r="AA1356" s="137"/>
    </row>
    <row r="1357" spans="5:27" x14ac:dyDescent="0.35">
      <c r="E1357" s="137"/>
      <c r="F1357" s="137"/>
      <c r="G1357" s="190"/>
      <c r="H1357" s="137"/>
      <c r="I1357" s="137"/>
      <c r="J1357" s="137"/>
      <c r="M1357" s="143"/>
      <c r="N1357" s="143"/>
      <c r="O1357" s="143"/>
      <c r="P1357" s="143"/>
      <c r="Q1357" s="137"/>
      <c r="R1357" s="137"/>
      <c r="S1357" s="137"/>
      <c r="T1357" s="137"/>
      <c r="U1357" s="137"/>
      <c r="V1357" s="137"/>
      <c r="W1357" s="137"/>
      <c r="X1357" s="137"/>
      <c r="Y1357" s="137"/>
      <c r="Z1357" s="137"/>
      <c r="AA1357" s="137"/>
    </row>
    <row r="1358" spans="5:27" x14ac:dyDescent="0.35">
      <c r="E1358" s="137"/>
      <c r="F1358" s="137"/>
      <c r="G1358" s="190"/>
      <c r="H1358" s="137"/>
      <c r="I1358" s="137"/>
      <c r="J1358" s="137"/>
      <c r="M1358" s="143"/>
      <c r="N1358" s="143"/>
      <c r="O1358" s="143"/>
      <c r="P1358" s="143"/>
      <c r="Q1358" s="137"/>
      <c r="R1358" s="137"/>
      <c r="S1358" s="137"/>
      <c r="T1358" s="137"/>
      <c r="U1358" s="137"/>
      <c r="V1358" s="137"/>
      <c r="W1358" s="137"/>
      <c r="X1358" s="137"/>
      <c r="Y1358" s="137"/>
      <c r="Z1358" s="137"/>
      <c r="AA1358" s="137"/>
    </row>
    <row r="1359" spans="5:27" x14ac:dyDescent="0.35">
      <c r="E1359" s="137"/>
      <c r="F1359" s="137"/>
      <c r="G1359" s="190"/>
      <c r="H1359" s="137"/>
      <c r="I1359" s="137"/>
      <c r="J1359" s="137"/>
      <c r="M1359" s="143"/>
      <c r="N1359" s="143"/>
      <c r="O1359" s="143"/>
      <c r="P1359" s="143"/>
      <c r="Q1359" s="137"/>
      <c r="R1359" s="137"/>
      <c r="S1359" s="137"/>
      <c r="T1359" s="137"/>
      <c r="U1359" s="137"/>
      <c r="V1359" s="137"/>
      <c r="W1359" s="137"/>
      <c r="X1359" s="137"/>
      <c r="Y1359" s="137"/>
      <c r="Z1359" s="137"/>
      <c r="AA1359" s="137"/>
    </row>
    <row r="1360" spans="5:27" x14ac:dyDescent="0.35">
      <c r="E1360" s="137"/>
      <c r="F1360" s="137"/>
      <c r="G1360" s="190"/>
      <c r="H1360" s="137"/>
      <c r="I1360" s="137"/>
      <c r="J1360" s="137"/>
      <c r="M1360" s="143"/>
      <c r="N1360" s="143"/>
      <c r="O1360" s="143"/>
      <c r="P1360" s="143"/>
      <c r="Q1360" s="137"/>
      <c r="R1360" s="137"/>
      <c r="S1360" s="137"/>
      <c r="T1360" s="137"/>
      <c r="U1360" s="137"/>
      <c r="V1360" s="137"/>
      <c r="W1360" s="137"/>
      <c r="X1360" s="137"/>
      <c r="Y1360" s="137"/>
      <c r="Z1360" s="137"/>
      <c r="AA1360" s="137"/>
    </row>
    <row r="1361" spans="5:27" x14ac:dyDescent="0.35">
      <c r="E1361" s="137"/>
      <c r="F1361" s="137"/>
      <c r="G1361" s="190"/>
      <c r="H1361" s="137"/>
      <c r="I1361" s="137"/>
      <c r="J1361" s="137"/>
      <c r="M1361" s="143"/>
      <c r="N1361" s="143"/>
      <c r="O1361" s="143"/>
      <c r="P1361" s="143"/>
      <c r="Q1361" s="137"/>
      <c r="R1361" s="137"/>
      <c r="S1361" s="137"/>
      <c r="T1361" s="137"/>
      <c r="U1361" s="137"/>
      <c r="V1361" s="137"/>
      <c r="W1361" s="137"/>
      <c r="X1361" s="137"/>
      <c r="Y1361" s="137"/>
      <c r="Z1361" s="137"/>
      <c r="AA1361" s="137"/>
    </row>
    <row r="1362" spans="5:27" x14ac:dyDescent="0.35">
      <c r="E1362" s="137"/>
      <c r="F1362" s="137"/>
      <c r="G1362" s="190"/>
      <c r="H1362" s="137"/>
      <c r="I1362" s="137"/>
      <c r="J1362" s="137"/>
      <c r="M1362" s="143"/>
      <c r="N1362" s="143"/>
      <c r="O1362" s="143"/>
      <c r="P1362" s="143"/>
      <c r="Q1362" s="137"/>
      <c r="R1362" s="137"/>
      <c r="S1362" s="137"/>
      <c r="T1362" s="137"/>
      <c r="U1362" s="137"/>
      <c r="V1362" s="137"/>
      <c r="W1362" s="137"/>
      <c r="X1362" s="137"/>
      <c r="Y1362" s="137"/>
      <c r="Z1362" s="137"/>
      <c r="AA1362" s="137"/>
    </row>
    <row r="1363" spans="5:27" x14ac:dyDescent="0.35">
      <c r="E1363" s="137"/>
      <c r="F1363" s="137"/>
      <c r="G1363" s="190"/>
      <c r="H1363" s="137"/>
      <c r="I1363" s="137"/>
      <c r="J1363" s="137"/>
      <c r="M1363" s="143"/>
      <c r="N1363" s="143"/>
      <c r="O1363" s="143"/>
      <c r="P1363" s="143"/>
      <c r="Q1363" s="137"/>
      <c r="R1363" s="137"/>
      <c r="S1363" s="137"/>
      <c r="T1363" s="137"/>
      <c r="U1363" s="137"/>
      <c r="V1363" s="137"/>
      <c r="W1363" s="137"/>
      <c r="X1363" s="137"/>
      <c r="Y1363" s="137"/>
      <c r="Z1363" s="137"/>
      <c r="AA1363" s="137"/>
    </row>
    <row r="1364" spans="5:27" x14ac:dyDescent="0.35">
      <c r="E1364" s="137"/>
      <c r="F1364" s="137"/>
      <c r="G1364" s="190"/>
      <c r="H1364" s="137"/>
      <c r="I1364" s="137"/>
      <c r="J1364" s="137"/>
      <c r="M1364" s="143"/>
      <c r="N1364" s="143"/>
      <c r="O1364" s="143"/>
      <c r="P1364" s="143"/>
      <c r="Q1364" s="137"/>
      <c r="R1364" s="137"/>
      <c r="S1364" s="137"/>
      <c r="T1364" s="137"/>
      <c r="U1364" s="137"/>
      <c r="V1364" s="137"/>
      <c r="W1364" s="137"/>
      <c r="X1364" s="137"/>
      <c r="Y1364" s="137"/>
      <c r="Z1364" s="137"/>
      <c r="AA1364" s="137"/>
    </row>
    <row r="1365" spans="5:27" x14ac:dyDescent="0.35">
      <c r="E1365" s="137"/>
      <c r="F1365" s="137"/>
      <c r="G1365" s="190"/>
      <c r="H1365" s="137"/>
      <c r="I1365" s="137"/>
      <c r="J1365" s="137"/>
      <c r="M1365" s="143"/>
      <c r="N1365" s="143"/>
      <c r="O1365" s="143"/>
      <c r="P1365" s="143"/>
      <c r="Q1365" s="137"/>
      <c r="R1365" s="137"/>
      <c r="S1365" s="137"/>
      <c r="T1365" s="137"/>
      <c r="U1365" s="137"/>
      <c r="V1365" s="137"/>
      <c r="W1365" s="137"/>
      <c r="X1365" s="137"/>
      <c r="Y1365" s="137"/>
      <c r="Z1365" s="137"/>
      <c r="AA1365" s="137"/>
    </row>
    <row r="1366" spans="5:27" x14ac:dyDescent="0.35">
      <c r="E1366" s="137"/>
      <c r="F1366" s="137"/>
      <c r="G1366" s="190"/>
      <c r="H1366" s="137"/>
      <c r="I1366" s="137"/>
      <c r="J1366" s="137"/>
      <c r="M1366" s="143"/>
      <c r="N1366" s="143"/>
      <c r="O1366" s="143"/>
      <c r="P1366" s="143"/>
      <c r="Q1366" s="137"/>
      <c r="R1366" s="137"/>
      <c r="S1366" s="137"/>
      <c r="T1366" s="137"/>
      <c r="U1366" s="137"/>
      <c r="V1366" s="137"/>
      <c r="W1366" s="137"/>
      <c r="X1366" s="137"/>
      <c r="Y1366" s="137"/>
      <c r="Z1366" s="137"/>
      <c r="AA1366" s="137"/>
    </row>
    <row r="1367" spans="5:27" x14ac:dyDescent="0.35">
      <c r="E1367" s="137"/>
      <c r="F1367" s="137"/>
      <c r="G1367" s="190"/>
      <c r="H1367" s="137"/>
      <c r="I1367" s="137"/>
      <c r="J1367" s="137"/>
      <c r="M1367" s="143"/>
      <c r="N1367" s="143"/>
      <c r="O1367" s="143"/>
      <c r="P1367" s="143"/>
      <c r="Q1367" s="137"/>
      <c r="R1367" s="137"/>
      <c r="S1367" s="137"/>
      <c r="T1367" s="137"/>
      <c r="U1367" s="137"/>
      <c r="V1367" s="137"/>
      <c r="W1367" s="137"/>
      <c r="X1367" s="137"/>
      <c r="Y1367" s="137"/>
      <c r="Z1367" s="137"/>
      <c r="AA1367" s="137"/>
    </row>
    <row r="1368" spans="5:27" x14ac:dyDescent="0.35">
      <c r="E1368" s="137"/>
      <c r="F1368" s="137"/>
      <c r="G1368" s="190"/>
      <c r="H1368" s="137"/>
      <c r="I1368" s="137"/>
      <c r="J1368" s="137"/>
      <c r="M1368" s="143"/>
      <c r="N1368" s="143"/>
      <c r="O1368" s="143"/>
      <c r="P1368" s="143"/>
      <c r="Q1368" s="137"/>
      <c r="R1368" s="137"/>
      <c r="S1368" s="137"/>
      <c r="T1368" s="137"/>
      <c r="U1368" s="137"/>
      <c r="V1368" s="137"/>
      <c r="W1368" s="137"/>
      <c r="X1368" s="137"/>
      <c r="Y1368" s="137"/>
      <c r="Z1368" s="137"/>
      <c r="AA1368" s="137"/>
    </row>
    <row r="1369" spans="5:27" x14ac:dyDescent="0.35">
      <c r="E1369" s="137"/>
      <c r="F1369" s="137"/>
      <c r="G1369" s="190"/>
      <c r="H1369" s="137"/>
      <c r="I1369" s="137"/>
      <c r="J1369" s="137"/>
      <c r="M1369" s="143"/>
      <c r="N1369" s="143"/>
      <c r="O1369" s="143"/>
      <c r="P1369" s="143"/>
      <c r="Q1369" s="137"/>
      <c r="R1369" s="137"/>
      <c r="S1369" s="137"/>
      <c r="T1369" s="137"/>
      <c r="U1369" s="137"/>
      <c r="V1369" s="137"/>
      <c r="W1369" s="137"/>
      <c r="X1369" s="137"/>
      <c r="Y1369" s="137"/>
      <c r="Z1369" s="137"/>
      <c r="AA1369" s="137"/>
    </row>
    <row r="1370" spans="5:27" x14ac:dyDescent="0.35">
      <c r="E1370" s="137"/>
      <c r="F1370" s="137"/>
      <c r="G1370" s="190"/>
      <c r="H1370" s="137"/>
      <c r="I1370" s="137"/>
      <c r="J1370" s="137"/>
      <c r="M1370" s="143"/>
      <c r="N1370" s="143"/>
      <c r="O1370" s="143"/>
      <c r="P1370" s="143"/>
      <c r="Q1370" s="137"/>
      <c r="R1370" s="137"/>
      <c r="S1370" s="137"/>
      <c r="T1370" s="137"/>
      <c r="U1370" s="137"/>
      <c r="V1370" s="137"/>
      <c r="W1370" s="137"/>
      <c r="X1370" s="137"/>
      <c r="Y1370" s="137"/>
      <c r="Z1370" s="137"/>
      <c r="AA1370" s="137"/>
    </row>
    <row r="1371" spans="5:27" x14ac:dyDescent="0.35">
      <c r="E1371" s="137"/>
      <c r="F1371" s="137"/>
      <c r="G1371" s="190"/>
      <c r="H1371" s="137"/>
      <c r="I1371" s="137"/>
      <c r="J1371" s="137"/>
      <c r="M1371" s="143"/>
      <c r="N1371" s="143"/>
      <c r="O1371" s="143"/>
      <c r="P1371" s="143"/>
      <c r="Q1371" s="137"/>
      <c r="R1371" s="137"/>
      <c r="S1371" s="137"/>
      <c r="T1371" s="137"/>
      <c r="U1371" s="137"/>
      <c r="V1371" s="137"/>
      <c r="W1371" s="137"/>
      <c r="X1371" s="137"/>
      <c r="Y1371" s="137"/>
      <c r="Z1371" s="137"/>
      <c r="AA1371" s="137"/>
    </row>
    <row r="1372" spans="5:27" x14ac:dyDescent="0.35">
      <c r="E1372" s="137"/>
      <c r="F1372" s="137"/>
      <c r="G1372" s="190"/>
      <c r="H1372" s="137"/>
      <c r="I1372" s="137"/>
      <c r="J1372" s="137"/>
      <c r="M1372" s="143"/>
      <c r="N1372" s="143"/>
      <c r="O1372" s="143"/>
      <c r="P1372" s="143"/>
      <c r="Q1372" s="137"/>
      <c r="R1372" s="137"/>
      <c r="S1372" s="137"/>
      <c r="T1372" s="137"/>
      <c r="U1372" s="137"/>
      <c r="V1372" s="137"/>
      <c r="W1372" s="137"/>
      <c r="X1372" s="137"/>
      <c r="Y1372" s="137"/>
      <c r="Z1372" s="137"/>
      <c r="AA1372" s="137"/>
    </row>
    <row r="1373" spans="5:27" x14ac:dyDescent="0.35">
      <c r="E1373" s="137"/>
      <c r="F1373" s="137"/>
      <c r="G1373" s="190"/>
      <c r="H1373" s="137"/>
      <c r="I1373" s="137"/>
      <c r="J1373" s="137"/>
      <c r="M1373" s="143"/>
      <c r="N1373" s="143"/>
      <c r="O1373" s="143"/>
      <c r="P1373" s="143"/>
      <c r="Q1373" s="137"/>
      <c r="R1373" s="137"/>
      <c r="S1373" s="137"/>
      <c r="T1373" s="137"/>
      <c r="U1373" s="137"/>
      <c r="V1373" s="137"/>
      <c r="W1373" s="137"/>
      <c r="X1373" s="137"/>
      <c r="Y1373" s="137"/>
      <c r="Z1373" s="137"/>
      <c r="AA1373" s="137"/>
    </row>
    <row r="1374" spans="5:27" x14ac:dyDescent="0.35">
      <c r="E1374" s="137"/>
      <c r="F1374" s="137"/>
      <c r="G1374" s="190"/>
      <c r="H1374" s="137"/>
      <c r="I1374" s="137"/>
      <c r="J1374" s="137"/>
      <c r="M1374" s="143"/>
      <c r="N1374" s="143"/>
      <c r="O1374" s="143"/>
      <c r="P1374" s="143"/>
      <c r="Q1374" s="137"/>
      <c r="R1374" s="137"/>
      <c r="S1374" s="137"/>
      <c r="T1374" s="137"/>
      <c r="U1374" s="137"/>
      <c r="V1374" s="137"/>
      <c r="W1374" s="137"/>
      <c r="X1374" s="137"/>
      <c r="Y1374" s="137"/>
      <c r="Z1374" s="137"/>
      <c r="AA1374" s="137"/>
    </row>
    <row r="1375" spans="5:27" x14ac:dyDescent="0.35">
      <c r="E1375" s="137"/>
      <c r="F1375" s="137"/>
      <c r="G1375" s="190"/>
      <c r="H1375" s="137"/>
      <c r="I1375" s="137"/>
      <c r="J1375" s="137"/>
      <c r="M1375" s="143"/>
      <c r="N1375" s="143"/>
      <c r="O1375" s="143"/>
      <c r="P1375" s="143"/>
      <c r="Q1375" s="137"/>
      <c r="R1375" s="137"/>
      <c r="S1375" s="137"/>
      <c r="T1375" s="137"/>
      <c r="U1375" s="137"/>
      <c r="V1375" s="137"/>
      <c r="W1375" s="137"/>
      <c r="X1375" s="137"/>
      <c r="Y1375" s="137"/>
      <c r="Z1375" s="137"/>
      <c r="AA1375" s="137"/>
    </row>
    <row r="1376" spans="5:27" x14ac:dyDescent="0.35">
      <c r="E1376" s="137"/>
      <c r="F1376" s="137"/>
      <c r="G1376" s="190"/>
      <c r="H1376" s="137"/>
      <c r="I1376" s="137"/>
      <c r="J1376" s="137"/>
      <c r="M1376" s="143"/>
      <c r="N1376" s="143"/>
      <c r="O1376" s="143"/>
      <c r="P1376" s="143"/>
      <c r="Q1376" s="137"/>
      <c r="R1376" s="137"/>
      <c r="S1376" s="137"/>
      <c r="T1376" s="137"/>
      <c r="U1376" s="137"/>
      <c r="V1376" s="137"/>
      <c r="W1376" s="137"/>
      <c r="X1376" s="137"/>
      <c r="Y1376" s="137"/>
      <c r="Z1376" s="137"/>
      <c r="AA1376" s="137"/>
    </row>
    <row r="1377" spans="5:27" x14ac:dyDescent="0.35">
      <c r="E1377" s="137"/>
      <c r="F1377" s="137"/>
      <c r="G1377" s="190"/>
      <c r="H1377" s="137"/>
      <c r="I1377" s="137"/>
      <c r="J1377" s="137"/>
      <c r="M1377" s="143"/>
      <c r="N1377" s="143"/>
      <c r="O1377" s="143"/>
      <c r="P1377" s="143"/>
      <c r="Q1377" s="137"/>
      <c r="R1377" s="137"/>
      <c r="S1377" s="137"/>
      <c r="T1377" s="137"/>
      <c r="U1377" s="137"/>
      <c r="V1377" s="137"/>
      <c r="W1377" s="137"/>
      <c r="X1377" s="137"/>
      <c r="Y1377" s="137"/>
      <c r="Z1377" s="137"/>
      <c r="AA1377" s="137"/>
    </row>
    <row r="1378" spans="5:27" x14ac:dyDescent="0.35">
      <c r="E1378" s="137"/>
      <c r="F1378" s="137"/>
      <c r="G1378" s="190"/>
      <c r="H1378" s="137"/>
      <c r="I1378" s="137"/>
      <c r="J1378" s="137"/>
      <c r="M1378" s="143"/>
      <c r="N1378" s="143"/>
      <c r="O1378" s="143"/>
      <c r="P1378" s="143"/>
      <c r="Q1378" s="137"/>
      <c r="R1378" s="137"/>
      <c r="S1378" s="137"/>
      <c r="T1378" s="137"/>
      <c r="U1378" s="137"/>
      <c r="V1378" s="137"/>
      <c r="W1378" s="137"/>
      <c r="X1378" s="137"/>
      <c r="Y1378" s="137"/>
      <c r="Z1378" s="137"/>
      <c r="AA1378" s="137"/>
    </row>
    <row r="1379" spans="5:27" x14ac:dyDescent="0.35">
      <c r="E1379" s="137"/>
      <c r="F1379" s="137"/>
      <c r="G1379" s="190"/>
      <c r="H1379" s="137"/>
      <c r="I1379" s="137"/>
      <c r="J1379" s="137"/>
      <c r="M1379" s="143"/>
      <c r="N1379" s="143"/>
      <c r="O1379" s="143"/>
      <c r="P1379" s="143"/>
      <c r="Q1379" s="137"/>
      <c r="R1379" s="137"/>
      <c r="S1379" s="137"/>
      <c r="T1379" s="137"/>
      <c r="U1379" s="137"/>
      <c r="V1379" s="137"/>
      <c r="W1379" s="137"/>
      <c r="X1379" s="137"/>
      <c r="Y1379" s="137"/>
      <c r="Z1379" s="137"/>
      <c r="AA1379" s="137"/>
    </row>
    <row r="1380" spans="5:27" x14ac:dyDescent="0.35">
      <c r="E1380" s="137"/>
      <c r="F1380" s="137"/>
      <c r="G1380" s="190"/>
      <c r="H1380" s="137"/>
      <c r="I1380" s="137"/>
      <c r="J1380" s="137"/>
      <c r="M1380" s="143"/>
      <c r="N1380" s="143"/>
      <c r="O1380" s="143"/>
      <c r="P1380" s="143"/>
      <c r="Q1380" s="137"/>
      <c r="R1380" s="137"/>
      <c r="S1380" s="137"/>
      <c r="T1380" s="137"/>
      <c r="U1380" s="137"/>
      <c r="V1380" s="137"/>
      <c r="W1380" s="137"/>
      <c r="X1380" s="137"/>
      <c r="Y1380" s="137"/>
      <c r="Z1380" s="137"/>
      <c r="AA1380" s="137"/>
    </row>
    <row r="1381" spans="5:27" x14ac:dyDescent="0.35">
      <c r="E1381" s="137"/>
      <c r="F1381" s="137"/>
      <c r="G1381" s="190"/>
      <c r="H1381" s="137"/>
      <c r="I1381" s="137"/>
      <c r="J1381" s="137"/>
      <c r="M1381" s="143"/>
      <c r="N1381" s="143"/>
      <c r="O1381" s="143"/>
      <c r="P1381" s="143"/>
      <c r="Q1381" s="137"/>
      <c r="R1381" s="137"/>
      <c r="S1381" s="137"/>
      <c r="T1381" s="137"/>
      <c r="U1381" s="137"/>
      <c r="V1381" s="137"/>
      <c r="W1381" s="137"/>
      <c r="X1381" s="137"/>
      <c r="Y1381" s="137"/>
      <c r="Z1381" s="137"/>
      <c r="AA1381" s="137"/>
    </row>
    <row r="1382" spans="5:27" x14ac:dyDescent="0.35">
      <c r="E1382" s="137"/>
      <c r="F1382" s="137"/>
      <c r="G1382" s="190"/>
      <c r="H1382" s="137"/>
      <c r="I1382" s="137"/>
      <c r="J1382" s="137"/>
      <c r="M1382" s="143"/>
      <c r="N1382" s="143"/>
      <c r="O1382" s="143"/>
      <c r="P1382" s="143"/>
      <c r="Q1382" s="137"/>
      <c r="R1382" s="137"/>
      <c r="S1382" s="137"/>
      <c r="T1382" s="137"/>
      <c r="U1382" s="137"/>
      <c r="V1382" s="137"/>
      <c r="W1382" s="137"/>
      <c r="X1382" s="137"/>
      <c r="Y1382" s="137"/>
      <c r="Z1382" s="137"/>
      <c r="AA1382" s="137"/>
    </row>
    <row r="1383" spans="5:27" x14ac:dyDescent="0.35">
      <c r="E1383" s="137"/>
      <c r="F1383" s="137"/>
      <c r="G1383" s="190"/>
      <c r="H1383" s="137"/>
      <c r="I1383" s="137"/>
      <c r="J1383" s="137"/>
      <c r="M1383" s="143"/>
      <c r="N1383" s="143"/>
      <c r="O1383" s="143"/>
      <c r="P1383" s="143"/>
      <c r="Q1383" s="137"/>
      <c r="R1383" s="137"/>
      <c r="S1383" s="137"/>
      <c r="T1383" s="137"/>
      <c r="U1383" s="137"/>
      <c r="V1383" s="137"/>
      <c r="W1383" s="137"/>
      <c r="X1383" s="137"/>
      <c r="Y1383" s="137"/>
      <c r="Z1383" s="137"/>
      <c r="AA1383" s="137"/>
    </row>
    <row r="1384" spans="5:27" x14ac:dyDescent="0.35">
      <c r="E1384" s="137"/>
      <c r="F1384" s="137"/>
      <c r="G1384" s="190"/>
      <c r="H1384" s="137"/>
      <c r="I1384" s="137"/>
      <c r="J1384" s="137"/>
      <c r="M1384" s="143"/>
      <c r="N1384" s="143"/>
      <c r="O1384" s="143"/>
      <c r="P1384" s="143"/>
      <c r="Q1384" s="137"/>
      <c r="R1384" s="137"/>
      <c r="S1384" s="137"/>
      <c r="T1384" s="137"/>
      <c r="U1384" s="137"/>
      <c r="V1384" s="137"/>
      <c r="W1384" s="137"/>
      <c r="X1384" s="137"/>
      <c r="Y1384" s="137"/>
      <c r="Z1384" s="137"/>
      <c r="AA1384" s="137"/>
    </row>
    <row r="1385" spans="5:27" x14ac:dyDescent="0.35">
      <c r="E1385" s="137"/>
      <c r="F1385" s="137"/>
      <c r="G1385" s="190"/>
      <c r="H1385" s="137"/>
      <c r="I1385" s="137"/>
      <c r="J1385" s="137"/>
      <c r="M1385" s="143"/>
      <c r="N1385" s="143"/>
      <c r="O1385" s="143"/>
      <c r="P1385" s="143"/>
      <c r="Q1385" s="137"/>
      <c r="R1385" s="137"/>
      <c r="S1385" s="137"/>
      <c r="T1385" s="137"/>
      <c r="U1385" s="137"/>
      <c r="V1385" s="137"/>
      <c r="W1385" s="137"/>
      <c r="X1385" s="137"/>
      <c r="Y1385" s="137"/>
      <c r="Z1385" s="137"/>
      <c r="AA1385" s="137"/>
    </row>
    <row r="1386" spans="5:27" x14ac:dyDescent="0.35">
      <c r="E1386" s="137"/>
      <c r="F1386" s="137"/>
      <c r="G1386" s="190"/>
      <c r="H1386" s="137"/>
      <c r="I1386" s="137"/>
      <c r="J1386" s="137"/>
      <c r="M1386" s="143"/>
      <c r="N1386" s="143"/>
      <c r="O1386" s="143"/>
      <c r="P1386" s="143"/>
      <c r="Q1386" s="137"/>
      <c r="R1386" s="137"/>
      <c r="S1386" s="137"/>
      <c r="T1386" s="137"/>
      <c r="U1386" s="137"/>
      <c r="V1386" s="137"/>
      <c r="W1386" s="137"/>
      <c r="X1386" s="137"/>
      <c r="Y1386" s="137"/>
      <c r="Z1386" s="137"/>
      <c r="AA1386" s="137"/>
    </row>
    <row r="1387" spans="5:27" x14ac:dyDescent="0.35">
      <c r="E1387" s="137"/>
      <c r="F1387" s="137"/>
      <c r="G1387" s="190"/>
      <c r="H1387" s="137"/>
      <c r="I1387" s="137"/>
      <c r="J1387" s="137"/>
      <c r="M1387" s="143"/>
      <c r="N1387" s="143"/>
      <c r="O1387" s="143"/>
      <c r="P1387" s="143"/>
      <c r="Q1387" s="137"/>
      <c r="R1387" s="137"/>
      <c r="S1387" s="137"/>
      <c r="T1387" s="137"/>
      <c r="U1387" s="137"/>
      <c r="V1387" s="137"/>
      <c r="W1387" s="137"/>
      <c r="X1387" s="137"/>
      <c r="Y1387" s="137"/>
      <c r="Z1387" s="137"/>
      <c r="AA1387" s="137"/>
    </row>
    <row r="1388" spans="5:27" x14ac:dyDescent="0.35">
      <c r="E1388" s="137"/>
      <c r="F1388" s="137"/>
      <c r="G1388" s="190"/>
      <c r="H1388" s="137"/>
      <c r="I1388" s="137"/>
      <c r="J1388" s="137"/>
      <c r="M1388" s="143"/>
      <c r="N1388" s="143"/>
      <c r="O1388" s="143"/>
      <c r="P1388" s="143"/>
      <c r="Q1388" s="137"/>
      <c r="R1388" s="137"/>
      <c r="S1388" s="137"/>
      <c r="T1388" s="137"/>
      <c r="U1388" s="137"/>
      <c r="V1388" s="137"/>
      <c r="W1388" s="137"/>
      <c r="X1388" s="137"/>
      <c r="Y1388" s="137"/>
      <c r="Z1388" s="137"/>
      <c r="AA1388" s="137"/>
    </row>
    <row r="1389" spans="5:27" x14ac:dyDescent="0.35">
      <c r="E1389" s="137"/>
      <c r="F1389" s="137"/>
      <c r="G1389" s="190"/>
      <c r="H1389" s="137"/>
      <c r="I1389" s="137"/>
      <c r="J1389" s="137"/>
      <c r="M1389" s="143"/>
      <c r="N1389" s="143"/>
      <c r="O1389" s="143"/>
      <c r="P1389" s="143"/>
      <c r="Q1389" s="137"/>
      <c r="R1389" s="137"/>
      <c r="S1389" s="137"/>
      <c r="T1389" s="137"/>
      <c r="U1389" s="137"/>
      <c r="V1389" s="137"/>
      <c r="W1389" s="137"/>
      <c r="X1389" s="137"/>
      <c r="Y1389" s="137"/>
      <c r="Z1389" s="137"/>
      <c r="AA1389" s="137"/>
    </row>
    <row r="1390" spans="5:27" x14ac:dyDescent="0.35">
      <c r="E1390" s="137"/>
      <c r="F1390" s="137"/>
      <c r="G1390" s="190"/>
      <c r="H1390" s="137"/>
      <c r="I1390" s="137"/>
      <c r="J1390" s="137"/>
      <c r="M1390" s="143"/>
      <c r="N1390" s="143"/>
      <c r="O1390" s="143"/>
      <c r="P1390" s="143"/>
      <c r="Q1390" s="137"/>
      <c r="R1390" s="137"/>
      <c r="S1390" s="137"/>
      <c r="T1390" s="137"/>
      <c r="U1390" s="137"/>
      <c r="V1390" s="137"/>
      <c r="W1390" s="137"/>
      <c r="X1390" s="137"/>
      <c r="Y1390" s="137"/>
      <c r="Z1390" s="137"/>
      <c r="AA1390" s="137"/>
    </row>
    <row r="1391" spans="5:27" x14ac:dyDescent="0.35">
      <c r="E1391" s="137"/>
      <c r="F1391" s="137"/>
      <c r="G1391" s="190"/>
      <c r="H1391" s="137"/>
      <c r="I1391" s="137"/>
      <c r="J1391" s="137"/>
      <c r="M1391" s="143"/>
      <c r="N1391" s="143"/>
      <c r="O1391" s="143"/>
      <c r="P1391" s="143"/>
      <c r="Q1391" s="137"/>
      <c r="R1391" s="137"/>
      <c r="S1391" s="137"/>
      <c r="T1391" s="137"/>
      <c r="U1391" s="137"/>
      <c r="V1391" s="137"/>
      <c r="W1391" s="137"/>
      <c r="X1391" s="137"/>
      <c r="Y1391" s="137"/>
      <c r="Z1391" s="137"/>
      <c r="AA1391" s="137"/>
    </row>
    <row r="1392" spans="5:27" x14ac:dyDescent="0.35">
      <c r="E1392" s="137"/>
      <c r="F1392" s="137"/>
      <c r="G1392" s="190"/>
      <c r="H1392" s="137"/>
      <c r="I1392" s="137"/>
      <c r="J1392" s="137"/>
      <c r="M1392" s="143"/>
      <c r="N1392" s="143"/>
      <c r="O1392" s="143"/>
      <c r="P1392" s="143"/>
      <c r="Q1392" s="137"/>
      <c r="R1392" s="137"/>
      <c r="S1392" s="137"/>
      <c r="T1392" s="137"/>
      <c r="U1392" s="137"/>
      <c r="V1392" s="137"/>
      <c r="W1392" s="137"/>
      <c r="X1392" s="137"/>
      <c r="Y1392" s="137"/>
      <c r="Z1392" s="137"/>
      <c r="AA1392" s="137"/>
    </row>
    <row r="1393" spans="5:27" x14ac:dyDescent="0.35">
      <c r="E1393" s="137"/>
      <c r="F1393" s="137"/>
      <c r="G1393" s="190"/>
      <c r="H1393" s="137"/>
      <c r="I1393" s="137"/>
      <c r="J1393" s="137"/>
      <c r="M1393" s="143"/>
      <c r="N1393" s="143"/>
      <c r="O1393" s="143"/>
      <c r="P1393" s="143"/>
      <c r="Q1393" s="137"/>
      <c r="R1393" s="137"/>
      <c r="S1393" s="137"/>
      <c r="T1393" s="137"/>
      <c r="U1393" s="137"/>
      <c r="V1393" s="137"/>
      <c r="W1393" s="137"/>
      <c r="X1393" s="137"/>
      <c r="Y1393" s="137"/>
      <c r="Z1393" s="137"/>
      <c r="AA1393" s="137"/>
    </row>
    <row r="1394" spans="5:27" x14ac:dyDescent="0.35">
      <c r="E1394" s="137"/>
      <c r="F1394" s="137"/>
      <c r="G1394" s="190"/>
      <c r="H1394" s="137"/>
      <c r="I1394" s="137"/>
      <c r="J1394" s="137"/>
      <c r="M1394" s="143"/>
      <c r="N1394" s="143"/>
      <c r="O1394" s="143"/>
      <c r="P1394" s="143"/>
      <c r="Q1394" s="137"/>
      <c r="R1394" s="137"/>
      <c r="S1394" s="137"/>
      <c r="T1394" s="137"/>
      <c r="U1394" s="137"/>
      <c r="V1394" s="137"/>
      <c r="W1394" s="137"/>
      <c r="X1394" s="137"/>
      <c r="Y1394" s="137"/>
      <c r="Z1394" s="137"/>
      <c r="AA1394" s="137"/>
    </row>
    <row r="1395" spans="5:27" x14ac:dyDescent="0.35">
      <c r="E1395" s="137"/>
      <c r="F1395" s="137"/>
      <c r="G1395" s="190"/>
      <c r="H1395" s="137"/>
      <c r="I1395" s="137"/>
      <c r="J1395" s="137"/>
      <c r="M1395" s="143"/>
      <c r="N1395" s="143"/>
      <c r="O1395" s="143"/>
      <c r="P1395" s="143"/>
      <c r="Q1395" s="137"/>
      <c r="R1395" s="137"/>
      <c r="S1395" s="137"/>
      <c r="T1395" s="137"/>
      <c r="U1395" s="137"/>
      <c r="V1395" s="137"/>
      <c r="W1395" s="137"/>
      <c r="X1395" s="137"/>
      <c r="Y1395" s="137"/>
      <c r="Z1395" s="137"/>
      <c r="AA1395" s="137"/>
    </row>
    <row r="1396" spans="5:27" x14ac:dyDescent="0.35">
      <c r="E1396" s="137"/>
      <c r="F1396" s="137"/>
      <c r="G1396" s="190"/>
      <c r="H1396" s="137"/>
      <c r="I1396" s="137"/>
      <c r="J1396" s="137"/>
      <c r="M1396" s="143"/>
      <c r="N1396" s="143"/>
      <c r="O1396" s="143"/>
      <c r="P1396" s="143"/>
      <c r="Q1396" s="137"/>
      <c r="R1396" s="137"/>
      <c r="S1396" s="137"/>
      <c r="T1396" s="137"/>
      <c r="U1396" s="137"/>
      <c r="V1396" s="137"/>
      <c r="W1396" s="137"/>
      <c r="X1396" s="137"/>
      <c r="Y1396" s="137"/>
      <c r="Z1396" s="137"/>
      <c r="AA1396" s="137"/>
    </row>
    <row r="1397" spans="5:27" x14ac:dyDescent="0.35">
      <c r="E1397" s="137"/>
      <c r="F1397" s="137"/>
      <c r="G1397" s="190"/>
      <c r="H1397" s="137"/>
      <c r="I1397" s="137"/>
      <c r="J1397" s="137"/>
      <c r="M1397" s="143"/>
      <c r="N1397" s="143"/>
      <c r="O1397" s="143"/>
      <c r="P1397" s="143"/>
      <c r="Q1397" s="137"/>
      <c r="R1397" s="137"/>
      <c r="S1397" s="137"/>
      <c r="T1397" s="137"/>
      <c r="U1397" s="137"/>
      <c r="V1397" s="137"/>
      <c r="W1397" s="137"/>
      <c r="X1397" s="137"/>
      <c r="Y1397" s="137"/>
      <c r="Z1397" s="137"/>
      <c r="AA1397" s="137"/>
    </row>
    <row r="1398" spans="5:27" x14ac:dyDescent="0.35">
      <c r="E1398" s="137"/>
      <c r="F1398" s="137"/>
      <c r="G1398" s="190"/>
      <c r="H1398" s="137"/>
      <c r="I1398" s="137"/>
      <c r="J1398" s="137"/>
      <c r="M1398" s="143"/>
      <c r="N1398" s="143"/>
      <c r="O1398" s="143"/>
      <c r="P1398" s="143"/>
      <c r="Q1398" s="137"/>
      <c r="R1398" s="137"/>
      <c r="S1398" s="137"/>
      <c r="T1398" s="137"/>
      <c r="U1398" s="137"/>
      <c r="V1398" s="137"/>
      <c r="W1398" s="137"/>
      <c r="X1398" s="137"/>
      <c r="Y1398" s="137"/>
      <c r="Z1398" s="137"/>
      <c r="AA1398" s="137"/>
    </row>
    <row r="1399" spans="5:27" x14ac:dyDescent="0.35">
      <c r="E1399" s="137"/>
      <c r="F1399" s="137"/>
      <c r="G1399" s="190"/>
      <c r="H1399" s="137"/>
      <c r="I1399" s="137"/>
      <c r="J1399" s="137"/>
      <c r="M1399" s="143"/>
      <c r="N1399" s="143"/>
      <c r="O1399" s="143"/>
      <c r="P1399" s="143"/>
      <c r="Q1399" s="137"/>
      <c r="R1399" s="137"/>
      <c r="S1399" s="137"/>
      <c r="T1399" s="137"/>
      <c r="U1399" s="137"/>
      <c r="V1399" s="137"/>
      <c r="W1399" s="137"/>
      <c r="X1399" s="137"/>
      <c r="Y1399" s="137"/>
      <c r="Z1399" s="137"/>
      <c r="AA1399" s="137"/>
    </row>
    <row r="1400" spans="5:27" x14ac:dyDescent="0.35">
      <c r="E1400" s="137"/>
      <c r="F1400" s="137"/>
      <c r="G1400" s="190"/>
      <c r="H1400" s="137"/>
      <c r="I1400" s="137"/>
      <c r="J1400" s="137"/>
      <c r="M1400" s="143"/>
      <c r="N1400" s="143"/>
      <c r="O1400" s="143"/>
      <c r="P1400" s="143"/>
      <c r="Q1400" s="137"/>
      <c r="R1400" s="137"/>
      <c r="S1400" s="137"/>
      <c r="T1400" s="137"/>
      <c r="U1400" s="137"/>
      <c r="V1400" s="137"/>
      <c r="W1400" s="137"/>
      <c r="X1400" s="137"/>
      <c r="Y1400" s="137"/>
      <c r="Z1400" s="137"/>
      <c r="AA1400" s="137"/>
    </row>
    <row r="1401" spans="5:27" x14ac:dyDescent="0.35">
      <c r="E1401" s="137"/>
      <c r="F1401" s="137"/>
      <c r="G1401" s="190"/>
      <c r="H1401" s="137"/>
      <c r="I1401" s="137"/>
      <c r="J1401" s="137"/>
      <c r="M1401" s="143"/>
      <c r="N1401" s="143"/>
      <c r="O1401" s="143"/>
      <c r="P1401" s="143"/>
      <c r="Q1401" s="137"/>
      <c r="R1401" s="137"/>
      <c r="S1401" s="137"/>
      <c r="T1401" s="137"/>
      <c r="U1401" s="137"/>
      <c r="V1401" s="137"/>
      <c r="W1401" s="137"/>
      <c r="X1401" s="137"/>
      <c r="Y1401" s="137"/>
      <c r="Z1401" s="137"/>
      <c r="AA1401" s="137"/>
    </row>
    <row r="1402" spans="5:27" x14ac:dyDescent="0.35">
      <c r="E1402" s="137"/>
      <c r="F1402" s="137"/>
      <c r="G1402" s="190"/>
      <c r="H1402" s="137"/>
      <c r="I1402" s="137"/>
      <c r="J1402" s="137"/>
      <c r="M1402" s="143"/>
      <c r="N1402" s="143"/>
      <c r="O1402" s="143"/>
      <c r="P1402" s="143"/>
      <c r="Q1402" s="137"/>
      <c r="R1402" s="137"/>
      <c r="S1402" s="137"/>
      <c r="T1402" s="137"/>
      <c r="U1402" s="137"/>
      <c r="V1402" s="137"/>
      <c r="W1402" s="137"/>
      <c r="X1402" s="137"/>
      <c r="Y1402" s="137"/>
      <c r="Z1402" s="137"/>
      <c r="AA1402" s="137"/>
    </row>
    <row r="1403" spans="5:27" x14ac:dyDescent="0.35">
      <c r="E1403" s="137"/>
      <c r="F1403" s="137"/>
      <c r="G1403" s="190"/>
      <c r="H1403" s="137"/>
      <c r="I1403" s="137"/>
      <c r="J1403" s="137"/>
      <c r="M1403" s="143"/>
      <c r="N1403" s="143"/>
      <c r="O1403" s="143"/>
      <c r="P1403" s="143"/>
      <c r="Q1403" s="137"/>
      <c r="R1403" s="137"/>
      <c r="S1403" s="137"/>
      <c r="T1403" s="137"/>
      <c r="U1403" s="137"/>
      <c r="V1403" s="137"/>
      <c r="W1403" s="137"/>
      <c r="X1403" s="137"/>
      <c r="Y1403" s="137"/>
      <c r="Z1403" s="137"/>
      <c r="AA1403" s="137"/>
    </row>
    <row r="1404" spans="5:27" x14ac:dyDescent="0.35">
      <c r="E1404" s="137"/>
      <c r="F1404" s="137"/>
      <c r="G1404" s="190"/>
      <c r="H1404" s="137"/>
      <c r="I1404" s="137"/>
      <c r="J1404" s="137"/>
      <c r="M1404" s="143"/>
      <c r="N1404" s="143"/>
      <c r="O1404" s="143"/>
      <c r="P1404" s="143"/>
      <c r="Q1404" s="137"/>
      <c r="R1404" s="137"/>
      <c r="S1404" s="137"/>
      <c r="T1404" s="137"/>
      <c r="U1404" s="137"/>
      <c r="V1404" s="137"/>
      <c r="W1404" s="137"/>
      <c r="X1404" s="137"/>
      <c r="Y1404" s="137"/>
      <c r="Z1404" s="137"/>
      <c r="AA1404" s="137"/>
    </row>
    <row r="1405" spans="5:27" x14ac:dyDescent="0.35">
      <c r="E1405" s="137"/>
      <c r="F1405" s="137"/>
      <c r="G1405" s="190"/>
      <c r="H1405" s="137"/>
      <c r="I1405" s="137"/>
      <c r="J1405" s="137"/>
      <c r="M1405" s="143"/>
      <c r="N1405" s="143"/>
      <c r="O1405" s="143"/>
      <c r="P1405" s="143"/>
      <c r="Q1405" s="137"/>
      <c r="R1405" s="137"/>
      <c r="S1405" s="137"/>
      <c r="T1405" s="137"/>
      <c r="U1405" s="137"/>
      <c r="V1405" s="137"/>
      <c r="W1405" s="137"/>
      <c r="X1405" s="137"/>
      <c r="Y1405" s="137"/>
      <c r="Z1405" s="137"/>
      <c r="AA1405" s="137"/>
    </row>
    <row r="1406" spans="5:27" x14ac:dyDescent="0.35">
      <c r="E1406" s="137"/>
      <c r="F1406" s="137"/>
      <c r="G1406" s="190"/>
      <c r="H1406" s="137"/>
      <c r="I1406" s="137"/>
      <c r="J1406" s="137"/>
      <c r="M1406" s="143"/>
      <c r="N1406" s="143"/>
      <c r="O1406" s="143"/>
      <c r="P1406" s="143"/>
      <c r="Q1406" s="137"/>
      <c r="R1406" s="137"/>
      <c r="S1406" s="137"/>
      <c r="T1406" s="137"/>
      <c r="U1406" s="137"/>
      <c r="V1406" s="137"/>
      <c r="W1406" s="137"/>
      <c r="X1406" s="137"/>
      <c r="Y1406" s="137"/>
      <c r="Z1406" s="137"/>
      <c r="AA1406" s="137"/>
    </row>
    <row r="1407" spans="5:27" x14ac:dyDescent="0.35">
      <c r="E1407" s="137"/>
      <c r="F1407" s="137"/>
      <c r="G1407" s="190"/>
      <c r="H1407" s="137"/>
      <c r="I1407" s="137"/>
      <c r="J1407" s="137"/>
      <c r="M1407" s="143"/>
      <c r="N1407" s="143"/>
      <c r="O1407" s="143"/>
      <c r="P1407" s="143"/>
      <c r="Q1407" s="137"/>
      <c r="R1407" s="137"/>
      <c r="S1407" s="137"/>
      <c r="T1407" s="137"/>
      <c r="U1407" s="137"/>
      <c r="V1407" s="137"/>
      <c r="W1407" s="137"/>
      <c r="X1407" s="137"/>
      <c r="Y1407" s="137"/>
      <c r="Z1407" s="137"/>
      <c r="AA1407" s="137"/>
    </row>
    <row r="1408" spans="5:27" x14ac:dyDescent="0.35">
      <c r="E1408" s="137"/>
      <c r="F1408" s="137"/>
      <c r="G1408" s="190"/>
      <c r="H1408" s="137"/>
      <c r="I1408" s="137"/>
      <c r="J1408" s="137"/>
      <c r="M1408" s="143"/>
      <c r="N1408" s="143"/>
      <c r="O1408" s="143"/>
      <c r="P1408" s="143"/>
      <c r="Q1408" s="137"/>
      <c r="R1408" s="137"/>
      <c r="S1408" s="137"/>
      <c r="T1408" s="137"/>
      <c r="U1408" s="137"/>
      <c r="V1408" s="137"/>
      <c r="W1408" s="137"/>
      <c r="X1408" s="137"/>
      <c r="Y1408" s="137"/>
      <c r="Z1408" s="137"/>
      <c r="AA1408" s="137"/>
    </row>
    <row r="1409" spans="5:27" x14ac:dyDescent="0.35">
      <c r="E1409" s="137"/>
      <c r="F1409" s="137"/>
      <c r="G1409" s="190"/>
      <c r="H1409" s="137"/>
      <c r="I1409" s="137"/>
      <c r="J1409" s="137"/>
      <c r="M1409" s="143"/>
      <c r="N1409" s="143"/>
      <c r="O1409" s="143"/>
      <c r="P1409" s="143"/>
      <c r="Q1409" s="137"/>
      <c r="R1409" s="137"/>
      <c r="S1409" s="137"/>
      <c r="T1409" s="137"/>
      <c r="U1409" s="137"/>
      <c r="V1409" s="137"/>
      <c r="W1409" s="137"/>
      <c r="X1409" s="137"/>
      <c r="Y1409" s="137"/>
      <c r="Z1409" s="137"/>
      <c r="AA1409" s="137"/>
    </row>
    <row r="1410" spans="5:27" x14ac:dyDescent="0.35">
      <c r="E1410" s="137"/>
      <c r="F1410" s="137"/>
      <c r="G1410" s="190"/>
      <c r="H1410" s="137"/>
      <c r="I1410" s="137"/>
      <c r="J1410" s="137"/>
      <c r="M1410" s="143"/>
      <c r="N1410" s="143"/>
      <c r="O1410" s="143"/>
      <c r="P1410" s="143"/>
      <c r="Q1410" s="137"/>
      <c r="R1410" s="137"/>
      <c r="S1410" s="137"/>
      <c r="T1410" s="137"/>
      <c r="U1410" s="137"/>
      <c r="V1410" s="137"/>
      <c r="W1410" s="137"/>
      <c r="X1410" s="137"/>
      <c r="Y1410" s="137"/>
      <c r="Z1410" s="137"/>
      <c r="AA1410" s="137"/>
    </row>
    <row r="1411" spans="5:27" x14ac:dyDescent="0.35">
      <c r="E1411" s="137"/>
      <c r="F1411" s="137"/>
      <c r="G1411" s="190"/>
      <c r="H1411" s="137"/>
      <c r="I1411" s="137"/>
      <c r="J1411" s="137"/>
      <c r="M1411" s="143"/>
      <c r="N1411" s="143"/>
      <c r="O1411" s="143"/>
      <c r="P1411" s="143"/>
      <c r="Q1411" s="137"/>
      <c r="R1411" s="137"/>
      <c r="S1411" s="137"/>
      <c r="T1411" s="137"/>
      <c r="U1411" s="137"/>
      <c r="V1411" s="137"/>
      <c r="W1411" s="137"/>
      <c r="X1411" s="137"/>
      <c r="Y1411" s="137"/>
      <c r="Z1411" s="137"/>
      <c r="AA1411" s="137"/>
    </row>
    <row r="1412" spans="5:27" x14ac:dyDescent="0.35">
      <c r="E1412" s="137"/>
      <c r="F1412" s="137"/>
      <c r="G1412" s="190"/>
      <c r="H1412" s="137"/>
      <c r="I1412" s="137"/>
      <c r="J1412" s="137"/>
      <c r="M1412" s="143"/>
      <c r="N1412" s="143"/>
      <c r="O1412" s="143"/>
      <c r="P1412" s="143"/>
      <c r="Q1412" s="137"/>
      <c r="R1412" s="137"/>
      <c r="S1412" s="137"/>
      <c r="T1412" s="137"/>
      <c r="U1412" s="137"/>
      <c r="V1412" s="137"/>
      <c r="W1412" s="137"/>
      <c r="X1412" s="137"/>
      <c r="Y1412" s="137"/>
      <c r="Z1412" s="137"/>
      <c r="AA1412" s="137"/>
    </row>
    <row r="1413" spans="5:27" x14ac:dyDescent="0.35">
      <c r="E1413" s="137"/>
      <c r="F1413" s="137"/>
      <c r="G1413" s="190"/>
      <c r="H1413" s="137"/>
      <c r="I1413" s="137"/>
      <c r="J1413" s="137"/>
      <c r="M1413" s="143"/>
      <c r="N1413" s="143"/>
      <c r="O1413" s="143"/>
      <c r="P1413" s="143"/>
      <c r="Q1413" s="137"/>
      <c r="R1413" s="137"/>
      <c r="S1413" s="137"/>
      <c r="T1413" s="137"/>
      <c r="U1413" s="137"/>
      <c r="V1413" s="137"/>
      <c r="W1413" s="137"/>
      <c r="X1413" s="137"/>
      <c r="Y1413" s="137"/>
      <c r="Z1413" s="137"/>
      <c r="AA1413" s="137"/>
    </row>
    <row r="1414" spans="5:27" x14ac:dyDescent="0.35">
      <c r="E1414" s="137"/>
      <c r="F1414" s="137"/>
      <c r="G1414" s="190"/>
      <c r="H1414" s="137"/>
      <c r="I1414" s="137"/>
      <c r="J1414" s="137"/>
      <c r="M1414" s="143"/>
      <c r="N1414" s="143"/>
      <c r="O1414" s="143"/>
      <c r="P1414" s="143"/>
      <c r="Q1414" s="137"/>
      <c r="R1414" s="137"/>
      <c r="S1414" s="137"/>
      <c r="T1414" s="137"/>
      <c r="U1414" s="137"/>
      <c r="V1414" s="137"/>
      <c r="W1414" s="137"/>
      <c r="X1414" s="137"/>
      <c r="Y1414" s="137"/>
      <c r="Z1414" s="137"/>
      <c r="AA1414" s="137"/>
    </row>
    <row r="1415" spans="5:27" x14ac:dyDescent="0.35">
      <c r="E1415" s="137"/>
      <c r="F1415" s="137"/>
      <c r="G1415" s="190"/>
      <c r="H1415" s="137"/>
      <c r="I1415" s="137"/>
      <c r="J1415" s="137"/>
      <c r="M1415" s="143"/>
      <c r="N1415" s="143"/>
      <c r="O1415" s="143"/>
      <c r="P1415" s="143"/>
      <c r="Q1415" s="137"/>
      <c r="R1415" s="137"/>
      <c r="S1415" s="137"/>
      <c r="T1415" s="137"/>
      <c r="U1415" s="137"/>
      <c r="V1415" s="137"/>
      <c r="W1415" s="137"/>
      <c r="X1415" s="137"/>
      <c r="Y1415" s="137"/>
      <c r="Z1415" s="137"/>
      <c r="AA1415" s="137"/>
    </row>
    <row r="1416" spans="5:27" x14ac:dyDescent="0.35">
      <c r="E1416" s="137"/>
      <c r="F1416" s="137"/>
      <c r="G1416" s="190"/>
      <c r="H1416" s="137"/>
      <c r="I1416" s="137"/>
      <c r="J1416" s="137"/>
      <c r="M1416" s="143"/>
      <c r="N1416" s="143"/>
      <c r="O1416" s="143"/>
      <c r="P1416" s="143"/>
      <c r="Q1416" s="137"/>
      <c r="R1416" s="137"/>
      <c r="S1416" s="137"/>
      <c r="T1416" s="137"/>
      <c r="U1416" s="137"/>
      <c r="V1416" s="137"/>
      <c r="W1416" s="137"/>
      <c r="X1416" s="137"/>
      <c r="Y1416" s="137"/>
      <c r="Z1416" s="137"/>
      <c r="AA1416" s="137"/>
    </row>
    <row r="1417" spans="5:27" x14ac:dyDescent="0.35">
      <c r="E1417" s="137"/>
      <c r="F1417" s="137"/>
      <c r="G1417" s="190"/>
      <c r="H1417" s="137"/>
      <c r="I1417" s="137"/>
      <c r="J1417" s="137"/>
      <c r="M1417" s="143"/>
      <c r="N1417" s="143"/>
      <c r="O1417" s="143"/>
      <c r="P1417" s="143"/>
      <c r="Q1417" s="137"/>
      <c r="R1417" s="137"/>
      <c r="S1417" s="137"/>
      <c r="T1417" s="137"/>
      <c r="U1417" s="137"/>
      <c r="V1417" s="137"/>
      <c r="W1417" s="137"/>
      <c r="X1417" s="137"/>
      <c r="Y1417" s="137"/>
      <c r="Z1417" s="137"/>
      <c r="AA1417" s="137"/>
    </row>
    <row r="1418" spans="5:27" x14ac:dyDescent="0.35">
      <c r="E1418" s="137"/>
      <c r="F1418" s="137"/>
      <c r="G1418" s="190"/>
      <c r="H1418" s="137"/>
      <c r="I1418" s="137"/>
      <c r="J1418" s="137"/>
      <c r="M1418" s="143"/>
      <c r="N1418" s="143"/>
      <c r="O1418" s="143"/>
      <c r="P1418" s="143"/>
      <c r="Q1418" s="137"/>
      <c r="R1418" s="137"/>
      <c r="S1418" s="137"/>
      <c r="T1418" s="137"/>
      <c r="U1418" s="137"/>
      <c r="V1418" s="137"/>
      <c r="W1418" s="137"/>
      <c r="X1418" s="137"/>
      <c r="Y1418" s="137"/>
      <c r="Z1418" s="137"/>
      <c r="AA1418" s="137"/>
    </row>
    <row r="1419" spans="5:27" x14ac:dyDescent="0.35">
      <c r="E1419" s="137"/>
      <c r="F1419" s="137"/>
      <c r="G1419" s="190"/>
      <c r="H1419" s="137"/>
      <c r="I1419" s="137"/>
      <c r="J1419" s="137"/>
      <c r="M1419" s="143"/>
      <c r="N1419" s="143"/>
      <c r="O1419" s="143"/>
      <c r="P1419" s="143"/>
      <c r="Q1419" s="137"/>
      <c r="R1419" s="137"/>
      <c r="S1419" s="137"/>
      <c r="T1419" s="137"/>
      <c r="U1419" s="137"/>
      <c r="V1419" s="137"/>
      <c r="W1419" s="137"/>
      <c r="X1419" s="137"/>
      <c r="Y1419" s="137"/>
      <c r="Z1419" s="137"/>
      <c r="AA1419" s="137"/>
    </row>
    <row r="1420" spans="5:27" x14ac:dyDescent="0.35">
      <c r="E1420" s="137"/>
      <c r="F1420" s="137"/>
      <c r="G1420" s="190"/>
      <c r="H1420" s="137"/>
      <c r="I1420" s="137"/>
      <c r="J1420" s="137"/>
      <c r="M1420" s="143"/>
      <c r="N1420" s="143"/>
      <c r="O1420" s="143"/>
      <c r="P1420" s="143"/>
      <c r="Q1420" s="137"/>
      <c r="R1420" s="137"/>
      <c r="S1420" s="137"/>
      <c r="T1420" s="137"/>
      <c r="U1420" s="137"/>
      <c r="V1420" s="137"/>
      <c r="W1420" s="137"/>
      <c r="X1420" s="137"/>
      <c r="Y1420" s="137"/>
      <c r="Z1420" s="137"/>
      <c r="AA1420" s="137"/>
    </row>
    <row r="1421" spans="5:27" x14ac:dyDescent="0.35">
      <c r="E1421" s="137"/>
      <c r="F1421" s="137"/>
      <c r="G1421" s="190"/>
      <c r="H1421" s="137"/>
      <c r="I1421" s="137"/>
      <c r="J1421" s="137"/>
      <c r="M1421" s="143"/>
      <c r="N1421" s="143"/>
      <c r="O1421" s="143"/>
      <c r="P1421" s="143"/>
      <c r="Q1421" s="137"/>
      <c r="R1421" s="137"/>
      <c r="S1421" s="137"/>
      <c r="T1421" s="137"/>
      <c r="U1421" s="137"/>
      <c r="V1421" s="137"/>
      <c r="W1421" s="137"/>
      <c r="X1421" s="137"/>
      <c r="Y1421" s="137"/>
      <c r="Z1421" s="137"/>
      <c r="AA1421" s="137"/>
    </row>
    <row r="1422" spans="5:27" x14ac:dyDescent="0.35">
      <c r="E1422" s="137"/>
      <c r="F1422" s="137"/>
      <c r="G1422" s="190"/>
      <c r="H1422" s="137"/>
      <c r="I1422" s="137"/>
      <c r="J1422" s="137"/>
      <c r="M1422" s="143"/>
      <c r="N1422" s="143"/>
      <c r="O1422" s="143"/>
      <c r="P1422" s="143"/>
      <c r="Q1422" s="137"/>
      <c r="R1422" s="137"/>
      <c r="S1422" s="137"/>
      <c r="T1422" s="137"/>
      <c r="U1422" s="137"/>
      <c r="V1422" s="137"/>
      <c r="W1422" s="137"/>
      <c r="X1422" s="137"/>
      <c r="Y1422" s="137"/>
      <c r="Z1422" s="137"/>
      <c r="AA1422" s="137"/>
    </row>
    <row r="1423" spans="5:27" x14ac:dyDescent="0.35">
      <c r="E1423" s="137"/>
      <c r="F1423" s="137"/>
      <c r="G1423" s="190"/>
      <c r="H1423" s="137"/>
      <c r="I1423" s="137"/>
      <c r="J1423" s="137"/>
      <c r="M1423" s="143"/>
      <c r="N1423" s="143"/>
      <c r="O1423" s="143"/>
      <c r="P1423" s="143"/>
      <c r="Q1423" s="137"/>
      <c r="R1423" s="137"/>
      <c r="S1423" s="137"/>
      <c r="T1423" s="137"/>
      <c r="U1423" s="137"/>
      <c r="V1423" s="137"/>
      <c r="W1423" s="137"/>
      <c r="X1423" s="137"/>
      <c r="Y1423" s="137"/>
      <c r="Z1423" s="137"/>
      <c r="AA1423" s="137"/>
    </row>
    <row r="1424" spans="5:27" x14ac:dyDescent="0.35">
      <c r="E1424" s="137"/>
      <c r="F1424" s="137"/>
      <c r="G1424" s="190"/>
      <c r="H1424" s="137"/>
      <c r="I1424" s="137"/>
      <c r="J1424" s="137"/>
      <c r="M1424" s="143"/>
      <c r="N1424" s="143"/>
      <c r="O1424" s="143"/>
      <c r="P1424" s="143"/>
      <c r="Q1424" s="137"/>
      <c r="R1424" s="137"/>
      <c r="S1424" s="137"/>
      <c r="T1424" s="137"/>
      <c r="U1424" s="137"/>
      <c r="V1424" s="137"/>
      <c r="W1424" s="137"/>
      <c r="X1424" s="137"/>
      <c r="Y1424" s="137"/>
      <c r="Z1424" s="137"/>
      <c r="AA1424" s="137"/>
    </row>
    <row r="1425" spans="5:27" x14ac:dyDescent="0.35">
      <c r="E1425" s="137"/>
      <c r="F1425" s="137"/>
      <c r="G1425" s="190"/>
      <c r="H1425" s="137"/>
      <c r="I1425" s="137"/>
      <c r="J1425" s="137"/>
      <c r="M1425" s="143"/>
      <c r="N1425" s="143"/>
      <c r="O1425" s="143"/>
      <c r="P1425" s="143"/>
      <c r="Q1425" s="137"/>
      <c r="R1425" s="137"/>
      <c r="S1425" s="137"/>
      <c r="T1425" s="137"/>
      <c r="U1425" s="137"/>
      <c r="V1425" s="137"/>
      <c r="W1425" s="137"/>
      <c r="X1425" s="137"/>
      <c r="Y1425" s="137"/>
      <c r="Z1425" s="137"/>
      <c r="AA1425" s="137"/>
    </row>
    <row r="1426" spans="5:27" x14ac:dyDescent="0.35">
      <c r="E1426" s="137"/>
      <c r="F1426" s="137"/>
      <c r="G1426" s="190"/>
      <c r="H1426" s="137"/>
      <c r="I1426" s="137"/>
      <c r="J1426" s="137"/>
      <c r="M1426" s="143"/>
      <c r="N1426" s="143"/>
      <c r="O1426" s="143"/>
      <c r="P1426" s="143"/>
      <c r="Q1426" s="137"/>
      <c r="R1426" s="137"/>
      <c r="S1426" s="137"/>
      <c r="T1426" s="137"/>
      <c r="U1426" s="137"/>
      <c r="V1426" s="137"/>
      <c r="W1426" s="137"/>
      <c r="X1426" s="137"/>
      <c r="Y1426" s="137"/>
      <c r="Z1426" s="137"/>
      <c r="AA1426" s="137"/>
    </row>
    <row r="1427" spans="5:27" x14ac:dyDescent="0.35">
      <c r="E1427" s="137"/>
      <c r="F1427" s="137"/>
      <c r="G1427" s="190"/>
      <c r="H1427" s="137"/>
      <c r="I1427" s="137"/>
      <c r="J1427" s="137"/>
      <c r="M1427" s="143"/>
      <c r="N1427" s="143"/>
      <c r="O1427" s="143"/>
      <c r="P1427" s="143"/>
      <c r="Q1427" s="137"/>
      <c r="R1427" s="137"/>
      <c r="S1427" s="137"/>
      <c r="T1427" s="137"/>
      <c r="U1427" s="137"/>
      <c r="V1427" s="137"/>
      <c r="W1427" s="137"/>
      <c r="X1427" s="137"/>
      <c r="Y1427" s="137"/>
      <c r="Z1427" s="137"/>
      <c r="AA1427" s="137"/>
    </row>
    <row r="1428" spans="5:27" x14ac:dyDescent="0.35">
      <c r="E1428" s="137"/>
      <c r="F1428" s="137"/>
      <c r="G1428" s="190"/>
      <c r="H1428" s="137"/>
      <c r="I1428" s="137"/>
      <c r="J1428" s="137"/>
      <c r="M1428" s="143"/>
      <c r="N1428" s="143"/>
      <c r="O1428" s="143"/>
      <c r="P1428" s="143"/>
      <c r="Q1428" s="137"/>
      <c r="R1428" s="137"/>
      <c r="S1428" s="137"/>
      <c r="T1428" s="137"/>
      <c r="U1428" s="137"/>
      <c r="V1428" s="137"/>
      <c r="W1428" s="137"/>
      <c r="X1428" s="137"/>
      <c r="Y1428" s="137"/>
      <c r="Z1428" s="137"/>
      <c r="AA1428" s="137"/>
    </row>
    <row r="1429" spans="5:27" x14ac:dyDescent="0.35">
      <c r="E1429" s="137"/>
      <c r="F1429" s="137"/>
      <c r="G1429" s="190"/>
      <c r="H1429" s="137"/>
      <c r="I1429" s="137"/>
      <c r="J1429" s="137"/>
      <c r="M1429" s="143"/>
      <c r="N1429" s="143"/>
      <c r="O1429" s="143"/>
      <c r="P1429" s="143"/>
      <c r="Q1429" s="137"/>
      <c r="R1429" s="137"/>
      <c r="S1429" s="137"/>
      <c r="T1429" s="137"/>
      <c r="U1429" s="137"/>
      <c r="V1429" s="137"/>
      <c r="W1429" s="137"/>
      <c r="X1429" s="137"/>
      <c r="Y1429" s="137"/>
      <c r="Z1429" s="137"/>
      <c r="AA1429" s="137"/>
    </row>
    <row r="1430" spans="5:27" x14ac:dyDescent="0.35">
      <c r="E1430" s="137"/>
      <c r="F1430" s="137"/>
      <c r="G1430" s="190"/>
      <c r="H1430" s="137"/>
      <c r="I1430" s="137"/>
      <c r="J1430" s="137"/>
      <c r="M1430" s="143"/>
      <c r="N1430" s="143"/>
      <c r="O1430" s="143"/>
      <c r="P1430" s="143"/>
      <c r="Q1430" s="137"/>
      <c r="R1430" s="137"/>
      <c r="S1430" s="137"/>
      <c r="T1430" s="137"/>
      <c r="U1430" s="137"/>
      <c r="V1430" s="137"/>
      <c r="W1430" s="137"/>
      <c r="X1430" s="137"/>
      <c r="Y1430" s="137"/>
      <c r="Z1430" s="137"/>
      <c r="AA1430" s="137"/>
    </row>
    <row r="1431" spans="5:27" x14ac:dyDescent="0.35">
      <c r="E1431" s="137"/>
      <c r="F1431" s="137"/>
      <c r="G1431" s="190"/>
      <c r="H1431" s="137"/>
      <c r="I1431" s="137"/>
      <c r="J1431" s="137"/>
      <c r="M1431" s="143"/>
      <c r="N1431" s="143"/>
      <c r="O1431" s="143"/>
      <c r="P1431" s="143"/>
      <c r="Q1431" s="137"/>
      <c r="R1431" s="137"/>
      <c r="S1431" s="137"/>
      <c r="T1431" s="137"/>
      <c r="U1431" s="137"/>
      <c r="V1431" s="137"/>
      <c r="W1431" s="137"/>
      <c r="X1431" s="137"/>
      <c r="Y1431" s="137"/>
      <c r="Z1431" s="137"/>
      <c r="AA1431" s="137"/>
    </row>
    <row r="1432" spans="5:27" x14ac:dyDescent="0.35">
      <c r="E1432" s="137"/>
      <c r="F1432" s="137"/>
      <c r="G1432" s="190"/>
      <c r="H1432" s="137"/>
      <c r="I1432" s="137"/>
      <c r="J1432" s="137"/>
      <c r="M1432" s="143"/>
      <c r="N1432" s="143"/>
      <c r="O1432" s="143"/>
      <c r="P1432" s="143"/>
      <c r="Q1432" s="137"/>
      <c r="R1432" s="137"/>
      <c r="S1432" s="137"/>
      <c r="T1432" s="137"/>
      <c r="U1432" s="137"/>
      <c r="V1432" s="137"/>
      <c r="W1432" s="137"/>
      <c r="X1432" s="137"/>
      <c r="Y1432" s="137"/>
      <c r="Z1432" s="137"/>
      <c r="AA1432" s="137"/>
    </row>
    <row r="1433" spans="5:27" x14ac:dyDescent="0.35">
      <c r="E1433" s="137"/>
      <c r="F1433" s="137"/>
      <c r="G1433" s="190"/>
      <c r="H1433" s="137"/>
      <c r="I1433" s="137"/>
      <c r="J1433" s="137"/>
      <c r="M1433" s="143"/>
      <c r="N1433" s="143"/>
      <c r="O1433" s="143"/>
      <c r="P1433" s="143"/>
      <c r="Q1433" s="137"/>
      <c r="R1433" s="137"/>
      <c r="S1433" s="137"/>
      <c r="T1433" s="137"/>
      <c r="U1433" s="137"/>
      <c r="V1433" s="137"/>
      <c r="W1433" s="137"/>
      <c r="X1433" s="137"/>
      <c r="Y1433" s="137"/>
      <c r="Z1433" s="137"/>
      <c r="AA1433" s="137"/>
    </row>
    <row r="1434" spans="5:27" x14ac:dyDescent="0.35">
      <c r="E1434" s="137"/>
      <c r="F1434" s="137"/>
      <c r="G1434" s="190"/>
      <c r="H1434" s="137"/>
      <c r="I1434" s="137"/>
      <c r="J1434" s="137"/>
      <c r="M1434" s="143"/>
      <c r="N1434" s="143"/>
      <c r="O1434" s="143"/>
      <c r="P1434" s="143"/>
      <c r="Q1434" s="137"/>
      <c r="R1434" s="137"/>
      <c r="S1434" s="137"/>
      <c r="T1434" s="137"/>
      <c r="U1434" s="137"/>
      <c r="V1434" s="137"/>
      <c r="W1434" s="137"/>
      <c r="X1434" s="137"/>
      <c r="Y1434" s="137"/>
      <c r="Z1434" s="137"/>
      <c r="AA1434" s="137"/>
    </row>
    <row r="1435" spans="5:27" x14ac:dyDescent="0.35">
      <c r="E1435" s="137"/>
      <c r="F1435" s="137"/>
      <c r="G1435" s="190"/>
      <c r="H1435" s="137"/>
      <c r="I1435" s="137"/>
      <c r="J1435" s="137"/>
      <c r="M1435" s="143"/>
      <c r="N1435" s="143"/>
      <c r="O1435" s="143"/>
      <c r="P1435" s="143"/>
      <c r="Q1435" s="137"/>
      <c r="R1435" s="137"/>
      <c r="S1435" s="137"/>
      <c r="T1435" s="137"/>
      <c r="U1435" s="137"/>
      <c r="V1435" s="137"/>
      <c r="W1435" s="137"/>
      <c r="X1435" s="137"/>
      <c r="Y1435" s="137"/>
      <c r="Z1435" s="137"/>
      <c r="AA1435" s="137"/>
    </row>
    <row r="1436" spans="5:27" x14ac:dyDescent="0.35">
      <c r="E1436" s="137"/>
      <c r="F1436" s="137"/>
      <c r="G1436" s="190"/>
      <c r="H1436" s="137"/>
      <c r="I1436" s="137"/>
      <c r="J1436" s="137"/>
      <c r="M1436" s="143"/>
      <c r="N1436" s="143"/>
      <c r="O1436" s="143"/>
      <c r="P1436" s="143"/>
      <c r="Q1436" s="137"/>
      <c r="R1436" s="137"/>
      <c r="S1436" s="137"/>
      <c r="T1436" s="137"/>
      <c r="U1436" s="137"/>
      <c r="V1436" s="137"/>
      <c r="W1436" s="137"/>
      <c r="X1436" s="137"/>
      <c r="Y1436" s="137"/>
      <c r="Z1436" s="137"/>
      <c r="AA1436" s="137"/>
    </row>
    <row r="1437" spans="5:27" x14ac:dyDescent="0.35">
      <c r="E1437" s="137"/>
      <c r="F1437" s="137"/>
      <c r="G1437" s="190"/>
      <c r="H1437" s="137"/>
      <c r="I1437" s="137"/>
      <c r="J1437" s="137"/>
      <c r="M1437" s="143"/>
      <c r="N1437" s="143"/>
      <c r="O1437" s="143"/>
      <c r="P1437" s="143"/>
      <c r="Q1437" s="137"/>
      <c r="R1437" s="137"/>
      <c r="S1437" s="137"/>
      <c r="T1437" s="137"/>
      <c r="U1437" s="137"/>
      <c r="V1437" s="137"/>
      <c r="W1437" s="137"/>
      <c r="X1437" s="137"/>
      <c r="Y1437" s="137"/>
      <c r="Z1437" s="137"/>
      <c r="AA1437" s="137"/>
    </row>
    <row r="1438" spans="5:27" x14ac:dyDescent="0.35">
      <c r="E1438" s="137"/>
      <c r="F1438" s="137"/>
      <c r="G1438" s="190"/>
      <c r="H1438" s="137"/>
      <c r="I1438" s="137"/>
      <c r="J1438" s="137"/>
      <c r="M1438" s="143"/>
      <c r="N1438" s="143"/>
      <c r="O1438" s="143"/>
      <c r="P1438" s="143"/>
      <c r="Q1438" s="137"/>
      <c r="R1438" s="137"/>
      <c r="S1438" s="137"/>
      <c r="T1438" s="137"/>
      <c r="U1438" s="137"/>
      <c r="V1438" s="137"/>
      <c r="W1438" s="137"/>
      <c r="X1438" s="137"/>
      <c r="Y1438" s="137"/>
      <c r="Z1438" s="137"/>
      <c r="AA1438" s="137"/>
    </row>
    <row r="1439" spans="5:27" x14ac:dyDescent="0.35">
      <c r="E1439" s="137"/>
      <c r="F1439" s="137"/>
      <c r="G1439" s="190"/>
      <c r="H1439" s="137"/>
      <c r="I1439" s="137"/>
      <c r="J1439" s="137"/>
      <c r="M1439" s="143"/>
      <c r="N1439" s="143"/>
      <c r="O1439" s="143"/>
      <c r="P1439" s="143"/>
      <c r="Q1439" s="137"/>
      <c r="R1439" s="137"/>
      <c r="S1439" s="137"/>
      <c r="T1439" s="137"/>
      <c r="U1439" s="137"/>
      <c r="V1439" s="137"/>
      <c r="W1439" s="137"/>
      <c r="X1439" s="137"/>
      <c r="Y1439" s="137"/>
      <c r="Z1439" s="137"/>
      <c r="AA1439" s="137"/>
    </row>
    <row r="1440" spans="5:27" x14ac:dyDescent="0.35">
      <c r="E1440" s="137"/>
      <c r="F1440" s="137"/>
      <c r="G1440" s="190"/>
      <c r="H1440" s="137"/>
      <c r="I1440" s="137"/>
      <c r="J1440" s="137"/>
      <c r="M1440" s="143"/>
      <c r="N1440" s="143"/>
      <c r="O1440" s="143"/>
      <c r="P1440" s="143"/>
      <c r="Q1440" s="137"/>
      <c r="R1440" s="137"/>
      <c r="S1440" s="137"/>
      <c r="T1440" s="137"/>
      <c r="U1440" s="137"/>
      <c r="V1440" s="137"/>
      <c r="W1440" s="137"/>
      <c r="X1440" s="137"/>
      <c r="Y1440" s="137"/>
      <c r="Z1440" s="137"/>
      <c r="AA1440" s="137"/>
    </row>
    <row r="1441" spans="5:27" x14ac:dyDescent="0.35">
      <c r="E1441" s="137"/>
      <c r="F1441" s="137"/>
      <c r="G1441" s="190"/>
      <c r="H1441" s="137"/>
      <c r="I1441" s="137"/>
      <c r="J1441" s="137"/>
      <c r="M1441" s="143"/>
      <c r="N1441" s="143"/>
      <c r="O1441" s="143"/>
      <c r="P1441" s="143"/>
      <c r="Q1441" s="137"/>
      <c r="R1441" s="137"/>
      <c r="S1441" s="137"/>
      <c r="T1441" s="137"/>
      <c r="U1441" s="137"/>
      <c r="V1441" s="137"/>
      <c r="W1441" s="137"/>
      <c r="X1441" s="137"/>
      <c r="Y1441" s="137"/>
      <c r="Z1441" s="137"/>
      <c r="AA1441" s="137"/>
    </row>
    <row r="1442" spans="5:27" x14ac:dyDescent="0.35">
      <c r="E1442" s="137"/>
      <c r="F1442" s="137"/>
      <c r="G1442" s="190"/>
      <c r="H1442" s="137"/>
      <c r="I1442" s="137"/>
      <c r="J1442" s="137"/>
      <c r="M1442" s="143"/>
      <c r="N1442" s="143"/>
      <c r="O1442" s="143"/>
      <c r="P1442" s="143"/>
      <c r="Q1442" s="137"/>
      <c r="R1442" s="137"/>
      <c r="S1442" s="137"/>
      <c r="T1442" s="137"/>
      <c r="U1442" s="137"/>
      <c r="V1442" s="137"/>
      <c r="W1442" s="137"/>
      <c r="X1442" s="137"/>
      <c r="Y1442" s="137"/>
      <c r="Z1442" s="137"/>
      <c r="AA1442" s="137"/>
    </row>
    <row r="1443" spans="5:27" x14ac:dyDescent="0.35">
      <c r="E1443" s="137"/>
      <c r="F1443" s="137"/>
      <c r="G1443" s="190"/>
      <c r="H1443" s="137"/>
      <c r="I1443" s="137"/>
      <c r="J1443" s="137"/>
      <c r="M1443" s="143"/>
      <c r="N1443" s="143"/>
      <c r="O1443" s="143"/>
      <c r="P1443" s="143"/>
      <c r="Q1443" s="137"/>
      <c r="R1443" s="137"/>
      <c r="S1443" s="137"/>
      <c r="T1443" s="137"/>
      <c r="U1443" s="137"/>
      <c r="V1443" s="137"/>
      <c r="W1443" s="137"/>
      <c r="X1443" s="137"/>
      <c r="Y1443" s="137"/>
      <c r="Z1443" s="137"/>
      <c r="AA1443" s="137"/>
    </row>
    <row r="1444" spans="5:27" x14ac:dyDescent="0.35">
      <c r="E1444" s="137"/>
      <c r="F1444" s="137"/>
      <c r="G1444" s="190"/>
      <c r="H1444" s="137"/>
      <c r="I1444" s="137"/>
      <c r="J1444" s="137"/>
      <c r="M1444" s="143"/>
      <c r="N1444" s="143"/>
      <c r="O1444" s="143"/>
      <c r="P1444" s="143"/>
      <c r="Q1444" s="137"/>
      <c r="R1444" s="137"/>
      <c r="S1444" s="137"/>
      <c r="T1444" s="137"/>
      <c r="U1444" s="137"/>
      <c r="V1444" s="137"/>
      <c r="W1444" s="137"/>
      <c r="X1444" s="137"/>
      <c r="Y1444" s="137"/>
      <c r="Z1444" s="137"/>
      <c r="AA1444" s="137"/>
    </row>
    <row r="1445" spans="5:27" x14ac:dyDescent="0.35">
      <c r="E1445" s="137"/>
      <c r="F1445" s="137"/>
      <c r="G1445" s="190"/>
      <c r="H1445" s="137"/>
      <c r="I1445" s="137"/>
      <c r="J1445" s="137"/>
      <c r="M1445" s="143"/>
      <c r="N1445" s="143"/>
      <c r="O1445" s="143"/>
      <c r="P1445" s="143"/>
      <c r="Q1445" s="137"/>
      <c r="R1445" s="137"/>
      <c r="S1445" s="137"/>
      <c r="T1445" s="137"/>
      <c r="U1445" s="137"/>
      <c r="V1445" s="137"/>
      <c r="W1445" s="137"/>
      <c r="X1445" s="137"/>
      <c r="Y1445" s="137"/>
      <c r="Z1445" s="137"/>
      <c r="AA1445" s="137"/>
    </row>
    <row r="1446" spans="5:27" x14ac:dyDescent="0.35">
      <c r="E1446" s="137"/>
      <c r="F1446" s="137"/>
      <c r="G1446" s="190"/>
      <c r="H1446" s="137"/>
      <c r="I1446" s="137"/>
      <c r="J1446" s="137"/>
      <c r="M1446" s="143"/>
      <c r="N1446" s="143"/>
      <c r="O1446" s="143"/>
      <c r="P1446" s="143"/>
      <c r="Q1446" s="137"/>
      <c r="R1446" s="137"/>
      <c r="S1446" s="137"/>
      <c r="T1446" s="137"/>
      <c r="U1446" s="137"/>
      <c r="V1446" s="137"/>
      <c r="W1446" s="137"/>
      <c r="X1446" s="137"/>
      <c r="Y1446" s="137"/>
      <c r="Z1446" s="137"/>
      <c r="AA1446" s="137"/>
    </row>
    <row r="1447" spans="5:27" x14ac:dyDescent="0.35">
      <c r="E1447" s="137"/>
      <c r="F1447" s="137"/>
      <c r="G1447" s="190"/>
      <c r="H1447" s="137"/>
      <c r="I1447" s="137"/>
      <c r="J1447" s="137"/>
      <c r="M1447" s="143"/>
      <c r="N1447" s="143"/>
      <c r="O1447" s="143"/>
      <c r="P1447" s="143"/>
      <c r="Q1447" s="137"/>
      <c r="R1447" s="137"/>
      <c r="S1447" s="137"/>
      <c r="T1447" s="137"/>
      <c r="U1447" s="137"/>
      <c r="V1447" s="137"/>
      <c r="W1447" s="137"/>
      <c r="X1447" s="137"/>
      <c r="Y1447" s="137"/>
      <c r="Z1447" s="137"/>
      <c r="AA1447" s="137"/>
    </row>
    <row r="1448" spans="5:27" x14ac:dyDescent="0.35">
      <c r="E1448" s="137"/>
      <c r="F1448" s="137"/>
      <c r="G1448" s="190"/>
      <c r="H1448" s="137"/>
      <c r="I1448" s="137"/>
      <c r="J1448" s="137"/>
      <c r="M1448" s="143"/>
      <c r="N1448" s="143"/>
      <c r="O1448" s="143"/>
      <c r="P1448" s="143"/>
      <c r="Q1448" s="137"/>
      <c r="R1448" s="137"/>
      <c r="S1448" s="137"/>
      <c r="T1448" s="137"/>
      <c r="U1448" s="137"/>
      <c r="V1448" s="137"/>
      <c r="W1448" s="137"/>
      <c r="X1448" s="137"/>
      <c r="Y1448" s="137"/>
      <c r="Z1448" s="137"/>
      <c r="AA1448" s="137"/>
    </row>
    <row r="1449" spans="5:27" x14ac:dyDescent="0.35">
      <c r="E1449" s="137"/>
      <c r="F1449" s="137"/>
      <c r="G1449" s="190"/>
      <c r="H1449" s="137"/>
      <c r="I1449" s="137"/>
      <c r="J1449" s="137"/>
      <c r="M1449" s="143"/>
      <c r="N1449" s="143"/>
      <c r="O1449" s="143"/>
      <c r="P1449" s="143"/>
      <c r="Q1449" s="137"/>
      <c r="R1449" s="137"/>
      <c r="S1449" s="137"/>
      <c r="T1449" s="137"/>
      <c r="U1449" s="137"/>
      <c r="V1449" s="137"/>
      <c r="W1449" s="137"/>
      <c r="X1449" s="137"/>
      <c r="Y1449" s="137"/>
      <c r="Z1449" s="137"/>
      <c r="AA1449" s="137"/>
    </row>
    <row r="1450" spans="5:27" x14ac:dyDescent="0.35">
      <c r="E1450" s="137"/>
      <c r="F1450" s="137"/>
      <c r="G1450" s="190"/>
      <c r="H1450" s="137"/>
      <c r="I1450" s="137"/>
      <c r="J1450" s="137"/>
      <c r="M1450" s="143"/>
      <c r="N1450" s="143"/>
      <c r="O1450" s="143"/>
      <c r="P1450" s="143"/>
      <c r="Q1450" s="137"/>
      <c r="R1450" s="137"/>
      <c r="S1450" s="137"/>
      <c r="T1450" s="137"/>
      <c r="U1450" s="137"/>
      <c r="V1450" s="137"/>
      <c r="W1450" s="137"/>
      <c r="X1450" s="137"/>
      <c r="Y1450" s="137"/>
      <c r="Z1450" s="137"/>
      <c r="AA1450" s="137"/>
    </row>
    <row r="1451" spans="5:27" x14ac:dyDescent="0.35">
      <c r="E1451" s="137"/>
      <c r="F1451" s="137"/>
      <c r="G1451" s="190"/>
      <c r="H1451" s="137"/>
      <c r="I1451" s="137"/>
      <c r="J1451" s="137"/>
      <c r="M1451" s="143"/>
      <c r="N1451" s="143"/>
      <c r="O1451" s="143"/>
      <c r="P1451" s="143"/>
      <c r="Q1451" s="137"/>
      <c r="R1451" s="137"/>
      <c r="S1451" s="137"/>
      <c r="T1451" s="137"/>
      <c r="U1451" s="137"/>
      <c r="V1451" s="137"/>
      <c r="W1451" s="137"/>
      <c r="X1451" s="137"/>
      <c r="Y1451" s="137"/>
      <c r="Z1451" s="137"/>
      <c r="AA1451" s="137"/>
    </row>
    <row r="1452" spans="5:27" x14ac:dyDescent="0.35">
      <c r="E1452" s="137"/>
      <c r="F1452" s="137"/>
      <c r="G1452" s="190"/>
      <c r="H1452" s="137"/>
      <c r="I1452" s="137"/>
      <c r="J1452" s="137"/>
      <c r="M1452" s="143"/>
      <c r="N1452" s="143"/>
      <c r="O1452" s="143"/>
      <c r="P1452" s="143"/>
      <c r="Q1452" s="137"/>
      <c r="R1452" s="137"/>
      <c r="S1452" s="137"/>
      <c r="T1452" s="137"/>
      <c r="U1452" s="137"/>
      <c r="V1452" s="137"/>
      <c r="W1452" s="137"/>
      <c r="X1452" s="137"/>
      <c r="Y1452" s="137"/>
      <c r="Z1452" s="137"/>
      <c r="AA1452" s="137"/>
    </row>
    <row r="1453" spans="5:27" x14ac:dyDescent="0.35">
      <c r="E1453" s="137"/>
      <c r="F1453" s="137"/>
      <c r="G1453" s="190"/>
      <c r="H1453" s="137"/>
      <c r="I1453" s="137"/>
      <c r="J1453" s="137"/>
      <c r="M1453" s="143"/>
      <c r="N1453" s="143"/>
      <c r="O1453" s="143"/>
      <c r="P1453" s="143"/>
      <c r="Q1453" s="137"/>
      <c r="R1453" s="137"/>
      <c r="S1453" s="137"/>
      <c r="T1453" s="137"/>
      <c r="U1453" s="137"/>
      <c r="V1453" s="137"/>
      <c r="W1453" s="137"/>
      <c r="X1453" s="137"/>
      <c r="Y1453" s="137"/>
      <c r="Z1453" s="137"/>
      <c r="AA1453" s="137"/>
    </row>
    <row r="1454" spans="5:27" x14ac:dyDescent="0.35">
      <c r="E1454" s="137"/>
      <c r="F1454" s="137"/>
      <c r="G1454" s="190"/>
      <c r="H1454" s="137"/>
      <c r="I1454" s="137"/>
      <c r="J1454" s="137"/>
      <c r="M1454" s="143"/>
      <c r="N1454" s="143"/>
      <c r="O1454" s="143"/>
      <c r="P1454" s="143"/>
      <c r="Q1454" s="137"/>
      <c r="R1454" s="137"/>
      <c r="S1454" s="137"/>
      <c r="T1454" s="137"/>
      <c r="U1454" s="137"/>
      <c r="V1454" s="137"/>
      <c r="W1454" s="137"/>
      <c r="X1454" s="137"/>
      <c r="Y1454" s="137"/>
      <c r="Z1454" s="137"/>
      <c r="AA1454" s="137"/>
    </row>
    <row r="1455" spans="5:27" x14ac:dyDescent="0.35">
      <c r="E1455" s="137"/>
      <c r="F1455" s="137"/>
      <c r="G1455" s="190"/>
      <c r="H1455" s="137"/>
      <c r="I1455" s="137"/>
      <c r="J1455" s="137"/>
      <c r="M1455" s="143"/>
      <c r="N1455" s="143"/>
      <c r="O1455" s="143"/>
      <c r="P1455" s="143"/>
      <c r="Q1455" s="137"/>
      <c r="R1455" s="137"/>
      <c r="S1455" s="137"/>
      <c r="T1455" s="137"/>
      <c r="U1455" s="137"/>
      <c r="V1455" s="137"/>
      <c r="W1455" s="137"/>
      <c r="X1455" s="137"/>
      <c r="Y1455" s="137"/>
      <c r="Z1455" s="137"/>
      <c r="AA1455" s="137"/>
    </row>
    <row r="1456" spans="5:27" x14ac:dyDescent="0.35">
      <c r="E1456" s="137"/>
      <c r="F1456" s="137"/>
      <c r="G1456" s="190"/>
      <c r="H1456" s="137"/>
      <c r="I1456" s="137"/>
      <c r="J1456" s="137"/>
      <c r="M1456" s="143"/>
      <c r="N1456" s="143"/>
      <c r="O1456" s="143"/>
      <c r="P1456" s="143"/>
      <c r="Q1456" s="137"/>
      <c r="R1456" s="137"/>
      <c r="S1456" s="137"/>
      <c r="T1456" s="137"/>
      <c r="U1456" s="137"/>
      <c r="V1456" s="137"/>
      <c r="W1456" s="137"/>
      <c r="X1456" s="137"/>
      <c r="Y1456" s="137"/>
      <c r="Z1456" s="137"/>
      <c r="AA1456" s="137"/>
    </row>
    <row r="1457" spans="5:27" x14ac:dyDescent="0.35">
      <c r="E1457" s="137"/>
      <c r="F1457" s="137"/>
      <c r="G1457" s="190"/>
      <c r="H1457" s="137"/>
      <c r="I1457" s="137"/>
      <c r="J1457" s="137"/>
      <c r="M1457" s="143"/>
      <c r="N1457" s="143"/>
      <c r="O1457" s="143"/>
      <c r="P1457" s="143"/>
      <c r="Q1457" s="137"/>
      <c r="R1457" s="137"/>
      <c r="S1457" s="137"/>
      <c r="T1457" s="137"/>
      <c r="U1457" s="137"/>
      <c r="V1457" s="137"/>
      <c r="W1457" s="137"/>
      <c r="X1457" s="137"/>
      <c r="Y1457" s="137"/>
      <c r="Z1457" s="137"/>
      <c r="AA1457" s="137"/>
    </row>
    <row r="1458" spans="5:27" x14ac:dyDescent="0.35">
      <c r="E1458" s="137"/>
      <c r="F1458" s="137"/>
      <c r="G1458" s="190"/>
      <c r="H1458" s="137"/>
      <c r="I1458" s="137"/>
      <c r="J1458" s="137"/>
      <c r="M1458" s="143"/>
      <c r="N1458" s="143"/>
      <c r="O1458" s="143"/>
      <c r="P1458" s="143"/>
      <c r="Q1458" s="137"/>
      <c r="R1458" s="137"/>
      <c r="S1458" s="137"/>
      <c r="T1458" s="137"/>
      <c r="U1458" s="137"/>
      <c r="V1458" s="137"/>
      <c r="W1458" s="137"/>
      <c r="X1458" s="137"/>
      <c r="Y1458" s="137"/>
      <c r="Z1458" s="137"/>
      <c r="AA1458" s="137"/>
    </row>
    <row r="1459" spans="5:27" x14ac:dyDescent="0.35">
      <c r="E1459" s="137"/>
      <c r="F1459" s="137"/>
      <c r="G1459" s="190"/>
      <c r="H1459" s="137"/>
      <c r="I1459" s="137"/>
      <c r="J1459" s="137"/>
      <c r="M1459" s="143"/>
      <c r="N1459" s="143"/>
      <c r="O1459" s="143"/>
      <c r="P1459" s="143"/>
      <c r="Q1459" s="137"/>
      <c r="R1459" s="137"/>
      <c r="S1459" s="137"/>
      <c r="T1459" s="137"/>
      <c r="U1459" s="137"/>
      <c r="V1459" s="137"/>
      <c r="W1459" s="137"/>
      <c r="X1459" s="137"/>
      <c r="Y1459" s="137"/>
      <c r="Z1459" s="137"/>
      <c r="AA1459" s="137"/>
    </row>
    <row r="1460" spans="5:27" x14ac:dyDescent="0.35">
      <c r="E1460" s="137"/>
      <c r="F1460" s="137"/>
      <c r="G1460" s="190"/>
      <c r="H1460" s="137"/>
      <c r="I1460" s="137"/>
      <c r="J1460" s="137"/>
      <c r="M1460" s="143"/>
      <c r="N1460" s="143"/>
      <c r="O1460" s="143"/>
      <c r="P1460" s="143"/>
      <c r="Q1460" s="137"/>
      <c r="R1460" s="137"/>
      <c r="S1460" s="137"/>
      <c r="T1460" s="137"/>
      <c r="U1460" s="137"/>
      <c r="V1460" s="137"/>
      <c r="W1460" s="137"/>
      <c r="X1460" s="137"/>
      <c r="Y1460" s="137"/>
      <c r="Z1460" s="137"/>
      <c r="AA1460" s="137"/>
    </row>
    <row r="1461" spans="5:27" x14ac:dyDescent="0.35">
      <c r="E1461" s="137"/>
      <c r="F1461" s="137"/>
      <c r="G1461" s="190"/>
      <c r="H1461" s="137"/>
      <c r="I1461" s="137"/>
      <c r="J1461" s="137"/>
      <c r="M1461" s="143"/>
      <c r="N1461" s="143"/>
      <c r="O1461" s="143"/>
      <c r="P1461" s="143"/>
      <c r="Q1461" s="137"/>
      <c r="R1461" s="137"/>
      <c r="S1461" s="137"/>
      <c r="T1461" s="137"/>
      <c r="U1461" s="137"/>
      <c r="V1461" s="137"/>
      <c r="W1461" s="137"/>
      <c r="X1461" s="137"/>
      <c r="Y1461" s="137"/>
      <c r="Z1461" s="137"/>
      <c r="AA1461" s="137"/>
    </row>
    <row r="1462" spans="5:27" x14ac:dyDescent="0.35">
      <c r="E1462" s="137"/>
      <c r="F1462" s="137"/>
      <c r="G1462" s="190"/>
      <c r="H1462" s="137"/>
      <c r="I1462" s="137"/>
      <c r="J1462" s="137"/>
      <c r="M1462" s="143"/>
      <c r="N1462" s="143"/>
      <c r="O1462" s="143"/>
      <c r="P1462" s="143"/>
      <c r="Q1462" s="137"/>
      <c r="R1462" s="137"/>
      <c r="S1462" s="137"/>
      <c r="T1462" s="137"/>
      <c r="U1462" s="137"/>
      <c r="V1462" s="137"/>
      <c r="W1462" s="137"/>
      <c r="X1462" s="137"/>
      <c r="Y1462" s="137"/>
      <c r="Z1462" s="137"/>
      <c r="AA1462" s="137"/>
    </row>
    <row r="1463" spans="5:27" x14ac:dyDescent="0.35">
      <c r="E1463" s="137"/>
      <c r="F1463" s="137"/>
      <c r="G1463" s="190"/>
      <c r="H1463" s="137"/>
      <c r="I1463" s="137"/>
      <c r="J1463" s="137"/>
      <c r="M1463" s="143"/>
      <c r="N1463" s="143"/>
      <c r="O1463" s="143"/>
      <c r="P1463" s="143"/>
      <c r="Q1463" s="137"/>
      <c r="R1463" s="137"/>
      <c r="S1463" s="137"/>
      <c r="T1463" s="137"/>
      <c r="U1463" s="137"/>
      <c r="V1463" s="137"/>
      <c r="W1463" s="137"/>
      <c r="X1463" s="137"/>
      <c r="Y1463" s="137"/>
      <c r="Z1463" s="137"/>
      <c r="AA1463" s="137"/>
    </row>
    <row r="1464" spans="5:27" x14ac:dyDescent="0.35">
      <c r="E1464" s="137"/>
      <c r="F1464" s="137"/>
      <c r="G1464" s="190"/>
      <c r="H1464" s="137"/>
      <c r="I1464" s="137"/>
      <c r="J1464" s="137"/>
      <c r="M1464" s="143"/>
      <c r="N1464" s="143"/>
      <c r="O1464" s="143"/>
      <c r="P1464" s="143"/>
      <c r="Q1464" s="137"/>
      <c r="R1464" s="137"/>
      <c r="S1464" s="137"/>
      <c r="T1464" s="137"/>
      <c r="U1464" s="137"/>
      <c r="V1464" s="137"/>
      <c r="W1464" s="137"/>
      <c r="X1464" s="137"/>
      <c r="Y1464" s="137"/>
      <c r="Z1464" s="137"/>
      <c r="AA1464" s="137"/>
    </row>
    <row r="1465" spans="5:27" x14ac:dyDescent="0.35">
      <c r="E1465" s="137"/>
      <c r="F1465" s="137"/>
      <c r="G1465" s="190"/>
      <c r="H1465" s="137"/>
      <c r="I1465" s="137"/>
      <c r="J1465" s="137"/>
      <c r="M1465" s="143"/>
      <c r="N1465" s="143"/>
      <c r="O1465" s="143"/>
      <c r="P1465" s="143"/>
      <c r="Q1465" s="137"/>
      <c r="R1465" s="137"/>
      <c r="S1465" s="137"/>
      <c r="T1465" s="137"/>
      <c r="U1465" s="137"/>
      <c r="V1465" s="137"/>
      <c r="W1465" s="137"/>
      <c r="X1465" s="137"/>
      <c r="Y1465" s="137"/>
      <c r="Z1465" s="137"/>
      <c r="AA1465" s="137"/>
    </row>
    <row r="1466" spans="5:27" x14ac:dyDescent="0.35">
      <c r="E1466" s="137"/>
      <c r="F1466" s="137"/>
      <c r="G1466" s="190"/>
      <c r="H1466" s="137"/>
      <c r="I1466" s="137"/>
      <c r="J1466" s="137"/>
      <c r="M1466" s="143"/>
      <c r="N1466" s="143"/>
      <c r="O1466" s="143"/>
      <c r="P1466" s="143"/>
      <c r="Q1466" s="137"/>
      <c r="R1466" s="137"/>
      <c r="S1466" s="137"/>
      <c r="T1466" s="137"/>
      <c r="U1466" s="137"/>
      <c r="V1466" s="137"/>
      <c r="W1466" s="137"/>
      <c r="X1466" s="137"/>
      <c r="Y1466" s="137"/>
      <c r="Z1466" s="137"/>
      <c r="AA1466" s="137"/>
    </row>
    <row r="1467" spans="5:27" x14ac:dyDescent="0.35">
      <c r="E1467" s="137"/>
      <c r="F1467" s="137"/>
      <c r="G1467" s="190"/>
      <c r="H1467" s="137"/>
      <c r="I1467" s="137"/>
      <c r="J1467" s="137"/>
      <c r="M1467" s="143"/>
      <c r="N1467" s="143"/>
      <c r="O1467" s="143"/>
      <c r="P1467" s="143"/>
      <c r="Q1467" s="137"/>
      <c r="R1467" s="137"/>
      <c r="S1467" s="137"/>
      <c r="T1467" s="137"/>
      <c r="U1467" s="137"/>
      <c r="V1467" s="137"/>
      <c r="W1467" s="137"/>
      <c r="X1467" s="137"/>
      <c r="Y1467" s="137"/>
      <c r="Z1467" s="137"/>
      <c r="AA1467" s="137"/>
    </row>
    <row r="1468" spans="5:27" x14ac:dyDescent="0.35">
      <c r="E1468" s="137"/>
      <c r="F1468" s="137"/>
      <c r="G1468" s="190"/>
      <c r="H1468" s="137"/>
      <c r="I1468" s="137"/>
      <c r="J1468" s="137"/>
      <c r="M1468" s="143"/>
      <c r="N1468" s="143"/>
      <c r="O1468" s="143"/>
      <c r="P1468" s="143"/>
      <c r="Q1468" s="137"/>
      <c r="R1468" s="137"/>
      <c r="S1468" s="137"/>
      <c r="T1468" s="137"/>
      <c r="U1468" s="137"/>
      <c r="V1468" s="137"/>
      <c r="W1468" s="137"/>
      <c r="X1468" s="137"/>
      <c r="Y1468" s="137"/>
      <c r="Z1468" s="137"/>
      <c r="AA1468" s="137"/>
    </row>
    <row r="1469" spans="5:27" x14ac:dyDescent="0.35">
      <c r="E1469" s="137"/>
      <c r="F1469" s="137"/>
      <c r="G1469" s="190"/>
      <c r="H1469" s="137"/>
      <c r="I1469" s="137"/>
      <c r="J1469" s="137"/>
      <c r="M1469" s="143"/>
      <c r="N1469" s="143"/>
      <c r="O1469" s="143"/>
      <c r="P1469" s="143"/>
      <c r="Q1469" s="137"/>
      <c r="R1469" s="137"/>
      <c r="S1469" s="137"/>
      <c r="T1469" s="137"/>
      <c r="U1469" s="137"/>
      <c r="V1469" s="137"/>
      <c r="W1469" s="137"/>
      <c r="X1469" s="137"/>
      <c r="Y1469" s="137"/>
      <c r="Z1469" s="137"/>
      <c r="AA1469" s="137"/>
    </row>
    <row r="1470" spans="5:27" x14ac:dyDescent="0.35">
      <c r="E1470" s="137"/>
      <c r="F1470" s="137"/>
      <c r="G1470" s="190"/>
      <c r="H1470" s="137"/>
      <c r="I1470" s="137"/>
      <c r="J1470" s="137"/>
      <c r="M1470" s="143"/>
      <c r="N1470" s="143"/>
      <c r="O1470" s="143"/>
      <c r="P1470" s="143"/>
      <c r="Q1470" s="137"/>
      <c r="R1470" s="137"/>
      <c r="S1470" s="137"/>
      <c r="T1470" s="137"/>
      <c r="U1470" s="137"/>
      <c r="V1470" s="137"/>
      <c r="W1470" s="137"/>
      <c r="X1470" s="137"/>
      <c r="Y1470" s="137"/>
      <c r="Z1470" s="137"/>
      <c r="AA1470" s="137"/>
    </row>
    <row r="1471" spans="5:27" x14ac:dyDescent="0.35">
      <c r="E1471" s="137"/>
      <c r="F1471" s="137"/>
      <c r="G1471" s="190"/>
      <c r="H1471" s="137"/>
      <c r="I1471" s="137"/>
      <c r="J1471" s="137"/>
      <c r="M1471" s="143"/>
      <c r="N1471" s="143"/>
      <c r="O1471" s="143"/>
      <c r="P1471" s="143"/>
      <c r="Q1471" s="137"/>
      <c r="R1471" s="137"/>
      <c r="S1471" s="137"/>
      <c r="T1471" s="137"/>
      <c r="U1471" s="137"/>
      <c r="V1471" s="137"/>
      <c r="W1471" s="137"/>
      <c r="X1471" s="137"/>
      <c r="Y1471" s="137"/>
      <c r="Z1471" s="137"/>
      <c r="AA1471" s="137"/>
    </row>
    <row r="1472" spans="5:27" x14ac:dyDescent="0.35">
      <c r="E1472" s="137"/>
      <c r="F1472" s="137"/>
      <c r="G1472" s="190"/>
      <c r="H1472" s="137"/>
      <c r="I1472" s="137"/>
      <c r="J1472" s="137"/>
      <c r="M1472" s="143"/>
      <c r="N1472" s="143"/>
      <c r="O1472" s="143"/>
      <c r="P1472" s="143"/>
      <c r="Q1472" s="137"/>
      <c r="R1472" s="137"/>
      <c r="S1472" s="137"/>
      <c r="T1472" s="137"/>
      <c r="U1472" s="137"/>
      <c r="V1472" s="137"/>
      <c r="W1472" s="137"/>
      <c r="X1472" s="137"/>
      <c r="Y1472" s="137"/>
      <c r="Z1472" s="137"/>
      <c r="AA1472" s="137"/>
    </row>
    <row r="1473" spans="5:27" x14ac:dyDescent="0.35">
      <c r="E1473" s="137"/>
      <c r="F1473" s="137"/>
      <c r="G1473" s="190"/>
      <c r="H1473" s="137"/>
      <c r="I1473" s="137"/>
      <c r="J1473" s="137"/>
      <c r="M1473" s="143"/>
      <c r="N1473" s="143"/>
      <c r="O1473" s="143"/>
      <c r="P1473" s="143"/>
      <c r="Q1473" s="137"/>
      <c r="R1473" s="137"/>
      <c r="S1473" s="137"/>
      <c r="T1473" s="137"/>
      <c r="U1473" s="137"/>
      <c r="V1473" s="137"/>
      <c r="W1473" s="137"/>
      <c r="X1473" s="137"/>
      <c r="Y1473" s="137"/>
      <c r="Z1473" s="137"/>
      <c r="AA1473" s="137"/>
    </row>
    <row r="1474" spans="5:27" x14ac:dyDescent="0.35">
      <c r="E1474" s="137"/>
      <c r="F1474" s="137"/>
      <c r="G1474" s="190"/>
      <c r="H1474" s="137"/>
      <c r="I1474" s="137"/>
      <c r="J1474" s="137"/>
      <c r="M1474" s="143"/>
      <c r="N1474" s="143"/>
      <c r="O1474" s="143"/>
      <c r="P1474" s="143"/>
      <c r="Q1474" s="137"/>
      <c r="R1474" s="137"/>
      <c r="S1474" s="137"/>
      <c r="T1474" s="137"/>
      <c r="U1474" s="137"/>
      <c r="V1474" s="137"/>
      <c r="W1474" s="137"/>
      <c r="X1474" s="137"/>
      <c r="Y1474" s="137"/>
      <c r="Z1474" s="137"/>
      <c r="AA1474" s="137"/>
    </row>
    <row r="1475" spans="5:27" x14ac:dyDescent="0.35">
      <c r="E1475" s="137"/>
      <c r="F1475" s="137"/>
      <c r="G1475" s="190"/>
      <c r="H1475" s="137"/>
      <c r="I1475" s="137"/>
      <c r="J1475" s="137"/>
      <c r="M1475" s="143"/>
      <c r="N1475" s="143"/>
      <c r="O1475" s="143"/>
      <c r="P1475" s="143"/>
      <c r="Q1475" s="137"/>
      <c r="R1475" s="137"/>
      <c r="S1475" s="137"/>
      <c r="T1475" s="137"/>
      <c r="U1475" s="137"/>
      <c r="V1475" s="137"/>
      <c r="W1475" s="137"/>
      <c r="X1475" s="137"/>
      <c r="Y1475" s="137"/>
      <c r="Z1475" s="137"/>
      <c r="AA1475" s="137"/>
    </row>
    <row r="1476" spans="5:27" x14ac:dyDescent="0.35">
      <c r="E1476" s="137"/>
      <c r="F1476" s="137"/>
      <c r="G1476" s="190"/>
      <c r="H1476" s="137"/>
      <c r="I1476" s="137"/>
      <c r="J1476" s="137"/>
      <c r="M1476" s="143"/>
      <c r="N1476" s="143"/>
      <c r="O1476" s="143"/>
      <c r="P1476" s="143"/>
      <c r="Q1476" s="137"/>
      <c r="R1476" s="137"/>
      <c r="S1476" s="137"/>
      <c r="T1476" s="137"/>
      <c r="U1476" s="137"/>
      <c r="V1476" s="137"/>
      <c r="W1476" s="137"/>
      <c r="X1476" s="137"/>
      <c r="Y1476" s="137"/>
      <c r="Z1476" s="137"/>
      <c r="AA1476" s="137"/>
    </row>
    <row r="1477" spans="5:27" x14ac:dyDescent="0.35">
      <c r="E1477" s="137"/>
      <c r="F1477" s="137"/>
      <c r="G1477" s="190"/>
      <c r="H1477" s="137"/>
      <c r="I1477" s="137"/>
      <c r="J1477" s="137"/>
      <c r="M1477" s="143"/>
      <c r="N1477" s="143"/>
      <c r="O1477" s="143"/>
      <c r="P1477" s="143"/>
      <c r="Q1477" s="137"/>
      <c r="R1477" s="137"/>
      <c r="S1477" s="137"/>
      <c r="T1477" s="137"/>
      <c r="U1477" s="137"/>
      <c r="V1477" s="137"/>
      <c r="W1477" s="137"/>
      <c r="X1477" s="137"/>
      <c r="Y1477" s="137"/>
      <c r="Z1477" s="137"/>
      <c r="AA1477" s="137"/>
    </row>
    <row r="1478" spans="5:27" x14ac:dyDescent="0.35">
      <c r="E1478" s="137"/>
      <c r="F1478" s="137"/>
      <c r="G1478" s="190"/>
      <c r="H1478" s="137"/>
      <c r="I1478" s="137"/>
      <c r="J1478" s="137"/>
      <c r="M1478" s="143"/>
      <c r="N1478" s="143"/>
      <c r="O1478" s="143"/>
      <c r="P1478" s="143"/>
      <c r="Q1478" s="137"/>
      <c r="R1478" s="137"/>
      <c r="S1478" s="137"/>
      <c r="T1478" s="137"/>
      <c r="U1478" s="137"/>
      <c r="V1478" s="137"/>
      <c r="W1478" s="137"/>
      <c r="X1478" s="137"/>
      <c r="Y1478" s="137"/>
      <c r="Z1478" s="137"/>
      <c r="AA1478" s="137"/>
    </row>
    <row r="1479" spans="5:27" x14ac:dyDescent="0.35">
      <c r="E1479" s="137"/>
      <c r="F1479" s="137"/>
      <c r="G1479" s="190"/>
      <c r="H1479" s="137"/>
      <c r="I1479" s="137"/>
      <c r="J1479" s="137"/>
      <c r="M1479" s="143"/>
      <c r="N1479" s="143"/>
      <c r="O1479" s="143"/>
      <c r="P1479" s="143"/>
      <c r="Q1479" s="137"/>
      <c r="R1479" s="137"/>
      <c r="S1479" s="137"/>
      <c r="T1479" s="137"/>
      <c r="U1479" s="137"/>
      <c r="V1479" s="137"/>
      <c r="W1479" s="137"/>
      <c r="X1479" s="137"/>
      <c r="Y1479" s="137"/>
      <c r="Z1479" s="137"/>
      <c r="AA1479" s="137"/>
    </row>
    <row r="1480" spans="5:27" x14ac:dyDescent="0.35">
      <c r="E1480" s="137"/>
      <c r="F1480" s="137"/>
      <c r="G1480" s="190"/>
      <c r="H1480" s="137"/>
      <c r="I1480" s="137"/>
      <c r="J1480" s="137"/>
      <c r="M1480" s="143"/>
      <c r="N1480" s="143"/>
      <c r="O1480" s="143"/>
      <c r="P1480" s="143"/>
      <c r="Q1480" s="137"/>
      <c r="R1480" s="137"/>
      <c r="S1480" s="137"/>
      <c r="T1480" s="137"/>
      <c r="U1480" s="137"/>
      <c r="V1480" s="137"/>
      <c r="W1480" s="137"/>
      <c r="X1480" s="137"/>
      <c r="Y1480" s="137"/>
      <c r="Z1480" s="137"/>
      <c r="AA1480" s="137"/>
    </row>
    <row r="1481" spans="5:27" x14ac:dyDescent="0.35">
      <c r="E1481" s="137"/>
      <c r="F1481" s="137"/>
      <c r="G1481" s="190"/>
      <c r="H1481" s="137"/>
      <c r="I1481" s="137"/>
      <c r="J1481" s="137"/>
      <c r="M1481" s="143"/>
      <c r="N1481" s="143"/>
      <c r="O1481" s="143"/>
      <c r="P1481" s="143"/>
      <c r="Q1481" s="137"/>
      <c r="R1481" s="137"/>
      <c r="S1481" s="137"/>
      <c r="T1481" s="137"/>
      <c r="U1481" s="137"/>
      <c r="V1481" s="137"/>
      <c r="W1481" s="137"/>
      <c r="X1481" s="137"/>
      <c r="Y1481" s="137"/>
      <c r="Z1481" s="137"/>
      <c r="AA1481" s="137"/>
    </row>
    <row r="1482" spans="5:27" x14ac:dyDescent="0.35">
      <c r="E1482" s="137"/>
      <c r="F1482" s="137"/>
      <c r="G1482" s="190"/>
      <c r="H1482" s="137"/>
      <c r="I1482" s="137"/>
      <c r="J1482" s="137"/>
      <c r="M1482" s="143"/>
      <c r="N1482" s="143"/>
      <c r="O1482" s="143"/>
      <c r="P1482" s="143"/>
      <c r="Q1482" s="137"/>
      <c r="R1482" s="137"/>
      <c r="S1482" s="137"/>
      <c r="T1482" s="137"/>
      <c r="U1482" s="137"/>
      <c r="V1482" s="137"/>
      <c r="W1482" s="137"/>
      <c r="X1482" s="137"/>
      <c r="Y1482" s="137"/>
      <c r="Z1482" s="137"/>
      <c r="AA1482" s="137"/>
    </row>
    <row r="1483" spans="5:27" x14ac:dyDescent="0.35">
      <c r="E1483" s="137"/>
      <c r="F1483" s="137"/>
      <c r="G1483" s="190"/>
      <c r="H1483" s="137"/>
      <c r="I1483" s="137"/>
      <c r="J1483" s="137"/>
      <c r="M1483" s="143"/>
      <c r="N1483" s="143"/>
      <c r="O1483" s="143"/>
      <c r="P1483" s="143"/>
      <c r="Q1483" s="137"/>
      <c r="R1483" s="137"/>
      <c r="S1483" s="137"/>
      <c r="T1483" s="137"/>
      <c r="U1483" s="137"/>
      <c r="V1483" s="137"/>
      <c r="W1483" s="137"/>
      <c r="X1483" s="137"/>
      <c r="Y1483" s="137"/>
      <c r="Z1483" s="137"/>
      <c r="AA1483" s="137"/>
    </row>
    <row r="1484" spans="5:27" x14ac:dyDescent="0.35">
      <c r="E1484" s="137"/>
      <c r="F1484" s="137"/>
      <c r="G1484" s="190"/>
      <c r="H1484" s="137"/>
      <c r="I1484" s="137"/>
      <c r="J1484" s="137"/>
      <c r="M1484" s="143"/>
      <c r="N1484" s="143"/>
      <c r="O1484" s="143"/>
      <c r="P1484" s="143"/>
      <c r="Q1484" s="137"/>
      <c r="R1484" s="137"/>
      <c r="S1484" s="137"/>
      <c r="T1484" s="137"/>
      <c r="U1484" s="137"/>
      <c r="V1484" s="137"/>
      <c r="W1484" s="137"/>
      <c r="X1484" s="137"/>
      <c r="Y1484" s="137"/>
      <c r="Z1484" s="137"/>
      <c r="AA1484" s="137"/>
    </row>
    <row r="1485" spans="5:27" x14ac:dyDescent="0.35">
      <c r="E1485" s="137"/>
      <c r="F1485" s="137"/>
      <c r="G1485" s="190"/>
      <c r="H1485" s="137"/>
      <c r="I1485" s="137"/>
      <c r="J1485" s="137"/>
      <c r="M1485" s="143"/>
      <c r="N1485" s="143"/>
      <c r="O1485" s="143"/>
      <c r="P1485" s="143"/>
      <c r="Q1485" s="137"/>
      <c r="R1485" s="137"/>
      <c r="S1485" s="137"/>
      <c r="T1485" s="137"/>
      <c r="U1485" s="137"/>
      <c r="V1485" s="137"/>
      <c r="W1485" s="137"/>
      <c r="X1485" s="137"/>
      <c r="Y1485" s="137"/>
      <c r="Z1485" s="137"/>
      <c r="AA1485" s="137"/>
    </row>
    <row r="1486" spans="5:27" x14ac:dyDescent="0.35">
      <c r="E1486" s="137"/>
      <c r="F1486" s="137"/>
      <c r="G1486" s="190"/>
      <c r="H1486" s="137"/>
      <c r="I1486" s="137"/>
      <c r="J1486" s="137"/>
      <c r="M1486" s="143"/>
      <c r="N1486" s="143"/>
      <c r="O1486" s="143"/>
      <c r="P1486" s="143"/>
      <c r="Q1486" s="137"/>
      <c r="R1486" s="137"/>
      <c r="S1486" s="137"/>
      <c r="T1486" s="137"/>
      <c r="U1486" s="137"/>
      <c r="V1486" s="137"/>
      <c r="W1486" s="137"/>
      <c r="X1486" s="137"/>
      <c r="Y1486" s="137"/>
      <c r="Z1486" s="137"/>
      <c r="AA1486" s="137"/>
    </row>
    <row r="1487" spans="5:27" x14ac:dyDescent="0.35">
      <c r="E1487" s="137"/>
      <c r="F1487" s="137"/>
      <c r="G1487" s="190"/>
      <c r="H1487" s="137"/>
      <c r="I1487" s="137"/>
      <c r="J1487" s="137"/>
      <c r="M1487" s="143"/>
      <c r="N1487" s="143"/>
      <c r="O1487" s="143"/>
      <c r="P1487" s="143"/>
      <c r="Q1487" s="137"/>
      <c r="R1487" s="137"/>
      <c r="S1487" s="137"/>
      <c r="T1487" s="137"/>
      <c r="U1487" s="137"/>
      <c r="V1487" s="137"/>
      <c r="W1487" s="137"/>
      <c r="X1487" s="137"/>
      <c r="Y1487" s="137"/>
      <c r="Z1487" s="137"/>
      <c r="AA1487" s="137"/>
    </row>
    <row r="1488" spans="5:27" x14ac:dyDescent="0.35">
      <c r="E1488" s="137"/>
      <c r="F1488" s="137"/>
      <c r="G1488" s="190"/>
      <c r="H1488" s="137"/>
      <c r="I1488" s="137"/>
      <c r="J1488" s="137"/>
      <c r="M1488" s="143"/>
      <c r="N1488" s="143"/>
      <c r="O1488" s="143"/>
      <c r="P1488" s="143"/>
      <c r="Q1488" s="137"/>
      <c r="R1488" s="137"/>
      <c r="S1488" s="137"/>
      <c r="T1488" s="137"/>
      <c r="U1488" s="137"/>
      <c r="V1488" s="137"/>
      <c r="W1488" s="137"/>
      <c r="X1488" s="137"/>
      <c r="Y1488" s="137"/>
      <c r="Z1488" s="137"/>
      <c r="AA1488" s="137"/>
    </row>
    <row r="1489" spans="5:27" x14ac:dyDescent="0.35">
      <c r="E1489" s="137"/>
      <c r="F1489" s="137"/>
      <c r="G1489" s="190"/>
      <c r="H1489" s="137"/>
      <c r="I1489" s="137"/>
      <c r="J1489" s="137"/>
      <c r="M1489" s="143"/>
      <c r="N1489" s="143"/>
      <c r="O1489" s="143"/>
      <c r="P1489" s="143"/>
      <c r="Q1489" s="137"/>
      <c r="R1489" s="137"/>
      <c r="S1489" s="137"/>
      <c r="T1489" s="137"/>
      <c r="U1489" s="137"/>
      <c r="V1489" s="137"/>
      <c r="W1489" s="137"/>
      <c r="X1489" s="137"/>
      <c r="Y1489" s="137"/>
      <c r="Z1489" s="137"/>
      <c r="AA1489" s="137"/>
    </row>
    <row r="1490" spans="5:27" x14ac:dyDescent="0.35">
      <c r="E1490" s="137"/>
      <c r="F1490" s="137"/>
      <c r="G1490" s="190"/>
      <c r="H1490" s="137"/>
      <c r="I1490" s="137"/>
      <c r="J1490" s="137"/>
      <c r="M1490" s="143"/>
      <c r="N1490" s="143"/>
      <c r="O1490" s="143"/>
      <c r="P1490" s="143"/>
      <c r="Q1490" s="137"/>
      <c r="R1490" s="137"/>
      <c r="S1490" s="137"/>
      <c r="T1490" s="137"/>
      <c r="U1490" s="137"/>
      <c r="V1490" s="137"/>
      <c r="W1490" s="137"/>
      <c r="X1490" s="137"/>
      <c r="Y1490" s="137"/>
      <c r="Z1490" s="137"/>
      <c r="AA1490" s="137"/>
    </row>
    <row r="1491" spans="5:27" x14ac:dyDescent="0.35">
      <c r="E1491" s="137"/>
      <c r="F1491" s="137"/>
      <c r="G1491" s="190"/>
      <c r="H1491" s="137"/>
      <c r="I1491" s="137"/>
      <c r="J1491" s="137"/>
      <c r="M1491" s="143"/>
      <c r="N1491" s="143"/>
      <c r="O1491" s="143"/>
      <c r="P1491" s="143"/>
      <c r="Q1491" s="137"/>
      <c r="R1491" s="137"/>
      <c r="S1491" s="137"/>
      <c r="T1491" s="137"/>
      <c r="U1491" s="137"/>
      <c r="V1491" s="137"/>
      <c r="W1491" s="137"/>
      <c r="X1491" s="137"/>
      <c r="Y1491" s="137"/>
      <c r="Z1491" s="137"/>
      <c r="AA1491" s="137"/>
    </row>
    <row r="1492" spans="5:27" x14ac:dyDescent="0.35">
      <c r="E1492" s="137"/>
      <c r="F1492" s="137"/>
      <c r="G1492" s="190"/>
      <c r="H1492" s="137"/>
      <c r="I1492" s="137"/>
      <c r="J1492" s="137"/>
      <c r="M1492" s="143"/>
      <c r="N1492" s="143"/>
      <c r="O1492" s="143"/>
      <c r="P1492" s="143"/>
      <c r="Q1492" s="137"/>
      <c r="R1492" s="137"/>
      <c r="S1492" s="137"/>
      <c r="T1492" s="137"/>
      <c r="U1492" s="137"/>
      <c r="V1492" s="137"/>
      <c r="W1492" s="137"/>
      <c r="X1492" s="137"/>
      <c r="Y1492" s="137"/>
      <c r="Z1492" s="137"/>
      <c r="AA1492" s="137"/>
    </row>
    <row r="1493" spans="5:27" x14ac:dyDescent="0.35">
      <c r="E1493" s="137"/>
      <c r="F1493" s="137"/>
      <c r="G1493" s="190"/>
      <c r="H1493" s="137"/>
      <c r="I1493" s="137"/>
      <c r="J1493" s="137"/>
      <c r="M1493" s="143"/>
      <c r="N1493" s="143"/>
      <c r="O1493" s="143"/>
      <c r="P1493" s="143"/>
      <c r="Q1493" s="137"/>
      <c r="R1493" s="137"/>
      <c r="S1493" s="137"/>
      <c r="T1493" s="137"/>
      <c r="U1493" s="137"/>
      <c r="V1493" s="137"/>
      <c r="W1493" s="137"/>
      <c r="X1493" s="137"/>
      <c r="Y1493" s="137"/>
      <c r="Z1493" s="137"/>
      <c r="AA1493" s="137"/>
    </row>
    <row r="1494" spans="5:27" x14ac:dyDescent="0.35">
      <c r="E1494" s="137"/>
      <c r="F1494" s="137"/>
      <c r="G1494" s="190"/>
      <c r="H1494" s="137"/>
      <c r="I1494" s="137"/>
      <c r="J1494" s="137"/>
      <c r="M1494" s="143"/>
      <c r="N1494" s="143"/>
      <c r="O1494" s="143"/>
      <c r="P1494" s="143"/>
      <c r="Q1494" s="137"/>
      <c r="R1494" s="137"/>
      <c r="S1494" s="137"/>
      <c r="T1494" s="137"/>
      <c r="U1494" s="137"/>
      <c r="V1494" s="137"/>
      <c r="W1494" s="137"/>
      <c r="X1494" s="137"/>
      <c r="Y1494" s="137"/>
      <c r="Z1494" s="137"/>
      <c r="AA1494" s="137"/>
    </row>
    <row r="1495" spans="5:27" x14ac:dyDescent="0.35">
      <c r="E1495" s="137"/>
      <c r="F1495" s="137"/>
      <c r="G1495" s="190"/>
      <c r="H1495" s="137"/>
      <c r="I1495" s="137"/>
      <c r="J1495" s="137"/>
      <c r="M1495" s="143"/>
      <c r="N1495" s="143"/>
      <c r="O1495" s="143"/>
      <c r="P1495" s="143"/>
      <c r="Q1495" s="137"/>
      <c r="R1495" s="137"/>
      <c r="S1495" s="137"/>
      <c r="T1495" s="137"/>
      <c r="U1495" s="137"/>
      <c r="V1495" s="137"/>
      <c r="W1495" s="137"/>
      <c r="X1495" s="137"/>
      <c r="Y1495" s="137"/>
      <c r="Z1495" s="137"/>
      <c r="AA1495" s="137"/>
    </row>
    <row r="1496" spans="5:27" x14ac:dyDescent="0.35">
      <c r="E1496" s="137"/>
      <c r="F1496" s="137"/>
      <c r="G1496" s="190"/>
      <c r="H1496" s="137"/>
      <c r="I1496" s="137"/>
      <c r="J1496" s="137"/>
      <c r="M1496" s="143"/>
      <c r="N1496" s="143"/>
      <c r="O1496" s="143"/>
      <c r="P1496" s="143"/>
      <c r="Q1496" s="137"/>
      <c r="R1496" s="137"/>
      <c r="S1496" s="137"/>
      <c r="T1496" s="137"/>
      <c r="U1496" s="137"/>
      <c r="V1496" s="137"/>
      <c r="W1496" s="137"/>
      <c r="X1496" s="137"/>
      <c r="Y1496" s="137"/>
      <c r="Z1496" s="137"/>
      <c r="AA1496" s="137"/>
    </row>
    <row r="1497" spans="5:27" x14ac:dyDescent="0.35">
      <c r="E1497" s="137"/>
      <c r="F1497" s="137"/>
      <c r="G1497" s="190"/>
      <c r="H1497" s="137"/>
      <c r="I1497" s="137"/>
      <c r="J1497" s="137"/>
      <c r="M1497" s="143"/>
      <c r="N1497" s="143"/>
      <c r="O1497" s="143"/>
      <c r="P1497" s="143"/>
      <c r="Q1497" s="137"/>
      <c r="R1497" s="137"/>
      <c r="S1497" s="137"/>
      <c r="T1497" s="137"/>
      <c r="U1497" s="137"/>
      <c r="V1497" s="137"/>
      <c r="W1497" s="137"/>
      <c r="X1497" s="137"/>
      <c r="Y1497" s="137"/>
      <c r="Z1497" s="137"/>
      <c r="AA1497" s="137"/>
    </row>
    <row r="1498" spans="5:27" x14ac:dyDescent="0.35">
      <c r="E1498" s="137"/>
      <c r="F1498" s="137"/>
      <c r="G1498" s="190"/>
      <c r="H1498" s="137"/>
      <c r="I1498" s="137"/>
      <c r="J1498" s="137"/>
      <c r="M1498" s="143"/>
      <c r="N1498" s="143"/>
      <c r="O1498" s="143"/>
      <c r="P1498" s="143"/>
      <c r="Q1498" s="137"/>
      <c r="R1498" s="137"/>
      <c r="S1498" s="137"/>
      <c r="T1498" s="137"/>
      <c r="U1498" s="137"/>
      <c r="V1498" s="137"/>
      <c r="W1498" s="137"/>
      <c r="X1498" s="137"/>
      <c r="Y1498" s="137"/>
      <c r="Z1498" s="137"/>
      <c r="AA1498" s="137"/>
    </row>
    <row r="1499" spans="5:27" x14ac:dyDescent="0.35">
      <c r="E1499" s="137"/>
      <c r="F1499" s="137"/>
      <c r="G1499" s="190"/>
      <c r="H1499" s="137"/>
      <c r="I1499" s="137"/>
      <c r="J1499" s="137"/>
      <c r="M1499" s="143"/>
      <c r="N1499" s="143"/>
      <c r="O1499" s="143"/>
      <c r="P1499" s="143"/>
      <c r="Q1499" s="137"/>
      <c r="R1499" s="137"/>
      <c r="S1499" s="137"/>
      <c r="T1499" s="137"/>
      <c r="U1499" s="137"/>
      <c r="V1499" s="137"/>
      <c r="W1499" s="137"/>
      <c r="X1499" s="137"/>
      <c r="Y1499" s="137"/>
      <c r="Z1499" s="137"/>
      <c r="AA1499" s="137"/>
    </row>
    <row r="1500" spans="5:27" x14ac:dyDescent="0.35">
      <c r="E1500" s="137"/>
      <c r="F1500" s="137"/>
      <c r="G1500" s="190"/>
      <c r="H1500" s="137"/>
      <c r="I1500" s="137"/>
      <c r="J1500" s="137"/>
      <c r="M1500" s="143"/>
      <c r="N1500" s="143"/>
      <c r="O1500" s="143"/>
      <c r="P1500" s="143"/>
      <c r="Q1500" s="137"/>
      <c r="R1500" s="137"/>
      <c r="S1500" s="137"/>
      <c r="T1500" s="137"/>
      <c r="U1500" s="137"/>
      <c r="V1500" s="137"/>
      <c r="W1500" s="137"/>
      <c r="X1500" s="137"/>
      <c r="Y1500" s="137"/>
      <c r="Z1500" s="137"/>
      <c r="AA1500" s="137"/>
    </row>
    <row r="1501" spans="5:27" x14ac:dyDescent="0.35">
      <c r="E1501" s="137"/>
      <c r="F1501" s="137"/>
      <c r="G1501" s="190"/>
      <c r="H1501" s="137"/>
      <c r="I1501" s="137"/>
      <c r="J1501" s="137"/>
      <c r="M1501" s="143"/>
      <c r="N1501" s="143"/>
      <c r="O1501" s="143"/>
      <c r="P1501" s="143"/>
      <c r="Q1501" s="137"/>
      <c r="R1501" s="137"/>
      <c r="S1501" s="137"/>
      <c r="T1501" s="137"/>
      <c r="U1501" s="137"/>
      <c r="V1501" s="137"/>
      <c r="W1501" s="137"/>
      <c r="X1501" s="137"/>
      <c r="Y1501" s="137"/>
      <c r="Z1501" s="137"/>
      <c r="AA1501" s="137"/>
    </row>
    <row r="1502" spans="5:27" x14ac:dyDescent="0.35">
      <c r="E1502" s="137"/>
      <c r="F1502" s="137"/>
      <c r="G1502" s="190"/>
      <c r="H1502" s="137"/>
      <c r="I1502" s="137"/>
      <c r="J1502" s="137"/>
      <c r="M1502" s="143"/>
      <c r="N1502" s="143"/>
      <c r="O1502" s="143"/>
      <c r="P1502" s="143"/>
      <c r="Q1502" s="137"/>
      <c r="R1502" s="137"/>
      <c r="S1502" s="137"/>
      <c r="T1502" s="137"/>
      <c r="U1502" s="137"/>
      <c r="V1502" s="137"/>
      <c r="W1502" s="137"/>
      <c r="X1502" s="137"/>
      <c r="Y1502" s="137"/>
      <c r="Z1502" s="137"/>
      <c r="AA1502" s="137"/>
    </row>
    <row r="1503" spans="5:27" x14ac:dyDescent="0.35">
      <c r="E1503" s="137"/>
      <c r="F1503" s="137"/>
      <c r="G1503" s="190"/>
      <c r="H1503" s="137"/>
      <c r="I1503" s="137"/>
      <c r="J1503" s="137"/>
      <c r="M1503" s="143"/>
      <c r="N1503" s="143"/>
      <c r="O1503" s="143"/>
      <c r="P1503" s="143"/>
      <c r="Q1503" s="137"/>
      <c r="R1503" s="137"/>
      <c r="S1503" s="137"/>
      <c r="T1503" s="137"/>
      <c r="U1503" s="137"/>
      <c r="V1503" s="137"/>
      <c r="W1503" s="137"/>
      <c r="X1503" s="137"/>
      <c r="Y1503" s="137"/>
      <c r="Z1503" s="137"/>
      <c r="AA1503" s="137"/>
    </row>
    <row r="1504" spans="5:27" x14ac:dyDescent="0.35">
      <c r="E1504" s="137"/>
      <c r="F1504" s="137"/>
      <c r="G1504" s="190"/>
      <c r="H1504" s="137"/>
      <c r="I1504" s="137"/>
      <c r="J1504" s="137"/>
      <c r="M1504" s="143"/>
      <c r="N1504" s="143"/>
      <c r="O1504" s="143"/>
      <c r="P1504" s="143"/>
      <c r="Q1504" s="137"/>
      <c r="R1504" s="137"/>
      <c r="S1504" s="137"/>
      <c r="T1504" s="137"/>
      <c r="U1504" s="137"/>
      <c r="V1504" s="137"/>
      <c r="W1504" s="137"/>
      <c r="X1504" s="137"/>
      <c r="Y1504" s="137"/>
      <c r="Z1504" s="137"/>
      <c r="AA1504" s="137"/>
    </row>
    <row r="1505" spans="5:27" x14ac:dyDescent="0.35">
      <c r="E1505" s="137"/>
      <c r="F1505" s="137"/>
      <c r="G1505" s="190"/>
      <c r="H1505" s="137"/>
      <c r="I1505" s="137"/>
      <c r="J1505" s="137"/>
      <c r="M1505" s="143"/>
      <c r="N1505" s="143"/>
      <c r="O1505" s="143"/>
      <c r="P1505" s="143"/>
      <c r="Q1505" s="137"/>
      <c r="R1505" s="137"/>
      <c r="S1505" s="137"/>
      <c r="T1505" s="137"/>
      <c r="U1505" s="137"/>
      <c r="V1505" s="137"/>
      <c r="W1505" s="137"/>
      <c r="X1505" s="137"/>
      <c r="Y1505" s="137"/>
      <c r="Z1505" s="137"/>
      <c r="AA1505" s="137"/>
    </row>
    <row r="1506" spans="5:27" x14ac:dyDescent="0.35">
      <c r="E1506" s="137"/>
      <c r="F1506" s="137"/>
      <c r="G1506" s="190"/>
      <c r="H1506" s="137"/>
      <c r="I1506" s="137"/>
      <c r="J1506" s="137"/>
      <c r="M1506" s="143"/>
      <c r="N1506" s="143"/>
      <c r="O1506" s="143"/>
      <c r="P1506" s="143"/>
      <c r="Q1506" s="137"/>
      <c r="R1506" s="137"/>
      <c r="S1506" s="137"/>
      <c r="T1506" s="137"/>
      <c r="U1506" s="137"/>
      <c r="V1506" s="137"/>
      <c r="W1506" s="137"/>
      <c r="X1506" s="137"/>
      <c r="Y1506" s="137"/>
      <c r="Z1506" s="137"/>
      <c r="AA1506" s="137"/>
    </row>
    <row r="1507" spans="5:27" x14ac:dyDescent="0.35">
      <c r="E1507" s="137"/>
      <c r="F1507" s="137"/>
      <c r="G1507" s="190"/>
      <c r="H1507" s="137"/>
      <c r="I1507" s="137"/>
      <c r="J1507" s="137"/>
      <c r="M1507" s="143"/>
      <c r="N1507" s="143"/>
      <c r="O1507" s="143"/>
      <c r="P1507" s="143"/>
      <c r="Q1507" s="137"/>
      <c r="R1507" s="137"/>
      <c r="S1507" s="137"/>
      <c r="T1507" s="137"/>
      <c r="U1507" s="137"/>
      <c r="V1507" s="137"/>
      <c r="W1507" s="137"/>
      <c r="X1507" s="137"/>
      <c r="Y1507" s="137"/>
      <c r="Z1507" s="137"/>
      <c r="AA1507" s="137"/>
    </row>
    <row r="1508" spans="5:27" x14ac:dyDescent="0.35">
      <c r="E1508" s="137"/>
      <c r="F1508" s="137"/>
      <c r="G1508" s="190"/>
      <c r="H1508" s="137"/>
      <c r="I1508" s="137"/>
      <c r="J1508" s="137"/>
      <c r="M1508" s="143"/>
      <c r="N1508" s="143"/>
      <c r="O1508" s="143"/>
      <c r="P1508" s="143"/>
      <c r="Q1508" s="137"/>
      <c r="R1508" s="137"/>
      <c r="S1508" s="137"/>
      <c r="T1508" s="137"/>
      <c r="U1508" s="137"/>
      <c r="V1508" s="137"/>
      <c r="W1508" s="137"/>
      <c r="X1508" s="137"/>
      <c r="Y1508" s="137"/>
      <c r="Z1508" s="137"/>
      <c r="AA1508" s="137"/>
    </row>
    <row r="1509" spans="5:27" x14ac:dyDescent="0.35">
      <c r="E1509" s="137"/>
      <c r="F1509" s="137"/>
      <c r="G1509" s="190"/>
      <c r="H1509" s="137"/>
      <c r="I1509" s="137"/>
      <c r="J1509" s="137"/>
      <c r="M1509" s="143"/>
      <c r="N1509" s="143"/>
      <c r="O1509" s="143"/>
      <c r="P1509" s="143"/>
      <c r="Q1509" s="137"/>
      <c r="R1509" s="137"/>
      <c r="S1509" s="137"/>
      <c r="T1509" s="137"/>
      <c r="U1509" s="137"/>
      <c r="V1509" s="137"/>
      <c r="W1509" s="137"/>
      <c r="X1509" s="137"/>
      <c r="Y1509" s="137"/>
      <c r="Z1509" s="137"/>
      <c r="AA1509" s="137"/>
    </row>
    <row r="1510" spans="5:27" x14ac:dyDescent="0.35">
      <c r="E1510" s="137"/>
      <c r="F1510" s="137"/>
      <c r="G1510" s="190"/>
      <c r="H1510" s="137"/>
      <c r="I1510" s="137"/>
      <c r="J1510" s="137"/>
      <c r="M1510" s="143"/>
      <c r="N1510" s="143"/>
      <c r="O1510" s="143"/>
      <c r="P1510" s="143"/>
      <c r="Q1510" s="137"/>
      <c r="R1510" s="137"/>
      <c r="S1510" s="137"/>
      <c r="T1510" s="137"/>
      <c r="U1510" s="137"/>
      <c r="V1510" s="137"/>
      <c r="W1510" s="137"/>
      <c r="X1510" s="137"/>
      <c r="Y1510" s="137"/>
      <c r="Z1510" s="137"/>
      <c r="AA1510" s="137"/>
    </row>
    <row r="1511" spans="5:27" x14ac:dyDescent="0.35">
      <c r="E1511" s="137"/>
      <c r="F1511" s="137"/>
      <c r="G1511" s="190"/>
      <c r="H1511" s="137"/>
      <c r="I1511" s="137"/>
      <c r="J1511" s="137"/>
      <c r="M1511" s="143"/>
      <c r="N1511" s="143"/>
      <c r="O1511" s="143"/>
      <c r="P1511" s="143"/>
      <c r="Q1511" s="137"/>
      <c r="R1511" s="137"/>
      <c r="S1511" s="137"/>
      <c r="T1511" s="137"/>
      <c r="U1511" s="137"/>
      <c r="V1511" s="137"/>
      <c r="W1511" s="137"/>
      <c r="X1511" s="137"/>
      <c r="Y1511" s="137"/>
      <c r="Z1511" s="137"/>
      <c r="AA1511" s="137"/>
    </row>
    <row r="1512" spans="5:27" x14ac:dyDescent="0.35">
      <c r="E1512" s="137"/>
      <c r="F1512" s="137"/>
      <c r="G1512" s="190"/>
      <c r="H1512" s="137"/>
      <c r="I1512" s="137"/>
      <c r="J1512" s="137"/>
      <c r="M1512" s="143"/>
      <c r="N1512" s="143"/>
      <c r="O1512" s="143"/>
      <c r="P1512" s="143"/>
      <c r="Q1512" s="137"/>
      <c r="R1512" s="137"/>
      <c r="S1512" s="137"/>
      <c r="T1512" s="137"/>
      <c r="U1512" s="137"/>
      <c r="V1512" s="137"/>
      <c r="W1512" s="137"/>
      <c r="X1512" s="137"/>
      <c r="Y1512" s="137"/>
      <c r="Z1512" s="137"/>
      <c r="AA1512" s="137"/>
    </row>
    <row r="1513" spans="5:27" x14ac:dyDescent="0.35">
      <c r="E1513" s="137"/>
      <c r="F1513" s="137"/>
      <c r="G1513" s="190"/>
      <c r="H1513" s="137"/>
      <c r="I1513" s="137"/>
      <c r="J1513" s="137"/>
      <c r="M1513" s="143"/>
      <c r="N1513" s="143"/>
      <c r="O1513" s="143"/>
      <c r="P1513" s="143"/>
      <c r="Q1513" s="137"/>
      <c r="R1513" s="137"/>
      <c r="S1513" s="137"/>
      <c r="T1513" s="137"/>
      <c r="U1513" s="137"/>
      <c r="V1513" s="137"/>
      <c r="W1513" s="137"/>
      <c r="X1513" s="137"/>
      <c r="Y1513" s="137"/>
      <c r="Z1513" s="137"/>
      <c r="AA1513" s="137"/>
    </row>
    <row r="1514" spans="5:27" x14ac:dyDescent="0.35">
      <c r="E1514" s="137"/>
      <c r="F1514" s="137"/>
      <c r="G1514" s="190"/>
      <c r="H1514" s="137"/>
      <c r="I1514" s="137"/>
      <c r="J1514" s="137"/>
      <c r="M1514" s="143"/>
      <c r="N1514" s="143"/>
      <c r="O1514" s="143"/>
      <c r="P1514" s="143"/>
      <c r="Q1514" s="137"/>
      <c r="R1514" s="137"/>
      <c r="S1514" s="137"/>
      <c r="T1514" s="137"/>
      <c r="U1514" s="137"/>
      <c r="V1514" s="137"/>
      <c r="W1514" s="137"/>
      <c r="X1514" s="137"/>
      <c r="Y1514" s="137"/>
      <c r="Z1514" s="137"/>
      <c r="AA1514" s="137"/>
    </row>
    <row r="1515" spans="5:27" x14ac:dyDescent="0.35">
      <c r="E1515" s="137"/>
      <c r="F1515" s="137"/>
      <c r="G1515" s="190"/>
      <c r="H1515" s="137"/>
      <c r="I1515" s="137"/>
      <c r="J1515" s="137"/>
      <c r="M1515" s="143"/>
      <c r="N1515" s="143"/>
      <c r="O1515" s="143"/>
      <c r="P1515" s="143"/>
      <c r="Q1515" s="137"/>
      <c r="R1515" s="137"/>
      <c r="S1515" s="137"/>
      <c r="T1515" s="137"/>
      <c r="U1515" s="137"/>
      <c r="V1515" s="137"/>
      <c r="W1515" s="137"/>
      <c r="X1515" s="137"/>
      <c r="Y1515" s="137"/>
      <c r="Z1515" s="137"/>
      <c r="AA1515" s="137"/>
    </row>
    <row r="1516" spans="5:27" x14ac:dyDescent="0.35">
      <c r="E1516" s="137"/>
      <c r="F1516" s="137"/>
      <c r="G1516" s="190"/>
      <c r="H1516" s="137"/>
      <c r="I1516" s="137"/>
      <c r="J1516" s="137"/>
      <c r="M1516" s="143"/>
      <c r="N1516" s="143"/>
      <c r="O1516" s="143"/>
      <c r="P1516" s="143"/>
      <c r="Q1516" s="137"/>
      <c r="R1516" s="137"/>
      <c r="S1516" s="137"/>
      <c r="T1516" s="137"/>
      <c r="U1516" s="137"/>
      <c r="V1516" s="137"/>
      <c r="W1516" s="137"/>
      <c r="X1516" s="137"/>
      <c r="Y1516" s="137"/>
      <c r="Z1516" s="137"/>
      <c r="AA1516" s="137"/>
    </row>
    <row r="1517" spans="5:27" x14ac:dyDescent="0.35">
      <c r="E1517" s="137"/>
      <c r="F1517" s="137"/>
      <c r="G1517" s="190"/>
      <c r="H1517" s="137"/>
      <c r="I1517" s="137"/>
      <c r="J1517" s="137"/>
      <c r="M1517" s="143"/>
      <c r="N1517" s="143"/>
      <c r="O1517" s="143"/>
      <c r="P1517" s="143"/>
      <c r="Q1517" s="137"/>
      <c r="R1517" s="137"/>
      <c r="S1517" s="137"/>
      <c r="T1517" s="137"/>
      <c r="U1517" s="137"/>
      <c r="V1517" s="137"/>
      <c r="W1517" s="137"/>
      <c r="X1517" s="137"/>
      <c r="Y1517" s="137"/>
      <c r="Z1517" s="137"/>
      <c r="AA1517" s="137"/>
    </row>
    <row r="1518" spans="5:27" x14ac:dyDescent="0.35">
      <c r="E1518" s="137"/>
      <c r="F1518" s="137"/>
      <c r="G1518" s="190"/>
      <c r="H1518" s="137"/>
      <c r="I1518" s="137"/>
      <c r="J1518" s="137"/>
      <c r="M1518" s="143"/>
      <c r="N1518" s="143"/>
      <c r="O1518" s="143"/>
      <c r="P1518" s="143"/>
      <c r="Q1518" s="137"/>
      <c r="R1518" s="137"/>
      <c r="S1518" s="137"/>
      <c r="T1518" s="137"/>
      <c r="U1518" s="137"/>
      <c r="V1518" s="137"/>
      <c r="W1518" s="137"/>
      <c r="X1518" s="137"/>
      <c r="Y1518" s="137"/>
      <c r="Z1518" s="137"/>
      <c r="AA1518" s="137"/>
    </row>
    <row r="1519" spans="5:27" x14ac:dyDescent="0.35">
      <c r="E1519" s="137"/>
      <c r="F1519" s="137"/>
      <c r="G1519" s="190"/>
      <c r="H1519" s="137"/>
      <c r="I1519" s="137"/>
      <c r="J1519" s="137"/>
      <c r="M1519" s="143"/>
      <c r="N1519" s="143"/>
      <c r="O1519" s="143"/>
      <c r="P1519" s="143"/>
      <c r="Q1519" s="137"/>
      <c r="R1519" s="137"/>
      <c r="S1519" s="137"/>
      <c r="T1519" s="137"/>
      <c r="U1519" s="137"/>
      <c r="V1519" s="137"/>
      <c r="W1519" s="137"/>
      <c r="X1519" s="137"/>
      <c r="Y1519" s="137"/>
      <c r="Z1519" s="137"/>
      <c r="AA1519" s="137"/>
    </row>
    <row r="1520" spans="5:27" x14ac:dyDescent="0.35">
      <c r="E1520" s="137"/>
      <c r="F1520" s="137"/>
      <c r="G1520" s="190"/>
      <c r="H1520" s="137"/>
      <c r="I1520" s="137"/>
      <c r="J1520" s="137"/>
      <c r="M1520" s="143"/>
      <c r="N1520" s="143"/>
      <c r="O1520" s="143"/>
      <c r="P1520" s="143"/>
      <c r="Q1520" s="137"/>
      <c r="R1520" s="137"/>
      <c r="S1520" s="137"/>
      <c r="T1520" s="137"/>
      <c r="U1520" s="137"/>
      <c r="V1520" s="137"/>
      <c r="W1520" s="137"/>
      <c r="X1520" s="137"/>
      <c r="Y1520" s="137"/>
      <c r="Z1520" s="137"/>
      <c r="AA1520" s="137"/>
    </row>
    <row r="1521" spans="5:27" x14ac:dyDescent="0.35">
      <c r="E1521" s="137"/>
      <c r="F1521" s="137"/>
      <c r="G1521" s="190"/>
      <c r="H1521" s="137"/>
      <c r="I1521" s="137"/>
      <c r="J1521" s="137"/>
      <c r="M1521" s="143"/>
      <c r="N1521" s="143"/>
      <c r="O1521" s="143"/>
      <c r="P1521" s="143"/>
      <c r="Q1521" s="137"/>
      <c r="R1521" s="137"/>
      <c r="S1521" s="137"/>
      <c r="T1521" s="137"/>
      <c r="U1521" s="137"/>
      <c r="V1521" s="137"/>
      <c r="W1521" s="137"/>
      <c r="X1521" s="137"/>
      <c r="Y1521" s="137"/>
      <c r="Z1521" s="137"/>
      <c r="AA1521" s="137"/>
    </row>
    <row r="1522" spans="5:27" x14ac:dyDescent="0.35">
      <c r="E1522" s="137"/>
      <c r="F1522" s="137"/>
      <c r="G1522" s="190"/>
      <c r="H1522" s="137"/>
      <c r="I1522" s="137"/>
      <c r="J1522" s="137"/>
      <c r="M1522" s="143"/>
      <c r="N1522" s="143"/>
      <c r="O1522" s="143"/>
      <c r="P1522" s="143"/>
      <c r="Q1522" s="137"/>
      <c r="R1522" s="137"/>
      <c r="S1522" s="137"/>
      <c r="T1522" s="137"/>
      <c r="U1522" s="137"/>
      <c r="V1522" s="137"/>
      <c r="W1522" s="137"/>
      <c r="X1522" s="137"/>
      <c r="Y1522" s="137"/>
      <c r="Z1522" s="137"/>
      <c r="AA1522" s="137"/>
    </row>
    <row r="1523" spans="5:27" x14ac:dyDescent="0.35">
      <c r="E1523" s="137"/>
      <c r="F1523" s="137"/>
      <c r="G1523" s="190"/>
      <c r="H1523" s="137"/>
      <c r="I1523" s="137"/>
      <c r="J1523" s="137"/>
      <c r="M1523" s="143"/>
      <c r="N1523" s="143"/>
      <c r="O1523" s="143"/>
      <c r="P1523" s="143"/>
      <c r="Q1523" s="137"/>
      <c r="R1523" s="137"/>
      <c r="S1523" s="137"/>
      <c r="T1523" s="137"/>
      <c r="U1523" s="137"/>
      <c r="V1523" s="137"/>
      <c r="W1523" s="137"/>
      <c r="X1523" s="137"/>
      <c r="Y1523" s="137"/>
      <c r="Z1523" s="137"/>
      <c r="AA1523" s="137"/>
    </row>
    <row r="1524" spans="5:27" x14ac:dyDescent="0.35">
      <c r="E1524" s="137"/>
      <c r="F1524" s="137"/>
      <c r="G1524" s="190"/>
      <c r="H1524" s="137"/>
      <c r="I1524" s="137"/>
      <c r="J1524" s="137"/>
      <c r="M1524" s="143"/>
      <c r="N1524" s="143"/>
      <c r="O1524" s="143"/>
      <c r="P1524" s="143"/>
      <c r="Q1524" s="137"/>
      <c r="R1524" s="137"/>
      <c r="S1524" s="137"/>
      <c r="T1524" s="137"/>
      <c r="U1524" s="137"/>
      <c r="V1524" s="137"/>
      <c r="W1524" s="137"/>
      <c r="X1524" s="137"/>
      <c r="Y1524" s="137"/>
      <c r="Z1524" s="137"/>
      <c r="AA1524" s="137"/>
    </row>
    <row r="1525" spans="5:27" x14ac:dyDescent="0.35">
      <c r="E1525" s="137"/>
      <c r="F1525" s="137"/>
      <c r="G1525" s="190"/>
      <c r="H1525" s="137"/>
      <c r="I1525" s="137"/>
      <c r="J1525" s="137"/>
      <c r="M1525" s="143"/>
      <c r="N1525" s="143"/>
      <c r="O1525" s="143"/>
      <c r="P1525" s="143"/>
      <c r="Q1525" s="137"/>
      <c r="R1525" s="137"/>
      <c r="S1525" s="137"/>
      <c r="T1525" s="137"/>
      <c r="U1525" s="137"/>
      <c r="V1525" s="137"/>
      <c r="W1525" s="137"/>
      <c r="X1525" s="137"/>
      <c r="Y1525" s="137"/>
      <c r="Z1525" s="137"/>
      <c r="AA1525" s="137"/>
    </row>
    <row r="1526" spans="5:27" x14ac:dyDescent="0.35">
      <c r="E1526" s="137"/>
      <c r="F1526" s="137"/>
      <c r="G1526" s="190"/>
      <c r="H1526" s="137"/>
      <c r="I1526" s="137"/>
      <c r="J1526" s="137"/>
      <c r="M1526" s="143"/>
      <c r="N1526" s="143"/>
      <c r="O1526" s="143"/>
      <c r="P1526" s="143"/>
      <c r="Q1526" s="137"/>
      <c r="R1526" s="137"/>
      <c r="S1526" s="137"/>
      <c r="T1526" s="137"/>
      <c r="U1526" s="137"/>
      <c r="V1526" s="137"/>
      <c r="W1526" s="137"/>
      <c r="X1526" s="137"/>
      <c r="Y1526" s="137"/>
      <c r="Z1526" s="137"/>
      <c r="AA1526" s="137"/>
    </row>
    <row r="1527" spans="5:27" x14ac:dyDescent="0.35">
      <c r="E1527" s="137"/>
      <c r="F1527" s="137"/>
      <c r="G1527" s="190"/>
      <c r="H1527" s="137"/>
      <c r="I1527" s="137"/>
      <c r="J1527" s="137"/>
      <c r="M1527" s="143"/>
      <c r="N1527" s="143"/>
      <c r="O1527" s="143"/>
      <c r="P1527" s="143"/>
      <c r="Q1527" s="137"/>
      <c r="R1527" s="137"/>
      <c r="S1527" s="137"/>
      <c r="T1527" s="137"/>
      <c r="U1527" s="137"/>
      <c r="V1527" s="137"/>
      <c r="W1527" s="137"/>
      <c r="X1527" s="137"/>
      <c r="Y1527" s="137"/>
      <c r="Z1527" s="137"/>
      <c r="AA1527" s="137"/>
    </row>
    <row r="1528" spans="5:27" x14ac:dyDescent="0.35">
      <c r="E1528" s="137"/>
      <c r="F1528" s="137"/>
      <c r="G1528" s="190"/>
      <c r="H1528" s="137"/>
      <c r="I1528" s="137"/>
      <c r="J1528" s="137"/>
      <c r="M1528" s="143"/>
      <c r="N1528" s="143"/>
      <c r="O1528" s="143"/>
      <c r="P1528" s="143"/>
      <c r="Q1528" s="137"/>
      <c r="R1528" s="137"/>
      <c r="S1528" s="137"/>
      <c r="T1528" s="137"/>
      <c r="U1528" s="137"/>
      <c r="V1528" s="137"/>
      <c r="W1528" s="137"/>
      <c r="X1528" s="137"/>
      <c r="Y1528" s="137"/>
      <c r="Z1528" s="137"/>
      <c r="AA1528" s="137"/>
    </row>
    <row r="1529" spans="5:27" x14ac:dyDescent="0.35">
      <c r="E1529" s="137"/>
      <c r="F1529" s="137"/>
      <c r="G1529" s="190"/>
      <c r="H1529" s="137"/>
      <c r="I1529" s="137"/>
      <c r="J1529" s="137"/>
      <c r="M1529" s="143"/>
      <c r="N1529" s="143"/>
      <c r="O1529" s="143"/>
      <c r="P1529" s="143"/>
      <c r="Q1529" s="137"/>
      <c r="R1529" s="137"/>
      <c r="S1529" s="137"/>
      <c r="T1529" s="137"/>
      <c r="U1529" s="137"/>
      <c r="V1529" s="137"/>
      <c r="W1529" s="137"/>
      <c r="X1529" s="137"/>
      <c r="Y1529" s="137"/>
      <c r="Z1529" s="137"/>
      <c r="AA1529" s="137"/>
    </row>
    <row r="1530" spans="5:27" x14ac:dyDescent="0.35">
      <c r="E1530" s="137"/>
      <c r="F1530" s="137"/>
      <c r="G1530" s="190"/>
      <c r="H1530" s="137"/>
      <c r="I1530" s="137"/>
      <c r="J1530" s="137"/>
      <c r="M1530" s="143"/>
      <c r="N1530" s="143"/>
      <c r="O1530" s="143"/>
      <c r="P1530" s="143"/>
      <c r="Q1530" s="137"/>
      <c r="R1530" s="137"/>
      <c r="S1530" s="137"/>
      <c r="T1530" s="137"/>
      <c r="U1530" s="137"/>
      <c r="V1530" s="137"/>
      <c r="W1530" s="137"/>
      <c r="X1530" s="137"/>
      <c r="Y1530" s="137"/>
      <c r="Z1530" s="137"/>
      <c r="AA1530" s="137"/>
    </row>
    <row r="1531" spans="5:27" x14ac:dyDescent="0.35">
      <c r="E1531" s="137"/>
      <c r="F1531" s="137"/>
      <c r="G1531" s="190"/>
      <c r="H1531" s="137"/>
      <c r="I1531" s="137"/>
      <c r="J1531" s="137"/>
      <c r="M1531" s="143"/>
      <c r="N1531" s="143"/>
      <c r="O1531" s="143"/>
      <c r="P1531" s="143"/>
      <c r="Q1531" s="137"/>
      <c r="R1531" s="137"/>
      <c r="S1531" s="137"/>
      <c r="T1531" s="137"/>
      <c r="U1531" s="137"/>
      <c r="V1531" s="137"/>
      <c r="W1531" s="137"/>
      <c r="X1531" s="137"/>
      <c r="Y1531" s="137"/>
      <c r="Z1531" s="137"/>
      <c r="AA1531" s="137"/>
    </row>
    <row r="1532" spans="5:27" x14ac:dyDescent="0.35">
      <c r="E1532" s="137"/>
      <c r="F1532" s="137"/>
      <c r="G1532" s="190"/>
      <c r="H1532" s="137"/>
      <c r="I1532" s="137"/>
      <c r="J1532" s="137"/>
      <c r="M1532" s="143"/>
      <c r="N1532" s="143"/>
      <c r="O1532" s="143"/>
      <c r="P1532" s="143"/>
      <c r="Q1532" s="137"/>
      <c r="R1532" s="137"/>
      <c r="S1532" s="137"/>
      <c r="T1532" s="137"/>
      <c r="U1532" s="137"/>
      <c r="V1532" s="137"/>
      <c r="W1532" s="137"/>
      <c r="X1532" s="137"/>
      <c r="Y1532" s="137"/>
      <c r="Z1532" s="137"/>
      <c r="AA1532" s="137"/>
    </row>
    <row r="1533" spans="5:27" x14ac:dyDescent="0.35">
      <c r="E1533" s="137"/>
      <c r="F1533" s="137"/>
      <c r="G1533" s="190"/>
      <c r="H1533" s="137"/>
      <c r="I1533" s="137"/>
      <c r="J1533" s="137"/>
      <c r="M1533" s="143"/>
      <c r="N1533" s="143"/>
      <c r="O1533" s="143"/>
      <c r="P1533" s="143"/>
      <c r="Q1533" s="137"/>
      <c r="R1533" s="137"/>
      <c r="S1533" s="137"/>
      <c r="T1533" s="137"/>
      <c r="U1533" s="137"/>
      <c r="V1533" s="137"/>
      <c r="W1533" s="137"/>
      <c r="X1533" s="137"/>
      <c r="Y1533" s="137"/>
      <c r="Z1533" s="137"/>
      <c r="AA1533" s="137"/>
    </row>
    <row r="1534" spans="5:27" x14ac:dyDescent="0.35">
      <c r="E1534" s="137"/>
      <c r="F1534" s="137"/>
      <c r="G1534" s="190"/>
      <c r="H1534" s="137"/>
      <c r="I1534" s="137"/>
      <c r="J1534" s="137"/>
      <c r="M1534" s="143"/>
      <c r="N1534" s="143"/>
      <c r="O1534" s="143"/>
      <c r="P1534" s="143"/>
      <c r="Q1534" s="137"/>
      <c r="R1534" s="137"/>
      <c r="S1534" s="137"/>
      <c r="T1534" s="137"/>
      <c r="U1534" s="137"/>
      <c r="V1534" s="137"/>
      <c r="W1534" s="137"/>
      <c r="X1534" s="137"/>
      <c r="Y1534" s="137"/>
      <c r="Z1534" s="137"/>
      <c r="AA1534" s="137"/>
    </row>
    <row r="1535" spans="5:27" x14ac:dyDescent="0.35">
      <c r="E1535" s="137"/>
      <c r="F1535" s="137"/>
      <c r="G1535" s="190"/>
      <c r="H1535" s="137"/>
      <c r="I1535" s="137"/>
      <c r="J1535" s="137"/>
      <c r="M1535" s="143"/>
      <c r="N1535" s="143"/>
      <c r="O1535" s="143"/>
      <c r="P1535" s="143"/>
      <c r="Q1535" s="137"/>
      <c r="R1535" s="137"/>
      <c r="S1535" s="137"/>
      <c r="T1535" s="137"/>
      <c r="U1535" s="137"/>
      <c r="V1535" s="137"/>
      <c r="W1535" s="137"/>
      <c r="X1535" s="137"/>
      <c r="Y1535" s="137"/>
      <c r="Z1535" s="137"/>
      <c r="AA1535" s="137"/>
    </row>
    <row r="1536" spans="5:27" x14ac:dyDescent="0.35">
      <c r="E1536" s="137"/>
      <c r="F1536" s="137"/>
      <c r="G1536" s="190"/>
      <c r="H1536" s="137"/>
      <c r="I1536" s="137"/>
      <c r="J1536" s="137"/>
      <c r="M1536" s="143"/>
      <c r="N1536" s="143"/>
      <c r="O1536" s="143"/>
      <c r="P1536" s="143"/>
      <c r="Q1536" s="137"/>
      <c r="R1536" s="137"/>
      <c r="S1536" s="137"/>
      <c r="T1536" s="137"/>
      <c r="U1536" s="137"/>
      <c r="V1536" s="137"/>
      <c r="W1536" s="137"/>
      <c r="X1536" s="137"/>
      <c r="Y1536" s="137"/>
      <c r="Z1536" s="137"/>
      <c r="AA1536" s="137"/>
    </row>
    <row r="1537" spans="5:27" x14ac:dyDescent="0.35">
      <c r="E1537" s="137"/>
      <c r="F1537" s="137"/>
      <c r="G1537" s="190"/>
      <c r="H1537" s="137"/>
      <c r="I1537" s="137"/>
      <c r="J1537" s="137"/>
      <c r="M1537" s="143"/>
      <c r="N1537" s="143"/>
      <c r="O1537" s="143"/>
      <c r="P1537" s="143"/>
      <c r="Q1537" s="137"/>
      <c r="R1537" s="137"/>
      <c r="S1537" s="137"/>
      <c r="T1537" s="137"/>
      <c r="U1537" s="137"/>
      <c r="V1537" s="137"/>
      <c r="W1537" s="137"/>
      <c r="X1537" s="137"/>
      <c r="Y1537" s="137"/>
      <c r="Z1537" s="137"/>
      <c r="AA1537" s="137"/>
    </row>
    <row r="1538" spans="5:27" x14ac:dyDescent="0.35">
      <c r="E1538" s="137"/>
      <c r="F1538" s="137"/>
      <c r="G1538" s="190"/>
      <c r="H1538" s="137"/>
      <c r="I1538" s="137"/>
      <c r="J1538" s="137"/>
      <c r="M1538" s="143"/>
      <c r="N1538" s="143"/>
      <c r="O1538" s="143"/>
      <c r="P1538" s="143"/>
      <c r="Q1538" s="137"/>
      <c r="R1538" s="137"/>
      <c r="S1538" s="137"/>
      <c r="T1538" s="137"/>
      <c r="U1538" s="137"/>
      <c r="V1538" s="137"/>
      <c r="W1538" s="137"/>
      <c r="X1538" s="137"/>
      <c r="Y1538" s="137"/>
      <c r="Z1538" s="137"/>
      <c r="AA1538" s="137"/>
    </row>
    <row r="1539" spans="5:27" x14ac:dyDescent="0.35">
      <c r="E1539" s="137"/>
      <c r="F1539" s="137"/>
      <c r="G1539" s="190"/>
      <c r="H1539" s="137"/>
      <c r="I1539" s="137"/>
      <c r="J1539" s="137"/>
      <c r="M1539" s="143"/>
      <c r="N1539" s="143"/>
      <c r="O1539" s="143"/>
      <c r="P1539" s="143"/>
      <c r="Q1539" s="137"/>
      <c r="R1539" s="137"/>
      <c r="S1539" s="137"/>
      <c r="T1539" s="137"/>
      <c r="U1539" s="137"/>
      <c r="V1539" s="137"/>
      <c r="W1539" s="137"/>
      <c r="X1539" s="137"/>
      <c r="Y1539" s="137"/>
      <c r="Z1539" s="137"/>
      <c r="AA1539" s="137"/>
    </row>
    <row r="1540" spans="5:27" x14ac:dyDescent="0.35">
      <c r="E1540" s="137"/>
      <c r="F1540" s="137"/>
      <c r="G1540" s="190"/>
      <c r="H1540" s="137"/>
      <c r="I1540" s="137"/>
      <c r="J1540" s="137"/>
      <c r="M1540" s="143"/>
      <c r="N1540" s="143"/>
      <c r="O1540" s="143"/>
      <c r="P1540" s="143"/>
      <c r="Q1540" s="137"/>
      <c r="R1540" s="137"/>
      <c r="S1540" s="137"/>
      <c r="T1540" s="137"/>
      <c r="U1540" s="137"/>
      <c r="V1540" s="137"/>
      <c r="W1540" s="137"/>
      <c r="X1540" s="137"/>
      <c r="Y1540" s="137"/>
      <c r="Z1540" s="137"/>
      <c r="AA1540" s="137"/>
    </row>
    <row r="1541" spans="5:27" x14ac:dyDescent="0.35">
      <c r="E1541" s="137"/>
      <c r="F1541" s="137"/>
      <c r="G1541" s="190"/>
      <c r="H1541" s="137"/>
      <c r="I1541" s="137"/>
      <c r="J1541" s="137"/>
      <c r="M1541" s="143"/>
      <c r="N1541" s="143"/>
      <c r="O1541" s="143"/>
      <c r="P1541" s="143"/>
      <c r="Q1541" s="137"/>
      <c r="R1541" s="137"/>
      <c r="S1541" s="137"/>
      <c r="T1541" s="137"/>
      <c r="U1541" s="137"/>
      <c r="V1541" s="137"/>
      <c r="W1541" s="137"/>
      <c r="X1541" s="137"/>
      <c r="Y1541" s="137"/>
      <c r="Z1541" s="137"/>
      <c r="AA1541" s="137"/>
    </row>
    <row r="1542" spans="5:27" x14ac:dyDescent="0.35">
      <c r="E1542" s="137"/>
      <c r="F1542" s="137"/>
      <c r="G1542" s="190"/>
      <c r="H1542" s="137"/>
      <c r="I1542" s="137"/>
      <c r="J1542" s="137"/>
      <c r="M1542" s="143"/>
      <c r="N1542" s="143"/>
      <c r="O1542" s="143"/>
      <c r="P1542" s="143"/>
      <c r="Q1542" s="137"/>
      <c r="R1542" s="137"/>
      <c r="S1542" s="137"/>
      <c r="T1542" s="137"/>
      <c r="U1542" s="137"/>
      <c r="V1542" s="137"/>
      <c r="W1542" s="137"/>
      <c r="X1542" s="137"/>
      <c r="Y1542" s="137"/>
      <c r="Z1542" s="137"/>
      <c r="AA1542" s="137"/>
    </row>
    <row r="1543" spans="5:27" x14ac:dyDescent="0.35">
      <c r="E1543" s="137"/>
      <c r="F1543" s="137"/>
      <c r="G1543" s="190"/>
      <c r="H1543" s="137"/>
      <c r="I1543" s="137"/>
      <c r="J1543" s="137"/>
      <c r="M1543" s="143"/>
      <c r="N1543" s="143"/>
      <c r="O1543" s="143"/>
      <c r="P1543" s="143"/>
      <c r="Q1543" s="137"/>
      <c r="R1543" s="137"/>
      <c r="S1543" s="137"/>
      <c r="T1543" s="137"/>
      <c r="U1543" s="137"/>
      <c r="V1543" s="137"/>
      <c r="W1543" s="137"/>
      <c r="X1543" s="137"/>
      <c r="Y1543" s="137"/>
      <c r="Z1543" s="137"/>
      <c r="AA1543" s="137"/>
    </row>
    <row r="1544" spans="5:27" x14ac:dyDescent="0.35">
      <c r="E1544" s="137"/>
      <c r="F1544" s="137"/>
      <c r="G1544" s="190"/>
      <c r="H1544" s="137"/>
      <c r="I1544" s="137"/>
      <c r="J1544" s="137"/>
      <c r="M1544" s="143"/>
      <c r="N1544" s="143"/>
      <c r="O1544" s="143"/>
      <c r="P1544" s="143"/>
      <c r="Q1544" s="137"/>
      <c r="R1544" s="137"/>
      <c r="S1544" s="137"/>
      <c r="T1544" s="137"/>
      <c r="U1544" s="137"/>
      <c r="V1544" s="137"/>
      <c r="W1544" s="137"/>
      <c r="X1544" s="137"/>
      <c r="Y1544" s="137"/>
      <c r="Z1544" s="137"/>
      <c r="AA1544" s="137"/>
    </row>
    <row r="1545" spans="5:27" x14ac:dyDescent="0.35">
      <c r="E1545" s="137"/>
      <c r="F1545" s="137"/>
      <c r="G1545" s="190"/>
      <c r="H1545" s="137"/>
      <c r="I1545" s="137"/>
      <c r="J1545" s="137"/>
      <c r="M1545" s="143"/>
      <c r="N1545" s="143"/>
      <c r="O1545" s="143"/>
      <c r="P1545" s="143"/>
      <c r="Q1545" s="137"/>
      <c r="R1545" s="137"/>
      <c r="S1545" s="137"/>
      <c r="T1545" s="137"/>
      <c r="U1545" s="137"/>
      <c r="V1545" s="137"/>
      <c r="W1545" s="137"/>
      <c r="X1545" s="137"/>
      <c r="Y1545" s="137"/>
      <c r="Z1545" s="137"/>
      <c r="AA1545" s="137"/>
    </row>
    <row r="1546" spans="5:27" x14ac:dyDescent="0.35">
      <c r="E1546" s="137"/>
      <c r="F1546" s="137"/>
      <c r="G1546" s="190"/>
      <c r="H1546" s="137"/>
      <c r="I1546" s="137"/>
      <c r="J1546" s="137"/>
      <c r="M1546" s="143"/>
      <c r="N1546" s="143"/>
      <c r="O1546" s="143"/>
      <c r="P1546" s="143"/>
      <c r="Q1546" s="137"/>
      <c r="R1546" s="137"/>
      <c r="S1546" s="137"/>
      <c r="T1546" s="137"/>
      <c r="U1546" s="137"/>
      <c r="V1546" s="137"/>
      <c r="W1546" s="137"/>
      <c r="X1546" s="137"/>
      <c r="Y1546" s="137"/>
      <c r="Z1546" s="137"/>
      <c r="AA1546" s="137"/>
    </row>
    <row r="1547" spans="5:27" x14ac:dyDescent="0.35">
      <c r="E1547" s="137"/>
      <c r="F1547" s="137"/>
      <c r="G1547" s="190"/>
      <c r="H1547" s="137"/>
      <c r="I1547" s="137"/>
      <c r="J1547" s="137"/>
      <c r="M1547" s="143"/>
      <c r="N1547" s="143"/>
      <c r="O1547" s="143"/>
      <c r="P1547" s="143"/>
      <c r="Q1547" s="137"/>
      <c r="R1547" s="137"/>
      <c r="S1547" s="137"/>
      <c r="T1547" s="137"/>
      <c r="U1547" s="137"/>
      <c r="V1547" s="137"/>
      <c r="W1547" s="137"/>
      <c r="X1547" s="137"/>
      <c r="Y1547" s="137"/>
      <c r="Z1547" s="137"/>
      <c r="AA1547" s="137"/>
    </row>
    <row r="1548" spans="5:27" x14ac:dyDescent="0.35">
      <c r="E1548" s="137"/>
      <c r="F1548" s="137"/>
      <c r="G1548" s="190"/>
      <c r="H1548" s="137"/>
      <c r="I1548" s="137"/>
      <c r="J1548" s="137"/>
      <c r="M1548" s="143"/>
      <c r="N1548" s="143"/>
      <c r="O1548" s="143"/>
      <c r="P1548" s="143"/>
      <c r="Q1548" s="137"/>
      <c r="R1548" s="137"/>
      <c r="S1548" s="137"/>
      <c r="T1548" s="137"/>
      <c r="U1548" s="137"/>
      <c r="V1548" s="137"/>
      <c r="W1548" s="137"/>
      <c r="X1548" s="137"/>
      <c r="Y1548" s="137"/>
      <c r="Z1548" s="137"/>
      <c r="AA1548" s="137"/>
    </row>
    <row r="1549" spans="5:27" x14ac:dyDescent="0.35">
      <c r="E1549" s="137"/>
      <c r="F1549" s="137"/>
      <c r="G1549" s="190"/>
      <c r="H1549" s="137"/>
      <c r="I1549" s="137"/>
      <c r="J1549" s="137"/>
      <c r="M1549" s="143"/>
      <c r="N1549" s="143"/>
      <c r="O1549" s="143"/>
      <c r="P1549" s="143"/>
      <c r="Q1549" s="137"/>
      <c r="R1549" s="137"/>
      <c r="S1549" s="137"/>
      <c r="T1549" s="137"/>
      <c r="U1549" s="137"/>
      <c r="V1549" s="137"/>
      <c r="W1549" s="137"/>
      <c r="X1549" s="137"/>
      <c r="Y1549" s="137"/>
      <c r="Z1549" s="137"/>
      <c r="AA1549" s="137"/>
    </row>
    <row r="1550" spans="5:27" x14ac:dyDescent="0.35">
      <c r="E1550" s="137"/>
      <c r="F1550" s="137"/>
      <c r="G1550" s="190"/>
      <c r="H1550" s="137"/>
      <c r="I1550" s="137"/>
      <c r="J1550" s="137"/>
      <c r="M1550" s="143"/>
      <c r="N1550" s="143"/>
      <c r="O1550" s="143"/>
      <c r="P1550" s="143"/>
      <c r="Q1550" s="137"/>
      <c r="R1550" s="137"/>
      <c r="S1550" s="137"/>
      <c r="T1550" s="137"/>
      <c r="U1550" s="137"/>
      <c r="V1550" s="137"/>
      <c r="W1550" s="137"/>
      <c r="X1550" s="137"/>
      <c r="Y1550" s="137"/>
      <c r="Z1550" s="137"/>
      <c r="AA1550" s="137"/>
    </row>
    <row r="1551" spans="5:27" x14ac:dyDescent="0.35">
      <c r="E1551" s="137"/>
      <c r="F1551" s="137"/>
      <c r="G1551" s="190"/>
      <c r="H1551" s="137"/>
      <c r="I1551" s="137"/>
      <c r="J1551" s="137"/>
      <c r="M1551" s="143"/>
      <c r="N1551" s="143"/>
      <c r="O1551" s="143"/>
      <c r="P1551" s="143"/>
      <c r="Q1551" s="137"/>
      <c r="R1551" s="137"/>
      <c r="S1551" s="137"/>
      <c r="T1551" s="137"/>
      <c r="U1551" s="137"/>
      <c r="V1551" s="137"/>
      <c r="W1551" s="137"/>
      <c r="X1551" s="137"/>
      <c r="Y1551" s="137"/>
      <c r="Z1551" s="137"/>
      <c r="AA1551" s="137"/>
    </row>
    <row r="1552" spans="5:27" x14ac:dyDescent="0.35">
      <c r="E1552" s="137"/>
      <c r="F1552" s="137"/>
      <c r="G1552" s="190"/>
      <c r="H1552" s="137"/>
      <c r="I1552" s="137"/>
      <c r="J1552" s="137"/>
      <c r="M1552" s="143"/>
      <c r="N1552" s="143"/>
      <c r="O1552" s="143"/>
      <c r="P1552" s="143"/>
      <c r="Q1552" s="137"/>
      <c r="R1552" s="137"/>
      <c r="S1552" s="137"/>
      <c r="T1552" s="137"/>
      <c r="U1552" s="137"/>
      <c r="V1552" s="137"/>
      <c r="W1552" s="137"/>
      <c r="X1552" s="137"/>
      <c r="Y1552" s="137"/>
      <c r="Z1552" s="137"/>
      <c r="AA1552" s="137"/>
    </row>
    <row r="1553" spans="5:27" x14ac:dyDescent="0.35">
      <c r="E1553" s="137"/>
      <c r="F1553" s="137"/>
      <c r="G1553" s="190"/>
      <c r="H1553" s="137"/>
      <c r="I1553" s="137"/>
      <c r="J1553" s="137"/>
      <c r="M1553" s="143"/>
      <c r="N1553" s="143"/>
      <c r="O1553" s="143"/>
      <c r="P1553" s="143"/>
      <c r="Q1553" s="137"/>
      <c r="R1553" s="137"/>
      <c r="S1553" s="137"/>
      <c r="T1553" s="137"/>
      <c r="U1553" s="137"/>
      <c r="V1553" s="137"/>
      <c r="W1553" s="137"/>
      <c r="X1553" s="137"/>
      <c r="Y1553" s="137"/>
      <c r="Z1553" s="137"/>
      <c r="AA1553" s="137"/>
    </row>
    <row r="1554" spans="5:27" x14ac:dyDescent="0.35">
      <c r="E1554" s="137"/>
      <c r="F1554" s="137"/>
      <c r="G1554" s="190"/>
      <c r="H1554" s="137"/>
      <c r="I1554" s="137"/>
      <c r="J1554" s="137"/>
      <c r="M1554" s="143"/>
      <c r="N1554" s="143"/>
      <c r="O1554" s="143"/>
      <c r="P1554" s="143"/>
      <c r="Q1554" s="137"/>
      <c r="R1554" s="137"/>
      <c r="S1554" s="137"/>
      <c r="T1554" s="137"/>
      <c r="U1554" s="137"/>
      <c r="V1554" s="137"/>
      <c r="W1554" s="137"/>
      <c r="X1554" s="137"/>
      <c r="Y1554" s="137"/>
      <c r="Z1554" s="137"/>
      <c r="AA1554" s="137"/>
    </row>
    <row r="1555" spans="5:27" x14ac:dyDescent="0.35">
      <c r="E1555" s="137"/>
      <c r="F1555" s="137"/>
      <c r="G1555" s="190"/>
      <c r="H1555" s="137"/>
      <c r="I1555" s="137"/>
      <c r="J1555" s="137"/>
      <c r="M1555" s="143"/>
      <c r="N1555" s="143"/>
      <c r="O1555" s="143"/>
      <c r="P1555" s="143"/>
      <c r="Q1555" s="137"/>
      <c r="R1555" s="137"/>
      <c r="S1555" s="137"/>
      <c r="T1555" s="137"/>
      <c r="U1555" s="137"/>
      <c r="V1555" s="137"/>
      <c r="W1555" s="137"/>
      <c r="X1555" s="137"/>
      <c r="Y1555" s="137"/>
      <c r="Z1555" s="137"/>
      <c r="AA1555" s="137"/>
    </row>
    <row r="1556" spans="5:27" x14ac:dyDescent="0.35">
      <c r="E1556" s="137"/>
      <c r="F1556" s="137"/>
      <c r="G1556" s="190"/>
      <c r="H1556" s="137"/>
      <c r="I1556" s="137"/>
      <c r="J1556" s="137"/>
      <c r="M1556" s="143"/>
      <c r="N1556" s="143"/>
      <c r="O1556" s="143"/>
      <c r="P1556" s="143"/>
      <c r="Q1556" s="137"/>
      <c r="R1556" s="137"/>
      <c r="S1556" s="137"/>
      <c r="T1556" s="137"/>
      <c r="U1556" s="137"/>
      <c r="V1556" s="137"/>
      <c r="W1556" s="137"/>
      <c r="X1556" s="137"/>
      <c r="Y1556" s="137"/>
      <c r="Z1556" s="137"/>
      <c r="AA1556" s="137"/>
    </row>
    <row r="1557" spans="5:27" x14ac:dyDescent="0.35">
      <c r="E1557" s="137"/>
      <c r="F1557" s="137"/>
      <c r="G1557" s="190"/>
      <c r="H1557" s="137"/>
      <c r="I1557" s="137"/>
      <c r="J1557" s="137"/>
      <c r="M1557" s="143"/>
      <c r="N1557" s="143"/>
      <c r="O1557" s="143"/>
      <c r="P1557" s="143"/>
      <c r="Q1557" s="137"/>
      <c r="R1557" s="137"/>
      <c r="S1557" s="137"/>
      <c r="T1557" s="137"/>
      <c r="U1557" s="137"/>
      <c r="V1557" s="137"/>
      <c r="W1557" s="137"/>
      <c r="X1557" s="137"/>
      <c r="Y1557" s="137"/>
      <c r="Z1557" s="137"/>
      <c r="AA1557" s="137"/>
    </row>
    <row r="1558" spans="5:27" x14ac:dyDescent="0.35">
      <c r="E1558" s="137"/>
      <c r="F1558" s="137"/>
      <c r="G1558" s="190"/>
      <c r="H1558" s="137"/>
      <c r="I1558" s="137"/>
      <c r="J1558" s="137"/>
      <c r="M1558" s="143"/>
      <c r="N1558" s="143"/>
      <c r="O1558" s="143"/>
      <c r="P1558" s="143"/>
      <c r="Q1558" s="137"/>
      <c r="R1558" s="137"/>
      <c r="S1558" s="137"/>
      <c r="T1558" s="137"/>
      <c r="U1558" s="137"/>
      <c r="V1558" s="137"/>
      <c r="W1558" s="137"/>
      <c r="X1558" s="137"/>
      <c r="Y1558" s="137"/>
      <c r="Z1558" s="137"/>
      <c r="AA1558" s="137"/>
    </row>
    <row r="1559" spans="5:27" x14ac:dyDescent="0.35">
      <c r="E1559" s="137"/>
      <c r="F1559" s="137"/>
      <c r="G1559" s="190"/>
      <c r="H1559" s="137"/>
      <c r="I1559" s="137"/>
      <c r="J1559" s="137"/>
      <c r="M1559" s="143"/>
      <c r="N1559" s="143"/>
      <c r="O1559" s="143"/>
      <c r="P1559" s="143"/>
      <c r="Q1559" s="137"/>
      <c r="R1559" s="137"/>
      <c r="S1559" s="137"/>
      <c r="T1559" s="137"/>
      <c r="U1559" s="137"/>
      <c r="V1559" s="137"/>
      <c r="W1559" s="137"/>
      <c r="X1559" s="137"/>
      <c r="Y1559" s="137"/>
      <c r="Z1559" s="137"/>
      <c r="AA1559" s="137"/>
    </row>
    <row r="1560" spans="5:27" x14ac:dyDescent="0.35">
      <c r="E1560" s="137"/>
      <c r="F1560" s="137"/>
      <c r="G1560" s="190"/>
      <c r="H1560" s="137"/>
      <c r="I1560" s="137"/>
      <c r="J1560" s="137"/>
      <c r="M1560" s="143"/>
      <c r="N1560" s="143"/>
      <c r="O1560" s="143"/>
      <c r="P1560" s="143"/>
      <c r="Q1560" s="137"/>
      <c r="R1560" s="137"/>
      <c r="S1560" s="137"/>
      <c r="T1560" s="137"/>
      <c r="U1560" s="137"/>
      <c r="V1560" s="137"/>
      <c r="W1560" s="137"/>
      <c r="X1560" s="137"/>
      <c r="Y1560" s="137"/>
      <c r="Z1560" s="137"/>
      <c r="AA1560" s="137"/>
    </row>
    <row r="1561" spans="5:27" x14ac:dyDescent="0.35">
      <c r="E1561" s="137"/>
      <c r="F1561" s="137"/>
      <c r="G1561" s="190"/>
      <c r="H1561" s="137"/>
      <c r="I1561" s="137"/>
      <c r="J1561" s="137"/>
      <c r="M1561" s="143"/>
      <c r="N1561" s="143"/>
      <c r="O1561" s="143"/>
      <c r="P1561" s="143"/>
      <c r="Q1561" s="137"/>
      <c r="R1561" s="137"/>
      <c r="S1561" s="137"/>
      <c r="T1561" s="137"/>
      <c r="U1561" s="137"/>
      <c r="V1561" s="137"/>
      <c r="W1561" s="137"/>
      <c r="X1561" s="137"/>
      <c r="Y1561" s="137"/>
      <c r="Z1561" s="137"/>
      <c r="AA1561" s="137"/>
    </row>
    <row r="1562" spans="5:27" x14ac:dyDescent="0.35">
      <c r="E1562" s="137"/>
      <c r="F1562" s="137"/>
      <c r="G1562" s="190"/>
      <c r="H1562" s="137"/>
      <c r="I1562" s="137"/>
      <c r="J1562" s="137"/>
      <c r="M1562" s="143"/>
      <c r="N1562" s="143"/>
      <c r="O1562" s="143"/>
      <c r="P1562" s="143"/>
      <c r="Q1562" s="137"/>
      <c r="R1562" s="137"/>
      <c r="S1562" s="137"/>
      <c r="T1562" s="137"/>
      <c r="U1562" s="137"/>
      <c r="V1562" s="137"/>
      <c r="W1562" s="137"/>
      <c r="X1562" s="137"/>
      <c r="Y1562" s="137"/>
      <c r="Z1562" s="137"/>
      <c r="AA1562" s="137"/>
    </row>
    <row r="1563" spans="5:27" x14ac:dyDescent="0.35">
      <c r="E1563" s="137"/>
      <c r="F1563" s="137"/>
      <c r="G1563" s="190"/>
      <c r="H1563" s="137"/>
      <c r="I1563" s="137"/>
      <c r="J1563" s="137"/>
      <c r="M1563" s="143"/>
      <c r="N1563" s="143"/>
      <c r="O1563" s="143"/>
      <c r="P1563" s="143"/>
      <c r="Q1563" s="137"/>
      <c r="R1563" s="137"/>
      <c r="S1563" s="137"/>
      <c r="T1563" s="137"/>
      <c r="U1563" s="137"/>
      <c r="V1563" s="137"/>
      <c r="W1563" s="137"/>
      <c r="X1563" s="137"/>
      <c r="Y1563" s="137"/>
      <c r="Z1563" s="137"/>
      <c r="AA1563" s="137"/>
    </row>
    <row r="1564" spans="5:27" x14ac:dyDescent="0.35">
      <c r="E1564" s="137"/>
      <c r="F1564" s="137"/>
      <c r="G1564" s="190"/>
      <c r="H1564" s="137"/>
      <c r="I1564" s="137"/>
      <c r="J1564" s="137"/>
      <c r="M1564" s="143"/>
      <c r="N1564" s="143"/>
      <c r="O1564" s="143"/>
      <c r="P1564" s="143"/>
      <c r="Q1564" s="137"/>
      <c r="R1564" s="137"/>
      <c r="S1564" s="137"/>
      <c r="T1564" s="137"/>
      <c r="U1564" s="137"/>
      <c r="V1564" s="137"/>
      <c r="W1564" s="137"/>
      <c r="X1564" s="137"/>
      <c r="Y1564" s="137"/>
      <c r="Z1564" s="137"/>
      <c r="AA1564" s="137"/>
    </row>
    <row r="1565" spans="5:27" x14ac:dyDescent="0.35">
      <c r="E1565" s="137"/>
      <c r="F1565" s="137"/>
      <c r="G1565" s="190"/>
      <c r="H1565" s="137"/>
      <c r="I1565" s="137"/>
      <c r="J1565" s="137"/>
      <c r="M1565" s="143"/>
      <c r="N1565" s="143"/>
      <c r="O1565" s="143"/>
      <c r="P1565" s="143"/>
      <c r="Q1565" s="137"/>
      <c r="R1565" s="137"/>
      <c r="S1565" s="137"/>
      <c r="T1565" s="137"/>
      <c r="U1565" s="137"/>
      <c r="V1565" s="137"/>
      <c r="W1565" s="137"/>
      <c r="X1565" s="137"/>
      <c r="Y1565" s="137"/>
      <c r="Z1565" s="137"/>
      <c r="AA1565" s="137"/>
    </row>
    <row r="1566" spans="5:27" x14ac:dyDescent="0.35">
      <c r="E1566" s="137"/>
      <c r="F1566" s="137"/>
      <c r="G1566" s="190"/>
      <c r="H1566" s="137"/>
      <c r="I1566" s="137"/>
      <c r="J1566" s="137"/>
      <c r="M1566" s="143"/>
      <c r="N1566" s="143"/>
      <c r="O1566" s="143"/>
      <c r="P1566" s="143"/>
      <c r="Q1566" s="137"/>
      <c r="R1566" s="137"/>
      <c r="S1566" s="137"/>
      <c r="T1566" s="137"/>
      <c r="U1566" s="137"/>
      <c r="V1566" s="137"/>
      <c r="W1566" s="137"/>
      <c r="X1566" s="137"/>
      <c r="Y1566" s="137"/>
      <c r="Z1566" s="137"/>
      <c r="AA1566" s="137"/>
    </row>
    <row r="1567" spans="5:27" x14ac:dyDescent="0.35">
      <c r="E1567" s="137"/>
      <c r="F1567" s="137"/>
      <c r="G1567" s="190"/>
      <c r="H1567" s="137"/>
      <c r="I1567" s="137"/>
      <c r="J1567" s="137"/>
      <c r="M1567" s="143"/>
      <c r="N1567" s="143"/>
      <c r="O1567" s="143"/>
      <c r="P1567" s="143"/>
      <c r="Q1567" s="137"/>
      <c r="R1567" s="137"/>
      <c r="S1567" s="137"/>
      <c r="T1567" s="137"/>
      <c r="U1567" s="137"/>
      <c r="V1567" s="137"/>
      <c r="W1567" s="137"/>
      <c r="X1567" s="137"/>
      <c r="Y1567" s="137"/>
      <c r="Z1567" s="137"/>
      <c r="AA1567" s="137"/>
    </row>
    <row r="1568" spans="5:27" x14ac:dyDescent="0.35">
      <c r="E1568" s="137"/>
      <c r="F1568" s="137"/>
      <c r="G1568" s="190"/>
      <c r="H1568" s="137"/>
      <c r="I1568" s="137"/>
      <c r="J1568" s="137"/>
      <c r="M1568" s="143"/>
      <c r="N1568" s="143"/>
      <c r="O1568" s="143"/>
      <c r="P1568" s="143"/>
      <c r="Q1568" s="137"/>
      <c r="R1568" s="137"/>
      <c r="S1568" s="137"/>
      <c r="T1568" s="137"/>
      <c r="U1568" s="137"/>
      <c r="V1568" s="137"/>
      <c r="W1568" s="137"/>
      <c r="X1568" s="137"/>
      <c r="Y1568" s="137"/>
      <c r="Z1568" s="137"/>
      <c r="AA1568" s="137"/>
    </row>
    <row r="1569" spans="5:27" x14ac:dyDescent="0.35">
      <c r="E1569" s="137"/>
      <c r="F1569" s="137"/>
      <c r="G1569" s="190"/>
      <c r="H1569" s="137"/>
      <c r="I1569" s="137"/>
      <c r="J1569" s="137"/>
      <c r="M1569" s="143"/>
      <c r="N1569" s="143"/>
      <c r="O1569" s="143"/>
      <c r="P1569" s="143"/>
      <c r="Q1569" s="137"/>
      <c r="R1569" s="137"/>
      <c r="S1569" s="137"/>
      <c r="T1569" s="137"/>
      <c r="U1569" s="137"/>
      <c r="V1569" s="137"/>
      <c r="W1569" s="137"/>
      <c r="X1569" s="137"/>
      <c r="Y1569" s="137"/>
      <c r="Z1569" s="137"/>
      <c r="AA1569" s="137"/>
    </row>
    <row r="1570" spans="5:27" x14ac:dyDescent="0.35">
      <c r="E1570" s="137"/>
      <c r="F1570" s="137"/>
      <c r="G1570" s="190"/>
      <c r="H1570" s="137"/>
      <c r="I1570" s="137"/>
      <c r="J1570" s="137"/>
      <c r="M1570" s="143"/>
      <c r="N1570" s="143"/>
      <c r="O1570" s="143"/>
      <c r="P1570" s="143"/>
      <c r="Q1570" s="137"/>
      <c r="R1570" s="137"/>
      <c r="S1570" s="137"/>
      <c r="T1570" s="137"/>
      <c r="U1570" s="137"/>
      <c r="V1570" s="137"/>
      <c r="W1570" s="137"/>
      <c r="X1570" s="137"/>
      <c r="Y1570" s="137"/>
      <c r="Z1570" s="137"/>
      <c r="AA1570" s="137"/>
    </row>
    <row r="1571" spans="5:27" x14ac:dyDescent="0.35">
      <c r="E1571" s="137"/>
      <c r="F1571" s="137"/>
      <c r="G1571" s="190"/>
      <c r="H1571" s="137"/>
      <c r="I1571" s="137"/>
      <c r="J1571" s="137"/>
      <c r="M1571" s="143"/>
      <c r="N1571" s="143"/>
      <c r="O1571" s="143"/>
      <c r="P1571" s="143"/>
      <c r="Q1571" s="137"/>
      <c r="R1571" s="137"/>
      <c r="S1571" s="137"/>
      <c r="T1571" s="137"/>
      <c r="U1571" s="137"/>
      <c r="V1571" s="137"/>
      <c r="W1571" s="137"/>
      <c r="X1571" s="137"/>
      <c r="Y1571" s="137"/>
      <c r="Z1571" s="137"/>
      <c r="AA1571" s="137"/>
    </row>
    <row r="1572" spans="5:27" x14ac:dyDescent="0.35">
      <c r="E1572" s="137"/>
      <c r="F1572" s="137"/>
      <c r="G1572" s="190"/>
      <c r="H1572" s="137"/>
      <c r="I1572" s="137"/>
      <c r="J1572" s="137"/>
      <c r="M1572" s="143"/>
      <c r="N1572" s="143"/>
      <c r="O1572" s="143"/>
      <c r="P1572" s="143"/>
      <c r="Q1572" s="137"/>
      <c r="R1572" s="137"/>
      <c r="S1572" s="137"/>
      <c r="T1572" s="137"/>
      <c r="U1572" s="137"/>
      <c r="V1572" s="137"/>
      <c r="W1572" s="137"/>
      <c r="X1572" s="137"/>
      <c r="Y1572" s="137"/>
      <c r="Z1572" s="137"/>
      <c r="AA1572" s="137"/>
    </row>
    <row r="1573" spans="5:27" x14ac:dyDescent="0.35">
      <c r="E1573" s="137"/>
      <c r="F1573" s="137"/>
      <c r="G1573" s="190"/>
      <c r="H1573" s="137"/>
      <c r="I1573" s="137"/>
      <c r="J1573" s="137"/>
      <c r="M1573" s="143"/>
      <c r="N1573" s="143"/>
      <c r="O1573" s="143"/>
      <c r="P1573" s="143"/>
      <c r="Q1573" s="137"/>
      <c r="R1573" s="137"/>
      <c r="S1573" s="137"/>
      <c r="T1573" s="137"/>
      <c r="U1573" s="137"/>
      <c r="V1573" s="137"/>
      <c r="W1573" s="137"/>
      <c r="X1573" s="137"/>
      <c r="Y1573" s="137"/>
      <c r="Z1573" s="137"/>
      <c r="AA1573" s="137"/>
    </row>
    <row r="1574" spans="5:27" x14ac:dyDescent="0.35">
      <c r="E1574" s="137"/>
      <c r="F1574" s="137"/>
      <c r="G1574" s="190"/>
      <c r="H1574" s="137"/>
      <c r="I1574" s="137"/>
      <c r="J1574" s="137"/>
      <c r="M1574" s="143"/>
      <c r="N1574" s="143"/>
      <c r="O1574" s="143"/>
      <c r="P1574" s="143"/>
      <c r="Q1574" s="137"/>
      <c r="R1574" s="137"/>
      <c r="S1574" s="137"/>
      <c r="T1574" s="137"/>
      <c r="U1574" s="137"/>
      <c r="V1574" s="137"/>
      <c r="W1574" s="137"/>
      <c r="X1574" s="137"/>
      <c r="Y1574" s="137"/>
      <c r="Z1574" s="137"/>
      <c r="AA1574" s="137"/>
    </row>
    <row r="1575" spans="5:27" x14ac:dyDescent="0.35">
      <c r="E1575" s="137"/>
      <c r="F1575" s="137"/>
      <c r="G1575" s="190"/>
      <c r="H1575" s="137"/>
      <c r="I1575" s="137"/>
      <c r="J1575" s="137"/>
      <c r="M1575" s="143"/>
      <c r="N1575" s="143"/>
      <c r="O1575" s="143"/>
      <c r="P1575" s="143"/>
      <c r="Q1575" s="137"/>
      <c r="R1575" s="137"/>
      <c r="S1575" s="137"/>
      <c r="T1575" s="137"/>
      <c r="U1575" s="137"/>
      <c r="V1575" s="137"/>
      <c r="W1575" s="137"/>
      <c r="X1575" s="137"/>
      <c r="Y1575" s="137"/>
      <c r="Z1575" s="137"/>
      <c r="AA1575" s="137"/>
    </row>
    <row r="1576" spans="5:27" x14ac:dyDescent="0.35">
      <c r="E1576" s="137"/>
      <c r="F1576" s="137"/>
      <c r="G1576" s="190"/>
      <c r="H1576" s="137"/>
      <c r="I1576" s="137"/>
      <c r="J1576" s="137"/>
      <c r="M1576" s="143"/>
      <c r="N1576" s="143"/>
      <c r="O1576" s="143"/>
      <c r="P1576" s="143"/>
      <c r="Q1576" s="137"/>
      <c r="R1576" s="137"/>
      <c r="S1576" s="137"/>
      <c r="T1576" s="137"/>
      <c r="U1576" s="137"/>
      <c r="V1576" s="137"/>
      <c r="W1576" s="137"/>
      <c r="X1576" s="137"/>
      <c r="Y1576" s="137"/>
      <c r="Z1576" s="137"/>
      <c r="AA1576" s="137"/>
    </row>
    <row r="1577" spans="5:27" x14ac:dyDescent="0.35">
      <c r="E1577" s="137"/>
      <c r="F1577" s="137"/>
      <c r="G1577" s="190"/>
      <c r="H1577" s="137"/>
      <c r="I1577" s="137"/>
      <c r="J1577" s="137"/>
      <c r="M1577" s="143"/>
      <c r="N1577" s="143"/>
      <c r="O1577" s="143"/>
      <c r="P1577" s="143"/>
      <c r="Q1577" s="137"/>
      <c r="R1577" s="137"/>
      <c r="S1577" s="137"/>
      <c r="T1577" s="137"/>
      <c r="U1577" s="137"/>
      <c r="V1577" s="137"/>
      <c r="W1577" s="137"/>
      <c r="X1577" s="137"/>
      <c r="Y1577" s="137"/>
      <c r="Z1577" s="137"/>
      <c r="AA1577" s="137"/>
    </row>
    <row r="1578" spans="5:27" x14ac:dyDescent="0.35">
      <c r="E1578" s="137"/>
      <c r="F1578" s="137"/>
      <c r="G1578" s="190"/>
      <c r="H1578" s="137"/>
      <c r="I1578" s="137"/>
      <c r="J1578" s="137"/>
      <c r="M1578" s="143"/>
      <c r="N1578" s="143"/>
      <c r="O1578" s="143"/>
      <c r="P1578" s="143"/>
      <c r="Q1578" s="137"/>
      <c r="R1578" s="137"/>
      <c r="S1578" s="137"/>
      <c r="T1578" s="137"/>
      <c r="U1578" s="137"/>
      <c r="V1578" s="137"/>
      <c r="W1578" s="137"/>
      <c r="X1578" s="137"/>
      <c r="Y1578" s="137"/>
      <c r="Z1578" s="137"/>
      <c r="AA1578" s="137"/>
    </row>
    <row r="1579" spans="5:27" x14ac:dyDescent="0.35">
      <c r="E1579" s="137"/>
      <c r="F1579" s="137"/>
      <c r="G1579" s="190"/>
      <c r="H1579" s="137"/>
      <c r="I1579" s="137"/>
      <c r="J1579" s="137"/>
      <c r="M1579" s="143"/>
      <c r="N1579" s="143"/>
      <c r="O1579" s="143"/>
      <c r="P1579" s="143"/>
      <c r="Q1579" s="137"/>
      <c r="R1579" s="137"/>
      <c r="S1579" s="137"/>
      <c r="T1579" s="137"/>
      <c r="U1579" s="137"/>
      <c r="V1579" s="137"/>
      <c r="W1579" s="137"/>
      <c r="X1579" s="137"/>
      <c r="Y1579" s="137"/>
      <c r="Z1579" s="137"/>
      <c r="AA1579" s="137"/>
    </row>
    <row r="1580" spans="5:27" x14ac:dyDescent="0.35">
      <c r="E1580" s="137"/>
      <c r="F1580" s="137"/>
      <c r="G1580" s="190"/>
      <c r="H1580" s="137"/>
      <c r="I1580" s="137"/>
      <c r="J1580" s="137"/>
      <c r="M1580" s="143"/>
      <c r="N1580" s="143"/>
      <c r="O1580" s="143"/>
      <c r="P1580" s="143"/>
      <c r="Q1580" s="137"/>
      <c r="R1580" s="137"/>
      <c r="S1580" s="137"/>
      <c r="T1580" s="137"/>
      <c r="U1580" s="137"/>
      <c r="V1580" s="137"/>
      <c r="W1580" s="137"/>
      <c r="X1580" s="137"/>
      <c r="Y1580" s="137"/>
      <c r="Z1580" s="137"/>
      <c r="AA1580" s="137"/>
    </row>
    <row r="1581" spans="5:27" x14ac:dyDescent="0.35">
      <c r="E1581" s="137"/>
      <c r="F1581" s="137"/>
      <c r="G1581" s="190"/>
      <c r="H1581" s="137"/>
      <c r="I1581" s="137"/>
      <c r="J1581" s="137"/>
      <c r="M1581" s="143"/>
      <c r="N1581" s="143"/>
      <c r="O1581" s="143"/>
      <c r="P1581" s="143"/>
      <c r="Q1581" s="137"/>
      <c r="R1581" s="137"/>
      <c r="S1581" s="137"/>
      <c r="T1581" s="137"/>
      <c r="U1581" s="137"/>
      <c r="V1581" s="137"/>
      <c r="W1581" s="137"/>
      <c r="X1581" s="137"/>
      <c r="Y1581" s="137"/>
      <c r="Z1581" s="137"/>
      <c r="AA1581" s="137"/>
    </row>
    <row r="1582" spans="5:27" x14ac:dyDescent="0.35">
      <c r="E1582" s="137"/>
      <c r="F1582" s="137"/>
      <c r="G1582" s="190"/>
      <c r="H1582" s="137"/>
      <c r="I1582" s="137"/>
      <c r="J1582" s="137"/>
      <c r="M1582" s="143"/>
      <c r="N1582" s="143"/>
      <c r="O1582" s="143"/>
      <c r="P1582" s="143"/>
      <c r="Q1582" s="137"/>
      <c r="R1582" s="137"/>
      <c r="S1582" s="137"/>
      <c r="T1582" s="137"/>
      <c r="U1582" s="137"/>
      <c r="V1582" s="137"/>
      <c r="W1582" s="137"/>
      <c r="X1582" s="137"/>
      <c r="Y1582" s="137"/>
      <c r="Z1582" s="137"/>
      <c r="AA1582" s="137"/>
    </row>
    <row r="1583" spans="5:27" x14ac:dyDescent="0.35">
      <c r="E1583" s="137"/>
      <c r="F1583" s="137"/>
      <c r="G1583" s="190"/>
      <c r="H1583" s="137"/>
      <c r="I1583" s="137"/>
      <c r="J1583" s="137"/>
      <c r="M1583" s="143"/>
      <c r="N1583" s="143"/>
      <c r="O1583" s="143"/>
      <c r="P1583" s="143"/>
      <c r="Q1583" s="137"/>
      <c r="R1583" s="137"/>
      <c r="S1583" s="137"/>
      <c r="T1583" s="137"/>
      <c r="U1583" s="137"/>
      <c r="V1583" s="137"/>
      <c r="W1583" s="137"/>
      <c r="X1583" s="137"/>
      <c r="Y1583" s="137"/>
      <c r="Z1583" s="137"/>
      <c r="AA1583" s="137"/>
    </row>
    <row r="1584" spans="5:27" x14ac:dyDescent="0.35">
      <c r="E1584" s="137"/>
      <c r="F1584" s="137"/>
      <c r="G1584" s="190"/>
      <c r="H1584" s="137"/>
      <c r="I1584" s="137"/>
      <c r="J1584" s="137"/>
      <c r="M1584" s="143"/>
      <c r="N1584" s="143"/>
      <c r="O1584" s="143"/>
      <c r="P1584" s="143"/>
      <c r="Q1584" s="137"/>
      <c r="R1584" s="137"/>
      <c r="S1584" s="137"/>
      <c r="T1584" s="137"/>
      <c r="U1584" s="137"/>
      <c r="V1584" s="137"/>
      <c r="W1584" s="137"/>
      <c r="X1584" s="137"/>
      <c r="Y1584" s="137"/>
      <c r="Z1584" s="137"/>
      <c r="AA1584" s="137"/>
    </row>
    <row r="1585" spans="5:27" x14ac:dyDescent="0.35">
      <c r="E1585" s="137"/>
      <c r="F1585" s="137"/>
      <c r="G1585" s="190"/>
      <c r="H1585" s="137"/>
      <c r="I1585" s="137"/>
      <c r="J1585" s="137"/>
      <c r="M1585" s="143"/>
      <c r="N1585" s="143"/>
      <c r="O1585" s="143"/>
      <c r="P1585" s="143"/>
      <c r="Q1585" s="137"/>
      <c r="R1585" s="137"/>
      <c r="S1585" s="137"/>
      <c r="T1585" s="137"/>
      <c r="U1585" s="137"/>
      <c r="V1585" s="137"/>
      <c r="W1585" s="137"/>
      <c r="X1585" s="137"/>
      <c r="Y1585" s="137"/>
      <c r="Z1585" s="137"/>
      <c r="AA1585" s="137"/>
    </row>
    <row r="1586" spans="5:27" x14ac:dyDescent="0.35">
      <c r="E1586" s="137"/>
      <c r="F1586" s="137"/>
      <c r="G1586" s="190"/>
      <c r="H1586" s="137"/>
      <c r="I1586" s="137"/>
      <c r="J1586" s="137"/>
      <c r="M1586" s="143"/>
      <c r="N1586" s="143"/>
      <c r="O1586" s="143"/>
      <c r="P1586" s="143"/>
      <c r="Q1586" s="137"/>
      <c r="R1586" s="137"/>
      <c r="S1586" s="137"/>
      <c r="T1586" s="137"/>
      <c r="U1586" s="137"/>
      <c r="V1586" s="137"/>
      <c r="W1586" s="137"/>
      <c r="X1586" s="137"/>
      <c r="Y1586" s="137"/>
      <c r="Z1586" s="137"/>
      <c r="AA1586" s="137"/>
    </row>
    <row r="1587" spans="5:27" x14ac:dyDescent="0.35">
      <c r="E1587" s="137"/>
      <c r="F1587" s="137"/>
      <c r="G1587" s="190"/>
      <c r="H1587" s="137"/>
      <c r="I1587" s="137"/>
      <c r="J1587" s="137"/>
      <c r="M1587" s="143"/>
      <c r="N1587" s="143"/>
      <c r="O1587" s="143"/>
      <c r="P1587" s="143"/>
      <c r="Q1587" s="137"/>
      <c r="R1587" s="137"/>
      <c r="S1587" s="137"/>
      <c r="T1587" s="137"/>
      <c r="U1587" s="137"/>
      <c r="V1587" s="137"/>
      <c r="W1587" s="137"/>
      <c r="X1587" s="137"/>
      <c r="Y1587" s="137"/>
      <c r="Z1587" s="137"/>
      <c r="AA1587" s="137"/>
    </row>
    <row r="1588" spans="5:27" x14ac:dyDescent="0.35">
      <c r="E1588" s="137"/>
      <c r="F1588" s="137"/>
      <c r="G1588" s="190"/>
      <c r="H1588" s="137"/>
      <c r="I1588" s="137"/>
      <c r="J1588" s="137"/>
      <c r="M1588" s="143"/>
      <c r="N1588" s="143"/>
      <c r="O1588" s="143"/>
      <c r="P1588" s="143"/>
      <c r="Q1588" s="137"/>
      <c r="R1588" s="137"/>
      <c r="S1588" s="137"/>
      <c r="T1588" s="137"/>
      <c r="U1588" s="137"/>
      <c r="V1588" s="137"/>
      <c r="W1588" s="137"/>
      <c r="X1588" s="137"/>
      <c r="Y1588" s="137"/>
      <c r="Z1588" s="137"/>
      <c r="AA1588" s="137"/>
    </row>
    <row r="1589" spans="5:27" x14ac:dyDescent="0.35">
      <c r="E1589" s="137"/>
      <c r="F1589" s="137"/>
      <c r="G1589" s="190"/>
      <c r="H1589" s="137"/>
      <c r="I1589" s="137"/>
      <c r="J1589" s="137"/>
      <c r="M1589" s="143"/>
      <c r="N1589" s="143"/>
      <c r="O1589" s="143"/>
      <c r="P1589" s="143"/>
      <c r="Q1589" s="137"/>
      <c r="R1589" s="137"/>
      <c r="S1589" s="137"/>
      <c r="T1589" s="137"/>
      <c r="U1589" s="137"/>
      <c r="V1589" s="137"/>
      <c r="W1589" s="137"/>
      <c r="X1589" s="137"/>
      <c r="Y1589" s="137"/>
      <c r="Z1589" s="137"/>
      <c r="AA1589" s="137"/>
    </row>
    <row r="1590" spans="5:27" x14ac:dyDescent="0.35">
      <c r="E1590" s="137"/>
      <c r="F1590" s="137"/>
      <c r="G1590" s="190"/>
      <c r="H1590" s="137"/>
      <c r="I1590" s="137"/>
      <c r="J1590" s="137"/>
      <c r="M1590" s="143"/>
      <c r="N1590" s="143"/>
      <c r="O1590" s="143"/>
      <c r="P1590" s="143"/>
      <c r="Q1590" s="137"/>
      <c r="R1590" s="137"/>
      <c r="S1590" s="137"/>
      <c r="T1590" s="137"/>
      <c r="U1590" s="137"/>
      <c r="V1590" s="137"/>
      <c r="W1590" s="137"/>
      <c r="X1590" s="137"/>
      <c r="Y1590" s="137"/>
      <c r="Z1590" s="137"/>
      <c r="AA1590" s="137"/>
    </row>
    <row r="1591" spans="5:27" x14ac:dyDescent="0.35">
      <c r="E1591" s="137"/>
      <c r="F1591" s="137"/>
      <c r="G1591" s="190"/>
      <c r="H1591" s="137"/>
      <c r="I1591" s="137"/>
      <c r="J1591" s="137"/>
      <c r="M1591" s="143"/>
      <c r="N1591" s="143"/>
      <c r="O1591" s="143"/>
      <c r="P1591" s="143"/>
      <c r="Q1591" s="137"/>
      <c r="R1591" s="137"/>
      <c r="S1591" s="137"/>
      <c r="T1591" s="137"/>
      <c r="U1591" s="137"/>
      <c r="V1591" s="137"/>
      <c r="W1591" s="137"/>
      <c r="X1591" s="137"/>
      <c r="Y1591" s="137"/>
      <c r="Z1591" s="137"/>
      <c r="AA1591" s="137"/>
    </row>
    <row r="1592" spans="5:27" x14ac:dyDescent="0.35">
      <c r="E1592" s="137"/>
      <c r="F1592" s="137"/>
      <c r="G1592" s="190"/>
      <c r="H1592" s="137"/>
      <c r="I1592" s="137"/>
      <c r="J1592" s="137"/>
      <c r="M1592" s="143"/>
      <c r="N1592" s="143"/>
      <c r="O1592" s="143"/>
      <c r="P1592" s="143"/>
      <c r="Q1592" s="137"/>
      <c r="R1592" s="137"/>
      <c r="S1592" s="137"/>
      <c r="T1592" s="137"/>
      <c r="U1592" s="137"/>
      <c r="V1592" s="137"/>
      <c r="W1592" s="137"/>
      <c r="X1592" s="137"/>
      <c r="Y1592" s="137"/>
      <c r="Z1592" s="137"/>
      <c r="AA1592" s="137"/>
    </row>
    <row r="1593" spans="5:27" x14ac:dyDescent="0.35">
      <c r="E1593" s="137"/>
      <c r="F1593" s="137"/>
      <c r="G1593" s="190"/>
      <c r="H1593" s="137"/>
      <c r="I1593" s="137"/>
      <c r="J1593" s="137"/>
      <c r="M1593" s="143"/>
      <c r="N1593" s="143"/>
      <c r="O1593" s="143"/>
      <c r="P1593" s="143"/>
      <c r="Q1593" s="137"/>
      <c r="R1593" s="137"/>
      <c r="S1593" s="137"/>
      <c r="T1593" s="137"/>
      <c r="U1593" s="137"/>
      <c r="V1593" s="137"/>
      <c r="W1593" s="137"/>
      <c r="X1593" s="137"/>
      <c r="Y1593" s="137"/>
      <c r="Z1593" s="137"/>
      <c r="AA1593" s="137"/>
    </row>
    <row r="1594" spans="5:27" x14ac:dyDescent="0.35">
      <c r="E1594" s="137"/>
      <c r="F1594" s="137"/>
      <c r="G1594" s="190"/>
      <c r="H1594" s="137"/>
      <c r="I1594" s="137"/>
      <c r="J1594" s="137"/>
      <c r="M1594" s="143"/>
      <c r="N1594" s="143"/>
      <c r="O1594" s="143"/>
      <c r="P1594" s="143"/>
      <c r="Q1594" s="137"/>
      <c r="R1594" s="137"/>
      <c r="S1594" s="137"/>
      <c r="T1594" s="137"/>
      <c r="U1594" s="137"/>
      <c r="V1594" s="137"/>
      <c r="W1594" s="137"/>
      <c r="X1594" s="137"/>
      <c r="Y1594" s="137"/>
      <c r="Z1594" s="137"/>
      <c r="AA1594" s="137"/>
    </row>
    <row r="1595" spans="5:27" x14ac:dyDescent="0.35">
      <c r="E1595" s="137"/>
      <c r="F1595" s="137"/>
      <c r="G1595" s="190"/>
      <c r="H1595" s="137"/>
      <c r="I1595" s="137"/>
      <c r="J1595" s="137"/>
      <c r="M1595" s="143"/>
      <c r="N1595" s="143"/>
      <c r="O1595" s="143"/>
      <c r="P1595" s="143"/>
      <c r="Q1595" s="137"/>
      <c r="R1595" s="137"/>
      <c r="S1595" s="137"/>
      <c r="T1595" s="137"/>
      <c r="U1595" s="137"/>
      <c r="V1595" s="137"/>
      <c r="W1595" s="137"/>
      <c r="X1595" s="137"/>
      <c r="Y1595" s="137"/>
      <c r="Z1595" s="137"/>
      <c r="AA1595" s="137"/>
    </row>
    <row r="1596" spans="5:27" x14ac:dyDescent="0.35">
      <c r="E1596" s="137"/>
      <c r="F1596" s="137"/>
      <c r="G1596" s="190"/>
      <c r="H1596" s="137"/>
      <c r="I1596" s="137"/>
      <c r="J1596" s="137"/>
      <c r="M1596" s="143"/>
      <c r="N1596" s="143"/>
      <c r="O1596" s="143"/>
      <c r="P1596" s="143"/>
      <c r="Q1596" s="137"/>
      <c r="R1596" s="137"/>
      <c r="S1596" s="137"/>
      <c r="T1596" s="137"/>
      <c r="U1596" s="137"/>
      <c r="V1596" s="137"/>
      <c r="W1596" s="137"/>
      <c r="X1596" s="137"/>
      <c r="Y1596" s="137"/>
      <c r="Z1596" s="137"/>
      <c r="AA1596" s="137"/>
    </row>
    <row r="1597" spans="5:27" x14ac:dyDescent="0.35">
      <c r="E1597" s="137"/>
      <c r="F1597" s="137"/>
      <c r="G1597" s="190"/>
      <c r="H1597" s="137"/>
      <c r="I1597" s="137"/>
      <c r="J1597" s="137"/>
      <c r="M1597" s="143"/>
      <c r="N1597" s="143"/>
      <c r="O1597" s="143"/>
      <c r="P1597" s="143"/>
      <c r="Q1597" s="137"/>
      <c r="R1597" s="137"/>
      <c r="S1597" s="137"/>
      <c r="T1597" s="137"/>
      <c r="U1597" s="137"/>
      <c r="V1597" s="137"/>
      <c r="W1597" s="137"/>
      <c r="X1597" s="137"/>
      <c r="Y1597" s="137"/>
      <c r="Z1597" s="137"/>
      <c r="AA1597" s="137"/>
    </row>
    <row r="1598" spans="5:27" x14ac:dyDescent="0.35">
      <c r="E1598" s="137"/>
      <c r="F1598" s="137"/>
      <c r="G1598" s="190"/>
      <c r="H1598" s="137"/>
      <c r="I1598" s="137"/>
      <c r="J1598" s="137"/>
      <c r="M1598" s="143"/>
      <c r="N1598" s="143"/>
      <c r="O1598" s="143"/>
      <c r="P1598" s="143"/>
      <c r="Q1598" s="137"/>
      <c r="R1598" s="137"/>
      <c r="S1598" s="137"/>
      <c r="T1598" s="137"/>
      <c r="U1598" s="137"/>
      <c r="V1598" s="137"/>
      <c r="W1598" s="137"/>
      <c r="X1598" s="137"/>
      <c r="Y1598" s="137"/>
      <c r="Z1598" s="137"/>
      <c r="AA1598" s="137"/>
    </row>
    <row r="1599" spans="5:27" x14ac:dyDescent="0.35">
      <c r="E1599" s="137"/>
      <c r="F1599" s="137"/>
      <c r="G1599" s="190"/>
      <c r="H1599" s="137"/>
      <c r="I1599" s="137"/>
      <c r="J1599" s="137"/>
      <c r="M1599" s="143"/>
      <c r="N1599" s="143"/>
      <c r="O1599" s="143"/>
      <c r="P1599" s="143"/>
      <c r="Q1599" s="137"/>
      <c r="R1599" s="137"/>
      <c r="S1599" s="137"/>
      <c r="T1599" s="137"/>
      <c r="U1599" s="137"/>
      <c r="V1599" s="137"/>
      <c r="W1599" s="137"/>
      <c r="X1599" s="137"/>
      <c r="Y1599" s="137"/>
      <c r="Z1599" s="137"/>
      <c r="AA1599" s="137"/>
    </row>
    <row r="1600" spans="5:27" x14ac:dyDescent="0.35">
      <c r="E1600" s="137"/>
      <c r="F1600" s="137"/>
      <c r="G1600" s="190"/>
      <c r="H1600" s="137"/>
      <c r="I1600" s="137"/>
      <c r="J1600" s="137"/>
      <c r="M1600" s="143"/>
      <c r="N1600" s="143"/>
      <c r="O1600" s="143"/>
      <c r="P1600" s="143"/>
      <c r="Q1600" s="137"/>
      <c r="R1600" s="137"/>
      <c r="S1600" s="137"/>
      <c r="T1600" s="137"/>
      <c r="U1600" s="137"/>
      <c r="V1600" s="137"/>
      <c r="W1600" s="137"/>
      <c r="X1600" s="137"/>
      <c r="Y1600" s="137"/>
      <c r="Z1600" s="137"/>
      <c r="AA1600" s="137"/>
    </row>
    <row r="1601" spans="5:27" x14ac:dyDescent="0.35">
      <c r="E1601" s="137"/>
      <c r="F1601" s="137"/>
      <c r="G1601" s="190"/>
      <c r="H1601" s="137"/>
      <c r="I1601" s="137"/>
      <c r="J1601" s="137"/>
      <c r="M1601" s="143"/>
      <c r="N1601" s="143"/>
      <c r="O1601" s="143"/>
      <c r="P1601" s="143"/>
      <c r="Q1601" s="137"/>
      <c r="R1601" s="137"/>
      <c r="S1601" s="137"/>
      <c r="T1601" s="137"/>
      <c r="U1601" s="137"/>
      <c r="V1601" s="137"/>
      <c r="W1601" s="137"/>
      <c r="X1601" s="137"/>
      <c r="Y1601" s="137"/>
      <c r="Z1601" s="137"/>
      <c r="AA1601" s="137"/>
    </row>
    <row r="1602" spans="5:27" x14ac:dyDescent="0.35">
      <c r="E1602" s="137"/>
      <c r="F1602" s="137"/>
      <c r="G1602" s="190"/>
      <c r="H1602" s="137"/>
      <c r="I1602" s="137"/>
      <c r="J1602" s="137"/>
      <c r="M1602" s="143"/>
      <c r="N1602" s="143"/>
      <c r="O1602" s="143"/>
      <c r="P1602" s="143"/>
      <c r="Q1602" s="137"/>
      <c r="R1602" s="137"/>
      <c r="S1602" s="137"/>
      <c r="T1602" s="137"/>
      <c r="U1602" s="137"/>
      <c r="V1602" s="137"/>
      <c r="W1602" s="137"/>
      <c r="X1602" s="137"/>
      <c r="Y1602" s="137"/>
      <c r="Z1602" s="137"/>
      <c r="AA1602" s="137"/>
    </row>
    <row r="1603" spans="5:27" x14ac:dyDescent="0.35">
      <c r="E1603" s="137"/>
      <c r="F1603" s="137"/>
      <c r="G1603" s="190"/>
      <c r="H1603" s="137"/>
      <c r="I1603" s="137"/>
      <c r="J1603" s="137"/>
      <c r="M1603" s="143"/>
      <c r="N1603" s="143"/>
      <c r="O1603" s="143"/>
      <c r="P1603" s="143"/>
      <c r="Q1603" s="137"/>
      <c r="R1603" s="137"/>
      <c r="S1603" s="137"/>
      <c r="T1603" s="137"/>
      <c r="U1603" s="137"/>
      <c r="V1603" s="137"/>
      <c r="W1603" s="137"/>
      <c r="X1603" s="137"/>
      <c r="Y1603" s="137"/>
      <c r="Z1603" s="137"/>
      <c r="AA1603" s="137"/>
    </row>
    <row r="1604" spans="5:27" x14ac:dyDescent="0.35">
      <c r="E1604" s="137"/>
      <c r="F1604" s="137"/>
      <c r="G1604" s="190"/>
      <c r="H1604" s="137"/>
      <c r="I1604" s="137"/>
      <c r="J1604" s="137"/>
      <c r="M1604" s="143"/>
      <c r="N1604" s="143"/>
      <c r="O1604" s="143"/>
      <c r="P1604" s="143"/>
      <c r="Q1604" s="137"/>
      <c r="R1604" s="137"/>
      <c r="S1604" s="137"/>
      <c r="T1604" s="137"/>
      <c r="U1604" s="137"/>
      <c r="V1604" s="137"/>
      <c r="W1604" s="137"/>
      <c r="X1604" s="137"/>
      <c r="Y1604" s="137"/>
      <c r="Z1604" s="137"/>
      <c r="AA1604" s="137"/>
    </row>
    <row r="1605" spans="5:27" x14ac:dyDescent="0.35">
      <c r="E1605" s="137"/>
      <c r="F1605" s="137"/>
      <c r="G1605" s="190"/>
      <c r="H1605" s="137"/>
      <c r="I1605" s="137"/>
      <c r="J1605" s="137"/>
      <c r="M1605" s="143"/>
      <c r="N1605" s="143"/>
      <c r="O1605" s="143"/>
      <c r="P1605" s="143"/>
      <c r="Q1605" s="137"/>
      <c r="R1605" s="137"/>
      <c r="S1605" s="137"/>
      <c r="T1605" s="137"/>
      <c r="U1605" s="137"/>
      <c r="V1605" s="137"/>
      <c r="W1605" s="137"/>
      <c r="X1605" s="137"/>
      <c r="Y1605" s="137"/>
      <c r="Z1605" s="137"/>
      <c r="AA1605" s="137"/>
    </row>
    <row r="1606" spans="5:27" x14ac:dyDescent="0.35">
      <c r="E1606" s="137"/>
      <c r="F1606" s="137"/>
      <c r="G1606" s="190"/>
      <c r="H1606" s="137"/>
      <c r="I1606" s="137"/>
      <c r="J1606" s="137"/>
      <c r="M1606" s="143"/>
      <c r="N1606" s="143"/>
      <c r="O1606" s="143"/>
      <c r="P1606" s="143"/>
      <c r="Q1606" s="137"/>
      <c r="R1606" s="137"/>
      <c r="S1606" s="137"/>
      <c r="T1606" s="137"/>
      <c r="U1606" s="137"/>
      <c r="V1606" s="137"/>
      <c r="W1606" s="137"/>
      <c r="X1606" s="137"/>
      <c r="Y1606" s="137"/>
      <c r="Z1606" s="137"/>
      <c r="AA1606" s="137"/>
    </row>
    <row r="1607" spans="5:27" x14ac:dyDescent="0.35">
      <c r="E1607" s="137"/>
      <c r="F1607" s="137"/>
      <c r="G1607" s="190"/>
      <c r="H1607" s="137"/>
      <c r="I1607" s="137"/>
      <c r="J1607" s="137"/>
      <c r="M1607" s="143"/>
      <c r="N1607" s="143"/>
      <c r="O1607" s="143"/>
      <c r="P1607" s="143"/>
      <c r="Q1607" s="137"/>
      <c r="R1607" s="137"/>
      <c r="S1607" s="137"/>
      <c r="T1607" s="137"/>
      <c r="U1607" s="137"/>
      <c r="V1607" s="137"/>
      <c r="W1607" s="137"/>
      <c r="X1607" s="137"/>
      <c r="Y1607" s="137"/>
      <c r="Z1607" s="137"/>
      <c r="AA1607" s="137"/>
    </row>
    <row r="1608" spans="5:27" x14ac:dyDescent="0.35">
      <c r="E1608" s="137"/>
      <c r="F1608" s="137"/>
      <c r="G1608" s="190"/>
      <c r="H1608" s="137"/>
      <c r="I1608" s="137"/>
      <c r="J1608" s="137"/>
      <c r="M1608" s="143"/>
      <c r="N1608" s="143"/>
      <c r="O1608" s="143"/>
      <c r="P1608" s="143"/>
      <c r="Q1608" s="137"/>
      <c r="R1608" s="137"/>
      <c r="S1608" s="137"/>
      <c r="T1608" s="137"/>
      <c r="U1608" s="137"/>
      <c r="V1608" s="137"/>
      <c r="W1608" s="137"/>
      <c r="X1608" s="137"/>
      <c r="Y1608" s="137"/>
      <c r="Z1608" s="137"/>
      <c r="AA1608" s="137"/>
    </row>
    <row r="1609" spans="5:27" x14ac:dyDescent="0.35">
      <c r="E1609" s="137"/>
      <c r="F1609" s="137"/>
      <c r="G1609" s="190"/>
      <c r="H1609" s="137"/>
      <c r="I1609" s="137"/>
      <c r="J1609" s="137"/>
      <c r="M1609" s="143"/>
      <c r="N1609" s="143"/>
      <c r="O1609" s="143"/>
      <c r="P1609" s="143"/>
      <c r="Q1609" s="137"/>
      <c r="R1609" s="137"/>
      <c r="S1609" s="137"/>
      <c r="T1609" s="137"/>
      <c r="U1609" s="137"/>
      <c r="V1609" s="137"/>
      <c r="W1609" s="137"/>
      <c r="X1609" s="137"/>
      <c r="Y1609" s="137"/>
      <c r="Z1609" s="137"/>
      <c r="AA1609" s="137"/>
    </row>
    <row r="1610" spans="5:27" x14ac:dyDescent="0.35">
      <c r="E1610" s="137"/>
      <c r="F1610" s="137"/>
      <c r="G1610" s="190"/>
      <c r="H1610" s="137"/>
      <c r="I1610" s="137"/>
      <c r="J1610" s="137"/>
      <c r="M1610" s="143"/>
      <c r="N1610" s="143"/>
      <c r="O1610" s="143"/>
      <c r="P1610" s="143"/>
      <c r="Q1610" s="137"/>
      <c r="R1610" s="137"/>
      <c r="S1610" s="137"/>
      <c r="T1610" s="137"/>
      <c r="U1610" s="137"/>
      <c r="V1610" s="137"/>
      <c r="W1610" s="137"/>
      <c r="X1610" s="137"/>
      <c r="Y1610" s="137"/>
      <c r="Z1610" s="137"/>
      <c r="AA1610" s="137"/>
    </row>
    <row r="1611" spans="5:27" x14ac:dyDescent="0.35">
      <c r="E1611" s="137"/>
      <c r="F1611" s="137"/>
      <c r="G1611" s="190"/>
      <c r="H1611" s="137"/>
      <c r="I1611" s="137"/>
      <c r="J1611" s="137"/>
      <c r="M1611" s="143"/>
      <c r="N1611" s="143"/>
      <c r="O1611" s="143"/>
      <c r="P1611" s="143"/>
      <c r="Q1611" s="137"/>
      <c r="R1611" s="137"/>
      <c r="S1611" s="137"/>
      <c r="T1611" s="137"/>
      <c r="U1611" s="137"/>
      <c r="V1611" s="137"/>
      <c r="W1611" s="137"/>
      <c r="X1611" s="137"/>
      <c r="Y1611" s="137"/>
      <c r="Z1611" s="137"/>
      <c r="AA1611" s="137"/>
    </row>
    <row r="1612" spans="5:27" x14ac:dyDescent="0.35">
      <c r="E1612" s="137"/>
      <c r="F1612" s="137"/>
      <c r="G1612" s="190"/>
      <c r="H1612" s="137"/>
      <c r="I1612" s="137"/>
      <c r="J1612" s="137"/>
      <c r="M1612" s="143"/>
      <c r="N1612" s="143"/>
      <c r="O1612" s="143"/>
      <c r="P1612" s="143"/>
      <c r="Q1612" s="137"/>
      <c r="R1612" s="137"/>
      <c r="S1612" s="137"/>
      <c r="T1612" s="137"/>
      <c r="U1612" s="137"/>
      <c r="V1612" s="137"/>
      <c r="W1612" s="137"/>
      <c r="X1612" s="137"/>
      <c r="Y1612" s="137"/>
      <c r="Z1612" s="137"/>
      <c r="AA1612" s="137"/>
    </row>
    <row r="1613" spans="5:27" x14ac:dyDescent="0.35">
      <c r="E1613" s="137"/>
      <c r="F1613" s="137"/>
      <c r="G1613" s="190"/>
      <c r="H1613" s="137"/>
      <c r="I1613" s="137"/>
      <c r="J1613" s="137"/>
      <c r="M1613" s="143"/>
      <c r="N1613" s="143"/>
      <c r="O1613" s="143"/>
      <c r="P1613" s="143"/>
      <c r="Q1613" s="137"/>
      <c r="R1613" s="137"/>
      <c r="S1613" s="137"/>
      <c r="T1613" s="137"/>
      <c r="U1613" s="137"/>
      <c r="V1613" s="137"/>
      <c r="W1613" s="137"/>
      <c r="X1613" s="137"/>
      <c r="Y1613" s="137"/>
      <c r="Z1613" s="137"/>
      <c r="AA1613" s="137"/>
    </row>
    <row r="1614" spans="5:27" x14ac:dyDescent="0.35">
      <c r="E1614" s="137"/>
      <c r="F1614" s="137"/>
      <c r="G1614" s="190"/>
      <c r="H1614" s="137"/>
      <c r="I1614" s="137"/>
      <c r="J1614" s="137"/>
      <c r="M1614" s="143"/>
      <c r="N1614" s="143"/>
      <c r="O1614" s="143"/>
      <c r="P1614" s="143"/>
      <c r="Q1614" s="137"/>
      <c r="R1614" s="137"/>
      <c r="S1614" s="137"/>
      <c r="T1614" s="137"/>
      <c r="U1614" s="137"/>
      <c r="V1614" s="137"/>
      <c r="W1614" s="137"/>
      <c r="X1614" s="137"/>
      <c r="Y1614" s="137"/>
      <c r="Z1614" s="137"/>
      <c r="AA1614" s="137"/>
    </row>
    <row r="1615" spans="5:27" x14ac:dyDescent="0.35">
      <c r="E1615" s="137"/>
      <c r="F1615" s="137"/>
      <c r="G1615" s="190"/>
      <c r="H1615" s="137"/>
      <c r="I1615" s="137"/>
      <c r="J1615" s="137"/>
      <c r="M1615" s="143"/>
      <c r="N1615" s="143"/>
      <c r="O1615" s="143"/>
      <c r="P1615" s="143"/>
      <c r="Q1615" s="137"/>
      <c r="R1615" s="137"/>
      <c r="S1615" s="137"/>
      <c r="T1615" s="137"/>
      <c r="U1615" s="137"/>
      <c r="V1615" s="137"/>
      <c r="W1615" s="137"/>
      <c r="X1615" s="137"/>
      <c r="Y1615" s="137"/>
      <c r="Z1615" s="137"/>
      <c r="AA1615" s="137"/>
    </row>
    <row r="1616" spans="5:27" x14ac:dyDescent="0.35">
      <c r="E1616" s="137"/>
      <c r="F1616" s="137"/>
      <c r="G1616" s="190"/>
      <c r="H1616" s="137"/>
      <c r="I1616" s="137"/>
      <c r="J1616" s="137"/>
      <c r="M1616" s="143"/>
      <c r="N1616" s="143"/>
      <c r="O1616" s="143"/>
      <c r="P1616" s="143"/>
      <c r="Q1616" s="137"/>
      <c r="R1616" s="137"/>
      <c r="S1616" s="137"/>
      <c r="T1616" s="137"/>
      <c r="U1616" s="137"/>
      <c r="V1616" s="137"/>
      <c r="W1616" s="137"/>
      <c r="X1616" s="137"/>
      <c r="Y1616" s="137"/>
      <c r="Z1616" s="137"/>
      <c r="AA1616" s="137"/>
    </row>
    <row r="1617" spans="5:27" x14ac:dyDescent="0.35">
      <c r="E1617" s="137"/>
      <c r="F1617" s="137"/>
      <c r="G1617" s="190"/>
      <c r="H1617" s="137"/>
      <c r="I1617" s="137"/>
      <c r="J1617" s="137"/>
      <c r="M1617" s="143"/>
      <c r="N1617" s="143"/>
      <c r="O1617" s="143"/>
      <c r="P1617" s="143"/>
      <c r="Q1617" s="137"/>
      <c r="R1617" s="137"/>
      <c r="S1617" s="137"/>
      <c r="T1617" s="137"/>
      <c r="U1617" s="137"/>
      <c r="V1617" s="137"/>
      <c r="W1617" s="137"/>
      <c r="X1617" s="137"/>
      <c r="Y1617" s="137"/>
      <c r="Z1617" s="137"/>
      <c r="AA1617" s="137"/>
    </row>
    <row r="1618" spans="5:27" x14ac:dyDescent="0.35">
      <c r="E1618" s="137"/>
      <c r="F1618" s="137"/>
      <c r="G1618" s="190"/>
      <c r="H1618" s="137"/>
      <c r="I1618" s="137"/>
      <c r="J1618" s="137"/>
      <c r="M1618" s="143"/>
      <c r="N1618" s="143"/>
      <c r="O1618" s="143"/>
      <c r="P1618" s="143"/>
      <c r="Q1618" s="137"/>
      <c r="R1618" s="137"/>
      <c r="S1618" s="137"/>
      <c r="T1618" s="137"/>
      <c r="U1618" s="137"/>
      <c r="V1618" s="137"/>
      <c r="W1618" s="137"/>
      <c r="X1618" s="137"/>
      <c r="Y1618" s="137"/>
      <c r="Z1618" s="137"/>
      <c r="AA1618" s="137"/>
    </row>
    <row r="1619" spans="5:27" x14ac:dyDescent="0.35">
      <c r="E1619" s="137"/>
      <c r="F1619" s="137"/>
      <c r="G1619" s="190"/>
      <c r="H1619" s="137"/>
      <c r="I1619" s="137"/>
      <c r="J1619" s="137"/>
      <c r="M1619" s="143"/>
      <c r="N1619" s="143"/>
      <c r="O1619" s="143"/>
      <c r="P1619" s="143"/>
      <c r="Q1619" s="137"/>
      <c r="R1619" s="137"/>
      <c r="S1619" s="137"/>
      <c r="T1619" s="137"/>
      <c r="U1619" s="137"/>
      <c r="V1619" s="137"/>
      <c r="W1619" s="137"/>
      <c r="X1619" s="137"/>
      <c r="Y1619" s="137"/>
      <c r="Z1619" s="137"/>
      <c r="AA1619" s="137"/>
    </row>
    <row r="1620" spans="5:27" x14ac:dyDescent="0.35">
      <c r="E1620" s="137"/>
      <c r="F1620" s="137"/>
      <c r="G1620" s="190"/>
      <c r="H1620" s="137"/>
      <c r="I1620" s="137"/>
      <c r="J1620" s="137"/>
      <c r="M1620" s="143"/>
      <c r="N1620" s="143"/>
      <c r="O1620" s="143"/>
      <c r="P1620" s="143"/>
      <c r="Q1620" s="137"/>
      <c r="R1620" s="137"/>
      <c r="S1620" s="137"/>
      <c r="T1620" s="137"/>
      <c r="U1620" s="137"/>
      <c r="V1620" s="137"/>
      <c r="W1620" s="137"/>
      <c r="X1620" s="137"/>
      <c r="Y1620" s="137"/>
      <c r="Z1620" s="137"/>
      <c r="AA1620" s="137"/>
    </row>
    <row r="1621" spans="5:27" x14ac:dyDescent="0.35">
      <c r="E1621" s="137"/>
      <c r="F1621" s="137"/>
      <c r="G1621" s="190"/>
      <c r="H1621" s="137"/>
      <c r="I1621" s="137"/>
      <c r="J1621" s="137"/>
      <c r="M1621" s="143"/>
      <c r="N1621" s="143"/>
      <c r="O1621" s="143"/>
      <c r="P1621" s="143"/>
      <c r="Q1621" s="137"/>
      <c r="R1621" s="137"/>
      <c r="S1621" s="137"/>
      <c r="T1621" s="137"/>
      <c r="U1621" s="137"/>
      <c r="V1621" s="137"/>
      <c r="W1621" s="137"/>
      <c r="X1621" s="137"/>
      <c r="Y1621" s="137"/>
      <c r="Z1621" s="137"/>
      <c r="AA1621" s="137"/>
    </row>
    <row r="1622" spans="5:27" x14ac:dyDescent="0.35">
      <c r="E1622" s="137"/>
      <c r="F1622" s="137"/>
      <c r="G1622" s="190"/>
      <c r="H1622" s="137"/>
      <c r="I1622" s="137"/>
      <c r="J1622" s="137"/>
      <c r="M1622" s="143"/>
      <c r="N1622" s="143"/>
      <c r="O1622" s="143"/>
      <c r="P1622" s="143"/>
      <c r="Q1622" s="137"/>
      <c r="R1622" s="137"/>
      <c r="S1622" s="137"/>
      <c r="T1622" s="137"/>
      <c r="U1622" s="137"/>
      <c r="V1622" s="137"/>
      <c r="W1622" s="137"/>
      <c r="X1622" s="137"/>
      <c r="Y1622" s="137"/>
      <c r="Z1622" s="137"/>
      <c r="AA1622" s="137"/>
    </row>
    <row r="1623" spans="5:27" x14ac:dyDescent="0.35">
      <c r="E1623" s="137"/>
      <c r="F1623" s="137"/>
      <c r="G1623" s="190"/>
      <c r="H1623" s="137"/>
      <c r="I1623" s="137"/>
      <c r="J1623" s="137"/>
      <c r="M1623" s="143"/>
      <c r="N1623" s="143"/>
      <c r="O1623" s="143"/>
      <c r="P1623" s="143"/>
      <c r="Q1623" s="137"/>
      <c r="R1623" s="137"/>
      <c r="S1623" s="137"/>
      <c r="T1623" s="137"/>
      <c r="U1623" s="137"/>
      <c r="V1623" s="137"/>
      <c r="W1623" s="137"/>
      <c r="X1623" s="137"/>
      <c r="Y1623" s="137"/>
      <c r="Z1623" s="137"/>
      <c r="AA1623" s="137"/>
    </row>
    <row r="1624" spans="5:27" x14ac:dyDescent="0.35">
      <c r="E1624" s="137"/>
      <c r="F1624" s="137"/>
      <c r="G1624" s="190"/>
      <c r="H1624" s="137"/>
      <c r="I1624" s="137"/>
      <c r="J1624" s="137"/>
      <c r="M1624" s="143"/>
      <c r="N1624" s="143"/>
      <c r="O1624" s="143"/>
      <c r="P1624" s="143"/>
      <c r="Q1624" s="137"/>
      <c r="R1624" s="137"/>
      <c r="S1624" s="137"/>
      <c r="T1624" s="137"/>
      <c r="U1624" s="137"/>
      <c r="V1624" s="137"/>
      <c r="W1624" s="137"/>
      <c r="X1624" s="137"/>
      <c r="Y1624" s="137"/>
      <c r="Z1624" s="137"/>
      <c r="AA1624" s="137"/>
    </row>
    <row r="1625" spans="5:27" x14ac:dyDescent="0.35">
      <c r="E1625" s="137"/>
      <c r="F1625" s="137"/>
      <c r="G1625" s="190"/>
      <c r="H1625" s="137"/>
      <c r="I1625" s="137"/>
      <c r="J1625" s="137"/>
      <c r="M1625" s="143"/>
      <c r="N1625" s="143"/>
      <c r="O1625" s="143"/>
      <c r="P1625" s="143"/>
      <c r="Q1625" s="137"/>
      <c r="R1625" s="137"/>
      <c r="S1625" s="137"/>
      <c r="T1625" s="137"/>
      <c r="U1625" s="137"/>
      <c r="V1625" s="137"/>
      <c r="W1625" s="137"/>
      <c r="X1625" s="137"/>
      <c r="Y1625" s="137"/>
      <c r="Z1625" s="137"/>
      <c r="AA1625" s="137"/>
    </row>
    <row r="1626" spans="5:27" x14ac:dyDescent="0.35">
      <c r="E1626" s="137"/>
      <c r="F1626" s="137"/>
      <c r="G1626" s="190"/>
      <c r="H1626" s="137"/>
      <c r="I1626" s="137"/>
      <c r="J1626" s="137"/>
      <c r="M1626" s="143"/>
      <c r="N1626" s="143"/>
      <c r="O1626" s="143"/>
      <c r="P1626" s="143"/>
      <c r="Q1626" s="137"/>
      <c r="R1626" s="137"/>
      <c r="S1626" s="137"/>
      <c r="T1626" s="137"/>
      <c r="U1626" s="137"/>
      <c r="V1626" s="137"/>
      <c r="W1626" s="137"/>
      <c r="X1626" s="137"/>
      <c r="Y1626" s="137"/>
      <c r="Z1626" s="137"/>
      <c r="AA1626" s="137"/>
    </row>
    <row r="1627" spans="5:27" x14ac:dyDescent="0.35">
      <c r="E1627" s="137"/>
      <c r="F1627" s="137"/>
      <c r="G1627" s="190"/>
      <c r="H1627" s="137"/>
      <c r="I1627" s="137"/>
      <c r="J1627" s="137"/>
      <c r="M1627" s="143"/>
      <c r="N1627" s="143"/>
      <c r="O1627" s="143"/>
      <c r="P1627" s="143"/>
      <c r="Q1627" s="137"/>
      <c r="R1627" s="137"/>
      <c r="S1627" s="137"/>
      <c r="T1627" s="137"/>
      <c r="U1627" s="137"/>
      <c r="V1627" s="137"/>
      <c r="W1627" s="137"/>
      <c r="X1627" s="137"/>
      <c r="Y1627" s="137"/>
      <c r="Z1627" s="137"/>
      <c r="AA1627" s="137"/>
    </row>
    <row r="1628" spans="5:27" x14ac:dyDescent="0.35">
      <c r="E1628" s="137"/>
      <c r="F1628" s="137"/>
      <c r="G1628" s="190"/>
      <c r="H1628" s="137"/>
      <c r="I1628" s="137"/>
      <c r="J1628" s="137"/>
      <c r="M1628" s="143"/>
      <c r="N1628" s="143"/>
      <c r="O1628" s="143"/>
      <c r="P1628" s="143"/>
      <c r="Q1628" s="137"/>
      <c r="R1628" s="137"/>
      <c r="S1628" s="137"/>
      <c r="T1628" s="137"/>
      <c r="U1628" s="137"/>
      <c r="V1628" s="137"/>
      <c r="W1628" s="137"/>
      <c r="X1628" s="137"/>
      <c r="Y1628" s="137"/>
      <c r="Z1628" s="137"/>
      <c r="AA1628" s="137"/>
    </row>
    <row r="1629" spans="5:27" x14ac:dyDescent="0.35">
      <c r="E1629" s="137"/>
      <c r="F1629" s="137"/>
      <c r="G1629" s="190"/>
      <c r="H1629" s="137"/>
      <c r="I1629" s="137"/>
      <c r="J1629" s="137"/>
      <c r="M1629" s="143"/>
      <c r="N1629" s="143"/>
      <c r="O1629" s="143"/>
      <c r="P1629" s="143"/>
      <c r="Q1629" s="137"/>
      <c r="R1629" s="137"/>
      <c r="S1629" s="137"/>
      <c r="T1629" s="137"/>
      <c r="U1629" s="137"/>
      <c r="V1629" s="137"/>
      <c r="W1629" s="137"/>
      <c r="X1629" s="137"/>
      <c r="Y1629" s="137"/>
      <c r="Z1629" s="137"/>
      <c r="AA1629" s="137"/>
    </row>
    <row r="1630" spans="5:27" x14ac:dyDescent="0.35">
      <c r="E1630" s="137"/>
      <c r="F1630" s="137"/>
      <c r="G1630" s="190"/>
      <c r="H1630" s="137"/>
      <c r="I1630" s="137"/>
      <c r="J1630" s="137"/>
      <c r="M1630" s="143"/>
      <c r="N1630" s="143"/>
      <c r="O1630" s="143"/>
      <c r="P1630" s="143"/>
      <c r="Q1630" s="137"/>
      <c r="R1630" s="137"/>
      <c r="S1630" s="137"/>
      <c r="T1630" s="137"/>
      <c r="U1630" s="137"/>
      <c r="V1630" s="137"/>
      <c r="W1630" s="137"/>
      <c r="X1630" s="137"/>
      <c r="Y1630" s="137"/>
      <c r="Z1630" s="137"/>
      <c r="AA1630" s="137"/>
    </row>
    <row r="1631" spans="5:27" x14ac:dyDescent="0.35">
      <c r="E1631" s="137"/>
      <c r="F1631" s="137"/>
      <c r="G1631" s="190"/>
      <c r="H1631" s="137"/>
      <c r="I1631" s="137"/>
      <c r="J1631" s="137"/>
      <c r="M1631" s="143"/>
      <c r="N1631" s="143"/>
      <c r="O1631" s="143"/>
      <c r="P1631" s="143"/>
      <c r="Q1631" s="137"/>
      <c r="R1631" s="137"/>
      <c r="S1631" s="137"/>
      <c r="T1631" s="137"/>
      <c r="U1631" s="137"/>
      <c r="V1631" s="137"/>
      <c r="W1631" s="137"/>
      <c r="X1631" s="137"/>
      <c r="Y1631" s="137"/>
      <c r="Z1631" s="137"/>
      <c r="AA1631" s="137"/>
    </row>
    <row r="1632" spans="5:27" x14ac:dyDescent="0.35">
      <c r="E1632" s="137"/>
      <c r="F1632" s="137"/>
      <c r="G1632" s="190"/>
      <c r="H1632" s="137"/>
      <c r="I1632" s="137"/>
      <c r="J1632" s="137"/>
      <c r="M1632" s="143"/>
      <c r="N1632" s="143"/>
      <c r="O1632" s="143"/>
      <c r="P1632" s="143"/>
      <c r="Q1632" s="137"/>
      <c r="R1632" s="137"/>
      <c r="S1632" s="137"/>
      <c r="T1632" s="137"/>
      <c r="U1632" s="137"/>
      <c r="V1632" s="137"/>
      <c r="W1632" s="137"/>
      <c r="X1632" s="137"/>
      <c r="Y1632" s="137"/>
      <c r="Z1632" s="137"/>
      <c r="AA1632" s="137"/>
    </row>
    <row r="1633" spans="5:27" x14ac:dyDescent="0.35">
      <c r="E1633" s="137"/>
      <c r="F1633" s="137"/>
      <c r="G1633" s="190"/>
      <c r="H1633" s="137"/>
      <c r="I1633" s="137"/>
      <c r="J1633" s="137"/>
      <c r="M1633" s="143"/>
      <c r="N1633" s="143"/>
      <c r="O1633" s="143"/>
      <c r="P1633" s="143"/>
      <c r="Q1633" s="137"/>
      <c r="R1633" s="137"/>
      <c r="S1633" s="137"/>
      <c r="T1633" s="137"/>
      <c r="U1633" s="137"/>
      <c r="V1633" s="137"/>
      <c r="W1633" s="137"/>
      <c r="X1633" s="137"/>
      <c r="Y1633" s="137"/>
      <c r="Z1633" s="137"/>
      <c r="AA1633" s="137"/>
    </row>
    <row r="1634" spans="5:27" x14ac:dyDescent="0.35">
      <c r="E1634" s="137"/>
      <c r="F1634" s="137"/>
      <c r="G1634" s="190"/>
      <c r="H1634" s="137"/>
      <c r="I1634" s="137"/>
      <c r="J1634" s="137"/>
      <c r="M1634" s="143"/>
      <c r="N1634" s="143"/>
      <c r="O1634" s="143"/>
      <c r="P1634" s="143"/>
      <c r="Q1634" s="137"/>
      <c r="R1634" s="137"/>
      <c r="S1634" s="137"/>
      <c r="T1634" s="137"/>
      <c r="U1634" s="137"/>
      <c r="V1634" s="137"/>
      <c r="W1634" s="137"/>
      <c r="X1634" s="137"/>
      <c r="Y1634" s="137"/>
      <c r="Z1634" s="137"/>
      <c r="AA1634" s="137"/>
    </row>
    <row r="1635" spans="5:27" x14ac:dyDescent="0.35">
      <c r="E1635" s="137"/>
      <c r="F1635" s="137"/>
      <c r="G1635" s="190"/>
      <c r="H1635" s="137"/>
      <c r="I1635" s="137"/>
      <c r="J1635" s="137"/>
      <c r="M1635" s="143"/>
      <c r="N1635" s="143"/>
      <c r="O1635" s="143"/>
      <c r="P1635" s="143"/>
      <c r="Q1635" s="137"/>
      <c r="R1635" s="137"/>
      <c r="S1635" s="137"/>
      <c r="T1635" s="137"/>
      <c r="U1635" s="137"/>
      <c r="V1635" s="137"/>
      <c r="W1635" s="137"/>
      <c r="X1635" s="137"/>
      <c r="Y1635" s="137"/>
      <c r="Z1635" s="137"/>
      <c r="AA1635" s="137"/>
    </row>
    <row r="1636" spans="5:27" x14ac:dyDescent="0.35">
      <c r="E1636" s="137"/>
      <c r="F1636" s="137"/>
      <c r="G1636" s="190"/>
      <c r="H1636" s="137"/>
      <c r="I1636" s="137"/>
      <c r="J1636" s="137"/>
      <c r="M1636" s="143"/>
      <c r="N1636" s="143"/>
      <c r="O1636" s="143"/>
      <c r="P1636" s="143"/>
      <c r="Q1636" s="137"/>
      <c r="R1636" s="137"/>
      <c r="S1636" s="137"/>
      <c r="T1636" s="137"/>
      <c r="U1636" s="137"/>
      <c r="V1636" s="137"/>
      <c r="W1636" s="137"/>
      <c r="X1636" s="137"/>
      <c r="Y1636" s="137"/>
      <c r="Z1636" s="137"/>
      <c r="AA1636" s="137"/>
    </row>
    <row r="1637" spans="5:27" x14ac:dyDescent="0.35">
      <c r="E1637" s="137"/>
      <c r="F1637" s="137"/>
      <c r="G1637" s="190"/>
      <c r="H1637" s="137"/>
      <c r="I1637" s="137"/>
      <c r="J1637" s="137"/>
      <c r="M1637" s="143"/>
      <c r="N1637" s="143"/>
      <c r="O1637" s="143"/>
      <c r="P1637" s="143"/>
      <c r="Q1637" s="137"/>
      <c r="R1637" s="137"/>
      <c r="S1637" s="137"/>
      <c r="T1637" s="137"/>
      <c r="U1637" s="137"/>
      <c r="V1637" s="137"/>
      <c r="W1637" s="137"/>
      <c r="X1637" s="137"/>
      <c r="Y1637" s="137"/>
      <c r="Z1637" s="137"/>
      <c r="AA1637" s="137"/>
    </row>
    <row r="1638" spans="5:27" x14ac:dyDescent="0.35">
      <c r="E1638" s="137"/>
      <c r="F1638" s="137"/>
      <c r="G1638" s="190"/>
      <c r="H1638" s="137"/>
      <c r="I1638" s="137"/>
      <c r="J1638" s="137"/>
      <c r="M1638" s="143"/>
      <c r="N1638" s="143"/>
      <c r="O1638" s="143"/>
      <c r="P1638" s="143"/>
      <c r="Q1638" s="137"/>
      <c r="R1638" s="137"/>
      <c r="S1638" s="137"/>
      <c r="T1638" s="137"/>
      <c r="U1638" s="137"/>
      <c r="V1638" s="137"/>
      <c r="W1638" s="137"/>
      <c r="X1638" s="137"/>
      <c r="Y1638" s="137"/>
      <c r="Z1638" s="137"/>
      <c r="AA1638" s="137"/>
    </row>
    <row r="1639" spans="5:27" x14ac:dyDescent="0.35">
      <c r="E1639" s="137"/>
      <c r="F1639" s="137"/>
      <c r="G1639" s="190"/>
      <c r="H1639" s="137"/>
      <c r="I1639" s="137"/>
      <c r="J1639" s="137"/>
      <c r="M1639" s="143"/>
      <c r="N1639" s="143"/>
      <c r="O1639" s="143"/>
      <c r="P1639" s="143"/>
      <c r="Q1639" s="137"/>
      <c r="R1639" s="137"/>
      <c r="S1639" s="137"/>
      <c r="T1639" s="137"/>
      <c r="U1639" s="137"/>
      <c r="V1639" s="137"/>
      <c r="W1639" s="137"/>
      <c r="X1639" s="137"/>
      <c r="Y1639" s="137"/>
      <c r="Z1639" s="137"/>
      <c r="AA1639" s="137"/>
    </row>
    <row r="1640" spans="5:27" x14ac:dyDescent="0.35">
      <c r="E1640" s="137"/>
      <c r="F1640" s="137"/>
      <c r="G1640" s="190"/>
      <c r="H1640" s="137"/>
      <c r="I1640" s="137"/>
      <c r="J1640" s="137"/>
      <c r="M1640" s="143"/>
      <c r="N1640" s="143"/>
      <c r="O1640" s="143"/>
      <c r="P1640" s="143"/>
      <c r="Q1640" s="137"/>
      <c r="R1640" s="137"/>
      <c r="S1640" s="137"/>
      <c r="T1640" s="137"/>
      <c r="U1640" s="137"/>
      <c r="V1640" s="137"/>
      <c r="W1640" s="137"/>
      <c r="X1640" s="137"/>
      <c r="Y1640" s="137"/>
      <c r="Z1640" s="137"/>
      <c r="AA1640" s="137"/>
    </row>
    <row r="1641" spans="5:27" x14ac:dyDescent="0.35">
      <c r="E1641" s="137"/>
      <c r="F1641" s="137"/>
      <c r="G1641" s="190"/>
      <c r="H1641" s="137"/>
      <c r="I1641" s="137"/>
      <c r="J1641" s="137"/>
      <c r="M1641" s="143"/>
      <c r="N1641" s="143"/>
      <c r="O1641" s="143"/>
      <c r="P1641" s="143"/>
      <c r="Q1641" s="137"/>
      <c r="R1641" s="137"/>
      <c r="S1641" s="137"/>
      <c r="T1641" s="137"/>
      <c r="U1641" s="137"/>
      <c r="V1641" s="137"/>
      <c r="W1641" s="137"/>
      <c r="X1641" s="137"/>
      <c r="Y1641" s="137"/>
      <c r="Z1641" s="137"/>
      <c r="AA1641" s="137"/>
    </row>
    <row r="1642" spans="5:27" x14ac:dyDescent="0.35">
      <c r="E1642" s="137"/>
      <c r="F1642" s="137"/>
      <c r="G1642" s="190"/>
      <c r="H1642" s="137"/>
      <c r="I1642" s="137"/>
      <c r="J1642" s="137"/>
      <c r="M1642" s="143"/>
      <c r="N1642" s="143"/>
      <c r="O1642" s="143"/>
      <c r="P1642" s="143"/>
      <c r="Q1642" s="137"/>
      <c r="R1642" s="137"/>
      <c r="S1642" s="137"/>
      <c r="T1642" s="137"/>
      <c r="U1642" s="137"/>
      <c r="V1642" s="137"/>
      <c r="W1642" s="137"/>
      <c r="X1642" s="137"/>
      <c r="Y1642" s="137"/>
      <c r="Z1642" s="137"/>
      <c r="AA1642" s="137"/>
    </row>
    <row r="1643" spans="5:27" x14ac:dyDescent="0.35">
      <c r="E1643" s="137"/>
      <c r="F1643" s="137"/>
      <c r="G1643" s="190"/>
      <c r="H1643" s="137"/>
      <c r="I1643" s="137"/>
      <c r="J1643" s="137"/>
      <c r="M1643" s="143"/>
      <c r="N1643" s="143"/>
      <c r="O1643" s="143"/>
      <c r="P1643" s="143"/>
      <c r="Q1643" s="137"/>
      <c r="R1643" s="137"/>
      <c r="S1643" s="137"/>
      <c r="T1643" s="137"/>
      <c r="U1643" s="137"/>
      <c r="V1643" s="137"/>
      <c r="W1643" s="137"/>
      <c r="X1643" s="137"/>
      <c r="Y1643" s="137"/>
      <c r="Z1643" s="137"/>
      <c r="AA1643" s="137"/>
    </row>
    <row r="1644" spans="5:27" x14ac:dyDescent="0.35">
      <c r="E1644" s="137"/>
      <c r="F1644" s="137"/>
      <c r="G1644" s="190"/>
      <c r="H1644" s="137"/>
      <c r="I1644" s="137"/>
      <c r="J1644" s="137"/>
      <c r="M1644" s="143"/>
      <c r="N1644" s="143"/>
      <c r="O1644" s="143"/>
      <c r="P1644" s="143"/>
      <c r="Q1644" s="137"/>
      <c r="R1644" s="137"/>
      <c r="S1644" s="137"/>
      <c r="T1644" s="137"/>
      <c r="U1644" s="137"/>
      <c r="V1644" s="137"/>
      <c r="W1644" s="137"/>
      <c r="X1644" s="137"/>
      <c r="Y1644" s="137"/>
      <c r="Z1644" s="137"/>
      <c r="AA1644" s="137"/>
    </row>
    <row r="1645" spans="5:27" x14ac:dyDescent="0.35">
      <c r="E1645" s="137"/>
      <c r="F1645" s="137"/>
      <c r="G1645" s="190"/>
      <c r="H1645" s="137"/>
      <c r="I1645" s="137"/>
      <c r="J1645" s="137"/>
      <c r="M1645" s="143"/>
      <c r="N1645" s="143"/>
      <c r="O1645" s="143"/>
      <c r="P1645" s="143"/>
      <c r="Q1645" s="137"/>
      <c r="R1645" s="137"/>
      <c r="S1645" s="137"/>
      <c r="T1645" s="137"/>
      <c r="U1645" s="137"/>
      <c r="V1645" s="137"/>
      <c r="W1645" s="137"/>
      <c r="X1645" s="137"/>
      <c r="Y1645" s="137"/>
      <c r="Z1645" s="137"/>
      <c r="AA1645" s="137"/>
    </row>
    <row r="1646" spans="5:27" x14ac:dyDescent="0.35">
      <c r="E1646" s="137"/>
      <c r="F1646" s="137"/>
      <c r="G1646" s="190"/>
      <c r="H1646" s="137"/>
      <c r="I1646" s="137"/>
      <c r="J1646" s="137"/>
      <c r="M1646" s="143"/>
      <c r="N1646" s="143"/>
      <c r="O1646" s="143"/>
      <c r="P1646" s="143"/>
      <c r="Q1646" s="137"/>
      <c r="R1646" s="137"/>
      <c r="S1646" s="137"/>
      <c r="T1646" s="137"/>
      <c r="U1646" s="137"/>
      <c r="V1646" s="137"/>
      <c r="W1646" s="137"/>
      <c r="X1646" s="137"/>
      <c r="Y1646" s="137"/>
      <c r="Z1646" s="137"/>
      <c r="AA1646" s="137"/>
    </row>
    <row r="1647" spans="5:27" x14ac:dyDescent="0.35">
      <c r="E1647" s="137"/>
      <c r="F1647" s="137"/>
      <c r="G1647" s="190"/>
      <c r="H1647" s="137"/>
      <c r="I1647" s="137"/>
      <c r="J1647" s="137"/>
      <c r="M1647" s="143"/>
      <c r="N1647" s="143"/>
      <c r="O1647" s="143"/>
      <c r="P1647" s="143"/>
      <c r="Q1647" s="137"/>
      <c r="R1647" s="137"/>
      <c r="S1647" s="137"/>
      <c r="T1647" s="137"/>
      <c r="U1647" s="137"/>
      <c r="V1647" s="137"/>
      <c r="W1647" s="137"/>
      <c r="X1647" s="137"/>
      <c r="Y1647" s="137"/>
      <c r="Z1647" s="137"/>
      <c r="AA1647" s="137"/>
    </row>
    <row r="1648" spans="5:27" x14ac:dyDescent="0.35">
      <c r="E1648" s="137"/>
      <c r="F1648" s="137"/>
      <c r="G1648" s="190"/>
      <c r="H1648" s="137"/>
      <c r="I1648" s="137"/>
      <c r="J1648" s="137"/>
      <c r="M1648" s="143"/>
      <c r="N1648" s="143"/>
      <c r="O1648" s="143"/>
      <c r="P1648" s="143"/>
      <c r="Q1648" s="137"/>
      <c r="R1648" s="137"/>
      <c r="S1648" s="137"/>
      <c r="T1648" s="137"/>
      <c r="U1648" s="137"/>
      <c r="V1648" s="137"/>
      <c r="W1648" s="137"/>
      <c r="X1648" s="137"/>
      <c r="Y1648" s="137"/>
      <c r="Z1648" s="137"/>
      <c r="AA1648" s="137"/>
    </row>
    <row r="1649" spans="5:27" x14ac:dyDescent="0.35">
      <c r="E1649" s="137"/>
      <c r="F1649" s="137"/>
      <c r="G1649" s="190"/>
      <c r="H1649" s="137"/>
      <c r="I1649" s="137"/>
      <c r="J1649" s="137"/>
      <c r="M1649" s="143"/>
      <c r="N1649" s="143"/>
      <c r="O1649" s="143"/>
      <c r="P1649" s="143"/>
      <c r="Q1649" s="137"/>
      <c r="R1649" s="137"/>
      <c r="S1649" s="137"/>
      <c r="T1649" s="137"/>
      <c r="U1649" s="137"/>
      <c r="V1649" s="137"/>
      <c r="W1649" s="137"/>
      <c r="X1649" s="137"/>
      <c r="Y1649" s="137"/>
      <c r="Z1649" s="137"/>
      <c r="AA1649" s="137"/>
    </row>
    <row r="1650" spans="5:27" x14ac:dyDescent="0.35">
      <c r="E1650" s="137"/>
      <c r="F1650" s="137"/>
      <c r="G1650" s="190"/>
      <c r="H1650" s="137"/>
      <c r="I1650" s="137"/>
      <c r="J1650" s="137"/>
      <c r="M1650" s="143"/>
      <c r="N1650" s="143"/>
      <c r="O1650" s="143"/>
      <c r="P1650" s="143"/>
      <c r="Q1650" s="137"/>
      <c r="R1650" s="137"/>
      <c r="S1650" s="137"/>
      <c r="T1650" s="137"/>
      <c r="U1650" s="137"/>
      <c r="V1650" s="137"/>
      <c r="W1650" s="137"/>
      <c r="X1650" s="137"/>
      <c r="Y1650" s="137"/>
      <c r="Z1650" s="137"/>
      <c r="AA1650" s="137"/>
    </row>
    <row r="1651" spans="5:27" x14ac:dyDescent="0.35">
      <c r="E1651" s="137"/>
      <c r="F1651" s="137"/>
      <c r="G1651" s="190"/>
      <c r="H1651" s="137"/>
      <c r="I1651" s="137"/>
      <c r="J1651" s="137"/>
      <c r="M1651" s="143"/>
      <c r="N1651" s="143"/>
      <c r="O1651" s="143"/>
      <c r="P1651" s="143"/>
      <c r="Q1651" s="137"/>
      <c r="R1651" s="137"/>
      <c r="S1651" s="137"/>
      <c r="T1651" s="137"/>
      <c r="U1651" s="137"/>
      <c r="V1651" s="137"/>
      <c r="W1651" s="137"/>
      <c r="X1651" s="137"/>
      <c r="Y1651" s="137"/>
      <c r="Z1651" s="137"/>
      <c r="AA1651" s="137"/>
    </row>
    <row r="1652" spans="5:27" x14ac:dyDescent="0.35">
      <c r="E1652" s="137"/>
      <c r="F1652" s="137"/>
      <c r="G1652" s="190"/>
      <c r="H1652" s="137"/>
      <c r="I1652" s="137"/>
      <c r="J1652" s="137"/>
      <c r="M1652" s="143"/>
      <c r="N1652" s="143"/>
      <c r="O1652" s="143"/>
      <c r="P1652" s="143"/>
      <c r="Q1652" s="137"/>
      <c r="R1652" s="137"/>
      <c r="S1652" s="137"/>
      <c r="T1652" s="137"/>
      <c r="U1652" s="137"/>
      <c r="V1652" s="137"/>
      <c r="W1652" s="137"/>
      <c r="X1652" s="137"/>
      <c r="Y1652" s="137"/>
      <c r="Z1652" s="137"/>
      <c r="AA1652" s="137"/>
    </row>
    <row r="1653" spans="5:27" x14ac:dyDescent="0.35">
      <c r="E1653" s="137"/>
      <c r="F1653" s="137"/>
      <c r="G1653" s="190"/>
      <c r="H1653" s="137"/>
      <c r="I1653" s="137"/>
      <c r="J1653" s="137"/>
      <c r="M1653" s="143"/>
      <c r="N1653" s="143"/>
      <c r="O1653" s="143"/>
      <c r="P1653" s="143"/>
      <c r="Q1653" s="137"/>
      <c r="R1653" s="137"/>
      <c r="S1653" s="137"/>
      <c r="T1653" s="137"/>
      <c r="U1653" s="137"/>
      <c r="V1653" s="137"/>
      <c r="W1653" s="137"/>
      <c r="X1653" s="137"/>
      <c r="Y1653" s="137"/>
      <c r="Z1653" s="137"/>
      <c r="AA1653" s="137"/>
    </row>
    <row r="1654" spans="5:27" x14ac:dyDescent="0.35">
      <c r="E1654" s="137"/>
      <c r="F1654" s="137"/>
      <c r="G1654" s="190"/>
      <c r="H1654" s="137"/>
      <c r="I1654" s="137"/>
      <c r="J1654" s="137"/>
      <c r="M1654" s="143"/>
      <c r="N1654" s="143"/>
      <c r="O1654" s="143"/>
      <c r="P1654" s="143"/>
      <c r="Q1654" s="137"/>
      <c r="R1654" s="137"/>
      <c r="S1654" s="137"/>
      <c r="T1654" s="137"/>
      <c r="U1654" s="137"/>
      <c r="V1654" s="137"/>
      <c r="W1654" s="137"/>
      <c r="X1654" s="137"/>
      <c r="Y1654" s="137"/>
      <c r="Z1654" s="137"/>
      <c r="AA1654" s="137"/>
    </row>
    <row r="1655" spans="5:27" x14ac:dyDescent="0.35">
      <c r="E1655" s="137"/>
      <c r="F1655" s="137"/>
      <c r="G1655" s="190"/>
      <c r="H1655" s="137"/>
      <c r="I1655" s="137"/>
      <c r="J1655" s="137"/>
      <c r="M1655" s="143"/>
      <c r="N1655" s="143"/>
      <c r="O1655" s="143"/>
      <c r="P1655" s="143"/>
      <c r="Q1655" s="137"/>
      <c r="R1655" s="137"/>
      <c r="S1655" s="137"/>
      <c r="T1655" s="137"/>
      <c r="U1655" s="137"/>
      <c r="V1655" s="137"/>
      <c r="W1655" s="137"/>
      <c r="X1655" s="137"/>
      <c r="Y1655" s="137"/>
      <c r="Z1655" s="137"/>
      <c r="AA1655" s="137"/>
    </row>
    <row r="1656" spans="5:27" x14ac:dyDescent="0.35">
      <c r="E1656" s="137"/>
      <c r="F1656" s="137"/>
      <c r="G1656" s="190"/>
      <c r="H1656" s="137"/>
      <c r="I1656" s="137"/>
      <c r="J1656" s="137"/>
      <c r="M1656" s="143"/>
      <c r="N1656" s="143"/>
      <c r="O1656" s="143"/>
      <c r="P1656" s="143"/>
      <c r="Q1656" s="137"/>
      <c r="R1656" s="137"/>
      <c r="S1656" s="137"/>
      <c r="T1656" s="137"/>
      <c r="U1656" s="137"/>
      <c r="V1656" s="137"/>
      <c r="W1656" s="137"/>
      <c r="X1656" s="137"/>
      <c r="Y1656" s="137"/>
      <c r="Z1656" s="137"/>
      <c r="AA1656" s="137"/>
    </row>
    <row r="1657" spans="5:27" x14ac:dyDescent="0.35">
      <c r="E1657" s="137"/>
      <c r="F1657" s="137"/>
      <c r="G1657" s="190"/>
      <c r="H1657" s="137"/>
      <c r="I1657" s="137"/>
      <c r="J1657" s="137"/>
      <c r="M1657" s="143"/>
      <c r="N1657" s="143"/>
      <c r="O1657" s="143"/>
      <c r="P1657" s="143"/>
      <c r="Q1657" s="137"/>
      <c r="R1657" s="137"/>
      <c r="S1657" s="137"/>
      <c r="T1657" s="137"/>
      <c r="U1657" s="137"/>
      <c r="V1657" s="137"/>
      <c r="W1657" s="137"/>
      <c r="X1657" s="137"/>
      <c r="Y1657" s="137"/>
      <c r="Z1657" s="137"/>
      <c r="AA1657" s="137"/>
    </row>
    <row r="1658" spans="5:27" x14ac:dyDescent="0.35">
      <c r="E1658" s="137"/>
      <c r="F1658" s="137"/>
      <c r="G1658" s="190"/>
      <c r="H1658" s="137"/>
      <c r="I1658" s="137"/>
      <c r="J1658" s="137"/>
      <c r="M1658" s="143"/>
      <c r="N1658" s="143"/>
      <c r="O1658" s="143"/>
      <c r="P1658" s="143"/>
      <c r="Q1658" s="137"/>
      <c r="R1658" s="137"/>
      <c r="S1658" s="137"/>
      <c r="T1658" s="137"/>
      <c r="U1658" s="137"/>
      <c r="V1658" s="137"/>
      <c r="W1658" s="137"/>
      <c r="X1658" s="137"/>
      <c r="Y1658" s="137"/>
      <c r="Z1658" s="137"/>
      <c r="AA1658" s="137"/>
    </row>
    <row r="1659" spans="5:27" x14ac:dyDescent="0.35">
      <c r="E1659" s="137"/>
      <c r="F1659" s="137"/>
      <c r="G1659" s="190"/>
      <c r="H1659" s="137"/>
      <c r="I1659" s="137"/>
      <c r="J1659" s="137"/>
      <c r="M1659" s="143"/>
      <c r="N1659" s="143"/>
      <c r="O1659" s="143"/>
      <c r="P1659" s="143"/>
      <c r="Q1659" s="137"/>
      <c r="R1659" s="137"/>
      <c r="S1659" s="137"/>
      <c r="T1659" s="137"/>
      <c r="U1659" s="137"/>
      <c r="V1659" s="137"/>
      <c r="W1659" s="137"/>
      <c r="X1659" s="137"/>
      <c r="Y1659" s="137"/>
      <c r="Z1659" s="137"/>
      <c r="AA1659" s="137"/>
    </row>
    <row r="1660" spans="5:27" x14ac:dyDescent="0.35">
      <c r="E1660" s="137"/>
      <c r="F1660" s="137"/>
      <c r="G1660" s="190"/>
      <c r="H1660" s="137"/>
      <c r="I1660" s="137"/>
      <c r="J1660" s="137"/>
      <c r="M1660" s="143"/>
      <c r="N1660" s="143"/>
      <c r="O1660" s="143"/>
      <c r="P1660" s="143"/>
      <c r="Q1660" s="137"/>
      <c r="R1660" s="137"/>
      <c r="S1660" s="137"/>
      <c r="T1660" s="137"/>
      <c r="U1660" s="137"/>
      <c r="V1660" s="137"/>
      <c r="W1660" s="137"/>
      <c r="X1660" s="137"/>
      <c r="Y1660" s="137"/>
      <c r="Z1660" s="137"/>
      <c r="AA1660" s="137"/>
    </row>
    <row r="1661" spans="5:27" x14ac:dyDescent="0.35">
      <c r="E1661" s="137"/>
      <c r="F1661" s="137"/>
      <c r="G1661" s="190"/>
      <c r="H1661" s="137"/>
      <c r="I1661" s="137"/>
      <c r="J1661" s="137"/>
      <c r="M1661" s="143"/>
      <c r="N1661" s="143"/>
      <c r="O1661" s="143"/>
      <c r="P1661" s="143"/>
      <c r="Q1661" s="137"/>
      <c r="R1661" s="137"/>
      <c r="S1661" s="137"/>
      <c r="T1661" s="137"/>
      <c r="U1661" s="137"/>
      <c r="V1661" s="137"/>
      <c r="W1661" s="137"/>
      <c r="X1661" s="137"/>
      <c r="Y1661" s="137"/>
      <c r="Z1661" s="137"/>
      <c r="AA1661" s="137"/>
    </row>
    <row r="1662" spans="5:27" x14ac:dyDescent="0.35">
      <c r="E1662" s="137"/>
      <c r="F1662" s="137"/>
      <c r="G1662" s="190"/>
      <c r="H1662" s="137"/>
      <c r="I1662" s="137"/>
      <c r="J1662" s="137"/>
      <c r="M1662" s="143"/>
      <c r="N1662" s="143"/>
      <c r="O1662" s="143"/>
      <c r="P1662" s="143"/>
      <c r="Q1662" s="137"/>
      <c r="R1662" s="137"/>
      <c r="S1662" s="137"/>
      <c r="T1662" s="137"/>
      <c r="U1662" s="137"/>
      <c r="V1662" s="137"/>
      <c r="W1662" s="137"/>
      <c r="X1662" s="137"/>
      <c r="Y1662" s="137"/>
      <c r="Z1662" s="137"/>
      <c r="AA1662" s="137"/>
    </row>
    <row r="1663" spans="5:27" x14ac:dyDescent="0.35">
      <c r="E1663" s="137"/>
      <c r="F1663" s="137"/>
      <c r="G1663" s="190"/>
      <c r="H1663" s="137"/>
      <c r="I1663" s="137"/>
      <c r="J1663" s="137"/>
      <c r="M1663" s="143"/>
      <c r="N1663" s="143"/>
      <c r="O1663" s="143"/>
      <c r="P1663" s="143"/>
      <c r="Q1663" s="137"/>
      <c r="R1663" s="137"/>
      <c r="S1663" s="137"/>
      <c r="T1663" s="137"/>
      <c r="U1663" s="137"/>
      <c r="V1663" s="137"/>
      <c r="W1663" s="137"/>
      <c r="X1663" s="137"/>
      <c r="Y1663" s="137"/>
      <c r="Z1663" s="137"/>
      <c r="AA1663" s="137"/>
    </row>
    <row r="1664" spans="5:27" x14ac:dyDescent="0.35">
      <c r="E1664" s="137"/>
      <c r="F1664" s="137"/>
      <c r="G1664" s="190"/>
      <c r="H1664" s="137"/>
      <c r="I1664" s="137"/>
      <c r="J1664" s="137"/>
      <c r="M1664" s="143"/>
      <c r="N1664" s="143"/>
      <c r="O1664" s="143"/>
      <c r="P1664" s="143"/>
      <c r="Q1664" s="137"/>
      <c r="R1664" s="137"/>
      <c r="S1664" s="137"/>
      <c r="T1664" s="137"/>
      <c r="U1664" s="137"/>
      <c r="V1664" s="137"/>
      <c r="W1664" s="137"/>
      <c r="X1664" s="137"/>
      <c r="Y1664" s="137"/>
      <c r="Z1664" s="137"/>
      <c r="AA1664" s="137"/>
    </row>
    <row r="1665" spans="5:27" x14ac:dyDescent="0.35">
      <c r="E1665" s="137"/>
      <c r="F1665" s="137"/>
      <c r="G1665" s="190"/>
      <c r="H1665" s="137"/>
      <c r="I1665" s="137"/>
      <c r="J1665" s="137"/>
      <c r="M1665" s="143"/>
      <c r="N1665" s="143"/>
      <c r="O1665" s="143"/>
      <c r="P1665" s="143"/>
      <c r="Q1665" s="137"/>
      <c r="R1665" s="137"/>
      <c r="S1665" s="137"/>
      <c r="T1665" s="137"/>
      <c r="U1665" s="137"/>
      <c r="V1665" s="137"/>
      <c r="W1665" s="137"/>
      <c r="X1665" s="137"/>
      <c r="Y1665" s="137"/>
      <c r="Z1665" s="137"/>
      <c r="AA1665" s="137"/>
    </row>
    <row r="1666" spans="5:27" x14ac:dyDescent="0.35">
      <c r="E1666" s="137"/>
      <c r="F1666" s="137"/>
      <c r="G1666" s="190"/>
      <c r="H1666" s="137"/>
      <c r="I1666" s="137"/>
      <c r="J1666" s="137"/>
      <c r="M1666" s="143"/>
      <c r="N1666" s="143"/>
      <c r="O1666" s="143"/>
      <c r="P1666" s="143"/>
      <c r="Q1666" s="137"/>
      <c r="R1666" s="137"/>
      <c r="S1666" s="137"/>
      <c r="T1666" s="137"/>
      <c r="U1666" s="137"/>
      <c r="V1666" s="137"/>
      <c r="W1666" s="137"/>
      <c r="X1666" s="137"/>
      <c r="Y1666" s="137"/>
      <c r="Z1666" s="137"/>
      <c r="AA1666" s="137"/>
    </row>
    <row r="1667" spans="5:27" x14ac:dyDescent="0.35">
      <c r="E1667" s="137"/>
      <c r="F1667" s="137"/>
      <c r="G1667" s="190"/>
      <c r="H1667" s="137"/>
      <c r="I1667" s="137"/>
      <c r="J1667" s="137"/>
      <c r="M1667" s="143"/>
      <c r="N1667" s="143"/>
      <c r="O1667" s="143"/>
      <c r="P1667" s="143"/>
      <c r="Q1667" s="137"/>
      <c r="R1667" s="137"/>
      <c r="S1667" s="137"/>
      <c r="T1667" s="137"/>
      <c r="U1667" s="137"/>
      <c r="V1667" s="137"/>
      <c r="W1667" s="137"/>
      <c r="X1667" s="137"/>
      <c r="Y1667" s="137"/>
      <c r="Z1667" s="137"/>
      <c r="AA1667" s="137"/>
    </row>
    <row r="1668" spans="5:27" x14ac:dyDescent="0.35">
      <c r="E1668" s="137"/>
      <c r="F1668" s="137"/>
      <c r="G1668" s="190"/>
      <c r="H1668" s="137"/>
      <c r="I1668" s="137"/>
      <c r="J1668" s="137"/>
      <c r="M1668" s="143"/>
      <c r="N1668" s="143"/>
      <c r="O1668" s="143"/>
      <c r="P1668" s="143"/>
      <c r="Q1668" s="137"/>
      <c r="R1668" s="137"/>
      <c r="S1668" s="137"/>
      <c r="T1668" s="137"/>
      <c r="U1668" s="137"/>
      <c r="V1668" s="137"/>
      <c r="W1668" s="137"/>
      <c r="X1668" s="137"/>
      <c r="Y1668" s="137"/>
      <c r="Z1668" s="137"/>
      <c r="AA1668" s="137"/>
    </row>
    <row r="1669" spans="5:27" x14ac:dyDescent="0.35">
      <c r="E1669" s="137"/>
      <c r="F1669" s="137"/>
      <c r="G1669" s="190"/>
      <c r="H1669" s="137"/>
      <c r="I1669" s="137"/>
      <c r="J1669" s="137"/>
      <c r="M1669" s="143"/>
      <c r="N1669" s="143"/>
      <c r="O1669" s="143"/>
      <c r="P1669" s="143"/>
      <c r="Q1669" s="137"/>
      <c r="R1669" s="137"/>
      <c r="S1669" s="137"/>
      <c r="T1669" s="137"/>
      <c r="U1669" s="137"/>
      <c r="V1669" s="137"/>
      <c r="W1669" s="137"/>
      <c r="X1669" s="137"/>
      <c r="Y1669" s="137"/>
      <c r="Z1669" s="137"/>
      <c r="AA1669" s="137"/>
    </row>
    <row r="1670" spans="5:27" x14ac:dyDescent="0.35">
      <c r="E1670" s="137"/>
      <c r="F1670" s="137"/>
      <c r="G1670" s="190"/>
      <c r="H1670" s="137"/>
      <c r="I1670" s="137"/>
      <c r="J1670" s="137"/>
      <c r="M1670" s="143"/>
      <c r="N1670" s="143"/>
      <c r="O1670" s="143"/>
      <c r="P1670" s="143"/>
      <c r="Q1670" s="137"/>
      <c r="R1670" s="137"/>
      <c r="S1670" s="137"/>
      <c r="T1670" s="137"/>
      <c r="U1670" s="137"/>
      <c r="V1670" s="137"/>
      <c r="W1670" s="137"/>
      <c r="X1670" s="137"/>
      <c r="Y1670" s="137"/>
      <c r="Z1670" s="137"/>
      <c r="AA1670" s="137"/>
    </row>
    <row r="1671" spans="5:27" x14ac:dyDescent="0.35">
      <c r="E1671" s="137"/>
      <c r="F1671" s="137"/>
      <c r="G1671" s="190"/>
      <c r="H1671" s="137"/>
      <c r="I1671" s="137"/>
      <c r="J1671" s="137"/>
      <c r="M1671" s="143"/>
      <c r="N1671" s="143"/>
      <c r="O1671" s="143"/>
      <c r="P1671" s="143"/>
      <c r="Q1671" s="137"/>
      <c r="R1671" s="137"/>
      <c r="S1671" s="137"/>
      <c r="T1671" s="137"/>
      <c r="U1671" s="137"/>
      <c r="V1671" s="137"/>
      <c r="W1671" s="137"/>
      <c r="X1671" s="137"/>
      <c r="Y1671" s="137"/>
      <c r="Z1671" s="137"/>
      <c r="AA1671" s="137"/>
    </row>
    <row r="1672" spans="5:27" x14ac:dyDescent="0.35">
      <c r="E1672" s="137"/>
      <c r="F1672" s="137"/>
      <c r="G1672" s="190"/>
      <c r="H1672" s="137"/>
      <c r="I1672" s="137"/>
      <c r="J1672" s="137"/>
      <c r="M1672" s="143"/>
      <c r="N1672" s="143"/>
      <c r="O1672" s="143"/>
      <c r="P1672" s="143"/>
      <c r="Q1672" s="137"/>
      <c r="R1672" s="137"/>
      <c r="S1672" s="137"/>
      <c r="T1672" s="137"/>
      <c r="U1672" s="137"/>
      <c r="V1672" s="137"/>
      <c r="W1672" s="137"/>
      <c r="X1672" s="137"/>
      <c r="Y1672" s="137"/>
      <c r="Z1672" s="137"/>
      <c r="AA1672" s="137"/>
    </row>
    <row r="1673" spans="5:27" x14ac:dyDescent="0.35">
      <c r="E1673" s="137"/>
      <c r="F1673" s="137"/>
      <c r="G1673" s="190"/>
      <c r="H1673" s="137"/>
      <c r="I1673" s="137"/>
      <c r="J1673" s="137"/>
      <c r="M1673" s="143"/>
      <c r="N1673" s="143"/>
      <c r="O1673" s="143"/>
      <c r="P1673" s="143"/>
      <c r="Q1673" s="137"/>
      <c r="R1673" s="137"/>
      <c r="S1673" s="137"/>
      <c r="T1673" s="137"/>
      <c r="U1673" s="137"/>
      <c r="V1673" s="137"/>
      <c r="W1673" s="137"/>
      <c r="X1673" s="137"/>
      <c r="Y1673" s="137"/>
      <c r="Z1673" s="137"/>
      <c r="AA1673" s="137"/>
    </row>
    <row r="1674" spans="5:27" x14ac:dyDescent="0.35">
      <c r="E1674" s="137"/>
      <c r="F1674" s="137"/>
      <c r="G1674" s="190"/>
      <c r="H1674" s="137"/>
      <c r="I1674" s="137"/>
      <c r="J1674" s="137"/>
      <c r="M1674" s="143"/>
      <c r="N1674" s="143"/>
      <c r="O1674" s="143"/>
      <c r="P1674" s="143"/>
      <c r="Q1674" s="137"/>
      <c r="R1674" s="137"/>
      <c r="S1674" s="137"/>
      <c r="T1674" s="137"/>
      <c r="U1674" s="137"/>
      <c r="V1674" s="137"/>
      <c r="W1674" s="137"/>
      <c r="X1674" s="137"/>
      <c r="Y1674" s="137"/>
      <c r="Z1674" s="137"/>
      <c r="AA1674" s="137"/>
    </row>
    <row r="1675" spans="5:27" x14ac:dyDescent="0.35">
      <c r="E1675" s="137"/>
      <c r="F1675" s="137"/>
      <c r="G1675" s="190"/>
      <c r="H1675" s="137"/>
      <c r="I1675" s="137"/>
      <c r="J1675" s="137"/>
      <c r="M1675" s="143"/>
      <c r="N1675" s="143"/>
      <c r="O1675" s="143"/>
      <c r="P1675" s="143"/>
      <c r="Q1675" s="137"/>
      <c r="R1675" s="137"/>
      <c r="S1675" s="137"/>
      <c r="T1675" s="137"/>
      <c r="U1675" s="137"/>
      <c r="V1675" s="137"/>
      <c r="W1675" s="137"/>
      <c r="X1675" s="137"/>
      <c r="Y1675" s="137"/>
      <c r="Z1675" s="137"/>
      <c r="AA1675" s="137"/>
    </row>
    <row r="1676" spans="5:27" x14ac:dyDescent="0.35">
      <c r="E1676" s="137"/>
      <c r="F1676" s="137"/>
      <c r="G1676" s="190"/>
      <c r="H1676" s="137"/>
      <c r="I1676" s="137"/>
      <c r="J1676" s="137"/>
      <c r="M1676" s="143"/>
      <c r="N1676" s="143"/>
      <c r="O1676" s="143"/>
      <c r="P1676" s="143"/>
      <c r="Q1676" s="137"/>
      <c r="R1676" s="137"/>
      <c r="S1676" s="137"/>
      <c r="T1676" s="137"/>
      <c r="U1676" s="137"/>
      <c r="V1676" s="137"/>
      <c r="W1676" s="137"/>
      <c r="X1676" s="137"/>
      <c r="Y1676" s="137"/>
      <c r="Z1676" s="137"/>
      <c r="AA1676" s="137"/>
    </row>
    <row r="1677" spans="5:27" x14ac:dyDescent="0.35">
      <c r="E1677" s="137"/>
      <c r="F1677" s="137"/>
      <c r="G1677" s="190"/>
      <c r="H1677" s="137"/>
      <c r="I1677" s="137"/>
      <c r="J1677" s="137"/>
      <c r="M1677" s="143"/>
      <c r="N1677" s="143"/>
      <c r="O1677" s="143"/>
      <c r="P1677" s="143"/>
      <c r="Q1677" s="137"/>
      <c r="R1677" s="137"/>
      <c r="S1677" s="137"/>
      <c r="T1677" s="137"/>
      <c r="U1677" s="137"/>
      <c r="V1677" s="137"/>
      <c r="W1677" s="137"/>
      <c r="X1677" s="137"/>
      <c r="Y1677" s="137"/>
      <c r="Z1677" s="137"/>
      <c r="AA1677" s="137"/>
    </row>
    <row r="1678" spans="5:27" x14ac:dyDescent="0.35">
      <c r="E1678" s="137"/>
      <c r="F1678" s="137"/>
      <c r="G1678" s="190"/>
      <c r="H1678" s="137"/>
      <c r="I1678" s="137"/>
      <c r="J1678" s="137"/>
      <c r="M1678" s="143"/>
      <c r="N1678" s="143"/>
      <c r="O1678" s="143"/>
      <c r="P1678" s="143"/>
      <c r="Q1678" s="137"/>
      <c r="R1678" s="137"/>
      <c r="S1678" s="137"/>
      <c r="T1678" s="137"/>
      <c r="U1678" s="137"/>
      <c r="V1678" s="137"/>
      <c r="W1678" s="137"/>
      <c r="X1678" s="137"/>
      <c r="Y1678" s="137"/>
      <c r="Z1678" s="137"/>
      <c r="AA1678" s="137"/>
    </row>
    <row r="1679" spans="5:27" x14ac:dyDescent="0.35">
      <c r="E1679" s="137"/>
      <c r="F1679" s="137"/>
      <c r="G1679" s="190"/>
      <c r="H1679" s="137"/>
      <c r="I1679" s="137"/>
      <c r="J1679" s="137"/>
      <c r="M1679" s="143"/>
      <c r="N1679" s="143"/>
      <c r="O1679" s="143"/>
      <c r="P1679" s="143"/>
      <c r="Q1679" s="137"/>
      <c r="R1679" s="137"/>
      <c r="S1679" s="137"/>
      <c r="T1679" s="137"/>
      <c r="U1679" s="137"/>
      <c r="V1679" s="137"/>
      <c r="W1679" s="137"/>
      <c r="X1679" s="137"/>
      <c r="Y1679" s="137"/>
      <c r="Z1679" s="137"/>
      <c r="AA1679" s="137"/>
    </row>
    <row r="1680" spans="5:27" x14ac:dyDescent="0.35">
      <c r="E1680" s="137"/>
      <c r="F1680" s="137"/>
      <c r="G1680" s="190"/>
      <c r="H1680" s="137"/>
      <c r="I1680" s="137"/>
      <c r="J1680" s="137"/>
      <c r="M1680" s="143"/>
      <c r="N1680" s="143"/>
      <c r="O1680" s="143"/>
      <c r="P1680" s="143"/>
      <c r="Q1680" s="137"/>
      <c r="R1680" s="137"/>
      <c r="S1680" s="137"/>
      <c r="T1680" s="137"/>
      <c r="U1680" s="137"/>
      <c r="V1680" s="137"/>
      <c r="W1680" s="137"/>
      <c r="X1680" s="137"/>
      <c r="Y1680" s="137"/>
      <c r="Z1680" s="137"/>
      <c r="AA1680" s="137"/>
    </row>
    <row r="1681" spans="5:27" x14ac:dyDescent="0.35">
      <c r="E1681" s="137"/>
      <c r="F1681" s="137"/>
      <c r="G1681" s="190"/>
      <c r="H1681" s="137"/>
      <c r="I1681" s="137"/>
      <c r="J1681" s="137"/>
      <c r="M1681" s="143"/>
      <c r="N1681" s="143"/>
      <c r="O1681" s="143"/>
      <c r="P1681" s="143"/>
      <c r="Q1681" s="137"/>
      <c r="R1681" s="137"/>
      <c r="S1681" s="137"/>
      <c r="T1681" s="137"/>
      <c r="U1681" s="137"/>
      <c r="V1681" s="137"/>
      <c r="W1681" s="137"/>
      <c r="X1681" s="137"/>
      <c r="Y1681" s="137"/>
      <c r="Z1681" s="137"/>
      <c r="AA1681" s="137"/>
    </row>
    <row r="1682" spans="5:27" x14ac:dyDescent="0.35">
      <c r="E1682" s="137"/>
      <c r="F1682" s="137"/>
      <c r="G1682" s="190"/>
      <c r="H1682" s="137"/>
      <c r="I1682" s="137"/>
      <c r="J1682" s="137"/>
      <c r="M1682" s="143"/>
      <c r="N1682" s="143"/>
      <c r="O1682" s="143"/>
      <c r="P1682" s="143"/>
      <c r="Q1682" s="137"/>
      <c r="R1682" s="137"/>
      <c r="S1682" s="137"/>
      <c r="T1682" s="137"/>
      <c r="U1682" s="137"/>
      <c r="V1682" s="137"/>
      <c r="W1682" s="137"/>
      <c r="X1682" s="137"/>
      <c r="Y1682" s="137"/>
      <c r="Z1682" s="137"/>
      <c r="AA1682" s="137"/>
    </row>
    <row r="1683" spans="5:27" x14ac:dyDescent="0.35">
      <c r="E1683" s="137"/>
      <c r="F1683" s="137"/>
      <c r="G1683" s="190"/>
      <c r="H1683" s="137"/>
      <c r="I1683" s="137"/>
      <c r="J1683" s="137"/>
      <c r="M1683" s="143"/>
      <c r="N1683" s="143"/>
      <c r="O1683" s="143"/>
      <c r="P1683" s="143"/>
      <c r="Q1683" s="137"/>
      <c r="R1683" s="137"/>
      <c r="S1683" s="137"/>
      <c r="T1683" s="137"/>
      <c r="U1683" s="137"/>
      <c r="V1683" s="137"/>
      <c r="W1683" s="137"/>
      <c r="X1683" s="137"/>
      <c r="Y1683" s="137"/>
      <c r="Z1683" s="137"/>
      <c r="AA1683" s="137"/>
    </row>
    <row r="1684" spans="5:27" x14ac:dyDescent="0.35">
      <c r="E1684" s="137"/>
      <c r="F1684" s="137"/>
      <c r="G1684" s="190"/>
      <c r="H1684" s="137"/>
      <c r="I1684" s="137"/>
      <c r="J1684" s="137"/>
      <c r="M1684" s="143"/>
      <c r="N1684" s="143"/>
      <c r="O1684" s="143"/>
      <c r="P1684" s="143"/>
      <c r="Q1684" s="137"/>
      <c r="R1684" s="137"/>
      <c r="S1684" s="137"/>
      <c r="T1684" s="137"/>
      <c r="U1684" s="137"/>
      <c r="V1684" s="137"/>
      <c r="W1684" s="137"/>
      <c r="X1684" s="137"/>
      <c r="Y1684" s="137"/>
      <c r="Z1684" s="137"/>
      <c r="AA1684" s="137"/>
    </row>
    <row r="1685" spans="5:27" x14ac:dyDescent="0.35">
      <c r="E1685" s="137"/>
      <c r="F1685" s="137"/>
      <c r="G1685" s="190"/>
      <c r="H1685" s="137"/>
      <c r="I1685" s="137"/>
      <c r="J1685" s="137"/>
      <c r="M1685" s="143"/>
      <c r="N1685" s="143"/>
      <c r="O1685" s="143"/>
      <c r="P1685" s="143"/>
      <c r="Q1685" s="137"/>
      <c r="R1685" s="137"/>
      <c r="S1685" s="137"/>
      <c r="T1685" s="137"/>
      <c r="U1685" s="137"/>
      <c r="V1685" s="137"/>
      <c r="W1685" s="137"/>
      <c r="X1685" s="137"/>
      <c r="Y1685" s="137"/>
      <c r="Z1685" s="137"/>
      <c r="AA1685" s="137"/>
    </row>
    <row r="1686" spans="5:27" x14ac:dyDescent="0.35">
      <c r="E1686" s="137"/>
      <c r="F1686" s="137"/>
      <c r="G1686" s="190"/>
      <c r="H1686" s="137"/>
      <c r="I1686" s="137"/>
      <c r="J1686" s="137"/>
      <c r="M1686" s="143"/>
      <c r="N1686" s="143"/>
      <c r="O1686" s="143"/>
      <c r="P1686" s="143"/>
      <c r="Q1686" s="137"/>
      <c r="R1686" s="137"/>
      <c r="S1686" s="137"/>
      <c r="T1686" s="137"/>
      <c r="U1686" s="137"/>
      <c r="V1686" s="137"/>
      <c r="W1686" s="137"/>
      <c r="X1686" s="137"/>
      <c r="Y1686" s="137"/>
      <c r="Z1686" s="137"/>
      <c r="AA1686" s="137"/>
    </row>
    <row r="1687" spans="5:27" x14ac:dyDescent="0.35">
      <c r="E1687" s="137"/>
      <c r="F1687" s="137"/>
      <c r="G1687" s="190"/>
      <c r="H1687" s="137"/>
      <c r="I1687" s="137"/>
      <c r="J1687" s="137"/>
      <c r="M1687" s="143"/>
      <c r="N1687" s="143"/>
      <c r="O1687" s="143"/>
      <c r="P1687" s="143"/>
      <c r="Q1687" s="137"/>
      <c r="R1687" s="137"/>
      <c r="S1687" s="137"/>
      <c r="T1687" s="137"/>
      <c r="U1687" s="137"/>
      <c r="V1687" s="137"/>
      <c r="W1687" s="137"/>
      <c r="X1687" s="137"/>
      <c r="Y1687" s="137"/>
      <c r="Z1687" s="137"/>
      <c r="AA1687" s="137"/>
    </row>
    <row r="1688" spans="5:27" x14ac:dyDescent="0.35">
      <c r="E1688" s="137"/>
      <c r="F1688" s="137"/>
      <c r="G1688" s="190"/>
      <c r="H1688" s="137"/>
      <c r="I1688" s="137"/>
      <c r="J1688" s="137"/>
      <c r="M1688" s="143"/>
      <c r="N1688" s="143"/>
      <c r="O1688" s="143"/>
      <c r="P1688" s="143"/>
      <c r="Q1688" s="137"/>
      <c r="R1688" s="137"/>
      <c r="S1688" s="137"/>
      <c r="T1688" s="137"/>
      <c r="U1688" s="137"/>
      <c r="V1688" s="137"/>
      <c r="W1688" s="137"/>
      <c r="X1688" s="137"/>
      <c r="Y1688" s="137"/>
      <c r="Z1688" s="137"/>
      <c r="AA1688" s="137"/>
    </row>
    <row r="1689" spans="5:27" x14ac:dyDescent="0.35">
      <c r="E1689" s="137"/>
      <c r="F1689" s="137"/>
      <c r="G1689" s="190"/>
      <c r="H1689" s="137"/>
      <c r="I1689" s="137"/>
      <c r="J1689" s="137"/>
      <c r="M1689" s="143"/>
      <c r="N1689" s="143"/>
      <c r="O1689" s="143"/>
      <c r="P1689" s="143"/>
      <c r="Q1689" s="137"/>
      <c r="R1689" s="137"/>
      <c r="S1689" s="137"/>
      <c r="T1689" s="137"/>
      <c r="U1689" s="137"/>
      <c r="V1689" s="137"/>
      <c r="W1689" s="137"/>
      <c r="X1689" s="137"/>
      <c r="Y1689" s="137"/>
      <c r="Z1689" s="137"/>
      <c r="AA1689" s="137"/>
    </row>
    <row r="1690" spans="5:27" x14ac:dyDescent="0.35">
      <c r="E1690" s="137"/>
      <c r="F1690" s="137"/>
      <c r="G1690" s="190"/>
      <c r="H1690" s="137"/>
      <c r="I1690" s="137"/>
      <c r="J1690" s="137"/>
      <c r="M1690" s="143"/>
      <c r="N1690" s="143"/>
      <c r="O1690" s="143"/>
      <c r="P1690" s="143"/>
      <c r="Q1690" s="137"/>
      <c r="R1690" s="137"/>
      <c r="S1690" s="137"/>
      <c r="T1690" s="137"/>
      <c r="U1690" s="137"/>
      <c r="V1690" s="137"/>
      <c r="W1690" s="137"/>
      <c r="X1690" s="137"/>
      <c r="Y1690" s="137"/>
      <c r="Z1690" s="137"/>
      <c r="AA1690" s="137"/>
    </row>
    <row r="1691" spans="5:27" x14ac:dyDescent="0.35">
      <c r="E1691" s="137"/>
      <c r="F1691" s="137"/>
      <c r="G1691" s="190"/>
      <c r="H1691" s="137"/>
      <c r="I1691" s="137"/>
      <c r="J1691" s="137"/>
      <c r="M1691" s="143"/>
      <c r="N1691" s="143"/>
      <c r="O1691" s="143"/>
      <c r="P1691" s="143"/>
      <c r="Q1691" s="137"/>
      <c r="R1691" s="137"/>
      <c r="S1691" s="137"/>
      <c r="T1691" s="137"/>
      <c r="U1691" s="137"/>
      <c r="V1691" s="137"/>
      <c r="W1691" s="137"/>
      <c r="X1691" s="137"/>
      <c r="Y1691" s="137"/>
      <c r="Z1691" s="137"/>
      <c r="AA1691" s="137"/>
    </row>
    <row r="1692" spans="5:27" x14ac:dyDescent="0.35">
      <c r="E1692" s="137"/>
      <c r="F1692" s="137"/>
      <c r="G1692" s="190"/>
      <c r="H1692" s="137"/>
      <c r="I1692" s="137"/>
      <c r="J1692" s="137"/>
      <c r="M1692" s="143"/>
      <c r="N1692" s="143"/>
      <c r="O1692" s="143"/>
      <c r="P1692" s="143"/>
      <c r="Q1692" s="137"/>
      <c r="R1692" s="137"/>
      <c r="S1692" s="137"/>
      <c r="T1692" s="137"/>
      <c r="U1692" s="137"/>
      <c r="V1692" s="137"/>
      <c r="W1692" s="137"/>
      <c r="X1692" s="137"/>
      <c r="Y1692" s="137"/>
      <c r="Z1692" s="137"/>
      <c r="AA1692" s="137"/>
    </row>
    <row r="1693" spans="5:27" x14ac:dyDescent="0.35">
      <c r="E1693" s="137"/>
      <c r="F1693" s="137"/>
      <c r="G1693" s="190"/>
      <c r="H1693" s="137"/>
      <c r="I1693" s="137"/>
      <c r="J1693" s="137"/>
      <c r="M1693" s="143"/>
      <c r="N1693" s="143"/>
      <c r="O1693" s="143"/>
      <c r="P1693" s="143"/>
      <c r="Q1693" s="137"/>
      <c r="R1693" s="137"/>
      <c r="S1693" s="137"/>
      <c r="T1693" s="137"/>
      <c r="U1693" s="137"/>
      <c r="V1693" s="137"/>
      <c r="W1693" s="137"/>
      <c r="X1693" s="137"/>
      <c r="Y1693" s="137"/>
      <c r="Z1693" s="137"/>
      <c r="AA1693" s="137"/>
    </row>
    <row r="1694" spans="5:27" x14ac:dyDescent="0.35">
      <c r="E1694" s="137"/>
      <c r="F1694" s="137"/>
      <c r="G1694" s="190"/>
      <c r="H1694" s="137"/>
      <c r="I1694" s="137"/>
      <c r="J1694" s="137"/>
      <c r="M1694" s="143"/>
      <c r="N1694" s="143"/>
      <c r="O1694" s="143"/>
      <c r="P1694" s="143"/>
      <c r="Q1694" s="137"/>
      <c r="R1694" s="137"/>
      <c r="S1694" s="137"/>
      <c r="T1694" s="137"/>
      <c r="U1694" s="137"/>
      <c r="V1694" s="137"/>
      <c r="W1694" s="137"/>
      <c r="X1694" s="137"/>
      <c r="Y1694" s="137"/>
      <c r="Z1694" s="137"/>
      <c r="AA1694" s="137"/>
    </row>
    <row r="1695" spans="5:27" x14ac:dyDescent="0.35">
      <c r="E1695" s="137"/>
      <c r="F1695" s="137"/>
      <c r="G1695" s="190"/>
      <c r="H1695" s="137"/>
      <c r="I1695" s="137"/>
      <c r="J1695" s="137"/>
      <c r="M1695" s="143"/>
      <c r="N1695" s="143"/>
      <c r="O1695" s="143"/>
      <c r="P1695" s="143"/>
      <c r="Q1695" s="137"/>
      <c r="R1695" s="137"/>
      <c r="S1695" s="137"/>
      <c r="T1695" s="137"/>
      <c r="U1695" s="137"/>
      <c r="V1695" s="137"/>
      <c r="W1695" s="137"/>
      <c r="X1695" s="137"/>
      <c r="Y1695" s="137"/>
      <c r="Z1695" s="137"/>
      <c r="AA1695" s="137"/>
    </row>
    <row r="1696" spans="5:27" x14ac:dyDescent="0.35">
      <c r="E1696" s="137"/>
      <c r="F1696" s="137"/>
      <c r="G1696" s="190"/>
      <c r="H1696" s="137"/>
      <c r="I1696" s="137"/>
      <c r="J1696" s="137"/>
      <c r="M1696" s="143"/>
      <c r="N1696" s="143"/>
      <c r="O1696" s="143"/>
      <c r="P1696" s="143"/>
      <c r="Q1696" s="137"/>
      <c r="R1696" s="137"/>
      <c r="S1696" s="137"/>
      <c r="T1696" s="137"/>
      <c r="U1696" s="137"/>
      <c r="V1696" s="137"/>
      <c r="W1696" s="137"/>
      <c r="X1696" s="137"/>
      <c r="Y1696" s="137"/>
      <c r="Z1696" s="137"/>
      <c r="AA1696" s="137"/>
    </row>
    <row r="1697" spans="5:27" x14ac:dyDescent="0.35">
      <c r="E1697" s="137"/>
      <c r="F1697" s="137"/>
      <c r="G1697" s="190"/>
      <c r="H1697" s="137"/>
      <c r="I1697" s="137"/>
      <c r="J1697" s="137"/>
      <c r="M1697" s="143"/>
      <c r="N1697" s="143"/>
      <c r="O1697" s="143"/>
      <c r="P1697" s="143"/>
      <c r="Q1697" s="137"/>
      <c r="R1697" s="137"/>
      <c r="S1697" s="137"/>
      <c r="T1697" s="137"/>
      <c r="U1697" s="137"/>
      <c r="V1697" s="137"/>
      <c r="W1697" s="137"/>
      <c r="X1697" s="137"/>
      <c r="Y1697" s="137"/>
      <c r="Z1697" s="137"/>
      <c r="AA1697" s="137"/>
    </row>
    <row r="1698" spans="5:27" x14ac:dyDescent="0.35">
      <c r="E1698" s="137"/>
      <c r="F1698" s="137"/>
      <c r="G1698" s="190"/>
      <c r="H1698" s="137"/>
      <c r="I1698" s="137"/>
      <c r="J1698" s="137"/>
      <c r="M1698" s="143"/>
      <c r="N1698" s="143"/>
      <c r="O1698" s="143"/>
      <c r="P1698" s="143"/>
      <c r="Q1698" s="137"/>
      <c r="R1698" s="137"/>
      <c r="S1698" s="137"/>
      <c r="T1698" s="137"/>
      <c r="U1698" s="137"/>
      <c r="V1698" s="137"/>
      <c r="W1698" s="137"/>
      <c r="X1698" s="137"/>
      <c r="Y1698" s="137"/>
      <c r="Z1698" s="137"/>
      <c r="AA1698" s="137"/>
    </row>
    <row r="1699" spans="5:27" x14ac:dyDescent="0.35">
      <c r="E1699" s="137"/>
      <c r="F1699" s="137"/>
      <c r="G1699" s="190"/>
      <c r="H1699" s="137"/>
      <c r="I1699" s="137"/>
      <c r="J1699" s="137"/>
      <c r="M1699" s="143"/>
      <c r="N1699" s="143"/>
      <c r="O1699" s="143"/>
      <c r="P1699" s="143"/>
      <c r="Q1699" s="137"/>
      <c r="R1699" s="137"/>
      <c r="S1699" s="137"/>
      <c r="T1699" s="137"/>
      <c r="U1699" s="137"/>
      <c r="V1699" s="137"/>
      <c r="W1699" s="137"/>
      <c r="X1699" s="137"/>
      <c r="Y1699" s="137"/>
      <c r="Z1699" s="137"/>
      <c r="AA1699" s="137"/>
    </row>
    <row r="1700" spans="5:27" x14ac:dyDescent="0.35">
      <c r="E1700" s="137"/>
      <c r="F1700" s="137"/>
      <c r="G1700" s="190"/>
      <c r="H1700" s="137"/>
      <c r="I1700" s="137"/>
      <c r="J1700" s="137"/>
      <c r="M1700" s="143"/>
      <c r="N1700" s="143"/>
      <c r="O1700" s="143"/>
      <c r="P1700" s="143"/>
      <c r="Q1700" s="137"/>
      <c r="R1700" s="137"/>
      <c r="S1700" s="137"/>
      <c r="T1700" s="137"/>
      <c r="U1700" s="137"/>
      <c r="V1700" s="137"/>
      <c r="W1700" s="137"/>
      <c r="X1700" s="137"/>
      <c r="Y1700" s="137"/>
      <c r="Z1700" s="137"/>
      <c r="AA1700" s="137"/>
    </row>
    <row r="1701" spans="5:27" x14ac:dyDescent="0.35">
      <c r="E1701" s="137"/>
      <c r="F1701" s="137"/>
      <c r="G1701" s="190"/>
      <c r="H1701" s="137"/>
      <c r="I1701" s="137"/>
      <c r="J1701" s="137"/>
      <c r="M1701" s="143"/>
      <c r="N1701" s="143"/>
      <c r="O1701" s="143"/>
      <c r="P1701" s="143"/>
      <c r="Q1701" s="137"/>
      <c r="R1701" s="137"/>
      <c r="S1701" s="137"/>
      <c r="T1701" s="137"/>
      <c r="U1701" s="137"/>
      <c r="V1701" s="137"/>
      <c r="W1701" s="137"/>
      <c r="X1701" s="137"/>
      <c r="Y1701" s="137"/>
      <c r="Z1701" s="137"/>
      <c r="AA1701" s="137"/>
    </row>
    <row r="1702" spans="5:27" x14ac:dyDescent="0.35">
      <c r="E1702" s="137"/>
      <c r="F1702" s="137"/>
      <c r="G1702" s="190"/>
      <c r="H1702" s="137"/>
      <c r="I1702" s="137"/>
      <c r="J1702" s="137"/>
      <c r="M1702" s="143"/>
      <c r="N1702" s="143"/>
      <c r="O1702" s="143"/>
      <c r="P1702" s="143"/>
      <c r="Q1702" s="137"/>
      <c r="R1702" s="137"/>
      <c r="S1702" s="137"/>
      <c r="T1702" s="137"/>
      <c r="U1702" s="137"/>
      <c r="V1702" s="137"/>
      <c r="W1702" s="137"/>
      <c r="X1702" s="137"/>
      <c r="Y1702" s="137"/>
      <c r="Z1702" s="137"/>
      <c r="AA1702" s="137"/>
    </row>
    <row r="1703" spans="5:27" x14ac:dyDescent="0.35">
      <c r="E1703" s="137"/>
      <c r="F1703" s="137"/>
      <c r="G1703" s="190"/>
      <c r="H1703" s="137"/>
      <c r="I1703" s="137"/>
      <c r="J1703" s="137"/>
      <c r="M1703" s="143"/>
      <c r="N1703" s="143"/>
      <c r="O1703" s="143"/>
      <c r="P1703" s="143"/>
      <c r="Q1703" s="137"/>
      <c r="R1703" s="137"/>
      <c r="S1703" s="137"/>
      <c r="T1703" s="137"/>
      <c r="U1703" s="137"/>
      <c r="V1703" s="137"/>
      <c r="W1703" s="137"/>
      <c r="X1703" s="137"/>
      <c r="Y1703" s="137"/>
      <c r="Z1703" s="137"/>
      <c r="AA1703" s="137"/>
    </row>
    <row r="1704" spans="5:27" x14ac:dyDescent="0.35">
      <c r="E1704" s="137"/>
      <c r="F1704" s="137"/>
      <c r="G1704" s="190"/>
      <c r="H1704" s="137"/>
      <c r="I1704" s="137"/>
      <c r="J1704" s="137"/>
      <c r="M1704" s="143"/>
      <c r="N1704" s="143"/>
      <c r="O1704" s="143"/>
      <c r="P1704" s="143"/>
      <c r="Q1704" s="137"/>
      <c r="R1704" s="137"/>
      <c r="S1704" s="137"/>
      <c r="T1704" s="137"/>
      <c r="U1704" s="137"/>
      <c r="V1704" s="137"/>
      <c r="W1704" s="137"/>
      <c r="X1704" s="137"/>
      <c r="Y1704" s="137"/>
      <c r="Z1704" s="137"/>
      <c r="AA1704" s="137"/>
    </row>
    <row r="1705" spans="5:27" x14ac:dyDescent="0.35">
      <c r="E1705" s="137"/>
      <c r="F1705" s="137"/>
      <c r="G1705" s="190"/>
      <c r="H1705" s="137"/>
      <c r="I1705" s="137"/>
      <c r="J1705" s="137"/>
      <c r="M1705" s="143"/>
      <c r="N1705" s="143"/>
      <c r="O1705" s="143"/>
      <c r="P1705" s="143"/>
      <c r="Q1705" s="137"/>
      <c r="R1705" s="137"/>
      <c r="S1705" s="137"/>
      <c r="T1705" s="137"/>
      <c r="U1705" s="137"/>
      <c r="V1705" s="137"/>
      <c r="W1705" s="137"/>
      <c r="X1705" s="137"/>
      <c r="Y1705" s="137"/>
      <c r="Z1705" s="137"/>
      <c r="AA1705" s="137"/>
    </row>
    <row r="1706" spans="5:27" x14ac:dyDescent="0.35">
      <c r="E1706" s="137"/>
      <c r="F1706" s="137"/>
      <c r="G1706" s="190"/>
      <c r="H1706" s="137"/>
      <c r="I1706" s="137"/>
      <c r="J1706" s="137"/>
      <c r="M1706" s="143"/>
      <c r="N1706" s="143"/>
      <c r="O1706" s="143"/>
      <c r="P1706" s="143"/>
      <c r="Q1706" s="137"/>
      <c r="R1706" s="137"/>
      <c r="S1706" s="137"/>
      <c r="T1706" s="137"/>
      <c r="U1706" s="137"/>
      <c r="V1706" s="137"/>
      <c r="W1706" s="137"/>
      <c r="X1706" s="137"/>
      <c r="Y1706" s="137"/>
      <c r="Z1706" s="137"/>
      <c r="AA1706" s="137"/>
    </row>
    <row r="1707" spans="5:27" x14ac:dyDescent="0.35">
      <c r="E1707" s="137"/>
      <c r="F1707" s="137"/>
      <c r="G1707" s="190"/>
      <c r="H1707" s="137"/>
      <c r="I1707" s="137"/>
      <c r="J1707" s="137"/>
      <c r="M1707" s="143"/>
      <c r="N1707" s="143"/>
      <c r="O1707" s="143"/>
      <c r="P1707" s="143"/>
      <c r="Q1707" s="137"/>
      <c r="R1707" s="137"/>
      <c r="S1707" s="137"/>
      <c r="T1707" s="137"/>
      <c r="U1707" s="137"/>
      <c r="V1707" s="137"/>
      <c r="W1707" s="137"/>
      <c r="X1707" s="137"/>
      <c r="Y1707" s="137"/>
      <c r="Z1707" s="137"/>
      <c r="AA1707" s="137"/>
    </row>
    <row r="1708" spans="5:27" x14ac:dyDescent="0.35">
      <c r="E1708" s="137"/>
      <c r="F1708" s="137"/>
      <c r="G1708" s="190"/>
      <c r="H1708" s="137"/>
      <c r="I1708" s="137"/>
      <c r="J1708" s="137"/>
      <c r="M1708" s="143"/>
      <c r="N1708" s="143"/>
      <c r="O1708" s="143"/>
      <c r="P1708" s="143"/>
      <c r="Q1708" s="137"/>
      <c r="R1708" s="137"/>
      <c r="S1708" s="137"/>
      <c r="T1708" s="137"/>
      <c r="U1708" s="137"/>
      <c r="V1708" s="137"/>
      <c r="W1708" s="137"/>
      <c r="X1708" s="137"/>
      <c r="Y1708" s="137"/>
      <c r="Z1708" s="137"/>
      <c r="AA1708" s="137"/>
    </row>
    <row r="1709" spans="5:27" x14ac:dyDescent="0.35">
      <c r="E1709" s="137"/>
      <c r="F1709" s="137"/>
      <c r="G1709" s="190"/>
      <c r="H1709" s="137"/>
      <c r="I1709" s="137"/>
      <c r="J1709" s="137"/>
      <c r="M1709" s="143"/>
      <c r="N1709" s="143"/>
      <c r="O1709" s="143"/>
      <c r="P1709" s="143"/>
      <c r="Q1709" s="137"/>
      <c r="R1709" s="137"/>
      <c r="S1709" s="137"/>
      <c r="T1709" s="137"/>
      <c r="U1709" s="137"/>
      <c r="V1709" s="137"/>
      <c r="W1709" s="137"/>
      <c r="X1709" s="137"/>
      <c r="Y1709" s="137"/>
      <c r="Z1709" s="137"/>
      <c r="AA1709" s="137"/>
    </row>
    <row r="1710" spans="5:27" x14ac:dyDescent="0.35">
      <c r="E1710" s="137"/>
      <c r="F1710" s="137"/>
      <c r="G1710" s="190"/>
      <c r="H1710" s="137"/>
      <c r="I1710" s="137"/>
      <c r="J1710" s="137"/>
      <c r="M1710" s="143"/>
      <c r="N1710" s="143"/>
      <c r="O1710" s="143"/>
      <c r="P1710" s="143"/>
      <c r="Q1710" s="137"/>
      <c r="R1710" s="137"/>
      <c r="S1710" s="137"/>
      <c r="T1710" s="137"/>
      <c r="U1710" s="137"/>
      <c r="V1710" s="137"/>
      <c r="W1710" s="137"/>
      <c r="X1710" s="137"/>
      <c r="Y1710" s="137"/>
      <c r="Z1710" s="137"/>
      <c r="AA1710" s="137"/>
    </row>
    <row r="1711" spans="5:27" x14ac:dyDescent="0.35">
      <c r="E1711" s="137"/>
      <c r="F1711" s="137"/>
      <c r="G1711" s="190"/>
      <c r="H1711" s="137"/>
      <c r="I1711" s="137"/>
      <c r="J1711" s="137"/>
      <c r="M1711" s="143"/>
      <c r="N1711" s="143"/>
      <c r="O1711" s="143"/>
      <c r="P1711" s="143"/>
      <c r="Q1711" s="137"/>
      <c r="R1711" s="137"/>
      <c r="S1711" s="137"/>
      <c r="T1711" s="137"/>
      <c r="U1711" s="137"/>
      <c r="V1711" s="137"/>
      <c r="W1711" s="137"/>
      <c r="X1711" s="137"/>
      <c r="Y1711" s="137"/>
      <c r="Z1711" s="137"/>
      <c r="AA1711" s="137"/>
    </row>
    <row r="1712" spans="5:27" x14ac:dyDescent="0.35">
      <c r="E1712" s="137"/>
      <c r="F1712" s="137"/>
      <c r="G1712" s="190"/>
      <c r="H1712" s="137"/>
      <c r="I1712" s="137"/>
      <c r="J1712" s="137"/>
      <c r="M1712" s="143"/>
      <c r="N1712" s="143"/>
      <c r="O1712" s="143"/>
      <c r="P1712" s="143"/>
      <c r="Q1712" s="137"/>
      <c r="R1712" s="137"/>
      <c r="S1712" s="137"/>
      <c r="T1712" s="137"/>
      <c r="U1712" s="137"/>
      <c r="V1712" s="137"/>
      <c r="W1712" s="137"/>
      <c r="X1712" s="137"/>
      <c r="Y1712" s="137"/>
      <c r="Z1712" s="137"/>
      <c r="AA1712" s="137"/>
    </row>
    <row r="1713" spans="5:27" x14ac:dyDescent="0.35">
      <c r="E1713" s="137"/>
      <c r="F1713" s="137"/>
      <c r="G1713" s="190"/>
      <c r="H1713" s="137"/>
      <c r="I1713" s="137"/>
      <c r="J1713" s="137"/>
      <c r="M1713" s="143"/>
      <c r="N1713" s="143"/>
      <c r="O1713" s="143"/>
      <c r="P1713" s="143"/>
      <c r="Q1713" s="137"/>
      <c r="R1713" s="137"/>
      <c r="S1713" s="137"/>
      <c r="T1713" s="137"/>
      <c r="U1713" s="137"/>
      <c r="V1713" s="137"/>
      <c r="W1713" s="137"/>
      <c r="X1713" s="137"/>
      <c r="Y1713" s="137"/>
      <c r="Z1713" s="137"/>
      <c r="AA1713" s="137"/>
    </row>
    <row r="1714" spans="5:27" x14ac:dyDescent="0.35">
      <c r="E1714" s="137"/>
      <c r="F1714" s="137"/>
      <c r="G1714" s="190"/>
      <c r="H1714" s="137"/>
      <c r="I1714" s="137"/>
      <c r="J1714" s="137"/>
      <c r="M1714" s="143"/>
      <c r="N1714" s="143"/>
      <c r="O1714" s="143"/>
      <c r="P1714" s="143"/>
      <c r="Q1714" s="137"/>
      <c r="R1714" s="137"/>
      <c r="S1714" s="137"/>
      <c r="T1714" s="137"/>
      <c r="U1714" s="137"/>
      <c r="V1714" s="137"/>
      <c r="W1714" s="137"/>
      <c r="X1714" s="137"/>
      <c r="Y1714" s="137"/>
      <c r="Z1714" s="137"/>
      <c r="AA1714" s="137"/>
    </row>
    <row r="1715" spans="5:27" x14ac:dyDescent="0.35">
      <c r="E1715" s="137"/>
      <c r="F1715" s="137"/>
      <c r="G1715" s="190"/>
      <c r="H1715" s="137"/>
      <c r="I1715" s="137"/>
      <c r="J1715" s="137"/>
      <c r="M1715" s="143"/>
      <c r="N1715" s="143"/>
      <c r="O1715" s="143"/>
      <c r="P1715" s="143"/>
      <c r="Q1715" s="137"/>
      <c r="R1715" s="137"/>
      <c r="S1715" s="137"/>
      <c r="T1715" s="137"/>
      <c r="U1715" s="137"/>
      <c r="V1715" s="137"/>
      <c r="W1715" s="137"/>
      <c r="X1715" s="137"/>
      <c r="Y1715" s="137"/>
      <c r="Z1715" s="137"/>
      <c r="AA1715" s="137"/>
    </row>
    <row r="1716" spans="5:27" x14ac:dyDescent="0.35">
      <c r="E1716" s="137"/>
      <c r="F1716" s="137"/>
      <c r="G1716" s="190"/>
      <c r="H1716" s="137"/>
      <c r="I1716" s="137"/>
      <c r="J1716" s="137"/>
      <c r="M1716" s="143"/>
      <c r="N1716" s="143"/>
      <c r="O1716" s="143"/>
      <c r="P1716" s="143"/>
      <c r="Q1716" s="137"/>
      <c r="R1716" s="137"/>
      <c r="S1716" s="137"/>
      <c r="T1716" s="137"/>
      <c r="U1716" s="137"/>
      <c r="V1716" s="137"/>
      <c r="W1716" s="137"/>
      <c r="X1716" s="137"/>
      <c r="Y1716" s="137"/>
      <c r="Z1716" s="137"/>
      <c r="AA1716" s="137"/>
    </row>
    <row r="1717" spans="5:27" x14ac:dyDescent="0.35">
      <c r="E1717" s="137"/>
      <c r="F1717" s="137"/>
      <c r="G1717" s="190"/>
      <c r="H1717" s="137"/>
      <c r="I1717" s="137"/>
      <c r="J1717" s="137"/>
      <c r="M1717" s="143"/>
      <c r="N1717" s="143"/>
      <c r="O1717" s="143"/>
      <c r="P1717" s="143"/>
      <c r="Q1717" s="137"/>
      <c r="R1717" s="137"/>
      <c r="S1717" s="137"/>
      <c r="T1717" s="137"/>
      <c r="U1717" s="137"/>
      <c r="V1717" s="137"/>
      <c r="W1717" s="137"/>
      <c r="X1717" s="137"/>
      <c r="Y1717" s="137"/>
      <c r="Z1717" s="137"/>
      <c r="AA1717" s="137"/>
    </row>
    <row r="1718" spans="5:27" x14ac:dyDescent="0.35">
      <c r="E1718" s="137"/>
      <c r="F1718" s="137"/>
      <c r="G1718" s="190"/>
      <c r="H1718" s="137"/>
      <c r="I1718" s="137"/>
      <c r="J1718" s="137"/>
      <c r="M1718" s="143"/>
      <c r="N1718" s="143"/>
      <c r="O1718" s="143"/>
      <c r="P1718" s="143"/>
      <c r="Q1718" s="137"/>
      <c r="R1718" s="137"/>
      <c r="S1718" s="137"/>
      <c r="T1718" s="137"/>
      <c r="U1718" s="137"/>
      <c r="V1718" s="137"/>
      <c r="W1718" s="137"/>
      <c r="X1718" s="137"/>
      <c r="Y1718" s="137"/>
      <c r="Z1718" s="137"/>
      <c r="AA1718" s="137"/>
    </row>
    <row r="1719" spans="5:27" x14ac:dyDescent="0.35">
      <c r="E1719" s="137"/>
      <c r="F1719" s="137"/>
      <c r="G1719" s="190"/>
      <c r="H1719" s="137"/>
      <c r="I1719" s="137"/>
      <c r="J1719" s="137"/>
      <c r="M1719" s="143"/>
      <c r="N1719" s="143"/>
      <c r="O1719" s="143"/>
      <c r="P1719" s="143"/>
      <c r="Q1719" s="137"/>
      <c r="R1719" s="137"/>
      <c r="S1719" s="137"/>
      <c r="T1719" s="137"/>
      <c r="U1719" s="137"/>
      <c r="V1719" s="137"/>
      <c r="W1719" s="137"/>
      <c r="X1719" s="137"/>
      <c r="Y1719" s="137"/>
      <c r="Z1719" s="137"/>
      <c r="AA1719" s="137"/>
    </row>
    <row r="1720" spans="5:27" x14ac:dyDescent="0.35">
      <c r="E1720" s="137"/>
      <c r="F1720" s="137"/>
      <c r="G1720" s="190"/>
      <c r="H1720" s="137"/>
      <c r="I1720" s="137"/>
      <c r="J1720" s="137"/>
      <c r="M1720" s="143"/>
      <c r="N1720" s="143"/>
      <c r="O1720" s="143"/>
      <c r="P1720" s="143"/>
      <c r="Q1720" s="137"/>
      <c r="R1720" s="137"/>
      <c r="S1720" s="137"/>
      <c r="T1720" s="137"/>
      <c r="U1720" s="137"/>
      <c r="V1720" s="137"/>
      <c r="W1720" s="137"/>
      <c r="X1720" s="137"/>
      <c r="Y1720" s="137"/>
      <c r="Z1720" s="137"/>
      <c r="AA1720" s="137"/>
    </row>
    <row r="1721" spans="5:27" x14ac:dyDescent="0.35">
      <c r="E1721" s="137"/>
      <c r="F1721" s="137"/>
      <c r="G1721" s="190"/>
      <c r="H1721" s="137"/>
      <c r="I1721" s="137"/>
      <c r="J1721" s="137"/>
      <c r="M1721" s="143"/>
      <c r="N1721" s="143"/>
      <c r="O1721" s="143"/>
      <c r="P1721" s="143"/>
      <c r="Q1721" s="137"/>
      <c r="R1721" s="137"/>
      <c r="S1721" s="137"/>
      <c r="T1721" s="137"/>
      <c r="U1721" s="137"/>
      <c r="V1721" s="137"/>
      <c r="W1721" s="137"/>
      <c r="X1721" s="137"/>
      <c r="Y1721" s="137"/>
      <c r="Z1721" s="137"/>
      <c r="AA1721" s="137"/>
    </row>
    <row r="1722" spans="5:27" x14ac:dyDescent="0.35">
      <c r="E1722" s="137"/>
      <c r="F1722" s="137"/>
      <c r="G1722" s="190"/>
      <c r="H1722" s="137"/>
      <c r="I1722" s="137"/>
      <c r="J1722" s="137"/>
      <c r="M1722" s="143"/>
      <c r="N1722" s="143"/>
      <c r="O1722" s="143"/>
      <c r="P1722" s="143"/>
      <c r="Q1722" s="137"/>
      <c r="R1722" s="137"/>
      <c r="S1722" s="137"/>
      <c r="T1722" s="137"/>
      <c r="U1722" s="137"/>
      <c r="V1722" s="137"/>
      <c r="W1722" s="137"/>
      <c r="X1722" s="137"/>
      <c r="Y1722" s="137"/>
      <c r="Z1722" s="137"/>
      <c r="AA1722" s="137"/>
    </row>
    <row r="1723" spans="5:27" x14ac:dyDescent="0.35">
      <c r="E1723" s="137"/>
      <c r="F1723" s="137"/>
      <c r="G1723" s="190"/>
      <c r="H1723" s="137"/>
      <c r="I1723" s="137"/>
      <c r="J1723" s="137"/>
      <c r="M1723" s="143"/>
      <c r="N1723" s="143"/>
      <c r="O1723" s="143"/>
      <c r="P1723" s="143"/>
      <c r="Q1723" s="137"/>
      <c r="R1723" s="137"/>
      <c r="S1723" s="137"/>
      <c r="T1723" s="137"/>
      <c r="U1723" s="137"/>
      <c r="V1723" s="137"/>
      <c r="W1723" s="137"/>
      <c r="X1723" s="137"/>
      <c r="Y1723" s="137"/>
      <c r="Z1723" s="137"/>
      <c r="AA1723" s="137"/>
    </row>
    <row r="1724" spans="5:27" x14ac:dyDescent="0.35">
      <c r="E1724" s="137"/>
      <c r="F1724" s="137"/>
      <c r="G1724" s="190"/>
      <c r="H1724" s="137"/>
      <c r="I1724" s="137"/>
      <c r="J1724" s="137"/>
      <c r="M1724" s="143"/>
      <c r="N1724" s="143"/>
      <c r="O1724" s="143"/>
      <c r="P1724" s="143"/>
      <c r="Q1724" s="137"/>
      <c r="R1724" s="137"/>
      <c r="S1724" s="137"/>
      <c r="T1724" s="137"/>
      <c r="U1724" s="137"/>
      <c r="V1724" s="137"/>
      <c r="W1724" s="137"/>
      <c r="X1724" s="137"/>
      <c r="Y1724" s="137"/>
      <c r="Z1724" s="137"/>
      <c r="AA1724" s="137"/>
    </row>
    <row r="1725" spans="5:27" x14ac:dyDescent="0.35">
      <c r="E1725" s="137"/>
      <c r="F1725" s="137"/>
      <c r="G1725" s="190"/>
      <c r="H1725" s="137"/>
      <c r="I1725" s="137"/>
      <c r="J1725" s="137"/>
      <c r="M1725" s="143"/>
      <c r="N1725" s="143"/>
      <c r="O1725" s="143"/>
      <c r="P1725" s="143"/>
      <c r="Q1725" s="137"/>
      <c r="R1725" s="137"/>
      <c r="S1725" s="137"/>
      <c r="T1725" s="137"/>
      <c r="U1725" s="137"/>
      <c r="V1725" s="137"/>
      <c r="W1725" s="137"/>
      <c r="X1725" s="137"/>
      <c r="Y1725" s="137"/>
      <c r="Z1725" s="137"/>
      <c r="AA1725" s="137"/>
    </row>
    <row r="1726" spans="5:27" x14ac:dyDescent="0.35">
      <c r="E1726" s="137"/>
      <c r="F1726" s="137"/>
      <c r="G1726" s="190"/>
      <c r="H1726" s="137"/>
      <c r="I1726" s="137"/>
      <c r="J1726" s="137"/>
      <c r="M1726" s="143"/>
      <c r="N1726" s="143"/>
      <c r="O1726" s="143"/>
      <c r="P1726" s="143"/>
      <c r="Q1726" s="137"/>
      <c r="R1726" s="137"/>
      <c r="S1726" s="137"/>
      <c r="T1726" s="137"/>
      <c r="U1726" s="137"/>
      <c r="V1726" s="137"/>
      <c r="W1726" s="137"/>
      <c r="X1726" s="137"/>
      <c r="Y1726" s="137"/>
      <c r="Z1726" s="137"/>
      <c r="AA1726" s="137"/>
    </row>
    <row r="1727" spans="5:27" x14ac:dyDescent="0.35">
      <c r="E1727" s="137"/>
      <c r="F1727" s="137"/>
      <c r="G1727" s="190"/>
      <c r="H1727" s="137"/>
      <c r="I1727" s="137"/>
      <c r="J1727" s="137"/>
      <c r="M1727" s="143"/>
      <c r="N1727" s="143"/>
      <c r="O1727" s="143"/>
      <c r="P1727" s="143"/>
      <c r="Q1727" s="137"/>
      <c r="R1727" s="137"/>
      <c r="S1727" s="137"/>
      <c r="T1727" s="137"/>
      <c r="U1727" s="137"/>
      <c r="V1727" s="137"/>
      <c r="W1727" s="137"/>
      <c r="X1727" s="137"/>
      <c r="Y1727" s="137"/>
      <c r="Z1727" s="137"/>
      <c r="AA1727" s="137"/>
    </row>
    <row r="1728" spans="5:27" x14ac:dyDescent="0.35">
      <c r="E1728" s="137"/>
      <c r="F1728" s="137"/>
      <c r="G1728" s="190"/>
      <c r="H1728" s="137"/>
      <c r="I1728" s="137"/>
      <c r="J1728" s="137"/>
      <c r="M1728" s="143"/>
      <c r="N1728" s="143"/>
      <c r="O1728" s="143"/>
      <c r="P1728" s="143"/>
      <c r="Q1728" s="137"/>
      <c r="R1728" s="137"/>
      <c r="S1728" s="137"/>
      <c r="T1728" s="137"/>
      <c r="U1728" s="137"/>
      <c r="V1728" s="137"/>
      <c r="W1728" s="137"/>
      <c r="X1728" s="137"/>
      <c r="Y1728" s="137"/>
      <c r="Z1728" s="137"/>
      <c r="AA1728" s="137"/>
    </row>
    <row r="1729" spans="5:27" x14ac:dyDescent="0.35">
      <c r="E1729" s="137"/>
      <c r="F1729" s="137"/>
      <c r="G1729" s="190"/>
      <c r="H1729" s="137"/>
      <c r="I1729" s="137"/>
      <c r="J1729" s="137"/>
      <c r="M1729" s="143"/>
      <c r="N1729" s="143"/>
      <c r="O1729" s="143"/>
      <c r="P1729" s="143"/>
      <c r="Q1729" s="137"/>
      <c r="R1729" s="137"/>
      <c r="S1729" s="137"/>
      <c r="T1729" s="137"/>
      <c r="U1729" s="137"/>
      <c r="V1729" s="137"/>
      <c r="W1729" s="137"/>
      <c r="X1729" s="137"/>
      <c r="Y1729" s="137"/>
      <c r="Z1729" s="137"/>
      <c r="AA1729" s="137"/>
    </row>
    <row r="1730" spans="5:27" x14ac:dyDescent="0.35">
      <c r="E1730" s="137"/>
      <c r="F1730" s="137"/>
      <c r="G1730" s="190"/>
      <c r="H1730" s="137"/>
      <c r="I1730" s="137"/>
      <c r="J1730" s="137"/>
      <c r="M1730" s="143"/>
      <c r="N1730" s="143"/>
      <c r="O1730" s="143"/>
      <c r="P1730" s="143"/>
      <c r="Q1730" s="137"/>
      <c r="R1730" s="137"/>
      <c r="S1730" s="137"/>
      <c r="T1730" s="137"/>
      <c r="U1730" s="137"/>
      <c r="V1730" s="137"/>
      <c r="W1730" s="137"/>
      <c r="X1730" s="137"/>
      <c r="Y1730" s="137"/>
      <c r="Z1730" s="137"/>
      <c r="AA1730" s="137"/>
    </row>
    <row r="1731" spans="5:27" x14ac:dyDescent="0.35">
      <c r="E1731" s="137"/>
      <c r="F1731" s="137"/>
      <c r="G1731" s="190"/>
      <c r="H1731" s="137"/>
      <c r="I1731" s="137"/>
      <c r="J1731" s="137"/>
      <c r="M1731" s="143"/>
      <c r="N1731" s="143"/>
      <c r="O1731" s="143"/>
      <c r="P1731" s="143"/>
      <c r="Q1731" s="137"/>
      <c r="R1731" s="137"/>
      <c r="S1731" s="137"/>
      <c r="T1731" s="137"/>
      <c r="U1731" s="137"/>
      <c r="V1731" s="137"/>
      <c r="W1731" s="137"/>
      <c r="X1731" s="137"/>
      <c r="Y1731" s="137"/>
      <c r="Z1731" s="137"/>
      <c r="AA1731" s="137"/>
    </row>
    <row r="1732" spans="5:27" x14ac:dyDescent="0.35">
      <c r="E1732" s="137"/>
      <c r="F1732" s="137"/>
      <c r="G1732" s="190"/>
      <c r="H1732" s="137"/>
      <c r="I1732" s="137"/>
      <c r="J1732" s="137"/>
      <c r="M1732" s="143"/>
      <c r="N1732" s="143"/>
      <c r="O1732" s="143"/>
      <c r="P1732" s="143"/>
      <c r="Q1732" s="137"/>
      <c r="R1732" s="137"/>
      <c r="S1732" s="137"/>
      <c r="T1732" s="137"/>
      <c r="U1732" s="137"/>
      <c r="V1732" s="137"/>
      <c r="W1732" s="137"/>
      <c r="X1732" s="137"/>
      <c r="Y1732" s="137"/>
      <c r="Z1732" s="137"/>
      <c r="AA1732" s="137"/>
    </row>
    <row r="1733" spans="5:27" x14ac:dyDescent="0.35">
      <c r="E1733" s="137"/>
      <c r="F1733" s="137"/>
      <c r="G1733" s="190"/>
      <c r="H1733" s="137"/>
      <c r="I1733" s="137"/>
      <c r="J1733" s="137"/>
      <c r="M1733" s="143"/>
      <c r="N1733" s="143"/>
      <c r="O1733" s="143"/>
      <c r="P1733" s="143"/>
      <c r="Q1733" s="137"/>
      <c r="R1733" s="137"/>
      <c r="S1733" s="137"/>
      <c r="T1733" s="137"/>
      <c r="U1733" s="137"/>
      <c r="V1733" s="137"/>
      <c r="W1733" s="137"/>
      <c r="X1733" s="137"/>
      <c r="Y1733" s="137"/>
      <c r="Z1733" s="137"/>
      <c r="AA1733" s="137"/>
    </row>
    <row r="1734" spans="5:27" x14ac:dyDescent="0.35">
      <c r="E1734" s="137"/>
      <c r="F1734" s="137"/>
      <c r="G1734" s="190"/>
      <c r="H1734" s="137"/>
      <c r="I1734" s="137"/>
      <c r="J1734" s="137"/>
      <c r="M1734" s="143"/>
      <c r="N1734" s="143"/>
      <c r="O1734" s="143"/>
      <c r="P1734" s="143"/>
      <c r="Q1734" s="137"/>
      <c r="R1734" s="137"/>
      <c r="S1734" s="137"/>
      <c r="T1734" s="137"/>
      <c r="U1734" s="137"/>
      <c r="V1734" s="137"/>
      <c r="W1734" s="137"/>
      <c r="X1734" s="137"/>
      <c r="Y1734" s="137"/>
      <c r="Z1734" s="137"/>
      <c r="AA1734" s="137"/>
    </row>
    <row r="1735" spans="5:27" x14ac:dyDescent="0.35">
      <c r="E1735" s="137"/>
      <c r="F1735" s="137"/>
      <c r="G1735" s="190"/>
      <c r="H1735" s="137"/>
      <c r="I1735" s="137"/>
      <c r="J1735" s="137"/>
      <c r="M1735" s="143"/>
      <c r="N1735" s="143"/>
      <c r="O1735" s="143"/>
      <c r="P1735" s="143"/>
      <c r="Q1735" s="137"/>
      <c r="R1735" s="137"/>
      <c r="S1735" s="137"/>
      <c r="T1735" s="137"/>
      <c r="U1735" s="137"/>
      <c r="V1735" s="137"/>
      <c r="W1735" s="137"/>
      <c r="X1735" s="137"/>
      <c r="Y1735" s="137"/>
      <c r="Z1735" s="137"/>
      <c r="AA1735" s="137"/>
    </row>
    <row r="1736" spans="5:27" x14ac:dyDescent="0.35">
      <c r="E1736" s="137"/>
      <c r="F1736" s="137"/>
      <c r="G1736" s="190"/>
      <c r="H1736" s="137"/>
      <c r="I1736" s="137"/>
      <c r="J1736" s="137"/>
      <c r="M1736" s="143"/>
      <c r="N1736" s="143"/>
      <c r="O1736" s="143"/>
      <c r="P1736" s="143"/>
      <c r="Q1736" s="137"/>
      <c r="R1736" s="137"/>
      <c r="S1736" s="137"/>
      <c r="T1736" s="137"/>
      <c r="U1736" s="137"/>
      <c r="V1736" s="137"/>
      <c r="W1736" s="137"/>
      <c r="X1736" s="137"/>
      <c r="Y1736" s="137"/>
      <c r="Z1736" s="137"/>
      <c r="AA1736" s="137"/>
    </row>
    <row r="1737" spans="5:27" x14ac:dyDescent="0.35">
      <c r="E1737" s="137"/>
      <c r="F1737" s="137"/>
      <c r="G1737" s="190"/>
      <c r="H1737" s="137"/>
      <c r="I1737" s="137"/>
      <c r="J1737" s="137"/>
      <c r="M1737" s="143"/>
      <c r="N1737" s="143"/>
      <c r="O1737" s="143"/>
      <c r="P1737" s="143"/>
      <c r="Q1737" s="137"/>
      <c r="R1737" s="137"/>
      <c r="S1737" s="137"/>
      <c r="T1737" s="137"/>
      <c r="U1737" s="137"/>
      <c r="V1737" s="137"/>
      <c r="W1737" s="137"/>
      <c r="X1737" s="137"/>
      <c r="Y1737" s="137"/>
      <c r="Z1737" s="137"/>
      <c r="AA1737" s="137"/>
    </row>
    <row r="1738" spans="5:27" x14ac:dyDescent="0.35">
      <c r="E1738" s="137"/>
      <c r="F1738" s="137"/>
      <c r="G1738" s="190"/>
      <c r="H1738" s="137"/>
      <c r="I1738" s="137"/>
      <c r="J1738" s="137"/>
      <c r="M1738" s="143"/>
      <c r="N1738" s="143"/>
      <c r="O1738" s="143"/>
      <c r="P1738" s="143"/>
      <c r="Q1738" s="137"/>
      <c r="R1738" s="137"/>
      <c r="S1738" s="137"/>
      <c r="T1738" s="137"/>
      <c r="U1738" s="137"/>
      <c r="V1738" s="137"/>
      <c r="W1738" s="137"/>
      <c r="X1738" s="137"/>
      <c r="Y1738" s="137"/>
      <c r="Z1738" s="137"/>
      <c r="AA1738" s="137"/>
    </row>
    <row r="1739" spans="5:27" x14ac:dyDescent="0.35">
      <c r="E1739" s="137"/>
      <c r="F1739" s="137"/>
      <c r="G1739" s="190"/>
      <c r="H1739" s="137"/>
      <c r="I1739" s="137"/>
      <c r="J1739" s="137"/>
      <c r="M1739" s="143"/>
      <c r="N1739" s="143"/>
      <c r="O1739" s="143"/>
      <c r="P1739" s="143"/>
      <c r="Q1739" s="137"/>
      <c r="R1739" s="137"/>
      <c r="S1739" s="137"/>
      <c r="T1739" s="137"/>
      <c r="U1739" s="137"/>
      <c r="V1739" s="137"/>
      <c r="W1739" s="137"/>
      <c r="X1739" s="137"/>
      <c r="Y1739" s="137"/>
      <c r="Z1739" s="137"/>
      <c r="AA1739" s="137"/>
    </row>
    <row r="1740" spans="5:27" x14ac:dyDescent="0.35">
      <c r="E1740" s="137"/>
      <c r="F1740" s="137"/>
      <c r="G1740" s="190"/>
      <c r="H1740" s="137"/>
      <c r="I1740" s="137"/>
      <c r="J1740" s="137"/>
      <c r="M1740" s="143"/>
      <c r="N1740" s="143"/>
      <c r="O1740" s="143"/>
      <c r="P1740" s="143"/>
      <c r="Q1740" s="137"/>
      <c r="R1740" s="137"/>
      <c r="S1740" s="137"/>
      <c r="T1740" s="137"/>
      <c r="U1740" s="137"/>
      <c r="V1740" s="137"/>
      <c r="W1740" s="137"/>
      <c r="X1740" s="137"/>
      <c r="Y1740" s="137"/>
      <c r="Z1740" s="137"/>
      <c r="AA1740" s="137"/>
    </row>
    <row r="1741" spans="5:27" x14ac:dyDescent="0.35">
      <c r="E1741" s="137"/>
      <c r="F1741" s="137"/>
      <c r="G1741" s="190"/>
      <c r="H1741" s="137"/>
      <c r="I1741" s="137"/>
      <c r="J1741" s="137"/>
      <c r="M1741" s="143"/>
      <c r="N1741" s="143"/>
      <c r="O1741" s="143"/>
      <c r="P1741" s="143"/>
      <c r="Q1741" s="137"/>
      <c r="R1741" s="137"/>
      <c r="S1741" s="137"/>
      <c r="T1741" s="137"/>
      <c r="U1741" s="137"/>
      <c r="V1741" s="137"/>
      <c r="W1741" s="137"/>
      <c r="X1741" s="137"/>
      <c r="Y1741" s="137"/>
      <c r="Z1741" s="137"/>
      <c r="AA1741" s="137"/>
    </row>
    <row r="1742" spans="5:27" x14ac:dyDescent="0.35">
      <c r="E1742" s="137"/>
      <c r="F1742" s="137"/>
      <c r="G1742" s="190"/>
      <c r="H1742" s="137"/>
      <c r="I1742" s="137"/>
      <c r="J1742" s="137"/>
      <c r="M1742" s="143"/>
      <c r="N1742" s="143"/>
      <c r="O1742" s="143"/>
      <c r="P1742" s="143"/>
      <c r="Q1742" s="137"/>
      <c r="R1742" s="137"/>
      <c r="S1742" s="137"/>
      <c r="T1742" s="137"/>
      <c r="U1742" s="137"/>
      <c r="V1742" s="137"/>
      <c r="W1742" s="137"/>
      <c r="X1742" s="137"/>
      <c r="Y1742" s="137"/>
      <c r="Z1742" s="137"/>
      <c r="AA1742" s="137"/>
    </row>
    <row r="1743" spans="5:27" x14ac:dyDescent="0.35">
      <c r="E1743" s="137"/>
      <c r="F1743" s="137"/>
      <c r="G1743" s="190"/>
      <c r="H1743" s="137"/>
      <c r="I1743" s="137"/>
      <c r="J1743" s="137"/>
      <c r="M1743" s="143"/>
      <c r="N1743" s="143"/>
      <c r="O1743" s="143"/>
      <c r="P1743" s="143"/>
      <c r="Q1743" s="137"/>
      <c r="R1743" s="137"/>
      <c r="S1743" s="137"/>
      <c r="T1743" s="137"/>
      <c r="U1743" s="137"/>
      <c r="V1743" s="137"/>
      <c r="W1743" s="137"/>
      <c r="X1743" s="137"/>
      <c r="Y1743" s="137"/>
      <c r="Z1743" s="137"/>
      <c r="AA1743" s="137"/>
    </row>
    <row r="1744" spans="5:27" x14ac:dyDescent="0.35">
      <c r="E1744" s="137"/>
      <c r="F1744" s="137"/>
      <c r="G1744" s="190"/>
      <c r="H1744" s="137"/>
      <c r="I1744" s="137"/>
      <c r="J1744" s="137"/>
      <c r="M1744" s="143"/>
      <c r="N1744" s="143"/>
      <c r="O1744" s="143"/>
      <c r="P1744" s="143"/>
      <c r="Q1744" s="137"/>
      <c r="R1744" s="137"/>
      <c r="S1744" s="137"/>
      <c r="T1744" s="137"/>
      <c r="U1744" s="137"/>
      <c r="V1744" s="137"/>
      <c r="W1744" s="137"/>
      <c r="X1744" s="137"/>
      <c r="Y1744" s="137"/>
      <c r="Z1744" s="137"/>
      <c r="AA1744" s="137"/>
    </row>
    <row r="1745" spans="5:27" x14ac:dyDescent="0.35">
      <c r="E1745" s="137"/>
      <c r="F1745" s="137"/>
      <c r="G1745" s="190"/>
      <c r="H1745" s="137"/>
      <c r="I1745" s="137"/>
      <c r="J1745" s="137"/>
      <c r="M1745" s="143"/>
      <c r="N1745" s="143"/>
      <c r="O1745" s="143"/>
      <c r="P1745" s="143"/>
      <c r="Q1745" s="137"/>
      <c r="R1745" s="137"/>
      <c r="S1745" s="137"/>
      <c r="T1745" s="137"/>
      <c r="U1745" s="137"/>
      <c r="V1745" s="137"/>
      <c r="W1745" s="137"/>
      <c r="X1745" s="137"/>
      <c r="Y1745" s="137"/>
      <c r="Z1745" s="137"/>
      <c r="AA1745" s="137"/>
    </row>
    <row r="1746" spans="5:27" x14ac:dyDescent="0.35">
      <c r="E1746" s="137"/>
      <c r="F1746" s="137"/>
      <c r="G1746" s="190"/>
      <c r="H1746" s="137"/>
      <c r="I1746" s="137"/>
      <c r="J1746" s="137"/>
      <c r="M1746" s="143"/>
      <c r="N1746" s="143"/>
      <c r="O1746" s="143"/>
      <c r="P1746" s="143"/>
      <c r="Q1746" s="137"/>
      <c r="R1746" s="137"/>
      <c r="S1746" s="137"/>
      <c r="T1746" s="137"/>
      <c r="U1746" s="137"/>
      <c r="V1746" s="137"/>
      <c r="W1746" s="137"/>
      <c r="X1746" s="137"/>
      <c r="Y1746" s="137"/>
      <c r="Z1746" s="137"/>
      <c r="AA1746" s="137"/>
    </row>
    <row r="1747" spans="5:27" x14ac:dyDescent="0.35">
      <c r="E1747" s="137"/>
      <c r="F1747" s="137"/>
      <c r="G1747" s="190"/>
      <c r="H1747" s="137"/>
      <c r="I1747" s="137"/>
      <c r="J1747" s="137"/>
      <c r="M1747" s="143"/>
      <c r="N1747" s="143"/>
      <c r="O1747" s="143"/>
      <c r="P1747" s="143"/>
      <c r="Q1747" s="137"/>
      <c r="R1747" s="137"/>
      <c r="S1747" s="137"/>
      <c r="T1747" s="137"/>
      <c r="U1747" s="137"/>
      <c r="V1747" s="137"/>
      <c r="W1747" s="137"/>
      <c r="X1747" s="137"/>
      <c r="Y1747" s="137"/>
      <c r="Z1747" s="137"/>
      <c r="AA1747" s="137"/>
    </row>
    <row r="1748" spans="5:27" x14ac:dyDescent="0.35">
      <c r="E1748" s="137"/>
      <c r="F1748" s="137"/>
      <c r="G1748" s="190"/>
      <c r="H1748" s="137"/>
      <c r="I1748" s="137"/>
      <c r="J1748" s="137"/>
      <c r="M1748" s="143"/>
      <c r="N1748" s="143"/>
      <c r="O1748" s="143"/>
      <c r="P1748" s="143"/>
      <c r="Q1748" s="137"/>
      <c r="R1748" s="137"/>
      <c r="S1748" s="137"/>
      <c r="T1748" s="137"/>
      <c r="U1748" s="137"/>
      <c r="V1748" s="137"/>
      <c r="W1748" s="137"/>
      <c r="X1748" s="137"/>
      <c r="Y1748" s="137"/>
      <c r="Z1748" s="137"/>
      <c r="AA1748" s="137"/>
    </row>
    <row r="1749" spans="5:27" x14ac:dyDescent="0.35">
      <c r="E1749" s="137"/>
      <c r="F1749" s="137"/>
      <c r="G1749" s="190"/>
      <c r="H1749" s="137"/>
      <c r="I1749" s="137"/>
      <c r="J1749" s="137"/>
      <c r="M1749" s="143"/>
      <c r="N1749" s="143"/>
      <c r="O1749" s="143"/>
      <c r="P1749" s="143"/>
      <c r="Q1749" s="137"/>
      <c r="R1749" s="137"/>
      <c r="S1749" s="137"/>
      <c r="T1749" s="137"/>
      <c r="U1749" s="137"/>
      <c r="V1749" s="137"/>
      <c r="W1749" s="137"/>
      <c r="X1749" s="137"/>
      <c r="Y1749" s="137"/>
      <c r="Z1749" s="137"/>
      <c r="AA1749" s="137"/>
    </row>
    <row r="1750" spans="5:27" x14ac:dyDescent="0.35">
      <c r="E1750" s="137"/>
      <c r="F1750" s="137"/>
      <c r="G1750" s="190"/>
      <c r="H1750" s="137"/>
      <c r="I1750" s="137"/>
      <c r="J1750" s="137"/>
      <c r="M1750" s="143"/>
      <c r="N1750" s="143"/>
      <c r="O1750" s="143"/>
      <c r="P1750" s="143"/>
      <c r="Q1750" s="137"/>
      <c r="R1750" s="137"/>
      <c r="S1750" s="137"/>
      <c r="T1750" s="137"/>
      <c r="U1750" s="137"/>
      <c r="V1750" s="137"/>
      <c r="W1750" s="137"/>
      <c r="X1750" s="137"/>
      <c r="Y1750" s="137"/>
      <c r="Z1750" s="137"/>
      <c r="AA1750" s="137"/>
    </row>
    <row r="1751" spans="5:27" x14ac:dyDescent="0.35">
      <c r="E1751" s="137"/>
      <c r="F1751" s="137"/>
      <c r="G1751" s="190"/>
      <c r="H1751" s="137"/>
      <c r="I1751" s="137"/>
      <c r="J1751" s="137"/>
      <c r="M1751" s="143"/>
      <c r="N1751" s="143"/>
      <c r="O1751" s="143"/>
      <c r="P1751" s="143"/>
      <c r="Q1751" s="137"/>
      <c r="R1751" s="137"/>
      <c r="S1751" s="137"/>
      <c r="T1751" s="137"/>
      <c r="U1751" s="137"/>
      <c r="V1751" s="137"/>
      <c r="W1751" s="137"/>
      <c r="X1751" s="137"/>
      <c r="Y1751" s="137"/>
      <c r="Z1751" s="137"/>
      <c r="AA1751" s="137"/>
    </row>
    <row r="1752" spans="5:27" x14ac:dyDescent="0.35">
      <c r="E1752" s="137"/>
      <c r="F1752" s="137"/>
      <c r="G1752" s="190"/>
      <c r="H1752" s="137"/>
      <c r="I1752" s="137"/>
      <c r="J1752" s="137"/>
      <c r="M1752" s="143"/>
      <c r="N1752" s="143"/>
      <c r="O1752" s="143"/>
      <c r="P1752" s="143"/>
      <c r="Q1752" s="137"/>
      <c r="R1752" s="137"/>
      <c r="S1752" s="137"/>
      <c r="T1752" s="137"/>
      <c r="U1752" s="137"/>
      <c r="V1752" s="137"/>
      <c r="W1752" s="137"/>
      <c r="X1752" s="137"/>
      <c r="Y1752" s="137"/>
      <c r="Z1752" s="137"/>
      <c r="AA1752" s="137"/>
    </row>
    <row r="1753" spans="5:27" x14ac:dyDescent="0.35">
      <c r="E1753" s="137"/>
      <c r="F1753" s="137"/>
      <c r="G1753" s="190"/>
      <c r="H1753" s="137"/>
      <c r="I1753" s="137"/>
      <c r="J1753" s="137"/>
      <c r="M1753" s="143"/>
      <c r="N1753" s="143"/>
      <c r="O1753" s="143"/>
      <c r="P1753" s="143"/>
      <c r="Q1753" s="137"/>
      <c r="R1753" s="137"/>
      <c r="S1753" s="137"/>
      <c r="T1753" s="137"/>
      <c r="U1753" s="137"/>
      <c r="V1753" s="137"/>
      <c r="W1753" s="137"/>
      <c r="X1753" s="137"/>
      <c r="Y1753" s="137"/>
      <c r="Z1753" s="137"/>
      <c r="AA1753" s="137"/>
    </row>
    <row r="1754" spans="5:27" x14ac:dyDescent="0.35">
      <c r="E1754" s="137"/>
      <c r="F1754" s="137"/>
      <c r="G1754" s="190"/>
      <c r="H1754" s="137"/>
      <c r="I1754" s="137"/>
      <c r="J1754" s="137"/>
      <c r="M1754" s="143"/>
      <c r="N1754" s="143"/>
      <c r="O1754" s="143"/>
      <c r="P1754" s="143"/>
      <c r="Q1754" s="137"/>
      <c r="R1754" s="137"/>
      <c r="S1754" s="137"/>
      <c r="T1754" s="137"/>
      <c r="U1754" s="137"/>
      <c r="V1754" s="137"/>
      <c r="W1754" s="137"/>
      <c r="X1754" s="137"/>
      <c r="Y1754" s="137"/>
      <c r="Z1754" s="137"/>
      <c r="AA1754" s="137"/>
    </row>
    <row r="1755" spans="5:27" x14ac:dyDescent="0.35">
      <c r="E1755" s="137"/>
      <c r="F1755" s="137"/>
      <c r="G1755" s="190"/>
      <c r="H1755" s="137"/>
      <c r="I1755" s="137"/>
      <c r="J1755" s="137"/>
      <c r="M1755" s="143"/>
      <c r="N1755" s="143"/>
      <c r="O1755" s="143"/>
      <c r="P1755" s="143"/>
      <c r="Q1755" s="137"/>
      <c r="R1755" s="137"/>
      <c r="S1755" s="137"/>
      <c r="T1755" s="137"/>
      <c r="U1755" s="137"/>
      <c r="V1755" s="137"/>
      <c r="W1755" s="137"/>
      <c r="X1755" s="137"/>
      <c r="Y1755" s="137"/>
      <c r="Z1755" s="137"/>
      <c r="AA1755" s="137"/>
    </row>
    <row r="1756" spans="5:27" x14ac:dyDescent="0.35">
      <c r="E1756" s="137"/>
      <c r="F1756" s="137"/>
      <c r="G1756" s="190"/>
      <c r="H1756" s="137"/>
      <c r="I1756" s="137"/>
      <c r="J1756" s="137"/>
      <c r="M1756" s="143"/>
      <c r="N1756" s="143"/>
      <c r="O1756" s="143"/>
      <c r="P1756" s="143"/>
      <c r="Q1756" s="137"/>
      <c r="R1756" s="137"/>
      <c r="S1756" s="137"/>
      <c r="T1756" s="137"/>
      <c r="U1756" s="137"/>
      <c r="V1756" s="137"/>
      <c r="W1756" s="137"/>
      <c r="X1756" s="137"/>
      <c r="Y1756" s="137"/>
      <c r="Z1756" s="137"/>
      <c r="AA1756" s="137"/>
    </row>
    <row r="1757" spans="5:27" x14ac:dyDescent="0.35">
      <c r="E1757" s="137"/>
      <c r="F1757" s="137"/>
      <c r="G1757" s="190"/>
      <c r="H1757" s="137"/>
      <c r="I1757" s="137"/>
      <c r="J1757" s="137"/>
      <c r="M1757" s="143"/>
      <c r="N1757" s="143"/>
      <c r="O1757" s="143"/>
      <c r="P1757" s="143"/>
      <c r="Q1757" s="137"/>
      <c r="R1757" s="137"/>
      <c r="S1757" s="137"/>
      <c r="T1757" s="137"/>
      <c r="U1757" s="137"/>
      <c r="V1757" s="137"/>
      <c r="W1757" s="137"/>
      <c r="X1757" s="137"/>
      <c r="Y1757" s="137"/>
      <c r="Z1757" s="137"/>
      <c r="AA1757" s="137"/>
    </row>
    <row r="1758" spans="5:27" x14ac:dyDescent="0.35">
      <c r="E1758" s="137"/>
      <c r="F1758" s="137"/>
      <c r="G1758" s="190"/>
      <c r="H1758" s="137"/>
      <c r="I1758" s="137"/>
      <c r="J1758" s="137"/>
      <c r="M1758" s="143"/>
      <c r="N1758" s="143"/>
      <c r="O1758" s="143"/>
      <c r="P1758" s="143"/>
      <c r="Q1758" s="137"/>
      <c r="R1758" s="137"/>
      <c r="S1758" s="137"/>
      <c r="T1758" s="137"/>
      <c r="U1758" s="137"/>
      <c r="V1758" s="137"/>
      <c r="W1758" s="137"/>
      <c r="X1758" s="137"/>
      <c r="Y1758" s="137"/>
      <c r="Z1758" s="137"/>
      <c r="AA1758" s="137"/>
    </row>
    <row r="1759" spans="5:27" x14ac:dyDescent="0.35">
      <c r="E1759" s="137"/>
      <c r="F1759" s="137"/>
      <c r="G1759" s="190"/>
      <c r="H1759" s="137"/>
      <c r="I1759" s="137"/>
      <c r="J1759" s="137"/>
      <c r="M1759" s="143"/>
      <c r="N1759" s="143"/>
      <c r="O1759" s="143"/>
      <c r="P1759" s="143"/>
      <c r="Q1759" s="137"/>
      <c r="R1759" s="137"/>
      <c r="S1759" s="137"/>
      <c r="T1759" s="137"/>
      <c r="U1759" s="137"/>
      <c r="V1759" s="137"/>
      <c r="W1759" s="137"/>
      <c r="X1759" s="137"/>
      <c r="Y1759" s="137"/>
      <c r="Z1759" s="137"/>
      <c r="AA1759" s="137"/>
    </row>
    <row r="1760" spans="5:27" x14ac:dyDescent="0.35">
      <c r="E1760" s="137"/>
      <c r="F1760" s="137"/>
      <c r="G1760" s="190"/>
      <c r="H1760" s="137"/>
      <c r="I1760" s="137"/>
      <c r="J1760" s="137"/>
      <c r="M1760" s="143"/>
      <c r="N1760" s="143"/>
      <c r="O1760" s="143"/>
      <c r="P1760" s="143"/>
      <c r="Q1760" s="137"/>
      <c r="R1760" s="137"/>
      <c r="S1760" s="137"/>
      <c r="T1760" s="137"/>
      <c r="U1760" s="137"/>
      <c r="V1760" s="137"/>
      <c r="W1760" s="137"/>
      <c r="X1760" s="137"/>
      <c r="Y1760" s="137"/>
      <c r="Z1760" s="137"/>
      <c r="AA1760" s="137"/>
    </row>
    <row r="1761" spans="5:27" x14ac:dyDescent="0.35">
      <c r="E1761" s="137"/>
      <c r="F1761" s="137"/>
      <c r="G1761" s="190"/>
      <c r="H1761" s="137"/>
      <c r="I1761" s="137"/>
      <c r="J1761" s="137"/>
      <c r="M1761" s="143"/>
      <c r="N1761" s="143"/>
      <c r="O1761" s="143"/>
      <c r="P1761" s="143"/>
      <c r="Q1761" s="137"/>
      <c r="R1761" s="137"/>
      <c r="S1761" s="137"/>
      <c r="T1761" s="137"/>
      <c r="U1761" s="137"/>
      <c r="V1761" s="137"/>
      <c r="W1761" s="137"/>
      <c r="X1761" s="137"/>
      <c r="Y1761" s="137"/>
      <c r="Z1761" s="137"/>
      <c r="AA1761" s="137"/>
    </row>
    <row r="1762" spans="5:27" x14ac:dyDescent="0.35">
      <c r="E1762" s="137"/>
      <c r="F1762" s="137"/>
      <c r="G1762" s="190"/>
      <c r="H1762" s="137"/>
      <c r="I1762" s="137"/>
      <c r="J1762" s="137"/>
      <c r="M1762" s="143"/>
      <c r="N1762" s="143"/>
      <c r="O1762" s="143"/>
      <c r="P1762" s="143"/>
      <c r="Q1762" s="137"/>
      <c r="R1762" s="137"/>
      <c r="S1762" s="137"/>
      <c r="T1762" s="137"/>
      <c r="U1762" s="137"/>
      <c r="V1762" s="137"/>
      <c r="W1762" s="137"/>
      <c r="X1762" s="137"/>
      <c r="Y1762" s="137"/>
      <c r="Z1762" s="137"/>
      <c r="AA1762" s="137"/>
    </row>
    <row r="1763" spans="5:27" x14ac:dyDescent="0.35">
      <c r="E1763" s="137"/>
      <c r="F1763" s="137"/>
      <c r="G1763" s="190"/>
      <c r="H1763" s="137"/>
      <c r="I1763" s="137"/>
      <c r="J1763" s="137"/>
      <c r="M1763" s="143"/>
      <c r="N1763" s="143"/>
      <c r="O1763" s="143"/>
      <c r="P1763" s="143"/>
      <c r="Q1763" s="137"/>
      <c r="R1763" s="137"/>
      <c r="S1763" s="137"/>
      <c r="T1763" s="137"/>
      <c r="U1763" s="137"/>
      <c r="V1763" s="137"/>
      <c r="W1763" s="137"/>
      <c r="X1763" s="137"/>
      <c r="Y1763" s="137"/>
      <c r="Z1763" s="137"/>
      <c r="AA1763" s="137"/>
    </row>
    <row r="1764" spans="5:27" x14ac:dyDescent="0.35">
      <c r="E1764" s="137"/>
      <c r="F1764" s="137"/>
      <c r="G1764" s="190"/>
      <c r="H1764" s="137"/>
      <c r="I1764" s="137"/>
      <c r="J1764" s="137"/>
      <c r="M1764" s="143"/>
      <c r="N1764" s="143"/>
      <c r="O1764" s="143"/>
      <c r="P1764" s="143"/>
      <c r="Q1764" s="137"/>
      <c r="R1764" s="137"/>
      <c r="S1764" s="137"/>
      <c r="T1764" s="137"/>
      <c r="U1764" s="137"/>
      <c r="V1764" s="137"/>
      <c r="W1764" s="137"/>
      <c r="X1764" s="137"/>
      <c r="Y1764" s="137"/>
      <c r="Z1764" s="137"/>
      <c r="AA1764" s="137"/>
    </row>
    <row r="1765" spans="5:27" x14ac:dyDescent="0.35">
      <c r="E1765" s="137"/>
      <c r="F1765" s="137"/>
      <c r="G1765" s="190"/>
      <c r="H1765" s="137"/>
      <c r="I1765" s="137"/>
      <c r="J1765" s="137"/>
      <c r="M1765" s="143"/>
      <c r="N1765" s="143"/>
      <c r="O1765" s="143"/>
      <c r="P1765" s="143"/>
      <c r="Q1765" s="137"/>
      <c r="R1765" s="137"/>
      <c r="S1765" s="137"/>
      <c r="T1765" s="137"/>
      <c r="U1765" s="137"/>
      <c r="V1765" s="137"/>
      <c r="W1765" s="137"/>
      <c r="X1765" s="137"/>
      <c r="Y1765" s="137"/>
      <c r="Z1765" s="137"/>
      <c r="AA1765" s="137"/>
    </row>
    <row r="1766" spans="5:27" x14ac:dyDescent="0.35">
      <c r="E1766" s="137"/>
      <c r="F1766" s="137"/>
      <c r="G1766" s="190"/>
      <c r="H1766" s="137"/>
      <c r="I1766" s="137"/>
      <c r="J1766" s="137"/>
      <c r="M1766" s="143"/>
      <c r="N1766" s="143"/>
      <c r="O1766" s="143"/>
      <c r="P1766" s="143"/>
      <c r="Q1766" s="137"/>
      <c r="R1766" s="137"/>
      <c r="S1766" s="137"/>
      <c r="T1766" s="137"/>
      <c r="U1766" s="137"/>
      <c r="V1766" s="137"/>
      <c r="W1766" s="137"/>
      <c r="X1766" s="137"/>
      <c r="Y1766" s="137"/>
      <c r="Z1766" s="137"/>
      <c r="AA1766" s="137"/>
    </row>
    <row r="1767" spans="5:27" x14ac:dyDescent="0.35">
      <c r="E1767" s="137"/>
      <c r="F1767" s="137"/>
      <c r="G1767" s="190"/>
      <c r="H1767" s="137"/>
      <c r="I1767" s="137"/>
      <c r="J1767" s="137"/>
      <c r="M1767" s="143"/>
      <c r="N1767" s="143"/>
      <c r="O1767" s="143"/>
      <c r="P1767" s="143"/>
      <c r="Q1767" s="137"/>
      <c r="R1767" s="137"/>
      <c r="S1767" s="137"/>
      <c r="T1767" s="137"/>
      <c r="U1767" s="137"/>
      <c r="V1767" s="137"/>
      <c r="W1767" s="137"/>
      <c r="X1767" s="137"/>
      <c r="Y1767" s="137"/>
      <c r="Z1767" s="137"/>
      <c r="AA1767" s="137"/>
    </row>
    <row r="1768" spans="5:27" x14ac:dyDescent="0.35">
      <c r="E1768" s="137"/>
      <c r="F1768" s="137"/>
      <c r="G1768" s="190"/>
      <c r="H1768" s="137"/>
      <c r="I1768" s="137"/>
      <c r="J1768" s="137"/>
      <c r="M1768" s="143"/>
      <c r="N1768" s="143"/>
      <c r="O1768" s="143"/>
      <c r="P1768" s="143"/>
      <c r="Q1768" s="137"/>
      <c r="R1768" s="137"/>
      <c r="S1768" s="137"/>
      <c r="T1768" s="137"/>
      <c r="U1768" s="137"/>
      <c r="V1768" s="137"/>
      <c r="W1768" s="137"/>
      <c r="X1768" s="137"/>
      <c r="Y1768" s="137"/>
      <c r="Z1768" s="137"/>
      <c r="AA1768" s="137"/>
    </row>
    <row r="1769" spans="5:27" x14ac:dyDescent="0.35">
      <c r="E1769" s="137"/>
      <c r="F1769" s="137"/>
      <c r="G1769" s="190"/>
      <c r="H1769" s="137"/>
      <c r="I1769" s="137"/>
      <c r="J1769" s="137"/>
      <c r="M1769" s="143"/>
      <c r="N1769" s="143"/>
      <c r="O1769" s="143"/>
      <c r="P1769" s="143"/>
      <c r="Q1769" s="137"/>
      <c r="R1769" s="137"/>
      <c r="S1769" s="137"/>
      <c r="T1769" s="137"/>
      <c r="U1769" s="137"/>
      <c r="V1769" s="137"/>
      <c r="W1769" s="137"/>
      <c r="X1769" s="137"/>
      <c r="Y1769" s="137"/>
      <c r="Z1769" s="137"/>
      <c r="AA1769" s="137"/>
    </row>
    <row r="1770" spans="5:27" x14ac:dyDescent="0.35">
      <c r="E1770" s="137"/>
      <c r="F1770" s="137"/>
      <c r="G1770" s="190"/>
      <c r="H1770" s="137"/>
      <c r="I1770" s="137"/>
      <c r="J1770" s="137"/>
      <c r="M1770" s="143"/>
      <c r="N1770" s="143"/>
      <c r="O1770" s="143"/>
      <c r="P1770" s="143"/>
      <c r="Q1770" s="137"/>
      <c r="R1770" s="137"/>
      <c r="S1770" s="137"/>
      <c r="T1770" s="137"/>
      <c r="U1770" s="137"/>
      <c r="V1770" s="137"/>
      <c r="W1770" s="137"/>
      <c r="X1770" s="137"/>
      <c r="Y1770" s="137"/>
      <c r="Z1770" s="137"/>
      <c r="AA1770" s="137"/>
    </row>
    <row r="1771" spans="5:27" x14ac:dyDescent="0.35">
      <c r="E1771" s="137"/>
      <c r="F1771" s="137"/>
      <c r="G1771" s="190"/>
      <c r="H1771" s="137"/>
      <c r="I1771" s="137"/>
      <c r="J1771" s="137"/>
      <c r="M1771" s="143"/>
      <c r="N1771" s="143"/>
      <c r="O1771" s="143"/>
      <c r="P1771" s="143"/>
      <c r="Q1771" s="137"/>
      <c r="R1771" s="137"/>
      <c r="S1771" s="137"/>
      <c r="T1771" s="137"/>
      <c r="U1771" s="137"/>
      <c r="V1771" s="137"/>
      <c r="W1771" s="137"/>
      <c r="X1771" s="137"/>
      <c r="Y1771" s="137"/>
      <c r="Z1771" s="137"/>
      <c r="AA1771" s="137"/>
    </row>
    <row r="1772" spans="5:27" x14ac:dyDescent="0.35">
      <c r="E1772" s="137"/>
      <c r="F1772" s="137"/>
      <c r="G1772" s="190"/>
      <c r="H1772" s="137"/>
      <c r="I1772" s="137"/>
      <c r="J1772" s="137"/>
      <c r="M1772" s="143"/>
      <c r="N1772" s="143"/>
      <c r="O1772" s="143"/>
      <c r="P1772" s="143"/>
      <c r="Q1772" s="137"/>
      <c r="R1772" s="137"/>
      <c r="S1772" s="137"/>
      <c r="T1772" s="137"/>
      <c r="U1772" s="137"/>
      <c r="V1772" s="137"/>
      <c r="W1772" s="137"/>
      <c r="X1772" s="137"/>
      <c r="Y1772" s="137"/>
      <c r="Z1772" s="137"/>
      <c r="AA1772" s="137"/>
    </row>
    <row r="1773" spans="5:27" x14ac:dyDescent="0.35">
      <c r="E1773" s="137"/>
      <c r="F1773" s="137"/>
      <c r="G1773" s="190"/>
      <c r="H1773" s="137"/>
      <c r="I1773" s="137"/>
      <c r="J1773" s="137"/>
      <c r="M1773" s="143"/>
      <c r="N1773" s="143"/>
      <c r="O1773" s="143"/>
      <c r="P1773" s="143"/>
      <c r="Q1773" s="137"/>
      <c r="R1773" s="137"/>
      <c r="S1773" s="137"/>
      <c r="T1773" s="137"/>
      <c r="U1773" s="137"/>
      <c r="V1773" s="137"/>
      <c r="W1773" s="137"/>
      <c r="X1773" s="137"/>
      <c r="Y1773" s="137"/>
      <c r="Z1773" s="137"/>
      <c r="AA1773" s="137"/>
    </row>
    <row r="1774" spans="5:27" x14ac:dyDescent="0.35">
      <c r="E1774" s="137"/>
      <c r="F1774" s="137"/>
      <c r="G1774" s="190"/>
      <c r="H1774" s="137"/>
      <c r="I1774" s="137"/>
      <c r="J1774" s="137"/>
      <c r="M1774" s="143"/>
      <c r="N1774" s="143"/>
      <c r="O1774" s="143"/>
      <c r="P1774" s="143"/>
      <c r="Q1774" s="137"/>
      <c r="R1774" s="137"/>
      <c r="S1774" s="137"/>
      <c r="T1774" s="137"/>
      <c r="U1774" s="137"/>
      <c r="V1774" s="137"/>
      <c r="W1774" s="137"/>
      <c r="X1774" s="137"/>
      <c r="Y1774" s="137"/>
      <c r="Z1774" s="137"/>
      <c r="AA1774" s="137"/>
    </row>
    <row r="1775" spans="5:27" x14ac:dyDescent="0.35">
      <c r="E1775" s="137"/>
      <c r="F1775" s="137"/>
      <c r="G1775" s="190"/>
      <c r="H1775" s="137"/>
      <c r="I1775" s="137"/>
      <c r="J1775" s="137"/>
      <c r="M1775" s="143"/>
      <c r="N1775" s="143"/>
      <c r="O1775" s="143"/>
      <c r="P1775" s="143"/>
      <c r="Q1775" s="137"/>
      <c r="R1775" s="137"/>
      <c r="S1775" s="137"/>
      <c r="T1775" s="137"/>
      <c r="U1775" s="137"/>
      <c r="V1775" s="137"/>
      <c r="W1775" s="137"/>
      <c r="X1775" s="137"/>
      <c r="Y1775" s="137"/>
      <c r="Z1775" s="137"/>
      <c r="AA1775" s="137"/>
    </row>
    <row r="1776" spans="5:27" x14ac:dyDescent="0.35">
      <c r="E1776" s="137"/>
      <c r="F1776" s="137"/>
      <c r="G1776" s="190"/>
      <c r="H1776" s="137"/>
      <c r="I1776" s="137"/>
      <c r="J1776" s="137"/>
      <c r="M1776" s="143"/>
      <c r="N1776" s="143"/>
      <c r="O1776" s="143"/>
      <c r="P1776" s="143"/>
      <c r="Q1776" s="137"/>
      <c r="R1776" s="137"/>
      <c r="S1776" s="137"/>
      <c r="T1776" s="137"/>
      <c r="U1776" s="137"/>
      <c r="V1776" s="137"/>
      <c r="W1776" s="137"/>
      <c r="X1776" s="137"/>
      <c r="Y1776" s="137"/>
      <c r="Z1776" s="137"/>
      <c r="AA1776" s="137"/>
    </row>
    <row r="1777" spans="5:27" x14ac:dyDescent="0.35">
      <c r="E1777" s="137"/>
      <c r="F1777" s="137"/>
      <c r="G1777" s="190"/>
      <c r="H1777" s="137"/>
      <c r="I1777" s="137"/>
      <c r="J1777" s="137"/>
      <c r="M1777" s="143"/>
      <c r="N1777" s="143"/>
      <c r="O1777" s="143"/>
      <c r="P1777" s="143"/>
      <c r="Q1777" s="137"/>
      <c r="R1777" s="137"/>
      <c r="S1777" s="137"/>
      <c r="T1777" s="137"/>
      <c r="U1777" s="137"/>
      <c r="V1777" s="137"/>
      <c r="W1777" s="137"/>
      <c r="X1777" s="137"/>
      <c r="Y1777" s="137"/>
      <c r="Z1777" s="137"/>
      <c r="AA1777" s="137"/>
    </row>
    <row r="1778" spans="5:27" x14ac:dyDescent="0.35">
      <c r="E1778" s="137"/>
      <c r="F1778" s="137"/>
      <c r="G1778" s="190"/>
      <c r="H1778" s="137"/>
      <c r="I1778" s="137"/>
      <c r="J1778" s="137"/>
      <c r="M1778" s="143"/>
      <c r="N1778" s="143"/>
      <c r="O1778" s="143"/>
      <c r="P1778" s="143"/>
      <c r="Q1778" s="137"/>
      <c r="R1778" s="137"/>
      <c r="S1778" s="137"/>
      <c r="T1778" s="137"/>
      <c r="U1778" s="137"/>
      <c r="V1778" s="137"/>
      <c r="W1778" s="137"/>
      <c r="X1778" s="137"/>
      <c r="Y1778" s="137"/>
      <c r="Z1778" s="137"/>
      <c r="AA1778" s="137"/>
    </row>
    <row r="1779" spans="5:27" x14ac:dyDescent="0.35">
      <c r="E1779" s="137"/>
      <c r="F1779" s="137"/>
      <c r="G1779" s="190"/>
      <c r="H1779" s="137"/>
      <c r="I1779" s="137"/>
      <c r="J1779" s="137"/>
      <c r="M1779" s="143"/>
      <c r="N1779" s="143"/>
      <c r="O1779" s="143"/>
      <c r="P1779" s="143"/>
      <c r="Q1779" s="137"/>
      <c r="R1779" s="137"/>
      <c r="S1779" s="137"/>
      <c r="T1779" s="137"/>
      <c r="U1779" s="137"/>
      <c r="V1779" s="137"/>
      <c r="W1779" s="137"/>
      <c r="X1779" s="137"/>
      <c r="Y1779" s="137"/>
      <c r="Z1779" s="137"/>
      <c r="AA1779" s="137"/>
    </row>
    <row r="1780" spans="5:27" x14ac:dyDescent="0.35">
      <c r="E1780" s="137"/>
      <c r="F1780" s="137"/>
      <c r="G1780" s="190"/>
      <c r="H1780" s="137"/>
      <c r="I1780" s="137"/>
      <c r="J1780" s="137"/>
      <c r="M1780" s="143"/>
      <c r="N1780" s="143"/>
      <c r="O1780" s="143"/>
      <c r="P1780" s="143"/>
      <c r="Q1780" s="137"/>
      <c r="R1780" s="137"/>
      <c r="S1780" s="137"/>
      <c r="T1780" s="137"/>
      <c r="U1780" s="137"/>
      <c r="V1780" s="137"/>
      <c r="W1780" s="137"/>
      <c r="X1780" s="137"/>
      <c r="Y1780" s="137"/>
      <c r="Z1780" s="137"/>
      <c r="AA1780" s="137"/>
    </row>
    <row r="1781" spans="5:27" x14ac:dyDescent="0.35">
      <c r="E1781" s="137"/>
      <c r="F1781" s="137"/>
      <c r="G1781" s="190"/>
      <c r="H1781" s="137"/>
      <c r="I1781" s="137"/>
      <c r="J1781" s="137"/>
      <c r="M1781" s="143"/>
      <c r="N1781" s="143"/>
      <c r="O1781" s="143"/>
      <c r="P1781" s="143"/>
      <c r="Q1781" s="137"/>
      <c r="R1781" s="137"/>
      <c r="S1781" s="137"/>
      <c r="T1781" s="137"/>
      <c r="U1781" s="137"/>
      <c r="V1781" s="137"/>
      <c r="W1781" s="137"/>
      <c r="X1781" s="137"/>
      <c r="Y1781" s="137"/>
      <c r="Z1781" s="137"/>
      <c r="AA1781" s="137"/>
    </row>
    <row r="1782" spans="5:27" x14ac:dyDescent="0.35">
      <c r="E1782" s="137"/>
      <c r="F1782" s="137"/>
      <c r="G1782" s="190"/>
      <c r="H1782" s="137"/>
      <c r="I1782" s="137"/>
      <c r="J1782" s="137"/>
      <c r="M1782" s="143"/>
      <c r="N1782" s="143"/>
      <c r="O1782" s="143"/>
      <c r="P1782" s="143"/>
      <c r="Q1782" s="137"/>
      <c r="R1782" s="137"/>
      <c r="S1782" s="137"/>
      <c r="T1782" s="137"/>
      <c r="U1782" s="137"/>
      <c r="V1782" s="137"/>
      <c r="W1782" s="137"/>
      <c r="X1782" s="137"/>
      <c r="Y1782" s="137"/>
      <c r="Z1782" s="137"/>
      <c r="AA1782" s="137"/>
    </row>
    <row r="1783" spans="5:27" x14ac:dyDescent="0.35">
      <c r="E1783" s="137"/>
      <c r="F1783" s="137"/>
      <c r="G1783" s="190"/>
      <c r="H1783" s="137"/>
      <c r="I1783" s="137"/>
      <c r="J1783" s="137"/>
      <c r="M1783" s="143"/>
      <c r="N1783" s="143"/>
      <c r="O1783" s="143"/>
      <c r="P1783" s="143"/>
      <c r="Q1783" s="137"/>
      <c r="R1783" s="137"/>
      <c r="S1783" s="137"/>
      <c r="T1783" s="137"/>
      <c r="U1783" s="137"/>
      <c r="V1783" s="137"/>
      <c r="W1783" s="137"/>
      <c r="X1783" s="137"/>
      <c r="Y1783" s="137"/>
      <c r="Z1783" s="137"/>
      <c r="AA1783" s="137"/>
    </row>
    <row r="1784" spans="5:27" x14ac:dyDescent="0.35">
      <c r="E1784" s="137"/>
      <c r="F1784" s="137"/>
      <c r="G1784" s="190"/>
      <c r="H1784" s="137"/>
      <c r="I1784" s="137"/>
      <c r="J1784" s="137"/>
      <c r="M1784" s="143"/>
      <c r="N1784" s="143"/>
      <c r="O1784" s="143"/>
      <c r="P1784" s="143"/>
      <c r="Q1784" s="137"/>
      <c r="R1784" s="137"/>
      <c r="S1784" s="137"/>
      <c r="T1784" s="137"/>
      <c r="U1784" s="137"/>
      <c r="V1784" s="137"/>
      <c r="W1784" s="137"/>
      <c r="X1784" s="137"/>
      <c r="Y1784" s="137"/>
      <c r="Z1784" s="137"/>
      <c r="AA1784" s="137"/>
    </row>
    <row r="1785" spans="5:27" x14ac:dyDescent="0.35">
      <c r="E1785" s="137"/>
      <c r="F1785" s="137"/>
      <c r="G1785" s="190"/>
      <c r="H1785" s="137"/>
      <c r="I1785" s="137"/>
      <c r="J1785" s="137"/>
      <c r="M1785" s="143"/>
      <c r="N1785" s="143"/>
      <c r="O1785" s="143"/>
      <c r="P1785" s="143"/>
      <c r="Q1785" s="137"/>
      <c r="R1785" s="137"/>
      <c r="S1785" s="137"/>
      <c r="T1785" s="137"/>
      <c r="U1785" s="137"/>
      <c r="V1785" s="137"/>
      <c r="W1785" s="137"/>
      <c r="X1785" s="137"/>
      <c r="Y1785" s="137"/>
      <c r="Z1785" s="137"/>
      <c r="AA1785" s="137"/>
    </row>
    <row r="1786" spans="5:27" x14ac:dyDescent="0.35">
      <c r="E1786" s="137"/>
      <c r="F1786" s="137"/>
      <c r="G1786" s="190"/>
      <c r="H1786" s="137"/>
      <c r="I1786" s="137"/>
      <c r="J1786" s="137"/>
      <c r="M1786" s="143"/>
      <c r="N1786" s="143"/>
      <c r="O1786" s="143"/>
      <c r="P1786" s="143"/>
      <c r="Q1786" s="137"/>
      <c r="R1786" s="137"/>
      <c r="S1786" s="137"/>
      <c r="T1786" s="137"/>
      <c r="U1786" s="137"/>
      <c r="V1786" s="137"/>
      <c r="W1786" s="137"/>
      <c r="X1786" s="137"/>
      <c r="Y1786" s="137"/>
      <c r="Z1786" s="137"/>
      <c r="AA1786" s="137"/>
    </row>
    <row r="1787" spans="5:27" x14ac:dyDescent="0.35">
      <c r="E1787" s="137"/>
      <c r="F1787" s="137"/>
      <c r="G1787" s="190"/>
      <c r="H1787" s="137"/>
      <c r="I1787" s="137"/>
      <c r="J1787" s="137"/>
      <c r="M1787" s="143"/>
      <c r="N1787" s="143"/>
      <c r="O1787" s="143"/>
      <c r="P1787" s="143"/>
      <c r="Q1787" s="137"/>
      <c r="R1787" s="137"/>
      <c r="S1787" s="137"/>
      <c r="T1787" s="137"/>
      <c r="U1787" s="137"/>
      <c r="V1787" s="137"/>
      <c r="W1787" s="137"/>
      <c r="X1787" s="137"/>
      <c r="Y1787" s="137"/>
      <c r="Z1787" s="137"/>
      <c r="AA1787" s="137"/>
    </row>
    <row r="1788" spans="5:27" x14ac:dyDescent="0.35">
      <c r="E1788" s="137"/>
      <c r="F1788" s="137"/>
      <c r="G1788" s="190"/>
      <c r="H1788" s="137"/>
      <c r="I1788" s="137"/>
      <c r="J1788" s="137"/>
      <c r="M1788" s="143"/>
      <c r="N1788" s="143"/>
      <c r="O1788" s="143"/>
      <c r="P1788" s="143"/>
      <c r="Q1788" s="137"/>
      <c r="R1788" s="137"/>
      <c r="S1788" s="137"/>
      <c r="T1788" s="137"/>
      <c r="U1788" s="137"/>
      <c r="V1788" s="137"/>
      <c r="W1788" s="137"/>
      <c r="X1788" s="137"/>
      <c r="Y1788" s="137"/>
      <c r="Z1788" s="137"/>
      <c r="AA1788" s="137"/>
    </row>
    <row r="1789" spans="5:27" x14ac:dyDescent="0.35">
      <c r="E1789" s="137"/>
      <c r="F1789" s="137"/>
      <c r="G1789" s="190"/>
      <c r="H1789" s="137"/>
      <c r="I1789" s="137"/>
      <c r="J1789" s="137"/>
      <c r="M1789" s="143"/>
      <c r="N1789" s="143"/>
      <c r="O1789" s="143"/>
      <c r="P1789" s="143"/>
      <c r="Q1789" s="137"/>
      <c r="R1789" s="137"/>
      <c r="S1789" s="137"/>
      <c r="T1789" s="137"/>
      <c r="U1789" s="137"/>
      <c r="V1789" s="137"/>
      <c r="W1789" s="137"/>
      <c r="X1789" s="137"/>
      <c r="Y1789" s="137"/>
      <c r="Z1789" s="137"/>
      <c r="AA1789" s="137"/>
    </row>
    <row r="1790" spans="5:27" x14ac:dyDescent="0.35">
      <c r="E1790" s="137"/>
      <c r="F1790" s="137"/>
      <c r="G1790" s="190"/>
      <c r="H1790" s="137"/>
      <c r="I1790" s="137"/>
      <c r="J1790" s="137"/>
      <c r="M1790" s="143"/>
      <c r="N1790" s="143"/>
      <c r="O1790" s="143"/>
      <c r="P1790" s="143"/>
      <c r="Q1790" s="137"/>
      <c r="R1790" s="137"/>
      <c r="S1790" s="137"/>
      <c r="T1790" s="137"/>
      <c r="U1790" s="137"/>
      <c r="V1790" s="137"/>
      <c r="W1790" s="137"/>
      <c r="X1790" s="137"/>
      <c r="Y1790" s="137"/>
      <c r="Z1790" s="137"/>
      <c r="AA1790" s="137"/>
    </row>
    <row r="1791" spans="5:27" x14ac:dyDescent="0.35">
      <c r="E1791" s="137"/>
      <c r="F1791" s="137"/>
      <c r="G1791" s="190"/>
      <c r="H1791" s="137"/>
      <c r="I1791" s="137"/>
      <c r="J1791" s="137"/>
      <c r="M1791" s="143"/>
      <c r="N1791" s="143"/>
      <c r="O1791" s="143"/>
      <c r="P1791" s="143"/>
      <c r="Q1791" s="137"/>
      <c r="R1791" s="137"/>
      <c r="S1791" s="137"/>
      <c r="T1791" s="137"/>
      <c r="U1791" s="137"/>
      <c r="V1791" s="137"/>
      <c r="W1791" s="137"/>
      <c r="X1791" s="137"/>
      <c r="Y1791" s="137"/>
      <c r="Z1791" s="137"/>
      <c r="AA1791" s="137"/>
    </row>
    <row r="1792" spans="5:27" x14ac:dyDescent="0.35">
      <c r="E1792" s="137"/>
      <c r="F1792" s="137"/>
      <c r="G1792" s="190"/>
      <c r="H1792" s="137"/>
      <c r="I1792" s="137"/>
      <c r="J1792" s="137"/>
      <c r="M1792" s="143"/>
      <c r="N1792" s="143"/>
      <c r="O1792" s="143"/>
      <c r="P1792" s="143"/>
      <c r="Q1792" s="137"/>
      <c r="R1792" s="137"/>
      <c r="S1792" s="137"/>
      <c r="T1792" s="137"/>
      <c r="U1792" s="137"/>
      <c r="V1792" s="137"/>
      <c r="W1792" s="137"/>
      <c r="X1792" s="137"/>
      <c r="Y1792" s="137"/>
      <c r="Z1792" s="137"/>
      <c r="AA1792" s="137"/>
    </row>
    <row r="1793" spans="5:27" x14ac:dyDescent="0.35">
      <c r="E1793" s="137"/>
      <c r="F1793" s="137"/>
      <c r="G1793" s="190"/>
      <c r="H1793" s="137"/>
      <c r="I1793" s="137"/>
      <c r="J1793" s="137"/>
      <c r="M1793" s="143"/>
      <c r="N1793" s="143"/>
      <c r="O1793" s="143"/>
      <c r="P1793" s="143"/>
      <c r="Q1793" s="137"/>
      <c r="R1793" s="137"/>
      <c r="S1793" s="137"/>
      <c r="T1793" s="137"/>
      <c r="U1793" s="137"/>
      <c r="V1793" s="137"/>
      <c r="W1793" s="137"/>
      <c r="X1793" s="137"/>
      <c r="Y1793" s="137"/>
      <c r="Z1793" s="137"/>
      <c r="AA1793" s="137"/>
    </row>
    <row r="1794" spans="5:27" x14ac:dyDescent="0.35">
      <c r="E1794" s="137"/>
      <c r="F1794" s="137"/>
      <c r="G1794" s="190"/>
      <c r="H1794" s="137"/>
      <c r="I1794" s="137"/>
      <c r="J1794" s="137"/>
      <c r="M1794" s="143"/>
      <c r="N1794" s="143"/>
      <c r="O1794" s="143"/>
      <c r="P1794" s="143"/>
      <c r="Q1794" s="137"/>
      <c r="R1794" s="137"/>
      <c r="S1794" s="137"/>
      <c r="T1794" s="137"/>
      <c r="U1794" s="137"/>
      <c r="V1794" s="137"/>
      <c r="W1794" s="137"/>
      <c r="X1794" s="137"/>
      <c r="Y1794" s="137"/>
      <c r="Z1794" s="137"/>
      <c r="AA1794" s="137"/>
    </row>
    <row r="1795" spans="5:27" x14ac:dyDescent="0.35">
      <c r="E1795" s="137"/>
      <c r="F1795" s="137"/>
      <c r="G1795" s="190"/>
      <c r="H1795" s="137"/>
      <c r="I1795" s="137"/>
      <c r="J1795" s="137"/>
      <c r="M1795" s="143"/>
      <c r="N1795" s="143"/>
      <c r="O1795" s="143"/>
      <c r="P1795" s="143"/>
      <c r="Q1795" s="137"/>
      <c r="R1795" s="137"/>
      <c r="S1795" s="137"/>
      <c r="T1795" s="137"/>
      <c r="U1795" s="137"/>
      <c r="V1795" s="137"/>
      <c r="W1795" s="137"/>
      <c r="X1795" s="137"/>
      <c r="Y1795" s="137"/>
      <c r="Z1795" s="137"/>
      <c r="AA1795" s="137"/>
    </row>
    <row r="1796" spans="5:27" x14ac:dyDescent="0.35">
      <c r="E1796" s="137"/>
      <c r="F1796" s="137"/>
      <c r="G1796" s="190"/>
      <c r="H1796" s="137"/>
      <c r="I1796" s="137"/>
      <c r="J1796" s="137"/>
      <c r="M1796" s="143"/>
      <c r="N1796" s="143"/>
      <c r="O1796" s="143"/>
      <c r="P1796" s="143"/>
      <c r="Q1796" s="137"/>
      <c r="R1796" s="137"/>
      <c r="S1796" s="137"/>
      <c r="T1796" s="137"/>
      <c r="U1796" s="137"/>
      <c r="V1796" s="137"/>
      <c r="W1796" s="137"/>
      <c r="X1796" s="137"/>
      <c r="Y1796" s="137"/>
      <c r="Z1796" s="137"/>
      <c r="AA1796" s="137"/>
    </row>
    <row r="1797" spans="5:27" x14ac:dyDescent="0.35">
      <c r="E1797" s="137"/>
      <c r="F1797" s="137"/>
      <c r="G1797" s="190"/>
      <c r="H1797" s="137"/>
      <c r="I1797" s="137"/>
      <c r="J1797" s="137"/>
      <c r="M1797" s="143"/>
      <c r="N1797" s="143"/>
      <c r="O1797" s="143"/>
      <c r="P1797" s="143"/>
      <c r="Q1797" s="137"/>
      <c r="R1797" s="137"/>
      <c r="S1797" s="137"/>
      <c r="T1797" s="137"/>
      <c r="U1797" s="137"/>
      <c r="V1797" s="137"/>
      <c r="W1797" s="137"/>
      <c r="X1797" s="137"/>
      <c r="Y1797" s="137"/>
      <c r="Z1797" s="137"/>
      <c r="AA1797" s="137"/>
    </row>
    <row r="1798" spans="5:27" x14ac:dyDescent="0.35">
      <c r="E1798" s="137"/>
      <c r="F1798" s="137"/>
      <c r="G1798" s="190"/>
      <c r="H1798" s="137"/>
      <c r="I1798" s="137"/>
      <c r="J1798" s="137"/>
      <c r="M1798" s="143"/>
      <c r="N1798" s="143"/>
      <c r="O1798" s="143"/>
      <c r="P1798" s="143"/>
      <c r="Q1798" s="137"/>
      <c r="R1798" s="137"/>
      <c r="S1798" s="137"/>
      <c r="T1798" s="137"/>
      <c r="U1798" s="137"/>
      <c r="V1798" s="137"/>
      <c r="W1798" s="137"/>
      <c r="X1798" s="137"/>
      <c r="Y1798" s="137"/>
      <c r="Z1798" s="137"/>
      <c r="AA1798" s="137"/>
    </row>
    <row r="1799" spans="5:27" x14ac:dyDescent="0.35">
      <c r="E1799" s="137"/>
      <c r="F1799" s="137"/>
      <c r="G1799" s="190"/>
      <c r="H1799" s="137"/>
      <c r="I1799" s="137"/>
      <c r="J1799" s="137"/>
      <c r="M1799" s="143"/>
      <c r="N1799" s="143"/>
      <c r="O1799" s="143"/>
      <c r="P1799" s="143"/>
      <c r="Q1799" s="137"/>
      <c r="R1799" s="137"/>
      <c r="S1799" s="137"/>
      <c r="T1799" s="137"/>
      <c r="U1799" s="137"/>
      <c r="V1799" s="137"/>
      <c r="W1799" s="137"/>
      <c r="X1799" s="137"/>
      <c r="Y1799" s="137"/>
      <c r="Z1799" s="137"/>
      <c r="AA1799" s="137"/>
    </row>
    <row r="1800" spans="5:27" x14ac:dyDescent="0.35">
      <c r="E1800" s="137"/>
      <c r="F1800" s="137"/>
      <c r="G1800" s="190"/>
      <c r="H1800" s="137"/>
      <c r="I1800" s="137"/>
      <c r="J1800" s="137"/>
      <c r="M1800" s="143"/>
      <c r="N1800" s="143"/>
      <c r="O1800" s="143"/>
      <c r="P1800" s="143"/>
      <c r="Q1800" s="137"/>
      <c r="R1800" s="137"/>
      <c r="S1800" s="137"/>
      <c r="T1800" s="137"/>
      <c r="U1800" s="137"/>
      <c r="V1800" s="137"/>
      <c r="W1800" s="137"/>
      <c r="X1800" s="137"/>
      <c r="Y1800" s="137"/>
      <c r="Z1800" s="137"/>
      <c r="AA1800" s="137"/>
    </row>
    <row r="1801" spans="5:27" x14ac:dyDescent="0.35">
      <c r="E1801" s="137"/>
      <c r="F1801" s="137"/>
      <c r="G1801" s="190"/>
      <c r="H1801" s="137"/>
      <c r="I1801" s="137"/>
      <c r="J1801" s="137"/>
      <c r="M1801" s="143"/>
      <c r="N1801" s="143"/>
      <c r="O1801" s="143"/>
      <c r="P1801" s="143"/>
      <c r="Q1801" s="137"/>
      <c r="R1801" s="137"/>
      <c r="S1801" s="137"/>
      <c r="T1801" s="137"/>
      <c r="U1801" s="137"/>
      <c r="V1801" s="137"/>
      <c r="W1801" s="137"/>
      <c r="X1801" s="137"/>
      <c r="Y1801" s="137"/>
      <c r="Z1801" s="137"/>
      <c r="AA1801" s="137"/>
    </row>
    <row r="1802" spans="5:27" x14ac:dyDescent="0.35">
      <c r="E1802" s="137"/>
      <c r="F1802" s="137"/>
      <c r="G1802" s="190"/>
      <c r="H1802" s="137"/>
      <c r="I1802" s="137"/>
      <c r="J1802" s="137"/>
      <c r="M1802" s="143"/>
      <c r="N1802" s="143"/>
      <c r="O1802" s="143"/>
      <c r="P1802" s="143"/>
      <c r="Q1802" s="137"/>
      <c r="R1802" s="137"/>
      <c r="S1802" s="137"/>
      <c r="T1802" s="137"/>
      <c r="U1802" s="137"/>
      <c r="V1802" s="137"/>
      <c r="W1802" s="137"/>
      <c r="X1802" s="137"/>
      <c r="Y1802" s="137"/>
      <c r="Z1802" s="137"/>
      <c r="AA1802" s="137"/>
    </row>
    <row r="1803" spans="5:27" x14ac:dyDescent="0.35">
      <c r="E1803" s="137"/>
      <c r="F1803" s="137"/>
      <c r="G1803" s="190"/>
      <c r="H1803" s="137"/>
      <c r="I1803" s="137"/>
      <c r="J1803" s="137"/>
      <c r="M1803" s="143"/>
      <c r="N1803" s="143"/>
      <c r="O1803" s="143"/>
      <c r="P1803" s="143"/>
      <c r="Q1803" s="137"/>
      <c r="R1803" s="137"/>
      <c r="S1803" s="137"/>
      <c r="T1803" s="137"/>
      <c r="U1803" s="137"/>
      <c r="V1803" s="137"/>
      <c r="W1803" s="137"/>
      <c r="X1803" s="137"/>
      <c r="Y1803" s="137"/>
      <c r="Z1803" s="137"/>
      <c r="AA1803" s="137"/>
    </row>
    <row r="1804" spans="5:27" x14ac:dyDescent="0.35">
      <c r="E1804" s="137"/>
      <c r="F1804" s="137"/>
      <c r="G1804" s="190"/>
      <c r="H1804" s="137"/>
      <c r="I1804" s="137"/>
      <c r="J1804" s="137"/>
      <c r="M1804" s="143"/>
      <c r="N1804" s="143"/>
      <c r="O1804" s="143"/>
      <c r="P1804" s="143"/>
      <c r="Q1804" s="137"/>
      <c r="R1804" s="137"/>
      <c r="S1804" s="137"/>
      <c r="T1804" s="137"/>
      <c r="U1804" s="137"/>
      <c r="V1804" s="137"/>
      <c r="W1804" s="137"/>
      <c r="X1804" s="137"/>
      <c r="Y1804" s="137"/>
      <c r="Z1804" s="137"/>
      <c r="AA1804" s="137"/>
    </row>
    <row r="1805" spans="5:27" x14ac:dyDescent="0.35">
      <c r="E1805" s="137"/>
      <c r="F1805" s="137"/>
      <c r="G1805" s="190"/>
      <c r="H1805" s="137"/>
      <c r="I1805" s="137"/>
      <c r="J1805" s="137"/>
      <c r="M1805" s="143"/>
      <c r="N1805" s="143"/>
      <c r="O1805" s="143"/>
      <c r="P1805" s="143"/>
      <c r="Q1805" s="137"/>
      <c r="R1805" s="137"/>
      <c r="S1805" s="137"/>
      <c r="T1805" s="137"/>
      <c r="U1805" s="137"/>
      <c r="V1805" s="137"/>
      <c r="W1805" s="137"/>
      <c r="X1805" s="137"/>
      <c r="Y1805" s="137"/>
      <c r="Z1805" s="137"/>
      <c r="AA1805" s="137"/>
    </row>
    <row r="1806" spans="5:27" x14ac:dyDescent="0.35">
      <c r="E1806" s="137"/>
      <c r="F1806" s="137"/>
      <c r="G1806" s="190"/>
      <c r="H1806" s="137"/>
      <c r="I1806" s="137"/>
      <c r="J1806" s="137"/>
      <c r="M1806" s="143"/>
      <c r="N1806" s="143"/>
      <c r="O1806" s="143"/>
      <c r="P1806" s="143"/>
      <c r="Q1806" s="137"/>
      <c r="R1806" s="137"/>
      <c r="S1806" s="137"/>
      <c r="T1806" s="137"/>
      <c r="U1806" s="137"/>
      <c r="V1806" s="137"/>
      <c r="W1806" s="137"/>
      <c r="X1806" s="137"/>
      <c r="Y1806" s="137"/>
      <c r="Z1806" s="137"/>
      <c r="AA1806" s="137"/>
    </row>
    <row r="1807" spans="5:27" x14ac:dyDescent="0.35">
      <c r="E1807" s="137"/>
      <c r="F1807" s="137"/>
      <c r="G1807" s="190"/>
      <c r="H1807" s="137"/>
      <c r="I1807" s="137"/>
      <c r="J1807" s="137"/>
      <c r="M1807" s="143"/>
      <c r="N1807" s="143"/>
      <c r="O1807" s="143"/>
      <c r="P1807" s="143"/>
      <c r="Q1807" s="137"/>
      <c r="R1807" s="137"/>
      <c r="S1807" s="137"/>
      <c r="T1807" s="137"/>
      <c r="U1807" s="137"/>
      <c r="V1807" s="137"/>
      <c r="W1807" s="137"/>
      <c r="X1807" s="137"/>
      <c r="Y1807" s="137"/>
      <c r="Z1807" s="137"/>
      <c r="AA1807" s="137"/>
    </row>
    <row r="1808" spans="5:27" x14ac:dyDescent="0.35">
      <c r="E1808" s="137"/>
      <c r="F1808" s="137"/>
      <c r="G1808" s="190"/>
      <c r="H1808" s="137"/>
      <c r="I1808" s="137"/>
      <c r="J1808" s="137"/>
      <c r="M1808" s="143"/>
      <c r="N1808" s="143"/>
      <c r="O1808" s="143"/>
      <c r="P1808" s="143"/>
      <c r="Q1808" s="137"/>
      <c r="R1808" s="137"/>
      <c r="S1808" s="137"/>
      <c r="T1808" s="137"/>
      <c r="U1808" s="137"/>
      <c r="V1808" s="137"/>
      <c r="W1808" s="137"/>
      <c r="X1808" s="137"/>
      <c r="Y1808" s="137"/>
      <c r="Z1808" s="137"/>
      <c r="AA1808" s="137"/>
    </row>
    <row r="1809" spans="5:27" x14ac:dyDescent="0.35">
      <c r="E1809" s="137"/>
      <c r="F1809" s="137"/>
      <c r="G1809" s="190"/>
      <c r="H1809" s="137"/>
      <c r="I1809" s="137"/>
      <c r="J1809" s="137"/>
      <c r="M1809" s="143"/>
      <c r="N1809" s="143"/>
      <c r="O1809" s="143"/>
      <c r="P1809" s="143"/>
      <c r="Q1809" s="137"/>
      <c r="R1809" s="137"/>
      <c r="S1809" s="137"/>
      <c r="T1809" s="137"/>
      <c r="U1809" s="137"/>
      <c r="V1809" s="137"/>
      <c r="W1809" s="137"/>
      <c r="X1809" s="137"/>
      <c r="Y1809" s="137"/>
      <c r="Z1809" s="137"/>
      <c r="AA1809" s="137"/>
    </row>
    <row r="1810" spans="5:27" x14ac:dyDescent="0.35">
      <c r="E1810" s="137"/>
      <c r="F1810" s="137"/>
      <c r="G1810" s="190"/>
      <c r="H1810" s="137"/>
      <c r="I1810" s="137"/>
      <c r="J1810" s="137"/>
      <c r="M1810" s="143"/>
      <c r="N1810" s="143"/>
      <c r="O1810" s="143"/>
      <c r="P1810" s="143"/>
      <c r="Q1810" s="137"/>
      <c r="R1810" s="137"/>
      <c r="S1810" s="137"/>
      <c r="T1810" s="137"/>
      <c r="U1810" s="137"/>
      <c r="V1810" s="137"/>
      <c r="W1810" s="137"/>
      <c r="X1810" s="137"/>
      <c r="Y1810" s="137"/>
      <c r="Z1810" s="137"/>
      <c r="AA1810" s="137"/>
    </row>
    <row r="1811" spans="5:27" x14ac:dyDescent="0.35">
      <c r="E1811" s="137"/>
      <c r="F1811" s="137"/>
      <c r="G1811" s="190"/>
      <c r="H1811" s="137"/>
      <c r="I1811" s="137"/>
      <c r="J1811" s="137"/>
      <c r="M1811" s="143"/>
      <c r="N1811" s="143"/>
      <c r="O1811" s="143"/>
      <c r="P1811" s="143"/>
      <c r="Q1811" s="137"/>
      <c r="R1811" s="137"/>
      <c r="S1811" s="137"/>
      <c r="T1811" s="137"/>
      <c r="U1811" s="137"/>
      <c r="V1811" s="137"/>
      <c r="W1811" s="137"/>
      <c r="X1811" s="137"/>
      <c r="Y1811" s="137"/>
      <c r="Z1811" s="137"/>
      <c r="AA1811" s="137"/>
    </row>
    <row r="1812" spans="5:27" x14ac:dyDescent="0.35">
      <c r="E1812" s="137"/>
      <c r="F1812" s="137"/>
      <c r="G1812" s="190"/>
      <c r="H1812" s="137"/>
      <c r="I1812" s="137"/>
      <c r="J1812" s="137"/>
      <c r="M1812" s="143"/>
      <c r="N1812" s="143"/>
      <c r="O1812" s="143"/>
      <c r="P1812" s="143"/>
      <c r="Q1812" s="137"/>
      <c r="R1812" s="137"/>
      <c r="S1812" s="137"/>
      <c r="T1812" s="137"/>
      <c r="U1812" s="137"/>
      <c r="V1812" s="137"/>
      <c r="W1812" s="137"/>
      <c r="X1812" s="137"/>
      <c r="Y1812" s="137"/>
      <c r="Z1812" s="137"/>
      <c r="AA1812" s="137"/>
    </row>
    <row r="1813" spans="5:27" x14ac:dyDescent="0.35">
      <c r="E1813" s="137"/>
      <c r="F1813" s="137"/>
      <c r="G1813" s="190"/>
      <c r="H1813" s="137"/>
      <c r="I1813" s="137"/>
      <c r="J1813" s="137"/>
      <c r="M1813" s="143"/>
      <c r="N1813" s="143"/>
      <c r="O1813" s="143"/>
      <c r="P1813" s="143"/>
      <c r="Q1813" s="137"/>
      <c r="R1813" s="137"/>
      <c r="S1813" s="137"/>
      <c r="T1813" s="137"/>
      <c r="U1813" s="137"/>
      <c r="V1813" s="137"/>
      <c r="W1813" s="137"/>
      <c r="X1813" s="137"/>
      <c r="Y1813" s="137"/>
      <c r="Z1813" s="137"/>
      <c r="AA1813" s="137"/>
    </row>
    <row r="1814" spans="5:27" x14ac:dyDescent="0.35">
      <c r="E1814" s="137"/>
      <c r="F1814" s="137"/>
      <c r="G1814" s="190"/>
      <c r="H1814" s="137"/>
      <c r="I1814" s="137"/>
      <c r="J1814" s="137"/>
      <c r="M1814" s="143"/>
      <c r="N1814" s="143"/>
      <c r="O1814" s="143"/>
      <c r="P1814" s="143"/>
      <c r="Q1814" s="137"/>
      <c r="R1814" s="137"/>
      <c r="S1814" s="137"/>
      <c r="T1814" s="137"/>
      <c r="U1814" s="137"/>
      <c r="V1814" s="137"/>
      <c r="W1814" s="137"/>
      <c r="X1814" s="137"/>
      <c r="Y1814" s="137"/>
      <c r="Z1814" s="137"/>
      <c r="AA1814" s="137"/>
    </row>
    <row r="1815" spans="5:27" x14ac:dyDescent="0.35">
      <c r="E1815" s="137"/>
      <c r="F1815" s="137"/>
      <c r="G1815" s="190"/>
      <c r="H1815" s="137"/>
      <c r="I1815" s="137"/>
      <c r="J1815" s="137"/>
      <c r="M1815" s="143"/>
      <c r="N1815" s="143"/>
      <c r="O1815" s="143"/>
      <c r="P1815" s="143"/>
      <c r="Q1815" s="137"/>
      <c r="R1815" s="137"/>
      <c r="S1815" s="137"/>
      <c r="T1815" s="137"/>
      <c r="U1815" s="137"/>
      <c r="V1815" s="137"/>
      <c r="W1815" s="137"/>
      <c r="X1815" s="137"/>
      <c r="Y1815" s="137"/>
      <c r="Z1815" s="137"/>
      <c r="AA1815" s="137"/>
    </row>
    <row r="1816" spans="5:27" x14ac:dyDescent="0.35">
      <c r="E1816" s="137"/>
      <c r="F1816" s="137"/>
      <c r="G1816" s="190"/>
      <c r="H1816" s="137"/>
      <c r="I1816" s="137"/>
      <c r="J1816" s="137"/>
      <c r="M1816" s="143"/>
      <c r="N1816" s="143"/>
      <c r="O1816" s="143"/>
      <c r="P1816" s="143"/>
      <c r="Q1816" s="137"/>
      <c r="R1816" s="137"/>
      <c r="S1816" s="137"/>
      <c r="T1816" s="137"/>
      <c r="U1816" s="137"/>
      <c r="V1816" s="137"/>
      <c r="W1816" s="137"/>
      <c r="X1816" s="137"/>
      <c r="Y1816" s="137"/>
      <c r="Z1816" s="137"/>
      <c r="AA1816" s="137"/>
    </row>
    <row r="1817" spans="5:27" x14ac:dyDescent="0.35">
      <c r="E1817" s="137"/>
      <c r="F1817" s="137"/>
      <c r="G1817" s="190"/>
      <c r="H1817" s="137"/>
      <c r="I1817" s="137"/>
      <c r="J1817" s="137"/>
      <c r="M1817" s="143"/>
      <c r="N1817" s="143"/>
      <c r="O1817" s="143"/>
      <c r="P1817" s="143"/>
      <c r="Q1817" s="137"/>
      <c r="R1817" s="137"/>
      <c r="S1817" s="137"/>
      <c r="T1817" s="137"/>
      <c r="U1817" s="137"/>
      <c r="V1817" s="137"/>
      <c r="W1817" s="137"/>
      <c r="X1817" s="137"/>
      <c r="Y1817" s="137"/>
      <c r="Z1817" s="137"/>
      <c r="AA1817" s="137"/>
    </row>
    <row r="1818" spans="5:27" x14ac:dyDescent="0.35">
      <c r="E1818" s="137"/>
      <c r="F1818" s="137"/>
      <c r="G1818" s="190"/>
      <c r="H1818" s="137"/>
      <c r="I1818" s="137"/>
      <c r="J1818" s="137"/>
      <c r="M1818" s="143"/>
      <c r="N1818" s="143"/>
      <c r="O1818" s="143"/>
      <c r="P1818" s="143"/>
      <c r="Q1818" s="137"/>
      <c r="R1818" s="137"/>
      <c r="S1818" s="137"/>
      <c r="T1818" s="137"/>
      <c r="U1818" s="137"/>
      <c r="V1818" s="137"/>
      <c r="W1818" s="137"/>
      <c r="X1818" s="137"/>
      <c r="Y1818" s="137"/>
      <c r="Z1818" s="137"/>
      <c r="AA1818" s="137"/>
    </row>
    <row r="1819" spans="5:27" x14ac:dyDescent="0.35">
      <c r="E1819" s="137"/>
      <c r="F1819" s="137"/>
      <c r="G1819" s="190"/>
      <c r="H1819" s="137"/>
      <c r="I1819" s="137"/>
      <c r="J1819" s="137"/>
      <c r="M1819" s="143"/>
      <c r="N1819" s="143"/>
      <c r="O1819" s="143"/>
      <c r="P1819" s="143"/>
      <c r="Q1819" s="137"/>
      <c r="R1819" s="137"/>
      <c r="S1819" s="137"/>
      <c r="T1819" s="137"/>
      <c r="U1819" s="137"/>
      <c r="V1819" s="137"/>
      <c r="W1819" s="137"/>
      <c r="X1819" s="137"/>
      <c r="Y1819" s="137"/>
      <c r="Z1819" s="137"/>
      <c r="AA1819" s="137"/>
    </row>
    <row r="1820" spans="5:27" x14ac:dyDescent="0.35">
      <c r="E1820" s="137"/>
      <c r="F1820" s="137"/>
      <c r="G1820" s="190"/>
      <c r="H1820" s="137"/>
      <c r="I1820" s="137"/>
      <c r="J1820" s="137"/>
      <c r="M1820" s="143"/>
      <c r="N1820" s="143"/>
      <c r="O1820" s="143"/>
      <c r="P1820" s="143"/>
      <c r="Q1820" s="137"/>
      <c r="R1820" s="137"/>
      <c r="S1820" s="137"/>
      <c r="T1820" s="137"/>
      <c r="U1820" s="137"/>
      <c r="V1820" s="137"/>
      <c r="W1820" s="137"/>
      <c r="X1820" s="137"/>
      <c r="Y1820" s="137"/>
      <c r="Z1820" s="137"/>
      <c r="AA1820" s="137"/>
    </row>
    <row r="1821" spans="5:27" x14ac:dyDescent="0.35">
      <c r="E1821" s="137"/>
      <c r="F1821" s="137"/>
      <c r="G1821" s="190"/>
      <c r="H1821" s="137"/>
      <c r="I1821" s="137"/>
      <c r="J1821" s="137"/>
      <c r="M1821" s="143"/>
      <c r="N1821" s="143"/>
      <c r="O1821" s="143"/>
      <c r="P1821" s="143"/>
      <c r="Q1821" s="137"/>
      <c r="R1821" s="137"/>
      <c r="S1821" s="137"/>
      <c r="T1821" s="137"/>
      <c r="U1821" s="137"/>
      <c r="V1821" s="137"/>
      <c r="W1821" s="137"/>
      <c r="X1821" s="137"/>
      <c r="Y1821" s="137"/>
      <c r="Z1821" s="137"/>
      <c r="AA1821" s="137"/>
    </row>
    <row r="1822" spans="5:27" x14ac:dyDescent="0.35">
      <c r="E1822" s="137"/>
      <c r="F1822" s="137"/>
      <c r="G1822" s="190"/>
      <c r="H1822" s="137"/>
      <c r="I1822" s="137"/>
      <c r="J1822" s="137"/>
      <c r="M1822" s="143"/>
      <c r="N1822" s="143"/>
      <c r="O1822" s="143"/>
      <c r="P1822" s="143"/>
      <c r="Q1822" s="137"/>
      <c r="R1822" s="137"/>
      <c r="S1822" s="137"/>
      <c r="T1822" s="137"/>
      <c r="U1822" s="137"/>
      <c r="V1822" s="137"/>
      <c r="W1822" s="137"/>
      <c r="X1822" s="137"/>
      <c r="Y1822" s="137"/>
      <c r="Z1822" s="137"/>
      <c r="AA1822" s="137"/>
    </row>
    <row r="1823" spans="5:27" x14ac:dyDescent="0.35">
      <c r="E1823" s="137"/>
      <c r="F1823" s="137"/>
      <c r="G1823" s="190"/>
      <c r="H1823" s="137"/>
      <c r="I1823" s="137"/>
      <c r="J1823" s="137"/>
      <c r="M1823" s="143"/>
      <c r="N1823" s="143"/>
      <c r="O1823" s="143"/>
      <c r="P1823" s="143"/>
      <c r="Q1823" s="137"/>
      <c r="R1823" s="137"/>
      <c r="S1823" s="137"/>
      <c r="T1823" s="137"/>
      <c r="U1823" s="137"/>
      <c r="V1823" s="137"/>
      <c r="W1823" s="137"/>
      <c r="X1823" s="137"/>
      <c r="Y1823" s="137"/>
      <c r="Z1823" s="137"/>
      <c r="AA1823" s="137"/>
    </row>
    <row r="1824" spans="5:27" x14ac:dyDescent="0.35">
      <c r="E1824" s="137"/>
      <c r="F1824" s="137"/>
      <c r="G1824" s="190"/>
      <c r="H1824" s="137"/>
      <c r="I1824" s="137"/>
      <c r="J1824" s="137"/>
      <c r="M1824" s="143"/>
      <c r="N1824" s="143"/>
      <c r="O1824" s="143"/>
      <c r="P1824" s="143"/>
      <c r="Q1824" s="137"/>
      <c r="R1824" s="137"/>
      <c r="S1824" s="137"/>
      <c r="T1824" s="137"/>
      <c r="U1824" s="137"/>
      <c r="V1824" s="137"/>
      <c r="W1824" s="137"/>
      <c r="X1824" s="137"/>
      <c r="Y1824" s="137"/>
      <c r="Z1824" s="137"/>
      <c r="AA1824" s="137"/>
    </row>
    <row r="1825" spans="5:27" x14ac:dyDescent="0.35">
      <c r="E1825" s="137"/>
      <c r="F1825" s="137"/>
      <c r="G1825" s="190"/>
      <c r="H1825" s="137"/>
      <c r="I1825" s="137"/>
      <c r="J1825" s="137"/>
      <c r="M1825" s="143"/>
      <c r="N1825" s="143"/>
      <c r="O1825" s="143"/>
      <c r="P1825" s="143"/>
      <c r="Q1825" s="137"/>
      <c r="R1825" s="137"/>
      <c r="S1825" s="137"/>
      <c r="T1825" s="137"/>
      <c r="U1825" s="137"/>
      <c r="V1825" s="137"/>
      <c r="W1825" s="137"/>
      <c r="X1825" s="137"/>
      <c r="Y1825" s="137"/>
      <c r="Z1825" s="137"/>
      <c r="AA1825" s="137"/>
    </row>
    <row r="1826" spans="5:27" x14ac:dyDescent="0.35">
      <c r="E1826" s="137"/>
      <c r="F1826" s="137"/>
      <c r="G1826" s="190"/>
      <c r="H1826" s="137"/>
      <c r="I1826" s="137"/>
      <c r="J1826" s="137"/>
      <c r="M1826" s="143"/>
      <c r="N1826" s="143"/>
      <c r="O1826" s="143"/>
      <c r="P1826" s="143"/>
      <c r="Q1826" s="137"/>
      <c r="R1826" s="137"/>
      <c r="S1826" s="137"/>
      <c r="T1826" s="137"/>
      <c r="U1826" s="137"/>
      <c r="V1826" s="137"/>
      <c r="W1826" s="137"/>
      <c r="X1826" s="137"/>
      <c r="Y1826" s="137"/>
      <c r="Z1826" s="137"/>
      <c r="AA1826" s="137"/>
    </row>
    <row r="1827" spans="5:27" x14ac:dyDescent="0.35">
      <c r="E1827" s="137"/>
      <c r="F1827" s="137"/>
      <c r="G1827" s="190"/>
      <c r="H1827" s="137"/>
      <c r="I1827" s="137"/>
      <c r="J1827" s="137"/>
      <c r="M1827" s="143"/>
      <c r="N1827" s="143"/>
      <c r="O1827" s="143"/>
      <c r="P1827" s="143"/>
      <c r="Q1827" s="137"/>
      <c r="R1827" s="137"/>
      <c r="S1827" s="137"/>
      <c r="T1827" s="137"/>
      <c r="U1827" s="137"/>
      <c r="V1827" s="137"/>
      <c r="W1827" s="137"/>
      <c r="X1827" s="137"/>
      <c r="Y1827" s="137"/>
      <c r="Z1827" s="137"/>
      <c r="AA1827" s="137"/>
    </row>
    <row r="1828" spans="5:27" x14ac:dyDescent="0.35">
      <c r="E1828" s="137"/>
      <c r="F1828" s="137"/>
      <c r="G1828" s="190"/>
      <c r="H1828" s="137"/>
      <c r="I1828" s="137"/>
      <c r="J1828" s="137"/>
      <c r="M1828" s="143"/>
      <c r="N1828" s="143"/>
      <c r="O1828" s="143"/>
      <c r="P1828" s="143"/>
      <c r="Q1828" s="137"/>
      <c r="R1828" s="137"/>
      <c r="S1828" s="137"/>
      <c r="T1828" s="137"/>
      <c r="U1828" s="137"/>
      <c r="V1828" s="137"/>
      <c r="W1828" s="137"/>
      <c r="X1828" s="137"/>
      <c r="Y1828" s="137"/>
      <c r="Z1828" s="137"/>
      <c r="AA1828" s="137"/>
    </row>
    <row r="1829" spans="5:27" x14ac:dyDescent="0.35">
      <c r="E1829" s="137"/>
      <c r="F1829" s="137"/>
      <c r="G1829" s="190"/>
      <c r="H1829" s="137"/>
      <c r="I1829" s="137"/>
      <c r="J1829" s="137"/>
      <c r="M1829" s="143"/>
      <c r="N1829" s="143"/>
      <c r="O1829" s="143"/>
      <c r="P1829" s="143"/>
      <c r="Q1829" s="137"/>
      <c r="R1829" s="137"/>
      <c r="S1829" s="137"/>
      <c r="T1829" s="137"/>
      <c r="U1829" s="137"/>
      <c r="V1829" s="137"/>
      <c r="W1829" s="137"/>
      <c r="X1829" s="137"/>
      <c r="Y1829" s="137"/>
      <c r="Z1829" s="137"/>
      <c r="AA1829" s="137"/>
    </row>
    <row r="1830" spans="5:27" x14ac:dyDescent="0.35">
      <c r="E1830" s="137"/>
      <c r="F1830" s="137"/>
      <c r="G1830" s="190"/>
      <c r="H1830" s="137"/>
      <c r="I1830" s="137"/>
      <c r="J1830" s="137"/>
      <c r="M1830" s="143"/>
      <c r="N1830" s="143"/>
      <c r="O1830" s="143"/>
      <c r="P1830" s="143"/>
      <c r="Q1830" s="137"/>
      <c r="R1830" s="137"/>
      <c r="S1830" s="137"/>
      <c r="T1830" s="137"/>
      <c r="U1830" s="137"/>
      <c r="V1830" s="137"/>
      <c r="W1830" s="137"/>
      <c r="X1830" s="137"/>
      <c r="Y1830" s="137"/>
      <c r="Z1830" s="137"/>
      <c r="AA1830" s="137"/>
    </row>
    <row r="1831" spans="5:27" x14ac:dyDescent="0.35">
      <c r="E1831" s="137"/>
      <c r="F1831" s="137"/>
      <c r="G1831" s="190"/>
      <c r="H1831" s="137"/>
      <c r="I1831" s="137"/>
      <c r="J1831" s="137"/>
      <c r="M1831" s="143"/>
      <c r="N1831" s="143"/>
      <c r="O1831" s="143"/>
      <c r="P1831" s="143"/>
      <c r="Q1831" s="137"/>
      <c r="R1831" s="137"/>
      <c r="S1831" s="137"/>
      <c r="T1831" s="137"/>
      <c r="U1831" s="137"/>
      <c r="V1831" s="137"/>
      <c r="W1831" s="137"/>
      <c r="X1831" s="137"/>
      <c r="Y1831" s="137"/>
      <c r="Z1831" s="137"/>
      <c r="AA1831" s="137"/>
    </row>
    <row r="1832" spans="5:27" x14ac:dyDescent="0.35">
      <c r="E1832" s="137"/>
      <c r="F1832" s="137"/>
      <c r="G1832" s="190"/>
      <c r="H1832" s="137"/>
      <c r="I1832" s="137"/>
      <c r="J1832" s="137"/>
      <c r="M1832" s="143"/>
      <c r="N1832" s="143"/>
      <c r="O1832" s="143"/>
      <c r="P1832" s="143"/>
      <c r="Q1832" s="137"/>
      <c r="R1832" s="137"/>
      <c r="S1832" s="137"/>
      <c r="T1832" s="137"/>
      <c r="U1832" s="137"/>
      <c r="V1832" s="137"/>
      <c r="W1832" s="137"/>
      <c r="X1832" s="137"/>
      <c r="Y1832" s="137"/>
      <c r="Z1832" s="137"/>
      <c r="AA1832" s="137"/>
    </row>
    <row r="1833" spans="5:27" x14ac:dyDescent="0.35">
      <c r="E1833" s="137"/>
      <c r="F1833" s="137"/>
      <c r="G1833" s="190"/>
      <c r="H1833" s="137"/>
      <c r="I1833" s="137"/>
      <c r="J1833" s="137"/>
      <c r="M1833" s="143"/>
      <c r="N1833" s="143"/>
      <c r="O1833" s="143"/>
      <c r="P1833" s="143"/>
      <c r="Q1833" s="137"/>
      <c r="R1833" s="137"/>
      <c r="S1833" s="137"/>
      <c r="T1833" s="137"/>
      <c r="U1833" s="137"/>
      <c r="V1833" s="137"/>
      <c r="W1833" s="137"/>
      <c r="X1833" s="137"/>
      <c r="Y1833" s="137"/>
      <c r="Z1833" s="137"/>
      <c r="AA1833" s="137"/>
    </row>
    <row r="1834" spans="5:27" x14ac:dyDescent="0.35">
      <c r="E1834" s="137"/>
      <c r="F1834" s="137"/>
      <c r="G1834" s="190"/>
      <c r="H1834" s="137"/>
      <c r="I1834" s="137"/>
      <c r="J1834" s="137"/>
      <c r="M1834" s="143"/>
      <c r="N1834" s="143"/>
      <c r="O1834" s="143"/>
      <c r="P1834" s="143"/>
      <c r="Q1834" s="137"/>
      <c r="R1834" s="137"/>
      <c r="S1834" s="137"/>
      <c r="T1834" s="137"/>
      <c r="U1834" s="137"/>
      <c r="V1834" s="137"/>
      <c r="W1834" s="137"/>
      <c r="X1834" s="137"/>
      <c r="Y1834" s="137"/>
      <c r="Z1834" s="137"/>
      <c r="AA1834" s="137"/>
    </row>
    <row r="1835" spans="5:27" x14ac:dyDescent="0.35">
      <c r="E1835" s="137"/>
      <c r="F1835" s="137"/>
      <c r="G1835" s="190"/>
      <c r="H1835" s="137"/>
      <c r="I1835" s="137"/>
      <c r="J1835" s="137"/>
      <c r="M1835" s="143"/>
      <c r="N1835" s="143"/>
      <c r="O1835" s="143"/>
      <c r="P1835" s="143"/>
      <c r="Q1835" s="137"/>
      <c r="R1835" s="137"/>
      <c r="S1835" s="137"/>
      <c r="T1835" s="137"/>
      <c r="U1835" s="137"/>
      <c r="V1835" s="137"/>
      <c r="W1835" s="137"/>
      <c r="X1835" s="137"/>
      <c r="Y1835" s="137"/>
      <c r="Z1835" s="137"/>
      <c r="AA1835" s="137"/>
    </row>
    <row r="1836" spans="5:27" x14ac:dyDescent="0.35">
      <c r="E1836" s="137"/>
      <c r="F1836" s="137"/>
      <c r="G1836" s="190"/>
      <c r="H1836" s="137"/>
      <c r="I1836" s="137"/>
      <c r="J1836" s="137"/>
      <c r="M1836" s="143"/>
      <c r="N1836" s="143"/>
      <c r="O1836" s="143"/>
      <c r="P1836" s="143"/>
      <c r="Q1836" s="137"/>
      <c r="R1836" s="137"/>
      <c r="S1836" s="137"/>
      <c r="T1836" s="137"/>
      <c r="U1836" s="137"/>
      <c r="V1836" s="137"/>
      <c r="W1836" s="137"/>
      <c r="X1836" s="137"/>
      <c r="Y1836" s="137"/>
      <c r="Z1836" s="137"/>
      <c r="AA1836" s="137"/>
    </row>
    <row r="1837" spans="5:27" x14ac:dyDescent="0.35">
      <c r="E1837" s="137"/>
      <c r="F1837" s="137"/>
      <c r="G1837" s="190"/>
      <c r="H1837" s="137"/>
      <c r="I1837" s="137"/>
      <c r="J1837" s="137"/>
      <c r="M1837" s="143"/>
      <c r="N1837" s="143"/>
      <c r="O1837" s="143"/>
      <c r="P1837" s="143"/>
      <c r="Q1837" s="137"/>
      <c r="R1837" s="137"/>
      <c r="S1837" s="137"/>
      <c r="T1837" s="137"/>
      <c r="U1837" s="137"/>
      <c r="V1837" s="137"/>
      <c r="W1837" s="137"/>
      <c r="X1837" s="137"/>
      <c r="Y1837" s="137"/>
      <c r="Z1837" s="137"/>
      <c r="AA1837" s="137"/>
    </row>
    <row r="1838" spans="5:27" x14ac:dyDescent="0.35">
      <c r="E1838" s="137"/>
      <c r="F1838" s="137"/>
      <c r="G1838" s="190"/>
      <c r="H1838" s="137"/>
      <c r="I1838" s="137"/>
      <c r="J1838" s="137"/>
      <c r="M1838" s="143"/>
      <c r="N1838" s="143"/>
      <c r="O1838" s="143"/>
      <c r="P1838" s="143"/>
      <c r="Q1838" s="137"/>
      <c r="R1838" s="137"/>
      <c r="S1838" s="137"/>
      <c r="T1838" s="137"/>
      <c r="U1838" s="137"/>
      <c r="V1838" s="137"/>
      <c r="W1838" s="137"/>
      <c r="X1838" s="137"/>
      <c r="Y1838" s="137"/>
      <c r="Z1838" s="137"/>
      <c r="AA1838" s="137"/>
    </row>
    <row r="1839" spans="5:27" x14ac:dyDescent="0.35">
      <c r="E1839" s="137"/>
      <c r="F1839" s="137"/>
      <c r="G1839" s="190"/>
      <c r="H1839" s="137"/>
      <c r="I1839" s="137"/>
      <c r="J1839" s="137"/>
      <c r="M1839" s="143"/>
      <c r="N1839" s="143"/>
      <c r="O1839" s="143"/>
      <c r="P1839" s="143"/>
      <c r="Q1839" s="137"/>
      <c r="R1839" s="137"/>
      <c r="S1839" s="137"/>
      <c r="T1839" s="137"/>
      <c r="U1839" s="137"/>
      <c r="V1839" s="137"/>
      <c r="W1839" s="137"/>
      <c r="X1839" s="137"/>
      <c r="Y1839" s="137"/>
      <c r="Z1839" s="137"/>
      <c r="AA1839" s="137"/>
    </row>
    <row r="1840" spans="5:27" x14ac:dyDescent="0.35">
      <c r="E1840" s="137"/>
      <c r="F1840" s="137"/>
      <c r="G1840" s="190"/>
      <c r="H1840" s="137"/>
      <c r="I1840" s="137"/>
      <c r="J1840" s="137"/>
      <c r="M1840" s="143"/>
      <c r="N1840" s="143"/>
      <c r="O1840" s="143"/>
      <c r="P1840" s="143"/>
      <c r="Q1840" s="137"/>
      <c r="R1840" s="137"/>
      <c r="S1840" s="137"/>
      <c r="T1840" s="137"/>
      <c r="U1840" s="137"/>
      <c r="V1840" s="137"/>
      <c r="W1840" s="137"/>
      <c r="X1840" s="137"/>
      <c r="Y1840" s="137"/>
      <c r="Z1840" s="137"/>
      <c r="AA1840" s="137"/>
    </row>
    <row r="1841" spans="5:27" x14ac:dyDescent="0.35">
      <c r="E1841" s="137"/>
      <c r="F1841" s="137"/>
      <c r="G1841" s="190"/>
      <c r="H1841" s="137"/>
      <c r="I1841" s="137"/>
      <c r="J1841" s="137"/>
      <c r="M1841" s="143"/>
      <c r="N1841" s="143"/>
      <c r="O1841" s="143"/>
      <c r="P1841" s="143"/>
      <c r="Q1841" s="137"/>
      <c r="R1841" s="137"/>
      <c r="S1841" s="137"/>
      <c r="T1841" s="137"/>
      <c r="U1841" s="137"/>
      <c r="V1841" s="137"/>
      <c r="W1841" s="137"/>
      <c r="X1841" s="137"/>
      <c r="Y1841" s="137"/>
      <c r="Z1841" s="137"/>
      <c r="AA1841" s="137"/>
    </row>
    <row r="1842" spans="5:27" x14ac:dyDescent="0.35">
      <c r="E1842" s="137"/>
      <c r="F1842" s="137"/>
      <c r="G1842" s="190"/>
      <c r="H1842" s="137"/>
      <c r="I1842" s="137"/>
      <c r="J1842" s="137"/>
      <c r="M1842" s="143"/>
      <c r="N1842" s="143"/>
      <c r="O1842" s="143"/>
      <c r="P1842" s="143"/>
      <c r="Q1842" s="137"/>
      <c r="R1842" s="137"/>
      <c r="S1842" s="137"/>
      <c r="T1842" s="137"/>
      <c r="U1842" s="137"/>
      <c r="V1842" s="137"/>
      <c r="W1842" s="137"/>
      <c r="X1842" s="137"/>
      <c r="Y1842" s="137"/>
      <c r="Z1842" s="137"/>
      <c r="AA1842" s="137"/>
    </row>
    <row r="1843" spans="5:27" x14ac:dyDescent="0.35">
      <c r="E1843" s="137"/>
      <c r="F1843" s="137"/>
      <c r="G1843" s="190"/>
      <c r="H1843" s="137"/>
      <c r="I1843" s="137"/>
      <c r="J1843" s="137"/>
      <c r="M1843" s="143"/>
      <c r="N1843" s="143"/>
      <c r="O1843" s="143"/>
      <c r="P1843" s="143"/>
      <c r="Q1843" s="137"/>
      <c r="R1843" s="137"/>
      <c r="S1843" s="137"/>
      <c r="T1843" s="137"/>
      <c r="U1843" s="137"/>
      <c r="V1843" s="137"/>
      <c r="W1843" s="137"/>
      <c r="X1843" s="137"/>
      <c r="Y1843" s="137"/>
      <c r="Z1843" s="137"/>
      <c r="AA1843" s="137"/>
    </row>
    <row r="1844" spans="5:27" x14ac:dyDescent="0.35">
      <c r="E1844" s="137"/>
      <c r="F1844" s="137"/>
      <c r="G1844" s="190"/>
      <c r="H1844" s="137"/>
      <c r="I1844" s="137"/>
      <c r="J1844" s="137"/>
      <c r="M1844" s="143"/>
      <c r="N1844" s="143"/>
      <c r="O1844" s="143"/>
      <c r="P1844" s="143"/>
      <c r="Q1844" s="137"/>
      <c r="R1844" s="137"/>
      <c r="S1844" s="137"/>
      <c r="T1844" s="137"/>
      <c r="U1844" s="137"/>
      <c r="V1844" s="137"/>
      <c r="W1844" s="137"/>
      <c r="X1844" s="137"/>
      <c r="Y1844" s="137"/>
      <c r="Z1844" s="137"/>
      <c r="AA1844" s="137"/>
    </row>
    <row r="1845" spans="5:27" x14ac:dyDescent="0.35">
      <c r="E1845" s="137"/>
      <c r="F1845" s="137"/>
      <c r="G1845" s="190"/>
      <c r="H1845" s="137"/>
      <c r="I1845" s="137"/>
      <c r="J1845" s="137"/>
      <c r="M1845" s="143"/>
      <c r="N1845" s="143"/>
      <c r="O1845" s="143"/>
      <c r="P1845" s="143"/>
      <c r="Q1845" s="137"/>
      <c r="R1845" s="137"/>
      <c r="S1845" s="137"/>
      <c r="T1845" s="137"/>
      <c r="U1845" s="137"/>
      <c r="V1845" s="137"/>
      <c r="W1845" s="137"/>
      <c r="X1845" s="137"/>
      <c r="Y1845" s="137"/>
      <c r="Z1845" s="137"/>
      <c r="AA1845" s="137"/>
    </row>
    <row r="1846" spans="5:27" x14ac:dyDescent="0.35">
      <c r="E1846" s="137"/>
      <c r="F1846" s="137"/>
      <c r="G1846" s="190"/>
      <c r="H1846" s="137"/>
      <c r="I1846" s="137"/>
      <c r="J1846" s="137"/>
      <c r="M1846" s="143"/>
      <c r="N1846" s="143"/>
      <c r="O1846" s="143"/>
      <c r="P1846" s="143"/>
      <c r="Q1846" s="137"/>
      <c r="R1846" s="137"/>
      <c r="S1846" s="137"/>
      <c r="T1846" s="137"/>
      <c r="U1846" s="137"/>
      <c r="V1846" s="137"/>
      <c r="W1846" s="137"/>
      <c r="X1846" s="137"/>
      <c r="Y1846" s="137"/>
      <c r="Z1846" s="137"/>
      <c r="AA1846" s="137"/>
    </row>
    <row r="1847" spans="5:27" x14ac:dyDescent="0.35">
      <c r="E1847" s="137"/>
      <c r="F1847" s="137"/>
      <c r="G1847" s="190"/>
      <c r="H1847" s="137"/>
      <c r="I1847" s="137"/>
      <c r="J1847" s="137"/>
      <c r="M1847" s="143"/>
      <c r="N1847" s="143"/>
      <c r="O1847" s="143"/>
      <c r="P1847" s="143"/>
      <c r="Q1847" s="137"/>
      <c r="R1847" s="137"/>
      <c r="S1847" s="137"/>
      <c r="T1847" s="137"/>
      <c r="U1847" s="137"/>
      <c r="V1847" s="137"/>
      <c r="W1847" s="137"/>
      <c r="X1847" s="137"/>
      <c r="Y1847" s="137"/>
      <c r="Z1847" s="137"/>
      <c r="AA1847" s="137"/>
    </row>
    <row r="1848" spans="5:27" x14ac:dyDescent="0.35">
      <c r="E1848" s="137"/>
      <c r="F1848" s="137"/>
      <c r="G1848" s="190"/>
      <c r="H1848" s="137"/>
      <c r="I1848" s="137"/>
      <c r="J1848" s="137"/>
      <c r="M1848" s="143"/>
      <c r="N1848" s="143"/>
      <c r="O1848" s="143"/>
      <c r="P1848" s="143"/>
      <c r="Q1848" s="137"/>
      <c r="R1848" s="137"/>
      <c r="S1848" s="137"/>
      <c r="T1848" s="137"/>
      <c r="U1848" s="137"/>
      <c r="V1848" s="137"/>
      <c r="W1848" s="137"/>
      <c r="X1848" s="137"/>
      <c r="Y1848" s="137"/>
      <c r="Z1848" s="137"/>
      <c r="AA1848" s="137"/>
    </row>
    <row r="1849" spans="5:27" x14ac:dyDescent="0.35">
      <c r="E1849" s="137"/>
      <c r="F1849" s="137"/>
      <c r="G1849" s="190"/>
      <c r="H1849" s="137"/>
      <c r="I1849" s="137"/>
      <c r="J1849" s="137"/>
      <c r="M1849" s="143"/>
      <c r="N1849" s="143"/>
      <c r="O1849" s="143"/>
      <c r="P1849" s="143"/>
      <c r="Q1849" s="137"/>
      <c r="R1849" s="137"/>
      <c r="S1849" s="137"/>
      <c r="T1849" s="137"/>
      <c r="U1849" s="137"/>
      <c r="V1849" s="137"/>
      <c r="W1849" s="137"/>
      <c r="X1849" s="137"/>
      <c r="Y1849" s="137"/>
      <c r="Z1849" s="137"/>
      <c r="AA1849" s="137"/>
    </row>
    <row r="1850" spans="5:27" x14ac:dyDescent="0.35">
      <c r="E1850" s="137"/>
      <c r="F1850" s="137"/>
      <c r="G1850" s="190"/>
      <c r="H1850" s="137"/>
      <c r="I1850" s="137"/>
      <c r="J1850" s="137"/>
      <c r="M1850" s="143"/>
      <c r="N1850" s="143"/>
      <c r="O1850" s="143"/>
      <c r="P1850" s="143"/>
      <c r="Q1850" s="137"/>
      <c r="R1850" s="137"/>
      <c r="S1850" s="137"/>
      <c r="T1850" s="137"/>
      <c r="U1850" s="137"/>
      <c r="V1850" s="137"/>
      <c r="W1850" s="137"/>
      <c r="X1850" s="137"/>
      <c r="Y1850" s="137"/>
      <c r="Z1850" s="137"/>
      <c r="AA1850" s="137"/>
    </row>
    <row r="1851" spans="5:27" x14ac:dyDescent="0.35">
      <c r="E1851" s="137"/>
      <c r="F1851" s="137"/>
      <c r="G1851" s="190"/>
      <c r="H1851" s="137"/>
      <c r="I1851" s="137"/>
      <c r="J1851" s="137"/>
      <c r="M1851" s="143"/>
      <c r="N1851" s="143"/>
      <c r="O1851" s="143"/>
      <c r="P1851" s="143"/>
      <c r="Q1851" s="137"/>
      <c r="R1851" s="137"/>
      <c r="S1851" s="137"/>
      <c r="T1851" s="137"/>
      <c r="U1851" s="137"/>
      <c r="V1851" s="137"/>
      <c r="W1851" s="137"/>
      <c r="X1851" s="137"/>
      <c r="Y1851" s="137"/>
      <c r="Z1851" s="137"/>
      <c r="AA1851" s="137"/>
    </row>
    <row r="1852" spans="5:27" x14ac:dyDescent="0.35">
      <c r="E1852" s="137"/>
      <c r="F1852" s="137"/>
      <c r="G1852" s="190"/>
      <c r="H1852" s="137"/>
      <c r="I1852" s="137"/>
      <c r="J1852" s="137"/>
      <c r="M1852" s="143"/>
      <c r="N1852" s="143"/>
      <c r="O1852" s="143"/>
      <c r="P1852" s="143"/>
      <c r="Q1852" s="137"/>
      <c r="R1852" s="137"/>
      <c r="S1852" s="137"/>
      <c r="T1852" s="137"/>
      <c r="U1852" s="137"/>
      <c r="V1852" s="137"/>
      <c r="W1852" s="137"/>
      <c r="X1852" s="137"/>
      <c r="Y1852" s="137"/>
      <c r="Z1852" s="137"/>
      <c r="AA1852" s="137"/>
    </row>
    <row r="1853" spans="5:27" x14ac:dyDescent="0.35">
      <c r="E1853" s="137"/>
      <c r="F1853" s="137"/>
      <c r="G1853" s="190"/>
      <c r="H1853" s="137"/>
      <c r="I1853" s="137"/>
      <c r="J1853" s="137"/>
      <c r="M1853" s="143"/>
      <c r="N1853" s="143"/>
      <c r="O1853" s="143"/>
      <c r="P1853" s="143"/>
      <c r="Q1853" s="137"/>
      <c r="R1853" s="137"/>
      <c r="S1853" s="137"/>
      <c r="T1853" s="137"/>
      <c r="U1853" s="137"/>
      <c r="V1853" s="137"/>
      <c r="W1853" s="137"/>
      <c r="X1853" s="137"/>
      <c r="Y1853" s="137"/>
      <c r="Z1853" s="137"/>
      <c r="AA1853" s="137"/>
    </row>
    <row r="1854" spans="5:27" x14ac:dyDescent="0.35">
      <c r="E1854" s="137"/>
      <c r="F1854" s="137"/>
      <c r="G1854" s="190"/>
      <c r="H1854" s="137"/>
      <c r="I1854" s="137"/>
      <c r="J1854" s="137"/>
      <c r="M1854" s="143"/>
      <c r="N1854" s="143"/>
      <c r="O1854" s="143"/>
      <c r="P1854" s="143"/>
      <c r="Q1854" s="137"/>
      <c r="R1854" s="137"/>
      <c r="S1854" s="137"/>
      <c r="T1854" s="137"/>
      <c r="U1854" s="137"/>
      <c r="V1854" s="137"/>
      <c r="W1854" s="137"/>
      <c r="X1854" s="137"/>
      <c r="Y1854" s="137"/>
      <c r="Z1854" s="137"/>
      <c r="AA1854" s="137"/>
    </row>
    <row r="1855" spans="5:27" x14ac:dyDescent="0.35">
      <c r="E1855" s="137"/>
      <c r="F1855" s="137"/>
      <c r="G1855" s="190"/>
      <c r="H1855" s="137"/>
      <c r="I1855" s="137"/>
      <c r="J1855" s="137"/>
      <c r="M1855" s="143"/>
      <c r="N1855" s="143"/>
      <c r="O1855" s="143"/>
      <c r="P1855" s="143"/>
      <c r="Q1855" s="137"/>
      <c r="R1855" s="137"/>
      <c r="S1855" s="137"/>
      <c r="T1855" s="137"/>
      <c r="U1855" s="137"/>
      <c r="V1855" s="137"/>
      <c r="W1855" s="137"/>
      <c r="X1855" s="137"/>
      <c r="Y1855" s="137"/>
      <c r="Z1855" s="137"/>
      <c r="AA1855" s="137"/>
    </row>
    <row r="1856" spans="5:27" x14ac:dyDescent="0.35">
      <c r="E1856" s="137"/>
      <c r="F1856" s="137"/>
      <c r="G1856" s="190"/>
      <c r="H1856" s="137"/>
      <c r="I1856" s="137"/>
      <c r="J1856" s="137"/>
      <c r="M1856" s="143"/>
      <c r="N1856" s="143"/>
      <c r="O1856" s="143"/>
      <c r="P1856" s="143"/>
      <c r="Q1856" s="137"/>
      <c r="R1856" s="137"/>
      <c r="S1856" s="137"/>
      <c r="T1856" s="137"/>
      <c r="U1856" s="137"/>
      <c r="V1856" s="137"/>
      <c r="W1856" s="137"/>
      <c r="X1856" s="137"/>
      <c r="Y1856" s="137"/>
      <c r="Z1856" s="137"/>
      <c r="AA1856" s="137"/>
    </row>
    <row r="1857" spans="5:27" x14ac:dyDescent="0.35">
      <c r="E1857" s="137"/>
      <c r="F1857" s="137"/>
      <c r="G1857" s="190"/>
      <c r="H1857" s="137"/>
      <c r="I1857" s="137"/>
      <c r="J1857" s="137"/>
      <c r="M1857" s="143"/>
      <c r="N1857" s="143"/>
      <c r="O1857" s="143"/>
      <c r="P1857" s="143"/>
      <c r="Q1857" s="137"/>
      <c r="R1857" s="137"/>
      <c r="S1857" s="137"/>
      <c r="T1857" s="137"/>
      <c r="U1857" s="137"/>
      <c r="V1857" s="137"/>
      <c r="W1857" s="137"/>
      <c r="X1857" s="137"/>
      <c r="Y1857" s="137"/>
      <c r="Z1857" s="137"/>
      <c r="AA1857" s="137"/>
    </row>
    <row r="1858" spans="5:27" x14ac:dyDescent="0.35">
      <c r="E1858" s="137"/>
      <c r="F1858" s="137"/>
      <c r="G1858" s="190"/>
      <c r="H1858" s="137"/>
      <c r="I1858" s="137"/>
      <c r="J1858" s="137"/>
      <c r="M1858" s="143"/>
      <c r="N1858" s="143"/>
      <c r="O1858" s="143"/>
      <c r="P1858" s="143"/>
      <c r="Q1858" s="137"/>
      <c r="R1858" s="137"/>
      <c r="S1858" s="137"/>
      <c r="T1858" s="137"/>
      <c r="U1858" s="137"/>
      <c r="V1858" s="137"/>
      <c r="W1858" s="137"/>
      <c r="X1858" s="137"/>
      <c r="Y1858" s="137"/>
      <c r="Z1858" s="137"/>
      <c r="AA1858" s="137"/>
    </row>
    <row r="1859" spans="5:27" x14ac:dyDescent="0.35">
      <c r="E1859" s="137"/>
      <c r="F1859" s="137"/>
      <c r="G1859" s="190"/>
      <c r="H1859" s="137"/>
      <c r="I1859" s="137"/>
      <c r="J1859" s="137"/>
      <c r="M1859" s="143"/>
      <c r="N1859" s="143"/>
      <c r="O1859" s="143"/>
      <c r="P1859" s="143"/>
      <c r="Q1859" s="137"/>
      <c r="R1859" s="137"/>
      <c r="S1859" s="137"/>
      <c r="T1859" s="137"/>
      <c r="U1859" s="137"/>
      <c r="V1859" s="137"/>
      <c r="W1859" s="137"/>
      <c r="X1859" s="137"/>
      <c r="Y1859" s="137"/>
      <c r="Z1859" s="137"/>
      <c r="AA1859" s="137"/>
    </row>
    <row r="1860" spans="5:27" x14ac:dyDescent="0.35">
      <c r="E1860" s="137"/>
      <c r="F1860" s="137"/>
      <c r="G1860" s="190"/>
      <c r="H1860" s="137"/>
      <c r="I1860" s="137"/>
      <c r="J1860" s="137"/>
      <c r="M1860" s="143"/>
      <c r="N1860" s="143"/>
      <c r="O1860" s="143"/>
      <c r="P1860" s="143"/>
      <c r="Q1860" s="137"/>
      <c r="R1860" s="137"/>
      <c r="S1860" s="137"/>
      <c r="T1860" s="137"/>
      <c r="U1860" s="137"/>
      <c r="V1860" s="137"/>
      <c r="W1860" s="137"/>
      <c r="X1860" s="137"/>
      <c r="Y1860" s="137"/>
      <c r="Z1860" s="137"/>
      <c r="AA1860" s="137"/>
    </row>
    <row r="1861" spans="5:27" x14ac:dyDescent="0.35">
      <c r="E1861" s="137"/>
      <c r="F1861" s="137"/>
      <c r="G1861" s="190"/>
      <c r="H1861" s="137"/>
      <c r="I1861" s="137"/>
      <c r="J1861" s="137"/>
      <c r="M1861" s="143"/>
      <c r="N1861" s="143"/>
      <c r="O1861" s="143"/>
      <c r="P1861" s="143"/>
      <c r="Q1861" s="137"/>
      <c r="R1861" s="137"/>
      <c r="S1861" s="137"/>
      <c r="T1861" s="137"/>
      <c r="U1861" s="137"/>
      <c r="V1861" s="137"/>
      <c r="W1861" s="137"/>
      <c r="X1861" s="137"/>
      <c r="Y1861" s="137"/>
      <c r="Z1861" s="137"/>
      <c r="AA1861" s="137"/>
    </row>
    <row r="1862" spans="5:27" x14ac:dyDescent="0.35">
      <c r="E1862" s="137"/>
      <c r="F1862" s="137"/>
      <c r="G1862" s="190"/>
      <c r="H1862" s="137"/>
      <c r="I1862" s="137"/>
      <c r="J1862" s="137"/>
      <c r="M1862" s="143"/>
      <c r="N1862" s="143"/>
      <c r="O1862" s="143"/>
      <c r="P1862" s="143"/>
      <c r="Q1862" s="137"/>
      <c r="R1862" s="137"/>
      <c r="S1862" s="137"/>
      <c r="T1862" s="137"/>
      <c r="U1862" s="137"/>
      <c r="V1862" s="137"/>
      <c r="W1862" s="137"/>
      <c r="X1862" s="137"/>
      <c r="Y1862" s="137"/>
      <c r="Z1862" s="137"/>
      <c r="AA1862" s="137"/>
    </row>
    <row r="1863" spans="5:27" x14ac:dyDescent="0.35">
      <c r="E1863" s="137"/>
      <c r="F1863" s="137"/>
      <c r="G1863" s="190"/>
      <c r="H1863" s="137"/>
      <c r="I1863" s="137"/>
      <c r="J1863" s="137"/>
      <c r="M1863" s="143"/>
      <c r="N1863" s="143"/>
      <c r="O1863" s="143"/>
      <c r="P1863" s="143"/>
      <c r="Q1863" s="137"/>
      <c r="R1863" s="137"/>
      <c r="S1863" s="137"/>
      <c r="T1863" s="137"/>
      <c r="U1863" s="137"/>
      <c r="V1863" s="137"/>
      <c r="W1863" s="137"/>
      <c r="X1863" s="137"/>
      <c r="Y1863" s="137"/>
      <c r="Z1863" s="137"/>
      <c r="AA1863" s="137"/>
    </row>
    <row r="1864" spans="5:27" x14ac:dyDescent="0.35">
      <c r="E1864" s="137"/>
      <c r="F1864" s="137"/>
      <c r="G1864" s="190"/>
      <c r="H1864" s="137"/>
      <c r="I1864" s="137"/>
      <c r="J1864" s="137"/>
      <c r="M1864" s="143"/>
      <c r="N1864" s="143"/>
      <c r="O1864" s="143"/>
      <c r="P1864" s="143"/>
      <c r="Q1864" s="137"/>
      <c r="R1864" s="137"/>
      <c r="S1864" s="137"/>
      <c r="T1864" s="137"/>
      <c r="U1864" s="137"/>
      <c r="V1864" s="137"/>
      <c r="W1864" s="137"/>
      <c r="X1864" s="137"/>
      <c r="Y1864" s="137"/>
      <c r="Z1864" s="137"/>
      <c r="AA1864" s="137"/>
    </row>
    <row r="1865" spans="5:27" x14ac:dyDescent="0.35">
      <c r="E1865" s="137"/>
      <c r="F1865" s="137"/>
      <c r="G1865" s="190"/>
      <c r="H1865" s="137"/>
      <c r="I1865" s="137"/>
      <c r="J1865" s="137"/>
      <c r="M1865" s="143"/>
      <c r="N1865" s="143"/>
      <c r="O1865" s="143"/>
      <c r="P1865" s="143"/>
      <c r="Q1865" s="137"/>
      <c r="R1865" s="137"/>
      <c r="S1865" s="137"/>
      <c r="T1865" s="137"/>
      <c r="U1865" s="137"/>
      <c r="V1865" s="137"/>
      <c r="W1865" s="137"/>
      <c r="X1865" s="137"/>
      <c r="Y1865" s="137"/>
      <c r="Z1865" s="137"/>
      <c r="AA1865" s="137"/>
    </row>
    <row r="1866" spans="5:27" x14ac:dyDescent="0.35">
      <c r="E1866" s="137"/>
      <c r="F1866" s="137"/>
      <c r="G1866" s="190"/>
      <c r="H1866" s="137"/>
      <c r="I1866" s="137"/>
      <c r="J1866" s="137"/>
      <c r="M1866" s="143"/>
      <c r="N1866" s="143"/>
      <c r="O1866" s="143"/>
      <c r="P1866" s="143"/>
      <c r="Q1866" s="137"/>
      <c r="R1866" s="137"/>
      <c r="S1866" s="137"/>
      <c r="T1866" s="137"/>
      <c r="U1866" s="137"/>
      <c r="V1866" s="137"/>
      <c r="W1866" s="137"/>
      <c r="X1866" s="137"/>
      <c r="Y1866" s="137"/>
      <c r="Z1866" s="137"/>
      <c r="AA1866" s="137"/>
    </row>
    <row r="1867" spans="5:27" x14ac:dyDescent="0.35">
      <c r="E1867" s="137"/>
      <c r="F1867" s="137"/>
      <c r="G1867" s="190"/>
      <c r="H1867" s="137"/>
      <c r="I1867" s="137"/>
      <c r="J1867" s="137"/>
      <c r="M1867" s="143"/>
      <c r="N1867" s="143"/>
      <c r="O1867" s="143"/>
      <c r="P1867" s="143"/>
      <c r="Q1867" s="137"/>
      <c r="R1867" s="137"/>
      <c r="S1867" s="137"/>
      <c r="T1867" s="137"/>
      <c r="U1867" s="137"/>
      <c r="V1867" s="137"/>
      <c r="W1867" s="137"/>
      <c r="X1867" s="137"/>
      <c r="Y1867" s="137"/>
      <c r="Z1867" s="137"/>
      <c r="AA1867" s="137"/>
    </row>
    <row r="1868" spans="5:27" x14ac:dyDescent="0.35">
      <c r="E1868" s="137"/>
      <c r="F1868" s="137"/>
      <c r="G1868" s="190"/>
      <c r="H1868" s="137"/>
      <c r="I1868" s="137"/>
      <c r="J1868" s="137"/>
      <c r="M1868" s="143"/>
      <c r="N1868" s="143"/>
      <c r="O1868" s="143"/>
      <c r="P1868" s="143"/>
      <c r="Q1868" s="137"/>
      <c r="R1868" s="137"/>
      <c r="S1868" s="137"/>
      <c r="T1868" s="137"/>
      <c r="U1868" s="137"/>
      <c r="V1868" s="137"/>
      <c r="W1868" s="137"/>
      <c r="X1868" s="137"/>
      <c r="Y1868" s="137"/>
      <c r="Z1868" s="137"/>
      <c r="AA1868" s="137"/>
    </row>
    <row r="1869" spans="5:27" x14ac:dyDescent="0.35">
      <c r="E1869" s="137"/>
      <c r="F1869" s="137"/>
      <c r="G1869" s="190"/>
      <c r="H1869" s="137"/>
      <c r="I1869" s="137"/>
      <c r="J1869" s="137"/>
      <c r="M1869" s="143"/>
      <c r="N1869" s="143"/>
      <c r="O1869" s="143"/>
      <c r="P1869" s="143"/>
      <c r="Q1869" s="137"/>
      <c r="R1869" s="137"/>
      <c r="S1869" s="137"/>
      <c r="T1869" s="137"/>
      <c r="U1869" s="137"/>
      <c r="V1869" s="137"/>
      <c r="W1869" s="137"/>
      <c r="X1869" s="137"/>
      <c r="Y1869" s="137"/>
      <c r="Z1869" s="137"/>
      <c r="AA1869" s="137"/>
    </row>
    <row r="1870" spans="5:27" x14ac:dyDescent="0.35">
      <c r="E1870" s="137"/>
      <c r="F1870" s="137"/>
      <c r="G1870" s="190"/>
      <c r="H1870" s="137"/>
      <c r="I1870" s="137"/>
      <c r="J1870" s="137"/>
      <c r="M1870" s="143"/>
      <c r="N1870" s="143"/>
      <c r="O1870" s="143"/>
      <c r="P1870" s="143"/>
      <c r="Q1870" s="137"/>
      <c r="R1870" s="137"/>
      <c r="S1870" s="137"/>
      <c r="T1870" s="137"/>
      <c r="U1870" s="137"/>
      <c r="V1870" s="137"/>
      <c r="W1870" s="137"/>
      <c r="X1870" s="137"/>
      <c r="Y1870" s="137"/>
      <c r="Z1870" s="137"/>
      <c r="AA1870" s="137"/>
    </row>
    <row r="1871" spans="5:27" x14ac:dyDescent="0.35">
      <c r="E1871" s="137"/>
      <c r="F1871" s="137"/>
      <c r="G1871" s="190"/>
      <c r="H1871" s="137"/>
      <c r="I1871" s="137"/>
      <c r="J1871" s="137"/>
      <c r="M1871" s="143"/>
      <c r="N1871" s="143"/>
      <c r="O1871" s="143"/>
      <c r="P1871" s="143"/>
      <c r="Q1871" s="137"/>
      <c r="R1871" s="137"/>
      <c r="S1871" s="137"/>
      <c r="T1871" s="137"/>
      <c r="U1871" s="137"/>
      <c r="V1871" s="137"/>
      <c r="W1871" s="137"/>
      <c r="X1871" s="137"/>
      <c r="Y1871" s="137"/>
      <c r="Z1871" s="137"/>
      <c r="AA1871" s="137"/>
    </row>
    <row r="1872" spans="5:27" x14ac:dyDescent="0.35">
      <c r="E1872" s="137"/>
      <c r="F1872" s="137"/>
      <c r="G1872" s="190"/>
      <c r="H1872" s="137"/>
      <c r="I1872" s="137"/>
      <c r="J1872" s="137"/>
      <c r="M1872" s="143"/>
      <c r="N1872" s="143"/>
      <c r="O1872" s="143"/>
      <c r="P1872" s="143"/>
      <c r="Q1872" s="137"/>
      <c r="R1872" s="137"/>
      <c r="S1872" s="137"/>
      <c r="T1872" s="137"/>
      <c r="U1872" s="137"/>
      <c r="V1872" s="137"/>
      <c r="W1872" s="137"/>
      <c r="X1872" s="137"/>
      <c r="Y1872" s="137"/>
      <c r="Z1872" s="137"/>
      <c r="AA1872" s="137"/>
    </row>
    <row r="1873" spans="5:27" x14ac:dyDescent="0.35">
      <c r="E1873" s="137"/>
      <c r="F1873" s="137"/>
      <c r="G1873" s="190"/>
      <c r="H1873" s="137"/>
      <c r="I1873" s="137"/>
      <c r="J1873" s="137"/>
      <c r="M1873" s="143"/>
      <c r="N1873" s="143"/>
      <c r="O1873" s="143"/>
      <c r="P1873" s="143"/>
      <c r="Q1873" s="137"/>
      <c r="R1873" s="137"/>
      <c r="S1873" s="137"/>
      <c r="T1873" s="137"/>
      <c r="U1873" s="137"/>
      <c r="V1873" s="137"/>
      <c r="W1873" s="137"/>
      <c r="X1873" s="137"/>
      <c r="Y1873" s="137"/>
      <c r="Z1873" s="137"/>
      <c r="AA1873" s="137"/>
    </row>
    <row r="1874" spans="5:27" x14ac:dyDescent="0.35">
      <c r="E1874" s="137"/>
      <c r="F1874" s="137"/>
      <c r="G1874" s="190"/>
      <c r="H1874" s="137"/>
      <c r="I1874" s="137"/>
      <c r="J1874" s="137"/>
      <c r="M1874" s="143"/>
      <c r="N1874" s="143"/>
      <c r="O1874" s="143"/>
      <c r="P1874" s="143"/>
      <c r="Q1874" s="137"/>
      <c r="R1874" s="137"/>
      <c r="S1874" s="137"/>
      <c r="T1874" s="137"/>
      <c r="U1874" s="137"/>
      <c r="V1874" s="137"/>
      <c r="W1874" s="137"/>
      <c r="X1874" s="137"/>
      <c r="Y1874" s="137"/>
      <c r="Z1874" s="137"/>
      <c r="AA1874" s="137"/>
    </row>
    <row r="1875" spans="5:27" x14ac:dyDescent="0.35">
      <c r="E1875" s="137"/>
      <c r="F1875" s="137"/>
      <c r="G1875" s="190"/>
      <c r="H1875" s="137"/>
      <c r="I1875" s="137"/>
      <c r="J1875" s="137"/>
      <c r="M1875" s="143"/>
      <c r="N1875" s="143"/>
      <c r="O1875" s="143"/>
      <c r="P1875" s="143"/>
      <c r="Q1875" s="137"/>
      <c r="R1875" s="137"/>
      <c r="S1875" s="137"/>
      <c r="T1875" s="137"/>
      <c r="U1875" s="137"/>
      <c r="V1875" s="137"/>
      <c r="W1875" s="137"/>
      <c r="X1875" s="137"/>
      <c r="Y1875" s="137"/>
      <c r="Z1875" s="137"/>
      <c r="AA1875" s="137"/>
    </row>
    <row r="1876" spans="5:27" x14ac:dyDescent="0.35">
      <c r="E1876" s="137"/>
      <c r="F1876" s="137"/>
      <c r="G1876" s="190"/>
      <c r="H1876" s="137"/>
      <c r="I1876" s="137"/>
      <c r="J1876" s="137"/>
      <c r="M1876" s="143"/>
      <c r="N1876" s="143"/>
      <c r="O1876" s="143"/>
      <c r="P1876" s="143"/>
      <c r="Q1876" s="137"/>
      <c r="R1876" s="137"/>
      <c r="S1876" s="137"/>
      <c r="T1876" s="137"/>
      <c r="U1876" s="137"/>
      <c r="V1876" s="137"/>
      <c r="W1876" s="137"/>
      <c r="X1876" s="137"/>
      <c r="Y1876" s="137"/>
      <c r="Z1876" s="137"/>
      <c r="AA1876" s="137"/>
    </row>
    <row r="1877" spans="5:27" x14ac:dyDescent="0.35">
      <c r="E1877" s="137"/>
      <c r="F1877" s="137"/>
      <c r="G1877" s="190"/>
      <c r="H1877" s="137"/>
      <c r="I1877" s="137"/>
      <c r="J1877" s="137"/>
      <c r="M1877" s="143"/>
      <c r="N1877" s="143"/>
      <c r="O1877" s="143"/>
      <c r="P1877" s="143"/>
      <c r="Q1877" s="137"/>
      <c r="R1877" s="137"/>
      <c r="S1877" s="137"/>
      <c r="T1877" s="137"/>
      <c r="U1877" s="137"/>
      <c r="V1877" s="137"/>
      <c r="W1877" s="137"/>
      <c r="X1877" s="137"/>
      <c r="Y1877" s="137"/>
      <c r="Z1877" s="137"/>
      <c r="AA1877" s="137"/>
    </row>
    <row r="1878" spans="5:27" x14ac:dyDescent="0.35">
      <c r="E1878" s="137"/>
      <c r="F1878" s="137"/>
      <c r="G1878" s="190"/>
      <c r="H1878" s="137"/>
      <c r="I1878" s="137"/>
      <c r="J1878" s="137"/>
      <c r="M1878" s="143"/>
      <c r="N1878" s="143"/>
      <c r="O1878" s="143"/>
      <c r="P1878" s="143"/>
      <c r="Q1878" s="137"/>
      <c r="R1878" s="137"/>
      <c r="S1878" s="137"/>
      <c r="T1878" s="137"/>
      <c r="U1878" s="137"/>
      <c r="V1878" s="137"/>
      <c r="W1878" s="137"/>
      <c r="X1878" s="137"/>
      <c r="Y1878" s="137"/>
      <c r="Z1878" s="137"/>
      <c r="AA1878" s="137"/>
    </row>
    <row r="1879" spans="5:27" x14ac:dyDescent="0.35">
      <c r="E1879" s="137"/>
      <c r="F1879" s="137"/>
      <c r="G1879" s="190"/>
      <c r="H1879" s="137"/>
      <c r="I1879" s="137"/>
      <c r="J1879" s="137"/>
      <c r="M1879" s="143"/>
      <c r="N1879" s="143"/>
      <c r="O1879" s="143"/>
      <c r="P1879" s="143"/>
      <c r="Q1879" s="137"/>
      <c r="R1879" s="137"/>
      <c r="S1879" s="137"/>
      <c r="T1879" s="137"/>
      <c r="U1879" s="137"/>
      <c r="V1879" s="137"/>
      <c r="W1879" s="137"/>
      <c r="X1879" s="137"/>
      <c r="Y1879" s="137"/>
      <c r="Z1879" s="137"/>
      <c r="AA1879" s="137"/>
    </row>
    <row r="1880" spans="5:27" x14ac:dyDescent="0.35">
      <c r="E1880" s="137"/>
      <c r="F1880" s="137"/>
      <c r="G1880" s="190"/>
      <c r="H1880" s="137"/>
      <c r="I1880" s="137"/>
      <c r="J1880" s="137"/>
      <c r="M1880" s="143"/>
      <c r="N1880" s="143"/>
      <c r="O1880" s="143"/>
      <c r="P1880" s="143"/>
      <c r="Q1880" s="137"/>
      <c r="R1880" s="137"/>
      <c r="S1880" s="137"/>
      <c r="T1880" s="137"/>
      <c r="U1880" s="137"/>
      <c r="V1880" s="137"/>
      <c r="W1880" s="137"/>
      <c r="X1880" s="137"/>
      <c r="Y1880" s="137"/>
      <c r="Z1880" s="137"/>
      <c r="AA1880" s="137"/>
    </row>
    <row r="1881" spans="5:27" x14ac:dyDescent="0.35">
      <c r="E1881" s="137"/>
      <c r="F1881" s="137"/>
      <c r="G1881" s="190"/>
      <c r="H1881" s="137"/>
      <c r="I1881" s="137"/>
      <c r="J1881" s="137"/>
      <c r="M1881" s="143"/>
      <c r="N1881" s="143"/>
      <c r="O1881" s="143"/>
      <c r="P1881" s="143"/>
      <c r="Q1881" s="137"/>
      <c r="R1881" s="137"/>
      <c r="S1881" s="137"/>
      <c r="T1881" s="137"/>
      <c r="U1881" s="137"/>
      <c r="V1881" s="137"/>
      <c r="W1881" s="137"/>
      <c r="X1881" s="137"/>
      <c r="Y1881" s="137"/>
      <c r="Z1881" s="137"/>
      <c r="AA1881" s="137"/>
    </row>
    <row r="1882" spans="5:27" x14ac:dyDescent="0.35">
      <c r="E1882" s="137"/>
      <c r="F1882" s="137"/>
      <c r="G1882" s="190"/>
      <c r="H1882" s="137"/>
      <c r="I1882" s="137"/>
      <c r="J1882" s="137"/>
      <c r="M1882" s="143"/>
      <c r="N1882" s="143"/>
      <c r="O1882" s="143"/>
      <c r="P1882" s="143"/>
      <c r="Q1882" s="137"/>
      <c r="R1882" s="137"/>
      <c r="S1882" s="137"/>
      <c r="T1882" s="137"/>
      <c r="U1882" s="137"/>
      <c r="V1882" s="137"/>
      <c r="W1882" s="137"/>
      <c r="X1882" s="137"/>
      <c r="Y1882" s="137"/>
      <c r="Z1882" s="137"/>
      <c r="AA1882" s="137"/>
    </row>
    <row r="1883" spans="5:27" x14ac:dyDescent="0.35">
      <c r="E1883" s="137"/>
      <c r="F1883" s="137"/>
      <c r="G1883" s="190"/>
      <c r="H1883" s="137"/>
      <c r="I1883" s="137"/>
      <c r="J1883" s="137"/>
      <c r="M1883" s="143"/>
      <c r="N1883" s="143"/>
      <c r="O1883" s="143"/>
      <c r="P1883" s="143"/>
      <c r="Q1883" s="137"/>
      <c r="R1883" s="137"/>
      <c r="S1883" s="137"/>
      <c r="T1883" s="137"/>
      <c r="U1883" s="137"/>
      <c r="V1883" s="137"/>
      <c r="W1883" s="137"/>
      <c r="X1883" s="137"/>
      <c r="Y1883" s="137"/>
      <c r="Z1883" s="137"/>
      <c r="AA1883" s="137"/>
    </row>
    <row r="1884" spans="5:27" x14ac:dyDescent="0.35">
      <c r="E1884" s="137"/>
      <c r="F1884" s="137"/>
      <c r="G1884" s="190"/>
      <c r="H1884" s="137"/>
      <c r="I1884" s="137"/>
      <c r="J1884" s="137"/>
      <c r="M1884" s="143"/>
      <c r="N1884" s="143"/>
      <c r="O1884" s="143"/>
      <c r="P1884" s="143"/>
      <c r="Q1884" s="137"/>
      <c r="R1884" s="137"/>
      <c r="S1884" s="137"/>
      <c r="T1884" s="137"/>
      <c r="U1884" s="137"/>
      <c r="V1884" s="137"/>
      <c r="W1884" s="137"/>
      <c r="X1884" s="137"/>
      <c r="Y1884" s="137"/>
      <c r="Z1884" s="137"/>
      <c r="AA1884" s="137"/>
    </row>
    <row r="1885" spans="5:27" x14ac:dyDescent="0.35">
      <c r="E1885" s="137"/>
      <c r="F1885" s="137"/>
      <c r="G1885" s="190"/>
      <c r="H1885" s="137"/>
      <c r="I1885" s="137"/>
      <c r="J1885" s="137"/>
      <c r="M1885" s="143"/>
      <c r="N1885" s="143"/>
      <c r="O1885" s="143"/>
      <c r="P1885" s="143"/>
      <c r="Q1885" s="137"/>
      <c r="R1885" s="137"/>
      <c r="S1885" s="137"/>
      <c r="T1885" s="137"/>
      <c r="U1885" s="137"/>
      <c r="V1885" s="137"/>
      <c r="W1885" s="137"/>
      <c r="X1885" s="137"/>
      <c r="Y1885" s="137"/>
      <c r="Z1885" s="137"/>
      <c r="AA1885" s="137"/>
    </row>
    <row r="1886" spans="5:27" x14ac:dyDescent="0.35">
      <c r="E1886" s="137"/>
      <c r="F1886" s="137"/>
      <c r="G1886" s="190"/>
      <c r="H1886" s="137"/>
      <c r="I1886" s="137"/>
      <c r="J1886" s="137"/>
      <c r="M1886" s="143"/>
      <c r="N1886" s="143"/>
      <c r="O1886" s="143"/>
      <c r="P1886" s="143"/>
      <c r="Q1886" s="137"/>
      <c r="R1886" s="137"/>
      <c r="S1886" s="137"/>
      <c r="T1886" s="137"/>
      <c r="U1886" s="137"/>
      <c r="V1886" s="137"/>
      <c r="W1886" s="137"/>
      <c r="X1886" s="137"/>
      <c r="Y1886" s="137"/>
      <c r="Z1886" s="137"/>
      <c r="AA1886" s="137"/>
    </row>
    <row r="1887" spans="5:27" x14ac:dyDescent="0.35">
      <c r="E1887" s="137"/>
      <c r="F1887" s="137"/>
      <c r="G1887" s="190"/>
      <c r="H1887" s="137"/>
      <c r="I1887" s="137"/>
      <c r="J1887" s="137"/>
      <c r="M1887" s="143"/>
      <c r="N1887" s="143"/>
      <c r="O1887" s="143"/>
      <c r="P1887" s="143"/>
      <c r="Q1887" s="137"/>
      <c r="R1887" s="137"/>
      <c r="S1887" s="137"/>
      <c r="T1887" s="137"/>
      <c r="U1887" s="137"/>
      <c r="V1887" s="137"/>
      <c r="W1887" s="137"/>
      <c r="X1887" s="137"/>
      <c r="Y1887" s="137"/>
      <c r="Z1887" s="137"/>
      <c r="AA1887" s="137"/>
    </row>
    <row r="1888" spans="5:27" x14ac:dyDescent="0.35">
      <c r="E1888" s="137"/>
      <c r="F1888" s="137"/>
      <c r="G1888" s="190"/>
      <c r="H1888" s="137"/>
      <c r="I1888" s="137"/>
      <c r="J1888" s="137"/>
      <c r="M1888" s="143"/>
      <c r="N1888" s="143"/>
      <c r="O1888" s="143"/>
      <c r="P1888" s="143"/>
      <c r="Q1888" s="137"/>
      <c r="R1888" s="137"/>
      <c r="S1888" s="137"/>
      <c r="T1888" s="137"/>
      <c r="U1888" s="137"/>
      <c r="V1888" s="137"/>
      <c r="W1888" s="137"/>
      <c r="X1888" s="137"/>
      <c r="Y1888" s="137"/>
      <c r="Z1888" s="137"/>
      <c r="AA1888" s="137"/>
    </row>
    <row r="1889" spans="5:27" x14ac:dyDescent="0.35">
      <c r="E1889" s="137"/>
      <c r="F1889" s="137"/>
      <c r="G1889" s="190"/>
      <c r="H1889" s="137"/>
      <c r="I1889" s="137"/>
      <c r="J1889" s="137"/>
      <c r="M1889" s="143"/>
      <c r="N1889" s="143"/>
      <c r="O1889" s="143"/>
      <c r="P1889" s="143"/>
      <c r="Q1889" s="137"/>
      <c r="R1889" s="137"/>
      <c r="S1889" s="137"/>
      <c r="T1889" s="137"/>
      <c r="U1889" s="137"/>
      <c r="V1889" s="137"/>
      <c r="W1889" s="137"/>
      <c r="X1889" s="137"/>
      <c r="Y1889" s="137"/>
      <c r="Z1889" s="137"/>
      <c r="AA1889" s="137"/>
    </row>
    <row r="1890" spans="5:27" x14ac:dyDescent="0.35">
      <c r="E1890" s="137"/>
      <c r="F1890" s="137"/>
      <c r="G1890" s="190"/>
      <c r="H1890" s="137"/>
      <c r="I1890" s="137"/>
      <c r="J1890" s="137"/>
      <c r="M1890" s="143"/>
      <c r="N1890" s="143"/>
      <c r="O1890" s="143"/>
      <c r="P1890" s="143"/>
      <c r="Q1890" s="137"/>
      <c r="R1890" s="137"/>
      <c r="S1890" s="137"/>
      <c r="T1890" s="137"/>
      <c r="U1890" s="137"/>
      <c r="V1890" s="137"/>
      <c r="W1890" s="137"/>
      <c r="X1890" s="137"/>
      <c r="Y1890" s="137"/>
      <c r="Z1890" s="137"/>
      <c r="AA1890" s="137"/>
    </row>
    <row r="1891" spans="5:27" x14ac:dyDescent="0.35">
      <c r="E1891" s="137"/>
      <c r="F1891" s="137"/>
      <c r="G1891" s="190"/>
      <c r="H1891" s="137"/>
      <c r="I1891" s="137"/>
      <c r="J1891" s="137"/>
      <c r="M1891" s="143"/>
      <c r="N1891" s="143"/>
      <c r="O1891" s="143"/>
      <c r="P1891" s="143"/>
      <c r="Q1891" s="137"/>
      <c r="R1891" s="137"/>
      <c r="S1891" s="137"/>
      <c r="T1891" s="137"/>
      <c r="U1891" s="137"/>
      <c r="V1891" s="137"/>
      <c r="W1891" s="137"/>
      <c r="X1891" s="137"/>
      <c r="Y1891" s="137"/>
      <c r="Z1891" s="137"/>
      <c r="AA1891" s="137"/>
    </row>
    <row r="1892" spans="5:27" x14ac:dyDescent="0.35">
      <c r="E1892" s="137"/>
      <c r="F1892" s="137"/>
      <c r="G1892" s="190"/>
      <c r="H1892" s="137"/>
      <c r="I1892" s="137"/>
      <c r="J1892" s="137"/>
      <c r="M1892" s="143"/>
      <c r="N1892" s="143"/>
      <c r="O1892" s="143"/>
      <c r="P1892" s="143"/>
      <c r="Q1892" s="137"/>
      <c r="R1892" s="137"/>
      <c r="S1892" s="137"/>
      <c r="T1892" s="137"/>
      <c r="U1892" s="137"/>
      <c r="V1892" s="137"/>
      <c r="W1892" s="137"/>
      <c r="X1892" s="137"/>
      <c r="Y1892" s="137"/>
      <c r="Z1892" s="137"/>
      <c r="AA1892" s="137"/>
    </row>
    <row r="1893" spans="5:27" x14ac:dyDescent="0.35">
      <c r="E1893" s="137"/>
      <c r="F1893" s="137"/>
      <c r="G1893" s="190"/>
      <c r="H1893" s="137"/>
      <c r="I1893" s="137"/>
      <c r="J1893" s="137"/>
      <c r="M1893" s="143"/>
      <c r="N1893" s="143"/>
      <c r="O1893" s="143"/>
      <c r="P1893" s="143"/>
      <c r="Q1893" s="137"/>
      <c r="R1893" s="137"/>
      <c r="S1893" s="137"/>
      <c r="T1893" s="137"/>
      <c r="U1893" s="137"/>
      <c r="V1893" s="137"/>
      <c r="W1893" s="137"/>
      <c r="X1893" s="137"/>
      <c r="Y1893" s="137"/>
      <c r="Z1893" s="137"/>
      <c r="AA1893" s="137"/>
    </row>
    <row r="1894" spans="5:27" x14ac:dyDescent="0.35">
      <c r="E1894" s="137"/>
      <c r="F1894" s="137"/>
      <c r="G1894" s="190"/>
      <c r="H1894" s="137"/>
      <c r="I1894" s="137"/>
      <c r="J1894" s="137"/>
      <c r="M1894" s="143"/>
      <c r="N1894" s="143"/>
      <c r="O1894" s="143"/>
      <c r="P1894" s="143"/>
      <c r="Q1894" s="137"/>
      <c r="R1894" s="137"/>
      <c r="S1894" s="137"/>
      <c r="T1894" s="137"/>
      <c r="U1894" s="137"/>
      <c r="V1894" s="137"/>
      <c r="W1894" s="137"/>
      <c r="X1894" s="137"/>
      <c r="Y1894" s="137"/>
      <c r="Z1894" s="137"/>
      <c r="AA1894" s="137"/>
    </row>
    <row r="1895" spans="5:27" x14ac:dyDescent="0.35">
      <c r="E1895" s="137"/>
      <c r="F1895" s="137"/>
      <c r="G1895" s="190"/>
      <c r="H1895" s="137"/>
      <c r="I1895" s="137"/>
      <c r="J1895" s="137"/>
      <c r="M1895" s="143"/>
      <c r="N1895" s="143"/>
      <c r="O1895" s="143"/>
      <c r="P1895" s="143"/>
      <c r="Q1895" s="137"/>
      <c r="R1895" s="137"/>
      <c r="S1895" s="137"/>
      <c r="T1895" s="137"/>
      <c r="U1895" s="137"/>
      <c r="V1895" s="137"/>
      <c r="W1895" s="137"/>
      <c r="X1895" s="137"/>
      <c r="Y1895" s="137"/>
      <c r="Z1895" s="137"/>
      <c r="AA1895" s="137"/>
    </row>
    <row r="1896" spans="5:27" x14ac:dyDescent="0.35">
      <c r="E1896" s="137"/>
      <c r="F1896" s="137"/>
      <c r="G1896" s="190"/>
      <c r="H1896" s="137"/>
      <c r="I1896" s="137"/>
      <c r="J1896" s="137"/>
      <c r="M1896" s="143"/>
      <c r="N1896" s="143"/>
      <c r="O1896" s="143"/>
      <c r="P1896" s="143"/>
      <c r="Q1896" s="137"/>
      <c r="R1896" s="137"/>
      <c r="S1896" s="137"/>
      <c r="T1896" s="137"/>
      <c r="U1896" s="137"/>
      <c r="V1896" s="137"/>
      <c r="W1896" s="137"/>
      <c r="X1896" s="137"/>
      <c r="Y1896" s="137"/>
      <c r="Z1896" s="137"/>
      <c r="AA1896" s="137"/>
    </row>
    <row r="1897" spans="5:27" x14ac:dyDescent="0.35">
      <c r="E1897" s="137"/>
      <c r="F1897" s="137"/>
      <c r="G1897" s="190"/>
      <c r="H1897" s="137"/>
      <c r="I1897" s="137"/>
      <c r="J1897" s="137"/>
      <c r="M1897" s="143"/>
      <c r="N1897" s="143"/>
      <c r="O1897" s="143"/>
      <c r="P1897" s="143"/>
      <c r="Q1897" s="137"/>
      <c r="R1897" s="137"/>
      <c r="S1897" s="137"/>
      <c r="T1897" s="137"/>
      <c r="U1897" s="137"/>
      <c r="V1897" s="137"/>
      <c r="W1897" s="137"/>
      <c r="X1897" s="137"/>
      <c r="Y1897" s="137"/>
      <c r="Z1897" s="137"/>
      <c r="AA1897" s="137"/>
    </row>
    <row r="1898" spans="5:27" x14ac:dyDescent="0.35">
      <c r="E1898" s="137"/>
      <c r="F1898" s="137"/>
      <c r="G1898" s="190"/>
      <c r="H1898" s="137"/>
      <c r="I1898" s="137"/>
      <c r="J1898" s="137"/>
      <c r="M1898" s="143"/>
      <c r="N1898" s="143"/>
      <c r="O1898" s="143"/>
      <c r="P1898" s="143"/>
      <c r="Q1898" s="137"/>
      <c r="R1898" s="137"/>
      <c r="S1898" s="137"/>
      <c r="T1898" s="137"/>
      <c r="U1898" s="137"/>
      <c r="V1898" s="137"/>
      <c r="W1898" s="137"/>
      <c r="X1898" s="137"/>
      <c r="Y1898" s="137"/>
      <c r="Z1898" s="137"/>
      <c r="AA1898" s="137"/>
    </row>
    <row r="1899" spans="5:27" x14ac:dyDescent="0.35">
      <c r="E1899" s="137"/>
      <c r="F1899" s="137"/>
      <c r="G1899" s="190"/>
      <c r="H1899" s="137"/>
      <c r="I1899" s="137"/>
      <c r="J1899" s="137"/>
      <c r="M1899" s="143"/>
      <c r="N1899" s="143"/>
      <c r="O1899" s="143"/>
      <c r="P1899" s="143"/>
      <c r="Q1899" s="137"/>
      <c r="R1899" s="137"/>
      <c r="S1899" s="137"/>
      <c r="T1899" s="137"/>
      <c r="U1899" s="137"/>
      <c r="V1899" s="137"/>
      <c r="W1899" s="137"/>
      <c r="X1899" s="137"/>
      <c r="Y1899" s="137"/>
      <c r="Z1899" s="137"/>
      <c r="AA1899" s="137"/>
    </row>
    <row r="1900" spans="5:27" x14ac:dyDescent="0.35">
      <c r="E1900" s="137"/>
      <c r="F1900" s="137"/>
      <c r="G1900" s="190"/>
      <c r="H1900" s="137"/>
      <c r="I1900" s="137"/>
      <c r="J1900" s="137"/>
      <c r="M1900" s="143"/>
      <c r="N1900" s="143"/>
      <c r="O1900" s="143"/>
      <c r="P1900" s="143"/>
      <c r="Q1900" s="137"/>
      <c r="R1900" s="137"/>
      <c r="S1900" s="137"/>
      <c r="T1900" s="137"/>
      <c r="U1900" s="137"/>
      <c r="V1900" s="137"/>
      <c r="W1900" s="137"/>
      <c r="X1900" s="137"/>
      <c r="Y1900" s="137"/>
      <c r="Z1900" s="137"/>
      <c r="AA1900" s="137"/>
    </row>
    <row r="1901" spans="5:27" x14ac:dyDescent="0.35">
      <c r="E1901" s="137"/>
      <c r="F1901" s="137"/>
      <c r="G1901" s="190"/>
      <c r="H1901" s="137"/>
      <c r="I1901" s="137"/>
      <c r="J1901" s="137"/>
      <c r="M1901" s="143"/>
      <c r="N1901" s="143"/>
      <c r="O1901" s="143"/>
      <c r="P1901" s="143"/>
      <c r="Q1901" s="137"/>
      <c r="R1901" s="137"/>
      <c r="S1901" s="137"/>
      <c r="T1901" s="137"/>
      <c r="U1901" s="137"/>
      <c r="V1901" s="137"/>
      <c r="W1901" s="137"/>
      <c r="X1901" s="137"/>
      <c r="Y1901" s="137"/>
      <c r="Z1901" s="137"/>
      <c r="AA1901" s="137"/>
    </row>
    <row r="1902" spans="5:27" x14ac:dyDescent="0.35">
      <c r="E1902" s="137"/>
      <c r="F1902" s="137"/>
      <c r="G1902" s="190"/>
      <c r="H1902" s="137"/>
      <c r="I1902" s="137"/>
      <c r="J1902" s="137"/>
      <c r="M1902" s="143"/>
      <c r="N1902" s="143"/>
      <c r="O1902" s="143"/>
      <c r="P1902" s="143"/>
      <c r="Q1902" s="137"/>
      <c r="R1902" s="137"/>
      <c r="S1902" s="137"/>
      <c r="T1902" s="137"/>
      <c r="U1902" s="137"/>
      <c r="V1902" s="137"/>
      <c r="W1902" s="137"/>
      <c r="X1902" s="137"/>
      <c r="Y1902" s="137"/>
      <c r="Z1902" s="137"/>
      <c r="AA1902" s="137"/>
    </row>
    <row r="1903" spans="5:27" x14ac:dyDescent="0.35">
      <c r="E1903" s="137"/>
      <c r="F1903" s="137"/>
      <c r="G1903" s="190"/>
      <c r="H1903" s="137"/>
      <c r="I1903" s="137"/>
      <c r="J1903" s="137"/>
      <c r="M1903" s="143"/>
      <c r="N1903" s="143"/>
      <c r="O1903" s="143"/>
      <c r="P1903" s="143"/>
      <c r="Q1903" s="137"/>
      <c r="R1903" s="137"/>
      <c r="S1903" s="137"/>
      <c r="T1903" s="137"/>
      <c r="U1903" s="137"/>
      <c r="V1903" s="137"/>
      <c r="W1903" s="137"/>
      <c r="X1903" s="137"/>
      <c r="Y1903" s="137"/>
      <c r="Z1903" s="137"/>
      <c r="AA1903" s="137"/>
    </row>
    <row r="1904" spans="5:27" x14ac:dyDescent="0.35">
      <c r="E1904" s="137"/>
      <c r="F1904" s="137"/>
      <c r="G1904" s="190"/>
      <c r="H1904" s="137"/>
      <c r="I1904" s="137"/>
      <c r="J1904" s="137"/>
      <c r="M1904" s="143"/>
      <c r="N1904" s="143"/>
      <c r="O1904" s="143"/>
      <c r="P1904" s="143"/>
      <c r="Q1904" s="137"/>
      <c r="R1904" s="137"/>
      <c r="S1904" s="137"/>
      <c r="T1904" s="137"/>
      <c r="U1904" s="137"/>
      <c r="V1904" s="137"/>
      <c r="W1904" s="137"/>
      <c r="X1904" s="137"/>
      <c r="Y1904" s="137"/>
      <c r="Z1904" s="137"/>
      <c r="AA1904" s="137"/>
    </row>
    <row r="1905" spans="5:27" x14ac:dyDescent="0.35">
      <c r="E1905" s="137"/>
      <c r="F1905" s="137"/>
      <c r="G1905" s="190"/>
      <c r="H1905" s="137"/>
      <c r="I1905" s="137"/>
      <c r="J1905" s="137"/>
      <c r="M1905" s="143"/>
      <c r="N1905" s="143"/>
      <c r="O1905" s="143"/>
      <c r="P1905" s="143"/>
      <c r="Q1905" s="137"/>
      <c r="R1905" s="137"/>
      <c r="S1905" s="137"/>
      <c r="T1905" s="137"/>
      <c r="U1905" s="137"/>
      <c r="V1905" s="137"/>
      <c r="W1905" s="137"/>
      <c r="X1905" s="137"/>
      <c r="Y1905" s="137"/>
      <c r="Z1905" s="137"/>
      <c r="AA1905" s="137"/>
    </row>
    <row r="1906" spans="5:27" x14ac:dyDescent="0.35">
      <c r="E1906" s="137"/>
      <c r="F1906" s="137"/>
      <c r="G1906" s="190"/>
      <c r="H1906" s="137"/>
      <c r="I1906" s="137"/>
      <c r="J1906" s="137"/>
      <c r="M1906" s="143"/>
      <c r="N1906" s="143"/>
      <c r="O1906" s="143"/>
      <c r="P1906" s="143"/>
      <c r="Q1906" s="137"/>
      <c r="R1906" s="137"/>
      <c r="S1906" s="137"/>
      <c r="T1906" s="137"/>
      <c r="U1906" s="137"/>
      <c r="V1906" s="137"/>
      <c r="W1906" s="137"/>
      <c r="X1906" s="137"/>
      <c r="Y1906" s="137"/>
      <c r="Z1906" s="137"/>
      <c r="AA1906" s="137"/>
    </row>
    <row r="1907" spans="5:27" x14ac:dyDescent="0.35">
      <c r="E1907" s="137"/>
      <c r="F1907" s="137"/>
      <c r="G1907" s="190"/>
      <c r="H1907" s="137"/>
      <c r="I1907" s="137"/>
      <c r="J1907" s="137"/>
      <c r="M1907" s="143"/>
      <c r="N1907" s="143"/>
      <c r="O1907" s="143"/>
      <c r="P1907" s="143"/>
      <c r="Q1907" s="137"/>
      <c r="R1907" s="137"/>
      <c r="S1907" s="137"/>
      <c r="T1907" s="137"/>
      <c r="U1907" s="137"/>
      <c r="V1907" s="137"/>
      <c r="W1907" s="137"/>
      <c r="X1907" s="137"/>
      <c r="Y1907" s="137"/>
      <c r="Z1907" s="137"/>
      <c r="AA1907" s="137"/>
    </row>
    <row r="1908" spans="5:27" x14ac:dyDescent="0.35">
      <c r="E1908" s="137"/>
      <c r="F1908" s="137"/>
      <c r="G1908" s="190"/>
      <c r="H1908" s="137"/>
      <c r="I1908" s="137"/>
      <c r="J1908" s="137"/>
      <c r="M1908" s="143"/>
      <c r="N1908" s="143"/>
      <c r="O1908" s="143"/>
      <c r="P1908" s="143"/>
      <c r="Q1908" s="137"/>
      <c r="R1908" s="137"/>
      <c r="S1908" s="137"/>
      <c r="T1908" s="137"/>
      <c r="U1908" s="137"/>
      <c r="V1908" s="137"/>
      <c r="W1908" s="137"/>
      <c r="X1908" s="137"/>
      <c r="Y1908" s="137"/>
      <c r="Z1908" s="137"/>
      <c r="AA1908" s="137"/>
    </row>
    <row r="1909" spans="5:27" x14ac:dyDescent="0.35">
      <c r="E1909" s="137"/>
      <c r="F1909" s="137"/>
      <c r="G1909" s="190"/>
      <c r="H1909" s="137"/>
      <c r="I1909" s="137"/>
      <c r="J1909" s="137"/>
      <c r="M1909" s="143"/>
      <c r="N1909" s="143"/>
      <c r="O1909" s="143"/>
      <c r="P1909" s="143"/>
      <c r="Q1909" s="137"/>
      <c r="R1909" s="137"/>
      <c r="S1909" s="137"/>
      <c r="T1909" s="137"/>
      <c r="U1909" s="137"/>
      <c r="V1909" s="137"/>
      <c r="W1909" s="137"/>
      <c r="X1909" s="137"/>
      <c r="Y1909" s="137"/>
      <c r="Z1909" s="137"/>
      <c r="AA1909" s="137"/>
    </row>
    <row r="1910" spans="5:27" x14ac:dyDescent="0.35">
      <c r="E1910" s="137"/>
      <c r="F1910" s="137"/>
      <c r="G1910" s="190"/>
      <c r="H1910" s="137"/>
      <c r="I1910" s="137"/>
      <c r="J1910" s="137"/>
      <c r="M1910" s="143"/>
      <c r="N1910" s="143"/>
      <c r="O1910" s="143"/>
      <c r="P1910" s="143"/>
      <c r="Q1910" s="137"/>
      <c r="R1910" s="137"/>
      <c r="S1910" s="137"/>
      <c r="T1910" s="137"/>
      <c r="U1910" s="137"/>
      <c r="V1910" s="137"/>
      <c r="W1910" s="137"/>
      <c r="X1910" s="137"/>
      <c r="Y1910" s="137"/>
      <c r="Z1910" s="137"/>
      <c r="AA1910" s="137"/>
    </row>
    <row r="1911" spans="5:27" x14ac:dyDescent="0.35">
      <c r="E1911" s="137"/>
      <c r="F1911" s="137"/>
      <c r="G1911" s="190"/>
      <c r="H1911" s="137"/>
      <c r="I1911" s="137"/>
      <c r="J1911" s="137"/>
      <c r="M1911" s="143"/>
      <c r="N1911" s="143"/>
      <c r="O1911" s="143"/>
      <c r="P1911" s="143"/>
      <c r="Q1911" s="137"/>
      <c r="R1911" s="137"/>
      <c r="S1911" s="137"/>
      <c r="T1911" s="137"/>
      <c r="U1911" s="137"/>
      <c r="V1911" s="137"/>
      <c r="W1911" s="137"/>
      <c r="X1911" s="137"/>
      <c r="Y1911" s="137"/>
      <c r="Z1911" s="137"/>
      <c r="AA1911" s="137"/>
    </row>
    <row r="1912" spans="5:27" x14ac:dyDescent="0.35">
      <c r="E1912" s="137"/>
      <c r="F1912" s="137"/>
      <c r="G1912" s="190"/>
      <c r="H1912" s="137"/>
      <c r="I1912" s="137"/>
      <c r="J1912" s="137"/>
      <c r="M1912" s="143"/>
      <c r="N1912" s="143"/>
      <c r="O1912" s="143"/>
      <c r="P1912" s="143"/>
      <c r="Q1912" s="137"/>
      <c r="R1912" s="137"/>
      <c r="S1912" s="137"/>
      <c r="T1912" s="137"/>
      <c r="U1912" s="137"/>
      <c r="V1912" s="137"/>
      <c r="W1912" s="137"/>
      <c r="X1912" s="137"/>
      <c r="Y1912" s="137"/>
      <c r="Z1912" s="137"/>
      <c r="AA1912" s="137"/>
    </row>
    <row r="1913" spans="5:27" x14ac:dyDescent="0.35">
      <c r="E1913" s="137"/>
      <c r="F1913" s="137"/>
      <c r="G1913" s="190"/>
      <c r="H1913" s="137"/>
      <c r="I1913" s="137"/>
      <c r="J1913" s="137"/>
      <c r="M1913" s="143"/>
      <c r="N1913" s="143"/>
      <c r="O1913" s="143"/>
      <c r="P1913" s="143"/>
      <c r="Q1913" s="137"/>
      <c r="R1913" s="137"/>
      <c r="S1913" s="137"/>
      <c r="T1913" s="137"/>
      <c r="U1913" s="137"/>
      <c r="V1913" s="137"/>
      <c r="W1913" s="137"/>
      <c r="X1913" s="137"/>
      <c r="Y1913" s="137"/>
      <c r="Z1913" s="137"/>
      <c r="AA1913" s="137"/>
    </row>
    <row r="1914" spans="5:27" x14ac:dyDescent="0.35">
      <c r="E1914" s="137"/>
      <c r="F1914" s="137"/>
      <c r="G1914" s="190"/>
      <c r="H1914" s="137"/>
      <c r="I1914" s="137"/>
      <c r="J1914" s="137"/>
      <c r="M1914" s="143"/>
      <c r="N1914" s="143"/>
      <c r="O1914" s="143"/>
      <c r="P1914" s="143"/>
      <c r="Q1914" s="137"/>
      <c r="R1914" s="137"/>
      <c r="S1914" s="137"/>
      <c r="T1914" s="137"/>
      <c r="U1914" s="137"/>
      <c r="V1914" s="137"/>
      <c r="W1914" s="137"/>
      <c r="X1914" s="137"/>
      <c r="Y1914" s="137"/>
      <c r="Z1914" s="137"/>
      <c r="AA1914" s="137"/>
    </row>
    <row r="1915" spans="5:27" x14ac:dyDescent="0.35">
      <c r="E1915" s="137"/>
      <c r="F1915" s="137"/>
      <c r="G1915" s="190"/>
      <c r="H1915" s="137"/>
      <c r="I1915" s="137"/>
      <c r="J1915" s="137"/>
      <c r="M1915" s="143"/>
      <c r="N1915" s="143"/>
      <c r="O1915" s="143"/>
      <c r="P1915" s="143"/>
      <c r="Q1915" s="137"/>
      <c r="R1915" s="137"/>
      <c r="S1915" s="137"/>
      <c r="T1915" s="137"/>
      <c r="U1915" s="137"/>
      <c r="V1915" s="137"/>
      <c r="W1915" s="137"/>
      <c r="X1915" s="137"/>
      <c r="Y1915" s="137"/>
      <c r="Z1915" s="137"/>
      <c r="AA1915" s="137"/>
    </row>
    <row r="1916" spans="5:27" x14ac:dyDescent="0.35">
      <c r="E1916" s="137"/>
      <c r="F1916" s="137"/>
      <c r="G1916" s="190"/>
      <c r="H1916" s="137"/>
      <c r="I1916" s="137"/>
      <c r="J1916" s="137"/>
      <c r="M1916" s="143"/>
      <c r="N1916" s="143"/>
      <c r="O1916" s="143"/>
      <c r="P1916" s="143"/>
      <c r="Q1916" s="137"/>
      <c r="R1916" s="137"/>
      <c r="S1916" s="137"/>
      <c r="T1916" s="137"/>
      <c r="U1916" s="137"/>
      <c r="V1916" s="137"/>
      <c r="W1916" s="137"/>
      <c r="X1916" s="137"/>
      <c r="Y1916" s="137"/>
      <c r="Z1916" s="137"/>
      <c r="AA1916" s="137"/>
    </row>
    <row r="1917" spans="5:27" x14ac:dyDescent="0.35">
      <c r="E1917" s="137"/>
      <c r="F1917" s="137"/>
      <c r="G1917" s="190"/>
      <c r="H1917" s="137"/>
      <c r="I1917" s="137"/>
      <c r="J1917" s="137"/>
      <c r="M1917" s="143"/>
      <c r="N1917" s="143"/>
      <c r="O1917" s="143"/>
      <c r="P1917" s="143"/>
      <c r="Q1917" s="137"/>
      <c r="R1917" s="137"/>
      <c r="S1917" s="137"/>
      <c r="T1917" s="137"/>
      <c r="U1917" s="137"/>
      <c r="V1917" s="137"/>
      <c r="W1917" s="137"/>
      <c r="X1917" s="137"/>
      <c r="Y1917" s="137"/>
      <c r="Z1917" s="137"/>
      <c r="AA1917" s="137"/>
    </row>
    <row r="1918" spans="5:27" x14ac:dyDescent="0.35">
      <c r="E1918" s="137"/>
      <c r="F1918" s="137"/>
      <c r="G1918" s="190"/>
      <c r="H1918" s="137"/>
      <c r="I1918" s="137"/>
      <c r="J1918" s="137"/>
      <c r="M1918" s="143"/>
      <c r="N1918" s="143"/>
      <c r="O1918" s="143"/>
      <c r="P1918" s="143"/>
      <c r="Q1918" s="137"/>
      <c r="R1918" s="137"/>
      <c r="S1918" s="137"/>
      <c r="T1918" s="137"/>
      <c r="U1918" s="137"/>
      <c r="V1918" s="137"/>
      <c r="W1918" s="137"/>
      <c r="X1918" s="137"/>
      <c r="Y1918" s="137"/>
      <c r="Z1918" s="137"/>
      <c r="AA1918" s="137"/>
    </row>
    <row r="1919" spans="5:27" x14ac:dyDescent="0.35">
      <c r="E1919" s="137"/>
      <c r="F1919" s="137"/>
      <c r="G1919" s="190"/>
      <c r="H1919" s="137"/>
      <c r="I1919" s="137"/>
      <c r="J1919" s="137"/>
      <c r="M1919" s="143"/>
      <c r="N1919" s="143"/>
      <c r="O1919" s="143"/>
      <c r="P1919" s="143"/>
      <c r="Q1919" s="137"/>
      <c r="R1919" s="137"/>
      <c r="S1919" s="137"/>
      <c r="T1919" s="137"/>
      <c r="U1919" s="137"/>
      <c r="V1919" s="137"/>
      <c r="W1919" s="137"/>
      <c r="X1919" s="137"/>
      <c r="Y1919" s="137"/>
      <c r="Z1919" s="137"/>
      <c r="AA1919" s="137"/>
    </row>
    <row r="1920" spans="5:27" x14ac:dyDescent="0.35">
      <c r="E1920" s="137"/>
      <c r="F1920" s="137"/>
      <c r="G1920" s="190"/>
      <c r="H1920" s="137"/>
      <c r="I1920" s="137"/>
      <c r="J1920" s="137"/>
      <c r="M1920" s="143"/>
      <c r="N1920" s="143"/>
      <c r="O1920" s="143"/>
      <c r="P1920" s="143"/>
      <c r="Q1920" s="137"/>
      <c r="R1920" s="137"/>
      <c r="S1920" s="137"/>
      <c r="T1920" s="137"/>
      <c r="U1920" s="137"/>
      <c r="V1920" s="137"/>
      <c r="W1920" s="137"/>
      <c r="X1920" s="137"/>
      <c r="Y1920" s="137"/>
      <c r="Z1920" s="137"/>
      <c r="AA1920" s="137"/>
    </row>
    <row r="1921" spans="5:27" x14ac:dyDescent="0.35">
      <c r="E1921" s="137"/>
      <c r="F1921" s="137"/>
      <c r="G1921" s="190"/>
      <c r="H1921" s="137"/>
      <c r="I1921" s="137"/>
      <c r="J1921" s="137"/>
      <c r="M1921" s="143"/>
      <c r="N1921" s="143"/>
      <c r="O1921" s="143"/>
      <c r="P1921" s="143"/>
      <c r="Q1921" s="137"/>
      <c r="R1921" s="137"/>
      <c r="S1921" s="137"/>
      <c r="T1921" s="137"/>
      <c r="U1921" s="137"/>
      <c r="V1921" s="137"/>
      <c r="W1921" s="137"/>
      <c r="X1921" s="137"/>
      <c r="Y1921" s="137"/>
      <c r="Z1921" s="137"/>
      <c r="AA1921" s="137"/>
    </row>
    <row r="1922" spans="5:27" x14ac:dyDescent="0.35">
      <c r="E1922" s="137"/>
      <c r="F1922" s="137"/>
      <c r="G1922" s="190"/>
      <c r="H1922" s="137"/>
      <c r="I1922" s="137"/>
      <c r="J1922" s="137"/>
      <c r="M1922" s="143"/>
      <c r="N1922" s="143"/>
      <c r="O1922" s="143"/>
      <c r="P1922" s="143"/>
      <c r="Q1922" s="137"/>
      <c r="R1922" s="137"/>
      <c r="S1922" s="137"/>
      <c r="T1922" s="137"/>
      <c r="U1922" s="137"/>
      <c r="V1922" s="137"/>
      <c r="W1922" s="137"/>
      <c r="X1922" s="137"/>
      <c r="Y1922" s="137"/>
      <c r="Z1922" s="137"/>
      <c r="AA1922" s="137"/>
    </row>
    <row r="1923" spans="5:27" x14ac:dyDescent="0.35">
      <c r="E1923" s="137"/>
      <c r="F1923" s="137"/>
      <c r="G1923" s="190"/>
      <c r="H1923" s="137"/>
      <c r="I1923" s="137"/>
      <c r="J1923" s="137"/>
      <c r="M1923" s="143"/>
      <c r="N1923" s="143"/>
      <c r="O1923" s="143"/>
      <c r="P1923" s="143"/>
      <c r="Q1923" s="137"/>
      <c r="R1923" s="137"/>
      <c r="S1923" s="137"/>
      <c r="T1923" s="137"/>
      <c r="U1923" s="137"/>
      <c r="V1923" s="137"/>
      <c r="W1923" s="137"/>
      <c r="X1923" s="137"/>
      <c r="Y1923" s="137"/>
      <c r="Z1923" s="137"/>
      <c r="AA1923" s="137"/>
    </row>
    <row r="1924" spans="5:27" x14ac:dyDescent="0.35">
      <c r="E1924" s="137"/>
      <c r="F1924" s="137"/>
      <c r="G1924" s="190"/>
      <c r="H1924" s="137"/>
      <c r="I1924" s="137"/>
      <c r="J1924" s="137"/>
      <c r="M1924" s="143"/>
      <c r="N1924" s="143"/>
      <c r="O1924" s="143"/>
      <c r="P1924" s="143"/>
      <c r="Q1924" s="137"/>
      <c r="R1924" s="137"/>
      <c r="S1924" s="137"/>
      <c r="T1924" s="137"/>
      <c r="U1924" s="137"/>
      <c r="V1924" s="137"/>
      <c r="W1924" s="137"/>
      <c r="X1924" s="137"/>
      <c r="Y1924" s="137"/>
      <c r="Z1924" s="137"/>
      <c r="AA1924" s="137"/>
    </row>
    <row r="1925" spans="5:27" x14ac:dyDescent="0.35">
      <c r="E1925" s="137"/>
      <c r="F1925" s="137"/>
      <c r="G1925" s="190"/>
      <c r="H1925" s="137"/>
      <c r="I1925" s="137"/>
      <c r="J1925" s="137"/>
      <c r="M1925" s="143"/>
      <c r="N1925" s="143"/>
      <c r="O1925" s="143"/>
      <c r="P1925" s="143"/>
      <c r="Q1925" s="137"/>
      <c r="R1925" s="137"/>
      <c r="S1925" s="137"/>
      <c r="T1925" s="137"/>
      <c r="U1925" s="137"/>
      <c r="V1925" s="137"/>
      <c r="W1925" s="137"/>
      <c r="X1925" s="137"/>
      <c r="Y1925" s="137"/>
      <c r="Z1925" s="137"/>
      <c r="AA1925" s="137"/>
    </row>
    <row r="1926" spans="5:27" x14ac:dyDescent="0.35">
      <c r="E1926" s="137"/>
      <c r="F1926" s="137"/>
      <c r="G1926" s="190"/>
      <c r="H1926" s="137"/>
      <c r="I1926" s="137"/>
      <c r="J1926" s="137"/>
      <c r="M1926" s="143"/>
      <c r="N1926" s="143"/>
      <c r="O1926" s="143"/>
      <c r="P1926" s="143"/>
      <c r="Q1926" s="137"/>
      <c r="R1926" s="137"/>
      <c r="S1926" s="137"/>
      <c r="T1926" s="137"/>
      <c r="U1926" s="137"/>
      <c r="V1926" s="137"/>
      <c r="W1926" s="137"/>
      <c r="X1926" s="137"/>
      <c r="Y1926" s="137"/>
      <c r="Z1926" s="137"/>
      <c r="AA1926" s="137"/>
    </row>
    <row r="1927" spans="5:27" x14ac:dyDescent="0.35">
      <c r="E1927" s="137"/>
      <c r="F1927" s="137"/>
      <c r="G1927" s="190"/>
      <c r="H1927" s="137"/>
      <c r="I1927" s="137"/>
      <c r="J1927" s="137"/>
      <c r="M1927" s="143"/>
      <c r="N1927" s="143"/>
      <c r="O1927" s="143"/>
      <c r="P1927" s="143"/>
      <c r="Q1927" s="137"/>
      <c r="R1927" s="137"/>
      <c r="S1927" s="137"/>
      <c r="T1927" s="137"/>
      <c r="U1927" s="137"/>
      <c r="V1927" s="137"/>
      <c r="W1927" s="137"/>
      <c r="X1927" s="137"/>
      <c r="Y1927" s="137"/>
      <c r="Z1927" s="137"/>
      <c r="AA1927" s="137"/>
    </row>
    <row r="1928" spans="5:27" x14ac:dyDescent="0.35">
      <c r="E1928" s="137"/>
      <c r="F1928" s="137"/>
      <c r="G1928" s="190"/>
      <c r="H1928" s="137"/>
      <c r="I1928" s="137"/>
      <c r="J1928" s="137"/>
      <c r="M1928" s="143"/>
      <c r="N1928" s="143"/>
      <c r="O1928" s="143"/>
      <c r="P1928" s="143"/>
      <c r="Q1928" s="137"/>
      <c r="R1928" s="137"/>
      <c r="S1928" s="137"/>
      <c r="T1928" s="137"/>
      <c r="U1928" s="137"/>
      <c r="V1928" s="137"/>
      <c r="W1928" s="137"/>
      <c r="X1928" s="137"/>
      <c r="Y1928" s="137"/>
      <c r="Z1928" s="137"/>
      <c r="AA1928" s="137"/>
    </row>
    <row r="1929" spans="5:27" x14ac:dyDescent="0.35">
      <c r="E1929" s="137"/>
      <c r="F1929" s="137"/>
      <c r="G1929" s="190"/>
      <c r="H1929" s="137"/>
      <c r="I1929" s="137"/>
      <c r="J1929" s="137"/>
      <c r="M1929" s="143"/>
      <c r="N1929" s="143"/>
      <c r="O1929" s="143"/>
      <c r="P1929" s="143"/>
      <c r="Q1929" s="137"/>
      <c r="R1929" s="137"/>
      <c r="S1929" s="137"/>
      <c r="T1929" s="137"/>
      <c r="U1929" s="137"/>
      <c r="V1929" s="137"/>
      <c r="W1929" s="137"/>
      <c r="X1929" s="137"/>
      <c r="Y1929" s="137"/>
      <c r="Z1929" s="137"/>
      <c r="AA1929" s="137"/>
    </row>
    <row r="1930" spans="5:27" x14ac:dyDescent="0.35">
      <c r="E1930" s="137"/>
      <c r="F1930" s="137"/>
      <c r="G1930" s="190"/>
      <c r="H1930" s="137"/>
      <c r="I1930" s="137"/>
      <c r="J1930" s="137"/>
      <c r="M1930" s="143"/>
      <c r="N1930" s="143"/>
      <c r="O1930" s="143"/>
      <c r="P1930" s="143"/>
      <c r="Q1930" s="137"/>
      <c r="R1930" s="137"/>
      <c r="S1930" s="137"/>
      <c r="T1930" s="137"/>
      <c r="U1930" s="137"/>
      <c r="V1930" s="137"/>
      <c r="W1930" s="137"/>
      <c r="X1930" s="137"/>
      <c r="Y1930" s="137"/>
      <c r="Z1930" s="137"/>
      <c r="AA1930" s="137"/>
    </row>
    <row r="1931" spans="5:27" x14ac:dyDescent="0.35">
      <c r="E1931" s="137"/>
      <c r="F1931" s="137"/>
      <c r="G1931" s="190"/>
      <c r="H1931" s="137"/>
      <c r="I1931" s="137"/>
      <c r="J1931" s="137"/>
      <c r="M1931" s="143"/>
      <c r="N1931" s="143"/>
      <c r="O1931" s="143"/>
      <c r="P1931" s="143"/>
      <c r="Q1931" s="137"/>
      <c r="R1931" s="137"/>
      <c r="S1931" s="137"/>
      <c r="T1931" s="137"/>
      <c r="U1931" s="137"/>
      <c r="V1931" s="137"/>
      <c r="W1931" s="137"/>
      <c r="X1931" s="137"/>
      <c r="Y1931" s="137"/>
      <c r="Z1931" s="137"/>
      <c r="AA1931" s="137"/>
    </row>
    <row r="1932" spans="5:27" x14ac:dyDescent="0.35">
      <c r="E1932" s="137"/>
      <c r="F1932" s="137"/>
      <c r="G1932" s="190"/>
      <c r="H1932" s="137"/>
      <c r="I1932" s="137"/>
      <c r="J1932" s="137"/>
      <c r="M1932" s="143"/>
      <c r="N1932" s="143"/>
      <c r="O1932" s="143"/>
      <c r="P1932" s="143"/>
      <c r="Q1932" s="137"/>
      <c r="R1932" s="137"/>
      <c r="S1932" s="137"/>
      <c r="T1932" s="137"/>
      <c r="U1932" s="137"/>
      <c r="V1932" s="137"/>
      <c r="W1932" s="137"/>
      <c r="X1932" s="137"/>
      <c r="Y1932" s="137"/>
      <c r="Z1932" s="137"/>
      <c r="AA1932" s="137"/>
    </row>
    <row r="1933" spans="5:27" x14ac:dyDescent="0.35">
      <c r="E1933" s="137"/>
      <c r="F1933" s="137"/>
      <c r="G1933" s="190"/>
      <c r="H1933" s="137"/>
      <c r="I1933" s="137"/>
      <c r="J1933" s="137"/>
      <c r="M1933" s="143"/>
      <c r="N1933" s="143"/>
      <c r="O1933" s="143"/>
      <c r="P1933" s="143"/>
      <c r="Q1933" s="137"/>
      <c r="R1933" s="137"/>
      <c r="S1933" s="137"/>
      <c r="T1933" s="137"/>
      <c r="U1933" s="137"/>
      <c r="V1933" s="137"/>
      <c r="W1933" s="137"/>
      <c r="X1933" s="137"/>
      <c r="Y1933" s="137"/>
      <c r="Z1933" s="137"/>
      <c r="AA1933" s="137"/>
    </row>
    <row r="1934" spans="5:27" x14ac:dyDescent="0.35">
      <c r="E1934" s="137"/>
      <c r="F1934" s="137"/>
      <c r="G1934" s="190"/>
      <c r="H1934" s="137"/>
      <c r="I1934" s="137"/>
      <c r="J1934" s="137"/>
      <c r="M1934" s="143"/>
      <c r="N1934" s="143"/>
      <c r="O1934" s="143"/>
      <c r="P1934" s="143"/>
      <c r="Q1934" s="137"/>
      <c r="R1934" s="137"/>
      <c r="S1934" s="137"/>
      <c r="T1934" s="137"/>
      <c r="U1934" s="137"/>
      <c r="V1934" s="137"/>
      <c r="W1934" s="137"/>
      <c r="X1934" s="137"/>
      <c r="Y1934" s="137"/>
      <c r="Z1934" s="137"/>
      <c r="AA1934" s="137"/>
    </row>
    <row r="1935" spans="5:27" x14ac:dyDescent="0.35">
      <c r="E1935" s="137"/>
      <c r="F1935" s="137"/>
      <c r="G1935" s="190"/>
      <c r="H1935" s="137"/>
      <c r="I1935" s="137"/>
      <c r="J1935" s="137"/>
      <c r="M1935" s="143"/>
      <c r="N1935" s="143"/>
      <c r="O1935" s="143"/>
      <c r="P1935" s="143"/>
      <c r="Q1935" s="137"/>
      <c r="R1935" s="137"/>
      <c r="S1935" s="137"/>
      <c r="T1935" s="137"/>
      <c r="U1935" s="137"/>
      <c r="V1935" s="137"/>
      <c r="W1935" s="137"/>
      <c r="X1935" s="137"/>
      <c r="Y1935" s="137"/>
      <c r="Z1935" s="137"/>
      <c r="AA1935" s="137"/>
    </row>
    <row r="1936" spans="5:27" x14ac:dyDescent="0.35">
      <c r="E1936" s="137"/>
      <c r="F1936" s="137"/>
      <c r="G1936" s="190"/>
      <c r="H1936" s="137"/>
      <c r="I1936" s="137"/>
      <c r="J1936" s="137"/>
      <c r="M1936" s="143"/>
      <c r="N1936" s="143"/>
      <c r="O1936" s="143"/>
      <c r="P1936" s="143"/>
      <c r="Q1936" s="137"/>
      <c r="R1936" s="137"/>
      <c r="S1936" s="137"/>
      <c r="T1936" s="137"/>
      <c r="U1936" s="137"/>
      <c r="V1936" s="137"/>
      <c r="W1936" s="137"/>
      <c r="X1936" s="137"/>
      <c r="Y1936" s="137"/>
      <c r="Z1936" s="137"/>
      <c r="AA1936" s="137"/>
    </row>
    <row r="1937" spans="5:27" x14ac:dyDescent="0.35">
      <c r="E1937" s="137"/>
      <c r="F1937" s="137"/>
      <c r="G1937" s="190"/>
      <c r="H1937" s="137"/>
      <c r="I1937" s="137"/>
      <c r="J1937" s="137"/>
      <c r="M1937" s="143"/>
      <c r="N1937" s="143"/>
      <c r="O1937" s="143"/>
      <c r="P1937" s="143"/>
      <c r="Q1937" s="137"/>
      <c r="R1937" s="137"/>
      <c r="S1937" s="137"/>
      <c r="T1937" s="137"/>
      <c r="U1937" s="137"/>
      <c r="V1937" s="137"/>
      <c r="W1937" s="137"/>
      <c r="X1937" s="137"/>
      <c r="Y1937" s="137"/>
      <c r="Z1937" s="137"/>
      <c r="AA1937" s="137"/>
    </row>
    <row r="1938" spans="5:27" x14ac:dyDescent="0.35">
      <c r="E1938" s="137"/>
      <c r="F1938" s="137"/>
      <c r="G1938" s="190"/>
      <c r="H1938" s="137"/>
      <c r="I1938" s="137"/>
      <c r="J1938" s="137"/>
      <c r="M1938" s="143"/>
      <c r="N1938" s="143"/>
      <c r="O1938" s="143"/>
      <c r="P1938" s="143"/>
      <c r="Q1938" s="137"/>
      <c r="R1938" s="137"/>
      <c r="S1938" s="137"/>
      <c r="T1938" s="137"/>
      <c r="U1938" s="137"/>
      <c r="V1938" s="137"/>
      <c r="W1938" s="137"/>
      <c r="X1938" s="137"/>
      <c r="Y1938" s="137"/>
      <c r="Z1938" s="137"/>
      <c r="AA1938" s="137"/>
    </row>
    <row r="1939" spans="5:27" x14ac:dyDescent="0.35">
      <c r="E1939" s="137"/>
      <c r="F1939" s="137"/>
      <c r="G1939" s="190"/>
      <c r="H1939" s="137"/>
      <c r="I1939" s="137"/>
      <c r="J1939" s="137"/>
      <c r="M1939" s="143"/>
      <c r="N1939" s="143"/>
      <c r="O1939" s="143"/>
      <c r="P1939" s="143"/>
      <c r="Q1939" s="137"/>
      <c r="R1939" s="137"/>
      <c r="S1939" s="137"/>
      <c r="T1939" s="137"/>
      <c r="U1939" s="137"/>
      <c r="V1939" s="137"/>
      <c r="W1939" s="137"/>
      <c r="X1939" s="137"/>
      <c r="Y1939" s="137"/>
      <c r="Z1939" s="137"/>
      <c r="AA1939" s="137"/>
    </row>
    <row r="1940" spans="5:27" x14ac:dyDescent="0.35">
      <c r="E1940" s="137"/>
      <c r="F1940" s="137"/>
      <c r="G1940" s="190"/>
      <c r="H1940" s="137"/>
      <c r="I1940" s="137"/>
      <c r="J1940" s="137"/>
      <c r="M1940" s="143"/>
      <c r="N1940" s="143"/>
      <c r="O1940" s="143"/>
      <c r="P1940" s="143"/>
      <c r="Q1940" s="137"/>
      <c r="R1940" s="137"/>
      <c r="S1940" s="137"/>
      <c r="T1940" s="137"/>
      <c r="U1940" s="137"/>
      <c r="V1940" s="137"/>
      <c r="W1940" s="137"/>
      <c r="X1940" s="137"/>
      <c r="Y1940" s="137"/>
      <c r="Z1940" s="137"/>
      <c r="AA1940" s="137"/>
    </row>
    <row r="1941" spans="5:27" x14ac:dyDescent="0.35">
      <c r="E1941" s="137"/>
      <c r="F1941" s="137"/>
      <c r="G1941" s="190"/>
      <c r="H1941" s="137"/>
      <c r="I1941" s="137"/>
      <c r="J1941" s="137"/>
      <c r="M1941" s="143"/>
      <c r="N1941" s="143"/>
      <c r="O1941" s="143"/>
      <c r="P1941" s="143"/>
      <c r="Q1941" s="137"/>
      <c r="R1941" s="137"/>
      <c r="S1941" s="137"/>
      <c r="T1941" s="137"/>
      <c r="U1941" s="137"/>
      <c r="V1941" s="137"/>
      <c r="W1941" s="137"/>
      <c r="X1941" s="137"/>
      <c r="Y1941" s="137"/>
      <c r="Z1941" s="137"/>
      <c r="AA1941" s="137"/>
    </row>
    <row r="1942" spans="5:27" x14ac:dyDescent="0.35">
      <c r="E1942" s="137"/>
      <c r="F1942" s="137"/>
      <c r="G1942" s="190"/>
      <c r="H1942" s="137"/>
      <c r="I1942" s="137"/>
      <c r="J1942" s="137"/>
      <c r="M1942" s="143"/>
      <c r="N1942" s="143"/>
      <c r="O1942" s="143"/>
      <c r="P1942" s="143"/>
      <c r="Q1942" s="137"/>
      <c r="R1942" s="137"/>
      <c r="S1942" s="137"/>
      <c r="T1942" s="137"/>
      <c r="U1942" s="137"/>
      <c r="V1942" s="137"/>
      <c r="W1942" s="137"/>
      <c r="X1942" s="137"/>
      <c r="Y1942" s="137"/>
      <c r="Z1942" s="137"/>
      <c r="AA1942" s="137"/>
    </row>
    <row r="1943" spans="5:27" x14ac:dyDescent="0.35">
      <c r="E1943" s="137"/>
      <c r="F1943" s="137"/>
      <c r="G1943" s="190"/>
      <c r="H1943" s="137"/>
      <c r="I1943" s="137"/>
      <c r="J1943" s="137"/>
      <c r="M1943" s="143"/>
      <c r="N1943" s="143"/>
      <c r="O1943" s="143"/>
      <c r="P1943" s="143"/>
      <c r="Q1943" s="137"/>
      <c r="R1943" s="137"/>
      <c r="S1943" s="137"/>
      <c r="T1943" s="137"/>
      <c r="U1943" s="137"/>
      <c r="V1943" s="137"/>
      <c r="W1943" s="137"/>
      <c r="X1943" s="137"/>
      <c r="Y1943" s="137"/>
      <c r="Z1943" s="137"/>
      <c r="AA1943" s="137"/>
    </row>
    <row r="1944" spans="5:27" x14ac:dyDescent="0.35">
      <c r="E1944" s="137"/>
      <c r="F1944" s="137"/>
      <c r="G1944" s="190"/>
      <c r="H1944" s="137"/>
      <c r="I1944" s="137"/>
      <c r="J1944" s="137"/>
      <c r="M1944" s="143"/>
      <c r="N1944" s="143"/>
      <c r="O1944" s="143"/>
      <c r="P1944" s="143"/>
      <c r="Q1944" s="137"/>
      <c r="R1944" s="137"/>
      <c r="S1944" s="137"/>
      <c r="T1944" s="137"/>
      <c r="U1944" s="137"/>
      <c r="V1944" s="137"/>
      <c r="W1944" s="137"/>
      <c r="X1944" s="137"/>
      <c r="Y1944" s="137"/>
      <c r="Z1944" s="137"/>
      <c r="AA1944" s="137"/>
    </row>
    <row r="1945" spans="5:27" x14ac:dyDescent="0.35">
      <c r="E1945" s="137"/>
      <c r="F1945" s="137"/>
      <c r="G1945" s="190"/>
      <c r="H1945" s="137"/>
      <c r="I1945" s="137"/>
      <c r="J1945" s="137"/>
      <c r="M1945" s="143"/>
      <c r="N1945" s="143"/>
      <c r="O1945" s="143"/>
      <c r="P1945" s="143"/>
      <c r="Q1945" s="137"/>
      <c r="R1945" s="137"/>
      <c r="S1945" s="137"/>
      <c r="T1945" s="137"/>
      <c r="U1945" s="137"/>
      <c r="V1945" s="137"/>
      <c r="W1945" s="137"/>
      <c r="X1945" s="137"/>
      <c r="Y1945" s="137"/>
      <c r="Z1945" s="137"/>
      <c r="AA1945" s="137"/>
    </row>
    <row r="1946" spans="5:27" x14ac:dyDescent="0.35">
      <c r="E1946" s="137"/>
      <c r="F1946" s="137"/>
      <c r="G1946" s="190"/>
      <c r="H1946" s="137"/>
      <c r="I1946" s="137"/>
      <c r="J1946" s="137"/>
      <c r="M1946" s="143"/>
      <c r="N1946" s="143"/>
      <c r="O1946" s="143"/>
      <c r="P1946" s="143"/>
      <c r="Q1946" s="137"/>
      <c r="R1946" s="137"/>
      <c r="S1946" s="137"/>
      <c r="T1946" s="137"/>
      <c r="U1946" s="137"/>
      <c r="V1946" s="137"/>
      <c r="W1946" s="137"/>
      <c r="X1946" s="137"/>
      <c r="Y1946" s="137"/>
      <c r="Z1946" s="137"/>
      <c r="AA1946" s="137"/>
    </row>
    <row r="1947" spans="5:27" x14ac:dyDescent="0.35">
      <c r="E1947" s="137"/>
      <c r="F1947" s="137"/>
      <c r="G1947" s="190"/>
      <c r="H1947" s="137"/>
      <c r="I1947" s="137"/>
      <c r="J1947" s="137"/>
      <c r="M1947" s="143"/>
      <c r="N1947" s="143"/>
      <c r="O1947" s="143"/>
      <c r="P1947" s="143"/>
      <c r="Q1947" s="137"/>
      <c r="R1947" s="137"/>
      <c r="S1947" s="137"/>
      <c r="T1947" s="137"/>
      <c r="U1947" s="137"/>
      <c r="V1947" s="137"/>
      <c r="W1947" s="137"/>
      <c r="X1947" s="137"/>
      <c r="Y1947" s="137"/>
      <c r="Z1947" s="137"/>
      <c r="AA1947" s="137"/>
    </row>
    <row r="1948" spans="5:27" x14ac:dyDescent="0.35">
      <c r="E1948" s="137"/>
      <c r="F1948" s="137"/>
      <c r="G1948" s="190"/>
      <c r="H1948" s="137"/>
      <c r="I1948" s="137"/>
      <c r="J1948" s="137"/>
      <c r="M1948" s="143"/>
      <c r="N1948" s="143"/>
      <c r="O1948" s="143"/>
      <c r="P1948" s="143"/>
      <c r="Q1948" s="137"/>
      <c r="R1948" s="137"/>
      <c r="S1948" s="137"/>
      <c r="T1948" s="137"/>
      <c r="U1948" s="137"/>
      <c r="V1948" s="137"/>
      <c r="W1948" s="137"/>
      <c r="X1948" s="137"/>
      <c r="Y1948" s="137"/>
      <c r="Z1948" s="137"/>
      <c r="AA1948" s="137"/>
    </row>
    <row r="1949" spans="5:27" x14ac:dyDescent="0.35">
      <c r="E1949" s="137"/>
      <c r="F1949" s="137"/>
      <c r="G1949" s="190"/>
      <c r="H1949" s="137"/>
      <c r="I1949" s="137"/>
      <c r="J1949" s="137"/>
      <c r="M1949" s="143"/>
      <c r="N1949" s="143"/>
      <c r="O1949" s="143"/>
      <c r="P1949" s="143"/>
      <c r="Q1949" s="137"/>
      <c r="R1949" s="137"/>
      <c r="S1949" s="137"/>
      <c r="T1949" s="137"/>
      <c r="U1949" s="137"/>
      <c r="V1949" s="137"/>
      <c r="W1949" s="137"/>
      <c r="X1949" s="137"/>
      <c r="Y1949" s="137"/>
      <c r="Z1949" s="137"/>
      <c r="AA1949" s="137"/>
    </row>
    <row r="1950" spans="5:27" x14ac:dyDescent="0.35">
      <c r="E1950" s="137"/>
      <c r="F1950" s="137"/>
      <c r="G1950" s="190"/>
      <c r="H1950" s="137"/>
      <c r="I1950" s="137"/>
      <c r="J1950" s="137"/>
      <c r="M1950" s="143"/>
      <c r="N1950" s="143"/>
      <c r="O1950" s="143"/>
      <c r="P1950" s="143"/>
      <c r="Q1950" s="137"/>
      <c r="R1950" s="137"/>
      <c r="S1950" s="137"/>
      <c r="T1950" s="137"/>
      <c r="U1950" s="137"/>
      <c r="V1950" s="137"/>
      <c r="W1950" s="137"/>
      <c r="X1950" s="137"/>
      <c r="Y1950" s="137"/>
      <c r="Z1950" s="137"/>
      <c r="AA1950" s="137"/>
    </row>
    <row r="1951" spans="5:27" x14ac:dyDescent="0.35">
      <c r="E1951" s="137"/>
      <c r="F1951" s="137"/>
      <c r="G1951" s="190"/>
      <c r="H1951" s="137"/>
      <c r="I1951" s="137"/>
      <c r="J1951" s="137"/>
      <c r="M1951" s="143"/>
      <c r="N1951" s="143"/>
      <c r="O1951" s="143"/>
      <c r="P1951" s="143"/>
      <c r="Q1951" s="137"/>
      <c r="R1951" s="137"/>
      <c r="S1951" s="137"/>
      <c r="T1951" s="137"/>
      <c r="U1951" s="137"/>
      <c r="V1951" s="137"/>
      <c r="W1951" s="137"/>
      <c r="X1951" s="137"/>
      <c r="Y1951" s="137"/>
      <c r="Z1951" s="137"/>
      <c r="AA1951" s="137"/>
    </row>
    <row r="1952" spans="5:27" x14ac:dyDescent="0.35">
      <c r="E1952" s="137"/>
      <c r="F1952" s="137"/>
      <c r="G1952" s="190"/>
      <c r="H1952" s="137"/>
      <c r="I1952" s="137"/>
      <c r="J1952" s="137"/>
      <c r="M1952" s="143"/>
      <c r="N1952" s="143"/>
      <c r="O1952" s="143"/>
      <c r="P1952" s="143"/>
      <c r="Q1952" s="137"/>
      <c r="R1952" s="137"/>
      <c r="S1952" s="137"/>
      <c r="T1952" s="137"/>
      <c r="U1952" s="137"/>
      <c r="V1952" s="137"/>
      <c r="W1952" s="137"/>
      <c r="X1952" s="137"/>
      <c r="Y1952" s="137"/>
      <c r="Z1952" s="137"/>
      <c r="AA1952" s="137"/>
    </row>
    <row r="1953" spans="5:27" x14ac:dyDescent="0.35">
      <c r="E1953" s="137"/>
      <c r="F1953" s="137"/>
      <c r="G1953" s="190"/>
      <c r="H1953" s="137"/>
      <c r="I1953" s="137"/>
      <c r="J1953" s="137"/>
      <c r="M1953" s="143"/>
      <c r="N1953" s="143"/>
      <c r="O1953" s="143"/>
      <c r="P1953" s="143"/>
      <c r="Q1953" s="137"/>
      <c r="R1953" s="137"/>
      <c r="S1953" s="137"/>
      <c r="T1953" s="137"/>
      <c r="U1953" s="137"/>
      <c r="V1953" s="137"/>
      <c r="W1953" s="137"/>
      <c r="X1953" s="137"/>
      <c r="Y1953" s="137"/>
      <c r="Z1953" s="137"/>
      <c r="AA1953" s="137"/>
    </row>
    <row r="1954" spans="5:27" x14ac:dyDescent="0.35">
      <c r="E1954" s="137"/>
      <c r="F1954" s="137"/>
      <c r="G1954" s="190"/>
      <c r="H1954" s="137"/>
      <c r="I1954" s="137"/>
      <c r="J1954" s="137"/>
      <c r="M1954" s="143"/>
      <c r="N1954" s="143"/>
      <c r="O1954" s="143"/>
      <c r="P1954" s="143"/>
      <c r="Q1954" s="137"/>
      <c r="R1954" s="137"/>
      <c r="S1954" s="137"/>
      <c r="T1954" s="137"/>
      <c r="U1954" s="137"/>
      <c r="V1954" s="137"/>
      <c r="W1954" s="137"/>
      <c r="X1954" s="137"/>
      <c r="Y1954" s="137"/>
      <c r="Z1954" s="137"/>
      <c r="AA1954" s="137"/>
    </row>
    <row r="1955" spans="5:27" x14ac:dyDescent="0.35">
      <c r="E1955" s="137"/>
      <c r="F1955" s="137"/>
      <c r="G1955" s="190"/>
      <c r="H1955" s="137"/>
      <c r="I1955" s="137"/>
      <c r="J1955" s="137"/>
      <c r="M1955" s="143"/>
      <c r="N1955" s="143"/>
      <c r="O1955" s="143"/>
      <c r="P1955" s="143"/>
      <c r="Q1955" s="137"/>
      <c r="R1955" s="137"/>
      <c r="S1955" s="137"/>
      <c r="T1955" s="137"/>
      <c r="U1955" s="137"/>
      <c r="V1955" s="137"/>
      <c r="W1955" s="137"/>
      <c r="X1955" s="137"/>
      <c r="Y1955" s="137"/>
      <c r="Z1955" s="137"/>
      <c r="AA1955" s="137"/>
    </row>
    <row r="1956" spans="5:27" x14ac:dyDescent="0.35">
      <c r="E1956" s="137"/>
      <c r="F1956" s="137"/>
      <c r="G1956" s="190"/>
      <c r="H1956" s="137"/>
      <c r="I1956" s="137"/>
      <c r="J1956" s="137"/>
      <c r="M1956" s="143"/>
      <c r="N1956" s="143"/>
      <c r="O1956" s="143"/>
      <c r="P1956" s="143"/>
      <c r="Q1956" s="137"/>
      <c r="R1956" s="137"/>
      <c r="S1956" s="137"/>
      <c r="T1956" s="137"/>
      <c r="U1956" s="137"/>
      <c r="V1956" s="137"/>
      <c r="W1956" s="137"/>
      <c r="X1956" s="137"/>
      <c r="Y1956" s="137"/>
      <c r="Z1956" s="137"/>
      <c r="AA1956" s="137"/>
    </row>
    <row r="1957" spans="5:27" x14ac:dyDescent="0.35">
      <c r="E1957" s="137"/>
      <c r="F1957" s="137"/>
      <c r="G1957" s="190"/>
      <c r="H1957" s="137"/>
      <c r="I1957" s="137"/>
      <c r="J1957" s="137"/>
      <c r="M1957" s="143"/>
      <c r="N1957" s="143"/>
      <c r="O1957" s="143"/>
      <c r="P1957" s="143"/>
      <c r="Q1957" s="137"/>
      <c r="R1957" s="137"/>
      <c r="S1957" s="137"/>
      <c r="T1957" s="137"/>
      <c r="U1957" s="137"/>
      <c r="V1957" s="137"/>
      <c r="W1957" s="137"/>
      <c r="X1957" s="137"/>
      <c r="Y1957" s="137"/>
      <c r="Z1957" s="137"/>
      <c r="AA1957" s="137"/>
    </row>
    <row r="1958" spans="5:27" x14ac:dyDescent="0.35">
      <c r="E1958" s="137"/>
      <c r="F1958" s="137"/>
      <c r="G1958" s="190"/>
      <c r="H1958" s="137"/>
      <c r="I1958" s="137"/>
      <c r="J1958" s="137"/>
      <c r="M1958" s="143"/>
      <c r="N1958" s="143"/>
      <c r="O1958" s="143"/>
      <c r="P1958" s="143"/>
      <c r="Q1958" s="137"/>
      <c r="R1958" s="137"/>
      <c r="S1958" s="137"/>
      <c r="T1958" s="137"/>
      <c r="U1958" s="137"/>
      <c r="V1958" s="137"/>
      <c r="W1958" s="137"/>
      <c r="X1958" s="137"/>
      <c r="Y1958" s="137"/>
      <c r="Z1958" s="137"/>
      <c r="AA1958" s="137"/>
    </row>
    <row r="1959" spans="5:27" x14ac:dyDescent="0.35">
      <c r="E1959" s="137"/>
      <c r="F1959" s="137"/>
      <c r="G1959" s="190"/>
      <c r="H1959" s="137"/>
      <c r="I1959" s="137"/>
      <c r="J1959" s="137"/>
      <c r="M1959" s="143"/>
      <c r="N1959" s="143"/>
      <c r="O1959" s="143"/>
      <c r="P1959" s="143"/>
      <c r="Q1959" s="137"/>
      <c r="R1959" s="137"/>
      <c r="S1959" s="137"/>
      <c r="T1959" s="137"/>
      <c r="U1959" s="137"/>
      <c r="V1959" s="137"/>
      <c r="W1959" s="137"/>
      <c r="X1959" s="137"/>
      <c r="Y1959" s="137"/>
      <c r="Z1959" s="137"/>
      <c r="AA1959" s="137"/>
    </row>
    <row r="1960" spans="5:27" x14ac:dyDescent="0.35">
      <c r="E1960" s="137"/>
      <c r="F1960" s="137"/>
      <c r="G1960" s="190"/>
      <c r="H1960" s="137"/>
      <c r="I1960" s="137"/>
      <c r="J1960" s="137"/>
      <c r="M1960" s="143"/>
      <c r="N1960" s="143"/>
      <c r="O1960" s="143"/>
      <c r="P1960" s="143"/>
      <c r="Q1960" s="137"/>
      <c r="R1960" s="137"/>
      <c r="S1960" s="137"/>
      <c r="T1960" s="137"/>
      <c r="U1960" s="137"/>
      <c r="V1960" s="137"/>
      <c r="W1960" s="137"/>
      <c r="X1960" s="137"/>
      <c r="Y1960" s="137"/>
      <c r="Z1960" s="137"/>
      <c r="AA1960" s="137"/>
    </row>
    <row r="1961" spans="5:27" x14ac:dyDescent="0.35">
      <c r="E1961" s="137"/>
      <c r="F1961" s="137"/>
      <c r="G1961" s="190"/>
      <c r="H1961" s="137"/>
      <c r="I1961" s="137"/>
      <c r="J1961" s="137"/>
      <c r="M1961" s="143"/>
      <c r="N1961" s="143"/>
      <c r="O1961" s="143"/>
      <c r="P1961" s="143"/>
      <c r="Q1961" s="137"/>
      <c r="R1961" s="137"/>
      <c r="S1961" s="137"/>
      <c r="T1961" s="137"/>
      <c r="U1961" s="137"/>
      <c r="V1961" s="137"/>
      <c r="W1961" s="137"/>
      <c r="X1961" s="137"/>
      <c r="Y1961" s="137"/>
      <c r="Z1961" s="137"/>
      <c r="AA1961" s="137"/>
    </row>
    <row r="1962" spans="5:27" x14ac:dyDescent="0.35">
      <c r="E1962" s="137"/>
      <c r="F1962" s="137"/>
      <c r="G1962" s="190"/>
      <c r="H1962" s="137"/>
      <c r="I1962" s="137"/>
      <c r="J1962" s="137"/>
      <c r="M1962" s="143"/>
      <c r="N1962" s="143"/>
      <c r="O1962" s="143"/>
      <c r="P1962" s="143"/>
      <c r="Q1962" s="137"/>
      <c r="R1962" s="137"/>
      <c r="S1962" s="137"/>
      <c r="T1962" s="137"/>
      <c r="U1962" s="137"/>
      <c r="V1962" s="137"/>
      <c r="W1962" s="137"/>
      <c r="X1962" s="137"/>
      <c r="Y1962" s="137"/>
      <c r="Z1962" s="137"/>
      <c r="AA1962" s="137"/>
    </row>
    <row r="1963" spans="5:27" x14ac:dyDescent="0.35">
      <c r="E1963" s="137"/>
      <c r="F1963" s="137"/>
      <c r="G1963" s="190"/>
      <c r="H1963" s="137"/>
      <c r="I1963" s="137"/>
      <c r="J1963" s="137"/>
      <c r="M1963" s="143"/>
      <c r="N1963" s="143"/>
      <c r="O1963" s="143"/>
      <c r="P1963" s="143"/>
      <c r="Q1963" s="137"/>
      <c r="R1963" s="137"/>
      <c r="S1963" s="137"/>
      <c r="T1963" s="137"/>
      <c r="U1963" s="137"/>
      <c r="V1963" s="137"/>
      <c r="W1963" s="137"/>
      <c r="X1963" s="137"/>
      <c r="Y1963" s="137"/>
      <c r="Z1963" s="137"/>
      <c r="AA1963" s="137"/>
    </row>
    <row r="1964" spans="5:27" x14ac:dyDescent="0.35">
      <c r="E1964" s="137"/>
      <c r="F1964" s="137"/>
      <c r="G1964" s="190"/>
      <c r="H1964" s="137"/>
      <c r="I1964" s="137"/>
      <c r="J1964" s="137"/>
      <c r="M1964" s="143"/>
      <c r="N1964" s="143"/>
      <c r="O1964" s="143"/>
      <c r="P1964" s="143"/>
      <c r="Q1964" s="137"/>
      <c r="R1964" s="137"/>
      <c r="S1964" s="137"/>
      <c r="T1964" s="137"/>
      <c r="U1964" s="137"/>
      <c r="V1964" s="137"/>
      <c r="W1964" s="137"/>
      <c r="X1964" s="137"/>
      <c r="Y1964" s="137"/>
      <c r="Z1964" s="137"/>
      <c r="AA1964" s="137"/>
    </row>
    <row r="1965" spans="5:27" x14ac:dyDescent="0.35">
      <c r="E1965" s="137"/>
      <c r="F1965" s="137"/>
      <c r="G1965" s="190"/>
      <c r="H1965" s="137"/>
      <c r="I1965" s="137"/>
      <c r="J1965" s="137"/>
      <c r="M1965" s="143"/>
      <c r="N1965" s="143"/>
      <c r="O1965" s="143"/>
      <c r="P1965" s="143"/>
      <c r="Q1965" s="137"/>
      <c r="R1965" s="137"/>
      <c r="S1965" s="137"/>
      <c r="T1965" s="137"/>
      <c r="U1965" s="137"/>
      <c r="V1965" s="137"/>
      <c r="W1965" s="137"/>
      <c r="X1965" s="137"/>
      <c r="Y1965" s="137"/>
      <c r="Z1965" s="137"/>
      <c r="AA1965" s="137"/>
    </row>
    <row r="1966" spans="5:27" x14ac:dyDescent="0.35">
      <c r="E1966" s="137"/>
      <c r="F1966" s="137"/>
      <c r="G1966" s="190"/>
      <c r="H1966" s="137"/>
      <c r="I1966" s="137"/>
      <c r="J1966" s="137"/>
      <c r="M1966" s="143"/>
      <c r="N1966" s="143"/>
      <c r="O1966" s="143"/>
      <c r="P1966" s="143"/>
      <c r="Q1966" s="137"/>
      <c r="R1966" s="137"/>
      <c r="S1966" s="137"/>
      <c r="T1966" s="137"/>
      <c r="U1966" s="137"/>
      <c r="V1966" s="137"/>
      <c r="W1966" s="137"/>
      <c r="X1966" s="137"/>
      <c r="Y1966" s="137"/>
      <c r="Z1966" s="137"/>
      <c r="AA1966" s="137"/>
    </row>
    <row r="1967" spans="5:27" x14ac:dyDescent="0.35">
      <c r="E1967" s="137"/>
      <c r="F1967" s="137"/>
      <c r="G1967" s="190"/>
      <c r="H1967" s="137"/>
      <c r="I1967" s="137"/>
      <c r="J1967" s="137"/>
      <c r="M1967" s="143"/>
      <c r="N1967" s="143"/>
      <c r="O1967" s="143"/>
      <c r="P1967" s="143"/>
      <c r="Q1967" s="137"/>
      <c r="R1967" s="137"/>
      <c r="S1967" s="137"/>
      <c r="T1967" s="137"/>
      <c r="U1967" s="137"/>
      <c r="V1967" s="137"/>
      <c r="W1967" s="137"/>
      <c r="X1967" s="137"/>
      <c r="Y1967" s="137"/>
      <c r="Z1967" s="137"/>
      <c r="AA1967" s="137"/>
    </row>
    <row r="1968" spans="5:27" x14ac:dyDescent="0.35">
      <c r="E1968" s="137"/>
      <c r="F1968" s="137"/>
      <c r="G1968" s="190"/>
      <c r="H1968" s="137"/>
      <c r="I1968" s="137"/>
      <c r="J1968" s="137"/>
      <c r="M1968" s="143"/>
      <c r="N1968" s="143"/>
      <c r="O1968" s="143"/>
      <c r="P1968" s="143"/>
      <c r="Q1968" s="137"/>
      <c r="R1968" s="137"/>
      <c r="S1968" s="137"/>
      <c r="T1968" s="137"/>
      <c r="U1968" s="137"/>
      <c r="V1968" s="137"/>
      <c r="W1968" s="137"/>
      <c r="X1968" s="137"/>
      <c r="Y1968" s="137"/>
      <c r="Z1968" s="137"/>
      <c r="AA1968" s="137"/>
    </row>
    <row r="1969" spans="5:27" x14ac:dyDescent="0.35">
      <c r="E1969" s="137"/>
      <c r="F1969" s="137"/>
      <c r="G1969" s="190"/>
      <c r="H1969" s="137"/>
      <c r="I1969" s="137"/>
      <c r="J1969" s="137"/>
      <c r="M1969" s="143"/>
      <c r="N1969" s="143"/>
      <c r="O1969" s="143"/>
      <c r="P1969" s="143"/>
      <c r="Q1969" s="137"/>
      <c r="R1969" s="137"/>
      <c r="S1969" s="137"/>
      <c r="T1969" s="137"/>
      <c r="U1969" s="137"/>
      <c r="V1969" s="137"/>
      <c r="W1969" s="137"/>
      <c r="X1969" s="137"/>
      <c r="Y1969" s="137"/>
      <c r="Z1969" s="137"/>
      <c r="AA1969" s="137"/>
    </row>
    <row r="1970" spans="5:27" x14ac:dyDescent="0.35">
      <c r="E1970" s="137"/>
      <c r="F1970" s="137"/>
      <c r="G1970" s="190"/>
      <c r="H1970" s="137"/>
      <c r="I1970" s="137"/>
      <c r="J1970" s="137"/>
      <c r="M1970" s="143"/>
      <c r="N1970" s="143"/>
      <c r="O1970" s="143"/>
      <c r="P1970" s="143"/>
      <c r="Q1970" s="137"/>
      <c r="R1970" s="137"/>
      <c r="S1970" s="137"/>
      <c r="T1970" s="137"/>
      <c r="U1970" s="137"/>
      <c r="V1970" s="137"/>
      <c r="W1970" s="137"/>
      <c r="X1970" s="137"/>
      <c r="Y1970" s="137"/>
      <c r="Z1970" s="137"/>
      <c r="AA1970" s="137"/>
    </row>
    <row r="1971" spans="5:27" x14ac:dyDescent="0.35">
      <c r="E1971" s="137"/>
      <c r="F1971" s="137"/>
      <c r="G1971" s="190"/>
      <c r="H1971" s="137"/>
      <c r="I1971" s="137"/>
      <c r="J1971" s="137"/>
      <c r="M1971" s="143"/>
      <c r="N1971" s="143"/>
      <c r="O1971" s="143"/>
      <c r="P1971" s="143"/>
      <c r="Q1971" s="137"/>
      <c r="R1971" s="137"/>
      <c r="S1971" s="137"/>
      <c r="T1971" s="137"/>
      <c r="U1971" s="137"/>
      <c r="V1971" s="137"/>
      <c r="W1971" s="137"/>
      <c r="X1971" s="137"/>
      <c r="Y1971" s="137"/>
      <c r="Z1971" s="137"/>
      <c r="AA1971" s="137"/>
    </row>
    <row r="1972" spans="5:27" x14ac:dyDescent="0.35">
      <c r="E1972" s="137"/>
      <c r="F1972" s="137"/>
      <c r="G1972" s="190"/>
      <c r="H1972" s="137"/>
      <c r="I1972" s="137"/>
      <c r="J1972" s="137"/>
      <c r="M1972" s="143"/>
      <c r="N1972" s="143"/>
      <c r="O1972" s="143"/>
      <c r="P1972" s="143"/>
      <c r="Q1972" s="137"/>
      <c r="R1972" s="137"/>
      <c r="S1972" s="137"/>
      <c r="T1972" s="137"/>
      <c r="U1972" s="137"/>
      <c r="V1972" s="137"/>
      <c r="W1972" s="137"/>
      <c r="X1972" s="137"/>
      <c r="Y1972" s="137"/>
      <c r="Z1972" s="137"/>
      <c r="AA1972" s="137"/>
    </row>
    <row r="1973" spans="5:27" x14ac:dyDescent="0.35">
      <c r="E1973" s="137"/>
      <c r="F1973" s="137"/>
      <c r="G1973" s="190"/>
      <c r="H1973" s="137"/>
      <c r="I1973" s="137"/>
      <c r="J1973" s="137"/>
      <c r="M1973" s="143"/>
      <c r="N1973" s="143"/>
      <c r="O1973" s="143"/>
      <c r="P1973" s="143"/>
      <c r="Q1973" s="137"/>
      <c r="R1973" s="137"/>
      <c r="S1973" s="137"/>
      <c r="T1973" s="137"/>
      <c r="U1973" s="137"/>
      <c r="V1973" s="137"/>
      <c r="W1973" s="137"/>
      <c r="X1973" s="137"/>
      <c r="Y1973" s="137"/>
      <c r="Z1973" s="137"/>
      <c r="AA1973" s="137"/>
    </row>
    <row r="1974" spans="5:27" x14ac:dyDescent="0.35">
      <c r="E1974" s="137"/>
      <c r="F1974" s="137"/>
      <c r="G1974" s="190"/>
      <c r="H1974" s="137"/>
      <c r="I1974" s="137"/>
      <c r="J1974" s="137"/>
      <c r="M1974" s="143"/>
      <c r="N1974" s="143"/>
      <c r="O1974" s="143"/>
      <c r="P1974" s="143"/>
      <c r="Q1974" s="137"/>
      <c r="R1974" s="137"/>
      <c r="S1974" s="137"/>
      <c r="T1974" s="137"/>
      <c r="U1974" s="137"/>
      <c r="V1974" s="137"/>
      <c r="W1974" s="137"/>
      <c r="X1974" s="137"/>
      <c r="Y1974" s="137"/>
      <c r="Z1974" s="137"/>
      <c r="AA1974" s="137"/>
    </row>
    <row r="1975" spans="5:27" x14ac:dyDescent="0.35">
      <c r="E1975" s="137"/>
      <c r="F1975" s="137"/>
      <c r="G1975" s="190"/>
      <c r="H1975" s="137"/>
      <c r="I1975" s="137"/>
      <c r="J1975" s="137"/>
      <c r="M1975" s="143"/>
      <c r="N1975" s="143"/>
      <c r="O1975" s="143"/>
      <c r="P1975" s="143"/>
      <c r="Q1975" s="137"/>
      <c r="R1975" s="137"/>
      <c r="S1975" s="137"/>
      <c r="T1975" s="137"/>
      <c r="U1975" s="137"/>
      <c r="V1975" s="137"/>
      <c r="W1975" s="137"/>
      <c r="X1975" s="137"/>
      <c r="Y1975" s="137"/>
      <c r="Z1975" s="137"/>
      <c r="AA1975" s="137"/>
    </row>
    <row r="1976" spans="5:27" x14ac:dyDescent="0.35">
      <c r="E1976" s="137"/>
      <c r="F1976" s="137"/>
      <c r="G1976" s="190"/>
      <c r="H1976" s="137"/>
      <c r="I1976" s="137"/>
      <c r="J1976" s="137"/>
      <c r="M1976" s="143"/>
      <c r="N1976" s="143"/>
      <c r="O1976" s="143"/>
      <c r="P1976" s="143"/>
      <c r="Q1976" s="137"/>
      <c r="R1976" s="137"/>
      <c r="S1976" s="137"/>
      <c r="T1976" s="137"/>
      <c r="U1976" s="137"/>
      <c r="V1976" s="137"/>
      <c r="W1976" s="137"/>
      <c r="X1976" s="137"/>
      <c r="Y1976" s="137"/>
      <c r="Z1976" s="137"/>
      <c r="AA1976" s="137"/>
    </row>
    <row r="1977" spans="5:27" x14ac:dyDescent="0.35">
      <c r="E1977" s="137"/>
      <c r="F1977" s="137"/>
      <c r="G1977" s="190"/>
      <c r="H1977" s="137"/>
      <c r="I1977" s="137"/>
      <c r="J1977" s="137"/>
      <c r="M1977" s="143"/>
      <c r="N1977" s="143"/>
      <c r="O1977" s="143"/>
      <c r="P1977" s="143"/>
      <c r="Q1977" s="137"/>
      <c r="R1977" s="137"/>
      <c r="S1977" s="137"/>
      <c r="T1977" s="137"/>
      <c r="U1977" s="137"/>
      <c r="V1977" s="137"/>
      <c r="W1977" s="137"/>
      <c r="X1977" s="137"/>
      <c r="Y1977" s="137"/>
      <c r="Z1977" s="137"/>
      <c r="AA1977" s="137"/>
    </row>
    <row r="1978" spans="5:27" x14ac:dyDescent="0.35">
      <c r="E1978" s="137"/>
      <c r="F1978" s="137"/>
      <c r="G1978" s="190"/>
      <c r="H1978" s="137"/>
      <c r="I1978" s="137"/>
      <c r="J1978" s="137"/>
      <c r="M1978" s="143"/>
      <c r="N1978" s="143"/>
      <c r="O1978" s="143"/>
      <c r="P1978" s="143"/>
      <c r="Q1978" s="137"/>
      <c r="R1978" s="137"/>
      <c r="S1978" s="137"/>
      <c r="T1978" s="137"/>
      <c r="U1978" s="137"/>
      <c r="V1978" s="137"/>
      <c r="W1978" s="137"/>
      <c r="X1978" s="137"/>
      <c r="Y1978" s="137"/>
      <c r="Z1978" s="137"/>
      <c r="AA1978" s="137"/>
    </row>
    <row r="1979" spans="5:27" x14ac:dyDescent="0.35">
      <c r="E1979" s="137"/>
      <c r="F1979" s="137"/>
      <c r="G1979" s="190"/>
      <c r="H1979" s="137"/>
      <c r="I1979" s="137"/>
      <c r="J1979" s="137"/>
      <c r="M1979" s="143"/>
      <c r="N1979" s="143"/>
      <c r="O1979" s="143"/>
      <c r="P1979" s="143"/>
      <c r="Q1979" s="137"/>
      <c r="R1979" s="137"/>
      <c r="S1979" s="137"/>
      <c r="T1979" s="137"/>
      <c r="U1979" s="137"/>
      <c r="V1979" s="137"/>
      <c r="W1979" s="137"/>
      <c r="X1979" s="137"/>
      <c r="Y1979" s="137"/>
      <c r="Z1979" s="137"/>
      <c r="AA1979" s="137"/>
    </row>
    <row r="1980" spans="5:27" x14ac:dyDescent="0.35">
      <c r="E1980" s="137"/>
      <c r="F1980" s="137"/>
      <c r="G1980" s="190"/>
      <c r="H1980" s="137"/>
      <c r="I1980" s="137"/>
      <c r="J1980" s="137"/>
      <c r="M1980" s="143"/>
      <c r="N1980" s="143"/>
      <c r="O1980" s="143"/>
      <c r="P1980" s="143"/>
      <c r="Q1980" s="137"/>
      <c r="R1980" s="137"/>
      <c r="S1980" s="137"/>
      <c r="T1980" s="137"/>
      <c r="U1980" s="137"/>
      <c r="V1980" s="137"/>
      <c r="W1980" s="137"/>
      <c r="X1980" s="137"/>
      <c r="Y1980" s="137"/>
      <c r="Z1980" s="137"/>
      <c r="AA1980" s="137"/>
    </row>
    <row r="1981" spans="5:27" x14ac:dyDescent="0.35">
      <c r="E1981" s="137"/>
      <c r="F1981" s="137"/>
      <c r="G1981" s="190"/>
      <c r="H1981" s="137"/>
      <c r="I1981" s="137"/>
      <c r="J1981" s="137"/>
      <c r="M1981" s="143"/>
      <c r="N1981" s="143"/>
      <c r="O1981" s="143"/>
      <c r="P1981" s="143"/>
      <c r="Q1981" s="137"/>
      <c r="R1981" s="137"/>
      <c r="S1981" s="137"/>
      <c r="T1981" s="137"/>
      <c r="U1981" s="137"/>
      <c r="V1981" s="137"/>
      <c r="W1981" s="137"/>
      <c r="X1981" s="137"/>
      <c r="Y1981" s="137"/>
      <c r="Z1981" s="137"/>
      <c r="AA1981" s="137"/>
    </row>
    <row r="1982" spans="5:27" x14ac:dyDescent="0.35">
      <c r="E1982" s="137"/>
      <c r="F1982" s="137"/>
      <c r="G1982" s="190"/>
      <c r="H1982" s="137"/>
      <c r="I1982" s="137"/>
      <c r="J1982" s="137"/>
      <c r="M1982" s="143"/>
      <c r="N1982" s="143"/>
      <c r="O1982" s="143"/>
      <c r="P1982" s="143"/>
      <c r="Q1982" s="137"/>
      <c r="R1982" s="137"/>
      <c r="S1982" s="137"/>
      <c r="T1982" s="137"/>
      <c r="U1982" s="137"/>
      <c r="V1982" s="137"/>
      <c r="W1982" s="137"/>
      <c r="X1982" s="137"/>
      <c r="Y1982" s="137"/>
      <c r="Z1982" s="137"/>
      <c r="AA1982" s="137"/>
    </row>
    <row r="1983" spans="5:27" x14ac:dyDescent="0.35">
      <c r="E1983" s="137"/>
      <c r="F1983" s="137"/>
      <c r="G1983" s="190"/>
      <c r="H1983" s="137"/>
      <c r="I1983" s="137"/>
      <c r="J1983" s="137"/>
      <c r="M1983" s="143"/>
      <c r="N1983" s="143"/>
      <c r="O1983" s="143"/>
      <c r="P1983" s="143"/>
      <c r="Q1983" s="137"/>
      <c r="R1983" s="137"/>
      <c r="S1983" s="137"/>
      <c r="T1983" s="137"/>
      <c r="U1983" s="137"/>
      <c r="V1983" s="137"/>
      <c r="W1983" s="137"/>
      <c r="X1983" s="137"/>
      <c r="Y1983" s="137"/>
      <c r="Z1983" s="137"/>
      <c r="AA1983" s="137"/>
    </row>
    <row r="1984" spans="5:27" x14ac:dyDescent="0.35">
      <c r="E1984" s="137"/>
      <c r="F1984" s="137"/>
      <c r="G1984" s="190"/>
      <c r="H1984" s="137"/>
      <c r="I1984" s="137"/>
      <c r="J1984" s="137"/>
      <c r="M1984" s="143"/>
      <c r="N1984" s="143"/>
      <c r="O1984" s="143"/>
      <c r="P1984" s="143"/>
      <c r="Q1984" s="137"/>
      <c r="R1984" s="137"/>
      <c r="S1984" s="137"/>
      <c r="T1984" s="137"/>
      <c r="U1984" s="137"/>
      <c r="V1984" s="137"/>
      <c r="W1984" s="137"/>
      <c r="X1984" s="137"/>
      <c r="Y1984" s="137"/>
      <c r="Z1984" s="137"/>
      <c r="AA1984" s="137"/>
    </row>
    <row r="1985" spans="5:27" x14ac:dyDescent="0.35">
      <c r="E1985" s="137"/>
      <c r="F1985" s="137"/>
      <c r="G1985" s="190"/>
      <c r="H1985" s="137"/>
      <c r="I1985" s="137"/>
      <c r="J1985" s="137"/>
      <c r="M1985" s="143"/>
      <c r="N1985" s="143"/>
      <c r="O1985" s="143"/>
      <c r="P1985" s="143"/>
      <c r="Q1985" s="137"/>
      <c r="R1985" s="137"/>
      <c r="S1985" s="137"/>
      <c r="T1985" s="137"/>
      <c r="U1985" s="137"/>
      <c r="V1985" s="137"/>
      <c r="W1985" s="137"/>
      <c r="X1985" s="137"/>
      <c r="Y1985" s="137"/>
      <c r="Z1985" s="137"/>
      <c r="AA1985" s="137"/>
    </row>
    <row r="1986" spans="5:27" x14ac:dyDescent="0.35">
      <c r="E1986" s="137"/>
      <c r="F1986" s="137"/>
      <c r="G1986" s="190"/>
      <c r="H1986" s="137"/>
      <c r="I1986" s="137"/>
      <c r="J1986" s="137"/>
      <c r="M1986" s="143"/>
      <c r="N1986" s="143"/>
      <c r="O1986" s="143"/>
      <c r="P1986" s="143"/>
      <c r="Q1986" s="137"/>
      <c r="R1986" s="137"/>
      <c r="S1986" s="137"/>
      <c r="T1986" s="137"/>
      <c r="U1986" s="137"/>
      <c r="V1986" s="137"/>
      <c r="W1986" s="137"/>
      <c r="X1986" s="137"/>
      <c r="Y1986" s="137"/>
      <c r="Z1986" s="137"/>
      <c r="AA1986" s="137"/>
    </row>
    <row r="1987" spans="5:27" x14ac:dyDescent="0.35">
      <c r="E1987" s="137"/>
      <c r="F1987" s="137"/>
      <c r="G1987" s="190"/>
      <c r="H1987" s="137"/>
      <c r="I1987" s="137"/>
      <c r="J1987" s="137"/>
      <c r="M1987" s="143"/>
      <c r="N1987" s="143"/>
      <c r="O1987" s="143"/>
      <c r="P1987" s="143"/>
      <c r="Q1987" s="137"/>
      <c r="R1987" s="137"/>
      <c r="S1987" s="137"/>
      <c r="T1987" s="137"/>
      <c r="U1987" s="137"/>
      <c r="V1987" s="137"/>
      <c r="W1987" s="137"/>
      <c r="X1987" s="137"/>
      <c r="Y1987" s="137"/>
      <c r="Z1987" s="137"/>
      <c r="AA1987" s="137"/>
    </row>
    <row r="1988" spans="5:27" x14ac:dyDescent="0.35">
      <c r="E1988" s="137"/>
      <c r="F1988" s="137"/>
      <c r="G1988" s="190"/>
      <c r="H1988" s="137"/>
      <c r="I1988" s="137"/>
      <c r="J1988" s="137"/>
      <c r="M1988" s="143"/>
      <c r="N1988" s="143"/>
      <c r="O1988" s="143"/>
      <c r="P1988" s="143"/>
      <c r="Q1988" s="137"/>
      <c r="R1988" s="137"/>
      <c r="S1988" s="137"/>
      <c r="T1988" s="137"/>
      <c r="U1988" s="137"/>
      <c r="V1988" s="137"/>
      <c r="W1988" s="137"/>
      <c r="X1988" s="137"/>
      <c r="Y1988" s="137"/>
      <c r="Z1988" s="137"/>
      <c r="AA1988" s="137"/>
    </row>
    <row r="1989" spans="5:27" x14ac:dyDescent="0.35">
      <c r="E1989" s="137"/>
      <c r="F1989" s="137"/>
      <c r="G1989" s="190"/>
      <c r="H1989" s="137"/>
      <c r="I1989" s="137"/>
      <c r="J1989" s="137"/>
      <c r="M1989" s="143"/>
      <c r="N1989" s="143"/>
      <c r="O1989" s="143"/>
      <c r="P1989" s="143"/>
      <c r="Q1989" s="137"/>
      <c r="R1989" s="137"/>
      <c r="S1989" s="137"/>
      <c r="T1989" s="137"/>
      <c r="U1989" s="137"/>
      <c r="V1989" s="137"/>
      <c r="W1989" s="137"/>
      <c r="X1989" s="137"/>
      <c r="Y1989" s="137"/>
      <c r="Z1989" s="137"/>
      <c r="AA1989" s="137"/>
    </row>
    <row r="1990" spans="5:27" x14ac:dyDescent="0.35">
      <c r="E1990" s="137"/>
      <c r="F1990" s="137"/>
      <c r="G1990" s="190"/>
      <c r="H1990" s="137"/>
      <c r="I1990" s="137"/>
      <c r="J1990" s="137"/>
      <c r="M1990" s="143"/>
      <c r="N1990" s="143"/>
      <c r="O1990" s="143"/>
      <c r="P1990" s="143"/>
      <c r="Q1990" s="137"/>
      <c r="R1990" s="137"/>
      <c r="S1990" s="137"/>
      <c r="T1990" s="137"/>
      <c r="U1990" s="137"/>
      <c r="V1990" s="137"/>
      <c r="W1990" s="137"/>
      <c r="X1990" s="137"/>
      <c r="Y1990" s="137"/>
      <c r="Z1990" s="137"/>
      <c r="AA1990" s="137"/>
    </row>
    <row r="1991" spans="5:27" x14ac:dyDescent="0.35">
      <c r="E1991" s="137"/>
      <c r="F1991" s="137"/>
      <c r="G1991" s="190"/>
      <c r="H1991" s="137"/>
      <c r="I1991" s="137"/>
      <c r="J1991" s="137"/>
      <c r="M1991" s="143"/>
      <c r="N1991" s="143"/>
      <c r="O1991" s="143"/>
      <c r="P1991" s="143"/>
      <c r="Q1991" s="137"/>
      <c r="R1991" s="137"/>
      <c r="S1991" s="137"/>
      <c r="T1991" s="137"/>
      <c r="U1991" s="137"/>
      <c r="V1991" s="137"/>
      <c r="W1991" s="137"/>
      <c r="X1991" s="137"/>
      <c r="Y1991" s="137"/>
      <c r="Z1991" s="137"/>
      <c r="AA1991" s="137"/>
    </row>
    <row r="1992" spans="5:27" x14ac:dyDescent="0.35">
      <c r="E1992" s="137"/>
      <c r="F1992" s="137"/>
      <c r="G1992" s="190"/>
      <c r="H1992" s="137"/>
      <c r="I1992" s="137"/>
      <c r="J1992" s="137"/>
      <c r="M1992" s="143"/>
      <c r="N1992" s="143"/>
      <c r="O1992" s="143"/>
      <c r="P1992" s="143"/>
      <c r="Q1992" s="137"/>
      <c r="R1992" s="137"/>
      <c r="S1992" s="137"/>
      <c r="T1992" s="137"/>
      <c r="U1992" s="137"/>
      <c r="V1992" s="137"/>
      <c r="W1992" s="137"/>
      <c r="X1992" s="137"/>
      <c r="Y1992" s="137"/>
      <c r="Z1992" s="137"/>
      <c r="AA1992" s="137"/>
    </row>
    <row r="1993" spans="5:27" x14ac:dyDescent="0.35">
      <c r="E1993" s="137"/>
      <c r="F1993" s="137"/>
      <c r="G1993" s="190"/>
      <c r="H1993" s="137"/>
      <c r="I1993" s="137"/>
      <c r="J1993" s="137"/>
      <c r="M1993" s="143"/>
      <c r="N1993" s="143"/>
      <c r="O1993" s="143"/>
      <c r="P1993" s="143"/>
      <c r="Q1993" s="137"/>
      <c r="R1993" s="137"/>
      <c r="S1993" s="137"/>
      <c r="T1993" s="137"/>
      <c r="U1993" s="137"/>
      <c r="V1993" s="137"/>
      <c r="W1993" s="137"/>
      <c r="X1993" s="137"/>
      <c r="Y1993" s="137"/>
      <c r="Z1993" s="137"/>
      <c r="AA1993" s="137"/>
    </row>
    <row r="1994" spans="5:27" x14ac:dyDescent="0.35">
      <c r="E1994" s="137"/>
      <c r="F1994" s="137"/>
      <c r="G1994" s="190"/>
      <c r="H1994" s="137"/>
      <c r="I1994" s="137"/>
      <c r="J1994" s="137"/>
      <c r="M1994" s="143"/>
      <c r="N1994" s="143"/>
      <c r="O1994" s="143"/>
      <c r="P1994" s="143"/>
      <c r="Q1994" s="137"/>
      <c r="R1994" s="137"/>
      <c r="S1994" s="137"/>
      <c r="T1994" s="137"/>
      <c r="U1994" s="137"/>
      <c r="V1994" s="137"/>
      <c r="W1994" s="137"/>
      <c r="X1994" s="137"/>
      <c r="Y1994" s="137"/>
      <c r="Z1994" s="137"/>
      <c r="AA1994" s="137"/>
    </row>
    <row r="1995" spans="5:27" x14ac:dyDescent="0.35">
      <c r="E1995" s="137"/>
      <c r="F1995" s="137"/>
      <c r="G1995" s="190"/>
      <c r="H1995" s="137"/>
      <c r="I1995" s="137"/>
      <c r="J1995" s="137"/>
      <c r="M1995" s="143"/>
      <c r="N1995" s="143"/>
      <c r="O1995" s="143"/>
      <c r="P1995" s="143"/>
      <c r="Q1995" s="137"/>
      <c r="R1995" s="137"/>
      <c r="S1995" s="137"/>
      <c r="T1995" s="137"/>
      <c r="U1995" s="137"/>
      <c r="V1995" s="137"/>
      <c r="W1995" s="137"/>
      <c r="X1995" s="137"/>
      <c r="Y1995" s="137"/>
      <c r="Z1995" s="137"/>
      <c r="AA1995" s="137"/>
    </row>
    <row r="1996" spans="5:27" x14ac:dyDescent="0.35">
      <c r="E1996" s="137"/>
      <c r="F1996" s="137"/>
      <c r="G1996" s="190"/>
      <c r="H1996" s="137"/>
      <c r="I1996" s="137"/>
      <c r="J1996" s="137"/>
      <c r="M1996" s="143"/>
      <c r="N1996" s="143"/>
      <c r="O1996" s="143"/>
      <c r="P1996" s="143"/>
      <c r="Q1996" s="137"/>
      <c r="R1996" s="137"/>
      <c r="S1996" s="137"/>
      <c r="T1996" s="137"/>
      <c r="U1996" s="137"/>
      <c r="V1996" s="137"/>
      <c r="W1996" s="137"/>
      <c r="X1996" s="137"/>
      <c r="Y1996" s="137"/>
      <c r="Z1996" s="137"/>
      <c r="AA1996" s="137"/>
    </row>
    <row r="1997" spans="5:27" x14ac:dyDescent="0.35">
      <c r="E1997" s="137"/>
      <c r="F1997" s="137"/>
      <c r="G1997" s="190"/>
      <c r="H1997" s="137"/>
      <c r="I1997" s="137"/>
      <c r="J1997" s="137"/>
      <c r="M1997" s="143"/>
      <c r="N1997" s="143"/>
      <c r="O1997" s="143"/>
      <c r="P1997" s="143"/>
      <c r="Q1997" s="137"/>
      <c r="R1997" s="137"/>
      <c r="S1997" s="137"/>
      <c r="T1997" s="137"/>
      <c r="U1997" s="137"/>
      <c r="V1997" s="137"/>
      <c r="W1997" s="137"/>
      <c r="X1997" s="137"/>
      <c r="Y1997" s="137"/>
      <c r="Z1997" s="137"/>
      <c r="AA1997" s="137"/>
    </row>
    <row r="1998" spans="5:27" x14ac:dyDescent="0.35">
      <c r="E1998" s="137"/>
      <c r="F1998" s="137"/>
      <c r="G1998" s="190"/>
      <c r="H1998" s="137"/>
      <c r="I1998" s="137"/>
      <c r="J1998" s="137"/>
      <c r="M1998" s="143"/>
      <c r="N1998" s="143"/>
      <c r="O1998" s="143"/>
      <c r="P1998" s="143"/>
      <c r="Q1998" s="137"/>
      <c r="R1998" s="137"/>
      <c r="S1998" s="137"/>
      <c r="T1998" s="137"/>
      <c r="U1998" s="137"/>
      <c r="V1998" s="137"/>
      <c r="W1998" s="137"/>
      <c r="X1998" s="137"/>
      <c r="Y1998" s="137"/>
      <c r="Z1998" s="137"/>
      <c r="AA1998" s="137"/>
    </row>
    <row r="1999" spans="5:27" x14ac:dyDescent="0.35">
      <c r="E1999" s="137"/>
      <c r="F1999" s="137"/>
      <c r="G1999" s="190"/>
      <c r="H1999" s="137"/>
      <c r="I1999" s="137"/>
      <c r="J1999" s="137"/>
      <c r="M1999" s="143"/>
      <c r="N1999" s="143"/>
      <c r="O1999" s="143"/>
      <c r="P1999" s="143"/>
      <c r="Q1999" s="137"/>
      <c r="R1999" s="137"/>
      <c r="S1999" s="137"/>
      <c r="T1999" s="137"/>
      <c r="U1999" s="137"/>
      <c r="V1999" s="137"/>
      <c r="W1999" s="137"/>
      <c r="X1999" s="137"/>
      <c r="Y1999" s="137"/>
      <c r="Z1999" s="137"/>
      <c r="AA1999" s="137"/>
    </row>
    <row r="2000" spans="5:27" x14ac:dyDescent="0.35">
      <c r="E2000" s="137"/>
      <c r="F2000" s="137"/>
      <c r="G2000" s="190"/>
      <c r="H2000" s="137"/>
      <c r="I2000" s="137"/>
      <c r="J2000" s="137"/>
      <c r="M2000" s="143"/>
      <c r="N2000" s="143"/>
      <c r="O2000" s="143"/>
      <c r="P2000" s="143"/>
      <c r="Q2000" s="137"/>
      <c r="R2000" s="137"/>
      <c r="S2000" s="137"/>
      <c r="T2000" s="137"/>
      <c r="U2000" s="137"/>
      <c r="V2000" s="137"/>
      <c r="W2000" s="137"/>
      <c r="X2000" s="137"/>
      <c r="Y2000" s="137"/>
      <c r="Z2000" s="137"/>
      <c r="AA2000" s="137"/>
    </row>
    <row r="2001" spans="5:27" x14ac:dyDescent="0.35">
      <c r="E2001" s="137"/>
      <c r="F2001" s="137"/>
      <c r="G2001" s="190"/>
      <c r="H2001" s="137"/>
      <c r="I2001" s="137"/>
      <c r="J2001" s="137"/>
      <c r="M2001" s="143"/>
      <c r="N2001" s="143"/>
      <c r="O2001" s="143"/>
      <c r="P2001" s="143"/>
      <c r="Q2001" s="137"/>
      <c r="R2001" s="137"/>
      <c r="S2001" s="137"/>
      <c r="T2001" s="137"/>
      <c r="U2001" s="137"/>
      <c r="V2001" s="137"/>
      <c r="W2001" s="137"/>
      <c r="X2001" s="137"/>
      <c r="Y2001" s="137"/>
      <c r="Z2001" s="137"/>
      <c r="AA2001" s="137"/>
    </row>
    <row r="2002" spans="5:27" x14ac:dyDescent="0.35">
      <c r="E2002" s="137"/>
      <c r="F2002" s="137"/>
      <c r="G2002" s="190"/>
      <c r="H2002" s="137"/>
      <c r="I2002" s="137"/>
      <c r="J2002" s="137"/>
      <c r="M2002" s="143"/>
      <c r="N2002" s="143"/>
      <c r="O2002" s="143"/>
      <c r="P2002" s="143"/>
      <c r="Q2002" s="137"/>
      <c r="R2002" s="137"/>
      <c r="S2002" s="137"/>
      <c r="T2002" s="137"/>
      <c r="U2002" s="137"/>
      <c r="V2002" s="137"/>
      <c r="W2002" s="137"/>
      <c r="X2002" s="137"/>
      <c r="Y2002" s="137"/>
      <c r="Z2002" s="137"/>
      <c r="AA2002" s="137"/>
    </row>
    <row r="2003" spans="5:27" x14ac:dyDescent="0.35">
      <c r="E2003" s="137"/>
      <c r="F2003" s="137"/>
      <c r="G2003" s="190"/>
      <c r="H2003" s="137"/>
      <c r="I2003" s="137"/>
      <c r="J2003" s="137"/>
      <c r="M2003" s="143"/>
      <c r="N2003" s="143"/>
      <c r="O2003" s="143"/>
      <c r="P2003" s="143"/>
      <c r="Q2003" s="137"/>
      <c r="R2003" s="137"/>
      <c r="S2003" s="137"/>
      <c r="T2003" s="137"/>
      <c r="U2003" s="137"/>
      <c r="V2003" s="137"/>
      <c r="W2003" s="137"/>
      <c r="X2003" s="137"/>
      <c r="Y2003" s="137"/>
      <c r="Z2003" s="137"/>
      <c r="AA2003" s="137"/>
    </row>
    <row r="2004" spans="5:27" x14ac:dyDescent="0.35">
      <c r="E2004" s="137"/>
      <c r="F2004" s="137"/>
      <c r="G2004" s="190"/>
      <c r="H2004" s="137"/>
      <c r="I2004" s="137"/>
      <c r="J2004" s="137"/>
      <c r="M2004" s="143"/>
      <c r="N2004" s="143"/>
      <c r="O2004" s="143"/>
      <c r="P2004" s="143"/>
      <c r="Q2004" s="137"/>
      <c r="R2004" s="137"/>
      <c r="S2004" s="137"/>
      <c r="T2004" s="137"/>
      <c r="U2004" s="137"/>
      <c r="V2004" s="137"/>
      <c r="W2004" s="137"/>
      <c r="X2004" s="137"/>
      <c r="Y2004" s="137"/>
      <c r="Z2004" s="137"/>
      <c r="AA2004" s="137"/>
    </row>
    <row r="2005" spans="5:27" x14ac:dyDescent="0.35">
      <c r="E2005" s="137"/>
      <c r="F2005" s="137"/>
      <c r="G2005" s="190"/>
      <c r="H2005" s="137"/>
      <c r="I2005" s="137"/>
      <c r="J2005" s="137"/>
      <c r="M2005" s="143"/>
      <c r="N2005" s="143"/>
      <c r="O2005" s="143"/>
      <c r="P2005" s="143"/>
      <c r="Q2005" s="137"/>
      <c r="R2005" s="137"/>
      <c r="S2005" s="137"/>
      <c r="T2005" s="137"/>
      <c r="U2005" s="137"/>
      <c r="V2005" s="137"/>
      <c r="W2005" s="137"/>
      <c r="X2005" s="137"/>
      <c r="Y2005" s="137"/>
      <c r="Z2005" s="137"/>
      <c r="AA2005" s="137"/>
    </row>
    <row r="2006" spans="5:27" x14ac:dyDescent="0.35">
      <c r="E2006" s="137"/>
      <c r="F2006" s="137"/>
      <c r="G2006" s="190"/>
      <c r="H2006" s="137"/>
      <c r="I2006" s="137"/>
      <c r="J2006" s="137"/>
      <c r="M2006" s="143"/>
      <c r="N2006" s="143"/>
      <c r="O2006" s="143"/>
      <c r="P2006" s="143"/>
      <c r="Q2006" s="137"/>
      <c r="R2006" s="137"/>
      <c r="S2006" s="137"/>
      <c r="T2006" s="137"/>
      <c r="U2006" s="137"/>
      <c r="V2006" s="137"/>
      <c r="W2006" s="137"/>
      <c r="X2006" s="137"/>
      <c r="Y2006" s="137"/>
      <c r="Z2006" s="137"/>
      <c r="AA2006" s="137"/>
    </row>
    <row r="2007" spans="5:27" x14ac:dyDescent="0.35">
      <c r="E2007" s="137"/>
      <c r="F2007" s="137"/>
      <c r="G2007" s="190"/>
      <c r="H2007" s="137"/>
      <c r="I2007" s="137"/>
      <c r="J2007" s="137"/>
      <c r="M2007" s="143"/>
      <c r="N2007" s="143"/>
      <c r="O2007" s="143"/>
      <c r="P2007" s="143"/>
      <c r="Q2007" s="137"/>
      <c r="R2007" s="137"/>
      <c r="S2007" s="137"/>
      <c r="T2007" s="137"/>
      <c r="U2007" s="137"/>
      <c r="V2007" s="137"/>
      <c r="W2007" s="137"/>
      <c r="X2007" s="137"/>
      <c r="Y2007" s="137"/>
      <c r="Z2007" s="137"/>
      <c r="AA2007" s="137"/>
    </row>
    <row r="2008" spans="5:27" x14ac:dyDescent="0.35">
      <c r="E2008" s="137"/>
      <c r="F2008" s="137"/>
      <c r="G2008" s="190"/>
      <c r="H2008" s="137"/>
      <c r="I2008" s="137"/>
      <c r="J2008" s="137"/>
      <c r="M2008" s="143"/>
      <c r="N2008" s="143"/>
      <c r="O2008" s="143"/>
      <c r="P2008" s="143"/>
      <c r="Q2008" s="137"/>
      <c r="R2008" s="137"/>
      <c r="S2008" s="137"/>
      <c r="T2008" s="137"/>
      <c r="U2008" s="137"/>
      <c r="V2008" s="137"/>
      <c r="W2008" s="137"/>
      <c r="X2008" s="137"/>
      <c r="Y2008" s="137"/>
      <c r="Z2008" s="137"/>
      <c r="AA2008" s="137"/>
    </row>
    <row r="2009" spans="5:27" x14ac:dyDescent="0.35">
      <c r="E2009" s="137"/>
      <c r="F2009" s="137"/>
      <c r="G2009" s="190"/>
      <c r="H2009" s="137"/>
      <c r="I2009" s="137"/>
      <c r="J2009" s="137"/>
      <c r="M2009" s="143"/>
      <c r="N2009" s="143"/>
      <c r="O2009" s="143"/>
      <c r="P2009" s="143"/>
      <c r="Q2009" s="137"/>
      <c r="R2009" s="137"/>
      <c r="S2009" s="137"/>
      <c r="T2009" s="137"/>
      <c r="U2009" s="137"/>
      <c r="V2009" s="137"/>
      <c r="W2009" s="137"/>
      <c r="X2009" s="137"/>
      <c r="Y2009" s="137"/>
      <c r="Z2009" s="137"/>
      <c r="AA2009" s="137"/>
    </row>
    <row r="2010" spans="5:27" x14ac:dyDescent="0.35">
      <c r="E2010" s="137"/>
      <c r="F2010" s="137"/>
      <c r="G2010" s="190"/>
      <c r="H2010" s="137"/>
      <c r="I2010" s="137"/>
      <c r="J2010" s="137"/>
      <c r="M2010" s="143"/>
      <c r="N2010" s="143"/>
      <c r="O2010" s="143"/>
      <c r="P2010" s="143"/>
      <c r="Q2010" s="137"/>
      <c r="R2010" s="137"/>
      <c r="S2010" s="137"/>
      <c r="T2010" s="137"/>
      <c r="U2010" s="137"/>
      <c r="V2010" s="137"/>
      <c r="W2010" s="137"/>
      <c r="X2010" s="137"/>
      <c r="Y2010" s="137"/>
      <c r="Z2010" s="137"/>
      <c r="AA2010" s="137"/>
    </row>
    <row r="2011" spans="5:27" x14ac:dyDescent="0.35">
      <c r="E2011" s="137"/>
      <c r="F2011" s="137"/>
      <c r="G2011" s="190"/>
      <c r="H2011" s="137"/>
      <c r="I2011" s="137"/>
      <c r="J2011" s="137"/>
      <c r="M2011" s="143"/>
      <c r="N2011" s="143"/>
      <c r="O2011" s="143"/>
      <c r="P2011" s="143"/>
      <c r="Q2011" s="137"/>
      <c r="R2011" s="137"/>
      <c r="S2011" s="137"/>
      <c r="T2011" s="137"/>
      <c r="U2011" s="137"/>
      <c r="V2011" s="137"/>
      <c r="W2011" s="137"/>
      <c r="X2011" s="137"/>
      <c r="Y2011" s="137"/>
      <c r="Z2011" s="137"/>
      <c r="AA2011" s="137"/>
    </row>
    <row r="2012" spans="5:27" x14ac:dyDescent="0.35">
      <c r="E2012" s="137"/>
      <c r="F2012" s="137"/>
      <c r="G2012" s="190"/>
      <c r="H2012" s="137"/>
      <c r="I2012" s="137"/>
      <c r="J2012" s="137"/>
      <c r="M2012" s="143"/>
      <c r="N2012" s="143"/>
      <c r="O2012" s="143"/>
      <c r="P2012" s="143"/>
      <c r="Q2012" s="137"/>
      <c r="R2012" s="137"/>
      <c r="S2012" s="137"/>
      <c r="T2012" s="137"/>
      <c r="U2012" s="137"/>
      <c r="V2012" s="137"/>
      <c r="W2012" s="137"/>
      <c r="X2012" s="137"/>
      <c r="Y2012" s="137"/>
      <c r="Z2012" s="137"/>
      <c r="AA2012" s="137"/>
    </row>
    <row r="2013" spans="5:27" x14ac:dyDescent="0.35">
      <c r="E2013" s="137"/>
      <c r="F2013" s="137"/>
      <c r="G2013" s="190"/>
      <c r="H2013" s="137"/>
      <c r="I2013" s="137"/>
      <c r="J2013" s="137"/>
      <c r="M2013" s="143"/>
      <c r="N2013" s="143"/>
      <c r="O2013" s="143"/>
      <c r="P2013" s="143"/>
      <c r="Q2013" s="137"/>
      <c r="R2013" s="137"/>
      <c r="S2013" s="137"/>
      <c r="T2013" s="137"/>
      <c r="U2013" s="137"/>
      <c r="V2013" s="137"/>
      <c r="W2013" s="137"/>
      <c r="X2013" s="137"/>
      <c r="Y2013" s="137"/>
      <c r="Z2013" s="137"/>
      <c r="AA2013" s="137"/>
    </row>
    <row r="2014" spans="5:27" x14ac:dyDescent="0.35">
      <c r="E2014" s="137"/>
      <c r="F2014" s="137"/>
      <c r="G2014" s="190"/>
      <c r="H2014" s="137"/>
      <c r="I2014" s="137"/>
      <c r="J2014" s="137"/>
      <c r="M2014" s="143"/>
      <c r="N2014" s="143"/>
      <c r="O2014" s="143"/>
      <c r="P2014" s="143"/>
      <c r="Q2014" s="137"/>
      <c r="R2014" s="137"/>
      <c r="S2014" s="137"/>
      <c r="T2014" s="137"/>
      <c r="U2014" s="137"/>
      <c r="V2014" s="137"/>
      <c r="W2014" s="137"/>
      <c r="X2014" s="137"/>
      <c r="Y2014" s="137"/>
      <c r="Z2014" s="137"/>
      <c r="AA2014" s="137"/>
    </row>
    <row r="2015" spans="5:27" x14ac:dyDescent="0.35">
      <c r="E2015" s="137"/>
      <c r="F2015" s="137"/>
      <c r="G2015" s="190"/>
      <c r="H2015" s="137"/>
      <c r="I2015" s="137"/>
      <c r="J2015" s="137"/>
      <c r="M2015" s="143"/>
      <c r="N2015" s="143"/>
      <c r="O2015" s="143"/>
      <c r="P2015" s="143"/>
      <c r="Q2015" s="137"/>
      <c r="R2015" s="137"/>
      <c r="S2015" s="137"/>
      <c r="T2015" s="137"/>
      <c r="U2015" s="137"/>
      <c r="V2015" s="137"/>
      <c r="W2015" s="137"/>
      <c r="X2015" s="137"/>
      <c r="Y2015" s="137"/>
      <c r="Z2015" s="137"/>
      <c r="AA2015" s="137"/>
    </row>
    <row r="2016" spans="5:27" x14ac:dyDescent="0.35">
      <c r="E2016" s="137"/>
      <c r="F2016" s="137"/>
      <c r="G2016" s="190"/>
      <c r="H2016" s="137"/>
      <c r="I2016" s="137"/>
      <c r="J2016" s="137"/>
      <c r="M2016" s="143"/>
      <c r="N2016" s="143"/>
      <c r="O2016" s="143"/>
      <c r="P2016" s="143"/>
      <c r="Q2016" s="137"/>
      <c r="R2016" s="137"/>
      <c r="S2016" s="137"/>
      <c r="T2016" s="137"/>
      <c r="U2016" s="137"/>
      <c r="V2016" s="137"/>
      <c r="W2016" s="137"/>
      <c r="X2016" s="137"/>
      <c r="Y2016" s="137"/>
      <c r="Z2016" s="137"/>
      <c r="AA2016" s="137"/>
    </row>
    <row r="2017" spans="5:27" x14ac:dyDescent="0.35">
      <c r="E2017" s="137"/>
      <c r="F2017" s="137"/>
      <c r="G2017" s="190"/>
      <c r="H2017" s="137"/>
      <c r="I2017" s="137"/>
      <c r="J2017" s="137"/>
      <c r="M2017" s="143"/>
      <c r="N2017" s="143"/>
      <c r="O2017" s="143"/>
      <c r="P2017" s="143"/>
      <c r="Q2017" s="137"/>
      <c r="R2017" s="137"/>
      <c r="S2017" s="137"/>
      <c r="T2017" s="137"/>
      <c r="U2017" s="137"/>
      <c r="V2017" s="137"/>
      <c r="W2017" s="137"/>
      <c r="X2017" s="137"/>
      <c r="Y2017" s="137"/>
      <c r="Z2017" s="137"/>
      <c r="AA2017" s="137"/>
    </row>
    <row r="2018" spans="5:27" x14ac:dyDescent="0.35">
      <c r="E2018" s="137"/>
      <c r="F2018" s="137"/>
      <c r="G2018" s="190"/>
      <c r="H2018" s="137"/>
      <c r="I2018" s="137"/>
      <c r="J2018" s="137"/>
      <c r="M2018" s="143"/>
      <c r="N2018" s="143"/>
      <c r="O2018" s="143"/>
      <c r="P2018" s="143"/>
      <c r="Q2018" s="137"/>
      <c r="R2018" s="137"/>
      <c r="S2018" s="137"/>
      <c r="T2018" s="137"/>
      <c r="U2018" s="137"/>
      <c r="V2018" s="137"/>
      <c r="W2018" s="137"/>
      <c r="X2018" s="137"/>
      <c r="Y2018" s="137"/>
      <c r="Z2018" s="137"/>
      <c r="AA2018" s="137"/>
    </row>
    <row r="2019" spans="5:27" x14ac:dyDescent="0.35">
      <c r="E2019" s="137"/>
      <c r="F2019" s="137"/>
      <c r="G2019" s="190"/>
      <c r="H2019" s="137"/>
      <c r="I2019" s="137"/>
      <c r="J2019" s="137"/>
      <c r="M2019" s="143"/>
      <c r="N2019" s="143"/>
      <c r="O2019" s="143"/>
      <c r="P2019" s="143"/>
      <c r="Q2019" s="137"/>
      <c r="R2019" s="137"/>
      <c r="S2019" s="137"/>
      <c r="T2019" s="137"/>
      <c r="U2019" s="137"/>
      <c r="V2019" s="137"/>
      <c r="W2019" s="137"/>
      <c r="X2019" s="137"/>
      <c r="Y2019" s="137"/>
      <c r="Z2019" s="137"/>
      <c r="AA2019" s="137"/>
    </row>
    <row r="2020" spans="5:27" x14ac:dyDescent="0.35">
      <c r="E2020" s="137"/>
      <c r="F2020" s="137"/>
      <c r="G2020" s="190"/>
      <c r="H2020" s="137"/>
      <c r="I2020" s="137"/>
      <c r="J2020" s="137"/>
      <c r="M2020" s="143"/>
      <c r="N2020" s="143"/>
      <c r="O2020" s="143"/>
      <c r="P2020" s="143"/>
      <c r="Q2020" s="137"/>
      <c r="R2020" s="137"/>
      <c r="S2020" s="137"/>
      <c r="T2020" s="137"/>
      <c r="U2020" s="137"/>
      <c r="V2020" s="137"/>
      <c r="W2020" s="137"/>
      <c r="X2020" s="137"/>
      <c r="Y2020" s="137"/>
      <c r="Z2020" s="137"/>
      <c r="AA2020" s="137"/>
    </row>
    <row r="2021" spans="5:27" x14ac:dyDescent="0.35">
      <c r="E2021" s="137"/>
      <c r="F2021" s="137"/>
      <c r="G2021" s="190"/>
      <c r="H2021" s="137"/>
      <c r="I2021" s="137"/>
      <c r="J2021" s="137"/>
      <c r="M2021" s="143"/>
      <c r="N2021" s="143"/>
      <c r="O2021" s="143"/>
      <c r="P2021" s="143"/>
      <c r="Q2021" s="137"/>
      <c r="R2021" s="137"/>
      <c r="S2021" s="137"/>
      <c r="T2021" s="137"/>
      <c r="U2021" s="137"/>
      <c r="V2021" s="137"/>
      <c r="W2021" s="137"/>
      <c r="X2021" s="137"/>
      <c r="Y2021" s="137"/>
      <c r="Z2021" s="137"/>
      <c r="AA2021" s="137"/>
    </row>
    <row r="2022" spans="5:27" x14ac:dyDescent="0.35">
      <c r="E2022" s="137"/>
      <c r="F2022" s="137"/>
      <c r="G2022" s="190"/>
      <c r="H2022" s="137"/>
      <c r="I2022" s="137"/>
      <c r="J2022" s="137"/>
      <c r="M2022" s="143"/>
      <c r="N2022" s="143"/>
      <c r="O2022" s="143"/>
      <c r="P2022" s="143"/>
      <c r="Q2022" s="137"/>
      <c r="R2022" s="137"/>
      <c r="S2022" s="137"/>
      <c r="T2022" s="137"/>
      <c r="U2022" s="137"/>
      <c r="V2022" s="137"/>
      <c r="W2022" s="137"/>
      <c r="X2022" s="137"/>
      <c r="Y2022" s="137"/>
      <c r="Z2022" s="137"/>
      <c r="AA2022" s="137"/>
    </row>
    <row r="2023" spans="5:27" x14ac:dyDescent="0.35">
      <c r="E2023" s="137"/>
      <c r="F2023" s="137"/>
      <c r="G2023" s="190"/>
      <c r="H2023" s="137"/>
      <c r="I2023" s="137"/>
      <c r="J2023" s="137"/>
      <c r="M2023" s="143"/>
      <c r="N2023" s="143"/>
      <c r="O2023" s="143"/>
      <c r="P2023" s="143"/>
      <c r="Q2023" s="137"/>
      <c r="R2023" s="137"/>
      <c r="S2023" s="137"/>
      <c r="T2023" s="137"/>
      <c r="U2023" s="137"/>
      <c r="V2023" s="137"/>
      <c r="W2023" s="137"/>
      <c r="X2023" s="137"/>
      <c r="Y2023" s="137"/>
      <c r="Z2023" s="137"/>
      <c r="AA2023" s="137"/>
    </row>
    <row r="2024" spans="5:27" x14ac:dyDescent="0.35">
      <c r="E2024" s="137"/>
      <c r="F2024" s="137"/>
      <c r="G2024" s="190"/>
      <c r="H2024" s="137"/>
      <c r="I2024" s="137"/>
      <c r="J2024" s="137"/>
      <c r="M2024" s="143"/>
      <c r="N2024" s="143"/>
      <c r="O2024" s="143"/>
      <c r="P2024" s="143"/>
      <c r="Q2024" s="137"/>
      <c r="R2024" s="137"/>
      <c r="S2024" s="137"/>
      <c r="T2024" s="137"/>
      <c r="U2024" s="137"/>
      <c r="V2024" s="137"/>
      <c r="W2024" s="137"/>
      <c r="X2024" s="137"/>
      <c r="Y2024" s="137"/>
      <c r="Z2024" s="137"/>
      <c r="AA2024" s="137"/>
    </row>
    <row r="2025" spans="5:27" x14ac:dyDescent="0.35">
      <c r="E2025" s="137"/>
      <c r="F2025" s="137"/>
      <c r="G2025" s="190"/>
      <c r="H2025" s="137"/>
      <c r="I2025" s="137"/>
      <c r="J2025" s="137"/>
      <c r="M2025" s="143"/>
      <c r="N2025" s="143"/>
      <c r="O2025" s="143"/>
      <c r="P2025" s="143"/>
      <c r="Q2025" s="137"/>
      <c r="R2025" s="137"/>
      <c r="S2025" s="137"/>
      <c r="T2025" s="137"/>
      <c r="U2025" s="137"/>
      <c r="V2025" s="137"/>
      <c r="W2025" s="137"/>
      <c r="X2025" s="137"/>
      <c r="Y2025" s="137"/>
      <c r="Z2025" s="137"/>
      <c r="AA2025" s="137"/>
    </row>
    <row r="2026" spans="5:27" x14ac:dyDescent="0.35">
      <c r="E2026" s="137"/>
      <c r="F2026" s="137"/>
      <c r="G2026" s="190"/>
      <c r="H2026" s="137"/>
      <c r="I2026" s="137"/>
      <c r="J2026" s="137"/>
      <c r="M2026" s="143"/>
      <c r="N2026" s="143"/>
      <c r="O2026" s="143"/>
      <c r="P2026" s="143"/>
      <c r="Q2026" s="137"/>
      <c r="R2026" s="137"/>
      <c r="S2026" s="137"/>
      <c r="T2026" s="137"/>
      <c r="U2026" s="137"/>
      <c r="V2026" s="137"/>
      <c r="W2026" s="137"/>
      <c r="X2026" s="137"/>
      <c r="Y2026" s="137"/>
      <c r="Z2026" s="137"/>
      <c r="AA2026" s="137"/>
    </row>
    <row r="2027" spans="5:27" x14ac:dyDescent="0.35">
      <c r="E2027" s="137"/>
      <c r="F2027" s="137"/>
      <c r="G2027" s="190"/>
      <c r="H2027" s="137"/>
      <c r="I2027" s="137"/>
      <c r="J2027" s="137"/>
      <c r="M2027" s="143"/>
      <c r="N2027" s="143"/>
      <c r="O2027" s="143"/>
      <c r="P2027" s="143"/>
      <c r="Q2027" s="137"/>
      <c r="R2027" s="137"/>
      <c r="S2027" s="137"/>
      <c r="T2027" s="137"/>
      <c r="U2027" s="137"/>
      <c r="V2027" s="137"/>
      <c r="W2027" s="137"/>
      <c r="X2027" s="137"/>
      <c r="Y2027" s="137"/>
      <c r="Z2027" s="137"/>
      <c r="AA2027" s="137"/>
    </row>
    <row r="2028" spans="5:27" x14ac:dyDescent="0.35">
      <c r="E2028" s="137"/>
      <c r="F2028" s="137"/>
      <c r="G2028" s="190"/>
      <c r="H2028" s="137"/>
      <c r="I2028" s="137"/>
      <c r="J2028" s="137"/>
      <c r="M2028" s="143"/>
      <c r="N2028" s="143"/>
      <c r="O2028" s="143"/>
      <c r="P2028" s="143"/>
      <c r="Q2028" s="137"/>
      <c r="R2028" s="137"/>
      <c r="S2028" s="137"/>
      <c r="T2028" s="137"/>
      <c r="U2028" s="137"/>
      <c r="V2028" s="137"/>
      <c r="W2028" s="137"/>
      <c r="X2028" s="137"/>
      <c r="Y2028" s="137"/>
      <c r="Z2028" s="137"/>
      <c r="AA2028" s="137"/>
    </row>
    <row r="2029" spans="5:27" x14ac:dyDescent="0.35">
      <c r="E2029" s="137"/>
      <c r="F2029" s="137"/>
      <c r="G2029" s="190"/>
      <c r="H2029" s="137"/>
      <c r="I2029" s="137"/>
      <c r="J2029" s="137"/>
      <c r="M2029" s="143"/>
      <c r="N2029" s="143"/>
      <c r="O2029" s="143"/>
      <c r="P2029" s="143"/>
      <c r="Q2029" s="137"/>
      <c r="R2029" s="137"/>
      <c r="S2029" s="137"/>
      <c r="T2029" s="137"/>
      <c r="U2029" s="137"/>
      <c r="V2029" s="137"/>
      <c r="W2029" s="137"/>
      <c r="X2029" s="137"/>
      <c r="Y2029" s="137"/>
      <c r="Z2029" s="137"/>
      <c r="AA2029" s="137"/>
    </row>
    <row r="2030" spans="5:27" x14ac:dyDescent="0.35">
      <c r="E2030" s="137"/>
      <c r="F2030" s="137"/>
      <c r="G2030" s="190"/>
      <c r="H2030" s="137"/>
      <c r="I2030" s="137"/>
      <c r="J2030" s="137"/>
      <c r="M2030" s="143"/>
      <c r="N2030" s="143"/>
      <c r="O2030" s="143"/>
      <c r="P2030" s="143"/>
      <c r="Q2030" s="137"/>
      <c r="R2030" s="137"/>
      <c r="S2030" s="137"/>
      <c r="T2030" s="137"/>
      <c r="U2030" s="137"/>
      <c r="V2030" s="137"/>
      <c r="W2030" s="137"/>
      <c r="X2030" s="137"/>
      <c r="Y2030" s="137"/>
      <c r="Z2030" s="137"/>
      <c r="AA2030" s="137"/>
    </row>
    <row r="2031" spans="5:27" x14ac:dyDescent="0.35">
      <c r="E2031" s="137"/>
      <c r="F2031" s="137"/>
      <c r="G2031" s="190"/>
      <c r="H2031" s="137"/>
      <c r="I2031" s="137"/>
      <c r="J2031" s="137"/>
      <c r="M2031" s="143"/>
      <c r="N2031" s="143"/>
      <c r="O2031" s="143"/>
      <c r="P2031" s="143"/>
      <c r="Q2031" s="137"/>
      <c r="R2031" s="137"/>
      <c r="S2031" s="137"/>
      <c r="T2031" s="137"/>
      <c r="U2031" s="137"/>
      <c r="V2031" s="137"/>
      <c r="W2031" s="137"/>
      <c r="X2031" s="137"/>
      <c r="Y2031" s="137"/>
      <c r="Z2031" s="137"/>
      <c r="AA2031" s="137"/>
    </row>
    <row r="2032" spans="5:27" x14ac:dyDescent="0.35">
      <c r="E2032" s="137"/>
      <c r="F2032" s="137"/>
      <c r="G2032" s="190"/>
      <c r="H2032" s="137"/>
      <c r="I2032" s="137"/>
      <c r="J2032" s="137"/>
      <c r="M2032" s="143"/>
      <c r="N2032" s="143"/>
      <c r="O2032" s="143"/>
      <c r="P2032" s="143"/>
      <c r="Q2032" s="137"/>
      <c r="R2032" s="137"/>
      <c r="S2032" s="137"/>
      <c r="T2032" s="137"/>
      <c r="U2032" s="137"/>
      <c r="V2032" s="137"/>
      <c r="W2032" s="137"/>
      <c r="X2032" s="137"/>
      <c r="Y2032" s="137"/>
      <c r="Z2032" s="137"/>
      <c r="AA2032" s="137"/>
    </row>
    <row r="2033" spans="5:27" x14ac:dyDescent="0.35">
      <c r="E2033" s="137"/>
      <c r="F2033" s="137"/>
      <c r="G2033" s="190"/>
      <c r="H2033" s="137"/>
      <c r="I2033" s="137"/>
      <c r="J2033" s="137"/>
      <c r="M2033" s="143"/>
      <c r="N2033" s="143"/>
      <c r="O2033" s="143"/>
      <c r="P2033" s="143"/>
      <c r="Q2033" s="137"/>
      <c r="R2033" s="137"/>
      <c r="S2033" s="137"/>
      <c r="T2033" s="137"/>
      <c r="U2033" s="137"/>
      <c r="V2033" s="137"/>
      <c r="W2033" s="137"/>
      <c r="X2033" s="137"/>
      <c r="Y2033" s="137"/>
      <c r="Z2033" s="137"/>
      <c r="AA2033" s="137"/>
    </row>
    <row r="2034" spans="5:27" x14ac:dyDescent="0.35">
      <c r="E2034" s="137"/>
      <c r="F2034" s="137"/>
      <c r="G2034" s="190"/>
      <c r="H2034" s="137"/>
      <c r="I2034" s="137"/>
      <c r="J2034" s="137"/>
      <c r="M2034" s="143"/>
      <c r="N2034" s="143"/>
      <c r="O2034" s="143"/>
      <c r="P2034" s="143"/>
      <c r="Q2034" s="137"/>
      <c r="R2034" s="137"/>
      <c r="S2034" s="137"/>
      <c r="T2034" s="137"/>
      <c r="U2034" s="137"/>
      <c r="V2034" s="137"/>
      <c r="W2034" s="137"/>
      <c r="X2034" s="137"/>
      <c r="Y2034" s="137"/>
      <c r="Z2034" s="137"/>
      <c r="AA2034" s="137"/>
    </row>
    <row r="2035" spans="5:27" x14ac:dyDescent="0.35">
      <c r="E2035" s="137"/>
      <c r="F2035" s="137"/>
      <c r="G2035" s="190"/>
      <c r="H2035" s="137"/>
      <c r="I2035" s="137"/>
      <c r="J2035" s="137"/>
      <c r="M2035" s="143"/>
      <c r="N2035" s="143"/>
      <c r="O2035" s="143"/>
      <c r="P2035" s="143"/>
      <c r="Q2035" s="137"/>
      <c r="R2035" s="137"/>
      <c r="S2035" s="137"/>
      <c r="T2035" s="137"/>
      <c r="U2035" s="137"/>
      <c r="V2035" s="137"/>
      <c r="W2035" s="137"/>
      <c r="X2035" s="137"/>
      <c r="Y2035" s="137"/>
      <c r="Z2035" s="137"/>
      <c r="AA2035" s="137"/>
    </row>
    <row r="2036" spans="5:27" x14ac:dyDescent="0.35">
      <c r="E2036" s="137"/>
      <c r="F2036" s="137"/>
      <c r="G2036" s="190"/>
      <c r="H2036" s="137"/>
      <c r="I2036" s="137"/>
      <c r="J2036" s="137"/>
      <c r="M2036" s="143"/>
      <c r="N2036" s="143"/>
      <c r="O2036" s="143"/>
      <c r="P2036" s="143"/>
      <c r="Q2036" s="137"/>
      <c r="R2036" s="137"/>
      <c r="S2036" s="137"/>
      <c r="T2036" s="137"/>
      <c r="U2036" s="137"/>
      <c r="V2036" s="137"/>
      <c r="W2036" s="137"/>
      <c r="X2036" s="137"/>
      <c r="Y2036" s="137"/>
      <c r="Z2036" s="137"/>
      <c r="AA2036" s="137"/>
    </row>
    <row r="2037" spans="5:27" x14ac:dyDescent="0.35">
      <c r="E2037" s="137"/>
      <c r="F2037" s="137"/>
      <c r="G2037" s="190"/>
      <c r="H2037" s="137"/>
      <c r="I2037" s="137"/>
      <c r="J2037" s="137"/>
      <c r="M2037" s="143"/>
      <c r="N2037" s="143"/>
      <c r="O2037" s="143"/>
      <c r="P2037" s="143"/>
      <c r="Q2037" s="137"/>
      <c r="R2037" s="137"/>
      <c r="S2037" s="137"/>
      <c r="T2037" s="137"/>
      <c r="U2037" s="137"/>
      <c r="V2037" s="137"/>
      <c r="W2037" s="137"/>
      <c r="X2037" s="137"/>
      <c r="Y2037" s="137"/>
      <c r="Z2037" s="137"/>
      <c r="AA2037" s="137"/>
    </row>
    <row r="2038" spans="5:27" x14ac:dyDescent="0.35">
      <c r="E2038" s="137"/>
      <c r="F2038" s="137"/>
      <c r="G2038" s="190"/>
      <c r="H2038" s="137"/>
      <c r="I2038" s="137"/>
      <c r="J2038" s="137"/>
      <c r="M2038" s="143"/>
      <c r="N2038" s="143"/>
      <c r="O2038" s="143"/>
      <c r="P2038" s="143"/>
      <c r="Q2038" s="137"/>
      <c r="R2038" s="137"/>
      <c r="S2038" s="137"/>
      <c r="T2038" s="137"/>
      <c r="U2038" s="137"/>
      <c r="V2038" s="137"/>
      <c r="W2038" s="137"/>
      <c r="X2038" s="137"/>
      <c r="Y2038" s="137"/>
      <c r="Z2038" s="137"/>
      <c r="AA2038" s="137"/>
    </row>
    <row r="2039" spans="5:27" x14ac:dyDescent="0.35">
      <c r="E2039" s="137"/>
      <c r="F2039" s="137"/>
      <c r="G2039" s="190"/>
      <c r="H2039" s="137"/>
      <c r="I2039" s="137"/>
      <c r="J2039" s="137"/>
      <c r="M2039" s="143"/>
      <c r="N2039" s="143"/>
      <c r="O2039" s="143"/>
      <c r="P2039" s="143"/>
      <c r="Q2039" s="137"/>
      <c r="R2039" s="137"/>
      <c r="S2039" s="137"/>
      <c r="T2039" s="137"/>
      <c r="U2039" s="137"/>
      <c r="V2039" s="137"/>
      <c r="W2039" s="137"/>
      <c r="X2039" s="137"/>
      <c r="Y2039" s="137"/>
      <c r="Z2039" s="137"/>
      <c r="AA2039" s="137"/>
    </row>
    <row r="2040" spans="5:27" x14ac:dyDescent="0.35">
      <c r="E2040" s="137"/>
      <c r="F2040" s="137"/>
      <c r="G2040" s="190"/>
      <c r="H2040" s="137"/>
      <c r="I2040" s="137"/>
      <c r="J2040" s="137"/>
      <c r="M2040" s="143"/>
      <c r="N2040" s="143"/>
      <c r="O2040" s="143"/>
      <c r="P2040" s="143"/>
      <c r="Q2040" s="137"/>
      <c r="R2040" s="137"/>
      <c r="S2040" s="137"/>
      <c r="T2040" s="137"/>
      <c r="U2040" s="137"/>
      <c r="V2040" s="137"/>
      <c r="W2040" s="137"/>
      <c r="X2040" s="137"/>
      <c r="Y2040" s="137"/>
      <c r="Z2040" s="137"/>
      <c r="AA2040" s="137"/>
    </row>
    <row r="2041" spans="5:27" x14ac:dyDescent="0.35">
      <c r="E2041" s="137"/>
      <c r="F2041" s="137"/>
      <c r="G2041" s="190"/>
      <c r="H2041" s="137"/>
      <c r="I2041" s="137"/>
      <c r="J2041" s="137"/>
      <c r="M2041" s="143"/>
      <c r="N2041" s="143"/>
      <c r="O2041" s="143"/>
      <c r="P2041" s="143"/>
      <c r="Q2041" s="137"/>
      <c r="R2041" s="137"/>
      <c r="S2041" s="137"/>
      <c r="T2041" s="137"/>
      <c r="U2041" s="137"/>
      <c r="V2041" s="137"/>
      <c r="W2041" s="137"/>
      <c r="X2041" s="137"/>
      <c r="Y2041" s="137"/>
      <c r="Z2041" s="137"/>
      <c r="AA2041" s="137"/>
    </row>
    <row r="2042" spans="5:27" x14ac:dyDescent="0.35">
      <c r="E2042" s="137"/>
      <c r="F2042" s="137"/>
      <c r="G2042" s="190"/>
      <c r="H2042" s="137"/>
      <c r="I2042" s="137"/>
      <c r="J2042" s="137"/>
      <c r="M2042" s="143"/>
      <c r="N2042" s="143"/>
      <c r="O2042" s="143"/>
      <c r="P2042" s="143"/>
      <c r="Q2042" s="137"/>
      <c r="R2042" s="137"/>
      <c r="S2042" s="137"/>
      <c r="T2042" s="137"/>
      <c r="U2042" s="137"/>
      <c r="V2042" s="137"/>
      <c r="W2042" s="137"/>
      <c r="X2042" s="137"/>
      <c r="Y2042" s="137"/>
      <c r="Z2042" s="137"/>
      <c r="AA2042" s="137"/>
    </row>
    <row r="2043" spans="5:27" x14ac:dyDescent="0.35">
      <c r="E2043" s="137"/>
      <c r="F2043" s="137"/>
      <c r="G2043" s="190"/>
      <c r="H2043" s="137"/>
      <c r="I2043" s="137"/>
      <c r="J2043" s="137"/>
      <c r="M2043" s="143"/>
      <c r="N2043" s="143"/>
      <c r="O2043" s="143"/>
      <c r="P2043" s="143"/>
      <c r="Q2043" s="137"/>
      <c r="R2043" s="137"/>
      <c r="S2043" s="137"/>
      <c r="T2043" s="137"/>
      <c r="U2043" s="137"/>
      <c r="V2043" s="137"/>
      <c r="W2043" s="137"/>
      <c r="X2043" s="137"/>
      <c r="Y2043" s="137"/>
      <c r="Z2043" s="137"/>
      <c r="AA2043" s="137"/>
    </row>
    <row r="2044" spans="5:27" x14ac:dyDescent="0.35">
      <c r="E2044" s="137"/>
      <c r="F2044" s="137"/>
      <c r="G2044" s="190"/>
      <c r="H2044" s="137"/>
      <c r="I2044" s="137"/>
      <c r="J2044" s="137"/>
      <c r="M2044" s="143"/>
      <c r="N2044" s="143"/>
      <c r="O2044" s="143"/>
      <c r="P2044" s="143"/>
      <c r="Q2044" s="137"/>
      <c r="R2044" s="137"/>
      <c r="S2044" s="137"/>
      <c r="T2044" s="137"/>
      <c r="U2044" s="137"/>
      <c r="V2044" s="137"/>
      <c r="W2044" s="137"/>
      <c r="X2044" s="137"/>
      <c r="Y2044" s="137"/>
      <c r="Z2044" s="137"/>
      <c r="AA2044" s="137"/>
    </row>
    <row r="2045" spans="5:27" x14ac:dyDescent="0.35">
      <c r="E2045" s="137"/>
      <c r="F2045" s="137"/>
      <c r="G2045" s="190"/>
      <c r="H2045" s="137"/>
      <c r="I2045" s="137"/>
      <c r="J2045" s="137"/>
      <c r="M2045" s="143"/>
      <c r="N2045" s="143"/>
      <c r="O2045" s="143"/>
      <c r="P2045" s="143"/>
      <c r="Q2045" s="137"/>
      <c r="R2045" s="137"/>
      <c r="S2045" s="137"/>
      <c r="T2045" s="137"/>
      <c r="U2045" s="137"/>
      <c r="V2045" s="137"/>
      <c r="W2045" s="137"/>
      <c r="X2045" s="137"/>
      <c r="Y2045" s="137"/>
      <c r="Z2045" s="137"/>
      <c r="AA2045" s="137"/>
    </row>
    <row r="2046" spans="5:27" x14ac:dyDescent="0.35">
      <c r="E2046" s="137"/>
      <c r="F2046" s="137"/>
      <c r="G2046" s="190"/>
      <c r="H2046" s="137"/>
      <c r="I2046" s="137"/>
      <c r="J2046" s="137"/>
      <c r="M2046" s="143"/>
      <c r="N2046" s="143"/>
      <c r="O2046" s="143"/>
      <c r="P2046" s="143"/>
      <c r="Q2046" s="137"/>
      <c r="R2046" s="137"/>
      <c r="S2046" s="137"/>
      <c r="T2046" s="137"/>
      <c r="U2046" s="137"/>
      <c r="V2046" s="137"/>
      <c r="W2046" s="137"/>
      <c r="X2046" s="137"/>
      <c r="Y2046" s="137"/>
      <c r="Z2046" s="137"/>
      <c r="AA2046" s="137"/>
    </row>
    <row r="2047" spans="5:27" x14ac:dyDescent="0.35">
      <c r="E2047" s="137"/>
      <c r="F2047" s="137"/>
      <c r="G2047" s="190"/>
      <c r="H2047" s="137"/>
      <c r="I2047" s="137"/>
      <c r="J2047" s="137"/>
      <c r="M2047" s="143"/>
      <c r="N2047" s="143"/>
      <c r="O2047" s="143"/>
      <c r="P2047" s="143"/>
      <c r="Q2047" s="137"/>
      <c r="R2047" s="137"/>
      <c r="S2047" s="137"/>
      <c r="T2047" s="137"/>
      <c r="U2047" s="137"/>
      <c r="V2047" s="137"/>
      <c r="W2047" s="137"/>
      <c r="X2047" s="137"/>
      <c r="Y2047" s="137"/>
      <c r="Z2047" s="137"/>
      <c r="AA2047" s="137"/>
    </row>
    <row r="2048" spans="5:27" x14ac:dyDescent="0.35">
      <c r="E2048" s="137"/>
      <c r="F2048" s="137"/>
      <c r="G2048" s="190"/>
      <c r="H2048" s="137"/>
      <c r="I2048" s="137"/>
      <c r="J2048" s="137"/>
      <c r="M2048" s="143"/>
      <c r="N2048" s="143"/>
      <c r="O2048" s="143"/>
      <c r="P2048" s="143"/>
      <c r="Q2048" s="137"/>
      <c r="R2048" s="137"/>
      <c r="S2048" s="137"/>
      <c r="T2048" s="137"/>
      <c r="U2048" s="137"/>
      <c r="V2048" s="137"/>
      <c r="W2048" s="137"/>
      <c r="X2048" s="137"/>
      <c r="Y2048" s="137"/>
      <c r="Z2048" s="137"/>
      <c r="AA2048" s="137"/>
    </row>
    <row r="2049" spans="5:27" x14ac:dyDescent="0.35">
      <c r="E2049" s="137"/>
      <c r="F2049" s="137"/>
      <c r="G2049" s="190"/>
      <c r="H2049" s="137"/>
      <c r="I2049" s="137"/>
      <c r="J2049" s="137"/>
      <c r="M2049" s="143"/>
      <c r="N2049" s="143"/>
      <c r="O2049" s="143"/>
      <c r="P2049" s="143"/>
      <c r="Q2049" s="137"/>
      <c r="R2049" s="137"/>
      <c r="S2049" s="137"/>
      <c r="T2049" s="137"/>
      <c r="U2049" s="137"/>
      <c r="V2049" s="137"/>
      <c r="W2049" s="137"/>
      <c r="X2049" s="137"/>
      <c r="Y2049" s="137"/>
      <c r="Z2049" s="137"/>
      <c r="AA2049" s="137"/>
    </row>
    <row r="2050" spans="5:27" x14ac:dyDescent="0.35">
      <c r="E2050" s="137"/>
      <c r="F2050" s="137"/>
      <c r="G2050" s="190"/>
      <c r="H2050" s="137"/>
      <c r="I2050" s="137"/>
      <c r="J2050" s="137"/>
      <c r="M2050" s="143"/>
      <c r="N2050" s="143"/>
      <c r="O2050" s="143"/>
      <c r="P2050" s="143"/>
      <c r="Q2050" s="137"/>
      <c r="R2050" s="137"/>
      <c r="S2050" s="137"/>
      <c r="T2050" s="137"/>
      <c r="U2050" s="137"/>
      <c r="V2050" s="137"/>
      <c r="W2050" s="137"/>
      <c r="X2050" s="137"/>
      <c r="Y2050" s="137"/>
      <c r="Z2050" s="137"/>
      <c r="AA2050" s="137"/>
    </row>
    <row r="2051" spans="5:27" x14ac:dyDescent="0.35">
      <c r="E2051" s="137"/>
      <c r="F2051" s="137"/>
      <c r="G2051" s="190"/>
      <c r="H2051" s="137"/>
      <c r="I2051" s="137"/>
      <c r="J2051" s="137"/>
      <c r="M2051" s="143"/>
      <c r="N2051" s="143"/>
      <c r="O2051" s="143"/>
      <c r="P2051" s="143"/>
      <c r="Q2051" s="137"/>
      <c r="R2051" s="137"/>
      <c r="S2051" s="137"/>
      <c r="T2051" s="137"/>
      <c r="U2051" s="137"/>
      <c r="V2051" s="137"/>
      <c r="W2051" s="137"/>
      <c r="X2051" s="137"/>
      <c r="Y2051" s="137"/>
      <c r="Z2051" s="137"/>
      <c r="AA2051" s="137"/>
    </row>
    <row r="2052" spans="5:27" x14ac:dyDescent="0.35">
      <c r="E2052" s="137"/>
      <c r="F2052" s="137"/>
      <c r="G2052" s="190"/>
      <c r="H2052" s="137"/>
      <c r="I2052" s="137"/>
      <c r="J2052" s="137"/>
      <c r="M2052" s="143"/>
      <c r="N2052" s="143"/>
      <c r="O2052" s="143"/>
      <c r="P2052" s="143"/>
      <c r="Q2052" s="137"/>
      <c r="R2052" s="137"/>
      <c r="S2052" s="137"/>
      <c r="T2052" s="137"/>
      <c r="U2052" s="137"/>
      <c r="V2052" s="137"/>
      <c r="W2052" s="137"/>
      <c r="X2052" s="137"/>
      <c r="Y2052" s="137"/>
      <c r="Z2052" s="137"/>
      <c r="AA2052" s="137"/>
    </row>
    <row r="2053" spans="5:27" x14ac:dyDescent="0.35">
      <c r="E2053" s="137"/>
      <c r="F2053" s="137"/>
      <c r="G2053" s="190"/>
      <c r="H2053" s="137"/>
      <c r="I2053" s="137"/>
      <c r="J2053" s="137"/>
      <c r="M2053" s="143"/>
      <c r="N2053" s="143"/>
      <c r="O2053" s="143"/>
      <c r="P2053" s="143"/>
      <c r="Q2053" s="137"/>
      <c r="R2053" s="137"/>
      <c r="S2053" s="137"/>
      <c r="T2053" s="137"/>
      <c r="U2053" s="137"/>
      <c r="V2053" s="137"/>
      <c r="W2053" s="137"/>
      <c r="X2053" s="137"/>
      <c r="Y2053" s="137"/>
      <c r="Z2053" s="137"/>
      <c r="AA2053" s="137"/>
    </row>
    <row r="2054" spans="5:27" x14ac:dyDescent="0.35">
      <c r="E2054" s="137"/>
      <c r="F2054" s="137"/>
      <c r="G2054" s="190"/>
      <c r="H2054" s="137"/>
      <c r="I2054" s="137"/>
      <c r="J2054" s="137"/>
      <c r="M2054" s="143"/>
      <c r="N2054" s="143"/>
      <c r="O2054" s="143"/>
      <c r="P2054" s="143"/>
      <c r="Q2054" s="137"/>
      <c r="R2054" s="137"/>
      <c r="S2054" s="137"/>
      <c r="T2054" s="137"/>
      <c r="U2054" s="137"/>
      <c r="V2054" s="137"/>
      <c r="W2054" s="137"/>
      <c r="X2054" s="137"/>
      <c r="Y2054" s="137"/>
      <c r="Z2054" s="137"/>
      <c r="AA2054" s="137"/>
    </row>
    <row r="2055" spans="5:27" x14ac:dyDescent="0.35">
      <c r="E2055" s="137"/>
      <c r="F2055" s="137"/>
      <c r="G2055" s="190"/>
      <c r="H2055" s="137"/>
      <c r="I2055" s="137"/>
      <c r="J2055" s="137"/>
      <c r="M2055" s="143"/>
      <c r="N2055" s="143"/>
      <c r="O2055" s="143"/>
      <c r="P2055" s="143"/>
      <c r="Q2055" s="137"/>
      <c r="R2055" s="137"/>
      <c r="S2055" s="137"/>
      <c r="T2055" s="137"/>
      <c r="U2055" s="137"/>
      <c r="V2055" s="137"/>
      <c r="W2055" s="137"/>
      <c r="X2055" s="137"/>
      <c r="Y2055" s="137"/>
      <c r="Z2055" s="137"/>
      <c r="AA2055" s="137"/>
    </row>
    <row r="2056" spans="5:27" x14ac:dyDescent="0.35">
      <c r="E2056" s="137"/>
      <c r="F2056" s="137"/>
      <c r="G2056" s="190"/>
      <c r="H2056" s="137"/>
      <c r="I2056" s="137"/>
      <c r="J2056" s="137"/>
      <c r="M2056" s="143"/>
      <c r="N2056" s="143"/>
      <c r="O2056" s="143"/>
      <c r="P2056" s="143"/>
      <c r="Q2056" s="137"/>
      <c r="R2056" s="137"/>
      <c r="S2056" s="137"/>
      <c r="T2056" s="137"/>
      <c r="U2056" s="137"/>
      <c r="V2056" s="137"/>
      <c r="W2056" s="137"/>
      <c r="X2056" s="137"/>
      <c r="Y2056" s="137"/>
      <c r="Z2056" s="137"/>
      <c r="AA2056" s="137"/>
    </row>
    <row r="2057" spans="5:27" x14ac:dyDescent="0.35">
      <c r="E2057" s="137"/>
      <c r="F2057" s="137"/>
      <c r="G2057" s="190"/>
      <c r="H2057" s="137"/>
      <c r="I2057" s="137"/>
      <c r="J2057" s="137"/>
      <c r="M2057" s="143"/>
      <c r="N2057" s="143"/>
      <c r="O2057" s="143"/>
      <c r="P2057" s="143"/>
      <c r="Q2057" s="137"/>
      <c r="R2057" s="137"/>
      <c r="S2057" s="137"/>
      <c r="T2057" s="137"/>
      <c r="U2057" s="137"/>
      <c r="V2057" s="137"/>
      <c r="W2057" s="137"/>
      <c r="X2057" s="137"/>
      <c r="Y2057" s="137"/>
      <c r="Z2057" s="137"/>
      <c r="AA2057" s="137"/>
    </row>
    <row r="2058" spans="5:27" x14ac:dyDescent="0.35">
      <c r="E2058" s="137"/>
      <c r="F2058" s="137"/>
      <c r="G2058" s="190"/>
      <c r="H2058" s="137"/>
      <c r="I2058" s="137"/>
      <c r="J2058" s="137"/>
      <c r="M2058" s="143"/>
      <c r="N2058" s="143"/>
      <c r="O2058" s="143"/>
      <c r="P2058" s="143"/>
      <c r="Q2058" s="137"/>
      <c r="R2058" s="137"/>
      <c r="S2058" s="137"/>
      <c r="T2058" s="137"/>
      <c r="U2058" s="137"/>
      <c r="V2058" s="137"/>
      <c r="W2058" s="137"/>
      <c r="X2058" s="137"/>
      <c r="Y2058" s="137"/>
      <c r="Z2058" s="137"/>
      <c r="AA2058" s="137"/>
    </row>
    <row r="2059" spans="5:27" x14ac:dyDescent="0.35">
      <c r="E2059" s="137"/>
      <c r="F2059" s="137"/>
      <c r="G2059" s="190"/>
      <c r="H2059" s="137"/>
      <c r="I2059" s="137"/>
      <c r="J2059" s="137"/>
      <c r="M2059" s="143"/>
      <c r="N2059" s="143"/>
      <c r="O2059" s="143"/>
      <c r="P2059" s="143"/>
      <c r="Q2059" s="137"/>
      <c r="R2059" s="137"/>
      <c r="S2059" s="137"/>
      <c r="T2059" s="137"/>
      <c r="U2059" s="137"/>
      <c r="V2059" s="137"/>
      <c r="W2059" s="137"/>
      <c r="X2059" s="137"/>
      <c r="Y2059" s="137"/>
      <c r="Z2059" s="137"/>
      <c r="AA2059" s="137"/>
    </row>
    <row r="2060" spans="5:27" x14ac:dyDescent="0.35">
      <c r="E2060" s="137"/>
      <c r="F2060" s="137"/>
      <c r="G2060" s="190"/>
      <c r="H2060" s="137"/>
      <c r="I2060" s="137"/>
      <c r="J2060" s="137"/>
      <c r="M2060" s="143"/>
      <c r="N2060" s="143"/>
      <c r="O2060" s="143"/>
      <c r="P2060" s="143"/>
      <c r="Q2060" s="137"/>
      <c r="R2060" s="137"/>
      <c r="S2060" s="137"/>
      <c r="T2060" s="137"/>
      <c r="U2060" s="137"/>
      <c r="V2060" s="137"/>
      <c r="W2060" s="137"/>
      <c r="X2060" s="137"/>
      <c r="Y2060" s="137"/>
      <c r="Z2060" s="137"/>
      <c r="AA2060" s="137"/>
    </row>
    <row r="2061" spans="5:27" x14ac:dyDescent="0.35">
      <c r="E2061" s="137"/>
      <c r="F2061" s="137"/>
      <c r="G2061" s="190"/>
      <c r="H2061" s="137"/>
      <c r="I2061" s="137"/>
      <c r="J2061" s="137"/>
      <c r="M2061" s="143"/>
      <c r="N2061" s="143"/>
      <c r="O2061" s="143"/>
      <c r="P2061" s="143"/>
      <c r="Q2061" s="137"/>
      <c r="R2061" s="137"/>
      <c r="S2061" s="137"/>
      <c r="T2061" s="137"/>
      <c r="U2061" s="137"/>
      <c r="V2061" s="137"/>
      <c r="W2061" s="137"/>
      <c r="X2061" s="137"/>
      <c r="Y2061" s="137"/>
      <c r="Z2061" s="137"/>
      <c r="AA2061" s="137"/>
    </row>
    <row r="2062" spans="5:27" x14ac:dyDescent="0.35">
      <c r="E2062" s="137"/>
      <c r="F2062" s="137"/>
      <c r="G2062" s="190"/>
      <c r="H2062" s="137"/>
      <c r="I2062" s="137"/>
      <c r="J2062" s="137"/>
      <c r="M2062" s="143"/>
      <c r="N2062" s="143"/>
      <c r="O2062" s="143"/>
      <c r="P2062" s="143"/>
      <c r="Q2062" s="137"/>
      <c r="R2062" s="137"/>
      <c r="S2062" s="137"/>
      <c r="T2062" s="137"/>
      <c r="U2062" s="137"/>
      <c r="V2062" s="137"/>
      <c r="W2062" s="137"/>
      <c r="X2062" s="137"/>
      <c r="Y2062" s="137"/>
      <c r="Z2062" s="137"/>
      <c r="AA2062" s="137"/>
    </row>
    <row r="2063" spans="5:27" x14ac:dyDescent="0.35">
      <c r="E2063" s="137"/>
      <c r="F2063" s="137"/>
      <c r="G2063" s="190"/>
      <c r="H2063" s="137"/>
      <c r="I2063" s="137"/>
      <c r="J2063" s="137"/>
      <c r="M2063" s="143"/>
      <c r="N2063" s="143"/>
      <c r="O2063" s="143"/>
      <c r="P2063" s="143"/>
      <c r="Q2063" s="137"/>
      <c r="R2063" s="137"/>
      <c r="S2063" s="137"/>
      <c r="T2063" s="137"/>
      <c r="U2063" s="137"/>
      <c r="V2063" s="137"/>
      <c r="W2063" s="137"/>
      <c r="X2063" s="137"/>
      <c r="Y2063" s="137"/>
      <c r="Z2063" s="137"/>
      <c r="AA2063" s="137"/>
    </row>
    <row r="2064" spans="5:27" x14ac:dyDescent="0.35">
      <c r="E2064" s="137"/>
      <c r="F2064" s="137"/>
      <c r="G2064" s="190"/>
      <c r="H2064" s="137"/>
      <c r="I2064" s="137"/>
      <c r="J2064" s="137"/>
      <c r="M2064" s="143"/>
      <c r="N2064" s="143"/>
      <c r="O2064" s="143"/>
      <c r="P2064" s="143"/>
      <c r="Q2064" s="137"/>
      <c r="R2064" s="137"/>
      <c r="S2064" s="137"/>
      <c r="T2064" s="137"/>
      <c r="U2064" s="137"/>
      <c r="V2064" s="137"/>
      <c r="W2064" s="137"/>
      <c r="X2064" s="137"/>
      <c r="Y2064" s="137"/>
      <c r="Z2064" s="137"/>
      <c r="AA2064" s="137"/>
    </row>
    <row r="2065" spans="5:27" x14ac:dyDescent="0.35">
      <c r="E2065" s="137"/>
      <c r="F2065" s="137"/>
      <c r="G2065" s="190"/>
      <c r="H2065" s="137"/>
      <c r="I2065" s="137"/>
      <c r="J2065" s="137"/>
      <c r="M2065" s="143"/>
      <c r="N2065" s="143"/>
      <c r="O2065" s="143"/>
      <c r="P2065" s="143"/>
      <c r="Q2065" s="137"/>
      <c r="R2065" s="137"/>
      <c r="S2065" s="137"/>
      <c r="T2065" s="137"/>
      <c r="U2065" s="137"/>
      <c r="V2065" s="137"/>
      <c r="W2065" s="137"/>
      <c r="X2065" s="137"/>
      <c r="Y2065" s="137"/>
      <c r="Z2065" s="137"/>
      <c r="AA2065" s="137"/>
    </row>
    <row r="2066" spans="5:27" x14ac:dyDescent="0.35">
      <c r="E2066" s="137"/>
      <c r="F2066" s="137"/>
      <c r="G2066" s="190"/>
      <c r="H2066" s="137"/>
      <c r="I2066" s="137"/>
      <c r="J2066" s="137"/>
      <c r="M2066" s="143"/>
      <c r="N2066" s="143"/>
      <c r="O2066" s="143"/>
      <c r="P2066" s="143"/>
      <c r="Q2066" s="137"/>
      <c r="R2066" s="137"/>
      <c r="S2066" s="137"/>
      <c r="T2066" s="137"/>
      <c r="U2066" s="137"/>
      <c r="V2066" s="137"/>
      <c r="W2066" s="137"/>
      <c r="X2066" s="137"/>
      <c r="Y2066" s="137"/>
      <c r="Z2066" s="137"/>
      <c r="AA2066" s="137"/>
    </row>
    <row r="2067" spans="5:27" x14ac:dyDescent="0.35">
      <c r="E2067" s="137"/>
      <c r="F2067" s="137"/>
      <c r="G2067" s="190"/>
      <c r="H2067" s="137"/>
      <c r="I2067" s="137"/>
      <c r="J2067" s="137"/>
      <c r="M2067" s="143"/>
      <c r="N2067" s="143"/>
      <c r="O2067" s="143"/>
      <c r="P2067" s="143"/>
      <c r="Q2067" s="137"/>
      <c r="R2067" s="137"/>
      <c r="S2067" s="137"/>
      <c r="T2067" s="137"/>
      <c r="U2067" s="137"/>
      <c r="V2067" s="137"/>
      <c r="W2067" s="137"/>
      <c r="X2067" s="137"/>
      <c r="Y2067" s="137"/>
      <c r="Z2067" s="137"/>
      <c r="AA2067" s="137"/>
    </row>
    <row r="2068" spans="5:27" x14ac:dyDescent="0.35">
      <c r="E2068" s="137"/>
      <c r="F2068" s="137"/>
      <c r="G2068" s="190"/>
      <c r="H2068" s="137"/>
      <c r="I2068" s="137"/>
      <c r="J2068" s="137"/>
      <c r="M2068" s="143"/>
      <c r="N2068" s="143"/>
      <c r="O2068" s="143"/>
      <c r="P2068" s="143"/>
      <c r="Q2068" s="137"/>
      <c r="R2068" s="137"/>
      <c r="S2068" s="137"/>
      <c r="T2068" s="137"/>
      <c r="U2068" s="137"/>
      <c r="V2068" s="137"/>
      <c r="W2068" s="137"/>
      <c r="X2068" s="137"/>
      <c r="Y2068" s="137"/>
      <c r="Z2068" s="137"/>
      <c r="AA2068" s="137"/>
    </row>
    <row r="2069" spans="5:27" x14ac:dyDescent="0.35">
      <c r="E2069" s="137"/>
      <c r="F2069" s="137"/>
      <c r="G2069" s="190"/>
      <c r="H2069" s="137"/>
      <c r="I2069" s="137"/>
      <c r="J2069" s="137"/>
      <c r="M2069" s="143"/>
      <c r="N2069" s="143"/>
      <c r="O2069" s="143"/>
      <c r="P2069" s="143"/>
      <c r="Q2069" s="137"/>
      <c r="R2069" s="137"/>
      <c r="S2069" s="137"/>
      <c r="T2069" s="137"/>
      <c r="U2069" s="137"/>
      <c r="V2069" s="137"/>
      <c r="W2069" s="137"/>
      <c r="X2069" s="137"/>
      <c r="Y2069" s="137"/>
      <c r="Z2069" s="137"/>
      <c r="AA2069" s="137"/>
    </row>
    <row r="2070" spans="5:27" x14ac:dyDescent="0.35">
      <c r="E2070" s="137"/>
      <c r="F2070" s="137"/>
      <c r="G2070" s="190"/>
      <c r="H2070" s="137"/>
      <c r="I2070" s="137"/>
      <c r="J2070" s="137"/>
      <c r="M2070" s="143"/>
      <c r="N2070" s="143"/>
      <c r="O2070" s="143"/>
      <c r="P2070" s="143"/>
      <c r="Q2070" s="137"/>
      <c r="R2070" s="137"/>
      <c r="S2070" s="137"/>
      <c r="T2070" s="137"/>
      <c r="U2070" s="137"/>
      <c r="V2070" s="137"/>
      <c r="W2070" s="137"/>
      <c r="X2070" s="137"/>
      <c r="Y2070" s="137"/>
      <c r="Z2070" s="137"/>
      <c r="AA2070" s="137"/>
    </row>
    <row r="2071" spans="5:27" x14ac:dyDescent="0.35">
      <c r="E2071" s="137"/>
      <c r="F2071" s="137"/>
      <c r="G2071" s="190"/>
      <c r="H2071" s="137"/>
      <c r="I2071" s="137"/>
      <c r="J2071" s="137"/>
      <c r="M2071" s="143"/>
      <c r="N2071" s="143"/>
      <c r="O2071" s="143"/>
      <c r="P2071" s="143"/>
      <c r="Q2071" s="137"/>
      <c r="R2071" s="137"/>
      <c r="S2071" s="137"/>
      <c r="T2071" s="137"/>
      <c r="U2071" s="137"/>
      <c r="V2071" s="137"/>
      <c r="W2071" s="137"/>
      <c r="X2071" s="137"/>
      <c r="Y2071" s="137"/>
      <c r="Z2071" s="137"/>
      <c r="AA2071" s="137"/>
    </row>
    <row r="2072" spans="5:27" x14ac:dyDescent="0.35">
      <c r="E2072" s="137"/>
      <c r="F2072" s="137"/>
      <c r="G2072" s="190"/>
      <c r="H2072" s="137"/>
      <c r="I2072" s="137"/>
      <c r="J2072" s="137"/>
      <c r="M2072" s="143"/>
      <c r="N2072" s="143"/>
      <c r="O2072" s="143"/>
      <c r="P2072" s="143"/>
      <c r="Q2072" s="137"/>
      <c r="R2072" s="137"/>
      <c r="S2072" s="137"/>
      <c r="T2072" s="137"/>
      <c r="U2072" s="137"/>
      <c r="V2072" s="137"/>
      <c r="W2072" s="137"/>
      <c r="X2072" s="137"/>
      <c r="Y2072" s="137"/>
      <c r="Z2072" s="137"/>
      <c r="AA2072" s="137"/>
    </row>
    <row r="2073" spans="5:27" x14ac:dyDescent="0.35">
      <c r="E2073" s="137"/>
      <c r="F2073" s="137"/>
      <c r="G2073" s="190"/>
      <c r="H2073" s="137"/>
      <c r="I2073" s="137"/>
      <c r="J2073" s="137"/>
      <c r="M2073" s="143"/>
      <c r="N2073" s="143"/>
      <c r="O2073" s="143"/>
      <c r="P2073" s="143"/>
      <c r="Q2073" s="137"/>
      <c r="R2073" s="137"/>
      <c r="S2073" s="137"/>
      <c r="T2073" s="137"/>
      <c r="U2073" s="137"/>
      <c r="V2073" s="137"/>
      <c r="W2073" s="137"/>
      <c r="X2073" s="137"/>
      <c r="Y2073" s="137"/>
      <c r="Z2073" s="137"/>
      <c r="AA2073" s="137"/>
    </row>
    <row r="2074" spans="5:27" x14ac:dyDescent="0.35">
      <c r="E2074" s="137"/>
      <c r="F2074" s="137"/>
      <c r="G2074" s="190"/>
      <c r="H2074" s="137"/>
      <c r="I2074" s="137"/>
      <c r="J2074" s="137"/>
      <c r="M2074" s="143"/>
      <c r="N2074" s="143"/>
      <c r="O2074" s="143"/>
      <c r="P2074" s="143"/>
      <c r="Q2074" s="137"/>
      <c r="R2074" s="137"/>
      <c r="S2074" s="137"/>
      <c r="T2074" s="137"/>
      <c r="U2074" s="137"/>
      <c r="V2074" s="137"/>
      <c r="W2074" s="137"/>
      <c r="X2074" s="137"/>
      <c r="Y2074" s="137"/>
      <c r="Z2074" s="137"/>
      <c r="AA2074" s="137"/>
    </row>
    <row r="2075" spans="5:27" x14ac:dyDescent="0.35">
      <c r="E2075" s="137"/>
      <c r="F2075" s="137"/>
      <c r="G2075" s="190"/>
      <c r="H2075" s="137"/>
      <c r="I2075" s="137"/>
      <c r="J2075" s="137"/>
      <c r="M2075" s="143"/>
      <c r="N2075" s="143"/>
      <c r="O2075" s="143"/>
      <c r="P2075" s="143"/>
      <c r="Q2075" s="137"/>
      <c r="R2075" s="137"/>
      <c r="S2075" s="137"/>
      <c r="T2075" s="137"/>
      <c r="U2075" s="137"/>
      <c r="V2075" s="137"/>
      <c r="W2075" s="137"/>
      <c r="X2075" s="137"/>
      <c r="Y2075" s="137"/>
      <c r="Z2075" s="137"/>
      <c r="AA2075" s="137"/>
    </row>
    <row r="2076" spans="5:27" x14ac:dyDescent="0.35">
      <c r="E2076" s="137"/>
      <c r="F2076" s="137"/>
      <c r="G2076" s="190"/>
      <c r="H2076" s="137"/>
      <c r="I2076" s="137"/>
      <c r="J2076" s="137"/>
      <c r="M2076" s="143"/>
      <c r="N2076" s="143"/>
      <c r="O2076" s="143"/>
      <c r="P2076" s="143"/>
      <c r="Q2076" s="137"/>
      <c r="R2076" s="137"/>
      <c r="S2076" s="137"/>
      <c r="T2076" s="137"/>
      <c r="U2076" s="137"/>
      <c r="V2076" s="137"/>
      <c r="W2076" s="137"/>
      <c r="X2076" s="137"/>
      <c r="Y2076" s="137"/>
      <c r="Z2076" s="137"/>
      <c r="AA2076" s="137"/>
    </row>
    <row r="2077" spans="5:27" x14ac:dyDescent="0.35">
      <c r="E2077" s="137"/>
      <c r="F2077" s="137"/>
      <c r="G2077" s="190"/>
      <c r="H2077" s="137"/>
      <c r="I2077" s="137"/>
      <c r="J2077" s="137"/>
      <c r="M2077" s="143"/>
      <c r="N2077" s="143"/>
      <c r="O2077" s="143"/>
      <c r="P2077" s="143"/>
      <c r="Q2077" s="137"/>
      <c r="R2077" s="137"/>
      <c r="S2077" s="137"/>
      <c r="T2077" s="137"/>
      <c r="U2077" s="137"/>
      <c r="V2077" s="137"/>
      <c r="W2077" s="137"/>
      <c r="X2077" s="137"/>
      <c r="Y2077" s="137"/>
      <c r="Z2077" s="137"/>
      <c r="AA2077" s="137"/>
    </row>
    <row r="2078" spans="5:27" x14ac:dyDescent="0.35">
      <c r="E2078" s="137"/>
      <c r="F2078" s="137"/>
      <c r="G2078" s="190"/>
      <c r="H2078" s="137"/>
      <c r="I2078" s="137"/>
      <c r="J2078" s="137"/>
      <c r="M2078" s="143"/>
      <c r="N2078" s="143"/>
      <c r="O2078" s="143"/>
      <c r="P2078" s="143"/>
      <c r="Q2078" s="137"/>
      <c r="R2078" s="137"/>
      <c r="S2078" s="137"/>
      <c r="T2078" s="137"/>
      <c r="U2078" s="137"/>
      <c r="V2078" s="137"/>
      <c r="W2078" s="137"/>
      <c r="X2078" s="137"/>
      <c r="Y2078" s="137"/>
      <c r="Z2078" s="137"/>
      <c r="AA2078" s="137"/>
    </row>
    <row r="2079" spans="5:27" x14ac:dyDescent="0.35">
      <c r="E2079" s="137"/>
      <c r="F2079" s="137"/>
      <c r="G2079" s="190"/>
      <c r="H2079" s="137"/>
      <c r="I2079" s="137"/>
      <c r="J2079" s="137"/>
      <c r="M2079" s="143"/>
      <c r="N2079" s="143"/>
      <c r="O2079" s="143"/>
      <c r="P2079" s="143"/>
      <c r="Q2079" s="137"/>
      <c r="R2079" s="137"/>
      <c r="S2079" s="137"/>
      <c r="T2079" s="137"/>
      <c r="U2079" s="137"/>
      <c r="V2079" s="137"/>
      <c r="W2079" s="137"/>
      <c r="X2079" s="137"/>
      <c r="Y2079" s="137"/>
      <c r="Z2079" s="137"/>
      <c r="AA2079" s="137"/>
    </row>
    <row r="2080" spans="5:27" x14ac:dyDescent="0.35">
      <c r="E2080" s="137"/>
      <c r="F2080" s="137"/>
      <c r="G2080" s="190"/>
      <c r="H2080" s="137"/>
      <c r="I2080" s="137"/>
      <c r="J2080" s="137"/>
      <c r="M2080" s="143"/>
      <c r="N2080" s="143"/>
      <c r="O2080" s="143"/>
      <c r="P2080" s="143"/>
      <c r="Q2080" s="137"/>
      <c r="R2080" s="137"/>
      <c r="S2080" s="137"/>
      <c r="T2080" s="137"/>
      <c r="U2080" s="137"/>
      <c r="V2080" s="137"/>
      <c r="W2080" s="137"/>
      <c r="X2080" s="137"/>
      <c r="Y2080" s="137"/>
      <c r="Z2080" s="137"/>
      <c r="AA2080" s="137"/>
    </row>
    <row r="2081" spans="5:27" x14ac:dyDescent="0.35">
      <c r="E2081" s="137"/>
      <c r="F2081" s="137"/>
      <c r="G2081" s="190"/>
      <c r="H2081" s="137"/>
      <c r="I2081" s="137"/>
      <c r="J2081" s="137"/>
      <c r="M2081" s="143"/>
      <c r="N2081" s="143"/>
      <c r="O2081" s="143"/>
      <c r="P2081" s="143"/>
      <c r="Q2081" s="137"/>
      <c r="R2081" s="137"/>
      <c r="S2081" s="137"/>
      <c r="T2081" s="137"/>
      <c r="U2081" s="137"/>
      <c r="V2081" s="137"/>
      <c r="W2081" s="137"/>
      <c r="X2081" s="137"/>
      <c r="Y2081" s="137"/>
      <c r="Z2081" s="137"/>
      <c r="AA2081" s="137"/>
    </row>
    <row r="2082" spans="5:27" x14ac:dyDescent="0.35">
      <c r="E2082" s="137"/>
      <c r="F2082" s="137"/>
      <c r="G2082" s="190"/>
      <c r="H2082" s="137"/>
      <c r="I2082" s="137"/>
      <c r="J2082" s="137"/>
      <c r="M2082" s="143"/>
      <c r="N2082" s="143"/>
      <c r="O2082" s="143"/>
      <c r="P2082" s="143"/>
      <c r="Q2082" s="137"/>
      <c r="R2082" s="137"/>
      <c r="S2082" s="137"/>
      <c r="T2082" s="137"/>
      <c r="U2082" s="137"/>
      <c r="V2082" s="137"/>
      <c r="W2082" s="137"/>
      <c r="X2082" s="137"/>
      <c r="Y2082" s="137"/>
      <c r="Z2082" s="137"/>
      <c r="AA2082" s="137"/>
    </row>
    <row r="2083" spans="5:27" x14ac:dyDescent="0.35">
      <c r="E2083" s="137"/>
      <c r="F2083" s="137"/>
      <c r="G2083" s="190"/>
      <c r="H2083" s="137"/>
      <c r="I2083" s="137"/>
      <c r="J2083" s="137"/>
      <c r="M2083" s="143"/>
      <c r="N2083" s="143"/>
      <c r="O2083" s="143"/>
      <c r="P2083" s="143"/>
      <c r="Q2083" s="137"/>
      <c r="R2083" s="137"/>
      <c r="S2083" s="137"/>
      <c r="T2083" s="137"/>
      <c r="U2083" s="137"/>
      <c r="V2083" s="137"/>
      <c r="W2083" s="137"/>
      <c r="X2083" s="137"/>
      <c r="Y2083" s="137"/>
      <c r="Z2083" s="137"/>
      <c r="AA2083" s="137"/>
    </row>
    <row r="2084" spans="5:27" x14ac:dyDescent="0.35">
      <c r="E2084" s="137"/>
      <c r="F2084" s="137"/>
      <c r="G2084" s="190"/>
      <c r="H2084" s="137"/>
      <c r="I2084" s="137"/>
      <c r="J2084" s="137"/>
      <c r="M2084" s="143"/>
      <c r="N2084" s="143"/>
      <c r="O2084" s="143"/>
      <c r="P2084" s="143"/>
      <c r="Q2084" s="137"/>
      <c r="R2084" s="137"/>
      <c r="S2084" s="137"/>
      <c r="T2084" s="137"/>
      <c r="U2084" s="137"/>
      <c r="V2084" s="137"/>
      <c r="W2084" s="137"/>
      <c r="X2084" s="137"/>
      <c r="Y2084" s="137"/>
      <c r="Z2084" s="137"/>
      <c r="AA2084" s="137"/>
    </row>
    <row r="2085" spans="5:27" x14ac:dyDescent="0.35">
      <c r="E2085" s="137"/>
      <c r="F2085" s="137"/>
      <c r="G2085" s="190"/>
      <c r="H2085" s="137"/>
      <c r="I2085" s="137"/>
      <c r="J2085" s="137"/>
      <c r="M2085" s="143"/>
      <c r="N2085" s="143"/>
      <c r="O2085" s="143"/>
      <c r="P2085" s="143"/>
      <c r="Q2085" s="137"/>
      <c r="R2085" s="137"/>
      <c r="S2085" s="137"/>
      <c r="T2085" s="137"/>
      <c r="U2085" s="137"/>
      <c r="V2085" s="137"/>
      <c r="W2085" s="137"/>
      <c r="X2085" s="137"/>
      <c r="Y2085" s="137"/>
      <c r="Z2085" s="137"/>
      <c r="AA2085" s="137"/>
    </row>
    <row r="2086" spans="5:27" x14ac:dyDescent="0.35">
      <c r="E2086" s="137"/>
      <c r="F2086" s="137"/>
      <c r="G2086" s="190"/>
      <c r="H2086" s="137"/>
      <c r="I2086" s="137"/>
      <c r="J2086" s="137"/>
      <c r="M2086" s="143"/>
      <c r="N2086" s="143"/>
      <c r="O2086" s="143"/>
      <c r="P2086" s="143"/>
      <c r="Q2086" s="137"/>
      <c r="R2086" s="137"/>
      <c r="S2086" s="137"/>
      <c r="T2086" s="137"/>
      <c r="U2086" s="137"/>
      <c r="V2086" s="137"/>
      <c r="W2086" s="137"/>
      <c r="X2086" s="137"/>
      <c r="Y2086" s="137"/>
      <c r="Z2086" s="137"/>
      <c r="AA2086" s="137"/>
    </row>
    <row r="2087" spans="5:27" x14ac:dyDescent="0.35">
      <c r="E2087" s="137"/>
      <c r="F2087" s="137"/>
      <c r="G2087" s="190"/>
      <c r="H2087" s="137"/>
      <c r="I2087" s="137"/>
      <c r="J2087" s="137"/>
      <c r="M2087" s="143"/>
      <c r="N2087" s="143"/>
      <c r="O2087" s="143"/>
      <c r="P2087" s="143"/>
      <c r="Q2087" s="137"/>
      <c r="R2087" s="137"/>
      <c r="S2087" s="137"/>
      <c r="T2087" s="137"/>
      <c r="U2087" s="137"/>
      <c r="V2087" s="137"/>
      <c r="W2087" s="137"/>
      <c r="X2087" s="137"/>
      <c r="Y2087" s="137"/>
      <c r="Z2087" s="137"/>
      <c r="AA2087" s="137"/>
    </row>
    <row r="2088" spans="5:27" x14ac:dyDescent="0.35">
      <c r="E2088" s="137"/>
      <c r="F2088" s="137"/>
      <c r="G2088" s="190"/>
      <c r="H2088" s="137"/>
      <c r="I2088" s="137"/>
      <c r="J2088" s="137"/>
      <c r="M2088" s="143"/>
      <c r="N2088" s="143"/>
      <c r="O2088" s="143"/>
      <c r="P2088" s="143"/>
      <c r="Q2088" s="137"/>
      <c r="R2088" s="137"/>
      <c r="S2088" s="137"/>
      <c r="T2088" s="137"/>
      <c r="U2088" s="137"/>
      <c r="V2088" s="137"/>
      <c r="W2088" s="137"/>
      <c r="X2088" s="137"/>
      <c r="Y2088" s="137"/>
      <c r="Z2088" s="137"/>
      <c r="AA2088" s="137"/>
    </row>
    <row r="2089" spans="5:27" x14ac:dyDescent="0.35">
      <c r="E2089" s="137"/>
      <c r="F2089" s="137"/>
      <c r="G2089" s="190"/>
      <c r="H2089" s="137"/>
      <c r="I2089" s="137"/>
      <c r="J2089" s="137"/>
      <c r="M2089" s="143"/>
      <c r="N2089" s="143"/>
      <c r="O2089" s="143"/>
      <c r="P2089" s="143"/>
      <c r="Q2089" s="137"/>
      <c r="R2089" s="137"/>
      <c r="S2089" s="137"/>
      <c r="T2089" s="137"/>
      <c r="U2089" s="137"/>
      <c r="V2089" s="137"/>
      <c r="W2089" s="137"/>
      <c r="X2089" s="137"/>
      <c r="Y2089" s="137"/>
      <c r="Z2089" s="137"/>
      <c r="AA2089" s="137"/>
    </row>
    <row r="2090" spans="5:27" x14ac:dyDescent="0.35">
      <c r="E2090" s="137"/>
      <c r="F2090" s="137"/>
      <c r="G2090" s="190"/>
      <c r="H2090" s="137"/>
      <c r="I2090" s="137"/>
      <c r="J2090" s="137"/>
      <c r="M2090" s="143"/>
      <c r="N2090" s="143"/>
      <c r="O2090" s="143"/>
      <c r="P2090" s="143"/>
      <c r="Q2090" s="137"/>
      <c r="R2090" s="137"/>
      <c r="S2090" s="137"/>
      <c r="T2090" s="137"/>
      <c r="U2090" s="137"/>
      <c r="V2090" s="137"/>
      <c r="W2090" s="137"/>
      <c r="X2090" s="137"/>
      <c r="Y2090" s="137"/>
      <c r="Z2090" s="137"/>
      <c r="AA2090" s="137"/>
    </row>
    <row r="2091" spans="5:27" x14ac:dyDescent="0.35">
      <c r="E2091" s="137"/>
      <c r="F2091" s="137"/>
      <c r="G2091" s="190"/>
      <c r="H2091" s="137"/>
      <c r="I2091" s="137"/>
      <c r="J2091" s="137"/>
      <c r="M2091" s="143"/>
      <c r="N2091" s="143"/>
      <c r="O2091" s="143"/>
      <c r="P2091" s="143"/>
      <c r="Q2091" s="137"/>
      <c r="R2091" s="137"/>
      <c r="S2091" s="137"/>
      <c r="T2091" s="137"/>
      <c r="U2091" s="137"/>
      <c r="V2091" s="137"/>
      <c r="W2091" s="137"/>
      <c r="X2091" s="137"/>
      <c r="Y2091" s="137"/>
      <c r="Z2091" s="137"/>
      <c r="AA2091" s="137"/>
    </row>
    <row r="2092" spans="5:27" x14ac:dyDescent="0.35">
      <c r="E2092" s="137"/>
      <c r="F2092" s="137"/>
      <c r="G2092" s="190"/>
      <c r="H2092" s="137"/>
      <c r="I2092" s="137"/>
      <c r="J2092" s="137"/>
      <c r="M2092" s="143"/>
      <c r="N2092" s="143"/>
      <c r="O2092" s="143"/>
      <c r="P2092" s="143"/>
      <c r="Q2092" s="137"/>
      <c r="R2092" s="137"/>
      <c r="S2092" s="137"/>
      <c r="T2092" s="137"/>
      <c r="U2092" s="137"/>
      <c r="V2092" s="137"/>
      <c r="W2092" s="137"/>
      <c r="X2092" s="137"/>
      <c r="Y2092" s="137"/>
      <c r="Z2092" s="137"/>
      <c r="AA2092" s="137"/>
    </row>
    <row r="2093" spans="5:27" x14ac:dyDescent="0.35">
      <c r="E2093" s="137"/>
      <c r="F2093" s="137"/>
      <c r="G2093" s="190"/>
      <c r="H2093" s="137"/>
      <c r="I2093" s="137"/>
      <c r="J2093" s="137"/>
      <c r="M2093" s="143"/>
      <c r="N2093" s="143"/>
      <c r="O2093" s="143"/>
      <c r="P2093" s="143"/>
      <c r="Q2093" s="137"/>
      <c r="R2093" s="137"/>
      <c r="S2093" s="137"/>
      <c r="T2093" s="137"/>
      <c r="U2093" s="137"/>
      <c r="V2093" s="137"/>
      <c r="W2093" s="137"/>
      <c r="X2093" s="137"/>
      <c r="Y2093" s="137"/>
      <c r="Z2093" s="137"/>
      <c r="AA2093" s="137"/>
    </row>
    <row r="2094" spans="5:27" x14ac:dyDescent="0.35">
      <c r="E2094" s="137"/>
      <c r="F2094" s="137"/>
      <c r="G2094" s="190"/>
      <c r="H2094" s="137"/>
      <c r="I2094" s="137"/>
      <c r="J2094" s="137"/>
      <c r="M2094" s="143"/>
      <c r="N2094" s="143"/>
      <c r="O2094" s="143"/>
      <c r="P2094" s="143"/>
      <c r="Q2094" s="137"/>
      <c r="R2094" s="137"/>
      <c r="S2094" s="137"/>
      <c r="T2094" s="137"/>
      <c r="U2094" s="137"/>
      <c r="V2094" s="137"/>
      <c r="W2094" s="137"/>
      <c r="X2094" s="137"/>
      <c r="Y2094" s="137"/>
      <c r="Z2094" s="137"/>
      <c r="AA2094" s="137"/>
    </row>
    <row r="2095" spans="5:27" x14ac:dyDescent="0.35">
      <c r="E2095" s="137"/>
      <c r="F2095" s="137"/>
      <c r="G2095" s="190"/>
      <c r="H2095" s="137"/>
      <c r="I2095" s="137"/>
      <c r="J2095" s="137"/>
      <c r="M2095" s="143"/>
      <c r="N2095" s="143"/>
      <c r="O2095" s="143"/>
      <c r="P2095" s="143"/>
      <c r="Q2095" s="137"/>
      <c r="R2095" s="137"/>
      <c r="S2095" s="137"/>
      <c r="T2095" s="137"/>
      <c r="U2095" s="137"/>
      <c r="V2095" s="137"/>
      <c r="W2095" s="137"/>
      <c r="X2095" s="137"/>
      <c r="Y2095" s="137"/>
      <c r="Z2095" s="137"/>
      <c r="AA2095" s="137"/>
    </row>
    <row r="2096" spans="5:27" x14ac:dyDescent="0.35">
      <c r="E2096" s="137"/>
      <c r="F2096" s="137"/>
      <c r="G2096" s="190"/>
      <c r="H2096" s="137"/>
      <c r="I2096" s="137"/>
      <c r="J2096" s="137"/>
      <c r="M2096" s="143"/>
      <c r="N2096" s="143"/>
      <c r="O2096" s="143"/>
      <c r="P2096" s="143"/>
      <c r="Q2096" s="137"/>
      <c r="R2096" s="137"/>
      <c r="S2096" s="137"/>
      <c r="T2096" s="137"/>
      <c r="U2096" s="137"/>
      <c r="V2096" s="137"/>
      <c r="W2096" s="137"/>
      <c r="X2096" s="137"/>
      <c r="Y2096" s="137"/>
      <c r="Z2096" s="137"/>
      <c r="AA2096" s="137"/>
    </row>
    <row r="2097" spans="5:27" x14ac:dyDescent="0.35">
      <c r="E2097" s="137"/>
      <c r="F2097" s="137"/>
      <c r="G2097" s="190"/>
      <c r="H2097" s="137"/>
      <c r="I2097" s="137"/>
      <c r="J2097" s="137"/>
      <c r="M2097" s="143"/>
      <c r="N2097" s="143"/>
      <c r="O2097" s="143"/>
      <c r="P2097" s="143"/>
      <c r="Q2097" s="137"/>
      <c r="R2097" s="137"/>
      <c r="S2097" s="137"/>
      <c r="T2097" s="137"/>
      <c r="U2097" s="137"/>
      <c r="V2097" s="137"/>
      <c r="W2097" s="137"/>
      <c r="X2097" s="137"/>
      <c r="Y2097" s="137"/>
      <c r="Z2097" s="137"/>
      <c r="AA2097" s="137"/>
    </row>
    <row r="2098" spans="5:27" x14ac:dyDescent="0.35">
      <c r="E2098" s="137"/>
      <c r="F2098" s="137"/>
      <c r="G2098" s="190"/>
      <c r="H2098" s="137"/>
      <c r="I2098" s="137"/>
      <c r="J2098" s="137"/>
      <c r="M2098" s="143"/>
      <c r="N2098" s="143"/>
      <c r="O2098" s="143"/>
      <c r="P2098" s="143"/>
      <c r="Q2098" s="137"/>
      <c r="R2098" s="137"/>
      <c r="S2098" s="137"/>
      <c r="T2098" s="137"/>
      <c r="U2098" s="137"/>
      <c r="V2098" s="137"/>
      <c r="W2098" s="137"/>
      <c r="X2098" s="137"/>
      <c r="Y2098" s="137"/>
      <c r="Z2098" s="137"/>
      <c r="AA2098" s="137"/>
    </row>
    <row r="2099" spans="5:27" x14ac:dyDescent="0.35">
      <c r="E2099" s="137"/>
      <c r="F2099" s="137"/>
      <c r="G2099" s="190"/>
      <c r="H2099" s="137"/>
      <c r="I2099" s="137"/>
      <c r="J2099" s="137"/>
      <c r="M2099" s="143"/>
      <c r="N2099" s="143"/>
      <c r="O2099" s="143"/>
      <c r="P2099" s="143"/>
      <c r="Q2099" s="137"/>
      <c r="R2099" s="137"/>
      <c r="S2099" s="137"/>
      <c r="T2099" s="137"/>
      <c r="U2099" s="137"/>
      <c r="V2099" s="137"/>
      <c r="W2099" s="137"/>
      <c r="X2099" s="137"/>
      <c r="Y2099" s="137"/>
      <c r="Z2099" s="137"/>
      <c r="AA2099" s="137"/>
    </row>
    <row r="2100" spans="5:27" x14ac:dyDescent="0.35">
      <c r="E2100" s="137"/>
      <c r="F2100" s="137"/>
      <c r="G2100" s="190"/>
      <c r="H2100" s="137"/>
      <c r="I2100" s="137"/>
      <c r="J2100" s="137"/>
      <c r="M2100" s="143"/>
      <c r="N2100" s="143"/>
      <c r="O2100" s="143"/>
      <c r="P2100" s="143"/>
      <c r="Q2100" s="137"/>
      <c r="R2100" s="137"/>
      <c r="S2100" s="137"/>
      <c r="T2100" s="137"/>
      <c r="U2100" s="137"/>
      <c r="V2100" s="137"/>
      <c r="W2100" s="137"/>
      <c r="X2100" s="137"/>
      <c r="Y2100" s="137"/>
      <c r="Z2100" s="137"/>
      <c r="AA2100" s="137"/>
    </row>
    <row r="2101" spans="5:27" x14ac:dyDescent="0.35">
      <c r="E2101" s="137"/>
      <c r="F2101" s="137"/>
      <c r="G2101" s="190"/>
      <c r="H2101" s="137"/>
      <c r="I2101" s="137"/>
      <c r="J2101" s="137"/>
      <c r="M2101" s="143"/>
      <c r="N2101" s="143"/>
      <c r="O2101" s="143"/>
      <c r="P2101" s="143"/>
      <c r="Q2101" s="137"/>
      <c r="R2101" s="137"/>
      <c r="S2101" s="137"/>
      <c r="T2101" s="137"/>
      <c r="U2101" s="137"/>
      <c r="V2101" s="137"/>
      <c r="W2101" s="137"/>
      <c r="X2101" s="137"/>
      <c r="Y2101" s="137"/>
      <c r="Z2101" s="137"/>
      <c r="AA2101" s="137"/>
    </row>
    <row r="2102" spans="5:27" x14ac:dyDescent="0.35">
      <c r="E2102" s="137"/>
      <c r="F2102" s="137"/>
      <c r="G2102" s="190"/>
      <c r="H2102" s="137"/>
      <c r="I2102" s="137"/>
      <c r="J2102" s="137"/>
      <c r="M2102" s="143"/>
      <c r="N2102" s="143"/>
      <c r="O2102" s="143"/>
      <c r="P2102" s="143"/>
      <c r="Q2102" s="137"/>
      <c r="R2102" s="137"/>
      <c r="S2102" s="137"/>
      <c r="T2102" s="137"/>
      <c r="U2102" s="137"/>
      <c r="V2102" s="137"/>
      <c r="W2102" s="137"/>
      <c r="X2102" s="137"/>
      <c r="Y2102" s="137"/>
      <c r="Z2102" s="137"/>
      <c r="AA2102" s="137"/>
    </row>
    <row r="2103" spans="5:27" x14ac:dyDescent="0.35">
      <c r="E2103" s="137"/>
      <c r="F2103" s="137"/>
      <c r="G2103" s="190"/>
      <c r="H2103" s="137"/>
      <c r="I2103" s="137"/>
      <c r="J2103" s="137"/>
      <c r="M2103" s="143"/>
      <c r="N2103" s="143"/>
      <c r="O2103" s="143"/>
      <c r="P2103" s="143"/>
      <c r="Q2103" s="137"/>
      <c r="R2103" s="137"/>
      <c r="S2103" s="137"/>
      <c r="T2103" s="137"/>
      <c r="U2103" s="137"/>
      <c r="V2103" s="137"/>
      <c r="W2103" s="137"/>
      <c r="X2103" s="137"/>
      <c r="Y2103" s="137"/>
      <c r="Z2103" s="137"/>
      <c r="AA2103" s="137"/>
    </row>
    <row r="2104" spans="5:27" x14ac:dyDescent="0.35">
      <c r="E2104" s="137"/>
      <c r="F2104" s="137"/>
      <c r="G2104" s="190"/>
      <c r="H2104" s="137"/>
      <c r="I2104" s="137"/>
      <c r="J2104" s="137"/>
      <c r="M2104" s="143"/>
      <c r="N2104" s="143"/>
      <c r="O2104" s="143"/>
      <c r="P2104" s="143"/>
      <c r="Q2104" s="137"/>
      <c r="R2104" s="137"/>
      <c r="S2104" s="137"/>
      <c r="T2104" s="137"/>
      <c r="U2104" s="137"/>
      <c r="V2104" s="137"/>
      <c r="W2104" s="137"/>
      <c r="X2104" s="137"/>
      <c r="Y2104" s="137"/>
      <c r="Z2104" s="137"/>
      <c r="AA2104" s="137"/>
    </row>
    <row r="2105" spans="5:27" x14ac:dyDescent="0.35">
      <c r="E2105" s="137"/>
      <c r="F2105" s="137"/>
      <c r="G2105" s="190"/>
      <c r="H2105" s="137"/>
      <c r="I2105" s="137"/>
      <c r="J2105" s="137"/>
      <c r="M2105" s="143"/>
      <c r="N2105" s="143"/>
      <c r="O2105" s="143"/>
      <c r="P2105" s="143"/>
      <c r="Q2105" s="137"/>
      <c r="R2105" s="137"/>
      <c r="S2105" s="137"/>
      <c r="T2105" s="137"/>
      <c r="U2105" s="137"/>
      <c r="V2105" s="137"/>
      <c r="W2105" s="137"/>
      <c r="X2105" s="137"/>
      <c r="Y2105" s="137"/>
      <c r="Z2105" s="137"/>
      <c r="AA2105" s="137"/>
    </row>
    <row r="2106" spans="5:27" x14ac:dyDescent="0.35">
      <c r="E2106" s="137"/>
      <c r="F2106" s="137"/>
      <c r="G2106" s="190"/>
      <c r="H2106" s="137"/>
      <c r="I2106" s="137"/>
      <c r="J2106" s="137"/>
      <c r="M2106" s="143"/>
      <c r="N2106" s="143"/>
      <c r="O2106" s="143"/>
      <c r="P2106" s="143"/>
      <c r="Q2106" s="137"/>
      <c r="R2106" s="137"/>
      <c r="S2106" s="137"/>
      <c r="T2106" s="137"/>
      <c r="U2106" s="137"/>
      <c r="V2106" s="137"/>
      <c r="W2106" s="137"/>
      <c r="X2106" s="137"/>
      <c r="Y2106" s="137"/>
      <c r="Z2106" s="137"/>
      <c r="AA2106" s="137"/>
    </row>
    <row r="2107" spans="5:27" x14ac:dyDescent="0.35">
      <c r="E2107" s="137"/>
      <c r="F2107" s="137"/>
      <c r="G2107" s="190"/>
      <c r="H2107" s="137"/>
      <c r="I2107" s="137"/>
      <c r="J2107" s="137"/>
      <c r="M2107" s="143"/>
      <c r="N2107" s="143"/>
      <c r="O2107" s="143"/>
      <c r="P2107" s="143"/>
      <c r="Q2107" s="137"/>
      <c r="R2107" s="137"/>
      <c r="S2107" s="137"/>
      <c r="T2107" s="137"/>
      <c r="U2107" s="137"/>
      <c r="V2107" s="137"/>
      <c r="W2107" s="137"/>
      <c r="X2107" s="137"/>
      <c r="Y2107" s="137"/>
      <c r="Z2107" s="137"/>
      <c r="AA2107" s="137"/>
    </row>
    <row r="2108" spans="5:27" x14ac:dyDescent="0.35">
      <c r="E2108" s="137"/>
      <c r="F2108" s="137"/>
      <c r="G2108" s="190"/>
      <c r="H2108" s="137"/>
      <c r="I2108" s="137"/>
      <c r="J2108" s="137"/>
      <c r="M2108" s="143"/>
      <c r="N2108" s="143"/>
      <c r="O2108" s="143"/>
      <c r="P2108" s="143"/>
      <c r="Q2108" s="137"/>
      <c r="R2108" s="137"/>
      <c r="S2108" s="137"/>
      <c r="T2108" s="137"/>
      <c r="U2108" s="137"/>
      <c r="V2108" s="137"/>
      <c r="W2108" s="137"/>
      <c r="X2108" s="137"/>
      <c r="Y2108" s="137"/>
      <c r="Z2108" s="137"/>
      <c r="AA2108" s="137"/>
    </row>
    <row r="2109" spans="5:27" x14ac:dyDescent="0.35">
      <c r="E2109" s="137"/>
      <c r="F2109" s="137"/>
      <c r="G2109" s="190"/>
      <c r="H2109" s="137"/>
      <c r="I2109" s="137"/>
      <c r="J2109" s="137"/>
      <c r="M2109" s="143"/>
      <c r="N2109" s="143"/>
      <c r="O2109" s="143"/>
      <c r="P2109" s="143"/>
      <c r="Q2109" s="137"/>
      <c r="R2109" s="137"/>
      <c r="S2109" s="137"/>
      <c r="T2109" s="137"/>
      <c r="U2109" s="137"/>
      <c r="V2109" s="137"/>
      <c r="W2109" s="137"/>
      <c r="X2109" s="137"/>
      <c r="Y2109" s="137"/>
      <c r="Z2109" s="137"/>
      <c r="AA2109" s="137"/>
    </row>
    <row r="2110" spans="5:27" x14ac:dyDescent="0.35">
      <c r="E2110" s="137"/>
      <c r="F2110" s="137"/>
      <c r="G2110" s="190"/>
      <c r="H2110" s="137"/>
      <c r="I2110" s="137"/>
      <c r="J2110" s="137"/>
      <c r="M2110" s="143"/>
      <c r="N2110" s="143"/>
      <c r="O2110" s="143"/>
      <c r="P2110" s="143"/>
      <c r="Q2110" s="137"/>
      <c r="R2110" s="137"/>
      <c r="S2110" s="137"/>
      <c r="T2110" s="137"/>
      <c r="U2110" s="137"/>
      <c r="V2110" s="137"/>
      <c r="W2110" s="137"/>
      <c r="X2110" s="137"/>
      <c r="Y2110" s="137"/>
      <c r="Z2110" s="137"/>
      <c r="AA2110" s="137"/>
    </row>
    <row r="2111" spans="5:27" x14ac:dyDescent="0.35">
      <c r="E2111" s="137"/>
      <c r="F2111" s="137"/>
      <c r="G2111" s="190"/>
      <c r="H2111" s="137"/>
      <c r="I2111" s="137"/>
      <c r="J2111" s="137"/>
      <c r="M2111" s="143"/>
      <c r="N2111" s="143"/>
      <c r="O2111" s="143"/>
      <c r="P2111" s="143"/>
      <c r="Q2111" s="137"/>
      <c r="R2111" s="137"/>
      <c r="S2111" s="137"/>
      <c r="T2111" s="137"/>
      <c r="U2111" s="137"/>
      <c r="V2111" s="137"/>
      <c r="W2111" s="137"/>
      <c r="X2111" s="137"/>
      <c r="Y2111" s="137"/>
      <c r="Z2111" s="137"/>
      <c r="AA2111" s="137"/>
    </row>
    <row r="2112" spans="5:27" x14ac:dyDescent="0.35">
      <c r="E2112" s="137"/>
      <c r="F2112" s="137"/>
      <c r="G2112" s="190"/>
      <c r="H2112" s="137"/>
      <c r="I2112" s="137"/>
      <c r="J2112" s="137"/>
      <c r="M2112" s="143"/>
      <c r="N2112" s="143"/>
      <c r="O2112" s="143"/>
      <c r="P2112" s="143"/>
      <c r="Q2112" s="137"/>
      <c r="R2112" s="137"/>
      <c r="S2112" s="137"/>
      <c r="T2112" s="137"/>
      <c r="U2112" s="137"/>
      <c r="V2112" s="137"/>
      <c r="W2112" s="137"/>
      <c r="X2112" s="137"/>
      <c r="Y2112" s="137"/>
      <c r="Z2112" s="137"/>
      <c r="AA2112" s="137"/>
    </row>
    <row r="2113" spans="5:27" x14ac:dyDescent="0.35">
      <c r="E2113" s="137"/>
      <c r="F2113" s="137"/>
      <c r="G2113" s="190"/>
      <c r="H2113" s="137"/>
      <c r="I2113" s="137"/>
      <c r="J2113" s="137"/>
      <c r="M2113" s="143"/>
      <c r="N2113" s="143"/>
      <c r="O2113" s="143"/>
      <c r="P2113" s="143"/>
      <c r="Q2113" s="137"/>
      <c r="R2113" s="137"/>
      <c r="S2113" s="137"/>
      <c r="T2113" s="137"/>
      <c r="U2113" s="137"/>
      <c r="V2113" s="137"/>
      <c r="W2113" s="137"/>
      <c r="X2113" s="137"/>
      <c r="Y2113" s="137"/>
      <c r="Z2113" s="137"/>
      <c r="AA2113" s="137"/>
    </row>
    <row r="2114" spans="5:27" x14ac:dyDescent="0.35">
      <c r="E2114" s="137"/>
      <c r="F2114" s="137"/>
      <c r="G2114" s="190"/>
      <c r="H2114" s="137"/>
      <c r="I2114" s="137"/>
      <c r="J2114" s="137"/>
      <c r="M2114" s="143"/>
      <c r="N2114" s="143"/>
      <c r="O2114" s="143"/>
      <c r="P2114" s="143"/>
      <c r="Q2114" s="137"/>
      <c r="R2114" s="137"/>
      <c r="S2114" s="137"/>
      <c r="T2114" s="137"/>
      <c r="U2114" s="137"/>
      <c r="V2114" s="137"/>
      <c r="W2114" s="137"/>
      <c r="X2114" s="137"/>
      <c r="Y2114" s="137"/>
      <c r="Z2114" s="137"/>
      <c r="AA2114" s="137"/>
    </row>
    <row r="2115" spans="5:27" x14ac:dyDescent="0.35">
      <c r="E2115" s="137"/>
      <c r="F2115" s="137"/>
      <c r="G2115" s="190"/>
      <c r="H2115" s="137"/>
      <c r="I2115" s="137"/>
      <c r="J2115" s="137"/>
      <c r="M2115" s="143"/>
      <c r="N2115" s="143"/>
      <c r="O2115" s="143"/>
      <c r="P2115" s="143"/>
      <c r="Q2115" s="137"/>
      <c r="R2115" s="137"/>
      <c r="S2115" s="137"/>
      <c r="T2115" s="137"/>
      <c r="U2115" s="137"/>
      <c r="V2115" s="137"/>
      <c r="W2115" s="137"/>
      <c r="X2115" s="137"/>
      <c r="Y2115" s="137"/>
      <c r="Z2115" s="137"/>
      <c r="AA2115" s="137"/>
    </row>
    <row r="2116" spans="5:27" x14ac:dyDescent="0.35">
      <c r="E2116" s="137"/>
      <c r="F2116" s="137"/>
      <c r="G2116" s="190"/>
      <c r="H2116" s="137"/>
      <c r="I2116" s="137"/>
      <c r="J2116" s="137"/>
      <c r="M2116" s="143"/>
      <c r="N2116" s="143"/>
      <c r="O2116" s="143"/>
      <c r="P2116" s="143"/>
      <c r="Q2116" s="137"/>
      <c r="R2116" s="137"/>
      <c r="S2116" s="137"/>
      <c r="T2116" s="137"/>
      <c r="U2116" s="137"/>
      <c r="V2116" s="137"/>
      <c r="W2116" s="137"/>
      <c r="X2116" s="137"/>
      <c r="Y2116" s="137"/>
      <c r="Z2116" s="137"/>
      <c r="AA2116" s="137"/>
    </row>
    <row r="2117" spans="5:27" x14ac:dyDescent="0.35">
      <c r="E2117" s="137"/>
      <c r="F2117" s="137"/>
      <c r="G2117" s="190"/>
      <c r="H2117" s="137"/>
      <c r="I2117" s="137"/>
      <c r="J2117" s="137"/>
      <c r="M2117" s="143"/>
      <c r="N2117" s="143"/>
      <c r="O2117" s="143"/>
      <c r="P2117" s="143"/>
      <c r="Q2117" s="137"/>
      <c r="R2117" s="137"/>
      <c r="S2117" s="137"/>
      <c r="T2117" s="137"/>
      <c r="U2117" s="137"/>
      <c r="V2117" s="137"/>
      <c r="W2117" s="137"/>
      <c r="X2117" s="137"/>
      <c r="Y2117" s="137"/>
      <c r="Z2117" s="137"/>
      <c r="AA2117" s="137"/>
    </row>
    <row r="2118" spans="5:27" x14ac:dyDescent="0.35">
      <c r="E2118" s="137"/>
      <c r="F2118" s="137"/>
      <c r="G2118" s="190"/>
      <c r="H2118" s="137"/>
      <c r="I2118" s="137"/>
      <c r="J2118" s="137"/>
      <c r="M2118" s="143"/>
      <c r="N2118" s="143"/>
      <c r="O2118" s="143"/>
      <c r="P2118" s="143"/>
      <c r="Q2118" s="137"/>
      <c r="R2118" s="137"/>
      <c r="S2118" s="137"/>
      <c r="T2118" s="137"/>
      <c r="U2118" s="137"/>
      <c r="V2118" s="137"/>
      <c r="W2118" s="137"/>
      <c r="X2118" s="137"/>
      <c r="Y2118" s="137"/>
      <c r="Z2118" s="137"/>
      <c r="AA2118" s="137"/>
    </row>
    <row r="2119" spans="5:27" x14ac:dyDescent="0.35">
      <c r="E2119" s="137"/>
      <c r="F2119" s="137"/>
      <c r="G2119" s="190"/>
      <c r="H2119" s="137"/>
      <c r="I2119" s="137"/>
      <c r="J2119" s="137"/>
      <c r="M2119" s="143"/>
      <c r="N2119" s="143"/>
      <c r="O2119" s="143"/>
      <c r="P2119" s="143"/>
      <c r="Q2119" s="137"/>
      <c r="R2119" s="137"/>
      <c r="S2119" s="137"/>
      <c r="T2119" s="137"/>
      <c r="U2119" s="137"/>
      <c r="V2119" s="137"/>
      <c r="W2119" s="137"/>
      <c r="X2119" s="137"/>
      <c r="Y2119" s="137"/>
      <c r="Z2119" s="137"/>
      <c r="AA2119" s="137"/>
    </row>
    <row r="2120" spans="5:27" x14ac:dyDescent="0.35">
      <c r="E2120" s="137"/>
      <c r="F2120" s="137"/>
      <c r="G2120" s="190"/>
      <c r="H2120" s="137"/>
      <c r="I2120" s="137"/>
      <c r="J2120" s="137"/>
      <c r="M2120" s="143"/>
      <c r="N2120" s="143"/>
      <c r="O2120" s="143"/>
      <c r="P2120" s="143"/>
      <c r="Q2120" s="137"/>
      <c r="R2120" s="137"/>
      <c r="S2120" s="137"/>
      <c r="T2120" s="137"/>
      <c r="U2120" s="137"/>
      <c r="V2120" s="137"/>
      <c r="W2120" s="137"/>
      <c r="X2120" s="137"/>
      <c r="Y2120" s="137"/>
      <c r="Z2120" s="137"/>
      <c r="AA2120" s="137"/>
    </row>
    <row r="2121" spans="5:27" x14ac:dyDescent="0.35">
      <c r="E2121" s="137"/>
      <c r="F2121" s="137"/>
      <c r="G2121" s="190"/>
      <c r="H2121" s="137"/>
      <c r="I2121" s="137"/>
      <c r="J2121" s="137"/>
      <c r="M2121" s="143"/>
      <c r="N2121" s="143"/>
      <c r="O2121" s="143"/>
      <c r="P2121" s="143"/>
      <c r="Q2121" s="137"/>
      <c r="R2121" s="137"/>
      <c r="S2121" s="137"/>
      <c r="T2121" s="137"/>
      <c r="U2121" s="137"/>
      <c r="V2121" s="137"/>
      <c r="W2121" s="137"/>
      <c r="X2121" s="137"/>
      <c r="Y2121" s="137"/>
      <c r="Z2121" s="137"/>
      <c r="AA2121" s="137"/>
    </row>
    <row r="2122" spans="5:27" x14ac:dyDescent="0.35">
      <c r="E2122" s="137"/>
      <c r="F2122" s="137"/>
      <c r="G2122" s="190"/>
      <c r="H2122" s="137"/>
      <c r="I2122" s="137"/>
      <c r="J2122" s="137"/>
      <c r="M2122" s="143"/>
      <c r="N2122" s="143"/>
      <c r="O2122" s="143"/>
      <c r="P2122" s="143"/>
      <c r="Q2122" s="137"/>
      <c r="R2122" s="137"/>
      <c r="S2122" s="137"/>
      <c r="T2122" s="137"/>
      <c r="U2122" s="137"/>
      <c r="V2122" s="137"/>
      <c r="W2122" s="137"/>
      <c r="X2122" s="137"/>
      <c r="Y2122" s="137"/>
      <c r="Z2122" s="137"/>
      <c r="AA2122" s="137"/>
    </row>
    <row r="2123" spans="5:27" x14ac:dyDescent="0.35">
      <c r="E2123" s="137"/>
      <c r="F2123" s="137"/>
      <c r="G2123" s="190"/>
      <c r="H2123" s="137"/>
      <c r="I2123" s="137"/>
      <c r="J2123" s="137"/>
      <c r="M2123" s="143"/>
      <c r="N2123" s="143"/>
      <c r="O2123" s="143"/>
      <c r="P2123" s="143"/>
      <c r="Q2123" s="137"/>
      <c r="R2123" s="137"/>
      <c r="S2123" s="137"/>
      <c r="T2123" s="137"/>
      <c r="U2123" s="137"/>
      <c r="V2123" s="137"/>
      <c r="W2123" s="137"/>
      <c r="X2123" s="137"/>
      <c r="Y2123" s="137"/>
      <c r="Z2123" s="137"/>
      <c r="AA2123" s="137"/>
    </row>
    <row r="2124" spans="5:27" x14ac:dyDescent="0.35">
      <c r="E2124" s="137"/>
      <c r="F2124" s="137"/>
      <c r="G2124" s="190"/>
      <c r="H2124" s="137"/>
      <c r="I2124" s="137"/>
      <c r="J2124" s="137"/>
      <c r="M2124" s="143"/>
      <c r="N2124" s="143"/>
      <c r="O2124" s="143"/>
      <c r="P2124" s="143"/>
      <c r="Q2124" s="137"/>
      <c r="R2124" s="137"/>
      <c r="S2124" s="137"/>
      <c r="T2124" s="137"/>
      <c r="U2124" s="137"/>
      <c r="V2124" s="137"/>
      <c r="W2124" s="137"/>
      <c r="X2124" s="137"/>
      <c r="Y2124" s="137"/>
      <c r="Z2124" s="137"/>
      <c r="AA2124" s="137"/>
    </row>
    <row r="2125" spans="5:27" x14ac:dyDescent="0.35">
      <c r="E2125" s="137"/>
      <c r="F2125" s="137"/>
      <c r="G2125" s="190"/>
      <c r="H2125" s="137"/>
      <c r="I2125" s="137"/>
      <c r="J2125" s="137"/>
      <c r="M2125" s="143"/>
      <c r="N2125" s="143"/>
      <c r="O2125" s="143"/>
      <c r="P2125" s="143"/>
      <c r="Q2125" s="137"/>
      <c r="R2125" s="137"/>
      <c r="S2125" s="137"/>
      <c r="T2125" s="137"/>
      <c r="U2125" s="137"/>
      <c r="V2125" s="137"/>
      <c r="W2125" s="137"/>
      <c r="X2125" s="137"/>
      <c r="Y2125" s="137"/>
      <c r="Z2125" s="137"/>
      <c r="AA2125" s="137"/>
    </row>
    <row r="2126" spans="5:27" x14ac:dyDescent="0.35">
      <c r="E2126" s="137"/>
      <c r="F2126" s="137"/>
      <c r="G2126" s="190"/>
      <c r="H2126" s="137"/>
      <c r="I2126" s="137"/>
      <c r="J2126" s="137"/>
      <c r="M2126" s="143"/>
      <c r="N2126" s="143"/>
      <c r="O2126" s="143"/>
      <c r="P2126" s="143"/>
      <c r="Q2126" s="137"/>
      <c r="R2126" s="137"/>
      <c r="S2126" s="137"/>
      <c r="T2126" s="137"/>
      <c r="U2126" s="137"/>
      <c r="V2126" s="137"/>
      <c r="W2126" s="137"/>
      <c r="X2126" s="137"/>
      <c r="Y2126" s="137"/>
      <c r="Z2126" s="137"/>
      <c r="AA2126" s="137"/>
    </row>
    <row r="2127" spans="5:27" x14ac:dyDescent="0.35">
      <c r="E2127" s="137"/>
      <c r="F2127" s="137"/>
      <c r="G2127" s="190"/>
      <c r="H2127" s="137"/>
      <c r="I2127" s="137"/>
      <c r="J2127" s="137"/>
      <c r="M2127" s="143"/>
      <c r="N2127" s="143"/>
      <c r="O2127" s="143"/>
      <c r="P2127" s="143"/>
      <c r="Q2127" s="137"/>
      <c r="R2127" s="137"/>
      <c r="S2127" s="137"/>
      <c r="T2127" s="137"/>
      <c r="U2127" s="137"/>
      <c r="V2127" s="137"/>
      <c r="W2127" s="137"/>
      <c r="X2127" s="137"/>
      <c r="Y2127" s="137"/>
      <c r="Z2127" s="137"/>
      <c r="AA2127" s="137"/>
    </row>
    <row r="2128" spans="5:27" x14ac:dyDescent="0.35">
      <c r="E2128" s="137"/>
      <c r="F2128" s="137"/>
      <c r="G2128" s="190"/>
      <c r="H2128" s="137"/>
      <c r="I2128" s="137"/>
      <c r="J2128" s="137"/>
      <c r="M2128" s="143"/>
      <c r="N2128" s="143"/>
      <c r="O2128" s="143"/>
      <c r="P2128" s="143"/>
      <c r="Q2128" s="137"/>
      <c r="R2128" s="137"/>
      <c r="S2128" s="137"/>
      <c r="T2128" s="137"/>
      <c r="U2128" s="137"/>
      <c r="V2128" s="137"/>
      <c r="W2128" s="137"/>
      <c r="X2128" s="137"/>
      <c r="Y2128" s="137"/>
      <c r="Z2128" s="137"/>
      <c r="AA2128" s="137"/>
    </row>
    <row r="2129" spans="5:27" x14ac:dyDescent="0.35">
      <c r="E2129" s="137"/>
      <c r="F2129" s="137"/>
      <c r="G2129" s="190"/>
      <c r="H2129" s="137"/>
      <c r="I2129" s="137"/>
      <c r="J2129" s="137"/>
      <c r="M2129" s="143"/>
      <c r="N2129" s="143"/>
      <c r="O2129" s="143"/>
      <c r="P2129" s="143"/>
      <c r="Q2129" s="137"/>
      <c r="R2129" s="137"/>
      <c r="S2129" s="137"/>
      <c r="T2129" s="137"/>
      <c r="U2129" s="137"/>
      <c r="V2129" s="137"/>
      <c r="W2129" s="137"/>
      <c r="X2129" s="137"/>
      <c r="Y2129" s="137"/>
      <c r="Z2129" s="137"/>
      <c r="AA2129" s="137"/>
    </row>
    <row r="2130" spans="5:27" x14ac:dyDescent="0.35">
      <c r="E2130" s="137"/>
      <c r="F2130" s="137"/>
      <c r="G2130" s="190"/>
      <c r="H2130" s="137"/>
      <c r="I2130" s="137"/>
      <c r="J2130" s="137"/>
      <c r="M2130" s="143"/>
      <c r="N2130" s="143"/>
      <c r="O2130" s="143"/>
      <c r="P2130" s="143"/>
      <c r="Q2130" s="137"/>
      <c r="R2130" s="137"/>
      <c r="S2130" s="137"/>
      <c r="T2130" s="137"/>
      <c r="U2130" s="137"/>
      <c r="V2130" s="137"/>
      <c r="W2130" s="137"/>
      <c r="X2130" s="137"/>
      <c r="Y2130" s="137"/>
      <c r="Z2130" s="137"/>
      <c r="AA2130" s="137"/>
    </row>
    <row r="2131" spans="5:27" x14ac:dyDescent="0.35">
      <c r="E2131" s="137"/>
      <c r="F2131" s="137"/>
      <c r="G2131" s="190"/>
      <c r="H2131" s="137"/>
      <c r="I2131" s="137"/>
      <c r="J2131" s="137"/>
      <c r="M2131" s="143"/>
      <c r="N2131" s="143"/>
      <c r="O2131" s="143"/>
      <c r="P2131" s="143"/>
      <c r="Q2131" s="137"/>
      <c r="R2131" s="137"/>
      <c r="S2131" s="137"/>
      <c r="T2131" s="137"/>
      <c r="U2131" s="137"/>
      <c r="V2131" s="137"/>
      <c r="W2131" s="137"/>
      <c r="X2131" s="137"/>
      <c r="Y2131" s="137"/>
      <c r="Z2131" s="137"/>
      <c r="AA2131" s="137"/>
    </row>
    <row r="2132" spans="5:27" x14ac:dyDescent="0.35">
      <c r="E2132" s="137"/>
      <c r="F2132" s="137"/>
      <c r="G2132" s="190"/>
      <c r="H2132" s="137"/>
      <c r="I2132" s="137"/>
      <c r="J2132" s="137"/>
      <c r="M2132" s="143"/>
      <c r="N2132" s="143"/>
      <c r="O2132" s="143"/>
      <c r="P2132" s="143"/>
      <c r="Q2132" s="137"/>
      <c r="R2132" s="137"/>
      <c r="S2132" s="137"/>
      <c r="T2132" s="137"/>
      <c r="U2132" s="137"/>
      <c r="V2132" s="137"/>
      <c r="W2132" s="137"/>
      <c r="X2132" s="137"/>
      <c r="Y2132" s="137"/>
      <c r="Z2132" s="137"/>
      <c r="AA2132" s="137"/>
    </row>
    <row r="2133" spans="5:27" x14ac:dyDescent="0.35">
      <c r="E2133" s="137"/>
      <c r="F2133" s="137"/>
      <c r="G2133" s="190"/>
      <c r="H2133" s="137"/>
      <c r="I2133" s="137"/>
      <c r="J2133" s="137"/>
      <c r="M2133" s="143"/>
      <c r="N2133" s="143"/>
      <c r="O2133" s="143"/>
      <c r="P2133" s="143"/>
      <c r="Q2133" s="137"/>
      <c r="R2133" s="137"/>
      <c r="S2133" s="137"/>
      <c r="T2133" s="137"/>
      <c r="U2133" s="137"/>
      <c r="V2133" s="137"/>
      <c r="W2133" s="137"/>
      <c r="X2133" s="137"/>
      <c r="Y2133" s="137"/>
      <c r="Z2133" s="137"/>
      <c r="AA2133" s="137"/>
    </row>
    <row r="2134" spans="5:27" x14ac:dyDescent="0.35">
      <c r="E2134" s="137"/>
      <c r="F2134" s="137"/>
      <c r="G2134" s="190"/>
      <c r="H2134" s="137"/>
      <c r="I2134" s="137"/>
      <c r="J2134" s="137"/>
      <c r="M2134" s="143"/>
      <c r="N2134" s="143"/>
      <c r="O2134" s="143"/>
      <c r="P2134" s="143"/>
      <c r="Q2134" s="137"/>
      <c r="R2134" s="137"/>
      <c r="S2134" s="137"/>
      <c r="T2134" s="137"/>
      <c r="U2134" s="137"/>
      <c r="V2134" s="137"/>
      <c r="W2134" s="137"/>
      <c r="X2134" s="137"/>
      <c r="Y2134" s="137"/>
      <c r="Z2134" s="137"/>
      <c r="AA2134" s="137"/>
    </row>
    <row r="2135" spans="5:27" x14ac:dyDescent="0.35">
      <c r="E2135" s="137"/>
      <c r="F2135" s="137"/>
      <c r="G2135" s="190"/>
      <c r="H2135" s="137"/>
      <c r="I2135" s="137"/>
      <c r="J2135" s="137"/>
      <c r="M2135" s="143"/>
      <c r="N2135" s="143"/>
      <c r="O2135" s="143"/>
      <c r="P2135" s="143"/>
      <c r="Q2135" s="137"/>
      <c r="R2135" s="137"/>
      <c r="S2135" s="137"/>
      <c r="T2135" s="137"/>
      <c r="U2135" s="137"/>
      <c r="V2135" s="137"/>
      <c r="W2135" s="137"/>
      <c r="X2135" s="137"/>
      <c r="Y2135" s="137"/>
      <c r="Z2135" s="137"/>
      <c r="AA2135" s="137"/>
    </row>
    <row r="2136" spans="5:27" x14ac:dyDescent="0.35">
      <c r="E2136" s="137"/>
      <c r="F2136" s="137"/>
      <c r="G2136" s="190"/>
      <c r="H2136" s="137"/>
      <c r="I2136" s="137"/>
      <c r="J2136" s="137"/>
      <c r="M2136" s="143"/>
      <c r="N2136" s="143"/>
      <c r="O2136" s="143"/>
      <c r="P2136" s="143"/>
      <c r="Q2136" s="137"/>
      <c r="R2136" s="137"/>
      <c r="S2136" s="137"/>
      <c r="T2136" s="137"/>
      <c r="U2136" s="137"/>
      <c r="V2136" s="137"/>
      <c r="W2136" s="137"/>
      <c r="X2136" s="137"/>
      <c r="Y2136" s="137"/>
      <c r="Z2136" s="137"/>
      <c r="AA2136" s="137"/>
    </row>
    <row r="2137" spans="5:27" x14ac:dyDescent="0.35">
      <c r="E2137" s="137"/>
      <c r="F2137" s="137"/>
      <c r="G2137" s="190"/>
      <c r="H2137" s="137"/>
      <c r="I2137" s="137"/>
      <c r="J2137" s="137"/>
      <c r="M2137" s="143"/>
      <c r="N2137" s="143"/>
      <c r="O2137" s="143"/>
      <c r="P2137" s="143"/>
      <c r="Q2137" s="137"/>
      <c r="R2137" s="137"/>
      <c r="S2137" s="137"/>
      <c r="T2137" s="137"/>
      <c r="U2137" s="137"/>
      <c r="V2137" s="137"/>
      <c r="W2137" s="137"/>
      <c r="X2137" s="137"/>
      <c r="Y2137" s="137"/>
      <c r="Z2137" s="137"/>
      <c r="AA2137" s="137"/>
    </row>
    <row r="2138" spans="5:27" x14ac:dyDescent="0.35">
      <c r="E2138" s="137"/>
      <c r="F2138" s="137"/>
      <c r="G2138" s="190"/>
      <c r="H2138" s="137"/>
      <c r="I2138" s="137"/>
      <c r="J2138" s="137"/>
      <c r="M2138" s="143"/>
      <c r="N2138" s="143"/>
      <c r="O2138" s="143"/>
      <c r="P2138" s="143"/>
      <c r="Q2138" s="137"/>
      <c r="R2138" s="137"/>
      <c r="S2138" s="137"/>
      <c r="T2138" s="137"/>
      <c r="U2138" s="137"/>
      <c r="V2138" s="137"/>
      <c r="W2138" s="137"/>
      <c r="X2138" s="137"/>
      <c r="Y2138" s="137"/>
      <c r="Z2138" s="137"/>
      <c r="AA2138" s="137"/>
    </row>
    <row r="2139" spans="5:27" x14ac:dyDescent="0.35">
      <c r="E2139" s="137"/>
      <c r="F2139" s="137"/>
      <c r="G2139" s="190"/>
      <c r="H2139" s="137"/>
      <c r="I2139" s="137"/>
      <c r="J2139" s="137"/>
      <c r="M2139" s="143"/>
      <c r="N2139" s="143"/>
      <c r="O2139" s="143"/>
      <c r="P2139" s="143"/>
      <c r="Q2139" s="137"/>
      <c r="R2139" s="137"/>
      <c r="S2139" s="137"/>
      <c r="T2139" s="137"/>
      <c r="U2139" s="137"/>
      <c r="V2139" s="137"/>
      <c r="W2139" s="137"/>
      <c r="X2139" s="137"/>
      <c r="Y2139" s="137"/>
      <c r="Z2139" s="137"/>
      <c r="AA2139" s="137"/>
    </row>
    <row r="2140" spans="5:27" x14ac:dyDescent="0.35">
      <c r="E2140" s="137"/>
      <c r="F2140" s="137"/>
      <c r="G2140" s="190"/>
      <c r="H2140" s="137"/>
      <c r="I2140" s="137"/>
      <c r="J2140" s="137"/>
      <c r="M2140" s="143"/>
      <c r="N2140" s="143"/>
      <c r="O2140" s="143"/>
      <c r="P2140" s="143"/>
      <c r="Q2140" s="137"/>
      <c r="R2140" s="137"/>
      <c r="S2140" s="137"/>
      <c r="T2140" s="137"/>
      <c r="U2140" s="137"/>
      <c r="V2140" s="137"/>
      <c r="W2140" s="137"/>
      <c r="X2140" s="137"/>
      <c r="Y2140" s="137"/>
      <c r="Z2140" s="137"/>
      <c r="AA2140" s="137"/>
    </row>
    <row r="2141" spans="5:27" x14ac:dyDescent="0.35">
      <c r="E2141" s="137"/>
      <c r="F2141" s="137"/>
      <c r="G2141" s="190"/>
      <c r="H2141" s="137"/>
      <c r="I2141" s="137"/>
      <c r="J2141" s="137"/>
      <c r="M2141" s="143"/>
      <c r="N2141" s="143"/>
      <c r="O2141" s="143"/>
      <c r="P2141" s="143"/>
      <c r="Q2141" s="137"/>
      <c r="R2141" s="137"/>
      <c r="S2141" s="137"/>
      <c r="T2141" s="137"/>
      <c r="U2141" s="137"/>
      <c r="V2141" s="137"/>
      <c r="W2141" s="137"/>
      <c r="X2141" s="137"/>
      <c r="Y2141" s="137"/>
      <c r="Z2141" s="137"/>
      <c r="AA2141" s="137"/>
    </row>
    <row r="2142" spans="5:27" x14ac:dyDescent="0.35">
      <c r="E2142" s="137"/>
      <c r="F2142" s="137"/>
      <c r="G2142" s="190"/>
      <c r="H2142" s="137"/>
      <c r="I2142" s="137"/>
      <c r="J2142" s="137"/>
      <c r="M2142" s="143"/>
      <c r="N2142" s="143"/>
      <c r="O2142" s="143"/>
      <c r="P2142" s="143"/>
      <c r="Q2142" s="137"/>
      <c r="R2142" s="137"/>
      <c r="S2142" s="137"/>
      <c r="T2142" s="137"/>
      <c r="U2142" s="137"/>
      <c r="V2142" s="137"/>
      <c r="W2142" s="137"/>
      <c r="X2142" s="137"/>
      <c r="Y2142" s="137"/>
      <c r="Z2142" s="137"/>
      <c r="AA2142" s="137"/>
    </row>
    <row r="2143" spans="5:27" x14ac:dyDescent="0.35">
      <c r="E2143" s="137"/>
      <c r="F2143" s="137"/>
      <c r="G2143" s="190"/>
      <c r="H2143" s="137"/>
      <c r="I2143" s="137"/>
      <c r="J2143" s="137"/>
      <c r="M2143" s="143"/>
      <c r="N2143" s="143"/>
      <c r="O2143" s="143"/>
      <c r="P2143" s="143"/>
      <c r="Q2143" s="137"/>
      <c r="R2143" s="137"/>
      <c r="S2143" s="137"/>
      <c r="T2143" s="137"/>
      <c r="U2143" s="137"/>
      <c r="V2143" s="137"/>
      <c r="W2143" s="137"/>
      <c r="X2143" s="137"/>
      <c r="Y2143" s="137"/>
      <c r="Z2143" s="137"/>
      <c r="AA2143" s="137"/>
    </row>
    <row r="2144" spans="5:27" x14ac:dyDescent="0.35">
      <c r="E2144" s="137"/>
      <c r="F2144" s="137"/>
      <c r="G2144" s="190"/>
      <c r="H2144" s="137"/>
      <c r="I2144" s="137"/>
      <c r="J2144" s="137"/>
      <c r="M2144" s="143"/>
      <c r="N2144" s="143"/>
      <c r="O2144" s="143"/>
      <c r="P2144" s="143"/>
      <c r="Q2144" s="137"/>
      <c r="R2144" s="137"/>
      <c r="S2144" s="137"/>
      <c r="T2144" s="137"/>
      <c r="U2144" s="137"/>
      <c r="V2144" s="137"/>
      <c r="W2144" s="137"/>
      <c r="X2144" s="137"/>
      <c r="Y2144" s="137"/>
      <c r="Z2144" s="137"/>
      <c r="AA2144" s="137"/>
    </row>
    <row r="2145" spans="5:27" x14ac:dyDescent="0.35">
      <c r="E2145" s="137"/>
      <c r="F2145" s="137"/>
      <c r="G2145" s="190"/>
      <c r="H2145" s="137"/>
      <c r="I2145" s="137"/>
      <c r="J2145" s="137"/>
      <c r="M2145" s="143"/>
      <c r="N2145" s="143"/>
      <c r="O2145" s="143"/>
      <c r="P2145" s="143"/>
      <c r="Q2145" s="137"/>
      <c r="R2145" s="137"/>
      <c r="S2145" s="137"/>
      <c r="T2145" s="137"/>
      <c r="U2145" s="137"/>
      <c r="V2145" s="137"/>
      <c r="W2145" s="137"/>
      <c r="X2145" s="137"/>
      <c r="Y2145" s="137"/>
      <c r="Z2145" s="137"/>
      <c r="AA2145" s="137"/>
    </row>
    <row r="2146" spans="5:27" x14ac:dyDescent="0.35">
      <c r="E2146" s="137"/>
      <c r="F2146" s="137"/>
      <c r="G2146" s="190"/>
      <c r="H2146" s="137"/>
      <c r="I2146" s="137"/>
      <c r="J2146" s="137"/>
      <c r="M2146" s="143"/>
      <c r="N2146" s="143"/>
      <c r="O2146" s="143"/>
      <c r="P2146" s="143"/>
      <c r="Q2146" s="137"/>
      <c r="R2146" s="137"/>
      <c r="S2146" s="137"/>
      <c r="T2146" s="137"/>
      <c r="U2146" s="137"/>
      <c r="V2146" s="137"/>
      <c r="W2146" s="137"/>
      <c r="X2146" s="137"/>
      <c r="Y2146" s="137"/>
      <c r="Z2146" s="137"/>
      <c r="AA2146" s="137"/>
    </row>
    <row r="2147" spans="5:27" x14ac:dyDescent="0.35">
      <c r="E2147" s="137"/>
      <c r="F2147" s="137"/>
      <c r="G2147" s="190"/>
      <c r="H2147" s="137"/>
      <c r="I2147" s="137"/>
      <c r="J2147" s="137"/>
      <c r="M2147" s="143"/>
      <c r="N2147" s="143"/>
      <c r="O2147" s="143"/>
      <c r="P2147" s="143"/>
      <c r="Q2147" s="137"/>
      <c r="R2147" s="137"/>
      <c r="S2147" s="137"/>
      <c r="T2147" s="137"/>
      <c r="U2147" s="137"/>
      <c r="V2147" s="137"/>
      <c r="W2147" s="137"/>
      <c r="X2147" s="137"/>
      <c r="Y2147" s="137"/>
      <c r="Z2147" s="137"/>
      <c r="AA2147" s="137"/>
    </row>
    <row r="2148" spans="5:27" x14ac:dyDescent="0.35">
      <c r="E2148" s="137"/>
      <c r="F2148" s="137"/>
      <c r="G2148" s="190"/>
      <c r="H2148" s="137"/>
      <c r="I2148" s="137"/>
      <c r="J2148" s="137"/>
      <c r="M2148" s="143"/>
      <c r="N2148" s="143"/>
      <c r="O2148" s="143"/>
      <c r="P2148" s="143"/>
      <c r="Q2148" s="137"/>
      <c r="R2148" s="137"/>
      <c r="S2148" s="137"/>
      <c r="T2148" s="137"/>
      <c r="U2148" s="137"/>
      <c r="V2148" s="137"/>
      <c r="W2148" s="137"/>
      <c r="X2148" s="137"/>
      <c r="Y2148" s="137"/>
      <c r="Z2148" s="137"/>
      <c r="AA2148" s="137"/>
    </row>
    <row r="2149" spans="5:27" x14ac:dyDescent="0.35">
      <c r="E2149" s="137"/>
      <c r="F2149" s="137"/>
      <c r="G2149" s="190"/>
      <c r="H2149" s="137"/>
      <c r="I2149" s="137"/>
      <c r="J2149" s="137"/>
      <c r="M2149" s="143"/>
      <c r="N2149" s="143"/>
      <c r="O2149" s="143"/>
      <c r="P2149" s="143"/>
      <c r="Q2149" s="137"/>
      <c r="R2149" s="137"/>
      <c r="S2149" s="137"/>
      <c r="T2149" s="137"/>
      <c r="U2149" s="137"/>
      <c r="V2149" s="137"/>
      <c r="W2149" s="137"/>
      <c r="X2149" s="137"/>
      <c r="Y2149" s="137"/>
      <c r="Z2149" s="137"/>
      <c r="AA2149" s="137"/>
    </row>
    <row r="2150" spans="5:27" x14ac:dyDescent="0.35">
      <c r="E2150" s="137"/>
      <c r="F2150" s="137"/>
      <c r="G2150" s="190"/>
      <c r="H2150" s="137"/>
      <c r="I2150" s="137"/>
      <c r="J2150" s="137"/>
      <c r="M2150" s="143"/>
      <c r="N2150" s="143"/>
      <c r="O2150" s="143"/>
      <c r="P2150" s="143"/>
      <c r="Q2150" s="137"/>
      <c r="R2150" s="137"/>
      <c r="S2150" s="137"/>
      <c r="T2150" s="137"/>
      <c r="U2150" s="137"/>
      <c r="V2150" s="137"/>
      <c r="W2150" s="137"/>
      <c r="X2150" s="137"/>
      <c r="Y2150" s="137"/>
      <c r="Z2150" s="137"/>
      <c r="AA2150" s="137"/>
    </row>
    <row r="2151" spans="5:27" x14ac:dyDescent="0.35">
      <c r="E2151" s="137"/>
      <c r="F2151" s="137"/>
      <c r="G2151" s="190"/>
      <c r="H2151" s="137"/>
      <c r="I2151" s="137"/>
      <c r="J2151" s="137"/>
      <c r="M2151" s="143"/>
      <c r="N2151" s="143"/>
      <c r="O2151" s="143"/>
      <c r="P2151" s="143"/>
      <c r="Q2151" s="137"/>
      <c r="R2151" s="137"/>
      <c r="S2151" s="137"/>
      <c r="T2151" s="137"/>
      <c r="U2151" s="137"/>
      <c r="V2151" s="137"/>
      <c r="W2151" s="137"/>
      <c r="X2151" s="137"/>
      <c r="Y2151" s="137"/>
      <c r="Z2151" s="137"/>
      <c r="AA2151" s="137"/>
    </row>
    <row r="2152" spans="5:27" x14ac:dyDescent="0.35">
      <c r="E2152" s="137"/>
      <c r="F2152" s="137"/>
      <c r="G2152" s="190"/>
      <c r="H2152" s="137"/>
      <c r="I2152" s="137"/>
      <c r="J2152" s="137"/>
      <c r="M2152" s="143"/>
      <c r="N2152" s="143"/>
      <c r="O2152" s="143"/>
      <c r="P2152" s="143"/>
      <c r="Q2152" s="137"/>
      <c r="R2152" s="137"/>
      <c r="S2152" s="137"/>
      <c r="T2152" s="137"/>
      <c r="U2152" s="137"/>
      <c r="V2152" s="137"/>
      <c r="W2152" s="137"/>
      <c r="X2152" s="137"/>
      <c r="Y2152" s="137"/>
      <c r="Z2152" s="137"/>
      <c r="AA2152" s="137"/>
    </row>
    <row r="2153" spans="5:27" x14ac:dyDescent="0.35">
      <c r="E2153" s="137"/>
      <c r="F2153" s="137"/>
      <c r="G2153" s="190"/>
      <c r="H2153" s="137"/>
      <c r="I2153" s="137"/>
      <c r="J2153" s="137"/>
      <c r="M2153" s="143"/>
      <c r="N2153" s="143"/>
      <c r="O2153" s="143"/>
      <c r="P2153" s="143"/>
      <c r="Q2153" s="137"/>
      <c r="R2153" s="137"/>
      <c r="S2153" s="137"/>
      <c r="T2153" s="137"/>
      <c r="U2153" s="137"/>
      <c r="V2153" s="137"/>
      <c r="W2153" s="137"/>
      <c r="X2153" s="137"/>
      <c r="Y2153" s="137"/>
      <c r="Z2153" s="137"/>
      <c r="AA2153" s="137"/>
    </row>
    <row r="2154" spans="5:27" x14ac:dyDescent="0.35">
      <c r="E2154" s="137"/>
      <c r="F2154" s="137"/>
      <c r="G2154" s="190"/>
      <c r="H2154" s="137"/>
      <c r="I2154" s="137"/>
      <c r="J2154" s="137"/>
      <c r="M2154" s="143"/>
      <c r="N2154" s="143"/>
      <c r="O2154" s="143"/>
      <c r="P2154" s="143"/>
      <c r="Q2154" s="137"/>
      <c r="R2154" s="137"/>
      <c r="S2154" s="137"/>
      <c r="T2154" s="137"/>
      <c r="U2154" s="137"/>
      <c r="V2154" s="137"/>
      <c r="W2154" s="137"/>
      <c r="X2154" s="137"/>
      <c r="Y2154" s="137"/>
      <c r="Z2154" s="137"/>
      <c r="AA2154" s="137"/>
    </row>
    <row r="2155" spans="5:27" x14ac:dyDescent="0.35">
      <c r="E2155" s="137"/>
      <c r="F2155" s="137"/>
      <c r="G2155" s="190"/>
      <c r="H2155" s="137"/>
      <c r="I2155" s="137"/>
      <c r="J2155" s="137"/>
      <c r="M2155" s="143"/>
      <c r="N2155" s="143"/>
      <c r="O2155" s="143"/>
      <c r="P2155" s="143"/>
      <c r="Q2155" s="137"/>
      <c r="R2155" s="137"/>
      <c r="S2155" s="137"/>
      <c r="T2155" s="137"/>
      <c r="U2155" s="137"/>
      <c r="V2155" s="137"/>
      <c r="W2155" s="137"/>
      <c r="X2155" s="137"/>
      <c r="Y2155" s="137"/>
      <c r="Z2155" s="137"/>
      <c r="AA2155" s="137"/>
    </row>
    <row r="2156" spans="5:27" x14ac:dyDescent="0.35">
      <c r="E2156" s="137"/>
      <c r="F2156" s="137"/>
      <c r="G2156" s="190"/>
      <c r="H2156" s="137"/>
      <c r="I2156" s="137"/>
      <c r="J2156" s="137"/>
      <c r="M2156" s="143"/>
      <c r="N2156" s="143"/>
      <c r="O2156" s="143"/>
      <c r="P2156" s="143"/>
      <c r="Q2156" s="137"/>
      <c r="R2156" s="137"/>
      <c r="S2156" s="137"/>
      <c r="T2156" s="137"/>
      <c r="U2156" s="137"/>
      <c r="V2156" s="137"/>
      <c r="W2156" s="137"/>
      <c r="X2156" s="137"/>
      <c r="Y2156" s="137"/>
      <c r="Z2156" s="137"/>
      <c r="AA2156" s="137"/>
    </row>
    <row r="2157" spans="5:27" x14ac:dyDescent="0.35">
      <c r="E2157" s="137"/>
      <c r="F2157" s="137"/>
      <c r="G2157" s="190"/>
      <c r="H2157" s="137"/>
      <c r="I2157" s="137"/>
      <c r="J2157" s="137"/>
      <c r="M2157" s="143"/>
      <c r="N2157" s="143"/>
      <c r="O2157" s="143"/>
      <c r="P2157" s="143"/>
      <c r="Q2157" s="137"/>
      <c r="R2157" s="137"/>
      <c r="S2157" s="137"/>
      <c r="T2157" s="137"/>
      <c r="U2157" s="137"/>
      <c r="V2157" s="137"/>
      <c r="W2157" s="137"/>
      <c r="X2157" s="137"/>
      <c r="Y2157" s="137"/>
      <c r="Z2157" s="137"/>
      <c r="AA2157" s="137"/>
    </row>
    <row r="2158" spans="5:27" x14ac:dyDescent="0.35">
      <c r="E2158" s="137"/>
      <c r="F2158" s="137"/>
      <c r="G2158" s="190"/>
      <c r="H2158" s="137"/>
      <c r="I2158" s="137"/>
      <c r="J2158" s="137"/>
      <c r="M2158" s="143"/>
      <c r="N2158" s="143"/>
      <c r="O2158" s="143"/>
      <c r="P2158" s="143"/>
      <c r="Q2158" s="137"/>
      <c r="R2158" s="137"/>
      <c r="S2158" s="137"/>
      <c r="T2158" s="137"/>
      <c r="U2158" s="137"/>
      <c r="V2158" s="137"/>
      <c r="W2158" s="137"/>
      <c r="X2158" s="137"/>
      <c r="Y2158" s="137"/>
      <c r="Z2158" s="137"/>
      <c r="AA2158" s="137"/>
    </row>
    <row r="2159" spans="5:27" x14ac:dyDescent="0.35">
      <c r="E2159" s="137"/>
      <c r="F2159" s="137"/>
      <c r="G2159" s="190"/>
      <c r="H2159" s="137"/>
      <c r="I2159" s="137"/>
      <c r="J2159" s="137"/>
      <c r="M2159" s="143"/>
      <c r="N2159" s="143"/>
      <c r="O2159" s="143"/>
      <c r="P2159" s="143"/>
      <c r="Q2159" s="137"/>
      <c r="R2159" s="137"/>
      <c r="S2159" s="137"/>
      <c r="T2159" s="137"/>
      <c r="U2159" s="137"/>
      <c r="V2159" s="137"/>
      <c r="W2159" s="137"/>
      <c r="X2159" s="137"/>
      <c r="Y2159" s="137"/>
      <c r="Z2159" s="137"/>
      <c r="AA2159" s="137"/>
    </row>
    <row r="2160" spans="5:27" x14ac:dyDescent="0.35">
      <c r="E2160" s="137"/>
      <c r="F2160" s="137"/>
      <c r="G2160" s="190"/>
      <c r="H2160" s="137"/>
      <c r="I2160" s="137"/>
      <c r="J2160" s="137"/>
      <c r="M2160" s="143"/>
      <c r="N2160" s="143"/>
      <c r="O2160" s="143"/>
      <c r="P2160" s="143"/>
      <c r="Q2160" s="137"/>
      <c r="R2160" s="137"/>
      <c r="S2160" s="137"/>
      <c r="T2160" s="137"/>
      <c r="U2160" s="137"/>
      <c r="V2160" s="137"/>
      <c r="W2160" s="137"/>
      <c r="X2160" s="137"/>
      <c r="Y2160" s="137"/>
      <c r="Z2160" s="137"/>
      <c r="AA2160" s="137"/>
    </row>
    <row r="2161" spans="5:27" x14ac:dyDescent="0.35">
      <c r="E2161" s="137"/>
      <c r="F2161" s="137"/>
      <c r="G2161" s="190"/>
      <c r="H2161" s="137"/>
      <c r="I2161" s="137"/>
      <c r="J2161" s="137"/>
      <c r="M2161" s="143"/>
      <c r="N2161" s="143"/>
      <c r="O2161" s="143"/>
      <c r="P2161" s="143"/>
      <c r="Q2161" s="137"/>
      <c r="R2161" s="137"/>
      <c r="S2161" s="137"/>
      <c r="T2161" s="137"/>
      <c r="U2161" s="137"/>
      <c r="V2161" s="137"/>
      <c r="W2161" s="137"/>
      <c r="X2161" s="137"/>
      <c r="Y2161" s="137"/>
      <c r="Z2161" s="137"/>
      <c r="AA2161" s="137"/>
    </row>
    <row r="2162" spans="5:27" x14ac:dyDescent="0.35">
      <c r="E2162" s="137"/>
      <c r="F2162" s="137"/>
      <c r="G2162" s="190"/>
      <c r="H2162" s="137"/>
      <c r="I2162" s="137"/>
      <c r="J2162" s="137"/>
      <c r="M2162" s="143"/>
      <c r="N2162" s="143"/>
      <c r="O2162" s="143"/>
      <c r="P2162" s="143"/>
      <c r="Q2162" s="137"/>
      <c r="R2162" s="137"/>
      <c r="S2162" s="137"/>
      <c r="T2162" s="137"/>
      <c r="U2162" s="137"/>
      <c r="V2162" s="137"/>
      <c r="W2162" s="137"/>
      <c r="X2162" s="137"/>
      <c r="Y2162" s="137"/>
      <c r="Z2162" s="137"/>
      <c r="AA2162" s="137"/>
    </row>
    <row r="2163" spans="5:27" x14ac:dyDescent="0.35">
      <c r="E2163" s="137"/>
      <c r="F2163" s="137"/>
      <c r="G2163" s="190"/>
      <c r="H2163" s="137"/>
      <c r="I2163" s="137"/>
      <c r="J2163" s="137"/>
      <c r="M2163" s="143"/>
      <c r="N2163" s="143"/>
      <c r="O2163" s="143"/>
      <c r="P2163" s="143"/>
      <c r="Q2163" s="137"/>
      <c r="R2163" s="137"/>
      <c r="S2163" s="137"/>
      <c r="T2163" s="137"/>
      <c r="U2163" s="137"/>
      <c r="V2163" s="137"/>
      <c r="W2163" s="137"/>
      <c r="X2163" s="137"/>
      <c r="Y2163" s="137"/>
      <c r="Z2163" s="137"/>
      <c r="AA2163" s="137"/>
    </row>
    <row r="2164" spans="5:27" x14ac:dyDescent="0.35">
      <c r="E2164" s="137"/>
      <c r="F2164" s="137"/>
      <c r="G2164" s="190"/>
      <c r="H2164" s="137"/>
      <c r="I2164" s="137"/>
      <c r="J2164" s="137"/>
      <c r="M2164" s="143"/>
      <c r="N2164" s="143"/>
      <c r="O2164" s="143"/>
      <c r="P2164" s="143"/>
      <c r="Q2164" s="137"/>
      <c r="R2164" s="137"/>
      <c r="S2164" s="137"/>
      <c r="T2164" s="137"/>
      <c r="U2164" s="137"/>
      <c r="V2164" s="137"/>
      <c r="W2164" s="137"/>
      <c r="X2164" s="137"/>
      <c r="Y2164" s="137"/>
      <c r="Z2164" s="137"/>
      <c r="AA2164" s="137"/>
    </row>
    <row r="2165" spans="5:27" x14ac:dyDescent="0.35">
      <c r="E2165" s="137"/>
      <c r="F2165" s="137"/>
      <c r="G2165" s="190"/>
      <c r="H2165" s="137"/>
      <c r="I2165" s="137"/>
      <c r="J2165" s="137"/>
      <c r="M2165" s="143"/>
      <c r="N2165" s="143"/>
      <c r="O2165" s="143"/>
      <c r="P2165" s="143"/>
      <c r="Q2165" s="137"/>
      <c r="R2165" s="137"/>
      <c r="S2165" s="137"/>
      <c r="T2165" s="137"/>
      <c r="U2165" s="137"/>
      <c r="V2165" s="137"/>
      <c r="W2165" s="137"/>
      <c r="X2165" s="137"/>
      <c r="Y2165" s="137"/>
      <c r="Z2165" s="137"/>
      <c r="AA2165" s="137"/>
    </row>
    <row r="2166" spans="5:27" x14ac:dyDescent="0.35">
      <c r="E2166" s="137"/>
      <c r="F2166" s="137"/>
      <c r="G2166" s="190"/>
      <c r="H2166" s="137"/>
      <c r="I2166" s="137"/>
      <c r="J2166" s="137"/>
      <c r="M2166" s="143"/>
      <c r="N2166" s="143"/>
      <c r="O2166" s="143"/>
      <c r="P2166" s="143"/>
      <c r="Q2166" s="137"/>
      <c r="R2166" s="137"/>
      <c r="S2166" s="137"/>
      <c r="T2166" s="137"/>
      <c r="U2166" s="137"/>
      <c r="V2166" s="137"/>
      <c r="W2166" s="137"/>
      <c r="X2166" s="137"/>
      <c r="Y2166" s="137"/>
      <c r="Z2166" s="137"/>
      <c r="AA2166" s="137"/>
    </row>
    <row r="2167" spans="5:27" x14ac:dyDescent="0.35">
      <c r="E2167" s="137"/>
      <c r="F2167" s="137"/>
      <c r="G2167" s="190"/>
      <c r="H2167" s="137"/>
      <c r="I2167" s="137"/>
      <c r="J2167" s="137"/>
      <c r="M2167" s="143"/>
      <c r="N2167" s="143"/>
      <c r="O2167" s="143"/>
      <c r="P2167" s="143"/>
      <c r="Q2167" s="137"/>
      <c r="R2167" s="137"/>
      <c r="S2167" s="137"/>
      <c r="T2167" s="137"/>
      <c r="U2167" s="137"/>
      <c r="V2167" s="137"/>
      <c r="W2167" s="137"/>
      <c r="X2167" s="137"/>
      <c r="Y2167" s="137"/>
      <c r="Z2167" s="137"/>
      <c r="AA2167" s="137"/>
    </row>
    <row r="2168" spans="5:27" x14ac:dyDescent="0.35">
      <c r="E2168" s="137"/>
      <c r="F2168" s="137"/>
      <c r="G2168" s="190"/>
      <c r="H2168" s="137"/>
      <c r="I2168" s="137"/>
      <c r="J2168" s="137"/>
      <c r="M2168" s="143"/>
      <c r="N2168" s="143"/>
      <c r="O2168" s="143"/>
      <c r="P2168" s="143"/>
      <c r="Q2168" s="137"/>
      <c r="R2168" s="137"/>
      <c r="S2168" s="137"/>
      <c r="T2168" s="137"/>
      <c r="U2168" s="137"/>
      <c r="V2168" s="137"/>
      <c r="W2168" s="137"/>
      <c r="X2168" s="137"/>
      <c r="Y2168" s="137"/>
      <c r="Z2168" s="137"/>
      <c r="AA2168" s="137"/>
    </row>
    <row r="2169" spans="5:27" x14ac:dyDescent="0.35">
      <c r="E2169" s="137"/>
      <c r="F2169" s="137"/>
      <c r="G2169" s="190"/>
      <c r="H2169" s="137"/>
      <c r="I2169" s="137"/>
      <c r="J2169" s="137"/>
      <c r="M2169" s="143"/>
      <c r="N2169" s="143"/>
      <c r="O2169" s="143"/>
      <c r="P2169" s="143"/>
      <c r="Q2169" s="137"/>
      <c r="R2169" s="137"/>
      <c r="S2169" s="137"/>
      <c r="T2169" s="137"/>
      <c r="U2169" s="137"/>
      <c r="V2169" s="137"/>
      <c r="W2169" s="137"/>
      <c r="X2169" s="137"/>
      <c r="Y2169" s="137"/>
      <c r="Z2169" s="137"/>
      <c r="AA2169" s="137"/>
    </row>
    <row r="2170" spans="5:27" x14ac:dyDescent="0.35">
      <c r="E2170" s="137"/>
      <c r="F2170" s="137"/>
      <c r="G2170" s="190"/>
      <c r="H2170" s="137"/>
      <c r="I2170" s="137"/>
      <c r="J2170" s="137"/>
      <c r="M2170" s="143"/>
      <c r="N2170" s="143"/>
      <c r="O2170" s="143"/>
      <c r="P2170" s="143"/>
      <c r="Q2170" s="137"/>
      <c r="R2170" s="137"/>
      <c r="S2170" s="137"/>
      <c r="T2170" s="137"/>
      <c r="U2170" s="137"/>
      <c r="V2170" s="137"/>
      <c r="W2170" s="137"/>
      <c r="X2170" s="137"/>
      <c r="Y2170" s="137"/>
      <c r="Z2170" s="137"/>
      <c r="AA2170" s="137"/>
    </row>
    <row r="2171" spans="5:27" x14ac:dyDescent="0.35">
      <c r="E2171" s="137"/>
      <c r="F2171" s="137"/>
      <c r="G2171" s="190"/>
      <c r="H2171" s="137"/>
      <c r="I2171" s="137"/>
      <c r="J2171" s="137"/>
      <c r="M2171" s="143"/>
      <c r="N2171" s="143"/>
      <c r="O2171" s="143"/>
      <c r="P2171" s="143"/>
      <c r="Q2171" s="137"/>
      <c r="R2171" s="137"/>
      <c r="S2171" s="137"/>
      <c r="T2171" s="137"/>
      <c r="U2171" s="137"/>
      <c r="V2171" s="137"/>
      <c r="W2171" s="137"/>
      <c r="X2171" s="137"/>
      <c r="Y2171" s="137"/>
      <c r="Z2171" s="137"/>
      <c r="AA2171" s="137"/>
    </row>
    <row r="2172" spans="5:27" x14ac:dyDescent="0.35">
      <c r="E2172" s="137"/>
      <c r="F2172" s="137"/>
      <c r="G2172" s="190"/>
      <c r="H2172" s="137"/>
      <c r="I2172" s="137"/>
      <c r="J2172" s="137"/>
      <c r="M2172" s="143"/>
      <c r="N2172" s="143"/>
      <c r="O2172" s="143"/>
      <c r="P2172" s="143"/>
      <c r="Q2172" s="137"/>
      <c r="R2172" s="137"/>
      <c r="S2172" s="137"/>
      <c r="T2172" s="137"/>
      <c r="U2172" s="137"/>
      <c r="V2172" s="137"/>
      <c r="W2172" s="137"/>
      <c r="X2172" s="137"/>
      <c r="Y2172" s="137"/>
      <c r="Z2172" s="137"/>
      <c r="AA2172" s="137"/>
    </row>
    <row r="2173" spans="5:27" x14ac:dyDescent="0.35">
      <c r="E2173" s="137"/>
      <c r="F2173" s="137"/>
      <c r="G2173" s="190"/>
      <c r="H2173" s="137"/>
      <c r="I2173" s="137"/>
      <c r="J2173" s="137"/>
      <c r="M2173" s="143"/>
      <c r="N2173" s="143"/>
      <c r="O2173" s="143"/>
      <c r="P2173" s="143"/>
      <c r="Q2173" s="137"/>
      <c r="R2173" s="137"/>
      <c r="S2173" s="137"/>
      <c r="T2173" s="137"/>
      <c r="U2173" s="137"/>
      <c r="V2173" s="137"/>
      <c r="W2173" s="137"/>
      <c r="X2173" s="137"/>
      <c r="Y2173" s="137"/>
      <c r="Z2173" s="137"/>
      <c r="AA2173" s="137"/>
    </row>
    <row r="2174" spans="5:27" x14ac:dyDescent="0.35">
      <c r="E2174" s="137"/>
      <c r="F2174" s="137"/>
      <c r="G2174" s="190"/>
      <c r="H2174" s="137"/>
      <c r="I2174" s="137"/>
      <c r="J2174" s="137"/>
      <c r="M2174" s="143"/>
      <c r="N2174" s="143"/>
      <c r="O2174" s="143"/>
      <c r="P2174" s="143"/>
      <c r="Q2174" s="137"/>
      <c r="R2174" s="137"/>
      <c r="S2174" s="137"/>
      <c r="T2174" s="137"/>
      <c r="U2174" s="137"/>
      <c r="V2174" s="137"/>
      <c r="W2174" s="137"/>
      <c r="X2174" s="137"/>
      <c r="Y2174" s="137"/>
      <c r="Z2174" s="137"/>
      <c r="AA2174" s="137"/>
    </row>
    <row r="2175" spans="5:27" x14ac:dyDescent="0.35">
      <c r="E2175" s="137"/>
      <c r="F2175" s="137"/>
      <c r="G2175" s="190"/>
      <c r="H2175" s="137"/>
      <c r="I2175" s="137"/>
      <c r="J2175" s="137"/>
      <c r="M2175" s="143"/>
      <c r="N2175" s="143"/>
      <c r="O2175" s="143"/>
      <c r="P2175" s="143"/>
      <c r="Q2175" s="137"/>
      <c r="R2175" s="137"/>
      <c r="S2175" s="137"/>
      <c r="T2175" s="137"/>
      <c r="U2175" s="137"/>
      <c r="V2175" s="137"/>
      <c r="W2175" s="137"/>
      <c r="X2175" s="137"/>
      <c r="Y2175" s="137"/>
      <c r="Z2175" s="137"/>
      <c r="AA2175" s="137"/>
    </row>
    <row r="2176" spans="5:27" x14ac:dyDescent="0.35">
      <c r="E2176" s="137"/>
      <c r="F2176" s="137"/>
      <c r="G2176" s="190"/>
      <c r="H2176" s="137"/>
      <c r="I2176" s="137"/>
      <c r="J2176" s="137"/>
      <c r="M2176" s="143"/>
      <c r="N2176" s="143"/>
      <c r="O2176" s="143"/>
      <c r="P2176" s="143"/>
      <c r="Q2176" s="137"/>
      <c r="R2176" s="137"/>
      <c r="S2176" s="137"/>
      <c r="T2176" s="137"/>
      <c r="U2176" s="137"/>
      <c r="V2176" s="137"/>
      <c r="W2176" s="137"/>
      <c r="X2176" s="137"/>
      <c r="Y2176" s="137"/>
      <c r="Z2176" s="137"/>
      <c r="AA2176" s="137"/>
    </row>
    <row r="2177" spans="5:27" x14ac:dyDescent="0.35">
      <c r="E2177" s="137"/>
      <c r="F2177" s="137"/>
      <c r="G2177" s="190"/>
      <c r="H2177" s="137"/>
      <c r="I2177" s="137"/>
      <c r="J2177" s="137"/>
      <c r="M2177" s="143"/>
      <c r="N2177" s="143"/>
      <c r="O2177" s="143"/>
      <c r="P2177" s="143"/>
      <c r="Q2177" s="137"/>
      <c r="R2177" s="137"/>
      <c r="S2177" s="137"/>
      <c r="T2177" s="137"/>
      <c r="U2177" s="137"/>
      <c r="V2177" s="137"/>
      <c r="W2177" s="137"/>
      <c r="X2177" s="137"/>
      <c r="Y2177" s="137"/>
      <c r="Z2177" s="137"/>
      <c r="AA2177" s="137"/>
    </row>
    <row r="2178" spans="5:27" x14ac:dyDescent="0.35">
      <c r="E2178" s="137"/>
      <c r="F2178" s="137"/>
      <c r="G2178" s="190"/>
      <c r="H2178" s="137"/>
      <c r="I2178" s="137"/>
      <c r="J2178" s="137"/>
      <c r="M2178" s="143"/>
      <c r="N2178" s="143"/>
      <c r="O2178" s="143"/>
      <c r="P2178" s="143"/>
      <c r="Q2178" s="137"/>
      <c r="R2178" s="137"/>
      <c r="S2178" s="137"/>
      <c r="T2178" s="137"/>
      <c r="U2178" s="137"/>
      <c r="V2178" s="137"/>
      <c r="W2178" s="137"/>
      <c r="X2178" s="137"/>
      <c r="Y2178" s="137"/>
      <c r="Z2178" s="137"/>
      <c r="AA2178" s="137"/>
    </row>
    <row r="2179" spans="5:27" x14ac:dyDescent="0.35">
      <c r="E2179" s="137"/>
      <c r="F2179" s="137"/>
      <c r="G2179" s="190"/>
      <c r="H2179" s="137"/>
      <c r="I2179" s="137"/>
      <c r="J2179" s="137"/>
      <c r="M2179" s="143"/>
      <c r="N2179" s="143"/>
      <c r="O2179" s="143"/>
      <c r="P2179" s="143"/>
      <c r="Q2179" s="137"/>
      <c r="R2179" s="137"/>
      <c r="S2179" s="137"/>
      <c r="T2179" s="137"/>
      <c r="U2179" s="137"/>
      <c r="V2179" s="137"/>
      <c r="W2179" s="137"/>
      <c r="X2179" s="137"/>
      <c r="Y2179" s="137"/>
      <c r="Z2179" s="137"/>
      <c r="AA2179" s="137"/>
    </row>
    <row r="2180" spans="5:27" x14ac:dyDescent="0.35">
      <c r="E2180" s="137"/>
      <c r="F2180" s="137"/>
      <c r="G2180" s="190"/>
      <c r="H2180" s="137"/>
      <c r="I2180" s="137"/>
      <c r="J2180" s="137"/>
      <c r="M2180" s="143"/>
      <c r="N2180" s="143"/>
      <c r="O2180" s="143"/>
      <c r="P2180" s="143"/>
      <c r="Q2180" s="137"/>
      <c r="R2180" s="137"/>
      <c r="S2180" s="137"/>
      <c r="T2180" s="137"/>
      <c r="U2180" s="137"/>
      <c r="V2180" s="137"/>
      <c r="W2180" s="137"/>
      <c r="X2180" s="137"/>
      <c r="Y2180" s="137"/>
      <c r="Z2180" s="137"/>
      <c r="AA2180" s="137"/>
    </row>
    <row r="2181" spans="5:27" x14ac:dyDescent="0.35">
      <c r="E2181" s="137"/>
      <c r="F2181" s="137"/>
      <c r="G2181" s="190"/>
      <c r="H2181" s="137"/>
      <c r="I2181" s="137"/>
      <c r="J2181" s="137"/>
      <c r="M2181" s="143"/>
      <c r="N2181" s="143"/>
      <c r="O2181" s="143"/>
      <c r="P2181" s="143"/>
      <c r="Q2181" s="137"/>
      <c r="R2181" s="137"/>
      <c r="S2181" s="137"/>
      <c r="T2181" s="137"/>
      <c r="U2181" s="137"/>
      <c r="V2181" s="137"/>
      <c r="W2181" s="137"/>
      <c r="X2181" s="137"/>
      <c r="Y2181" s="137"/>
      <c r="Z2181" s="137"/>
      <c r="AA2181" s="137"/>
    </row>
    <row r="2182" spans="5:27" x14ac:dyDescent="0.35">
      <c r="E2182" s="137"/>
      <c r="F2182" s="137"/>
      <c r="G2182" s="190"/>
      <c r="H2182" s="137"/>
      <c r="I2182" s="137"/>
      <c r="J2182" s="137"/>
      <c r="M2182" s="143"/>
      <c r="N2182" s="143"/>
      <c r="O2182" s="143"/>
      <c r="P2182" s="143"/>
      <c r="Q2182" s="137"/>
      <c r="R2182" s="137"/>
      <c r="S2182" s="137"/>
      <c r="T2182" s="137"/>
      <c r="U2182" s="137"/>
      <c r="V2182" s="137"/>
      <c r="W2182" s="137"/>
      <c r="X2182" s="137"/>
      <c r="Y2182" s="137"/>
      <c r="Z2182" s="137"/>
      <c r="AA2182" s="137"/>
    </row>
    <row r="2183" spans="5:27" x14ac:dyDescent="0.35">
      <c r="E2183" s="137"/>
      <c r="F2183" s="137"/>
      <c r="G2183" s="190"/>
      <c r="H2183" s="137"/>
      <c r="I2183" s="137"/>
      <c r="J2183" s="137"/>
      <c r="M2183" s="143"/>
      <c r="N2183" s="143"/>
      <c r="O2183" s="143"/>
      <c r="P2183" s="143"/>
      <c r="Q2183" s="137"/>
      <c r="R2183" s="137"/>
      <c r="S2183" s="137"/>
      <c r="T2183" s="137"/>
      <c r="U2183" s="137"/>
      <c r="V2183" s="137"/>
      <c r="W2183" s="137"/>
      <c r="X2183" s="137"/>
      <c r="Y2183" s="137"/>
      <c r="Z2183" s="137"/>
      <c r="AA2183" s="137"/>
    </row>
    <row r="2184" spans="5:27" x14ac:dyDescent="0.35">
      <c r="E2184" s="137"/>
      <c r="F2184" s="137"/>
      <c r="G2184" s="190"/>
      <c r="H2184" s="137"/>
      <c r="I2184" s="137"/>
      <c r="J2184" s="137"/>
      <c r="M2184" s="143"/>
      <c r="N2184" s="143"/>
      <c r="O2184" s="143"/>
      <c r="P2184" s="143"/>
      <c r="Q2184" s="137"/>
      <c r="R2184" s="137"/>
      <c r="S2184" s="137"/>
      <c r="T2184" s="137"/>
      <c r="U2184" s="137"/>
      <c r="V2184" s="137"/>
      <c r="W2184" s="137"/>
      <c r="X2184" s="137"/>
      <c r="Y2184" s="137"/>
      <c r="Z2184" s="137"/>
      <c r="AA2184" s="137"/>
    </row>
    <row r="2185" spans="5:27" x14ac:dyDescent="0.35">
      <c r="E2185" s="137"/>
      <c r="F2185" s="137"/>
      <c r="G2185" s="190"/>
      <c r="H2185" s="137"/>
      <c r="I2185" s="137"/>
      <c r="J2185" s="137"/>
      <c r="M2185" s="143"/>
      <c r="N2185" s="143"/>
      <c r="O2185" s="143"/>
      <c r="P2185" s="143"/>
      <c r="Q2185" s="137"/>
      <c r="R2185" s="137"/>
      <c r="S2185" s="137"/>
      <c r="T2185" s="137"/>
      <c r="U2185" s="137"/>
      <c r="V2185" s="137"/>
      <c r="W2185" s="137"/>
      <c r="X2185" s="137"/>
      <c r="Y2185" s="137"/>
      <c r="Z2185" s="137"/>
      <c r="AA2185" s="137"/>
    </row>
    <row r="2186" spans="5:27" x14ac:dyDescent="0.35">
      <c r="E2186" s="137"/>
      <c r="F2186" s="137"/>
      <c r="G2186" s="190"/>
      <c r="H2186" s="137"/>
      <c r="I2186" s="137"/>
      <c r="J2186" s="137"/>
      <c r="M2186" s="143"/>
      <c r="N2186" s="143"/>
      <c r="O2186" s="143"/>
      <c r="P2186" s="143"/>
      <c r="Q2186" s="137"/>
      <c r="R2186" s="137"/>
      <c r="S2186" s="137"/>
      <c r="T2186" s="137"/>
      <c r="U2186" s="137"/>
      <c r="V2186" s="137"/>
      <c r="W2186" s="137"/>
      <c r="X2186" s="137"/>
      <c r="Y2186" s="137"/>
      <c r="Z2186" s="137"/>
      <c r="AA2186" s="137"/>
    </row>
    <row r="2187" spans="5:27" x14ac:dyDescent="0.35">
      <c r="E2187" s="137"/>
      <c r="F2187" s="137"/>
      <c r="G2187" s="190"/>
      <c r="H2187" s="137"/>
      <c r="I2187" s="137"/>
      <c r="J2187" s="137"/>
      <c r="M2187" s="143"/>
      <c r="N2187" s="143"/>
      <c r="O2187" s="143"/>
      <c r="P2187" s="143"/>
      <c r="Q2187" s="137"/>
      <c r="R2187" s="137"/>
      <c r="S2187" s="137"/>
      <c r="T2187" s="137"/>
      <c r="U2187" s="137"/>
      <c r="V2187" s="137"/>
      <c r="W2187" s="137"/>
      <c r="X2187" s="137"/>
      <c r="Y2187" s="137"/>
      <c r="Z2187" s="137"/>
      <c r="AA2187" s="137"/>
    </row>
    <row r="2188" spans="5:27" x14ac:dyDescent="0.35">
      <c r="E2188" s="137"/>
      <c r="F2188" s="137"/>
      <c r="G2188" s="190"/>
      <c r="H2188" s="137"/>
      <c r="I2188" s="137"/>
      <c r="J2188" s="137"/>
      <c r="M2188" s="143"/>
      <c r="N2188" s="143"/>
      <c r="O2188" s="143"/>
      <c r="P2188" s="143"/>
      <c r="Q2188" s="137"/>
      <c r="R2188" s="137"/>
      <c r="S2188" s="137"/>
      <c r="T2188" s="137"/>
      <c r="U2188" s="137"/>
      <c r="V2188" s="137"/>
      <c r="W2188" s="137"/>
      <c r="X2188" s="137"/>
      <c r="Y2188" s="137"/>
      <c r="Z2188" s="137"/>
      <c r="AA2188" s="137"/>
    </row>
    <row r="2189" spans="5:27" x14ac:dyDescent="0.35">
      <c r="E2189" s="137"/>
      <c r="F2189" s="137"/>
      <c r="G2189" s="190"/>
      <c r="H2189" s="137"/>
      <c r="I2189" s="137"/>
      <c r="J2189" s="137"/>
      <c r="M2189" s="143"/>
      <c r="N2189" s="143"/>
      <c r="O2189" s="143"/>
      <c r="P2189" s="143"/>
      <c r="Q2189" s="137"/>
      <c r="R2189" s="137"/>
      <c r="S2189" s="137"/>
      <c r="T2189" s="137"/>
      <c r="U2189" s="137"/>
      <c r="V2189" s="137"/>
      <c r="W2189" s="137"/>
      <c r="X2189" s="137"/>
      <c r="Y2189" s="137"/>
      <c r="Z2189" s="137"/>
      <c r="AA2189" s="137"/>
    </row>
    <row r="2190" spans="5:27" x14ac:dyDescent="0.35">
      <c r="E2190" s="137"/>
      <c r="F2190" s="137"/>
      <c r="G2190" s="190"/>
      <c r="H2190" s="137"/>
      <c r="I2190" s="137"/>
      <c r="J2190" s="137"/>
      <c r="M2190" s="143"/>
      <c r="N2190" s="143"/>
      <c r="O2190" s="143"/>
      <c r="P2190" s="143"/>
      <c r="Q2190" s="137"/>
      <c r="R2190" s="137"/>
      <c r="S2190" s="137"/>
      <c r="T2190" s="137"/>
      <c r="U2190" s="137"/>
      <c r="V2190" s="137"/>
      <c r="W2190" s="137"/>
      <c r="X2190" s="137"/>
      <c r="Y2190" s="137"/>
      <c r="Z2190" s="137"/>
      <c r="AA2190" s="137"/>
    </row>
    <row r="2191" spans="5:27" x14ac:dyDescent="0.35">
      <c r="E2191" s="137"/>
      <c r="F2191" s="137"/>
      <c r="G2191" s="190"/>
      <c r="H2191" s="137"/>
      <c r="I2191" s="137"/>
      <c r="J2191" s="137"/>
      <c r="M2191" s="143"/>
      <c r="N2191" s="143"/>
      <c r="O2191" s="143"/>
      <c r="P2191" s="143"/>
      <c r="Q2191" s="137"/>
      <c r="R2191" s="137"/>
      <c r="S2191" s="137"/>
      <c r="T2191" s="137"/>
      <c r="U2191" s="137"/>
      <c r="V2191" s="137"/>
      <c r="W2191" s="137"/>
      <c r="X2191" s="137"/>
      <c r="Y2191" s="137"/>
      <c r="Z2191" s="137"/>
      <c r="AA2191" s="137"/>
    </row>
    <row r="2192" spans="5:27" x14ac:dyDescent="0.35">
      <c r="E2192" s="137"/>
      <c r="F2192" s="137"/>
      <c r="G2192" s="190"/>
      <c r="H2192" s="137"/>
      <c r="I2192" s="137"/>
      <c r="J2192" s="137"/>
      <c r="M2192" s="143"/>
      <c r="N2192" s="143"/>
      <c r="O2192" s="143"/>
      <c r="P2192" s="143"/>
      <c r="Q2192" s="137"/>
      <c r="R2192" s="137"/>
      <c r="S2192" s="137"/>
      <c r="T2192" s="137"/>
      <c r="U2192" s="137"/>
      <c r="V2192" s="137"/>
      <c r="W2192" s="137"/>
      <c r="X2192" s="137"/>
      <c r="Y2192" s="137"/>
      <c r="Z2192" s="137"/>
      <c r="AA2192" s="137"/>
    </row>
    <row r="2193" spans="5:27" x14ac:dyDescent="0.35">
      <c r="E2193" s="137"/>
      <c r="F2193" s="137"/>
      <c r="G2193" s="190"/>
      <c r="H2193" s="137"/>
      <c r="I2193" s="137"/>
      <c r="J2193" s="137"/>
      <c r="M2193" s="143"/>
      <c r="N2193" s="143"/>
      <c r="O2193" s="143"/>
      <c r="P2193" s="143"/>
      <c r="Q2193" s="137"/>
      <c r="R2193" s="137"/>
      <c r="S2193" s="137"/>
      <c r="T2193" s="137"/>
      <c r="U2193" s="137"/>
      <c r="V2193" s="137"/>
      <c r="W2193" s="137"/>
      <c r="X2193" s="137"/>
      <c r="Y2193" s="137"/>
      <c r="Z2193" s="137"/>
      <c r="AA2193" s="137"/>
    </row>
    <row r="2194" spans="5:27" x14ac:dyDescent="0.35">
      <c r="E2194" s="137"/>
      <c r="F2194" s="137"/>
      <c r="G2194" s="190"/>
      <c r="H2194" s="137"/>
      <c r="I2194" s="137"/>
      <c r="J2194" s="137"/>
      <c r="M2194" s="143"/>
      <c r="N2194" s="143"/>
      <c r="O2194" s="143"/>
      <c r="P2194" s="143"/>
      <c r="Q2194" s="137"/>
      <c r="R2194" s="137"/>
      <c r="S2194" s="137"/>
      <c r="T2194" s="137"/>
      <c r="U2194" s="137"/>
      <c r="V2194" s="137"/>
      <c r="W2194" s="137"/>
      <c r="X2194" s="137"/>
      <c r="Y2194" s="137"/>
      <c r="Z2194" s="137"/>
      <c r="AA2194" s="137"/>
    </row>
    <row r="2195" spans="5:27" x14ac:dyDescent="0.35">
      <c r="E2195" s="137"/>
      <c r="F2195" s="137"/>
      <c r="G2195" s="190"/>
      <c r="H2195" s="137"/>
      <c r="I2195" s="137"/>
      <c r="J2195" s="137"/>
      <c r="M2195" s="143"/>
      <c r="N2195" s="143"/>
      <c r="O2195" s="143"/>
      <c r="P2195" s="143"/>
      <c r="Q2195" s="137"/>
      <c r="R2195" s="137"/>
      <c r="S2195" s="137"/>
      <c r="T2195" s="137"/>
      <c r="U2195" s="137"/>
      <c r="V2195" s="137"/>
      <c r="W2195" s="137"/>
      <c r="X2195" s="137"/>
      <c r="Y2195" s="137"/>
      <c r="Z2195" s="137"/>
      <c r="AA2195" s="137"/>
    </row>
    <row r="2196" spans="5:27" x14ac:dyDescent="0.35">
      <c r="E2196" s="137"/>
      <c r="F2196" s="137"/>
      <c r="G2196" s="190"/>
      <c r="H2196" s="137"/>
      <c r="I2196" s="137"/>
      <c r="J2196" s="137"/>
      <c r="M2196" s="143"/>
      <c r="N2196" s="143"/>
      <c r="O2196" s="143"/>
      <c r="P2196" s="143"/>
      <c r="Q2196" s="137"/>
      <c r="R2196" s="137"/>
      <c r="S2196" s="137"/>
      <c r="T2196" s="137"/>
      <c r="U2196" s="137"/>
      <c r="V2196" s="137"/>
      <c r="W2196" s="137"/>
      <c r="X2196" s="137"/>
      <c r="Y2196" s="137"/>
      <c r="Z2196" s="137"/>
      <c r="AA2196" s="137"/>
    </row>
    <row r="2197" spans="5:27" x14ac:dyDescent="0.35">
      <c r="E2197" s="137"/>
      <c r="F2197" s="137"/>
      <c r="G2197" s="190"/>
      <c r="H2197" s="137"/>
      <c r="I2197" s="137"/>
      <c r="J2197" s="137"/>
      <c r="M2197" s="143"/>
      <c r="N2197" s="143"/>
      <c r="O2197" s="143"/>
      <c r="P2197" s="143"/>
      <c r="Q2197" s="137"/>
      <c r="R2197" s="137"/>
      <c r="S2197" s="137"/>
      <c r="T2197" s="137"/>
      <c r="U2197" s="137"/>
      <c r="V2197" s="137"/>
      <c r="W2197" s="137"/>
      <c r="X2197" s="137"/>
      <c r="Y2197" s="137"/>
      <c r="Z2197" s="137"/>
      <c r="AA2197" s="137"/>
    </row>
    <row r="2198" spans="5:27" x14ac:dyDescent="0.35">
      <c r="E2198" s="137"/>
      <c r="F2198" s="137"/>
      <c r="G2198" s="190"/>
      <c r="H2198" s="137"/>
      <c r="I2198" s="137"/>
      <c r="J2198" s="137"/>
      <c r="M2198" s="143"/>
      <c r="N2198" s="143"/>
      <c r="O2198" s="143"/>
      <c r="P2198" s="143"/>
      <c r="Q2198" s="137"/>
      <c r="R2198" s="137"/>
      <c r="S2198" s="137"/>
      <c r="T2198" s="137"/>
      <c r="U2198" s="137"/>
      <c r="V2198" s="137"/>
      <c r="W2198" s="137"/>
      <c r="X2198" s="137"/>
      <c r="Y2198" s="137"/>
      <c r="Z2198" s="137"/>
      <c r="AA2198" s="137"/>
    </row>
    <row r="2199" spans="5:27" x14ac:dyDescent="0.35">
      <c r="E2199" s="137"/>
      <c r="F2199" s="137"/>
      <c r="G2199" s="190"/>
      <c r="H2199" s="137"/>
      <c r="I2199" s="137"/>
      <c r="J2199" s="137"/>
      <c r="M2199" s="143"/>
      <c r="N2199" s="143"/>
      <c r="O2199" s="143"/>
      <c r="P2199" s="143"/>
      <c r="Q2199" s="137"/>
      <c r="R2199" s="137"/>
      <c r="S2199" s="137"/>
      <c r="T2199" s="137"/>
      <c r="U2199" s="137"/>
      <c r="V2199" s="137"/>
      <c r="W2199" s="137"/>
      <c r="X2199" s="137"/>
      <c r="Y2199" s="137"/>
      <c r="Z2199" s="137"/>
      <c r="AA2199" s="137"/>
    </row>
    <row r="2200" spans="5:27" x14ac:dyDescent="0.35">
      <c r="E2200" s="137"/>
      <c r="F2200" s="137"/>
      <c r="G2200" s="190"/>
      <c r="H2200" s="137"/>
      <c r="I2200" s="137"/>
      <c r="J2200" s="137"/>
      <c r="M2200" s="143"/>
      <c r="N2200" s="143"/>
      <c r="O2200" s="143"/>
      <c r="P2200" s="143"/>
      <c r="Q2200" s="137"/>
      <c r="R2200" s="137"/>
      <c r="S2200" s="137"/>
      <c r="T2200" s="137"/>
      <c r="U2200" s="137"/>
      <c r="V2200" s="137"/>
      <c r="W2200" s="137"/>
      <c r="X2200" s="137"/>
      <c r="Y2200" s="137"/>
      <c r="Z2200" s="137"/>
      <c r="AA2200" s="137"/>
    </row>
    <row r="2201" spans="5:27" x14ac:dyDescent="0.35">
      <c r="E2201" s="137"/>
      <c r="F2201" s="137"/>
      <c r="G2201" s="190"/>
      <c r="H2201" s="137"/>
      <c r="I2201" s="137"/>
      <c r="J2201" s="137"/>
      <c r="M2201" s="143"/>
      <c r="N2201" s="143"/>
      <c r="O2201" s="143"/>
      <c r="P2201" s="143"/>
      <c r="Q2201" s="137"/>
      <c r="R2201" s="137"/>
      <c r="S2201" s="137"/>
      <c r="T2201" s="137"/>
      <c r="U2201" s="137"/>
      <c r="V2201" s="137"/>
      <c r="W2201" s="137"/>
      <c r="X2201" s="137"/>
      <c r="Y2201" s="137"/>
      <c r="Z2201" s="137"/>
      <c r="AA2201" s="137"/>
    </row>
    <row r="2202" spans="5:27" x14ac:dyDescent="0.35">
      <c r="E2202" s="137"/>
      <c r="F2202" s="137"/>
      <c r="G2202" s="190"/>
      <c r="H2202" s="137"/>
      <c r="I2202" s="137"/>
      <c r="J2202" s="137"/>
      <c r="M2202" s="143"/>
      <c r="N2202" s="143"/>
      <c r="O2202" s="143"/>
      <c r="P2202" s="143"/>
      <c r="Q2202" s="137"/>
      <c r="R2202" s="137"/>
      <c r="S2202" s="137"/>
      <c r="T2202" s="137"/>
      <c r="U2202" s="137"/>
      <c r="V2202" s="137"/>
      <c r="W2202" s="137"/>
      <c r="X2202" s="137"/>
      <c r="Y2202" s="137"/>
      <c r="Z2202" s="137"/>
      <c r="AA2202" s="137"/>
    </row>
    <row r="2203" spans="5:27" x14ac:dyDescent="0.35">
      <c r="E2203" s="137"/>
      <c r="F2203" s="137"/>
      <c r="G2203" s="190"/>
      <c r="H2203" s="137"/>
      <c r="I2203" s="137"/>
      <c r="J2203" s="137"/>
      <c r="M2203" s="143"/>
      <c r="N2203" s="143"/>
      <c r="O2203" s="143"/>
      <c r="P2203" s="143"/>
      <c r="Q2203" s="137"/>
      <c r="R2203" s="137"/>
      <c r="S2203" s="137"/>
      <c r="T2203" s="137"/>
      <c r="U2203" s="137"/>
      <c r="V2203" s="137"/>
      <c r="W2203" s="137"/>
      <c r="X2203" s="137"/>
      <c r="Y2203" s="137"/>
      <c r="Z2203" s="137"/>
      <c r="AA2203" s="137"/>
    </row>
    <row r="2204" spans="5:27" x14ac:dyDescent="0.35">
      <c r="E2204" s="137"/>
      <c r="F2204" s="137"/>
      <c r="G2204" s="190"/>
      <c r="H2204" s="137"/>
      <c r="I2204" s="137"/>
      <c r="J2204" s="137"/>
      <c r="M2204" s="143"/>
      <c r="N2204" s="143"/>
      <c r="O2204" s="143"/>
      <c r="P2204" s="143"/>
      <c r="Q2204" s="137"/>
      <c r="R2204" s="137"/>
      <c r="S2204" s="137"/>
      <c r="T2204" s="137"/>
      <c r="U2204" s="137"/>
      <c r="V2204" s="137"/>
      <c r="W2204" s="137"/>
      <c r="X2204" s="137"/>
      <c r="Y2204" s="137"/>
      <c r="Z2204" s="137"/>
      <c r="AA2204" s="137"/>
    </row>
    <row r="2205" spans="5:27" x14ac:dyDescent="0.35">
      <c r="E2205" s="137"/>
      <c r="F2205" s="137"/>
      <c r="G2205" s="190"/>
      <c r="H2205" s="137"/>
      <c r="I2205" s="137"/>
      <c r="J2205" s="137"/>
      <c r="M2205" s="143"/>
      <c r="N2205" s="143"/>
      <c r="O2205" s="143"/>
      <c r="P2205" s="143"/>
      <c r="Q2205" s="137"/>
      <c r="R2205" s="137"/>
      <c r="S2205" s="137"/>
      <c r="T2205" s="137"/>
      <c r="U2205" s="137"/>
      <c r="V2205" s="137"/>
      <c r="W2205" s="137"/>
      <c r="X2205" s="137"/>
      <c r="Y2205" s="137"/>
      <c r="Z2205" s="137"/>
      <c r="AA2205" s="137"/>
    </row>
    <row r="2206" spans="5:27" x14ac:dyDescent="0.35">
      <c r="E2206" s="137"/>
      <c r="F2206" s="137"/>
      <c r="G2206" s="190"/>
      <c r="H2206" s="137"/>
      <c r="I2206" s="137"/>
      <c r="J2206" s="137"/>
      <c r="M2206" s="143"/>
      <c r="N2206" s="143"/>
      <c r="O2206" s="143"/>
      <c r="P2206" s="143"/>
      <c r="Q2206" s="137"/>
      <c r="R2206" s="137"/>
      <c r="S2206" s="137"/>
      <c r="T2206" s="137"/>
      <c r="U2206" s="137"/>
      <c r="V2206" s="137"/>
      <c r="W2206" s="137"/>
      <c r="X2206" s="137"/>
      <c r="Y2206" s="137"/>
      <c r="Z2206" s="137"/>
      <c r="AA2206" s="137"/>
    </row>
    <row r="2207" spans="5:27" x14ac:dyDescent="0.35">
      <c r="E2207" s="137"/>
      <c r="F2207" s="137"/>
      <c r="G2207" s="190"/>
      <c r="H2207" s="137"/>
      <c r="I2207" s="137"/>
      <c r="J2207" s="137"/>
      <c r="M2207" s="143"/>
      <c r="N2207" s="143"/>
      <c r="O2207" s="143"/>
      <c r="P2207" s="143"/>
      <c r="Q2207" s="137"/>
      <c r="R2207" s="137"/>
      <c r="S2207" s="137"/>
      <c r="T2207" s="137"/>
      <c r="U2207" s="137"/>
      <c r="V2207" s="137"/>
      <c r="W2207" s="137"/>
      <c r="X2207" s="137"/>
      <c r="Y2207" s="137"/>
      <c r="Z2207" s="137"/>
      <c r="AA2207" s="137"/>
    </row>
    <row r="2208" spans="5:27" x14ac:dyDescent="0.35">
      <c r="E2208" s="137"/>
      <c r="F2208" s="137"/>
      <c r="G2208" s="190"/>
      <c r="H2208" s="137"/>
      <c r="I2208" s="137"/>
      <c r="J2208" s="137"/>
      <c r="M2208" s="143"/>
      <c r="N2208" s="143"/>
      <c r="O2208" s="143"/>
      <c r="P2208" s="143"/>
      <c r="Q2208" s="137"/>
      <c r="R2208" s="137"/>
      <c r="S2208" s="137"/>
      <c r="T2208" s="137"/>
      <c r="U2208" s="137"/>
      <c r="V2208" s="137"/>
      <c r="W2208" s="137"/>
      <c r="X2208" s="137"/>
      <c r="Y2208" s="137"/>
      <c r="Z2208" s="137"/>
      <c r="AA2208" s="137"/>
    </row>
    <row r="2209" spans="5:27" x14ac:dyDescent="0.35">
      <c r="E2209" s="137"/>
      <c r="F2209" s="137"/>
      <c r="G2209" s="190"/>
      <c r="H2209" s="137"/>
      <c r="I2209" s="137"/>
      <c r="J2209" s="137"/>
      <c r="M2209" s="143"/>
      <c r="N2209" s="143"/>
      <c r="O2209" s="143"/>
      <c r="P2209" s="143"/>
      <c r="Q2209" s="137"/>
      <c r="R2209" s="137"/>
      <c r="S2209" s="137"/>
      <c r="T2209" s="137"/>
      <c r="U2209" s="137"/>
      <c r="V2209" s="137"/>
      <c r="W2209" s="137"/>
      <c r="X2209" s="137"/>
      <c r="Y2209" s="137"/>
      <c r="Z2209" s="137"/>
      <c r="AA2209" s="137"/>
    </row>
    <row r="2210" spans="5:27" x14ac:dyDescent="0.35">
      <c r="E2210" s="137"/>
      <c r="F2210" s="137"/>
      <c r="G2210" s="190"/>
      <c r="H2210" s="137"/>
      <c r="I2210" s="137"/>
      <c r="J2210" s="137"/>
      <c r="M2210" s="143"/>
      <c r="N2210" s="143"/>
      <c r="O2210" s="143"/>
      <c r="P2210" s="143"/>
      <c r="Q2210" s="137"/>
      <c r="R2210" s="137"/>
      <c r="S2210" s="137"/>
      <c r="T2210" s="137"/>
      <c r="U2210" s="137"/>
      <c r="V2210" s="137"/>
      <c r="W2210" s="137"/>
      <c r="X2210" s="137"/>
      <c r="Y2210" s="137"/>
      <c r="Z2210" s="137"/>
      <c r="AA2210" s="137"/>
    </row>
    <row r="2211" spans="5:27" x14ac:dyDescent="0.35">
      <c r="E2211" s="137"/>
      <c r="F2211" s="137"/>
      <c r="G2211" s="190"/>
      <c r="H2211" s="137"/>
      <c r="I2211" s="137"/>
      <c r="J2211" s="137"/>
      <c r="M2211" s="143"/>
      <c r="N2211" s="143"/>
      <c r="O2211" s="143"/>
      <c r="P2211" s="143"/>
      <c r="Q2211" s="137"/>
      <c r="R2211" s="137"/>
      <c r="S2211" s="137"/>
      <c r="T2211" s="137"/>
      <c r="U2211" s="137"/>
      <c r="V2211" s="137"/>
      <c r="W2211" s="137"/>
      <c r="X2211" s="137"/>
      <c r="Y2211" s="137"/>
      <c r="Z2211" s="137"/>
      <c r="AA2211" s="137"/>
    </row>
    <row r="2212" spans="5:27" x14ac:dyDescent="0.35">
      <c r="E2212" s="137"/>
      <c r="F2212" s="137"/>
      <c r="G2212" s="190"/>
      <c r="H2212" s="137"/>
      <c r="I2212" s="137"/>
      <c r="J2212" s="137"/>
      <c r="M2212" s="143"/>
      <c r="N2212" s="143"/>
      <c r="O2212" s="143"/>
      <c r="P2212" s="143"/>
      <c r="Q2212" s="137"/>
      <c r="R2212" s="137"/>
      <c r="S2212" s="137"/>
      <c r="T2212" s="137"/>
      <c r="U2212" s="137"/>
      <c r="V2212" s="137"/>
      <c r="W2212" s="137"/>
      <c r="X2212" s="137"/>
      <c r="Y2212" s="137"/>
      <c r="Z2212" s="137"/>
      <c r="AA2212" s="137"/>
    </row>
    <row r="2213" spans="5:27" x14ac:dyDescent="0.35">
      <c r="E2213" s="137"/>
      <c r="F2213" s="137"/>
      <c r="G2213" s="190"/>
      <c r="H2213" s="137"/>
      <c r="I2213" s="137"/>
      <c r="J2213" s="137"/>
      <c r="M2213" s="143"/>
      <c r="N2213" s="143"/>
      <c r="O2213" s="143"/>
      <c r="P2213" s="143"/>
      <c r="Q2213" s="137"/>
      <c r="R2213" s="137"/>
      <c r="S2213" s="137"/>
      <c r="T2213" s="137"/>
      <c r="U2213" s="137"/>
      <c r="V2213" s="137"/>
      <c r="W2213" s="137"/>
      <c r="X2213" s="137"/>
      <c r="Y2213" s="137"/>
      <c r="Z2213" s="137"/>
      <c r="AA2213" s="137"/>
    </row>
    <row r="2214" spans="5:27" x14ac:dyDescent="0.35">
      <c r="E2214" s="137"/>
      <c r="F2214" s="137"/>
      <c r="G2214" s="190"/>
      <c r="H2214" s="137"/>
      <c r="I2214" s="137"/>
      <c r="J2214" s="137"/>
      <c r="M2214" s="143"/>
      <c r="N2214" s="143"/>
      <c r="O2214" s="143"/>
      <c r="P2214" s="143"/>
      <c r="Q2214" s="137"/>
      <c r="R2214" s="137"/>
      <c r="S2214" s="137"/>
      <c r="T2214" s="137"/>
      <c r="U2214" s="137"/>
      <c r="V2214" s="137"/>
      <c r="W2214" s="137"/>
      <c r="X2214" s="137"/>
      <c r="Y2214" s="137"/>
      <c r="Z2214" s="137"/>
      <c r="AA2214" s="137"/>
    </row>
    <row r="2215" spans="5:27" x14ac:dyDescent="0.35">
      <c r="E2215" s="137"/>
      <c r="F2215" s="137"/>
      <c r="G2215" s="190"/>
      <c r="H2215" s="137"/>
      <c r="I2215" s="137"/>
      <c r="J2215" s="137"/>
      <c r="M2215" s="143"/>
      <c r="N2215" s="143"/>
      <c r="O2215" s="143"/>
      <c r="P2215" s="143"/>
      <c r="Q2215" s="137"/>
      <c r="R2215" s="137"/>
      <c r="S2215" s="137"/>
      <c r="T2215" s="137"/>
      <c r="U2215" s="137"/>
      <c r="V2215" s="137"/>
      <c r="W2215" s="137"/>
      <c r="X2215" s="137"/>
      <c r="Y2215" s="137"/>
      <c r="Z2215" s="137"/>
      <c r="AA2215" s="137"/>
    </row>
    <row r="2216" spans="5:27" x14ac:dyDescent="0.35">
      <c r="E2216" s="137"/>
      <c r="F2216" s="137"/>
      <c r="G2216" s="190"/>
      <c r="H2216" s="137"/>
      <c r="I2216" s="137"/>
      <c r="J2216" s="137"/>
      <c r="M2216" s="143"/>
      <c r="N2216" s="143"/>
      <c r="O2216" s="143"/>
      <c r="P2216" s="143"/>
      <c r="Q2216" s="137"/>
      <c r="R2216" s="137"/>
      <c r="S2216" s="137"/>
      <c r="T2216" s="137"/>
      <c r="U2216" s="137"/>
      <c r="V2216" s="137"/>
      <c r="W2216" s="137"/>
      <c r="X2216" s="137"/>
      <c r="Y2216" s="137"/>
      <c r="Z2216" s="137"/>
      <c r="AA2216" s="137"/>
    </row>
    <row r="2217" spans="5:27" x14ac:dyDescent="0.35">
      <c r="E2217" s="137"/>
      <c r="F2217" s="137"/>
      <c r="G2217" s="190"/>
      <c r="H2217" s="137"/>
      <c r="I2217" s="137"/>
      <c r="J2217" s="137"/>
      <c r="M2217" s="143"/>
      <c r="N2217" s="143"/>
      <c r="O2217" s="143"/>
      <c r="P2217" s="143"/>
      <c r="Q2217" s="137"/>
      <c r="R2217" s="137"/>
      <c r="S2217" s="137"/>
      <c r="T2217" s="137"/>
      <c r="U2217" s="137"/>
      <c r="V2217" s="137"/>
      <c r="W2217" s="137"/>
      <c r="X2217" s="137"/>
      <c r="Y2217" s="137"/>
      <c r="Z2217" s="137"/>
      <c r="AA2217" s="137"/>
    </row>
    <row r="2218" spans="5:27" x14ac:dyDescent="0.35">
      <c r="E2218" s="137"/>
      <c r="F2218" s="137"/>
      <c r="G2218" s="190"/>
      <c r="H2218" s="137"/>
      <c r="I2218" s="137"/>
      <c r="J2218" s="137"/>
      <c r="M2218" s="143"/>
      <c r="N2218" s="143"/>
      <c r="O2218" s="143"/>
      <c r="P2218" s="143"/>
      <c r="Q2218" s="137"/>
      <c r="R2218" s="137"/>
      <c r="S2218" s="137"/>
      <c r="T2218" s="137"/>
      <c r="U2218" s="137"/>
      <c r="V2218" s="137"/>
      <c r="W2218" s="137"/>
      <c r="X2218" s="137"/>
      <c r="Y2218" s="137"/>
      <c r="Z2218" s="137"/>
      <c r="AA2218" s="137"/>
    </row>
    <row r="2219" spans="5:27" x14ac:dyDescent="0.35">
      <c r="E2219" s="137"/>
      <c r="F2219" s="137"/>
      <c r="G2219" s="190"/>
      <c r="H2219" s="137"/>
      <c r="I2219" s="137"/>
      <c r="J2219" s="137"/>
      <c r="M2219" s="143"/>
      <c r="N2219" s="143"/>
      <c r="O2219" s="143"/>
      <c r="P2219" s="143"/>
      <c r="Q2219" s="137"/>
      <c r="R2219" s="137"/>
      <c r="S2219" s="137"/>
      <c r="T2219" s="137"/>
      <c r="U2219" s="137"/>
      <c r="V2219" s="137"/>
      <c r="W2219" s="137"/>
      <c r="X2219" s="137"/>
      <c r="Y2219" s="137"/>
      <c r="Z2219" s="137"/>
      <c r="AA2219" s="137"/>
    </row>
    <row r="2220" spans="5:27" x14ac:dyDescent="0.35">
      <c r="E2220" s="137"/>
      <c r="F2220" s="137"/>
      <c r="G2220" s="190"/>
      <c r="H2220" s="137"/>
      <c r="I2220" s="137"/>
      <c r="J2220" s="137"/>
      <c r="M2220" s="143"/>
      <c r="N2220" s="143"/>
      <c r="O2220" s="143"/>
      <c r="P2220" s="143"/>
      <c r="Q2220" s="137"/>
      <c r="R2220" s="137"/>
      <c r="S2220" s="137"/>
      <c r="T2220" s="137"/>
      <c r="U2220" s="137"/>
      <c r="V2220" s="137"/>
      <c r="W2220" s="137"/>
      <c r="X2220" s="137"/>
      <c r="Y2220" s="137"/>
      <c r="Z2220" s="137"/>
      <c r="AA2220" s="137"/>
    </row>
    <row r="2221" spans="5:27" x14ac:dyDescent="0.35">
      <c r="E2221" s="137"/>
      <c r="F2221" s="137"/>
      <c r="G2221" s="190"/>
      <c r="H2221" s="137"/>
      <c r="I2221" s="137"/>
      <c r="J2221" s="137"/>
      <c r="M2221" s="143"/>
      <c r="N2221" s="143"/>
      <c r="O2221" s="143"/>
      <c r="P2221" s="143"/>
      <c r="Q2221" s="137"/>
      <c r="R2221" s="137"/>
      <c r="S2221" s="137"/>
      <c r="T2221" s="137"/>
      <c r="U2221" s="137"/>
      <c r="V2221" s="137"/>
      <c r="W2221" s="137"/>
      <c r="X2221" s="137"/>
      <c r="Y2221" s="137"/>
      <c r="Z2221" s="137"/>
      <c r="AA2221" s="137"/>
    </row>
    <row r="2222" spans="5:27" x14ac:dyDescent="0.35">
      <c r="E2222" s="137"/>
      <c r="F2222" s="137"/>
      <c r="G2222" s="190"/>
      <c r="H2222" s="137"/>
      <c r="I2222" s="137"/>
      <c r="J2222" s="137"/>
      <c r="M2222" s="143"/>
      <c r="N2222" s="143"/>
      <c r="O2222" s="143"/>
      <c r="P2222" s="143"/>
      <c r="Q2222" s="137"/>
      <c r="R2222" s="137"/>
      <c r="S2222" s="137"/>
      <c r="T2222" s="137"/>
      <c r="U2222" s="137"/>
      <c r="V2222" s="137"/>
      <c r="W2222" s="137"/>
      <c r="X2222" s="137"/>
      <c r="Y2222" s="137"/>
      <c r="Z2222" s="137"/>
      <c r="AA2222" s="137"/>
    </row>
    <row r="2223" spans="5:27" x14ac:dyDescent="0.35">
      <c r="E2223" s="137"/>
      <c r="F2223" s="137"/>
      <c r="G2223" s="190"/>
      <c r="H2223" s="137"/>
      <c r="I2223" s="137"/>
      <c r="J2223" s="137"/>
      <c r="M2223" s="143"/>
      <c r="N2223" s="143"/>
      <c r="O2223" s="143"/>
      <c r="P2223" s="143"/>
      <c r="Q2223" s="137"/>
      <c r="R2223" s="137"/>
      <c r="S2223" s="137"/>
      <c r="T2223" s="137"/>
      <c r="U2223" s="137"/>
      <c r="V2223" s="137"/>
      <c r="W2223" s="137"/>
      <c r="X2223" s="137"/>
      <c r="Y2223" s="137"/>
      <c r="Z2223" s="137"/>
      <c r="AA2223" s="137"/>
    </row>
    <row r="2224" spans="5:27" x14ac:dyDescent="0.35">
      <c r="E2224" s="137"/>
      <c r="F2224" s="137"/>
      <c r="G2224" s="190"/>
      <c r="H2224" s="137"/>
      <c r="I2224" s="137"/>
      <c r="J2224" s="137"/>
      <c r="M2224" s="143"/>
      <c r="N2224" s="143"/>
      <c r="O2224" s="143"/>
      <c r="P2224" s="143"/>
      <c r="Q2224" s="137"/>
      <c r="R2224" s="137"/>
      <c r="S2224" s="137"/>
      <c r="T2224" s="137"/>
      <c r="U2224" s="137"/>
      <c r="V2224" s="137"/>
      <c r="W2224" s="137"/>
      <c r="X2224" s="137"/>
      <c r="Y2224" s="137"/>
      <c r="Z2224" s="137"/>
      <c r="AA2224" s="137"/>
    </row>
    <row r="2225" spans="5:27" x14ac:dyDescent="0.35">
      <c r="E2225" s="137"/>
      <c r="F2225" s="137"/>
      <c r="G2225" s="190"/>
      <c r="H2225" s="137"/>
      <c r="I2225" s="137"/>
      <c r="J2225" s="137"/>
      <c r="M2225" s="143"/>
      <c r="N2225" s="143"/>
      <c r="O2225" s="143"/>
      <c r="P2225" s="143"/>
      <c r="Q2225" s="137"/>
      <c r="R2225" s="137"/>
      <c r="S2225" s="137"/>
      <c r="T2225" s="137"/>
      <c r="U2225" s="137"/>
      <c r="V2225" s="137"/>
      <c r="W2225" s="137"/>
      <c r="X2225" s="137"/>
      <c r="Y2225" s="137"/>
      <c r="Z2225" s="137"/>
      <c r="AA2225" s="137"/>
    </row>
    <row r="2226" spans="5:27" x14ac:dyDescent="0.35">
      <c r="E2226" s="137"/>
      <c r="F2226" s="137"/>
      <c r="G2226" s="190"/>
      <c r="H2226" s="137"/>
      <c r="I2226" s="137"/>
      <c r="J2226" s="137"/>
      <c r="M2226" s="143"/>
      <c r="N2226" s="143"/>
      <c r="O2226" s="143"/>
      <c r="P2226" s="143"/>
      <c r="Q2226" s="137"/>
      <c r="R2226" s="137"/>
      <c r="S2226" s="137"/>
      <c r="T2226" s="137"/>
      <c r="U2226" s="137"/>
      <c r="V2226" s="137"/>
      <c r="W2226" s="137"/>
      <c r="X2226" s="137"/>
      <c r="Y2226" s="137"/>
      <c r="Z2226" s="137"/>
      <c r="AA2226" s="137"/>
    </row>
    <row r="2227" spans="5:27" x14ac:dyDescent="0.35">
      <c r="E2227" s="137"/>
      <c r="F2227" s="137"/>
      <c r="G2227" s="190"/>
      <c r="H2227" s="137"/>
      <c r="I2227" s="137"/>
      <c r="J2227" s="137"/>
      <c r="M2227" s="143"/>
      <c r="N2227" s="143"/>
      <c r="O2227" s="143"/>
      <c r="P2227" s="143"/>
      <c r="Q2227" s="137"/>
      <c r="R2227" s="137"/>
      <c r="S2227" s="137"/>
      <c r="T2227" s="137"/>
      <c r="U2227" s="137"/>
      <c r="V2227" s="137"/>
      <c r="W2227" s="137"/>
      <c r="X2227" s="137"/>
      <c r="Y2227" s="137"/>
      <c r="Z2227" s="137"/>
      <c r="AA2227" s="137"/>
    </row>
    <row r="2228" spans="5:27" x14ac:dyDescent="0.35">
      <c r="E2228" s="137"/>
      <c r="F2228" s="137"/>
      <c r="G2228" s="190"/>
      <c r="H2228" s="137"/>
      <c r="I2228" s="137"/>
      <c r="J2228" s="137"/>
      <c r="M2228" s="143"/>
      <c r="N2228" s="143"/>
      <c r="O2228" s="143"/>
      <c r="P2228" s="143"/>
      <c r="Q2228" s="137"/>
      <c r="R2228" s="137"/>
      <c r="S2228" s="137"/>
      <c r="T2228" s="137"/>
      <c r="U2228" s="137"/>
      <c r="V2228" s="137"/>
      <c r="W2228" s="137"/>
      <c r="X2228" s="137"/>
      <c r="Y2228" s="137"/>
      <c r="Z2228" s="137"/>
      <c r="AA2228" s="137"/>
    </row>
    <row r="2229" spans="5:27" x14ac:dyDescent="0.35">
      <c r="E2229" s="137"/>
      <c r="F2229" s="137"/>
      <c r="G2229" s="190"/>
      <c r="H2229" s="137"/>
      <c r="I2229" s="137"/>
      <c r="J2229" s="137"/>
      <c r="M2229" s="143"/>
      <c r="N2229" s="143"/>
      <c r="O2229" s="143"/>
      <c r="P2229" s="143"/>
      <c r="Q2229" s="137"/>
      <c r="R2229" s="137"/>
      <c r="S2229" s="137"/>
      <c r="T2229" s="137"/>
      <c r="U2229" s="137"/>
      <c r="V2229" s="137"/>
      <c r="W2229" s="137"/>
      <c r="X2229" s="137"/>
      <c r="Y2229" s="137"/>
      <c r="Z2229" s="137"/>
      <c r="AA2229" s="137"/>
    </row>
    <row r="2230" spans="5:27" x14ac:dyDescent="0.35">
      <c r="E2230" s="137"/>
      <c r="F2230" s="137"/>
      <c r="G2230" s="190"/>
      <c r="H2230" s="137"/>
      <c r="I2230" s="137"/>
      <c r="J2230" s="137"/>
      <c r="M2230" s="143"/>
      <c r="N2230" s="143"/>
      <c r="O2230" s="143"/>
      <c r="P2230" s="143"/>
      <c r="Q2230" s="137"/>
      <c r="R2230" s="137"/>
      <c r="S2230" s="137"/>
      <c r="T2230" s="137"/>
      <c r="U2230" s="137"/>
      <c r="V2230" s="137"/>
      <c r="W2230" s="137"/>
      <c r="X2230" s="137"/>
      <c r="Y2230" s="137"/>
      <c r="Z2230" s="137"/>
      <c r="AA2230" s="137"/>
    </row>
    <row r="2231" spans="5:27" x14ac:dyDescent="0.35">
      <c r="E2231" s="137"/>
      <c r="F2231" s="137"/>
      <c r="G2231" s="190"/>
      <c r="H2231" s="137"/>
      <c r="I2231" s="137"/>
      <c r="J2231" s="137"/>
      <c r="M2231" s="143"/>
      <c r="N2231" s="143"/>
      <c r="O2231" s="143"/>
      <c r="P2231" s="143"/>
      <c r="Q2231" s="137"/>
      <c r="R2231" s="137"/>
      <c r="S2231" s="137"/>
      <c r="T2231" s="137"/>
      <c r="U2231" s="137"/>
      <c r="V2231" s="137"/>
      <c r="W2231" s="137"/>
      <c r="X2231" s="137"/>
      <c r="Y2231" s="137"/>
      <c r="Z2231" s="137"/>
      <c r="AA2231" s="137"/>
    </row>
    <row r="2232" spans="5:27" x14ac:dyDescent="0.35">
      <c r="E2232" s="137"/>
      <c r="F2232" s="137"/>
      <c r="G2232" s="190"/>
      <c r="H2232" s="137"/>
      <c r="I2232" s="137"/>
      <c r="J2232" s="137"/>
      <c r="M2232" s="143"/>
      <c r="N2232" s="143"/>
      <c r="O2232" s="143"/>
      <c r="P2232" s="143"/>
      <c r="Q2232" s="137"/>
      <c r="R2232" s="137"/>
      <c r="S2232" s="137"/>
      <c r="T2232" s="137"/>
      <c r="U2232" s="137"/>
      <c r="V2232" s="137"/>
      <c r="W2232" s="137"/>
      <c r="X2232" s="137"/>
      <c r="Y2232" s="137"/>
      <c r="Z2232" s="137"/>
      <c r="AA2232" s="137"/>
    </row>
    <row r="2233" spans="5:27" x14ac:dyDescent="0.35">
      <c r="E2233" s="137"/>
      <c r="F2233" s="137"/>
      <c r="G2233" s="190"/>
      <c r="H2233" s="137"/>
      <c r="I2233" s="137"/>
      <c r="J2233" s="137"/>
      <c r="M2233" s="143"/>
      <c r="N2233" s="143"/>
      <c r="O2233" s="143"/>
      <c r="P2233" s="143"/>
      <c r="Q2233" s="137"/>
      <c r="R2233" s="137"/>
      <c r="S2233" s="137"/>
      <c r="T2233" s="137"/>
      <c r="U2233" s="137"/>
      <c r="V2233" s="137"/>
      <c r="W2233" s="137"/>
      <c r="X2233" s="137"/>
      <c r="Y2233" s="137"/>
      <c r="Z2233" s="137"/>
      <c r="AA2233" s="137"/>
    </row>
    <row r="2234" spans="5:27" x14ac:dyDescent="0.35">
      <c r="E2234" s="137"/>
      <c r="F2234" s="137"/>
      <c r="G2234" s="190"/>
      <c r="H2234" s="137"/>
      <c r="I2234" s="137"/>
      <c r="J2234" s="137"/>
      <c r="M2234" s="143"/>
      <c r="N2234" s="143"/>
      <c r="O2234" s="143"/>
      <c r="P2234" s="143"/>
      <c r="Q2234" s="137"/>
      <c r="R2234" s="137"/>
      <c r="S2234" s="137"/>
      <c r="T2234" s="137"/>
      <c r="U2234" s="137"/>
      <c r="V2234" s="137"/>
      <c r="W2234" s="137"/>
      <c r="X2234" s="137"/>
      <c r="Y2234" s="137"/>
      <c r="Z2234" s="137"/>
      <c r="AA2234" s="137"/>
    </row>
    <row r="2235" spans="5:27" x14ac:dyDescent="0.35">
      <c r="E2235" s="137"/>
      <c r="F2235" s="137"/>
      <c r="G2235" s="190"/>
      <c r="H2235" s="137"/>
      <c r="I2235" s="137"/>
      <c r="J2235" s="137"/>
      <c r="M2235" s="143"/>
      <c r="N2235" s="143"/>
      <c r="O2235" s="143"/>
      <c r="P2235" s="143"/>
      <c r="Q2235" s="137"/>
      <c r="R2235" s="137"/>
      <c r="S2235" s="137"/>
      <c r="T2235" s="137"/>
      <c r="U2235" s="137"/>
      <c r="V2235" s="137"/>
      <c r="W2235" s="137"/>
      <c r="X2235" s="137"/>
      <c r="Y2235" s="137"/>
      <c r="Z2235" s="137"/>
      <c r="AA2235" s="137"/>
    </row>
    <row r="2236" spans="5:27" x14ac:dyDescent="0.35">
      <c r="E2236" s="137"/>
      <c r="F2236" s="137"/>
      <c r="G2236" s="190"/>
      <c r="H2236" s="137"/>
      <c r="I2236" s="137"/>
      <c r="J2236" s="137"/>
      <c r="M2236" s="143"/>
      <c r="N2236" s="143"/>
      <c r="O2236" s="143"/>
      <c r="P2236" s="143"/>
      <c r="Q2236" s="137"/>
      <c r="R2236" s="137"/>
      <c r="S2236" s="137"/>
      <c r="T2236" s="137"/>
      <c r="U2236" s="137"/>
      <c r="V2236" s="137"/>
      <c r="W2236" s="137"/>
      <c r="X2236" s="137"/>
      <c r="Y2236" s="137"/>
      <c r="Z2236" s="137"/>
      <c r="AA2236" s="137"/>
    </row>
    <row r="2237" spans="5:27" x14ac:dyDescent="0.35">
      <c r="E2237" s="137"/>
      <c r="F2237" s="137"/>
      <c r="G2237" s="190"/>
      <c r="H2237" s="137"/>
      <c r="I2237" s="137"/>
      <c r="J2237" s="137"/>
      <c r="M2237" s="143"/>
      <c r="N2237" s="143"/>
      <c r="O2237" s="143"/>
      <c r="P2237" s="143"/>
      <c r="Q2237" s="137"/>
      <c r="R2237" s="137"/>
      <c r="S2237" s="137"/>
      <c r="T2237" s="137"/>
      <c r="U2237" s="137"/>
      <c r="V2237" s="137"/>
      <c r="W2237" s="137"/>
      <c r="X2237" s="137"/>
      <c r="Y2237" s="137"/>
      <c r="Z2237" s="137"/>
      <c r="AA2237" s="137"/>
    </row>
    <row r="2238" spans="5:27" x14ac:dyDescent="0.35">
      <c r="E2238" s="137"/>
      <c r="F2238" s="137"/>
      <c r="G2238" s="190"/>
      <c r="H2238" s="137"/>
      <c r="I2238" s="137"/>
      <c r="J2238" s="137"/>
      <c r="M2238" s="143"/>
      <c r="N2238" s="143"/>
      <c r="O2238" s="143"/>
      <c r="P2238" s="143"/>
      <c r="Q2238" s="137"/>
      <c r="R2238" s="137"/>
      <c r="S2238" s="137"/>
      <c r="T2238" s="137"/>
      <c r="U2238" s="137"/>
      <c r="V2238" s="137"/>
      <c r="W2238" s="137"/>
      <c r="X2238" s="137"/>
      <c r="Y2238" s="137"/>
      <c r="Z2238" s="137"/>
      <c r="AA2238" s="137"/>
    </row>
    <row r="2239" spans="5:27" x14ac:dyDescent="0.35">
      <c r="E2239" s="137"/>
      <c r="F2239" s="137"/>
      <c r="G2239" s="190"/>
      <c r="H2239" s="137"/>
      <c r="I2239" s="137"/>
      <c r="J2239" s="137"/>
      <c r="M2239" s="143"/>
      <c r="N2239" s="143"/>
      <c r="O2239" s="143"/>
      <c r="P2239" s="143"/>
      <c r="Q2239" s="137"/>
      <c r="R2239" s="137"/>
      <c r="S2239" s="137"/>
      <c r="T2239" s="137"/>
      <c r="U2239" s="137"/>
      <c r="V2239" s="137"/>
      <c r="W2239" s="137"/>
      <c r="X2239" s="137"/>
      <c r="Y2239" s="137"/>
      <c r="Z2239" s="137"/>
      <c r="AA2239" s="137"/>
    </row>
    <row r="2240" spans="5:27" x14ac:dyDescent="0.35">
      <c r="E2240" s="137"/>
      <c r="F2240" s="137"/>
      <c r="G2240" s="190"/>
      <c r="H2240" s="137"/>
      <c r="I2240" s="137"/>
      <c r="J2240" s="137"/>
      <c r="M2240" s="143"/>
      <c r="N2240" s="143"/>
      <c r="O2240" s="143"/>
      <c r="P2240" s="143"/>
      <c r="Q2240" s="137"/>
      <c r="R2240" s="137"/>
      <c r="S2240" s="137"/>
      <c r="T2240" s="137"/>
      <c r="U2240" s="137"/>
      <c r="V2240" s="137"/>
      <c r="W2240" s="137"/>
      <c r="X2240" s="137"/>
      <c r="Y2240" s="137"/>
      <c r="Z2240" s="137"/>
      <c r="AA2240" s="137"/>
    </row>
    <row r="2241" spans="5:27" x14ac:dyDescent="0.35">
      <c r="E2241" s="137"/>
      <c r="F2241" s="137"/>
      <c r="G2241" s="190"/>
      <c r="H2241" s="137"/>
      <c r="I2241" s="137"/>
      <c r="J2241" s="137"/>
      <c r="M2241" s="143"/>
      <c r="N2241" s="143"/>
      <c r="O2241" s="143"/>
      <c r="P2241" s="143"/>
      <c r="Q2241" s="137"/>
      <c r="R2241" s="137"/>
      <c r="S2241" s="137"/>
      <c r="T2241" s="137"/>
      <c r="U2241" s="137"/>
      <c r="V2241" s="137"/>
      <c r="W2241" s="137"/>
      <c r="X2241" s="137"/>
      <c r="Y2241" s="137"/>
      <c r="Z2241" s="137"/>
      <c r="AA2241" s="137"/>
    </row>
    <row r="2242" spans="5:27" x14ac:dyDescent="0.35">
      <c r="E2242" s="137"/>
      <c r="F2242" s="137"/>
      <c r="G2242" s="190"/>
      <c r="H2242" s="137"/>
      <c r="I2242" s="137"/>
      <c r="J2242" s="137"/>
      <c r="M2242" s="143"/>
      <c r="N2242" s="143"/>
      <c r="O2242" s="143"/>
      <c r="P2242" s="143"/>
      <c r="Q2242" s="137"/>
      <c r="R2242" s="137"/>
      <c r="S2242" s="137"/>
      <c r="T2242" s="137"/>
      <c r="U2242" s="137"/>
      <c r="V2242" s="137"/>
      <c r="W2242" s="137"/>
      <c r="X2242" s="137"/>
      <c r="Y2242" s="137"/>
      <c r="Z2242" s="137"/>
      <c r="AA2242" s="137"/>
    </row>
    <row r="2243" spans="5:27" x14ac:dyDescent="0.35">
      <c r="E2243" s="137"/>
      <c r="F2243" s="137"/>
      <c r="G2243" s="190"/>
      <c r="H2243" s="137"/>
      <c r="I2243" s="137"/>
      <c r="J2243" s="137"/>
      <c r="M2243" s="143"/>
      <c r="N2243" s="143"/>
      <c r="O2243" s="143"/>
      <c r="P2243" s="143"/>
      <c r="Q2243" s="137"/>
      <c r="R2243" s="137"/>
      <c r="S2243" s="137"/>
      <c r="T2243" s="137"/>
      <c r="U2243" s="137"/>
      <c r="V2243" s="137"/>
      <c r="W2243" s="137"/>
      <c r="X2243" s="137"/>
      <c r="Y2243" s="137"/>
      <c r="Z2243" s="137"/>
      <c r="AA2243" s="137"/>
    </row>
    <row r="2244" spans="5:27" x14ac:dyDescent="0.35">
      <c r="E2244" s="137"/>
      <c r="F2244" s="137"/>
      <c r="G2244" s="190"/>
      <c r="H2244" s="137"/>
      <c r="I2244" s="137"/>
      <c r="J2244" s="137"/>
      <c r="M2244" s="143"/>
      <c r="N2244" s="143"/>
      <c r="O2244" s="143"/>
      <c r="P2244" s="143"/>
      <c r="Q2244" s="137"/>
      <c r="R2244" s="137"/>
      <c r="S2244" s="137"/>
      <c r="T2244" s="137"/>
      <c r="U2244" s="137"/>
      <c r="V2244" s="137"/>
      <c r="W2244" s="137"/>
      <c r="X2244" s="137"/>
      <c r="Y2244" s="137"/>
      <c r="Z2244" s="137"/>
      <c r="AA2244" s="137"/>
    </row>
    <row r="2245" spans="5:27" x14ac:dyDescent="0.35">
      <c r="E2245" s="137"/>
      <c r="F2245" s="137"/>
      <c r="G2245" s="190"/>
      <c r="H2245" s="137"/>
      <c r="I2245" s="137"/>
      <c r="J2245" s="137"/>
      <c r="M2245" s="143"/>
      <c r="N2245" s="143"/>
      <c r="O2245" s="143"/>
      <c r="P2245" s="143"/>
      <c r="Q2245" s="137"/>
      <c r="R2245" s="137"/>
      <c r="S2245" s="137"/>
      <c r="T2245" s="137"/>
      <c r="U2245" s="137"/>
      <c r="V2245" s="137"/>
      <c r="W2245" s="137"/>
      <c r="X2245" s="137"/>
      <c r="Y2245" s="137"/>
      <c r="Z2245" s="137"/>
      <c r="AA2245" s="137"/>
    </row>
    <row r="2246" spans="5:27" x14ac:dyDescent="0.35">
      <c r="E2246" s="137"/>
      <c r="F2246" s="137"/>
      <c r="G2246" s="190"/>
      <c r="H2246" s="137"/>
      <c r="I2246" s="137"/>
      <c r="J2246" s="137"/>
      <c r="M2246" s="143"/>
      <c r="N2246" s="143"/>
      <c r="O2246" s="143"/>
      <c r="P2246" s="143"/>
      <c r="Q2246" s="137"/>
      <c r="R2246" s="137"/>
      <c r="S2246" s="137"/>
      <c r="T2246" s="137"/>
      <c r="U2246" s="137"/>
      <c r="V2246" s="137"/>
      <c r="W2246" s="137"/>
      <c r="X2246" s="137"/>
      <c r="Y2246" s="137"/>
      <c r="Z2246" s="137"/>
      <c r="AA2246" s="137"/>
    </row>
    <row r="2247" spans="5:27" x14ac:dyDescent="0.35">
      <c r="E2247" s="137"/>
      <c r="F2247" s="137"/>
      <c r="G2247" s="190"/>
      <c r="H2247" s="137"/>
      <c r="I2247" s="137"/>
      <c r="J2247" s="137"/>
      <c r="M2247" s="143"/>
      <c r="N2247" s="143"/>
      <c r="O2247" s="143"/>
      <c r="P2247" s="143"/>
      <c r="Q2247" s="137"/>
      <c r="R2247" s="137"/>
      <c r="S2247" s="137"/>
      <c r="T2247" s="137"/>
      <c r="U2247" s="137"/>
      <c r="V2247" s="137"/>
      <c r="W2247" s="137"/>
      <c r="X2247" s="137"/>
      <c r="Y2247" s="137"/>
      <c r="Z2247" s="137"/>
      <c r="AA2247" s="137"/>
    </row>
    <row r="2248" spans="5:27" x14ac:dyDescent="0.35">
      <c r="E2248" s="137"/>
      <c r="F2248" s="137"/>
      <c r="G2248" s="190"/>
      <c r="H2248" s="137"/>
      <c r="I2248" s="137"/>
      <c r="J2248" s="137"/>
      <c r="M2248" s="143"/>
      <c r="N2248" s="143"/>
      <c r="O2248" s="143"/>
      <c r="P2248" s="143"/>
      <c r="Q2248" s="137"/>
      <c r="R2248" s="137"/>
      <c r="S2248" s="137"/>
      <c r="T2248" s="137"/>
      <c r="U2248" s="137"/>
      <c r="V2248" s="137"/>
      <c r="W2248" s="137"/>
      <c r="X2248" s="137"/>
      <c r="Y2248" s="137"/>
      <c r="Z2248" s="137"/>
      <c r="AA2248" s="137"/>
    </row>
    <row r="2249" spans="5:27" x14ac:dyDescent="0.35">
      <c r="E2249" s="137"/>
      <c r="F2249" s="137"/>
      <c r="G2249" s="190"/>
      <c r="H2249" s="137"/>
      <c r="I2249" s="137"/>
      <c r="J2249" s="137"/>
      <c r="M2249" s="143"/>
      <c r="N2249" s="143"/>
      <c r="O2249" s="143"/>
      <c r="P2249" s="143"/>
      <c r="Q2249" s="137"/>
      <c r="R2249" s="137"/>
      <c r="S2249" s="137"/>
      <c r="T2249" s="137"/>
      <c r="U2249" s="137"/>
      <c r="V2249" s="137"/>
      <c r="W2249" s="137"/>
      <c r="X2249" s="137"/>
      <c r="Y2249" s="137"/>
      <c r="Z2249" s="137"/>
      <c r="AA2249" s="137"/>
    </row>
    <row r="2250" spans="5:27" x14ac:dyDescent="0.35">
      <c r="E2250" s="137"/>
      <c r="F2250" s="137"/>
      <c r="G2250" s="190"/>
      <c r="H2250" s="137"/>
      <c r="I2250" s="137"/>
      <c r="J2250" s="137"/>
      <c r="M2250" s="143"/>
      <c r="N2250" s="143"/>
      <c r="O2250" s="143"/>
      <c r="P2250" s="143"/>
      <c r="Q2250" s="137"/>
      <c r="R2250" s="137"/>
      <c r="S2250" s="137"/>
      <c r="T2250" s="137"/>
      <c r="U2250" s="137"/>
      <c r="V2250" s="137"/>
      <c r="W2250" s="137"/>
      <c r="X2250" s="137"/>
      <c r="Y2250" s="137"/>
      <c r="Z2250" s="137"/>
      <c r="AA2250" s="137"/>
    </row>
    <row r="2251" spans="5:27" x14ac:dyDescent="0.35">
      <c r="E2251" s="137"/>
      <c r="F2251" s="137"/>
      <c r="G2251" s="190"/>
      <c r="H2251" s="137"/>
      <c r="I2251" s="137"/>
      <c r="J2251" s="137"/>
      <c r="M2251" s="143"/>
      <c r="N2251" s="143"/>
      <c r="O2251" s="143"/>
      <c r="P2251" s="143"/>
      <c r="Q2251" s="137"/>
      <c r="R2251" s="137"/>
      <c r="S2251" s="137"/>
      <c r="T2251" s="137"/>
      <c r="U2251" s="137"/>
      <c r="V2251" s="137"/>
      <c r="W2251" s="137"/>
      <c r="X2251" s="137"/>
      <c r="Y2251" s="137"/>
      <c r="Z2251" s="137"/>
      <c r="AA2251" s="137"/>
    </row>
    <row r="2252" spans="5:27" x14ac:dyDescent="0.35">
      <c r="E2252" s="137"/>
      <c r="F2252" s="137"/>
      <c r="G2252" s="190"/>
      <c r="H2252" s="137"/>
      <c r="I2252" s="137"/>
      <c r="J2252" s="137"/>
      <c r="M2252" s="143"/>
      <c r="N2252" s="143"/>
      <c r="O2252" s="143"/>
      <c r="P2252" s="143"/>
      <c r="Q2252" s="137"/>
      <c r="R2252" s="137"/>
      <c r="S2252" s="137"/>
      <c r="T2252" s="137"/>
      <c r="U2252" s="137"/>
      <c r="V2252" s="137"/>
      <c r="W2252" s="137"/>
      <c r="X2252" s="137"/>
      <c r="Y2252" s="137"/>
      <c r="Z2252" s="137"/>
      <c r="AA2252" s="137"/>
    </row>
    <row r="2253" spans="5:27" x14ac:dyDescent="0.35">
      <c r="E2253" s="137"/>
      <c r="F2253" s="137"/>
      <c r="G2253" s="190"/>
      <c r="H2253" s="137"/>
      <c r="I2253" s="137"/>
      <c r="J2253" s="137"/>
      <c r="M2253" s="143"/>
      <c r="N2253" s="143"/>
      <c r="O2253" s="143"/>
      <c r="P2253" s="143"/>
      <c r="Q2253" s="137"/>
      <c r="R2253" s="137"/>
      <c r="S2253" s="137"/>
      <c r="T2253" s="137"/>
      <c r="U2253" s="137"/>
      <c r="V2253" s="137"/>
      <c r="W2253" s="137"/>
      <c r="X2253" s="137"/>
      <c r="Y2253" s="137"/>
      <c r="Z2253" s="137"/>
      <c r="AA2253" s="137"/>
    </row>
    <row r="2254" spans="5:27" x14ac:dyDescent="0.35">
      <c r="E2254" s="137"/>
      <c r="F2254" s="137"/>
      <c r="G2254" s="190"/>
      <c r="H2254" s="137"/>
      <c r="I2254" s="137"/>
      <c r="J2254" s="137"/>
      <c r="M2254" s="143"/>
      <c r="N2254" s="143"/>
      <c r="O2254" s="143"/>
      <c r="P2254" s="143"/>
      <c r="Q2254" s="137"/>
      <c r="R2254" s="137"/>
      <c r="S2254" s="137"/>
      <c r="T2254" s="137"/>
      <c r="U2254" s="137"/>
      <c r="V2254" s="137"/>
      <c r="W2254" s="137"/>
      <c r="X2254" s="137"/>
      <c r="Y2254" s="137"/>
      <c r="Z2254" s="137"/>
      <c r="AA2254" s="137"/>
    </row>
    <row r="2255" spans="5:27" x14ac:dyDescent="0.35">
      <c r="E2255" s="137"/>
      <c r="F2255" s="137"/>
      <c r="G2255" s="190"/>
      <c r="H2255" s="137"/>
      <c r="I2255" s="137"/>
      <c r="J2255" s="137"/>
      <c r="M2255" s="143"/>
      <c r="N2255" s="143"/>
      <c r="O2255" s="143"/>
      <c r="P2255" s="143"/>
      <c r="Q2255" s="137"/>
      <c r="R2255" s="137"/>
      <c r="S2255" s="137"/>
      <c r="T2255" s="137"/>
      <c r="U2255" s="137"/>
      <c r="V2255" s="137"/>
      <c r="W2255" s="137"/>
      <c r="X2255" s="137"/>
      <c r="Y2255" s="137"/>
      <c r="Z2255" s="137"/>
      <c r="AA2255" s="137"/>
    </row>
    <row r="2256" spans="5:27" x14ac:dyDescent="0.35">
      <c r="E2256" s="137"/>
      <c r="F2256" s="137"/>
      <c r="G2256" s="190"/>
      <c r="H2256" s="137"/>
      <c r="I2256" s="137"/>
      <c r="J2256" s="137"/>
      <c r="M2256" s="143"/>
      <c r="N2256" s="143"/>
      <c r="O2256" s="143"/>
      <c r="P2256" s="143"/>
      <c r="Q2256" s="137"/>
      <c r="R2256" s="137"/>
      <c r="S2256" s="137"/>
      <c r="T2256" s="137"/>
      <c r="U2256" s="137"/>
      <c r="V2256" s="137"/>
      <c r="W2256" s="137"/>
      <c r="X2256" s="137"/>
      <c r="Y2256" s="137"/>
      <c r="Z2256" s="137"/>
      <c r="AA2256" s="137"/>
    </row>
    <row r="2257" spans="5:27" x14ac:dyDescent="0.35">
      <c r="E2257" s="137"/>
      <c r="F2257" s="137"/>
      <c r="G2257" s="190"/>
      <c r="H2257" s="137"/>
      <c r="I2257" s="137"/>
      <c r="J2257" s="137"/>
      <c r="M2257" s="143"/>
      <c r="N2257" s="143"/>
      <c r="O2257" s="143"/>
      <c r="P2257" s="143"/>
      <c r="Q2257" s="137"/>
      <c r="R2257" s="137"/>
      <c r="S2257" s="137"/>
      <c r="T2257" s="137"/>
      <c r="U2257" s="137"/>
      <c r="V2257" s="137"/>
      <c r="W2257" s="137"/>
      <c r="X2257" s="137"/>
      <c r="Y2257" s="137"/>
      <c r="Z2257" s="137"/>
      <c r="AA2257" s="137"/>
    </row>
    <row r="2258" spans="5:27" x14ac:dyDescent="0.35">
      <c r="E2258" s="137"/>
      <c r="F2258" s="137"/>
      <c r="G2258" s="190"/>
      <c r="H2258" s="137"/>
      <c r="I2258" s="137"/>
      <c r="J2258" s="137"/>
      <c r="M2258" s="143"/>
      <c r="N2258" s="143"/>
      <c r="O2258" s="143"/>
      <c r="P2258" s="143"/>
      <c r="Q2258" s="137"/>
      <c r="R2258" s="137"/>
      <c r="S2258" s="137"/>
      <c r="T2258" s="137"/>
      <c r="U2258" s="137"/>
      <c r="V2258" s="137"/>
      <c r="W2258" s="137"/>
      <c r="X2258" s="137"/>
      <c r="Y2258" s="137"/>
      <c r="Z2258" s="137"/>
      <c r="AA2258" s="137"/>
    </row>
    <row r="2259" spans="5:27" x14ac:dyDescent="0.35">
      <c r="E2259" s="137"/>
      <c r="F2259" s="137"/>
      <c r="G2259" s="190"/>
      <c r="H2259" s="137"/>
      <c r="I2259" s="137"/>
      <c r="J2259" s="137"/>
      <c r="M2259" s="143"/>
      <c r="N2259" s="143"/>
      <c r="O2259" s="143"/>
      <c r="P2259" s="143"/>
      <c r="Q2259" s="137"/>
      <c r="R2259" s="137"/>
      <c r="S2259" s="137"/>
      <c r="T2259" s="137"/>
      <c r="U2259" s="137"/>
      <c r="V2259" s="137"/>
      <c r="W2259" s="137"/>
      <c r="X2259" s="137"/>
      <c r="Y2259" s="137"/>
      <c r="Z2259" s="137"/>
      <c r="AA2259" s="137"/>
    </row>
    <row r="2260" spans="5:27" x14ac:dyDescent="0.35">
      <c r="E2260" s="137"/>
      <c r="F2260" s="137"/>
      <c r="G2260" s="190"/>
      <c r="H2260" s="137"/>
      <c r="I2260" s="137"/>
      <c r="J2260" s="137"/>
      <c r="M2260" s="143"/>
      <c r="N2260" s="143"/>
      <c r="O2260" s="143"/>
      <c r="P2260" s="143"/>
      <c r="Q2260" s="137"/>
      <c r="R2260" s="137"/>
      <c r="S2260" s="137"/>
      <c r="T2260" s="137"/>
      <c r="U2260" s="137"/>
      <c r="V2260" s="137"/>
      <c r="W2260" s="137"/>
      <c r="X2260" s="137"/>
      <c r="Y2260" s="137"/>
      <c r="Z2260" s="137"/>
      <c r="AA2260" s="137"/>
    </row>
    <row r="2261" spans="5:27" x14ac:dyDescent="0.35">
      <c r="E2261" s="137"/>
      <c r="F2261" s="137"/>
      <c r="G2261" s="190"/>
      <c r="H2261" s="137"/>
      <c r="I2261" s="137"/>
      <c r="J2261" s="137"/>
      <c r="M2261" s="143"/>
      <c r="N2261" s="143"/>
      <c r="O2261" s="143"/>
      <c r="P2261" s="143"/>
      <c r="Q2261" s="137"/>
      <c r="R2261" s="137"/>
      <c r="S2261" s="137"/>
      <c r="T2261" s="137"/>
      <c r="U2261" s="137"/>
      <c r="V2261" s="137"/>
      <c r="W2261" s="137"/>
      <c r="X2261" s="137"/>
      <c r="Y2261" s="137"/>
      <c r="Z2261" s="137"/>
      <c r="AA2261" s="137"/>
    </row>
    <row r="2262" spans="5:27" x14ac:dyDescent="0.35">
      <c r="E2262" s="137"/>
      <c r="F2262" s="137"/>
      <c r="G2262" s="190"/>
      <c r="H2262" s="137"/>
      <c r="I2262" s="137"/>
      <c r="J2262" s="137"/>
      <c r="M2262" s="143"/>
      <c r="N2262" s="143"/>
      <c r="O2262" s="143"/>
      <c r="P2262" s="143"/>
      <c r="Q2262" s="137"/>
      <c r="R2262" s="137"/>
      <c r="S2262" s="137"/>
      <c r="T2262" s="137"/>
      <c r="U2262" s="137"/>
      <c r="V2262" s="137"/>
      <c r="W2262" s="137"/>
      <c r="X2262" s="137"/>
      <c r="Y2262" s="137"/>
      <c r="Z2262" s="137"/>
      <c r="AA2262" s="137"/>
    </row>
    <row r="2263" spans="5:27" x14ac:dyDescent="0.35">
      <c r="E2263" s="137"/>
      <c r="F2263" s="137"/>
      <c r="G2263" s="190"/>
      <c r="H2263" s="137"/>
      <c r="I2263" s="137"/>
      <c r="J2263" s="137"/>
      <c r="M2263" s="143"/>
      <c r="N2263" s="143"/>
      <c r="O2263" s="143"/>
      <c r="P2263" s="143"/>
      <c r="Q2263" s="137"/>
      <c r="R2263" s="137"/>
      <c r="S2263" s="137"/>
      <c r="T2263" s="137"/>
      <c r="U2263" s="137"/>
      <c r="V2263" s="137"/>
      <c r="W2263" s="137"/>
      <c r="X2263" s="137"/>
      <c r="Y2263" s="137"/>
      <c r="Z2263" s="137"/>
      <c r="AA2263" s="137"/>
    </row>
    <row r="2264" spans="5:27" x14ac:dyDescent="0.35">
      <c r="E2264" s="137"/>
      <c r="F2264" s="137"/>
      <c r="G2264" s="190"/>
      <c r="H2264" s="137"/>
      <c r="I2264" s="137"/>
      <c r="J2264" s="137"/>
      <c r="M2264" s="143"/>
      <c r="N2264" s="143"/>
      <c r="O2264" s="143"/>
      <c r="P2264" s="143"/>
      <c r="Q2264" s="137"/>
      <c r="R2264" s="137"/>
      <c r="S2264" s="137"/>
      <c r="T2264" s="137"/>
      <c r="U2264" s="137"/>
      <c r="V2264" s="137"/>
      <c r="W2264" s="137"/>
      <c r="X2264" s="137"/>
      <c r="Y2264" s="137"/>
      <c r="Z2264" s="137"/>
      <c r="AA2264" s="137"/>
    </row>
    <row r="2265" spans="5:27" x14ac:dyDescent="0.35">
      <c r="E2265" s="137"/>
      <c r="F2265" s="137"/>
      <c r="G2265" s="190"/>
      <c r="H2265" s="137"/>
      <c r="I2265" s="137"/>
      <c r="J2265" s="137"/>
      <c r="M2265" s="143"/>
      <c r="N2265" s="143"/>
      <c r="O2265" s="143"/>
      <c r="P2265" s="143"/>
      <c r="Q2265" s="137"/>
      <c r="R2265" s="137"/>
      <c r="S2265" s="137"/>
      <c r="T2265" s="137"/>
      <c r="U2265" s="137"/>
      <c r="V2265" s="137"/>
      <c r="W2265" s="137"/>
      <c r="X2265" s="137"/>
      <c r="Y2265" s="137"/>
      <c r="Z2265" s="137"/>
      <c r="AA2265" s="137"/>
    </row>
    <row r="2266" spans="5:27" x14ac:dyDescent="0.35">
      <c r="E2266" s="137"/>
      <c r="F2266" s="137"/>
      <c r="G2266" s="190"/>
      <c r="H2266" s="137"/>
      <c r="I2266" s="137"/>
      <c r="J2266" s="137"/>
      <c r="M2266" s="143"/>
      <c r="N2266" s="143"/>
      <c r="O2266" s="143"/>
      <c r="P2266" s="143"/>
      <c r="Q2266" s="137"/>
      <c r="R2266" s="137"/>
      <c r="S2266" s="137"/>
      <c r="T2266" s="137"/>
      <c r="U2266" s="137"/>
      <c r="V2266" s="137"/>
      <c r="W2266" s="137"/>
      <c r="X2266" s="137"/>
      <c r="Y2266" s="137"/>
      <c r="Z2266" s="137"/>
      <c r="AA2266" s="137"/>
    </row>
    <row r="2267" spans="5:27" x14ac:dyDescent="0.35">
      <c r="E2267" s="137"/>
      <c r="F2267" s="137"/>
      <c r="G2267" s="190"/>
      <c r="H2267" s="137"/>
      <c r="I2267" s="137"/>
      <c r="J2267" s="137"/>
      <c r="M2267" s="143"/>
      <c r="N2267" s="143"/>
      <c r="O2267" s="143"/>
      <c r="P2267" s="143"/>
      <c r="Q2267" s="137"/>
      <c r="R2267" s="137"/>
      <c r="S2267" s="137"/>
      <c r="T2267" s="137"/>
      <c r="U2267" s="137"/>
      <c r="V2267" s="137"/>
      <c r="W2267" s="137"/>
      <c r="X2267" s="137"/>
      <c r="Y2267" s="137"/>
      <c r="Z2267" s="137"/>
      <c r="AA2267" s="137"/>
    </row>
    <row r="2268" spans="5:27" x14ac:dyDescent="0.35">
      <c r="E2268" s="137"/>
      <c r="F2268" s="137"/>
      <c r="G2268" s="190"/>
      <c r="H2268" s="137"/>
      <c r="I2268" s="137"/>
      <c r="J2268" s="137"/>
      <c r="M2268" s="143"/>
      <c r="N2268" s="143"/>
      <c r="O2268" s="143"/>
      <c r="P2268" s="143"/>
      <c r="Q2268" s="137"/>
      <c r="R2268" s="137"/>
      <c r="S2268" s="137"/>
      <c r="T2268" s="137"/>
      <c r="U2268" s="137"/>
      <c r="V2268" s="137"/>
      <c r="W2268" s="137"/>
      <c r="X2268" s="137"/>
      <c r="Y2268" s="137"/>
      <c r="Z2268" s="137"/>
      <c r="AA2268" s="137"/>
    </row>
    <row r="2269" spans="5:27" x14ac:dyDescent="0.35">
      <c r="E2269" s="137"/>
      <c r="F2269" s="137"/>
      <c r="G2269" s="190"/>
      <c r="H2269" s="137"/>
      <c r="I2269" s="137"/>
      <c r="J2269" s="137"/>
      <c r="M2269" s="143"/>
      <c r="N2269" s="143"/>
      <c r="O2269" s="143"/>
      <c r="P2269" s="143"/>
      <c r="Q2269" s="137"/>
      <c r="R2269" s="137"/>
      <c r="S2269" s="137"/>
      <c r="T2269" s="137"/>
      <c r="U2269" s="137"/>
      <c r="V2269" s="137"/>
      <c r="W2269" s="137"/>
      <c r="X2269" s="137"/>
      <c r="Y2269" s="137"/>
      <c r="Z2269" s="137"/>
      <c r="AA2269" s="137"/>
    </row>
    <row r="2270" spans="5:27" x14ac:dyDescent="0.35">
      <c r="E2270" s="137"/>
      <c r="F2270" s="137"/>
      <c r="G2270" s="190"/>
      <c r="H2270" s="137"/>
      <c r="I2270" s="137"/>
      <c r="J2270" s="137"/>
      <c r="M2270" s="143"/>
      <c r="N2270" s="143"/>
      <c r="O2270" s="143"/>
      <c r="P2270" s="143"/>
      <c r="Q2270" s="137"/>
      <c r="R2270" s="137"/>
      <c r="S2270" s="137"/>
      <c r="T2270" s="137"/>
      <c r="U2270" s="137"/>
      <c r="V2270" s="137"/>
      <c r="W2270" s="137"/>
      <c r="X2270" s="137"/>
      <c r="Y2270" s="137"/>
      <c r="Z2270" s="137"/>
      <c r="AA2270" s="137"/>
    </row>
    <row r="2271" spans="5:27" x14ac:dyDescent="0.35">
      <c r="E2271" s="137"/>
      <c r="F2271" s="137"/>
      <c r="G2271" s="190"/>
      <c r="H2271" s="137"/>
      <c r="I2271" s="137"/>
      <c r="J2271" s="137"/>
      <c r="M2271" s="143"/>
      <c r="N2271" s="143"/>
      <c r="O2271" s="143"/>
      <c r="P2271" s="143"/>
      <c r="Q2271" s="137"/>
      <c r="R2271" s="137"/>
      <c r="S2271" s="137"/>
      <c r="T2271" s="137"/>
      <c r="U2271" s="137"/>
      <c r="V2271" s="137"/>
      <c r="W2271" s="137"/>
      <c r="X2271" s="137"/>
      <c r="Y2271" s="137"/>
      <c r="Z2271" s="137"/>
      <c r="AA2271" s="137"/>
    </row>
    <row r="2272" spans="5:27" x14ac:dyDescent="0.35">
      <c r="E2272" s="137"/>
      <c r="F2272" s="137"/>
      <c r="G2272" s="190"/>
      <c r="H2272" s="137"/>
      <c r="I2272" s="137"/>
      <c r="J2272" s="137"/>
      <c r="M2272" s="143"/>
      <c r="N2272" s="143"/>
      <c r="O2272" s="143"/>
      <c r="P2272" s="143"/>
      <c r="Q2272" s="137"/>
      <c r="R2272" s="137"/>
      <c r="S2272" s="137"/>
      <c r="T2272" s="137"/>
      <c r="U2272" s="137"/>
      <c r="V2272" s="137"/>
      <c r="W2272" s="137"/>
      <c r="X2272" s="137"/>
      <c r="Y2272" s="137"/>
      <c r="Z2272" s="137"/>
      <c r="AA2272" s="137"/>
    </row>
    <row r="2273" spans="5:27" x14ac:dyDescent="0.35">
      <c r="E2273" s="137"/>
      <c r="F2273" s="137"/>
      <c r="G2273" s="190"/>
      <c r="H2273" s="137"/>
      <c r="I2273" s="137"/>
      <c r="J2273" s="137"/>
      <c r="M2273" s="143"/>
      <c r="N2273" s="143"/>
      <c r="O2273" s="143"/>
      <c r="P2273" s="143"/>
      <c r="Q2273" s="137"/>
      <c r="R2273" s="137"/>
      <c r="S2273" s="137"/>
      <c r="T2273" s="137"/>
      <c r="U2273" s="137"/>
      <c r="V2273" s="137"/>
      <c r="W2273" s="137"/>
      <c r="X2273" s="137"/>
      <c r="Y2273" s="137"/>
      <c r="Z2273" s="137"/>
      <c r="AA2273" s="137"/>
    </row>
    <row r="2274" spans="5:27" x14ac:dyDescent="0.35">
      <c r="E2274" s="137"/>
      <c r="F2274" s="137"/>
      <c r="G2274" s="190"/>
      <c r="H2274" s="137"/>
      <c r="I2274" s="137"/>
      <c r="J2274" s="137"/>
      <c r="M2274" s="143"/>
      <c r="N2274" s="143"/>
      <c r="O2274" s="143"/>
      <c r="P2274" s="143"/>
      <c r="Q2274" s="137"/>
      <c r="R2274" s="137"/>
      <c r="S2274" s="137"/>
      <c r="T2274" s="137"/>
      <c r="U2274" s="137"/>
      <c r="V2274" s="137"/>
      <c r="W2274" s="137"/>
      <c r="X2274" s="137"/>
      <c r="Y2274" s="137"/>
      <c r="Z2274" s="137"/>
      <c r="AA2274" s="137"/>
    </row>
    <row r="2275" spans="5:27" x14ac:dyDescent="0.35">
      <c r="E2275" s="137"/>
      <c r="F2275" s="137"/>
      <c r="G2275" s="190"/>
      <c r="H2275" s="137"/>
      <c r="I2275" s="137"/>
      <c r="J2275" s="137"/>
      <c r="M2275" s="143"/>
      <c r="N2275" s="143"/>
      <c r="O2275" s="143"/>
      <c r="P2275" s="143"/>
      <c r="Q2275" s="137"/>
      <c r="R2275" s="137"/>
      <c r="S2275" s="137"/>
      <c r="T2275" s="137"/>
      <c r="U2275" s="137"/>
      <c r="V2275" s="137"/>
      <c r="W2275" s="137"/>
      <c r="X2275" s="137"/>
      <c r="Y2275" s="137"/>
      <c r="Z2275" s="137"/>
      <c r="AA2275" s="137"/>
    </row>
    <row r="2276" spans="5:27" x14ac:dyDescent="0.35">
      <c r="E2276" s="137"/>
      <c r="F2276" s="137"/>
      <c r="G2276" s="190"/>
      <c r="H2276" s="137"/>
      <c r="I2276" s="137"/>
      <c r="J2276" s="137"/>
      <c r="M2276" s="143"/>
      <c r="N2276" s="143"/>
      <c r="O2276" s="143"/>
      <c r="P2276" s="143"/>
      <c r="Q2276" s="137"/>
      <c r="R2276" s="137"/>
      <c r="S2276" s="137"/>
      <c r="T2276" s="137"/>
      <c r="U2276" s="137"/>
      <c r="V2276" s="137"/>
      <c r="W2276" s="137"/>
      <c r="X2276" s="137"/>
      <c r="Y2276" s="137"/>
      <c r="Z2276" s="137"/>
      <c r="AA2276" s="137"/>
    </row>
    <row r="2277" spans="5:27" x14ac:dyDescent="0.35">
      <c r="E2277" s="137"/>
      <c r="F2277" s="137"/>
      <c r="G2277" s="190"/>
      <c r="H2277" s="137"/>
      <c r="I2277" s="137"/>
      <c r="J2277" s="137"/>
      <c r="M2277" s="143"/>
      <c r="N2277" s="143"/>
      <c r="O2277" s="143"/>
      <c r="P2277" s="143"/>
      <c r="Q2277" s="137"/>
      <c r="R2277" s="137"/>
      <c r="S2277" s="137"/>
      <c r="T2277" s="137"/>
      <c r="U2277" s="137"/>
      <c r="V2277" s="137"/>
      <c r="W2277" s="137"/>
      <c r="X2277" s="137"/>
      <c r="Y2277" s="137"/>
      <c r="Z2277" s="137"/>
      <c r="AA2277" s="137"/>
    </row>
    <row r="2278" spans="5:27" x14ac:dyDescent="0.35">
      <c r="E2278" s="137"/>
      <c r="F2278" s="137"/>
      <c r="G2278" s="190"/>
      <c r="H2278" s="137"/>
      <c r="I2278" s="137"/>
      <c r="J2278" s="137"/>
      <c r="M2278" s="143"/>
      <c r="N2278" s="143"/>
      <c r="O2278" s="143"/>
      <c r="P2278" s="143"/>
      <c r="Q2278" s="137"/>
      <c r="R2278" s="137"/>
      <c r="S2278" s="137"/>
      <c r="T2278" s="137"/>
      <c r="U2278" s="137"/>
      <c r="V2278" s="137"/>
      <c r="W2278" s="137"/>
      <c r="X2278" s="137"/>
      <c r="Y2278" s="137"/>
      <c r="Z2278" s="137"/>
      <c r="AA2278" s="137"/>
    </row>
    <row r="2279" spans="5:27" x14ac:dyDescent="0.35">
      <c r="E2279" s="137"/>
      <c r="F2279" s="137"/>
      <c r="G2279" s="190"/>
      <c r="H2279" s="137"/>
      <c r="I2279" s="137"/>
      <c r="J2279" s="137"/>
      <c r="M2279" s="143"/>
      <c r="N2279" s="143"/>
      <c r="O2279" s="143"/>
      <c r="P2279" s="143"/>
      <c r="Q2279" s="137"/>
      <c r="R2279" s="137"/>
      <c r="S2279" s="137"/>
      <c r="T2279" s="137"/>
      <c r="U2279" s="137"/>
      <c r="V2279" s="137"/>
      <c r="W2279" s="137"/>
      <c r="X2279" s="137"/>
      <c r="Y2279" s="137"/>
      <c r="Z2279" s="137"/>
      <c r="AA2279" s="137"/>
    </row>
    <row r="2280" spans="5:27" x14ac:dyDescent="0.35">
      <c r="E2280" s="137"/>
      <c r="F2280" s="137"/>
      <c r="G2280" s="190"/>
      <c r="H2280" s="137"/>
      <c r="I2280" s="137"/>
      <c r="J2280" s="137"/>
      <c r="M2280" s="143"/>
      <c r="N2280" s="143"/>
      <c r="O2280" s="143"/>
      <c r="P2280" s="143"/>
      <c r="Q2280" s="137"/>
      <c r="R2280" s="137"/>
      <c r="S2280" s="137"/>
      <c r="T2280" s="137"/>
      <c r="U2280" s="137"/>
      <c r="V2280" s="137"/>
      <c r="W2280" s="137"/>
      <c r="X2280" s="137"/>
      <c r="Y2280" s="137"/>
      <c r="Z2280" s="137"/>
      <c r="AA2280" s="137"/>
    </row>
    <row r="2281" spans="5:27" x14ac:dyDescent="0.35">
      <c r="E2281" s="137"/>
      <c r="F2281" s="137"/>
      <c r="G2281" s="190"/>
      <c r="H2281" s="137"/>
      <c r="I2281" s="137"/>
      <c r="J2281" s="137"/>
      <c r="M2281" s="143"/>
      <c r="N2281" s="143"/>
      <c r="O2281" s="143"/>
      <c r="P2281" s="143"/>
      <c r="Q2281" s="137"/>
      <c r="R2281" s="137"/>
      <c r="S2281" s="137"/>
      <c r="T2281" s="137"/>
      <c r="U2281" s="137"/>
      <c r="V2281" s="137"/>
      <c r="W2281" s="137"/>
      <c r="X2281" s="137"/>
      <c r="Y2281" s="137"/>
      <c r="Z2281" s="137"/>
      <c r="AA2281" s="137"/>
    </row>
    <row r="2282" spans="5:27" x14ac:dyDescent="0.35">
      <c r="E2282" s="137"/>
      <c r="F2282" s="137"/>
      <c r="G2282" s="190"/>
      <c r="H2282" s="137"/>
      <c r="I2282" s="137"/>
      <c r="J2282" s="137"/>
      <c r="M2282" s="143"/>
      <c r="N2282" s="143"/>
      <c r="O2282" s="143"/>
      <c r="P2282" s="143"/>
      <c r="Q2282" s="137"/>
      <c r="R2282" s="137"/>
      <c r="S2282" s="137"/>
      <c r="T2282" s="137"/>
      <c r="U2282" s="137"/>
      <c r="V2282" s="137"/>
      <c r="W2282" s="137"/>
      <c r="X2282" s="137"/>
      <c r="Y2282" s="137"/>
      <c r="Z2282" s="137"/>
      <c r="AA2282" s="137"/>
    </row>
    <row r="2283" spans="5:27" x14ac:dyDescent="0.35">
      <c r="E2283" s="137"/>
      <c r="F2283" s="137"/>
      <c r="G2283" s="190"/>
      <c r="H2283" s="137"/>
      <c r="I2283" s="137"/>
      <c r="J2283" s="137"/>
      <c r="M2283" s="143"/>
      <c r="N2283" s="143"/>
      <c r="O2283" s="143"/>
      <c r="P2283" s="143"/>
      <c r="Q2283" s="137"/>
      <c r="R2283" s="137"/>
      <c r="S2283" s="137"/>
      <c r="T2283" s="137"/>
      <c r="U2283" s="137"/>
      <c r="V2283" s="137"/>
      <c r="W2283" s="137"/>
      <c r="X2283" s="137"/>
      <c r="Y2283" s="137"/>
      <c r="Z2283" s="137"/>
      <c r="AA2283" s="137"/>
    </row>
    <row r="2284" spans="5:27" x14ac:dyDescent="0.35">
      <c r="E2284" s="137"/>
      <c r="F2284" s="137"/>
      <c r="G2284" s="190"/>
      <c r="H2284" s="137"/>
      <c r="I2284" s="137"/>
      <c r="J2284" s="137"/>
      <c r="M2284" s="143"/>
      <c r="N2284" s="143"/>
      <c r="O2284" s="143"/>
      <c r="P2284" s="143"/>
      <c r="Q2284" s="137"/>
      <c r="R2284" s="137"/>
      <c r="S2284" s="137"/>
      <c r="T2284" s="137"/>
      <c r="U2284" s="137"/>
      <c r="V2284" s="137"/>
      <c r="W2284" s="137"/>
      <c r="X2284" s="137"/>
      <c r="Y2284" s="137"/>
      <c r="Z2284" s="137"/>
      <c r="AA2284" s="137"/>
    </row>
    <row r="2285" spans="5:27" x14ac:dyDescent="0.35">
      <c r="E2285" s="137"/>
      <c r="F2285" s="137"/>
      <c r="G2285" s="190"/>
      <c r="H2285" s="137"/>
      <c r="I2285" s="137"/>
      <c r="J2285" s="137"/>
      <c r="M2285" s="143"/>
      <c r="N2285" s="143"/>
      <c r="O2285" s="143"/>
      <c r="P2285" s="143"/>
      <c r="Q2285" s="137"/>
      <c r="R2285" s="137"/>
      <c r="S2285" s="137"/>
      <c r="T2285" s="137"/>
      <c r="U2285" s="137"/>
      <c r="V2285" s="137"/>
      <c r="W2285" s="137"/>
      <c r="X2285" s="137"/>
      <c r="Y2285" s="137"/>
      <c r="Z2285" s="137"/>
      <c r="AA2285" s="137"/>
    </row>
    <row r="2286" spans="5:27" x14ac:dyDescent="0.35">
      <c r="E2286" s="137"/>
      <c r="F2286" s="137"/>
      <c r="G2286" s="190"/>
      <c r="H2286" s="137"/>
      <c r="I2286" s="137"/>
      <c r="J2286" s="137"/>
      <c r="M2286" s="143"/>
      <c r="N2286" s="143"/>
      <c r="O2286" s="143"/>
      <c r="P2286" s="143"/>
      <c r="Q2286" s="137"/>
      <c r="R2286" s="137"/>
      <c r="S2286" s="137"/>
      <c r="T2286" s="137"/>
      <c r="U2286" s="137"/>
      <c r="V2286" s="137"/>
      <c r="W2286" s="137"/>
      <c r="X2286" s="137"/>
      <c r="Y2286" s="137"/>
      <c r="Z2286" s="137"/>
      <c r="AA2286" s="137"/>
    </row>
    <row r="2287" spans="5:27" x14ac:dyDescent="0.35">
      <c r="E2287" s="137"/>
      <c r="F2287" s="137"/>
      <c r="G2287" s="190"/>
      <c r="H2287" s="137"/>
      <c r="I2287" s="137"/>
      <c r="J2287" s="137"/>
      <c r="M2287" s="143"/>
      <c r="N2287" s="143"/>
      <c r="O2287" s="143"/>
      <c r="P2287" s="143"/>
      <c r="Q2287" s="137"/>
      <c r="R2287" s="137"/>
      <c r="S2287" s="137"/>
      <c r="T2287" s="137"/>
      <c r="U2287" s="137"/>
      <c r="V2287" s="137"/>
      <c r="W2287" s="137"/>
      <c r="X2287" s="137"/>
      <c r="Y2287" s="137"/>
      <c r="Z2287" s="137"/>
      <c r="AA2287" s="137"/>
    </row>
    <row r="2288" spans="5:27" x14ac:dyDescent="0.35">
      <c r="E2288" s="137"/>
      <c r="F2288" s="137"/>
      <c r="G2288" s="190"/>
      <c r="H2288" s="137"/>
      <c r="I2288" s="137"/>
      <c r="J2288" s="137"/>
      <c r="M2288" s="143"/>
      <c r="N2288" s="143"/>
      <c r="O2288" s="143"/>
      <c r="P2288" s="143"/>
      <c r="Q2288" s="137"/>
      <c r="R2288" s="137"/>
      <c r="S2288" s="137"/>
      <c r="T2288" s="137"/>
      <c r="U2288" s="137"/>
      <c r="V2288" s="137"/>
      <c r="W2288" s="137"/>
      <c r="X2288" s="137"/>
      <c r="Y2288" s="137"/>
      <c r="Z2288" s="137"/>
      <c r="AA2288" s="137"/>
    </row>
    <row r="2289" spans="5:27" x14ac:dyDescent="0.35">
      <c r="E2289" s="137"/>
      <c r="F2289" s="137"/>
      <c r="G2289" s="190"/>
      <c r="H2289" s="137"/>
      <c r="I2289" s="137"/>
      <c r="J2289" s="137"/>
      <c r="M2289" s="143"/>
      <c r="N2289" s="143"/>
      <c r="O2289" s="143"/>
      <c r="P2289" s="143"/>
      <c r="Q2289" s="137"/>
      <c r="R2289" s="137"/>
      <c r="S2289" s="137"/>
      <c r="T2289" s="137"/>
      <c r="U2289" s="137"/>
      <c r="V2289" s="137"/>
      <c r="W2289" s="137"/>
      <c r="X2289" s="137"/>
      <c r="Y2289" s="137"/>
      <c r="Z2289" s="137"/>
      <c r="AA2289" s="137"/>
    </row>
    <row r="2290" spans="5:27" x14ac:dyDescent="0.35">
      <c r="E2290" s="137"/>
      <c r="F2290" s="137"/>
      <c r="G2290" s="190"/>
      <c r="H2290" s="137"/>
      <c r="I2290" s="137"/>
      <c r="J2290" s="137"/>
      <c r="M2290" s="143"/>
      <c r="N2290" s="143"/>
      <c r="O2290" s="143"/>
      <c r="P2290" s="143"/>
      <c r="Q2290" s="137"/>
      <c r="R2290" s="137"/>
      <c r="S2290" s="137"/>
      <c r="T2290" s="137"/>
      <c r="U2290" s="137"/>
      <c r="V2290" s="137"/>
      <c r="W2290" s="137"/>
      <c r="X2290" s="137"/>
      <c r="Y2290" s="137"/>
      <c r="Z2290" s="137"/>
      <c r="AA2290" s="137"/>
    </row>
    <row r="2291" spans="5:27" x14ac:dyDescent="0.35">
      <c r="E2291" s="137"/>
      <c r="F2291" s="137"/>
      <c r="G2291" s="190"/>
      <c r="H2291" s="137"/>
      <c r="I2291" s="137"/>
      <c r="J2291" s="137"/>
      <c r="M2291" s="143"/>
      <c r="N2291" s="143"/>
      <c r="O2291" s="143"/>
      <c r="P2291" s="143"/>
      <c r="Q2291" s="137"/>
      <c r="R2291" s="137"/>
      <c r="S2291" s="137"/>
      <c r="T2291" s="137"/>
      <c r="U2291" s="137"/>
      <c r="V2291" s="137"/>
      <c r="W2291" s="137"/>
      <c r="X2291" s="137"/>
      <c r="Y2291" s="137"/>
      <c r="Z2291" s="137"/>
      <c r="AA2291" s="137"/>
    </row>
    <row r="2292" spans="5:27" x14ac:dyDescent="0.35">
      <c r="E2292" s="137"/>
      <c r="F2292" s="137"/>
      <c r="G2292" s="190"/>
      <c r="H2292" s="137"/>
      <c r="I2292" s="137"/>
      <c r="J2292" s="137"/>
      <c r="M2292" s="143"/>
      <c r="N2292" s="143"/>
      <c r="O2292" s="143"/>
      <c r="P2292" s="143"/>
      <c r="Q2292" s="137"/>
      <c r="R2292" s="137"/>
      <c r="S2292" s="137"/>
      <c r="T2292" s="137"/>
      <c r="U2292" s="137"/>
      <c r="V2292" s="137"/>
      <c r="W2292" s="137"/>
      <c r="X2292" s="137"/>
      <c r="Y2292" s="137"/>
      <c r="Z2292" s="137"/>
      <c r="AA2292" s="137"/>
    </row>
    <row r="2293" spans="5:27" x14ac:dyDescent="0.35">
      <c r="E2293" s="137"/>
      <c r="F2293" s="137"/>
      <c r="G2293" s="190"/>
      <c r="H2293" s="137"/>
      <c r="I2293" s="137"/>
      <c r="J2293" s="137"/>
      <c r="M2293" s="143"/>
      <c r="N2293" s="143"/>
      <c r="O2293" s="143"/>
      <c r="P2293" s="143"/>
      <c r="Q2293" s="137"/>
      <c r="R2293" s="137"/>
      <c r="S2293" s="137"/>
      <c r="T2293" s="137"/>
      <c r="U2293" s="137"/>
      <c r="V2293" s="137"/>
      <c r="W2293" s="137"/>
      <c r="X2293" s="137"/>
      <c r="Y2293" s="137"/>
      <c r="Z2293" s="137"/>
      <c r="AA2293" s="137"/>
    </row>
    <row r="2294" spans="5:27" x14ac:dyDescent="0.35">
      <c r="E2294" s="137"/>
      <c r="F2294" s="137"/>
      <c r="G2294" s="190"/>
      <c r="H2294" s="137"/>
      <c r="I2294" s="137"/>
      <c r="J2294" s="137"/>
      <c r="M2294" s="143"/>
      <c r="N2294" s="143"/>
      <c r="O2294" s="143"/>
      <c r="P2294" s="143"/>
      <c r="Q2294" s="137"/>
      <c r="R2294" s="137"/>
      <c r="S2294" s="137"/>
      <c r="T2294" s="137"/>
      <c r="U2294" s="137"/>
      <c r="V2294" s="137"/>
      <c r="W2294" s="137"/>
      <c r="X2294" s="137"/>
      <c r="Y2294" s="137"/>
      <c r="Z2294" s="137"/>
      <c r="AA2294" s="137"/>
    </row>
    <row r="2295" spans="5:27" x14ac:dyDescent="0.35">
      <c r="E2295" s="137"/>
      <c r="F2295" s="137"/>
      <c r="G2295" s="190"/>
      <c r="H2295" s="137"/>
      <c r="I2295" s="137"/>
      <c r="J2295" s="137"/>
      <c r="M2295" s="143"/>
      <c r="N2295" s="143"/>
      <c r="O2295" s="143"/>
      <c r="P2295" s="143"/>
      <c r="Q2295" s="137"/>
      <c r="R2295" s="137"/>
      <c r="S2295" s="137"/>
      <c r="T2295" s="137"/>
      <c r="U2295" s="137"/>
      <c r="V2295" s="137"/>
      <c r="W2295" s="137"/>
      <c r="X2295" s="137"/>
      <c r="Y2295" s="137"/>
      <c r="Z2295" s="137"/>
      <c r="AA2295" s="137"/>
    </row>
    <row r="2296" spans="5:27" x14ac:dyDescent="0.35">
      <c r="E2296" s="137"/>
      <c r="F2296" s="137"/>
      <c r="G2296" s="190"/>
      <c r="H2296" s="137"/>
      <c r="I2296" s="137"/>
      <c r="J2296" s="137"/>
      <c r="M2296" s="143"/>
      <c r="N2296" s="143"/>
      <c r="O2296" s="143"/>
      <c r="P2296" s="143"/>
      <c r="Q2296" s="137"/>
      <c r="R2296" s="137"/>
      <c r="S2296" s="137"/>
      <c r="T2296" s="137"/>
      <c r="U2296" s="137"/>
      <c r="V2296" s="137"/>
      <c r="W2296" s="137"/>
      <c r="X2296" s="137"/>
      <c r="Y2296" s="137"/>
      <c r="Z2296" s="137"/>
      <c r="AA2296" s="137"/>
    </row>
    <row r="2297" spans="5:27" x14ac:dyDescent="0.35">
      <c r="E2297" s="137"/>
      <c r="F2297" s="137"/>
      <c r="G2297" s="190"/>
      <c r="H2297" s="137"/>
      <c r="I2297" s="137"/>
      <c r="J2297" s="137"/>
      <c r="M2297" s="143"/>
      <c r="N2297" s="143"/>
      <c r="O2297" s="143"/>
      <c r="P2297" s="143"/>
      <c r="Q2297" s="137"/>
      <c r="R2297" s="137"/>
      <c r="S2297" s="137"/>
      <c r="T2297" s="137"/>
      <c r="U2297" s="137"/>
      <c r="V2297" s="137"/>
      <c r="W2297" s="137"/>
      <c r="X2297" s="137"/>
      <c r="Y2297" s="137"/>
      <c r="Z2297" s="137"/>
      <c r="AA2297" s="137"/>
    </row>
    <row r="2298" spans="5:27" x14ac:dyDescent="0.35">
      <c r="E2298" s="137"/>
      <c r="F2298" s="137"/>
      <c r="G2298" s="190"/>
      <c r="H2298" s="137"/>
      <c r="I2298" s="137"/>
      <c r="J2298" s="137"/>
      <c r="M2298" s="143"/>
      <c r="N2298" s="143"/>
      <c r="O2298" s="143"/>
      <c r="P2298" s="143"/>
      <c r="Q2298" s="137"/>
      <c r="R2298" s="137"/>
      <c r="S2298" s="137"/>
      <c r="T2298" s="137"/>
      <c r="U2298" s="137"/>
      <c r="V2298" s="137"/>
      <c r="W2298" s="137"/>
      <c r="X2298" s="137"/>
      <c r="Y2298" s="137"/>
      <c r="Z2298" s="137"/>
      <c r="AA2298" s="137"/>
    </row>
    <row r="2299" spans="5:27" x14ac:dyDescent="0.35">
      <c r="E2299" s="137"/>
      <c r="F2299" s="137"/>
      <c r="G2299" s="190"/>
      <c r="H2299" s="137"/>
      <c r="I2299" s="137"/>
      <c r="J2299" s="137"/>
      <c r="M2299" s="143"/>
      <c r="N2299" s="143"/>
      <c r="O2299" s="143"/>
      <c r="P2299" s="143"/>
      <c r="Q2299" s="137"/>
      <c r="R2299" s="137"/>
      <c r="S2299" s="137"/>
      <c r="T2299" s="137"/>
      <c r="U2299" s="137"/>
      <c r="V2299" s="137"/>
      <c r="W2299" s="137"/>
      <c r="X2299" s="137"/>
      <c r="Y2299" s="137"/>
      <c r="Z2299" s="137"/>
      <c r="AA2299" s="137"/>
    </row>
    <row r="2300" spans="5:27" x14ac:dyDescent="0.35">
      <c r="E2300" s="137"/>
      <c r="F2300" s="137"/>
      <c r="G2300" s="190"/>
      <c r="H2300" s="137"/>
      <c r="I2300" s="137"/>
      <c r="J2300" s="137"/>
      <c r="M2300" s="143"/>
      <c r="N2300" s="143"/>
      <c r="O2300" s="143"/>
      <c r="P2300" s="143"/>
      <c r="Q2300" s="137"/>
      <c r="R2300" s="137"/>
      <c r="S2300" s="137"/>
      <c r="T2300" s="137"/>
      <c r="U2300" s="137"/>
      <c r="V2300" s="137"/>
      <c r="W2300" s="137"/>
      <c r="X2300" s="137"/>
      <c r="Y2300" s="137"/>
      <c r="Z2300" s="137"/>
      <c r="AA2300" s="137"/>
    </row>
    <row r="2301" spans="5:27" x14ac:dyDescent="0.35">
      <c r="E2301" s="137"/>
      <c r="F2301" s="137"/>
      <c r="G2301" s="190"/>
      <c r="H2301" s="137"/>
      <c r="I2301" s="137"/>
      <c r="J2301" s="137"/>
      <c r="M2301" s="143"/>
      <c r="N2301" s="143"/>
      <c r="O2301" s="143"/>
      <c r="P2301" s="143"/>
      <c r="Q2301" s="137"/>
      <c r="R2301" s="137"/>
      <c r="S2301" s="137"/>
      <c r="T2301" s="137"/>
      <c r="U2301" s="137"/>
      <c r="V2301" s="137"/>
      <c r="W2301" s="137"/>
      <c r="X2301" s="137"/>
      <c r="Y2301" s="137"/>
      <c r="Z2301" s="137"/>
      <c r="AA2301" s="137"/>
    </row>
    <row r="2302" spans="5:27" x14ac:dyDescent="0.35">
      <c r="E2302" s="137"/>
      <c r="F2302" s="137"/>
      <c r="G2302" s="190"/>
      <c r="H2302" s="137"/>
      <c r="I2302" s="137"/>
      <c r="J2302" s="137"/>
      <c r="M2302" s="143"/>
      <c r="N2302" s="143"/>
      <c r="O2302" s="143"/>
      <c r="P2302" s="143"/>
      <c r="Q2302" s="137"/>
      <c r="R2302" s="137"/>
      <c r="S2302" s="137"/>
      <c r="T2302" s="137"/>
      <c r="U2302" s="137"/>
      <c r="V2302" s="137"/>
      <c r="W2302" s="137"/>
      <c r="X2302" s="137"/>
      <c r="Y2302" s="137"/>
      <c r="Z2302" s="137"/>
      <c r="AA2302" s="137"/>
    </row>
    <row r="2303" spans="5:27" x14ac:dyDescent="0.35">
      <c r="E2303" s="137"/>
      <c r="F2303" s="137"/>
      <c r="G2303" s="190"/>
      <c r="H2303" s="137"/>
      <c r="I2303" s="137"/>
      <c r="J2303" s="137"/>
      <c r="M2303" s="143"/>
      <c r="N2303" s="143"/>
      <c r="O2303" s="143"/>
      <c r="P2303" s="143"/>
      <c r="Q2303" s="137"/>
      <c r="R2303" s="137"/>
      <c r="S2303" s="137"/>
      <c r="T2303" s="137"/>
      <c r="U2303" s="137"/>
      <c r="V2303" s="137"/>
      <c r="W2303" s="137"/>
      <c r="X2303" s="137"/>
      <c r="Y2303" s="137"/>
      <c r="Z2303" s="137"/>
      <c r="AA2303" s="137"/>
    </row>
    <row r="2304" spans="5:27" x14ac:dyDescent="0.35">
      <c r="E2304" s="137"/>
      <c r="F2304" s="137"/>
      <c r="G2304" s="190"/>
      <c r="H2304" s="137"/>
      <c r="I2304" s="137"/>
      <c r="J2304" s="137"/>
      <c r="M2304" s="143"/>
      <c r="N2304" s="143"/>
      <c r="O2304" s="143"/>
      <c r="P2304" s="143"/>
      <c r="Q2304" s="137"/>
      <c r="R2304" s="137"/>
      <c r="S2304" s="137"/>
      <c r="T2304" s="137"/>
      <c r="U2304" s="137"/>
      <c r="V2304" s="137"/>
      <c r="W2304" s="137"/>
      <c r="X2304" s="137"/>
      <c r="Y2304" s="137"/>
      <c r="Z2304" s="137"/>
      <c r="AA2304" s="137"/>
    </row>
    <row r="2305" spans="5:27" x14ac:dyDescent="0.35">
      <c r="E2305" s="137"/>
      <c r="F2305" s="137"/>
      <c r="G2305" s="190"/>
      <c r="H2305" s="137"/>
      <c r="I2305" s="137"/>
      <c r="J2305" s="137"/>
      <c r="M2305" s="143"/>
      <c r="N2305" s="143"/>
      <c r="O2305" s="143"/>
      <c r="P2305" s="143"/>
      <c r="Q2305" s="137"/>
      <c r="R2305" s="137"/>
      <c r="S2305" s="137"/>
      <c r="T2305" s="137"/>
      <c r="U2305" s="137"/>
      <c r="V2305" s="137"/>
      <c r="W2305" s="137"/>
      <c r="X2305" s="137"/>
      <c r="Y2305" s="137"/>
      <c r="Z2305" s="137"/>
      <c r="AA2305" s="137"/>
    </row>
    <row r="2306" spans="5:27" x14ac:dyDescent="0.35">
      <c r="E2306" s="137"/>
      <c r="F2306" s="137"/>
      <c r="G2306" s="190"/>
      <c r="H2306" s="137"/>
      <c r="I2306" s="137"/>
      <c r="J2306" s="137"/>
      <c r="M2306" s="143"/>
      <c r="N2306" s="143"/>
      <c r="O2306" s="143"/>
      <c r="P2306" s="143"/>
      <c r="Q2306" s="137"/>
      <c r="R2306" s="137"/>
      <c r="S2306" s="137"/>
      <c r="T2306" s="137"/>
      <c r="U2306" s="137"/>
      <c r="V2306" s="137"/>
      <c r="W2306" s="137"/>
      <c r="X2306" s="137"/>
      <c r="Y2306" s="137"/>
      <c r="Z2306" s="137"/>
      <c r="AA2306" s="137"/>
    </row>
    <row r="2307" spans="5:27" x14ac:dyDescent="0.35">
      <c r="E2307" s="137"/>
      <c r="F2307" s="137"/>
      <c r="G2307" s="190"/>
      <c r="H2307" s="137"/>
      <c r="I2307" s="137"/>
      <c r="J2307" s="137"/>
      <c r="M2307" s="143"/>
      <c r="N2307" s="143"/>
      <c r="O2307" s="143"/>
      <c r="P2307" s="143"/>
      <c r="Q2307" s="137"/>
      <c r="R2307" s="137"/>
      <c r="S2307" s="137"/>
      <c r="T2307" s="137"/>
      <c r="U2307" s="137"/>
      <c r="V2307" s="137"/>
      <c r="W2307" s="137"/>
      <c r="X2307" s="137"/>
      <c r="Y2307" s="137"/>
      <c r="Z2307" s="137"/>
      <c r="AA2307" s="137"/>
    </row>
    <row r="2308" spans="5:27" x14ac:dyDescent="0.35">
      <c r="E2308" s="137"/>
      <c r="F2308" s="137"/>
      <c r="G2308" s="190"/>
      <c r="H2308" s="137"/>
      <c r="I2308" s="137"/>
      <c r="J2308" s="137"/>
      <c r="M2308" s="143"/>
      <c r="N2308" s="143"/>
      <c r="O2308" s="143"/>
      <c r="P2308" s="143"/>
      <c r="Q2308" s="137"/>
      <c r="R2308" s="137"/>
      <c r="S2308" s="137"/>
      <c r="T2308" s="137"/>
      <c r="U2308" s="137"/>
      <c r="V2308" s="137"/>
      <c r="W2308" s="137"/>
      <c r="X2308" s="137"/>
      <c r="Y2308" s="137"/>
      <c r="Z2308" s="137"/>
      <c r="AA2308" s="137"/>
    </row>
    <row r="2309" spans="5:27" x14ac:dyDescent="0.35">
      <c r="E2309" s="137"/>
      <c r="F2309" s="137"/>
      <c r="G2309" s="190"/>
      <c r="H2309" s="137"/>
      <c r="I2309" s="137"/>
      <c r="J2309" s="137"/>
      <c r="M2309" s="143"/>
      <c r="N2309" s="143"/>
      <c r="O2309" s="143"/>
      <c r="P2309" s="143"/>
      <c r="Q2309" s="137"/>
      <c r="R2309" s="137"/>
      <c r="S2309" s="137"/>
      <c r="T2309" s="137"/>
      <c r="U2309" s="137"/>
      <c r="V2309" s="137"/>
      <c r="W2309" s="137"/>
      <c r="X2309" s="137"/>
      <c r="Y2309" s="137"/>
      <c r="Z2309" s="137"/>
      <c r="AA2309" s="137"/>
    </row>
    <row r="2310" spans="5:27" x14ac:dyDescent="0.35">
      <c r="E2310" s="137"/>
      <c r="F2310" s="137"/>
      <c r="G2310" s="190"/>
      <c r="H2310" s="137"/>
      <c r="I2310" s="137"/>
      <c r="J2310" s="137"/>
      <c r="M2310" s="143"/>
      <c r="N2310" s="143"/>
      <c r="O2310" s="143"/>
      <c r="P2310" s="143"/>
      <c r="Q2310" s="137"/>
      <c r="R2310" s="137"/>
      <c r="S2310" s="137"/>
      <c r="T2310" s="137"/>
      <c r="U2310" s="137"/>
      <c r="V2310" s="137"/>
      <c r="W2310" s="137"/>
      <c r="X2310" s="137"/>
      <c r="Y2310" s="137"/>
      <c r="Z2310" s="137"/>
      <c r="AA2310" s="137"/>
    </row>
    <row r="2311" spans="5:27" x14ac:dyDescent="0.35">
      <c r="E2311" s="137"/>
      <c r="F2311" s="137"/>
      <c r="G2311" s="190"/>
      <c r="H2311" s="137"/>
      <c r="I2311" s="137"/>
      <c r="J2311" s="137"/>
      <c r="M2311" s="143"/>
      <c r="N2311" s="143"/>
      <c r="O2311" s="143"/>
      <c r="P2311" s="143"/>
      <c r="Q2311" s="137"/>
      <c r="R2311" s="137"/>
      <c r="S2311" s="137"/>
      <c r="T2311" s="137"/>
      <c r="U2311" s="137"/>
      <c r="V2311" s="137"/>
      <c r="W2311" s="137"/>
      <c r="X2311" s="137"/>
      <c r="Y2311" s="137"/>
      <c r="Z2311" s="137"/>
      <c r="AA2311" s="137"/>
    </row>
    <row r="2312" spans="5:27" x14ac:dyDescent="0.35">
      <c r="E2312" s="137"/>
      <c r="F2312" s="137"/>
      <c r="G2312" s="190"/>
      <c r="H2312" s="137"/>
      <c r="I2312" s="137"/>
      <c r="J2312" s="137"/>
      <c r="M2312" s="143"/>
      <c r="N2312" s="143"/>
      <c r="O2312" s="143"/>
      <c r="P2312" s="143"/>
      <c r="Q2312" s="137"/>
      <c r="R2312" s="137"/>
      <c r="S2312" s="137"/>
      <c r="T2312" s="137"/>
      <c r="U2312" s="137"/>
      <c r="V2312" s="137"/>
      <c r="W2312" s="137"/>
      <c r="X2312" s="137"/>
      <c r="Y2312" s="137"/>
      <c r="Z2312" s="137"/>
      <c r="AA2312" s="137"/>
    </row>
    <row r="2313" spans="5:27" x14ac:dyDescent="0.35">
      <c r="E2313" s="137"/>
      <c r="F2313" s="137"/>
      <c r="G2313" s="190"/>
      <c r="H2313" s="137"/>
      <c r="I2313" s="137"/>
      <c r="J2313" s="137"/>
      <c r="M2313" s="143"/>
      <c r="N2313" s="143"/>
      <c r="O2313" s="143"/>
      <c r="P2313" s="143"/>
      <c r="Q2313" s="137"/>
      <c r="R2313" s="137"/>
      <c r="S2313" s="137"/>
      <c r="T2313" s="137"/>
      <c r="U2313" s="137"/>
      <c r="V2313" s="137"/>
      <c r="W2313" s="137"/>
      <c r="X2313" s="137"/>
      <c r="Y2313" s="137"/>
      <c r="Z2313" s="137"/>
      <c r="AA2313" s="137"/>
    </row>
    <row r="2314" spans="5:27" x14ac:dyDescent="0.35">
      <c r="E2314" s="137"/>
      <c r="F2314" s="137"/>
      <c r="G2314" s="190"/>
      <c r="H2314" s="137"/>
      <c r="I2314" s="137"/>
      <c r="J2314" s="137"/>
      <c r="M2314" s="143"/>
      <c r="N2314" s="143"/>
      <c r="O2314" s="143"/>
      <c r="P2314" s="143"/>
      <c r="Q2314" s="137"/>
      <c r="R2314" s="137"/>
      <c r="S2314" s="137"/>
      <c r="T2314" s="137"/>
      <c r="U2314" s="137"/>
      <c r="V2314" s="137"/>
      <c r="W2314" s="137"/>
      <c r="X2314" s="137"/>
      <c r="Y2314" s="137"/>
      <c r="Z2314" s="137"/>
      <c r="AA2314" s="137"/>
    </row>
    <row r="2315" spans="5:27" x14ac:dyDescent="0.35">
      <c r="E2315" s="137"/>
      <c r="F2315" s="137"/>
      <c r="G2315" s="190"/>
      <c r="H2315" s="137"/>
      <c r="I2315" s="137"/>
      <c r="J2315" s="137"/>
      <c r="M2315" s="143"/>
      <c r="N2315" s="143"/>
      <c r="O2315" s="143"/>
      <c r="P2315" s="143"/>
      <c r="Q2315" s="137"/>
      <c r="R2315" s="137"/>
      <c r="S2315" s="137"/>
      <c r="T2315" s="137"/>
      <c r="U2315" s="137"/>
      <c r="V2315" s="137"/>
      <c r="W2315" s="137"/>
      <c r="X2315" s="137"/>
      <c r="Y2315" s="137"/>
      <c r="Z2315" s="137"/>
      <c r="AA2315" s="137"/>
    </row>
    <row r="2316" spans="5:27" x14ac:dyDescent="0.35">
      <c r="E2316" s="137"/>
      <c r="F2316" s="137"/>
      <c r="G2316" s="190"/>
      <c r="H2316" s="137"/>
      <c r="I2316" s="137"/>
      <c r="J2316" s="137"/>
      <c r="M2316" s="143"/>
      <c r="N2316" s="143"/>
      <c r="O2316" s="143"/>
      <c r="P2316" s="143"/>
      <c r="Q2316" s="137"/>
      <c r="R2316" s="137"/>
      <c r="S2316" s="137"/>
      <c r="T2316" s="137"/>
      <c r="U2316" s="137"/>
      <c r="V2316" s="137"/>
      <c r="W2316" s="137"/>
      <c r="X2316" s="137"/>
      <c r="Y2316" s="137"/>
      <c r="Z2316" s="137"/>
      <c r="AA2316" s="137"/>
    </row>
    <row r="2317" spans="5:27" x14ac:dyDescent="0.35">
      <c r="E2317" s="137"/>
      <c r="F2317" s="137"/>
      <c r="G2317" s="190"/>
      <c r="H2317" s="137"/>
      <c r="I2317" s="137"/>
      <c r="J2317" s="137"/>
      <c r="M2317" s="143"/>
      <c r="N2317" s="143"/>
      <c r="O2317" s="143"/>
      <c r="P2317" s="143"/>
      <c r="Q2317" s="137"/>
      <c r="R2317" s="137"/>
      <c r="S2317" s="137"/>
      <c r="T2317" s="137"/>
      <c r="U2317" s="137"/>
      <c r="V2317" s="137"/>
      <c r="W2317" s="137"/>
      <c r="X2317" s="137"/>
      <c r="Y2317" s="137"/>
      <c r="Z2317" s="137"/>
      <c r="AA2317" s="137"/>
    </row>
    <row r="2318" spans="5:27" x14ac:dyDescent="0.35">
      <c r="E2318" s="137"/>
      <c r="F2318" s="137"/>
      <c r="G2318" s="190"/>
      <c r="H2318" s="137"/>
      <c r="I2318" s="137"/>
      <c r="J2318" s="137"/>
      <c r="M2318" s="143"/>
      <c r="N2318" s="143"/>
      <c r="O2318" s="143"/>
      <c r="P2318" s="143"/>
      <c r="Q2318" s="137"/>
      <c r="R2318" s="137"/>
      <c r="S2318" s="137"/>
      <c r="T2318" s="137"/>
      <c r="U2318" s="137"/>
      <c r="V2318" s="137"/>
      <c r="W2318" s="137"/>
      <c r="X2318" s="137"/>
      <c r="Y2318" s="137"/>
      <c r="Z2318" s="137"/>
      <c r="AA2318" s="137"/>
    </row>
    <row r="2319" spans="5:27" x14ac:dyDescent="0.35">
      <c r="E2319" s="137"/>
      <c r="F2319" s="137"/>
      <c r="G2319" s="190"/>
      <c r="H2319" s="137"/>
      <c r="I2319" s="137"/>
      <c r="J2319" s="137"/>
      <c r="M2319" s="143"/>
      <c r="N2319" s="143"/>
      <c r="O2319" s="143"/>
      <c r="P2319" s="143"/>
      <c r="Q2319" s="137"/>
      <c r="R2319" s="137"/>
      <c r="S2319" s="137"/>
      <c r="T2319" s="137"/>
      <c r="U2319" s="137"/>
      <c r="V2319" s="137"/>
      <c r="W2319" s="137"/>
      <c r="X2319" s="137"/>
      <c r="Y2319" s="137"/>
      <c r="Z2319" s="137"/>
      <c r="AA2319" s="137"/>
    </row>
    <row r="2320" spans="5:27" x14ac:dyDescent="0.35">
      <c r="E2320" s="137"/>
      <c r="F2320" s="137"/>
      <c r="G2320" s="190"/>
      <c r="H2320" s="137"/>
      <c r="I2320" s="137"/>
      <c r="J2320" s="137"/>
      <c r="M2320" s="143"/>
      <c r="N2320" s="143"/>
      <c r="O2320" s="143"/>
      <c r="P2320" s="143"/>
      <c r="Q2320" s="137"/>
      <c r="R2320" s="137"/>
      <c r="S2320" s="137"/>
      <c r="T2320" s="137"/>
      <c r="U2320" s="137"/>
      <c r="V2320" s="137"/>
      <c r="W2320" s="137"/>
      <c r="X2320" s="137"/>
      <c r="Y2320" s="137"/>
      <c r="Z2320" s="137"/>
      <c r="AA2320" s="137"/>
    </row>
    <row r="2321" spans="5:27" x14ac:dyDescent="0.35">
      <c r="E2321" s="137"/>
      <c r="F2321" s="137"/>
      <c r="G2321" s="190"/>
      <c r="H2321" s="137"/>
      <c r="I2321" s="137"/>
      <c r="J2321" s="137"/>
      <c r="M2321" s="143"/>
      <c r="N2321" s="143"/>
      <c r="O2321" s="143"/>
      <c r="P2321" s="143"/>
      <c r="Q2321" s="137"/>
      <c r="R2321" s="137"/>
      <c r="S2321" s="137"/>
      <c r="T2321" s="137"/>
      <c r="U2321" s="137"/>
      <c r="V2321" s="137"/>
      <c r="W2321" s="137"/>
      <c r="X2321" s="137"/>
      <c r="Y2321" s="137"/>
      <c r="Z2321" s="137"/>
      <c r="AA2321" s="137"/>
    </row>
    <row r="2322" spans="5:27" x14ac:dyDescent="0.35">
      <c r="E2322" s="137"/>
      <c r="F2322" s="137"/>
      <c r="G2322" s="190"/>
      <c r="H2322" s="137"/>
      <c r="I2322" s="137"/>
      <c r="J2322" s="137"/>
      <c r="M2322" s="143"/>
      <c r="N2322" s="143"/>
      <c r="O2322" s="143"/>
      <c r="P2322" s="143"/>
      <c r="Q2322" s="137"/>
      <c r="R2322" s="137"/>
      <c r="S2322" s="137"/>
      <c r="T2322" s="137"/>
      <c r="U2322" s="137"/>
      <c r="V2322" s="137"/>
      <c r="W2322" s="137"/>
      <c r="X2322" s="137"/>
      <c r="Y2322" s="137"/>
      <c r="Z2322" s="137"/>
      <c r="AA2322" s="137"/>
    </row>
    <row r="2323" spans="5:27" x14ac:dyDescent="0.35">
      <c r="E2323" s="137"/>
      <c r="F2323" s="137"/>
      <c r="G2323" s="190"/>
      <c r="H2323" s="137"/>
      <c r="I2323" s="137"/>
      <c r="J2323" s="137"/>
      <c r="M2323" s="143"/>
      <c r="N2323" s="143"/>
      <c r="O2323" s="143"/>
      <c r="P2323" s="143"/>
      <c r="Q2323" s="137"/>
      <c r="R2323" s="137"/>
      <c r="S2323" s="137"/>
      <c r="T2323" s="137"/>
      <c r="U2323" s="137"/>
      <c r="V2323" s="137"/>
      <c r="W2323" s="137"/>
      <c r="X2323" s="137"/>
      <c r="Y2323" s="137"/>
      <c r="Z2323" s="137"/>
      <c r="AA2323" s="137"/>
    </row>
    <row r="2324" spans="5:27" x14ac:dyDescent="0.35">
      <c r="E2324" s="137"/>
      <c r="F2324" s="137"/>
      <c r="G2324" s="190"/>
      <c r="H2324" s="137"/>
      <c r="I2324" s="137"/>
      <c r="J2324" s="137"/>
      <c r="M2324" s="143"/>
      <c r="N2324" s="143"/>
      <c r="O2324" s="143"/>
      <c r="P2324" s="143"/>
      <c r="Q2324" s="137"/>
      <c r="R2324" s="137"/>
      <c r="S2324" s="137"/>
      <c r="T2324" s="137"/>
      <c r="U2324" s="137"/>
      <c r="V2324" s="137"/>
      <c r="W2324" s="137"/>
      <c r="X2324" s="137"/>
      <c r="Y2324" s="137"/>
      <c r="Z2324" s="137"/>
      <c r="AA2324" s="137"/>
    </row>
    <row r="2325" spans="5:27" x14ac:dyDescent="0.35">
      <c r="E2325" s="137"/>
      <c r="F2325" s="137"/>
      <c r="G2325" s="190"/>
      <c r="H2325" s="137"/>
      <c r="I2325" s="137"/>
      <c r="J2325" s="137"/>
      <c r="M2325" s="143"/>
      <c r="N2325" s="143"/>
      <c r="O2325" s="143"/>
      <c r="P2325" s="143"/>
      <c r="Q2325" s="137"/>
      <c r="R2325" s="137"/>
      <c r="S2325" s="137"/>
      <c r="T2325" s="137"/>
      <c r="U2325" s="137"/>
      <c r="V2325" s="137"/>
      <c r="W2325" s="137"/>
      <c r="X2325" s="137"/>
      <c r="Y2325" s="137"/>
      <c r="Z2325" s="137"/>
      <c r="AA2325" s="137"/>
    </row>
    <row r="2326" spans="5:27" x14ac:dyDescent="0.35">
      <c r="E2326" s="137"/>
      <c r="F2326" s="137"/>
      <c r="G2326" s="190"/>
      <c r="H2326" s="137"/>
      <c r="I2326" s="137"/>
      <c r="J2326" s="137"/>
      <c r="M2326" s="143"/>
      <c r="N2326" s="143"/>
      <c r="O2326" s="143"/>
      <c r="P2326" s="143"/>
      <c r="Q2326" s="137"/>
      <c r="R2326" s="137"/>
      <c r="S2326" s="137"/>
      <c r="T2326" s="137"/>
      <c r="U2326" s="137"/>
      <c r="V2326" s="137"/>
      <c r="W2326" s="137"/>
      <c r="X2326" s="137"/>
      <c r="Y2326" s="137"/>
      <c r="Z2326" s="137"/>
      <c r="AA2326" s="137"/>
    </row>
    <row r="2327" spans="5:27" x14ac:dyDescent="0.35">
      <c r="E2327" s="137"/>
      <c r="F2327" s="137"/>
      <c r="G2327" s="190"/>
      <c r="H2327" s="137"/>
      <c r="I2327" s="137"/>
      <c r="J2327" s="137"/>
      <c r="M2327" s="143"/>
      <c r="N2327" s="143"/>
      <c r="O2327" s="143"/>
      <c r="P2327" s="143"/>
      <c r="Q2327" s="137"/>
      <c r="R2327" s="137"/>
      <c r="S2327" s="137"/>
      <c r="T2327" s="137"/>
      <c r="U2327" s="137"/>
      <c r="V2327" s="137"/>
      <c r="W2327" s="137"/>
      <c r="X2327" s="137"/>
      <c r="Y2327" s="137"/>
      <c r="Z2327" s="137"/>
      <c r="AA2327" s="137"/>
    </row>
    <row r="2328" spans="5:27" x14ac:dyDescent="0.35">
      <c r="E2328" s="137"/>
      <c r="F2328" s="137"/>
      <c r="G2328" s="190"/>
      <c r="H2328" s="137"/>
      <c r="I2328" s="137"/>
      <c r="J2328" s="137"/>
      <c r="M2328" s="143"/>
      <c r="N2328" s="143"/>
      <c r="O2328" s="143"/>
      <c r="P2328" s="143"/>
      <c r="Q2328" s="137"/>
      <c r="R2328" s="137"/>
      <c r="S2328" s="137"/>
      <c r="T2328" s="137"/>
      <c r="U2328" s="137"/>
      <c r="V2328" s="137"/>
      <c r="W2328" s="137"/>
      <c r="X2328" s="137"/>
      <c r="Y2328" s="137"/>
      <c r="Z2328" s="137"/>
      <c r="AA2328" s="137"/>
    </row>
    <row r="2329" spans="5:27" x14ac:dyDescent="0.35">
      <c r="E2329" s="137"/>
      <c r="F2329" s="137"/>
      <c r="G2329" s="190"/>
      <c r="H2329" s="137"/>
      <c r="I2329" s="137"/>
      <c r="J2329" s="137"/>
      <c r="M2329" s="143"/>
      <c r="N2329" s="143"/>
      <c r="O2329" s="143"/>
      <c r="P2329" s="143"/>
      <c r="Q2329" s="137"/>
      <c r="R2329" s="137"/>
      <c r="S2329" s="137"/>
      <c r="T2329" s="137"/>
      <c r="U2329" s="137"/>
      <c r="V2329" s="137"/>
      <c r="W2329" s="137"/>
      <c r="X2329" s="137"/>
      <c r="Y2329" s="137"/>
      <c r="Z2329" s="137"/>
      <c r="AA2329" s="137"/>
    </row>
    <row r="2330" spans="5:27" x14ac:dyDescent="0.35">
      <c r="E2330" s="137"/>
      <c r="F2330" s="137"/>
      <c r="G2330" s="190"/>
      <c r="H2330" s="137"/>
      <c r="I2330" s="137"/>
      <c r="J2330" s="137"/>
      <c r="M2330" s="143"/>
      <c r="N2330" s="143"/>
      <c r="O2330" s="143"/>
      <c r="P2330" s="143"/>
      <c r="Q2330" s="137"/>
      <c r="R2330" s="137"/>
      <c r="S2330" s="137"/>
      <c r="T2330" s="137"/>
      <c r="U2330" s="137"/>
      <c r="V2330" s="137"/>
      <c r="W2330" s="137"/>
      <c r="X2330" s="137"/>
      <c r="Y2330" s="137"/>
      <c r="Z2330" s="137"/>
      <c r="AA2330" s="137"/>
    </row>
    <row r="2331" spans="5:27" x14ac:dyDescent="0.35">
      <c r="E2331" s="137"/>
      <c r="F2331" s="137"/>
      <c r="G2331" s="190"/>
      <c r="H2331" s="137"/>
      <c r="I2331" s="137"/>
      <c r="J2331" s="137"/>
      <c r="M2331" s="143"/>
      <c r="N2331" s="143"/>
      <c r="O2331" s="143"/>
      <c r="P2331" s="143"/>
      <c r="Q2331" s="137"/>
      <c r="R2331" s="137"/>
      <c r="S2331" s="137"/>
      <c r="T2331" s="137"/>
      <c r="U2331" s="137"/>
      <c r="V2331" s="137"/>
      <c r="W2331" s="137"/>
      <c r="X2331" s="137"/>
      <c r="Y2331" s="137"/>
      <c r="Z2331" s="137"/>
      <c r="AA2331" s="137"/>
    </row>
    <row r="2332" spans="5:27" x14ac:dyDescent="0.35">
      <c r="E2332" s="137"/>
      <c r="F2332" s="137"/>
      <c r="G2332" s="190"/>
      <c r="H2332" s="137"/>
      <c r="I2332" s="137"/>
      <c r="J2332" s="137"/>
      <c r="M2332" s="143"/>
      <c r="N2332" s="143"/>
      <c r="O2332" s="143"/>
      <c r="P2332" s="143"/>
      <c r="Q2332" s="137"/>
      <c r="R2332" s="137"/>
      <c r="S2332" s="137"/>
      <c r="T2332" s="137"/>
      <c r="U2332" s="137"/>
      <c r="V2332" s="137"/>
      <c r="W2332" s="137"/>
      <c r="X2332" s="137"/>
      <c r="Y2332" s="137"/>
      <c r="Z2332" s="137"/>
      <c r="AA2332" s="137"/>
    </row>
    <row r="2333" spans="5:27" x14ac:dyDescent="0.35">
      <c r="E2333" s="137"/>
      <c r="F2333" s="137"/>
      <c r="G2333" s="190"/>
      <c r="H2333" s="137"/>
      <c r="I2333" s="137"/>
      <c r="J2333" s="137"/>
      <c r="M2333" s="143"/>
      <c r="N2333" s="143"/>
      <c r="O2333" s="143"/>
      <c r="P2333" s="143"/>
      <c r="Q2333" s="137"/>
      <c r="R2333" s="137"/>
      <c r="S2333" s="137"/>
      <c r="T2333" s="137"/>
      <c r="U2333" s="137"/>
      <c r="V2333" s="137"/>
      <c r="W2333" s="137"/>
      <c r="X2333" s="137"/>
      <c r="Y2333" s="137"/>
      <c r="Z2333" s="137"/>
      <c r="AA2333" s="137"/>
    </row>
    <row r="2334" spans="5:27" x14ac:dyDescent="0.35">
      <c r="E2334" s="137"/>
      <c r="F2334" s="137"/>
      <c r="G2334" s="190"/>
      <c r="H2334" s="137"/>
      <c r="I2334" s="137"/>
      <c r="J2334" s="137"/>
      <c r="M2334" s="143"/>
      <c r="N2334" s="143"/>
      <c r="O2334" s="143"/>
      <c r="P2334" s="143"/>
      <c r="Q2334" s="137"/>
      <c r="R2334" s="137"/>
      <c r="S2334" s="137"/>
      <c r="T2334" s="137"/>
      <c r="U2334" s="137"/>
      <c r="V2334" s="137"/>
      <c r="W2334" s="137"/>
      <c r="X2334" s="137"/>
      <c r="Y2334" s="137"/>
      <c r="Z2334" s="137"/>
      <c r="AA2334" s="137"/>
    </row>
    <row r="2335" spans="5:27" x14ac:dyDescent="0.35">
      <c r="E2335" s="137"/>
      <c r="F2335" s="137"/>
      <c r="G2335" s="190"/>
      <c r="H2335" s="137"/>
      <c r="I2335" s="137"/>
      <c r="J2335" s="137"/>
      <c r="M2335" s="143"/>
      <c r="N2335" s="143"/>
      <c r="O2335" s="143"/>
      <c r="P2335" s="143"/>
      <c r="Q2335" s="137"/>
      <c r="R2335" s="137"/>
      <c r="S2335" s="137"/>
      <c r="T2335" s="137"/>
      <c r="U2335" s="137"/>
      <c r="V2335" s="137"/>
      <c r="W2335" s="137"/>
      <c r="X2335" s="137"/>
      <c r="Y2335" s="137"/>
      <c r="Z2335" s="137"/>
      <c r="AA2335" s="137"/>
    </row>
    <row r="2336" spans="5:27" x14ac:dyDescent="0.35">
      <c r="E2336" s="137"/>
      <c r="F2336" s="137"/>
      <c r="G2336" s="190"/>
      <c r="H2336" s="137"/>
      <c r="I2336" s="137"/>
      <c r="J2336" s="137"/>
      <c r="M2336" s="143"/>
      <c r="N2336" s="143"/>
      <c r="O2336" s="143"/>
      <c r="P2336" s="143"/>
      <c r="Q2336" s="137"/>
      <c r="R2336" s="137"/>
      <c r="S2336" s="137"/>
      <c r="T2336" s="137"/>
      <c r="U2336" s="137"/>
      <c r="V2336" s="137"/>
      <c r="W2336" s="137"/>
      <c r="X2336" s="137"/>
      <c r="Y2336" s="137"/>
      <c r="Z2336" s="137"/>
      <c r="AA2336" s="137"/>
    </row>
    <row r="2337" spans="5:27" x14ac:dyDescent="0.35">
      <c r="E2337" s="137"/>
      <c r="F2337" s="137"/>
      <c r="G2337" s="190"/>
      <c r="H2337" s="137"/>
      <c r="I2337" s="137"/>
      <c r="J2337" s="137"/>
      <c r="M2337" s="143"/>
      <c r="N2337" s="143"/>
      <c r="O2337" s="143"/>
      <c r="P2337" s="143"/>
      <c r="Q2337" s="137"/>
      <c r="R2337" s="137"/>
      <c r="S2337" s="137"/>
      <c r="T2337" s="137"/>
      <c r="U2337" s="137"/>
      <c r="V2337" s="137"/>
      <c r="W2337" s="137"/>
      <c r="X2337" s="137"/>
      <c r="Y2337" s="137"/>
      <c r="Z2337" s="137"/>
      <c r="AA2337" s="137"/>
    </row>
    <row r="2338" spans="5:27" x14ac:dyDescent="0.35">
      <c r="E2338" s="137"/>
      <c r="F2338" s="137"/>
      <c r="G2338" s="190"/>
      <c r="H2338" s="137"/>
      <c r="I2338" s="137"/>
      <c r="J2338" s="137"/>
      <c r="M2338" s="143"/>
      <c r="N2338" s="143"/>
      <c r="O2338" s="143"/>
      <c r="P2338" s="143"/>
      <c r="Q2338" s="137"/>
      <c r="R2338" s="137"/>
      <c r="S2338" s="137"/>
      <c r="T2338" s="137"/>
      <c r="U2338" s="137"/>
      <c r="V2338" s="137"/>
      <c r="W2338" s="137"/>
      <c r="X2338" s="137"/>
      <c r="Y2338" s="137"/>
      <c r="Z2338" s="137"/>
      <c r="AA2338" s="137"/>
    </row>
    <row r="2339" spans="5:27" x14ac:dyDescent="0.35">
      <c r="E2339" s="137"/>
      <c r="F2339" s="137"/>
      <c r="G2339" s="190"/>
      <c r="H2339" s="137"/>
      <c r="I2339" s="137"/>
      <c r="J2339" s="137"/>
      <c r="M2339" s="143"/>
      <c r="N2339" s="143"/>
      <c r="O2339" s="143"/>
      <c r="P2339" s="143"/>
      <c r="Q2339" s="137"/>
      <c r="R2339" s="137"/>
      <c r="S2339" s="137"/>
      <c r="T2339" s="137"/>
      <c r="U2339" s="137"/>
      <c r="V2339" s="137"/>
      <c r="W2339" s="137"/>
      <c r="X2339" s="137"/>
      <c r="Y2339" s="137"/>
      <c r="Z2339" s="137"/>
      <c r="AA2339" s="137"/>
    </row>
    <row r="2340" spans="5:27" x14ac:dyDescent="0.35">
      <c r="E2340" s="137"/>
      <c r="F2340" s="137"/>
      <c r="G2340" s="190"/>
      <c r="H2340" s="137"/>
      <c r="I2340" s="137"/>
      <c r="J2340" s="137"/>
      <c r="M2340" s="143"/>
      <c r="N2340" s="143"/>
      <c r="O2340" s="143"/>
      <c r="P2340" s="143"/>
      <c r="Q2340" s="137"/>
      <c r="R2340" s="137"/>
      <c r="S2340" s="137"/>
      <c r="T2340" s="137"/>
      <c r="U2340" s="137"/>
      <c r="V2340" s="137"/>
      <c r="W2340" s="137"/>
      <c r="X2340" s="137"/>
      <c r="Y2340" s="137"/>
      <c r="Z2340" s="137"/>
      <c r="AA2340" s="137"/>
    </row>
    <row r="2341" spans="5:27" x14ac:dyDescent="0.35">
      <c r="E2341" s="137"/>
      <c r="F2341" s="137"/>
      <c r="G2341" s="190"/>
      <c r="H2341" s="137"/>
      <c r="I2341" s="137"/>
      <c r="J2341" s="137"/>
      <c r="M2341" s="143"/>
      <c r="N2341" s="143"/>
      <c r="O2341" s="143"/>
      <c r="P2341" s="143"/>
      <c r="Q2341" s="137"/>
      <c r="R2341" s="137"/>
      <c r="S2341" s="137"/>
      <c r="T2341" s="137"/>
      <c r="U2341" s="137"/>
      <c r="V2341" s="137"/>
      <c r="W2341" s="137"/>
      <c r="X2341" s="137"/>
      <c r="Y2341" s="137"/>
      <c r="Z2341" s="137"/>
      <c r="AA2341" s="137"/>
    </row>
    <row r="2342" spans="5:27" x14ac:dyDescent="0.35">
      <c r="E2342" s="137"/>
      <c r="F2342" s="137"/>
      <c r="G2342" s="190"/>
      <c r="H2342" s="137"/>
      <c r="I2342" s="137"/>
      <c r="J2342" s="137"/>
      <c r="M2342" s="143"/>
      <c r="N2342" s="143"/>
      <c r="O2342" s="143"/>
      <c r="P2342" s="143"/>
      <c r="Q2342" s="137"/>
      <c r="R2342" s="137"/>
      <c r="S2342" s="137"/>
      <c r="T2342" s="137"/>
      <c r="U2342" s="137"/>
      <c r="V2342" s="137"/>
      <c r="W2342" s="137"/>
      <c r="X2342" s="137"/>
      <c r="Y2342" s="137"/>
      <c r="Z2342" s="137"/>
      <c r="AA2342" s="137"/>
    </row>
    <row r="2343" spans="5:27" x14ac:dyDescent="0.35">
      <c r="E2343" s="137"/>
      <c r="F2343" s="137"/>
      <c r="G2343" s="190"/>
      <c r="H2343" s="137"/>
      <c r="I2343" s="137"/>
      <c r="J2343" s="137"/>
      <c r="M2343" s="143"/>
      <c r="N2343" s="143"/>
      <c r="O2343" s="143"/>
      <c r="P2343" s="143"/>
      <c r="Q2343" s="137"/>
      <c r="R2343" s="137"/>
      <c r="S2343" s="137"/>
      <c r="T2343" s="137"/>
      <c r="U2343" s="137"/>
      <c r="V2343" s="137"/>
      <c r="W2343" s="137"/>
      <c r="X2343" s="137"/>
      <c r="Y2343" s="137"/>
      <c r="Z2343" s="137"/>
      <c r="AA2343" s="137"/>
    </row>
    <row r="2344" spans="5:27" x14ac:dyDescent="0.35">
      <c r="E2344" s="137"/>
      <c r="F2344" s="137"/>
      <c r="G2344" s="190"/>
      <c r="H2344" s="137"/>
      <c r="I2344" s="137"/>
      <c r="J2344" s="137"/>
      <c r="M2344" s="143"/>
      <c r="N2344" s="143"/>
      <c r="O2344" s="143"/>
      <c r="P2344" s="143"/>
      <c r="Q2344" s="137"/>
      <c r="R2344" s="137"/>
      <c r="S2344" s="137"/>
      <c r="T2344" s="137"/>
      <c r="U2344" s="137"/>
      <c r="V2344" s="137"/>
      <c r="W2344" s="137"/>
      <c r="X2344" s="137"/>
      <c r="Y2344" s="137"/>
      <c r="Z2344" s="137"/>
      <c r="AA2344" s="137"/>
    </row>
    <row r="2345" spans="5:27" x14ac:dyDescent="0.35">
      <c r="E2345" s="137"/>
      <c r="F2345" s="137"/>
      <c r="G2345" s="190"/>
      <c r="H2345" s="137"/>
      <c r="I2345" s="137"/>
      <c r="J2345" s="137"/>
      <c r="M2345" s="143"/>
      <c r="N2345" s="143"/>
      <c r="O2345" s="143"/>
      <c r="P2345" s="143"/>
      <c r="Q2345" s="137"/>
      <c r="R2345" s="137"/>
      <c r="S2345" s="137"/>
      <c r="T2345" s="137"/>
      <c r="U2345" s="137"/>
      <c r="V2345" s="137"/>
      <c r="W2345" s="137"/>
      <c r="X2345" s="137"/>
      <c r="Y2345" s="137"/>
      <c r="Z2345" s="137"/>
      <c r="AA2345" s="137"/>
    </row>
    <row r="2346" spans="5:27" x14ac:dyDescent="0.35">
      <c r="E2346" s="137"/>
      <c r="F2346" s="137"/>
      <c r="G2346" s="190"/>
      <c r="H2346" s="137"/>
      <c r="I2346" s="137"/>
      <c r="J2346" s="137"/>
      <c r="M2346" s="143"/>
      <c r="N2346" s="143"/>
      <c r="O2346" s="143"/>
      <c r="P2346" s="143"/>
      <c r="Q2346" s="137"/>
      <c r="R2346" s="137"/>
      <c r="S2346" s="137"/>
      <c r="T2346" s="137"/>
      <c r="U2346" s="137"/>
      <c r="V2346" s="137"/>
      <c r="W2346" s="137"/>
      <c r="X2346" s="137"/>
      <c r="Y2346" s="137"/>
      <c r="Z2346" s="137"/>
      <c r="AA2346" s="137"/>
    </row>
    <row r="2347" spans="5:27" x14ac:dyDescent="0.35">
      <c r="E2347" s="137"/>
      <c r="F2347" s="137"/>
      <c r="G2347" s="190"/>
      <c r="H2347" s="137"/>
      <c r="I2347" s="137"/>
      <c r="J2347" s="137"/>
      <c r="M2347" s="143"/>
      <c r="N2347" s="143"/>
      <c r="O2347" s="143"/>
      <c r="P2347" s="143"/>
      <c r="Q2347" s="137"/>
      <c r="R2347" s="137"/>
      <c r="S2347" s="137"/>
      <c r="T2347" s="137"/>
      <c r="U2347" s="137"/>
      <c r="V2347" s="137"/>
      <c r="W2347" s="137"/>
      <c r="X2347" s="137"/>
      <c r="Y2347" s="137"/>
      <c r="Z2347" s="137"/>
      <c r="AA2347" s="137"/>
    </row>
    <row r="2348" spans="5:27" x14ac:dyDescent="0.35">
      <c r="E2348" s="137"/>
      <c r="F2348" s="137"/>
      <c r="G2348" s="190"/>
      <c r="H2348" s="137"/>
      <c r="I2348" s="137"/>
      <c r="J2348" s="137"/>
      <c r="M2348" s="143"/>
      <c r="N2348" s="143"/>
      <c r="O2348" s="143"/>
      <c r="P2348" s="143"/>
      <c r="Q2348" s="137"/>
      <c r="R2348" s="137"/>
      <c r="S2348" s="137"/>
      <c r="T2348" s="137"/>
      <c r="U2348" s="137"/>
      <c r="V2348" s="137"/>
      <c r="W2348" s="137"/>
      <c r="X2348" s="137"/>
      <c r="Y2348" s="137"/>
      <c r="Z2348" s="137"/>
      <c r="AA2348" s="137"/>
    </row>
    <row r="2349" spans="5:27" x14ac:dyDescent="0.35">
      <c r="E2349" s="137"/>
      <c r="F2349" s="137"/>
      <c r="G2349" s="190"/>
      <c r="H2349" s="137"/>
      <c r="I2349" s="137"/>
      <c r="J2349" s="137"/>
      <c r="M2349" s="143"/>
      <c r="N2349" s="143"/>
      <c r="O2349" s="143"/>
      <c r="P2349" s="143"/>
      <c r="Q2349" s="137"/>
      <c r="R2349" s="137"/>
      <c r="S2349" s="137"/>
      <c r="T2349" s="137"/>
      <c r="U2349" s="137"/>
      <c r="V2349" s="137"/>
      <c r="W2349" s="137"/>
      <c r="X2349" s="137"/>
      <c r="Y2349" s="137"/>
      <c r="Z2349" s="137"/>
      <c r="AA2349" s="137"/>
    </row>
    <row r="2350" spans="5:27" x14ac:dyDescent="0.35">
      <c r="E2350" s="137"/>
      <c r="F2350" s="137"/>
      <c r="G2350" s="190"/>
      <c r="H2350" s="137"/>
      <c r="I2350" s="137"/>
      <c r="J2350" s="137"/>
      <c r="M2350" s="143"/>
      <c r="N2350" s="143"/>
      <c r="O2350" s="143"/>
      <c r="P2350" s="143"/>
      <c r="Q2350" s="137"/>
      <c r="R2350" s="137"/>
      <c r="S2350" s="137"/>
      <c r="T2350" s="137"/>
      <c r="U2350" s="137"/>
      <c r="V2350" s="137"/>
      <c r="W2350" s="137"/>
      <c r="X2350" s="137"/>
      <c r="Y2350" s="137"/>
      <c r="Z2350" s="137"/>
      <c r="AA2350" s="137"/>
    </row>
    <row r="2351" spans="5:27" x14ac:dyDescent="0.35">
      <c r="E2351" s="137"/>
      <c r="F2351" s="137"/>
      <c r="G2351" s="190"/>
      <c r="H2351" s="137"/>
      <c r="I2351" s="137"/>
      <c r="J2351" s="137"/>
      <c r="M2351" s="143"/>
      <c r="N2351" s="143"/>
      <c r="O2351" s="143"/>
      <c r="P2351" s="143"/>
      <c r="Q2351" s="137"/>
      <c r="R2351" s="137"/>
      <c r="S2351" s="137"/>
      <c r="T2351" s="137"/>
      <c r="U2351" s="137"/>
      <c r="V2351" s="137"/>
      <c r="W2351" s="137"/>
      <c r="X2351" s="137"/>
      <c r="Y2351" s="137"/>
      <c r="Z2351" s="137"/>
      <c r="AA2351" s="137"/>
    </row>
    <row r="2352" spans="5:27" x14ac:dyDescent="0.35">
      <c r="E2352" s="137"/>
      <c r="F2352" s="137"/>
      <c r="G2352" s="190"/>
      <c r="H2352" s="137"/>
      <c r="I2352" s="137"/>
      <c r="J2352" s="137"/>
      <c r="M2352" s="143"/>
      <c r="N2352" s="143"/>
      <c r="O2352" s="143"/>
      <c r="P2352" s="143"/>
      <c r="Q2352" s="137"/>
      <c r="R2352" s="137"/>
      <c r="S2352" s="137"/>
      <c r="T2352" s="137"/>
      <c r="U2352" s="137"/>
      <c r="V2352" s="137"/>
      <c r="W2352" s="137"/>
      <c r="X2352" s="137"/>
      <c r="Y2352" s="137"/>
      <c r="Z2352" s="137"/>
      <c r="AA2352" s="137"/>
    </row>
    <row r="2353" spans="5:27" x14ac:dyDescent="0.35">
      <c r="E2353" s="137"/>
      <c r="F2353" s="137"/>
      <c r="G2353" s="190"/>
      <c r="H2353" s="137"/>
      <c r="I2353" s="137"/>
      <c r="J2353" s="137"/>
      <c r="M2353" s="143"/>
      <c r="N2353" s="143"/>
      <c r="O2353" s="143"/>
      <c r="P2353" s="143"/>
      <c r="Q2353" s="137"/>
      <c r="R2353" s="137"/>
      <c r="S2353" s="137"/>
      <c r="T2353" s="137"/>
      <c r="U2353" s="137"/>
      <c r="V2353" s="137"/>
      <c r="W2353" s="137"/>
      <c r="X2353" s="137"/>
      <c r="Y2353" s="137"/>
      <c r="Z2353" s="137"/>
      <c r="AA2353" s="137"/>
    </row>
    <row r="2354" spans="5:27" x14ac:dyDescent="0.35">
      <c r="E2354" s="137"/>
      <c r="F2354" s="137"/>
      <c r="G2354" s="190"/>
      <c r="H2354" s="137"/>
      <c r="I2354" s="137"/>
      <c r="J2354" s="137"/>
      <c r="M2354" s="143"/>
      <c r="N2354" s="143"/>
      <c r="O2354" s="143"/>
      <c r="P2354" s="143"/>
      <c r="Q2354" s="137"/>
      <c r="R2354" s="137"/>
      <c r="S2354" s="137"/>
      <c r="T2354" s="137"/>
      <c r="U2354" s="137"/>
      <c r="V2354" s="137"/>
      <c r="W2354" s="137"/>
      <c r="X2354" s="137"/>
      <c r="Y2354" s="137"/>
      <c r="Z2354" s="137"/>
      <c r="AA2354" s="137"/>
    </row>
    <row r="2355" spans="5:27" x14ac:dyDescent="0.35">
      <c r="E2355" s="137"/>
      <c r="F2355" s="137"/>
      <c r="G2355" s="190"/>
      <c r="H2355" s="137"/>
      <c r="I2355" s="137"/>
      <c r="J2355" s="137"/>
      <c r="M2355" s="143"/>
      <c r="N2355" s="143"/>
      <c r="O2355" s="143"/>
      <c r="P2355" s="143"/>
      <c r="Q2355" s="137"/>
      <c r="R2355" s="137"/>
      <c r="S2355" s="137"/>
      <c r="T2355" s="137"/>
      <c r="U2355" s="137"/>
      <c r="V2355" s="137"/>
      <c r="W2355" s="137"/>
      <c r="X2355" s="137"/>
      <c r="Y2355" s="137"/>
      <c r="Z2355" s="137"/>
      <c r="AA2355" s="137"/>
    </row>
    <row r="2356" spans="5:27" x14ac:dyDescent="0.35">
      <c r="E2356" s="137"/>
      <c r="F2356" s="137"/>
      <c r="G2356" s="190"/>
      <c r="H2356" s="137"/>
      <c r="I2356" s="137"/>
      <c r="J2356" s="137"/>
      <c r="M2356" s="143"/>
      <c r="N2356" s="143"/>
      <c r="O2356" s="143"/>
      <c r="P2356" s="143"/>
      <c r="Q2356" s="137"/>
      <c r="R2356" s="137"/>
      <c r="S2356" s="137"/>
      <c r="T2356" s="137"/>
      <c r="U2356" s="137"/>
      <c r="V2356" s="137"/>
      <c r="W2356" s="137"/>
      <c r="X2356" s="137"/>
      <c r="Y2356" s="137"/>
      <c r="Z2356" s="137"/>
      <c r="AA2356" s="137"/>
    </row>
    <row r="2357" spans="5:27" x14ac:dyDescent="0.35">
      <c r="E2357" s="137"/>
      <c r="F2357" s="137"/>
      <c r="G2357" s="190"/>
      <c r="H2357" s="137"/>
      <c r="I2357" s="137"/>
      <c r="J2357" s="137"/>
      <c r="M2357" s="143"/>
      <c r="N2357" s="143"/>
      <c r="O2357" s="143"/>
      <c r="P2357" s="143"/>
      <c r="Q2357" s="137"/>
      <c r="R2357" s="137"/>
      <c r="S2357" s="137"/>
      <c r="T2357" s="137"/>
      <c r="U2357" s="137"/>
      <c r="V2357" s="137"/>
      <c r="W2357" s="137"/>
      <c r="X2357" s="137"/>
      <c r="Y2357" s="137"/>
      <c r="Z2357" s="137"/>
      <c r="AA2357" s="137"/>
    </row>
    <row r="2358" spans="5:27" x14ac:dyDescent="0.35">
      <c r="E2358" s="137"/>
      <c r="F2358" s="137"/>
      <c r="G2358" s="190"/>
      <c r="H2358" s="137"/>
      <c r="I2358" s="137"/>
      <c r="J2358" s="137"/>
      <c r="M2358" s="143"/>
      <c r="N2358" s="143"/>
      <c r="O2358" s="143"/>
      <c r="P2358" s="143"/>
      <c r="Q2358" s="137"/>
      <c r="R2358" s="137"/>
      <c r="S2358" s="137"/>
      <c r="T2358" s="137"/>
      <c r="U2358" s="137"/>
      <c r="V2358" s="137"/>
      <c r="W2358" s="137"/>
      <c r="X2358" s="137"/>
      <c r="Y2358" s="137"/>
      <c r="Z2358" s="137"/>
      <c r="AA2358" s="137"/>
    </row>
    <row r="2359" spans="5:27" x14ac:dyDescent="0.35">
      <c r="E2359" s="137"/>
      <c r="F2359" s="137"/>
      <c r="G2359" s="190"/>
      <c r="H2359" s="137"/>
      <c r="I2359" s="137"/>
      <c r="J2359" s="137"/>
      <c r="M2359" s="143"/>
      <c r="N2359" s="143"/>
      <c r="O2359" s="143"/>
      <c r="P2359" s="143"/>
      <c r="Q2359" s="137"/>
      <c r="R2359" s="137"/>
      <c r="S2359" s="137"/>
      <c r="T2359" s="137"/>
      <c r="U2359" s="137"/>
      <c r="V2359" s="137"/>
      <c r="W2359" s="137"/>
      <c r="X2359" s="137"/>
      <c r="Y2359" s="137"/>
      <c r="Z2359" s="137"/>
      <c r="AA2359" s="137"/>
    </row>
    <row r="2360" spans="5:27" x14ac:dyDescent="0.35">
      <c r="E2360" s="137"/>
      <c r="F2360" s="137"/>
      <c r="G2360" s="190"/>
      <c r="H2360" s="137"/>
      <c r="I2360" s="137"/>
      <c r="J2360" s="137"/>
      <c r="M2360" s="143"/>
      <c r="N2360" s="143"/>
      <c r="O2360" s="143"/>
      <c r="P2360" s="143"/>
      <c r="Q2360" s="137"/>
      <c r="R2360" s="137"/>
      <c r="S2360" s="137"/>
      <c r="T2360" s="137"/>
      <c r="U2360" s="137"/>
      <c r="V2360" s="137"/>
      <c r="W2360" s="137"/>
      <c r="X2360" s="137"/>
      <c r="Y2360" s="137"/>
      <c r="Z2360" s="137"/>
      <c r="AA2360" s="137"/>
    </row>
    <row r="2361" spans="5:27" x14ac:dyDescent="0.35">
      <c r="E2361" s="137"/>
      <c r="F2361" s="137"/>
      <c r="G2361" s="190"/>
      <c r="H2361" s="137"/>
      <c r="I2361" s="137"/>
      <c r="J2361" s="137"/>
      <c r="M2361" s="143"/>
      <c r="N2361" s="143"/>
      <c r="O2361" s="143"/>
      <c r="P2361" s="143"/>
      <c r="Q2361" s="137"/>
      <c r="R2361" s="137"/>
      <c r="S2361" s="137"/>
      <c r="T2361" s="137"/>
      <c r="U2361" s="137"/>
      <c r="V2361" s="137"/>
      <c r="W2361" s="137"/>
      <c r="X2361" s="137"/>
      <c r="Y2361" s="137"/>
      <c r="Z2361" s="137"/>
      <c r="AA2361" s="137"/>
    </row>
    <row r="2362" spans="5:27" x14ac:dyDescent="0.35">
      <c r="E2362" s="137"/>
      <c r="F2362" s="137"/>
      <c r="G2362" s="190"/>
      <c r="H2362" s="137"/>
      <c r="I2362" s="137"/>
      <c r="J2362" s="137"/>
      <c r="M2362" s="143"/>
      <c r="N2362" s="143"/>
      <c r="O2362" s="143"/>
      <c r="P2362" s="143"/>
      <c r="Q2362" s="137"/>
      <c r="R2362" s="137"/>
      <c r="S2362" s="137"/>
      <c r="T2362" s="137"/>
      <c r="U2362" s="137"/>
      <c r="V2362" s="137"/>
      <c r="W2362" s="137"/>
      <c r="X2362" s="137"/>
      <c r="Y2362" s="137"/>
      <c r="Z2362" s="137"/>
      <c r="AA2362" s="137"/>
    </row>
    <row r="2363" spans="5:27" x14ac:dyDescent="0.35">
      <c r="E2363" s="137"/>
      <c r="F2363" s="137"/>
      <c r="G2363" s="190"/>
      <c r="H2363" s="137"/>
      <c r="I2363" s="137"/>
      <c r="J2363" s="137"/>
      <c r="M2363" s="143"/>
      <c r="N2363" s="143"/>
      <c r="O2363" s="143"/>
      <c r="P2363" s="143"/>
      <c r="Q2363" s="137"/>
      <c r="R2363" s="137"/>
      <c r="S2363" s="137"/>
      <c r="T2363" s="137"/>
      <c r="U2363" s="137"/>
      <c r="V2363" s="137"/>
      <c r="W2363" s="137"/>
      <c r="X2363" s="137"/>
      <c r="Y2363" s="137"/>
      <c r="Z2363" s="137"/>
      <c r="AA2363" s="137"/>
    </row>
    <row r="2364" spans="5:27" x14ac:dyDescent="0.35">
      <c r="E2364" s="137"/>
      <c r="F2364" s="137"/>
      <c r="G2364" s="190"/>
      <c r="H2364" s="137"/>
      <c r="I2364" s="137"/>
      <c r="J2364" s="137"/>
      <c r="M2364" s="143"/>
      <c r="N2364" s="143"/>
      <c r="O2364" s="143"/>
      <c r="P2364" s="143"/>
      <c r="Q2364" s="137"/>
      <c r="R2364" s="137"/>
      <c r="S2364" s="137"/>
      <c r="T2364" s="137"/>
      <c r="U2364" s="137"/>
      <c r="V2364" s="137"/>
      <c r="W2364" s="137"/>
      <c r="X2364" s="137"/>
      <c r="Y2364" s="137"/>
      <c r="Z2364" s="137"/>
      <c r="AA2364" s="137"/>
    </row>
    <row r="2365" spans="5:27" x14ac:dyDescent="0.35">
      <c r="E2365" s="137"/>
      <c r="F2365" s="137"/>
      <c r="G2365" s="190"/>
      <c r="H2365" s="137"/>
      <c r="I2365" s="137"/>
      <c r="J2365" s="137"/>
      <c r="M2365" s="143"/>
      <c r="N2365" s="143"/>
      <c r="O2365" s="143"/>
      <c r="P2365" s="143"/>
      <c r="Q2365" s="137"/>
      <c r="R2365" s="137"/>
      <c r="S2365" s="137"/>
      <c r="T2365" s="137"/>
      <c r="U2365" s="137"/>
      <c r="V2365" s="137"/>
      <c r="W2365" s="137"/>
      <c r="X2365" s="137"/>
      <c r="Y2365" s="137"/>
      <c r="Z2365" s="137"/>
      <c r="AA2365" s="137"/>
    </row>
    <row r="2366" spans="5:27" x14ac:dyDescent="0.35">
      <c r="E2366" s="137"/>
      <c r="F2366" s="137"/>
      <c r="G2366" s="190"/>
      <c r="H2366" s="137"/>
      <c r="I2366" s="137"/>
      <c r="J2366" s="137"/>
      <c r="M2366" s="143"/>
      <c r="N2366" s="143"/>
      <c r="O2366" s="143"/>
      <c r="P2366" s="143"/>
      <c r="Q2366" s="137"/>
      <c r="R2366" s="137"/>
      <c r="S2366" s="137"/>
      <c r="T2366" s="137"/>
      <c r="U2366" s="137"/>
      <c r="V2366" s="137"/>
      <c r="W2366" s="137"/>
      <c r="X2366" s="137"/>
      <c r="Y2366" s="137"/>
      <c r="Z2366" s="137"/>
      <c r="AA2366" s="137"/>
    </row>
    <row r="2367" spans="5:27" x14ac:dyDescent="0.35">
      <c r="E2367" s="137"/>
      <c r="F2367" s="137"/>
      <c r="G2367" s="190"/>
      <c r="H2367" s="137"/>
      <c r="I2367" s="137"/>
      <c r="J2367" s="137"/>
      <c r="M2367" s="143"/>
      <c r="N2367" s="143"/>
      <c r="O2367" s="143"/>
      <c r="P2367" s="143"/>
      <c r="Q2367" s="137"/>
      <c r="R2367" s="137"/>
      <c r="S2367" s="137"/>
      <c r="T2367" s="137"/>
      <c r="U2367" s="137"/>
      <c r="V2367" s="137"/>
      <c r="W2367" s="137"/>
      <c r="X2367" s="137"/>
      <c r="Y2367" s="137"/>
      <c r="Z2367" s="137"/>
      <c r="AA2367" s="137"/>
    </row>
    <row r="2368" spans="5:27" x14ac:dyDescent="0.35">
      <c r="E2368" s="137"/>
      <c r="F2368" s="137"/>
      <c r="G2368" s="190"/>
      <c r="H2368" s="137"/>
      <c r="I2368" s="137"/>
      <c r="J2368" s="137"/>
      <c r="M2368" s="143"/>
      <c r="N2368" s="143"/>
      <c r="O2368" s="143"/>
      <c r="P2368" s="143"/>
      <c r="Q2368" s="137"/>
      <c r="R2368" s="137"/>
      <c r="S2368" s="137"/>
      <c r="T2368" s="137"/>
      <c r="U2368" s="137"/>
      <c r="V2368" s="137"/>
      <c r="W2368" s="137"/>
      <c r="X2368" s="137"/>
      <c r="Y2368" s="137"/>
      <c r="Z2368" s="137"/>
      <c r="AA2368" s="137"/>
    </row>
    <row r="2369" spans="5:27" x14ac:dyDescent="0.35">
      <c r="E2369" s="137"/>
      <c r="F2369" s="137"/>
      <c r="G2369" s="190"/>
      <c r="H2369" s="137"/>
      <c r="I2369" s="137"/>
      <c r="J2369" s="137"/>
      <c r="M2369" s="143"/>
      <c r="N2369" s="143"/>
      <c r="O2369" s="143"/>
      <c r="P2369" s="143"/>
      <c r="Q2369" s="137"/>
      <c r="R2369" s="137"/>
      <c r="S2369" s="137"/>
      <c r="T2369" s="137"/>
      <c r="U2369" s="137"/>
      <c r="V2369" s="137"/>
      <c r="W2369" s="137"/>
      <c r="X2369" s="137"/>
      <c r="Y2369" s="137"/>
      <c r="Z2369" s="137"/>
      <c r="AA2369" s="137"/>
    </row>
    <row r="2370" spans="5:27" x14ac:dyDescent="0.35">
      <c r="E2370" s="137"/>
      <c r="F2370" s="137"/>
      <c r="G2370" s="190"/>
      <c r="H2370" s="137"/>
      <c r="I2370" s="137"/>
      <c r="J2370" s="137"/>
      <c r="M2370" s="143"/>
      <c r="N2370" s="143"/>
      <c r="O2370" s="143"/>
      <c r="P2370" s="143"/>
      <c r="Q2370" s="137"/>
      <c r="R2370" s="137"/>
      <c r="S2370" s="137"/>
      <c r="T2370" s="137"/>
      <c r="U2370" s="137"/>
      <c r="V2370" s="137"/>
      <c r="W2370" s="137"/>
      <c r="X2370" s="137"/>
      <c r="Y2370" s="137"/>
      <c r="Z2370" s="137"/>
      <c r="AA2370" s="137"/>
    </row>
    <row r="2371" spans="5:27" x14ac:dyDescent="0.35">
      <c r="E2371" s="137"/>
      <c r="F2371" s="137"/>
      <c r="G2371" s="190"/>
      <c r="H2371" s="137"/>
      <c r="I2371" s="137"/>
      <c r="J2371" s="137"/>
      <c r="M2371" s="143"/>
      <c r="N2371" s="143"/>
      <c r="O2371" s="143"/>
      <c r="P2371" s="143"/>
      <c r="Q2371" s="137"/>
      <c r="R2371" s="137"/>
      <c r="S2371" s="137"/>
      <c r="T2371" s="137"/>
      <c r="U2371" s="137"/>
      <c r="V2371" s="137"/>
      <c r="W2371" s="137"/>
      <c r="X2371" s="137"/>
      <c r="Y2371" s="137"/>
      <c r="Z2371" s="137"/>
      <c r="AA2371" s="137"/>
    </row>
    <row r="2372" spans="5:27" x14ac:dyDescent="0.35">
      <c r="E2372" s="137"/>
      <c r="F2372" s="137"/>
      <c r="G2372" s="190"/>
      <c r="H2372" s="137"/>
      <c r="I2372" s="137"/>
      <c r="J2372" s="137"/>
      <c r="M2372" s="143"/>
      <c r="N2372" s="143"/>
      <c r="O2372" s="143"/>
      <c r="P2372" s="143"/>
      <c r="Q2372" s="137"/>
      <c r="R2372" s="137"/>
      <c r="S2372" s="137"/>
      <c r="T2372" s="137"/>
      <c r="U2372" s="137"/>
      <c r="V2372" s="137"/>
      <c r="W2372" s="137"/>
      <c r="X2372" s="137"/>
      <c r="Y2372" s="137"/>
      <c r="Z2372" s="137"/>
      <c r="AA2372" s="137"/>
    </row>
    <row r="2373" spans="5:27" x14ac:dyDescent="0.35">
      <c r="E2373" s="137"/>
      <c r="F2373" s="137"/>
      <c r="G2373" s="190"/>
      <c r="H2373" s="137"/>
      <c r="I2373" s="137"/>
      <c r="J2373" s="137"/>
      <c r="M2373" s="143"/>
      <c r="N2373" s="143"/>
      <c r="O2373" s="143"/>
      <c r="P2373" s="143"/>
      <c r="Q2373" s="137"/>
      <c r="R2373" s="137"/>
      <c r="S2373" s="137"/>
      <c r="T2373" s="137"/>
      <c r="U2373" s="137"/>
      <c r="V2373" s="137"/>
      <c r="W2373" s="137"/>
      <c r="X2373" s="137"/>
      <c r="Y2373" s="137"/>
      <c r="Z2373" s="137"/>
      <c r="AA2373" s="137"/>
    </row>
    <row r="2374" spans="5:27" x14ac:dyDescent="0.35">
      <c r="E2374" s="137"/>
      <c r="F2374" s="137"/>
      <c r="G2374" s="190"/>
      <c r="H2374" s="137"/>
      <c r="I2374" s="137"/>
      <c r="J2374" s="137"/>
      <c r="M2374" s="143"/>
      <c r="N2374" s="143"/>
      <c r="O2374" s="143"/>
      <c r="P2374" s="143"/>
      <c r="Q2374" s="137"/>
      <c r="R2374" s="137"/>
      <c r="S2374" s="137"/>
      <c r="T2374" s="137"/>
      <c r="U2374" s="137"/>
      <c r="V2374" s="137"/>
      <c r="W2374" s="137"/>
      <c r="X2374" s="137"/>
      <c r="Y2374" s="137"/>
      <c r="Z2374" s="137"/>
      <c r="AA2374" s="137"/>
    </row>
    <row r="2375" spans="5:27" x14ac:dyDescent="0.35">
      <c r="E2375" s="137"/>
      <c r="F2375" s="137"/>
      <c r="G2375" s="190"/>
      <c r="H2375" s="137"/>
      <c r="I2375" s="137"/>
      <c r="J2375" s="137"/>
      <c r="M2375" s="143"/>
      <c r="N2375" s="143"/>
      <c r="O2375" s="143"/>
      <c r="P2375" s="143"/>
      <c r="Q2375" s="137"/>
      <c r="R2375" s="137"/>
      <c r="S2375" s="137"/>
      <c r="T2375" s="137"/>
      <c r="U2375" s="137"/>
      <c r="V2375" s="137"/>
      <c r="W2375" s="137"/>
      <c r="X2375" s="137"/>
      <c r="Y2375" s="137"/>
      <c r="Z2375" s="137"/>
      <c r="AA2375" s="137"/>
    </row>
    <row r="2376" spans="5:27" x14ac:dyDescent="0.35">
      <c r="E2376" s="137"/>
      <c r="F2376" s="137"/>
      <c r="G2376" s="190"/>
      <c r="H2376" s="137"/>
      <c r="I2376" s="137"/>
      <c r="J2376" s="137"/>
      <c r="M2376" s="143"/>
      <c r="N2376" s="143"/>
      <c r="O2376" s="143"/>
      <c r="P2376" s="143"/>
      <c r="Q2376" s="137"/>
      <c r="R2376" s="137"/>
      <c r="S2376" s="137"/>
      <c r="T2376" s="137"/>
      <c r="U2376" s="137"/>
      <c r="V2376" s="137"/>
      <c r="W2376" s="137"/>
      <c r="X2376" s="137"/>
      <c r="Y2376" s="137"/>
      <c r="Z2376" s="137"/>
      <c r="AA2376" s="137"/>
    </row>
    <row r="2377" spans="5:27" x14ac:dyDescent="0.35">
      <c r="E2377" s="137"/>
      <c r="F2377" s="137"/>
      <c r="G2377" s="190"/>
      <c r="H2377" s="137"/>
      <c r="I2377" s="137"/>
      <c r="J2377" s="137"/>
      <c r="M2377" s="143"/>
      <c r="N2377" s="143"/>
      <c r="O2377" s="143"/>
      <c r="P2377" s="143"/>
      <c r="Q2377" s="137"/>
      <c r="R2377" s="137"/>
      <c r="S2377" s="137"/>
      <c r="T2377" s="137"/>
      <c r="U2377" s="137"/>
      <c r="V2377" s="137"/>
      <c r="W2377" s="137"/>
      <c r="X2377" s="137"/>
      <c r="Y2377" s="137"/>
      <c r="Z2377" s="137"/>
      <c r="AA2377" s="137"/>
    </row>
    <row r="2378" spans="5:27" x14ac:dyDescent="0.35">
      <c r="E2378" s="137"/>
      <c r="F2378" s="137"/>
      <c r="G2378" s="190"/>
      <c r="H2378" s="137"/>
      <c r="I2378" s="137"/>
      <c r="J2378" s="137"/>
      <c r="M2378" s="143"/>
      <c r="N2378" s="143"/>
      <c r="O2378" s="143"/>
      <c r="P2378" s="143"/>
      <c r="Q2378" s="137"/>
      <c r="R2378" s="137"/>
      <c r="S2378" s="137"/>
      <c r="T2378" s="137"/>
      <c r="U2378" s="137"/>
      <c r="V2378" s="137"/>
      <c r="W2378" s="137"/>
      <c r="X2378" s="137"/>
      <c r="Y2378" s="137"/>
      <c r="Z2378" s="137"/>
      <c r="AA2378" s="137"/>
    </row>
    <row r="2379" spans="5:27" x14ac:dyDescent="0.35">
      <c r="E2379" s="137"/>
      <c r="F2379" s="137"/>
      <c r="G2379" s="190"/>
      <c r="H2379" s="137"/>
      <c r="I2379" s="137"/>
      <c r="J2379" s="137"/>
      <c r="M2379" s="143"/>
      <c r="N2379" s="143"/>
      <c r="O2379" s="143"/>
      <c r="P2379" s="143"/>
      <c r="Q2379" s="137"/>
      <c r="R2379" s="137"/>
      <c r="S2379" s="137"/>
      <c r="T2379" s="137"/>
      <c r="U2379" s="137"/>
      <c r="V2379" s="137"/>
      <c r="W2379" s="137"/>
      <c r="X2379" s="137"/>
      <c r="Y2379" s="137"/>
      <c r="Z2379" s="137"/>
      <c r="AA2379" s="137"/>
    </row>
    <row r="2380" spans="5:27" x14ac:dyDescent="0.35">
      <c r="E2380" s="137"/>
      <c r="F2380" s="137"/>
      <c r="G2380" s="190"/>
      <c r="H2380" s="137"/>
      <c r="I2380" s="137"/>
      <c r="J2380" s="137"/>
      <c r="M2380" s="143"/>
      <c r="N2380" s="143"/>
      <c r="O2380" s="143"/>
      <c r="P2380" s="143"/>
      <c r="Q2380" s="137"/>
      <c r="R2380" s="137"/>
      <c r="S2380" s="137"/>
      <c r="T2380" s="137"/>
      <c r="U2380" s="137"/>
      <c r="V2380" s="137"/>
      <c r="W2380" s="137"/>
      <c r="X2380" s="137"/>
      <c r="Y2380" s="137"/>
      <c r="Z2380" s="137"/>
      <c r="AA2380" s="137"/>
    </row>
    <row r="2381" spans="5:27" x14ac:dyDescent="0.35">
      <c r="E2381" s="137"/>
      <c r="F2381" s="137"/>
      <c r="G2381" s="190"/>
      <c r="H2381" s="137"/>
      <c r="I2381" s="137"/>
      <c r="J2381" s="137"/>
      <c r="M2381" s="143"/>
      <c r="N2381" s="143"/>
      <c r="O2381" s="143"/>
      <c r="P2381" s="143"/>
      <c r="Q2381" s="137"/>
      <c r="R2381" s="137"/>
      <c r="S2381" s="137"/>
      <c r="T2381" s="137"/>
      <c r="U2381" s="137"/>
      <c r="V2381" s="137"/>
      <c r="W2381" s="137"/>
      <c r="X2381" s="137"/>
      <c r="Y2381" s="137"/>
      <c r="Z2381" s="137"/>
      <c r="AA2381" s="137"/>
    </row>
    <row r="2382" spans="5:27" x14ac:dyDescent="0.35">
      <c r="E2382" s="137"/>
      <c r="F2382" s="137"/>
      <c r="G2382" s="190"/>
      <c r="H2382" s="137"/>
      <c r="I2382" s="137"/>
      <c r="J2382" s="137"/>
      <c r="M2382" s="143"/>
      <c r="N2382" s="143"/>
      <c r="O2382" s="143"/>
      <c r="P2382" s="143"/>
      <c r="Q2382" s="137"/>
      <c r="R2382" s="137"/>
      <c r="S2382" s="137"/>
      <c r="T2382" s="137"/>
      <c r="U2382" s="137"/>
      <c r="V2382" s="137"/>
      <c r="W2382" s="137"/>
      <c r="X2382" s="137"/>
      <c r="Y2382" s="137"/>
      <c r="Z2382" s="137"/>
      <c r="AA2382" s="137"/>
    </row>
    <row r="2383" spans="5:27" x14ac:dyDescent="0.35">
      <c r="E2383" s="137"/>
      <c r="F2383" s="137"/>
      <c r="G2383" s="190"/>
      <c r="H2383" s="137"/>
      <c r="I2383" s="137"/>
      <c r="J2383" s="137"/>
      <c r="M2383" s="143"/>
      <c r="N2383" s="143"/>
      <c r="O2383" s="143"/>
      <c r="P2383" s="143"/>
      <c r="Q2383" s="137"/>
      <c r="R2383" s="137"/>
      <c r="S2383" s="137"/>
      <c r="T2383" s="137"/>
      <c r="U2383" s="137"/>
      <c r="V2383" s="137"/>
      <c r="W2383" s="137"/>
      <c r="X2383" s="137"/>
      <c r="Y2383" s="137"/>
      <c r="Z2383" s="137"/>
      <c r="AA2383" s="137"/>
    </row>
    <row r="2384" spans="5:27" x14ac:dyDescent="0.35">
      <c r="E2384" s="137"/>
      <c r="F2384" s="137"/>
      <c r="G2384" s="190"/>
      <c r="H2384" s="137"/>
      <c r="I2384" s="137"/>
      <c r="J2384" s="137"/>
      <c r="M2384" s="143"/>
      <c r="N2384" s="143"/>
      <c r="O2384" s="143"/>
      <c r="P2384" s="143"/>
      <c r="Q2384" s="137"/>
      <c r="R2384" s="137"/>
      <c r="S2384" s="137"/>
      <c r="T2384" s="137"/>
      <c r="U2384" s="137"/>
      <c r="V2384" s="137"/>
      <c r="W2384" s="137"/>
      <c r="X2384" s="137"/>
      <c r="Y2384" s="137"/>
      <c r="Z2384" s="137"/>
      <c r="AA2384" s="137"/>
    </row>
    <row r="2385" spans="5:27" x14ac:dyDescent="0.35">
      <c r="E2385" s="137"/>
      <c r="F2385" s="137"/>
      <c r="G2385" s="190"/>
      <c r="H2385" s="137"/>
      <c r="I2385" s="137"/>
      <c r="J2385" s="137"/>
      <c r="M2385" s="143"/>
      <c r="N2385" s="143"/>
      <c r="O2385" s="143"/>
      <c r="P2385" s="143"/>
      <c r="Q2385" s="137"/>
      <c r="R2385" s="137"/>
      <c r="S2385" s="137"/>
      <c r="T2385" s="137"/>
      <c r="U2385" s="137"/>
      <c r="V2385" s="137"/>
      <c r="W2385" s="137"/>
      <c r="X2385" s="137"/>
      <c r="Y2385" s="137"/>
      <c r="Z2385" s="137"/>
      <c r="AA2385" s="137"/>
    </row>
    <row r="2386" spans="5:27" x14ac:dyDescent="0.35">
      <c r="E2386" s="137"/>
      <c r="F2386" s="137"/>
      <c r="G2386" s="190"/>
      <c r="H2386" s="137"/>
      <c r="I2386" s="137"/>
      <c r="J2386" s="137"/>
      <c r="M2386" s="143"/>
      <c r="N2386" s="143"/>
      <c r="O2386" s="143"/>
      <c r="P2386" s="143"/>
      <c r="Q2386" s="137"/>
      <c r="R2386" s="137"/>
      <c r="S2386" s="137"/>
      <c r="T2386" s="137"/>
      <c r="U2386" s="137"/>
      <c r="V2386" s="137"/>
      <c r="W2386" s="137"/>
      <c r="X2386" s="137"/>
      <c r="Y2386" s="137"/>
      <c r="Z2386" s="137"/>
      <c r="AA2386" s="137"/>
    </row>
    <row r="2387" spans="5:27" x14ac:dyDescent="0.35">
      <c r="E2387" s="137"/>
      <c r="F2387" s="137"/>
      <c r="G2387" s="190"/>
      <c r="H2387" s="137"/>
      <c r="I2387" s="137"/>
      <c r="J2387" s="137"/>
      <c r="M2387" s="143"/>
      <c r="N2387" s="143"/>
      <c r="O2387" s="143"/>
      <c r="P2387" s="143"/>
      <c r="Q2387" s="137"/>
      <c r="R2387" s="137"/>
      <c r="S2387" s="137"/>
      <c r="T2387" s="137"/>
      <c r="U2387" s="137"/>
      <c r="V2387" s="137"/>
      <c r="W2387" s="137"/>
      <c r="X2387" s="137"/>
      <c r="Y2387" s="137"/>
      <c r="Z2387" s="137"/>
      <c r="AA2387" s="137"/>
    </row>
    <row r="2388" spans="5:27" x14ac:dyDescent="0.35">
      <c r="E2388" s="137"/>
      <c r="F2388" s="137"/>
      <c r="G2388" s="190"/>
      <c r="H2388" s="137"/>
      <c r="I2388" s="137"/>
      <c r="J2388" s="137"/>
      <c r="M2388" s="143"/>
      <c r="N2388" s="143"/>
      <c r="O2388" s="143"/>
      <c r="P2388" s="143"/>
      <c r="Q2388" s="137"/>
      <c r="R2388" s="137"/>
      <c r="S2388" s="137"/>
      <c r="T2388" s="137"/>
      <c r="U2388" s="137"/>
      <c r="V2388" s="137"/>
      <c r="W2388" s="137"/>
      <c r="X2388" s="137"/>
      <c r="Y2388" s="137"/>
      <c r="Z2388" s="137"/>
      <c r="AA2388" s="137"/>
    </row>
    <row r="2389" spans="5:27" x14ac:dyDescent="0.35">
      <c r="E2389" s="137"/>
      <c r="F2389" s="137"/>
      <c r="G2389" s="190"/>
      <c r="H2389" s="137"/>
      <c r="I2389" s="137"/>
      <c r="J2389" s="137"/>
      <c r="M2389" s="143"/>
      <c r="N2389" s="143"/>
      <c r="O2389" s="143"/>
      <c r="P2389" s="143"/>
      <c r="Q2389" s="137"/>
      <c r="R2389" s="137"/>
      <c r="S2389" s="137"/>
      <c r="T2389" s="137"/>
      <c r="U2389" s="137"/>
      <c r="V2389" s="137"/>
      <c r="W2389" s="137"/>
      <c r="X2389" s="137"/>
      <c r="Y2389" s="137"/>
      <c r="Z2389" s="137"/>
      <c r="AA2389" s="137"/>
    </row>
    <row r="2390" spans="5:27" x14ac:dyDescent="0.35">
      <c r="E2390" s="137"/>
      <c r="F2390" s="137"/>
      <c r="G2390" s="190"/>
      <c r="H2390" s="137"/>
      <c r="I2390" s="137"/>
      <c r="J2390" s="137"/>
      <c r="M2390" s="143"/>
      <c r="N2390" s="143"/>
      <c r="O2390" s="143"/>
      <c r="P2390" s="143"/>
      <c r="Q2390" s="137"/>
      <c r="R2390" s="137"/>
      <c r="S2390" s="137"/>
      <c r="T2390" s="137"/>
      <c r="U2390" s="137"/>
      <c r="V2390" s="137"/>
      <c r="W2390" s="137"/>
      <c r="X2390" s="137"/>
      <c r="Y2390" s="137"/>
      <c r="Z2390" s="137"/>
      <c r="AA2390" s="137"/>
    </row>
    <row r="2391" spans="5:27" x14ac:dyDescent="0.35">
      <c r="E2391" s="137"/>
      <c r="F2391" s="137"/>
      <c r="G2391" s="190"/>
      <c r="H2391" s="137"/>
      <c r="I2391" s="137"/>
      <c r="J2391" s="137"/>
      <c r="M2391" s="143"/>
      <c r="N2391" s="143"/>
      <c r="O2391" s="143"/>
      <c r="P2391" s="143"/>
      <c r="Q2391" s="137"/>
      <c r="R2391" s="137"/>
      <c r="S2391" s="137"/>
      <c r="T2391" s="137"/>
      <c r="U2391" s="137"/>
      <c r="V2391" s="137"/>
      <c r="W2391" s="137"/>
      <c r="X2391" s="137"/>
      <c r="Y2391" s="137"/>
      <c r="Z2391" s="137"/>
      <c r="AA2391" s="137"/>
    </row>
    <row r="2392" spans="5:27" x14ac:dyDescent="0.35">
      <c r="E2392" s="137"/>
      <c r="F2392" s="137"/>
      <c r="G2392" s="190"/>
      <c r="H2392" s="137"/>
      <c r="I2392" s="137"/>
      <c r="J2392" s="137"/>
      <c r="M2392" s="143"/>
      <c r="N2392" s="143"/>
      <c r="O2392" s="143"/>
      <c r="P2392" s="143"/>
      <c r="Q2392" s="137"/>
      <c r="R2392" s="137"/>
      <c r="S2392" s="137"/>
      <c r="T2392" s="137"/>
      <c r="U2392" s="137"/>
      <c r="V2392" s="137"/>
      <c r="W2392" s="137"/>
      <c r="X2392" s="137"/>
      <c r="Y2392" s="137"/>
      <c r="Z2392" s="137"/>
      <c r="AA2392" s="137"/>
    </row>
    <row r="2393" spans="5:27" x14ac:dyDescent="0.35">
      <c r="E2393" s="137"/>
      <c r="F2393" s="137"/>
      <c r="G2393" s="190"/>
      <c r="H2393" s="137"/>
      <c r="I2393" s="137"/>
      <c r="J2393" s="137"/>
      <c r="M2393" s="143"/>
      <c r="N2393" s="143"/>
      <c r="O2393" s="143"/>
      <c r="P2393" s="143"/>
      <c r="Q2393" s="137"/>
      <c r="R2393" s="137"/>
      <c r="S2393" s="137"/>
      <c r="T2393" s="137"/>
      <c r="U2393" s="137"/>
      <c r="V2393" s="137"/>
      <c r="W2393" s="137"/>
      <c r="X2393" s="137"/>
      <c r="Y2393" s="137"/>
      <c r="Z2393" s="137"/>
      <c r="AA2393" s="137"/>
    </row>
    <row r="2394" spans="5:27" x14ac:dyDescent="0.35">
      <c r="E2394" s="137"/>
      <c r="F2394" s="137"/>
      <c r="G2394" s="190"/>
      <c r="H2394" s="137"/>
      <c r="I2394" s="137"/>
      <c r="J2394" s="137"/>
      <c r="M2394" s="143"/>
      <c r="N2394" s="143"/>
      <c r="O2394" s="143"/>
      <c r="P2394" s="143"/>
      <c r="Q2394" s="137"/>
      <c r="R2394" s="137"/>
      <c r="S2394" s="137"/>
      <c r="T2394" s="137"/>
      <c r="U2394" s="137"/>
      <c r="V2394" s="137"/>
      <c r="W2394" s="137"/>
      <c r="X2394" s="137"/>
      <c r="Y2394" s="137"/>
      <c r="Z2394" s="137"/>
      <c r="AA2394" s="137"/>
    </row>
    <row r="2395" spans="5:27" x14ac:dyDescent="0.35">
      <c r="E2395" s="137"/>
      <c r="F2395" s="137"/>
      <c r="G2395" s="190"/>
      <c r="H2395" s="137"/>
      <c r="I2395" s="137"/>
      <c r="J2395" s="137"/>
      <c r="M2395" s="143"/>
      <c r="N2395" s="143"/>
      <c r="O2395" s="143"/>
      <c r="P2395" s="143"/>
      <c r="Q2395" s="137"/>
      <c r="R2395" s="137"/>
      <c r="S2395" s="137"/>
      <c r="T2395" s="137"/>
      <c r="U2395" s="137"/>
      <c r="V2395" s="137"/>
      <c r="W2395" s="137"/>
      <c r="X2395" s="137"/>
      <c r="Y2395" s="137"/>
      <c r="Z2395" s="137"/>
      <c r="AA2395" s="137"/>
    </row>
    <row r="2396" spans="5:27" x14ac:dyDescent="0.35">
      <c r="E2396" s="137"/>
      <c r="F2396" s="137"/>
      <c r="G2396" s="190"/>
      <c r="H2396" s="137"/>
      <c r="I2396" s="137"/>
      <c r="J2396" s="137"/>
      <c r="M2396" s="143"/>
      <c r="N2396" s="143"/>
      <c r="O2396" s="143"/>
      <c r="P2396" s="143"/>
      <c r="Q2396" s="137"/>
      <c r="R2396" s="137"/>
      <c r="S2396" s="137"/>
      <c r="T2396" s="137"/>
      <c r="U2396" s="137"/>
      <c r="V2396" s="137"/>
      <c r="W2396" s="137"/>
      <c r="X2396" s="137"/>
      <c r="Y2396" s="137"/>
      <c r="Z2396" s="137"/>
      <c r="AA2396" s="137"/>
    </row>
    <row r="2397" spans="5:27" x14ac:dyDescent="0.35">
      <c r="E2397" s="137"/>
      <c r="F2397" s="137"/>
      <c r="G2397" s="190"/>
      <c r="H2397" s="137"/>
      <c r="I2397" s="137"/>
      <c r="J2397" s="137"/>
      <c r="M2397" s="143"/>
      <c r="N2397" s="143"/>
      <c r="O2397" s="143"/>
      <c r="P2397" s="143"/>
      <c r="Q2397" s="137"/>
      <c r="R2397" s="137"/>
      <c r="S2397" s="137"/>
      <c r="T2397" s="137"/>
      <c r="U2397" s="137"/>
      <c r="V2397" s="137"/>
      <c r="W2397" s="137"/>
      <c r="X2397" s="137"/>
      <c r="Y2397" s="137"/>
      <c r="Z2397" s="137"/>
      <c r="AA2397" s="137"/>
    </row>
    <row r="2398" spans="5:27" x14ac:dyDescent="0.35">
      <c r="E2398" s="137"/>
      <c r="F2398" s="137"/>
      <c r="G2398" s="190"/>
      <c r="H2398" s="137"/>
      <c r="I2398" s="137"/>
      <c r="J2398" s="137"/>
      <c r="M2398" s="143"/>
      <c r="N2398" s="143"/>
      <c r="O2398" s="143"/>
      <c r="P2398" s="143"/>
      <c r="Q2398" s="137"/>
      <c r="R2398" s="137"/>
      <c r="S2398" s="137"/>
      <c r="T2398" s="137"/>
      <c r="U2398" s="137"/>
      <c r="V2398" s="137"/>
      <c r="W2398" s="137"/>
      <c r="X2398" s="137"/>
      <c r="Y2398" s="137"/>
      <c r="Z2398" s="137"/>
      <c r="AA2398" s="137"/>
    </row>
    <row r="2399" spans="5:27" x14ac:dyDescent="0.35">
      <c r="E2399" s="137"/>
      <c r="F2399" s="137"/>
      <c r="G2399" s="190"/>
      <c r="H2399" s="137"/>
      <c r="I2399" s="137"/>
      <c r="J2399" s="137"/>
      <c r="M2399" s="143"/>
      <c r="N2399" s="143"/>
      <c r="O2399" s="143"/>
      <c r="P2399" s="143"/>
      <c r="Q2399" s="137"/>
      <c r="R2399" s="137"/>
      <c r="S2399" s="137"/>
      <c r="T2399" s="137"/>
      <c r="U2399" s="137"/>
      <c r="V2399" s="137"/>
      <c r="W2399" s="137"/>
      <c r="X2399" s="137"/>
      <c r="Y2399" s="137"/>
      <c r="Z2399" s="137"/>
      <c r="AA2399" s="137"/>
    </row>
    <row r="2400" spans="5:27" x14ac:dyDescent="0.35">
      <c r="E2400" s="137"/>
      <c r="F2400" s="137"/>
      <c r="G2400" s="190"/>
      <c r="H2400" s="137"/>
      <c r="I2400" s="137"/>
      <c r="J2400" s="137"/>
      <c r="M2400" s="143"/>
      <c r="N2400" s="143"/>
      <c r="O2400" s="143"/>
      <c r="P2400" s="143"/>
      <c r="Q2400" s="137"/>
      <c r="R2400" s="137"/>
      <c r="S2400" s="137"/>
      <c r="T2400" s="137"/>
      <c r="U2400" s="137"/>
      <c r="V2400" s="137"/>
      <c r="W2400" s="137"/>
      <c r="X2400" s="137"/>
      <c r="Y2400" s="137"/>
      <c r="Z2400" s="137"/>
      <c r="AA2400" s="137"/>
    </row>
    <row r="2401" spans="5:27" x14ac:dyDescent="0.35">
      <c r="E2401" s="137"/>
      <c r="F2401" s="137"/>
      <c r="G2401" s="190"/>
      <c r="H2401" s="137"/>
      <c r="I2401" s="137"/>
      <c r="J2401" s="137"/>
      <c r="M2401" s="143"/>
      <c r="N2401" s="143"/>
      <c r="O2401" s="143"/>
      <c r="P2401" s="143"/>
      <c r="Q2401" s="137"/>
      <c r="R2401" s="137"/>
      <c r="S2401" s="137"/>
      <c r="T2401" s="137"/>
      <c r="U2401" s="137"/>
      <c r="V2401" s="137"/>
      <c r="W2401" s="137"/>
      <c r="X2401" s="137"/>
      <c r="Y2401" s="137"/>
      <c r="Z2401" s="137"/>
      <c r="AA2401" s="137"/>
    </row>
    <row r="2402" spans="5:27" x14ac:dyDescent="0.35">
      <c r="E2402" s="137"/>
      <c r="F2402" s="137"/>
      <c r="G2402" s="190"/>
      <c r="H2402" s="137"/>
      <c r="I2402" s="137"/>
      <c r="J2402" s="137"/>
      <c r="M2402" s="143"/>
      <c r="N2402" s="143"/>
      <c r="O2402" s="143"/>
      <c r="P2402" s="143"/>
      <c r="Q2402" s="137"/>
      <c r="R2402" s="137"/>
      <c r="S2402" s="137"/>
      <c r="T2402" s="137"/>
      <c r="U2402" s="137"/>
      <c r="V2402" s="137"/>
      <c r="W2402" s="137"/>
      <c r="X2402" s="137"/>
      <c r="Y2402" s="137"/>
      <c r="Z2402" s="137"/>
      <c r="AA2402" s="137"/>
    </row>
    <row r="2403" spans="5:27" x14ac:dyDescent="0.35">
      <c r="E2403" s="137"/>
      <c r="F2403" s="137"/>
      <c r="G2403" s="190"/>
      <c r="H2403" s="137"/>
      <c r="I2403" s="137"/>
      <c r="J2403" s="137"/>
      <c r="M2403" s="143"/>
      <c r="N2403" s="143"/>
      <c r="O2403" s="143"/>
      <c r="P2403" s="143"/>
      <c r="Q2403" s="137"/>
      <c r="R2403" s="137"/>
      <c r="S2403" s="137"/>
      <c r="T2403" s="137"/>
      <c r="U2403" s="137"/>
      <c r="V2403" s="137"/>
      <c r="W2403" s="137"/>
      <c r="X2403" s="137"/>
      <c r="Y2403" s="137"/>
      <c r="Z2403" s="137"/>
      <c r="AA2403" s="137"/>
    </row>
    <row r="2404" spans="5:27" x14ac:dyDescent="0.35">
      <c r="E2404" s="137"/>
      <c r="F2404" s="137"/>
      <c r="G2404" s="190"/>
      <c r="H2404" s="137"/>
      <c r="I2404" s="137"/>
      <c r="J2404" s="137"/>
      <c r="M2404" s="143"/>
      <c r="N2404" s="143"/>
      <c r="O2404" s="143"/>
      <c r="P2404" s="143"/>
      <c r="Q2404" s="137"/>
      <c r="R2404" s="137"/>
      <c r="S2404" s="137"/>
      <c r="T2404" s="137"/>
      <c r="U2404" s="137"/>
      <c r="V2404" s="137"/>
      <c r="W2404" s="137"/>
      <c r="X2404" s="137"/>
      <c r="Y2404" s="137"/>
      <c r="Z2404" s="137"/>
      <c r="AA2404" s="137"/>
    </row>
    <row r="2405" spans="5:27" x14ac:dyDescent="0.35">
      <c r="E2405" s="137"/>
      <c r="F2405" s="137"/>
      <c r="G2405" s="190"/>
      <c r="H2405" s="137"/>
      <c r="I2405" s="137"/>
      <c r="J2405" s="137"/>
      <c r="M2405" s="143"/>
      <c r="N2405" s="143"/>
      <c r="O2405" s="143"/>
      <c r="P2405" s="143"/>
      <c r="Q2405" s="137"/>
      <c r="R2405" s="137"/>
      <c r="S2405" s="137"/>
      <c r="T2405" s="137"/>
      <c r="U2405" s="137"/>
      <c r="V2405" s="137"/>
      <c r="W2405" s="137"/>
      <c r="X2405" s="137"/>
      <c r="Y2405" s="137"/>
      <c r="Z2405" s="137"/>
      <c r="AA2405" s="137"/>
    </row>
    <row r="2406" spans="5:27" x14ac:dyDescent="0.35">
      <c r="E2406" s="137"/>
      <c r="F2406" s="137"/>
      <c r="G2406" s="190"/>
      <c r="H2406" s="137"/>
      <c r="I2406" s="137"/>
      <c r="J2406" s="137"/>
      <c r="M2406" s="143"/>
      <c r="N2406" s="143"/>
      <c r="O2406" s="143"/>
      <c r="P2406" s="143"/>
      <c r="Q2406" s="137"/>
      <c r="R2406" s="137"/>
      <c r="S2406" s="137"/>
      <c r="T2406" s="137"/>
      <c r="U2406" s="137"/>
      <c r="V2406" s="137"/>
      <c r="W2406" s="137"/>
      <c r="X2406" s="137"/>
      <c r="Y2406" s="137"/>
      <c r="Z2406" s="137"/>
      <c r="AA2406" s="137"/>
    </row>
    <row r="2407" spans="5:27" x14ac:dyDescent="0.35">
      <c r="E2407" s="137"/>
      <c r="F2407" s="137"/>
      <c r="G2407" s="190"/>
      <c r="H2407" s="137"/>
      <c r="I2407" s="137"/>
      <c r="J2407" s="137"/>
      <c r="M2407" s="143"/>
      <c r="N2407" s="143"/>
      <c r="O2407" s="143"/>
      <c r="P2407" s="143"/>
      <c r="Q2407" s="137"/>
      <c r="R2407" s="137"/>
      <c r="S2407" s="137"/>
      <c r="T2407" s="137"/>
      <c r="U2407" s="137"/>
      <c r="V2407" s="137"/>
      <c r="W2407" s="137"/>
      <c r="X2407" s="137"/>
      <c r="Y2407" s="137"/>
      <c r="Z2407" s="137"/>
      <c r="AA2407" s="137"/>
    </row>
    <row r="2408" spans="5:27" x14ac:dyDescent="0.35">
      <c r="E2408" s="137"/>
      <c r="F2408" s="137"/>
      <c r="G2408" s="190"/>
      <c r="H2408" s="137"/>
      <c r="I2408" s="137"/>
      <c r="J2408" s="137"/>
      <c r="M2408" s="143"/>
      <c r="N2408" s="143"/>
      <c r="O2408" s="143"/>
      <c r="P2408" s="143"/>
      <c r="Q2408" s="137"/>
      <c r="R2408" s="137"/>
      <c r="S2408" s="137"/>
      <c r="T2408" s="137"/>
      <c r="U2408" s="137"/>
      <c r="V2408" s="137"/>
      <c r="W2408" s="137"/>
      <c r="X2408" s="137"/>
      <c r="Y2408" s="137"/>
      <c r="Z2408" s="137"/>
      <c r="AA2408" s="137"/>
    </row>
    <row r="2409" spans="5:27" x14ac:dyDescent="0.35">
      <c r="E2409" s="137"/>
      <c r="F2409" s="137"/>
      <c r="G2409" s="190"/>
      <c r="H2409" s="137"/>
      <c r="I2409" s="137"/>
      <c r="J2409" s="137"/>
      <c r="M2409" s="143"/>
      <c r="N2409" s="143"/>
      <c r="O2409" s="143"/>
      <c r="P2409" s="143"/>
      <c r="Q2409" s="137"/>
      <c r="R2409" s="137"/>
      <c r="S2409" s="137"/>
      <c r="T2409" s="137"/>
      <c r="U2409" s="137"/>
      <c r="V2409" s="137"/>
      <c r="W2409" s="137"/>
      <c r="X2409" s="137"/>
      <c r="Y2409" s="137"/>
      <c r="Z2409" s="137"/>
      <c r="AA2409" s="137"/>
    </row>
    <row r="2410" spans="5:27" x14ac:dyDescent="0.35">
      <c r="E2410" s="137"/>
      <c r="F2410" s="137"/>
      <c r="G2410" s="190"/>
      <c r="H2410" s="137"/>
      <c r="I2410" s="137"/>
      <c r="J2410" s="137"/>
      <c r="M2410" s="143"/>
      <c r="N2410" s="143"/>
      <c r="O2410" s="143"/>
      <c r="P2410" s="143"/>
      <c r="Q2410" s="137"/>
      <c r="R2410" s="137"/>
      <c r="S2410" s="137"/>
      <c r="T2410" s="137"/>
      <c r="U2410" s="137"/>
      <c r="V2410" s="137"/>
      <c r="W2410" s="137"/>
      <c r="X2410" s="137"/>
      <c r="Y2410" s="137"/>
      <c r="Z2410" s="137"/>
      <c r="AA2410" s="137"/>
    </row>
    <row r="2411" spans="5:27" x14ac:dyDescent="0.35">
      <c r="E2411" s="137"/>
      <c r="F2411" s="137"/>
      <c r="G2411" s="190"/>
      <c r="H2411" s="137"/>
      <c r="I2411" s="137"/>
      <c r="J2411" s="137"/>
      <c r="M2411" s="143"/>
      <c r="N2411" s="143"/>
      <c r="O2411" s="143"/>
      <c r="P2411" s="143"/>
      <c r="Q2411" s="137"/>
      <c r="R2411" s="137"/>
      <c r="S2411" s="137"/>
      <c r="T2411" s="137"/>
      <c r="U2411" s="137"/>
      <c r="V2411" s="137"/>
      <c r="W2411" s="137"/>
      <c r="X2411" s="137"/>
      <c r="Y2411" s="137"/>
      <c r="Z2411" s="137"/>
      <c r="AA2411" s="137"/>
    </row>
    <row r="2412" spans="5:27" x14ac:dyDescent="0.35">
      <c r="E2412" s="137"/>
      <c r="F2412" s="137"/>
      <c r="G2412" s="190"/>
      <c r="H2412" s="137"/>
      <c r="I2412" s="137"/>
      <c r="J2412" s="137"/>
      <c r="M2412" s="143"/>
      <c r="N2412" s="143"/>
      <c r="O2412" s="143"/>
      <c r="P2412" s="143"/>
      <c r="Q2412" s="137"/>
      <c r="R2412" s="137"/>
      <c r="S2412" s="137"/>
      <c r="T2412" s="137"/>
      <c r="U2412" s="137"/>
      <c r="V2412" s="137"/>
      <c r="W2412" s="137"/>
      <c r="X2412" s="137"/>
      <c r="Y2412" s="137"/>
      <c r="Z2412" s="137"/>
      <c r="AA2412" s="137"/>
    </row>
    <row r="2413" spans="5:27" x14ac:dyDescent="0.35">
      <c r="E2413" s="137"/>
      <c r="F2413" s="137"/>
      <c r="G2413" s="190"/>
      <c r="H2413" s="137"/>
      <c r="I2413" s="137"/>
      <c r="J2413" s="137"/>
      <c r="M2413" s="143"/>
      <c r="N2413" s="143"/>
      <c r="O2413" s="143"/>
      <c r="P2413" s="143"/>
      <c r="Q2413" s="137"/>
      <c r="R2413" s="137"/>
      <c r="S2413" s="137"/>
      <c r="T2413" s="137"/>
      <c r="U2413" s="137"/>
      <c r="V2413" s="137"/>
      <c r="W2413" s="137"/>
      <c r="X2413" s="137"/>
      <c r="Y2413" s="137"/>
      <c r="Z2413" s="137"/>
      <c r="AA2413" s="137"/>
    </row>
    <row r="2414" spans="5:27" x14ac:dyDescent="0.35">
      <c r="E2414" s="137"/>
      <c r="F2414" s="137"/>
      <c r="G2414" s="190"/>
      <c r="H2414" s="137"/>
      <c r="I2414" s="137"/>
      <c r="J2414" s="137"/>
      <c r="M2414" s="143"/>
      <c r="N2414" s="143"/>
      <c r="O2414" s="143"/>
      <c r="P2414" s="143"/>
      <c r="Q2414" s="137"/>
      <c r="R2414" s="137"/>
      <c r="S2414" s="137"/>
      <c r="T2414" s="137"/>
      <c r="U2414" s="137"/>
      <c r="V2414" s="137"/>
      <c r="W2414" s="137"/>
      <c r="X2414" s="137"/>
      <c r="Y2414" s="137"/>
      <c r="Z2414" s="137"/>
      <c r="AA2414" s="137"/>
    </row>
    <row r="2415" spans="5:27" x14ac:dyDescent="0.35">
      <c r="E2415" s="137"/>
      <c r="F2415" s="137"/>
      <c r="G2415" s="190"/>
      <c r="H2415" s="137"/>
      <c r="I2415" s="137"/>
      <c r="J2415" s="137"/>
      <c r="M2415" s="143"/>
      <c r="N2415" s="143"/>
      <c r="O2415" s="143"/>
      <c r="P2415" s="143"/>
      <c r="Q2415" s="137"/>
      <c r="R2415" s="137"/>
      <c r="S2415" s="137"/>
      <c r="T2415" s="137"/>
      <c r="U2415" s="137"/>
      <c r="V2415" s="137"/>
      <c r="W2415" s="137"/>
      <c r="X2415" s="137"/>
      <c r="Y2415" s="137"/>
      <c r="Z2415" s="137"/>
      <c r="AA2415" s="137"/>
    </row>
    <row r="2416" spans="5:27" x14ac:dyDescent="0.35">
      <c r="E2416" s="137"/>
      <c r="F2416" s="137"/>
      <c r="G2416" s="190"/>
      <c r="H2416" s="137"/>
      <c r="I2416" s="137"/>
      <c r="J2416" s="137"/>
      <c r="M2416" s="143"/>
      <c r="N2416" s="143"/>
      <c r="O2416" s="143"/>
      <c r="P2416" s="143"/>
      <c r="Q2416" s="137"/>
      <c r="R2416" s="137"/>
      <c r="S2416" s="137"/>
      <c r="T2416" s="137"/>
      <c r="U2416" s="137"/>
      <c r="V2416" s="137"/>
      <c r="W2416" s="137"/>
      <c r="X2416" s="137"/>
      <c r="Y2416" s="137"/>
      <c r="Z2416" s="137"/>
      <c r="AA2416" s="137"/>
    </row>
    <row r="2417" spans="5:27" x14ac:dyDescent="0.35">
      <c r="E2417" s="137"/>
      <c r="F2417" s="137"/>
      <c r="G2417" s="190"/>
      <c r="H2417" s="137"/>
      <c r="I2417" s="137"/>
      <c r="J2417" s="137"/>
      <c r="M2417" s="143"/>
      <c r="N2417" s="143"/>
      <c r="O2417" s="143"/>
      <c r="P2417" s="143"/>
      <c r="Q2417" s="137"/>
      <c r="R2417" s="137"/>
      <c r="S2417" s="137"/>
      <c r="T2417" s="137"/>
      <c r="U2417" s="137"/>
      <c r="V2417" s="137"/>
      <c r="W2417" s="137"/>
      <c r="X2417" s="137"/>
      <c r="Y2417" s="137"/>
      <c r="Z2417" s="137"/>
      <c r="AA2417" s="137"/>
    </row>
    <row r="2418" spans="5:27" x14ac:dyDescent="0.35">
      <c r="E2418" s="137"/>
      <c r="F2418" s="137"/>
      <c r="G2418" s="190"/>
      <c r="H2418" s="137"/>
      <c r="I2418" s="137"/>
      <c r="J2418" s="137"/>
      <c r="M2418" s="143"/>
      <c r="N2418" s="143"/>
      <c r="O2418" s="143"/>
      <c r="P2418" s="143"/>
      <c r="Q2418" s="137"/>
      <c r="R2418" s="137"/>
      <c r="S2418" s="137"/>
      <c r="T2418" s="137"/>
      <c r="U2418" s="137"/>
      <c r="V2418" s="137"/>
      <c r="W2418" s="137"/>
      <c r="X2418" s="137"/>
      <c r="Y2418" s="137"/>
      <c r="Z2418" s="137"/>
      <c r="AA2418" s="137"/>
    </row>
    <row r="2419" spans="5:27" x14ac:dyDescent="0.35">
      <c r="E2419" s="137"/>
      <c r="F2419" s="137"/>
      <c r="G2419" s="190"/>
      <c r="H2419" s="137"/>
      <c r="I2419" s="137"/>
      <c r="J2419" s="137"/>
      <c r="M2419" s="143"/>
      <c r="N2419" s="143"/>
      <c r="O2419" s="143"/>
      <c r="P2419" s="143"/>
      <c r="Q2419" s="137"/>
      <c r="R2419" s="137"/>
      <c r="S2419" s="137"/>
      <c r="T2419" s="137"/>
      <c r="U2419" s="137"/>
      <c r="V2419" s="137"/>
      <c r="W2419" s="137"/>
      <c r="X2419" s="137"/>
      <c r="Y2419" s="137"/>
      <c r="Z2419" s="137"/>
      <c r="AA2419" s="137"/>
    </row>
    <row r="2420" spans="5:27" x14ac:dyDescent="0.35">
      <c r="E2420" s="137"/>
      <c r="F2420" s="137"/>
      <c r="G2420" s="190"/>
      <c r="H2420" s="137"/>
      <c r="I2420" s="137"/>
      <c r="J2420" s="137"/>
      <c r="M2420" s="143"/>
      <c r="N2420" s="143"/>
      <c r="O2420" s="143"/>
      <c r="P2420" s="143"/>
      <c r="Q2420" s="137"/>
      <c r="R2420" s="137"/>
      <c r="S2420" s="137"/>
      <c r="T2420" s="137"/>
      <c r="U2420" s="137"/>
      <c r="V2420" s="137"/>
      <c r="W2420" s="137"/>
      <c r="X2420" s="137"/>
      <c r="Y2420" s="137"/>
      <c r="Z2420" s="137"/>
      <c r="AA2420" s="137"/>
    </row>
    <row r="2421" spans="5:27" x14ac:dyDescent="0.35">
      <c r="E2421" s="137"/>
      <c r="F2421" s="137"/>
      <c r="G2421" s="190"/>
      <c r="H2421" s="137"/>
      <c r="I2421" s="137"/>
      <c r="J2421" s="137"/>
      <c r="M2421" s="143"/>
      <c r="N2421" s="143"/>
      <c r="O2421" s="143"/>
      <c r="P2421" s="143"/>
      <c r="Q2421" s="137"/>
      <c r="R2421" s="137"/>
      <c r="S2421" s="137"/>
      <c r="T2421" s="137"/>
      <c r="U2421" s="137"/>
      <c r="V2421" s="137"/>
      <c r="W2421" s="137"/>
      <c r="X2421" s="137"/>
      <c r="Y2421" s="137"/>
      <c r="Z2421" s="137"/>
      <c r="AA2421" s="137"/>
    </row>
    <row r="2422" spans="5:27" x14ac:dyDescent="0.35">
      <c r="E2422" s="137"/>
      <c r="F2422" s="137"/>
      <c r="G2422" s="190"/>
      <c r="H2422" s="137"/>
      <c r="I2422" s="137"/>
      <c r="J2422" s="137"/>
      <c r="M2422" s="143"/>
      <c r="N2422" s="143"/>
      <c r="O2422" s="143"/>
      <c r="P2422" s="143"/>
      <c r="Q2422" s="137"/>
      <c r="R2422" s="137"/>
      <c r="S2422" s="137"/>
      <c r="T2422" s="137"/>
      <c r="U2422" s="137"/>
      <c r="V2422" s="137"/>
      <c r="W2422" s="137"/>
      <c r="X2422" s="137"/>
      <c r="Y2422" s="137"/>
      <c r="Z2422" s="137"/>
      <c r="AA2422" s="137"/>
    </row>
    <row r="2423" spans="5:27" x14ac:dyDescent="0.35">
      <c r="E2423" s="137"/>
      <c r="F2423" s="137"/>
      <c r="G2423" s="190"/>
      <c r="H2423" s="137"/>
      <c r="I2423" s="137"/>
      <c r="J2423" s="137"/>
      <c r="M2423" s="143"/>
      <c r="N2423" s="143"/>
      <c r="O2423" s="143"/>
      <c r="P2423" s="143"/>
      <c r="Q2423" s="137"/>
      <c r="R2423" s="137"/>
      <c r="S2423" s="137"/>
      <c r="T2423" s="137"/>
      <c r="U2423" s="137"/>
      <c r="V2423" s="137"/>
      <c r="W2423" s="137"/>
      <c r="X2423" s="137"/>
      <c r="Y2423" s="137"/>
      <c r="Z2423" s="137"/>
      <c r="AA2423" s="137"/>
    </row>
    <row r="2424" spans="5:27" x14ac:dyDescent="0.35">
      <c r="E2424" s="137"/>
      <c r="F2424" s="137"/>
      <c r="G2424" s="190"/>
      <c r="H2424" s="137"/>
      <c r="I2424" s="137"/>
      <c r="J2424" s="137"/>
      <c r="M2424" s="143"/>
      <c r="N2424" s="143"/>
      <c r="O2424" s="143"/>
      <c r="P2424" s="143"/>
      <c r="Q2424" s="137"/>
      <c r="R2424" s="137"/>
      <c r="S2424" s="137"/>
      <c r="T2424" s="137"/>
      <c r="U2424" s="137"/>
      <c r="V2424" s="137"/>
      <c r="W2424" s="137"/>
      <c r="X2424" s="137"/>
      <c r="Y2424" s="137"/>
      <c r="Z2424" s="137"/>
      <c r="AA2424" s="137"/>
    </row>
    <row r="2425" spans="5:27" x14ac:dyDescent="0.35">
      <c r="E2425" s="137"/>
      <c r="F2425" s="137"/>
      <c r="G2425" s="190"/>
      <c r="H2425" s="137"/>
      <c r="I2425" s="137"/>
      <c r="J2425" s="137"/>
      <c r="M2425" s="143"/>
      <c r="N2425" s="143"/>
      <c r="O2425" s="143"/>
      <c r="P2425" s="143"/>
      <c r="Q2425" s="137"/>
      <c r="R2425" s="137"/>
      <c r="S2425" s="137"/>
      <c r="T2425" s="137"/>
      <c r="U2425" s="137"/>
      <c r="V2425" s="137"/>
      <c r="W2425" s="137"/>
      <c r="X2425" s="137"/>
      <c r="Y2425" s="137"/>
      <c r="Z2425" s="137"/>
      <c r="AA2425" s="137"/>
    </row>
    <row r="2426" spans="5:27" x14ac:dyDescent="0.35">
      <c r="E2426" s="137"/>
      <c r="F2426" s="137"/>
      <c r="G2426" s="190"/>
      <c r="H2426" s="137"/>
      <c r="I2426" s="137"/>
      <c r="J2426" s="137"/>
      <c r="M2426" s="143"/>
      <c r="N2426" s="143"/>
      <c r="O2426" s="143"/>
      <c r="P2426" s="143"/>
      <c r="Q2426" s="137"/>
      <c r="R2426" s="137"/>
      <c r="S2426" s="137"/>
      <c r="T2426" s="137"/>
      <c r="U2426" s="137"/>
      <c r="V2426" s="137"/>
      <c r="W2426" s="137"/>
      <c r="X2426" s="137"/>
      <c r="Y2426" s="137"/>
      <c r="Z2426" s="137"/>
      <c r="AA2426" s="137"/>
    </row>
    <row r="2427" spans="5:27" x14ac:dyDescent="0.35">
      <c r="E2427" s="137"/>
      <c r="F2427" s="137"/>
      <c r="G2427" s="190"/>
      <c r="H2427" s="137"/>
      <c r="I2427" s="137"/>
      <c r="J2427" s="137"/>
      <c r="M2427" s="143"/>
      <c r="N2427" s="143"/>
      <c r="O2427" s="143"/>
      <c r="P2427" s="143"/>
      <c r="Q2427" s="137"/>
      <c r="R2427" s="137"/>
      <c r="S2427" s="137"/>
      <c r="T2427" s="137"/>
      <c r="U2427" s="137"/>
      <c r="V2427" s="137"/>
      <c r="W2427" s="137"/>
      <c r="X2427" s="137"/>
      <c r="Y2427" s="137"/>
      <c r="Z2427" s="137"/>
      <c r="AA2427" s="137"/>
    </row>
    <row r="2428" spans="5:27" x14ac:dyDescent="0.35">
      <c r="E2428" s="137"/>
      <c r="F2428" s="137"/>
      <c r="G2428" s="190"/>
      <c r="H2428" s="137"/>
      <c r="I2428" s="137"/>
      <c r="J2428" s="137"/>
      <c r="M2428" s="143"/>
      <c r="N2428" s="143"/>
      <c r="O2428" s="143"/>
      <c r="P2428" s="143"/>
      <c r="Q2428" s="137"/>
      <c r="R2428" s="137"/>
      <c r="S2428" s="137"/>
      <c r="T2428" s="137"/>
      <c r="U2428" s="137"/>
      <c r="V2428" s="137"/>
      <c r="W2428" s="137"/>
      <c r="X2428" s="137"/>
      <c r="Y2428" s="137"/>
      <c r="Z2428" s="137"/>
      <c r="AA2428" s="137"/>
    </row>
    <row r="2429" spans="5:27" x14ac:dyDescent="0.35">
      <c r="E2429" s="137"/>
      <c r="F2429" s="137"/>
      <c r="G2429" s="190"/>
      <c r="H2429" s="137"/>
      <c r="I2429" s="137"/>
      <c r="J2429" s="137"/>
      <c r="M2429" s="143"/>
      <c r="N2429" s="143"/>
      <c r="O2429" s="143"/>
      <c r="P2429" s="143"/>
      <c r="Q2429" s="137"/>
      <c r="R2429" s="137"/>
      <c r="S2429" s="137"/>
      <c r="T2429" s="137"/>
      <c r="U2429" s="137"/>
      <c r="V2429" s="137"/>
      <c r="W2429" s="137"/>
      <c r="X2429" s="137"/>
      <c r="Y2429" s="137"/>
      <c r="Z2429" s="137"/>
      <c r="AA2429" s="137"/>
    </row>
    <row r="2430" spans="5:27" x14ac:dyDescent="0.35">
      <c r="E2430" s="137"/>
      <c r="F2430" s="137"/>
      <c r="G2430" s="190"/>
      <c r="H2430" s="137"/>
      <c r="I2430" s="137"/>
      <c r="J2430" s="137"/>
      <c r="M2430" s="143"/>
      <c r="N2430" s="143"/>
      <c r="O2430" s="143"/>
      <c r="P2430" s="143"/>
      <c r="Q2430" s="137"/>
      <c r="R2430" s="137"/>
      <c r="S2430" s="137"/>
      <c r="T2430" s="137"/>
      <c r="U2430" s="137"/>
      <c r="V2430" s="137"/>
      <c r="W2430" s="137"/>
      <c r="X2430" s="137"/>
      <c r="Y2430" s="137"/>
      <c r="Z2430" s="137"/>
      <c r="AA2430" s="137"/>
    </row>
    <row r="2431" spans="5:27" x14ac:dyDescent="0.35">
      <c r="E2431" s="137"/>
      <c r="F2431" s="137"/>
      <c r="G2431" s="190"/>
      <c r="H2431" s="137"/>
      <c r="I2431" s="137"/>
      <c r="J2431" s="137"/>
      <c r="M2431" s="143"/>
      <c r="N2431" s="143"/>
      <c r="O2431" s="143"/>
      <c r="P2431" s="143"/>
      <c r="Q2431" s="137"/>
      <c r="R2431" s="137"/>
      <c r="S2431" s="137"/>
      <c r="T2431" s="137"/>
      <c r="U2431" s="137"/>
      <c r="V2431" s="137"/>
      <c r="W2431" s="137"/>
      <c r="X2431" s="137"/>
      <c r="Y2431" s="137"/>
      <c r="Z2431" s="137"/>
      <c r="AA2431" s="137"/>
    </row>
    <row r="2432" spans="5:27" x14ac:dyDescent="0.35">
      <c r="E2432" s="137"/>
      <c r="F2432" s="137"/>
      <c r="G2432" s="190"/>
      <c r="H2432" s="137"/>
      <c r="I2432" s="137"/>
      <c r="J2432" s="137"/>
      <c r="M2432" s="143"/>
      <c r="N2432" s="143"/>
      <c r="O2432" s="143"/>
      <c r="P2432" s="143"/>
      <c r="Q2432" s="137"/>
      <c r="R2432" s="137"/>
      <c r="S2432" s="137"/>
      <c r="T2432" s="137"/>
      <c r="U2432" s="137"/>
      <c r="V2432" s="137"/>
      <c r="W2432" s="137"/>
      <c r="X2432" s="137"/>
      <c r="Y2432" s="137"/>
      <c r="Z2432" s="137"/>
      <c r="AA2432" s="137"/>
    </row>
    <row r="2433" spans="5:27" x14ac:dyDescent="0.35">
      <c r="E2433" s="137"/>
      <c r="F2433" s="137"/>
      <c r="G2433" s="190"/>
      <c r="H2433" s="137"/>
      <c r="I2433" s="137"/>
      <c r="J2433" s="137"/>
      <c r="M2433" s="143"/>
      <c r="N2433" s="143"/>
      <c r="O2433" s="143"/>
      <c r="P2433" s="143"/>
      <c r="Q2433" s="137"/>
      <c r="R2433" s="137"/>
      <c r="S2433" s="137"/>
      <c r="T2433" s="137"/>
      <c r="U2433" s="137"/>
      <c r="V2433" s="137"/>
      <c r="W2433" s="137"/>
      <c r="X2433" s="137"/>
      <c r="Y2433" s="137"/>
      <c r="Z2433" s="137"/>
      <c r="AA2433" s="137"/>
    </row>
    <row r="2434" spans="5:27" x14ac:dyDescent="0.35">
      <c r="E2434" s="137"/>
      <c r="F2434" s="137"/>
      <c r="G2434" s="190"/>
      <c r="H2434" s="137"/>
      <c r="I2434" s="137"/>
      <c r="J2434" s="137"/>
      <c r="M2434" s="143"/>
      <c r="N2434" s="143"/>
      <c r="O2434" s="143"/>
      <c r="P2434" s="143"/>
      <c r="Q2434" s="137"/>
      <c r="R2434" s="137"/>
      <c r="S2434" s="137"/>
      <c r="T2434" s="137"/>
      <c r="U2434" s="137"/>
      <c r="V2434" s="137"/>
      <c r="W2434" s="137"/>
      <c r="X2434" s="137"/>
      <c r="Y2434" s="137"/>
      <c r="Z2434" s="137"/>
      <c r="AA2434" s="137"/>
    </row>
    <row r="2435" spans="5:27" x14ac:dyDescent="0.35">
      <c r="E2435" s="137"/>
      <c r="F2435" s="137"/>
      <c r="G2435" s="190"/>
      <c r="H2435" s="137"/>
      <c r="I2435" s="137"/>
      <c r="J2435" s="137"/>
      <c r="M2435" s="143"/>
      <c r="N2435" s="143"/>
      <c r="O2435" s="143"/>
      <c r="P2435" s="143"/>
      <c r="Q2435" s="137"/>
      <c r="R2435" s="137"/>
      <c r="S2435" s="137"/>
      <c r="T2435" s="137"/>
      <c r="U2435" s="137"/>
      <c r="V2435" s="137"/>
      <c r="W2435" s="137"/>
      <c r="X2435" s="137"/>
      <c r="Y2435" s="137"/>
      <c r="Z2435" s="137"/>
      <c r="AA2435" s="137"/>
    </row>
    <row r="2436" spans="5:27" x14ac:dyDescent="0.35">
      <c r="E2436" s="137"/>
      <c r="F2436" s="137"/>
      <c r="G2436" s="190"/>
      <c r="H2436" s="137"/>
      <c r="I2436" s="137"/>
      <c r="J2436" s="137"/>
      <c r="M2436" s="143"/>
      <c r="N2436" s="143"/>
      <c r="O2436" s="143"/>
      <c r="P2436" s="143"/>
      <c r="Q2436" s="137"/>
      <c r="R2436" s="137"/>
      <c r="S2436" s="137"/>
      <c r="T2436" s="137"/>
      <c r="U2436" s="137"/>
      <c r="V2436" s="137"/>
      <c r="W2436" s="137"/>
      <c r="X2436" s="137"/>
      <c r="Y2436" s="137"/>
      <c r="Z2436" s="137"/>
      <c r="AA2436" s="137"/>
    </row>
    <row r="2437" spans="5:27" x14ac:dyDescent="0.35">
      <c r="E2437" s="137"/>
      <c r="F2437" s="137"/>
      <c r="G2437" s="190"/>
      <c r="H2437" s="137"/>
      <c r="I2437" s="137"/>
      <c r="J2437" s="137"/>
      <c r="M2437" s="143"/>
      <c r="N2437" s="143"/>
      <c r="O2437" s="143"/>
      <c r="P2437" s="143"/>
      <c r="Q2437" s="137"/>
      <c r="R2437" s="137"/>
      <c r="S2437" s="137"/>
      <c r="T2437" s="137"/>
      <c r="U2437" s="137"/>
      <c r="V2437" s="137"/>
      <c r="W2437" s="137"/>
      <c r="X2437" s="137"/>
      <c r="Y2437" s="137"/>
      <c r="Z2437" s="137"/>
      <c r="AA2437" s="137"/>
    </row>
    <row r="2438" spans="5:27" x14ac:dyDescent="0.35">
      <c r="E2438" s="137"/>
      <c r="F2438" s="137"/>
      <c r="G2438" s="190"/>
      <c r="H2438" s="137"/>
      <c r="I2438" s="137"/>
      <c r="J2438" s="137"/>
      <c r="M2438" s="143"/>
      <c r="N2438" s="143"/>
      <c r="O2438" s="143"/>
      <c r="P2438" s="143"/>
      <c r="Q2438" s="137"/>
      <c r="R2438" s="137"/>
      <c r="S2438" s="137"/>
      <c r="T2438" s="137"/>
      <c r="U2438" s="137"/>
      <c r="V2438" s="137"/>
      <c r="W2438" s="137"/>
      <c r="X2438" s="137"/>
      <c r="Y2438" s="137"/>
      <c r="Z2438" s="137"/>
      <c r="AA2438" s="137"/>
    </row>
    <row r="2439" spans="5:27" x14ac:dyDescent="0.35">
      <c r="E2439" s="137"/>
      <c r="F2439" s="137"/>
      <c r="G2439" s="190"/>
      <c r="H2439" s="137"/>
      <c r="I2439" s="137"/>
      <c r="J2439" s="137"/>
      <c r="M2439" s="143"/>
      <c r="N2439" s="143"/>
      <c r="O2439" s="143"/>
      <c r="P2439" s="143"/>
      <c r="Q2439" s="137"/>
      <c r="R2439" s="137"/>
      <c r="S2439" s="137"/>
      <c r="T2439" s="137"/>
      <c r="U2439" s="137"/>
      <c r="V2439" s="137"/>
      <c r="W2439" s="137"/>
      <c r="X2439" s="137"/>
      <c r="Y2439" s="137"/>
      <c r="Z2439" s="137"/>
      <c r="AA2439" s="137"/>
    </row>
    <row r="2440" spans="5:27" x14ac:dyDescent="0.35">
      <c r="E2440" s="137"/>
      <c r="F2440" s="137"/>
      <c r="G2440" s="190"/>
      <c r="H2440" s="137"/>
      <c r="I2440" s="137"/>
      <c r="J2440" s="137"/>
      <c r="M2440" s="143"/>
      <c r="N2440" s="143"/>
      <c r="O2440" s="143"/>
      <c r="P2440" s="143"/>
      <c r="Q2440" s="137"/>
      <c r="R2440" s="137"/>
      <c r="S2440" s="137"/>
      <c r="T2440" s="137"/>
      <c r="U2440" s="137"/>
      <c r="V2440" s="137"/>
      <c r="W2440" s="137"/>
      <c r="X2440" s="137"/>
      <c r="Y2440" s="137"/>
      <c r="Z2440" s="137"/>
      <c r="AA2440" s="137"/>
    </row>
    <row r="2441" spans="5:27" x14ac:dyDescent="0.35">
      <c r="E2441" s="137"/>
      <c r="F2441" s="137"/>
      <c r="G2441" s="190"/>
      <c r="H2441" s="137"/>
      <c r="I2441" s="137"/>
      <c r="J2441" s="137"/>
      <c r="M2441" s="143"/>
      <c r="N2441" s="143"/>
      <c r="O2441" s="143"/>
      <c r="P2441" s="143"/>
      <c r="Q2441" s="137"/>
      <c r="R2441" s="137"/>
      <c r="S2441" s="137"/>
      <c r="T2441" s="137"/>
      <c r="U2441" s="137"/>
      <c r="V2441" s="137"/>
      <c r="W2441" s="137"/>
      <c r="X2441" s="137"/>
      <c r="Y2441" s="137"/>
      <c r="Z2441" s="137"/>
      <c r="AA2441" s="137"/>
    </row>
    <row r="2442" spans="5:27" x14ac:dyDescent="0.35">
      <c r="E2442" s="137"/>
      <c r="F2442" s="137"/>
      <c r="G2442" s="190"/>
      <c r="H2442" s="137"/>
      <c r="I2442" s="137"/>
      <c r="J2442" s="137"/>
      <c r="M2442" s="143"/>
      <c r="N2442" s="143"/>
      <c r="O2442" s="143"/>
      <c r="P2442" s="143"/>
      <c r="Q2442" s="137"/>
      <c r="R2442" s="137"/>
      <c r="S2442" s="137"/>
      <c r="T2442" s="137"/>
      <c r="U2442" s="137"/>
      <c r="V2442" s="137"/>
      <c r="W2442" s="137"/>
      <c r="X2442" s="137"/>
      <c r="Y2442" s="137"/>
      <c r="Z2442" s="137"/>
      <c r="AA2442" s="137"/>
    </row>
    <row r="2443" spans="5:27" x14ac:dyDescent="0.35">
      <c r="E2443" s="137"/>
      <c r="F2443" s="137"/>
      <c r="G2443" s="190"/>
      <c r="H2443" s="137"/>
      <c r="I2443" s="137"/>
      <c r="J2443" s="137"/>
      <c r="M2443" s="143"/>
      <c r="N2443" s="143"/>
      <c r="O2443" s="143"/>
      <c r="P2443" s="143"/>
      <c r="Q2443" s="137"/>
      <c r="R2443" s="137"/>
      <c r="S2443" s="137"/>
      <c r="T2443" s="137"/>
      <c r="U2443" s="137"/>
      <c r="V2443" s="137"/>
      <c r="W2443" s="137"/>
      <c r="X2443" s="137"/>
      <c r="Y2443" s="137"/>
      <c r="Z2443" s="137"/>
      <c r="AA2443" s="137"/>
    </row>
    <row r="2444" spans="5:27" x14ac:dyDescent="0.35">
      <c r="E2444" s="137"/>
      <c r="F2444" s="137"/>
      <c r="G2444" s="190"/>
      <c r="H2444" s="137"/>
      <c r="I2444" s="137"/>
      <c r="J2444" s="137"/>
      <c r="M2444" s="143"/>
      <c r="N2444" s="143"/>
      <c r="O2444" s="143"/>
      <c r="P2444" s="143"/>
      <c r="Q2444" s="137"/>
      <c r="R2444" s="137"/>
      <c r="S2444" s="137"/>
      <c r="T2444" s="137"/>
      <c r="U2444" s="137"/>
      <c r="V2444" s="137"/>
      <c r="W2444" s="137"/>
      <c r="X2444" s="137"/>
      <c r="Y2444" s="137"/>
      <c r="Z2444" s="137"/>
      <c r="AA2444" s="137"/>
    </row>
    <row r="2445" spans="5:27" x14ac:dyDescent="0.35">
      <c r="E2445" s="137"/>
      <c r="F2445" s="137"/>
      <c r="G2445" s="190"/>
      <c r="H2445" s="137"/>
      <c r="I2445" s="137"/>
      <c r="J2445" s="137"/>
      <c r="M2445" s="143"/>
      <c r="N2445" s="143"/>
      <c r="O2445" s="143"/>
      <c r="P2445" s="143"/>
      <c r="Q2445" s="137"/>
      <c r="R2445" s="137"/>
      <c r="S2445" s="137"/>
      <c r="T2445" s="137"/>
      <c r="U2445" s="137"/>
      <c r="V2445" s="137"/>
      <c r="W2445" s="137"/>
      <c r="X2445" s="137"/>
      <c r="Y2445" s="137"/>
      <c r="Z2445" s="137"/>
      <c r="AA2445" s="137"/>
    </row>
    <row r="2446" spans="5:27" x14ac:dyDescent="0.35">
      <c r="E2446" s="137"/>
      <c r="F2446" s="137"/>
      <c r="G2446" s="190"/>
      <c r="H2446" s="137"/>
      <c r="I2446" s="137"/>
      <c r="J2446" s="137"/>
      <c r="M2446" s="143"/>
      <c r="N2446" s="143"/>
      <c r="O2446" s="143"/>
      <c r="P2446" s="143"/>
      <c r="Q2446" s="137"/>
      <c r="R2446" s="137"/>
      <c r="S2446" s="137"/>
      <c r="T2446" s="137"/>
      <c r="U2446" s="137"/>
      <c r="V2446" s="137"/>
      <c r="W2446" s="137"/>
      <c r="X2446" s="137"/>
      <c r="Y2446" s="137"/>
      <c r="Z2446" s="137"/>
      <c r="AA2446" s="137"/>
    </row>
    <row r="2447" spans="5:27" x14ac:dyDescent="0.35">
      <c r="E2447" s="137"/>
      <c r="F2447" s="137"/>
      <c r="G2447" s="190"/>
      <c r="H2447" s="137"/>
      <c r="I2447" s="137"/>
      <c r="J2447" s="137"/>
      <c r="M2447" s="143"/>
      <c r="N2447" s="143"/>
      <c r="O2447" s="143"/>
      <c r="P2447" s="143"/>
      <c r="Q2447" s="137"/>
      <c r="R2447" s="137"/>
      <c r="S2447" s="137"/>
      <c r="T2447" s="137"/>
      <c r="U2447" s="137"/>
      <c r="V2447" s="137"/>
      <c r="W2447" s="137"/>
      <c r="X2447" s="137"/>
      <c r="Y2447" s="137"/>
      <c r="Z2447" s="137"/>
      <c r="AA2447" s="137"/>
    </row>
    <row r="2448" spans="5:27" x14ac:dyDescent="0.35">
      <c r="E2448" s="137"/>
      <c r="F2448" s="137"/>
      <c r="G2448" s="190"/>
      <c r="H2448" s="137"/>
      <c r="I2448" s="137"/>
      <c r="J2448" s="137"/>
      <c r="M2448" s="143"/>
      <c r="N2448" s="143"/>
      <c r="O2448" s="143"/>
      <c r="P2448" s="143"/>
      <c r="Q2448" s="137"/>
      <c r="R2448" s="137"/>
      <c r="S2448" s="137"/>
      <c r="T2448" s="137"/>
      <c r="U2448" s="137"/>
      <c r="V2448" s="137"/>
      <c r="W2448" s="137"/>
      <c r="X2448" s="137"/>
      <c r="Y2448" s="137"/>
      <c r="Z2448" s="137"/>
      <c r="AA2448" s="137"/>
    </row>
    <row r="2449" spans="5:27" x14ac:dyDescent="0.35">
      <c r="E2449" s="137"/>
      <c r="F2449" s="137"/>
      <c r="G2449" s="190"/>
      <c r="H2449" s="137"/>
      <c r="I2449" s="137"/>
      <c r="J2449" s="137"/>
      <c r="M2449" s="143"/>
      <c r="N2449" s="143"/>
      <c r="O2449" s="143"/>
      <c r="P2449" s="143"/>
      <c r="Q2449" s="137"/>
      <c r="R2449" s="137"/>
      <c r="S2449" s="137"/>
      <c r="T2449" s="137"/>
      <c r="U2449" s="137"/>
      <c r="V2449" s="137"/>
      <c r="W2449" s="137"/>
      <c r="X2449" s="137"/>
      <c r="Y2449" s="137"/>
      <c r="Z2449" s="137"/>
      <c r="AA2449" s="137"/>
    </row>
    <row r="2450" spans="5:27" x14ac:dyDescent="0.35">
      <c r="E2450" s="137"/>
      <c r="F2450" s="137"/>
      <c r="G2450" s="190"/>
      <c r="H2450" s="137"/>
      <c r="I2450" s="137"/>
      <c r="J2450" s="137"/>
      <c r="M2450" s="143"/>
      <c r="N2450" s="143"/>
      <c r="O2450" s="143"/>
      <c r="P2450" s="143"/>
      <c r="Q2450" s="137"/>
      <c r="R2450" s="137"/>
      <c r="S2450" s="137"/>
      <c r="T2450" s="137"/>
      <c r="U2450" s="137"/>
      <c r="V2450" s="137"/>
      <c r="W2450" s="137"/>
      <c r="X2450" s="137"/>
      <c r="Y2450" s="137"/>
      <c r="Z2450" s="137"/>
      <c r="AA2450" s="137"/>
    </row>
    <row r="2451" spans="5:27" x14ac:dyDescent="0.35">
      <c r="E2451" s="137"/>
      <c r="F2451" s="137"/>
      <c r="G2451" s="190"/>
      <c r="H2451" s="137"/>
      <c r="I2451" s="137"/>
      <c r="J2451" s="137"/>
      <c r="M2451" s="143"/>
      <c r="N2451" s="143"/>
      <c r="O2451" s="143"/>
      <c r="P2451" s="143"/>
      <c r="Q2451" s="137"/>
      <c r="R2451" s="137"/>
      <c r="S2451" s="137"/>
      <c r="T2451" s="137"/>
      <c r="U2451" s="137"/>
      <c r="V2451" s="137"/>
      <c r="W2451" s="137"/>
      <c r="X2451" s="137"/>
      <c r="Y2451" s="137"/>
      <c r="Z2451" s="137"/>
      <c r="AA2451" s="137"/>
    </row>
    <row r="2452" spans="5:27" x14ac:dyDescent="0.35">
      <c r="E2452" s="137"/>
      <c r="F2452" s="137"/>
      <c r="G2452" s="190"/>
      <c r="H2452" s="137"/>
      <c r="I2452" s="137"/>
      <c r="J2452" s="137"/>
      <c r="M2452" s="143"/>
      <c r="N2452" s="143"/>
      <c r="O2452" s="143"/>
      <c r="P2452" s="143"/>
      <c r="Q2452" s="137"/>
      <c r="R2452" s="137"/>
      <c r="S2452" s="137"/>
      <c r="T2452" s="137"/>
      <c r="U2452" s="137"/>
      <c r="V2452" s="137"/>
      <c r="W2452" s="137"/>
      <c r="X2452" s="137"/>
      <c r="Y2452" s="137"/>
      <c r="Z2452" s="137"/>
      <c r="AA2452" s="137"/>
    </row>
    <row r="2453" spans="5:27" x14ac:dyDescent="0.35">
      <c r="E2453" s="137"/>
      <c r="F2453" s="137"/>
      <c r="G2453" s="190"/>
      <c r="H2453" s="137"/>
      <c r="I2453" s="137"/>
      <c r="J2453" s="137"/>
      <c r="M2453" s="143"/>
      <c r="N2453" s="143"/>
      <c r="O2453" s="143"/>
      <c r="P2453" s="143"/>
      <c r="Q2453" s="137"/>
      <c r="R2453" s="137"/>
      <c r="S2453" s="137"/>
      <c r="T2453" s="137"/>
      <c r="U2453" s="137"/>
      <c r="V2453" s="137"/>
      <c r="W2453" s="137"/>
      <c r="X2453" s="137"/>
      <c r="Y2453" s="137"/>
      <c r="Z2453" s="137"/>
      <c r="AA2453" s="137"/>
    </row>
    <row r="2454" spans="5:27" x14ac:dyDescent="0.35">
      <c r="E2454" s="137"/>
      <c r="F2454" s="137"/>
      <c r="G2454" s="190"/>
      <c r="H2454" s="137"/>
      <c r="I2454" s="137"/>
      <c r="J2454" s="137"/>
      <c r="M2454" s="143"/>
      <c r="N2454" s="143"/>
      <c r="O2454" s="143"/>
      <c r="P2454" s="143"/>
      <c r="Q2454" s="137"/>
      <c r="R2454" s="137"/>
      <c r="S2454" s="137"/>
      <c r="T2454" s="137"/>
      <c r="U2454" s="137"/>
      <c r="V2454" s="137"/>
      <c r="W2454" s="137"/>
      <c r="X2454" s="137"/>
      <c r="Y2454" s="137"/>
      <c r="Z2454" s="137"/>
      <c r="AA2454" s="137"/>
    </row>
    <row r="2455" spans="5:27" x14ac:dyDescent="0.35">
      <c r="E2455" s="137"/>
      <c r="F2455" s="137"/>
      <c r="G2455" s="190"/>
      <c r="H2455" s="137"/>
      <c r="I2455" s="137"/>
      <c r="J2455" s="137"/>
      <c r="M2455" s="143"/>
      <c r="N2455" s="143"/>
      <c r="O2455" s="143"/>
      <c r="P2455" s="143"/>
      <c r="Q2455" s="137"/>
      <c r="R2455" s="137"/>
      <c r="S2455" s="137"/>
      <c r="T2455" s="137"/>
      <c r="U2455" s="137"/>
      <c r="V2455" s="137"/>
      <c r="W2455" s="137"/>
      <c r="X2455" s="137"/>
      <c r="Y2455" s="137"/>
      <c r="Z2455" s="137"/>
      <c r="AA2455" s="137"/>
    </row>
    <row r="2456" spans="5:27" x14ac:dyDescent="0.35">
      <c r="E2456" s="137"/>
      <c r="F2456" s="137"/>
      <c r="G2456" s="190"/>
      <c r="H2456" s="137"/>
      <c r="I2456" s="137"/>
      <c r="J2456" s="137"/>
      <c r="M2456" s="143"/>
      <c r="N2456" s="143"/>
      <c r="O2456" s="143"/>
      <c r="P2456" s="143"/>
      <c r="Q2456" s="137"/>
      <c r="R2456" s="137"/>
      <c r="S2456" s="137"/>
      <c r="T2456" s="137"/>
      <c r="U2456" s="137"/>
      <c r="V2456" s="137"/>
      <c r="W2456" s="137"/>
      <c r="X2456" s="137"/>
      <c r="Y2456" s="137"/>
      <c r="Z2456" s="137"/>
      <c r="AA2456" s="137"/>
    </row>
    <row r="2457" spans="5:27" x14ac:dyDescent="0.35">
      <c r="E2457" s="137"/>
      <c r="F2457" s="137"/>
      <c r="G2457" s="190"/>
      <c r="H2457" s="137"/>
      <c r="I2457" s="137"/>
      <c r="J2457" s="137"/>
      <c r="M2457" s="143"/>
      <c r="N2457" s="143"/>
      <c r="O2457" s="143"/>
      <c r="P2457" s="143"/>
      <c r="Q2457" s="137"/>
      <c r="R2457" s="137"/>
      <c r="S2457" s="137"/>
      <c r="T2457" s="137"/>
      <c r="U2457" s="137"/>
      <c r="V2457" s="137"/>
      <c r="W2457" s="137"/>
      <c r="X2457" s="137"/>
      <c r="Y2457" s="137"/>
      <c r="Z2457" s="137"/>
      <c r="AA2457" s="137"/>
    </row>
    <row r="2458" spans="5:27" x14ac:dyDescent="0.35">
      <c r="E2458" s="137"/>
      <c r="F2458" s="137"/>
      <c r="G2458" s="190"/>
      <c r="H2458" s="137"/>
      <c r="I2458" s="137"/>
      <c r="J2458" s="137"/>
      <c r="M2458" s="143"/>
      <c r="N2458" s="143"/>
      <c r="O2458" s="143"/>
      <c r="P2458" s="143"/>
      <c r="Q2458" s="137"/>
      <c r="R2458" s="137"/>
      <c r="S2458" s="137"/>
      <c r="T2458" s="137"/>
      <c r="U2458" s="137"/>
      <c r="V2458" s="137"/>
      <c r="W2458" s="137"/>
      <c r="X2458" s="137"/>
      <c r="Y2458" s="137"/>
      <c r="Z2458" s="137"/>
      <c r="AA2458" s="137"/>
    </row>
    <row r="2459" spans="5:27" x14ac:dyDescent="0.35">
      <c r="E2459" s="137"/>
      <c r="F2459" s="137"/>
      <c r="G2459" s="190"/>
      <c r="H2459" s="137"/>
      <c r="I2459" s="137"/>
      <c r="J2459" s="137"/>
      <c r="M2459" s="143"/>
      <c r="N2459" s="143"/>
      <c r="O2459" s="143"/>
      <c r="P2459" s="143"/>
      <c r="Q2459" s="137"/>
      <c r="R2459" s="137"/>
      <c r="S2459" s="137"/>
      <c r="T2459" s="137"/>
      <c r="U2459" s="137"/>
      <c r="V2459" s="137"/>
      <c r="W2459" s="137"/>
      <c r="X2459" s="137"/>
      <c r="Y2459" s="137"/>
      <c r="Z2459" s="137"/>
      <c r="AA2459" s="137"/>
    </row>
    <row r="2460" spans="5:27" x14ac:dyDescent="0.35">
      <c r="E2460" s="137"/>
      <c r="F2460" s="137"/>
      <c r="G2460" s="190"/>
      <c r="H2460" s="137"/>
      <c r="I2460" s="137"/>
      <c r="J2460" s="137"/>
      <c r="M2460" s="143"/>
      <c r="N2460" s="143"/>
      <c r="O2460" s="143"/>
      <c r="P2460" s="143"/>
      <c r="Q2460" s="137"/>
      <c r="R2460" s="137"/>
      <c r="S2460" s="137"/>
      <c r="T2460" s="137"/>
      <c r="U2460" s="137"/>
      <c r="V2460" s="137"/>
      <c r="W2460" s="137"/>
      <c r="X2460" s="137"/>
      <c r="Y2460" s="137"/>
      <c r="Z2460" s="137"/>
      <c r="AA2460" s="137"/>
    </row>
    <row r="2461" spans="5:27" x14ac:dyDescent="0.35">
      <c r="E2461" s="137"/>
      <c r="F2461" s="137"/>
      <c r="G2461" s="190"/>
      <c r="H2461" s="137"/>
      <c r="I2461" s="137"/>
      <c r="J2461" s="137"/>
      <c r="M2461" s="143"/>
      <c r="N2461" s="143"/>
      <c r="O2461" s="143"/>
      <c r="P2461" s="143"/>
      <c r="Q2461" s="137"/>
      <c r="R2461" s="137"/>
      <c r="S2461" s="137"/>
      <c r="T2461" s="137"/>
      <c r="U2461" s="137"/>
      <c r="V2461" s="137"/>
      <c r="W2461" s="137"/>
      <c r="X2461" s="137"/>
      <c r="Y2461" s="137"/>
      <c r="Z2461" s="137"/>
      <c r="AA2461" s="137"/>
    </row>
    <row r="2462" spans="5:27" x14ac:dyDescent="0.35">
      <c r="E2462" s="137"/>
      <c r="F2462" s="137"/>
      <c r="G2462" s="190"/>
      <c r="H2462" s="137"/>
      <c r="I2462" s="137"/>
      <c r="J2462" s="137"/>
      <c r="M2462" s="143"/>
      <c r="N2462" s="143"/>
      <c r="O2462" s="143"/>
      <c r="P2462" s="143"/>
      <c r="Q2462" s="137"/>
      <c r="R2462" s="137"/>
      <c r="S2462" s="137"/>
      <c r="T2462" s="137"/>
      <c r="U2462" s="137"/>
      <c r="V2462" s="137"/>
      <c r="W2462" s="137"/>
      <c r="X2462" s="137"/>
      <c r="Y2462" s="137"/>
      <c r="Z2462" s="137"/>
      <c r="AA2462" s="137"/>
    </row>
    <row r="2463" spans="5:27" x14ac:dyDescent="0.35">
      <c r="E2463" s="137"/>
      <c r="F2463" s="137"/>
      <c r="G2463" s="190"/>
      <c r="H2463" s="137"/>
      <c r="I2463" s="137"/>
      <c r="J2463" s="137"/>
      <c r="M2463" s="143"/>
      <c r="N2463" s="143"/>
      <c r="O2463" s="143"/>
      <c r="P2463" s="143"/>
      <c r="Q2463" s="137"/>
      <c r="R2463" s="137"/>
      <c r="S2463" s="137"/>
      <c r="T2463" s="137"/>
      <c r="U2463" s="137"/>
      <c r="V2463" s="137"/>
      <c r="W2463" s="137"/>
      <c r="X2463" s="137"/>
      <c r="Y2463" s="137"/>
      <c r="Z2463" s="137"/>
      <c r="AA2463" s="137"/>
    </row>
    <row r="2464" spans="5:27" x14ac:dyDescent="0.35">
      <c r="E2464" s="137"/>
      <c r="F2464" s="137"/>
      <c r="G2464" s="190"/>
      <c r="H2464" s="137"/>
      <c r="I2464" s="137"/>
      <c r="J2464" s="137"/>
      <c r="M2464" s="143"/>
      <c r="N2464" s="143"/>
      <c r="O2464" s="143"/>
      <c r="P2464" s="143"/>
      <c r="Q2464" s="137"/>
      <c r="R2464" s="137"/>
      <c r="S2464" s="137"/>
      <c r="T2464" s="137"/>
      <c r="U2464" s="137"/>
      <c r="V2464" s="137"/>
      <c r="W2464" s="137"/>
      <c r="X2464" s="137"/>
      <c r="Y2464" s="137"/>
      <c r="Z2464" s="137"/>
      <c r="AA2464" s="137"/>
    </row>
    <row r="2465" spans="5:27" x14ac:dyDescent="0.35">
      <c r="E2465" s="137"/>
      <c r="F2465" s="137"/>
      <c r="G2465" s="190"/>
      <c r="H2465" s="137"/>
      <c r="I2465" s="137"/>
      <c r="J2465" s="137"/>
      <c r="M2465" s="143"/>
      <c r="N2465" s="143"/>
      <c r="O2465" s="143"/>
      <c r="P2465" s="143"/>
      <c r="Q2465" s="137"/>
      <c r="R2465" s="137"/>
      <c r="S2465" s="137"/>
      <c r="T2465" s="137"/>
      <c r="U2465" s="137"/>
      <c r="V2465" s="137"/>
      <c r="W2465" s="137"/>
      <c r="X2465" s="137"/>
      <c r="Y2465" s="137"/>
      <c r="Z2465" s="137"/>
      <c r="AA2465" s="137"/>
    </row>
    <row r="2466" spans="5:27" x14ac:dyDescent="0.35">
      <c r="E2466" s="137"/>
      <c r="F2466" s="137"/>
      <c r="G2466" s="190"/>
      <c r="H2466" s="137"/>
      <c r="I2466" s="137"/>
      <c r="J2466" s="137"/>
      <c r="M2466" s="143"/>
      <c r="N2466" s="143"/>
      <c r="O2466" s="143"/>
      <c r="P2466" s="143"/>
      <c r="Q2466" s="137"/>
      <c r="R2466" s="137"/>
      <c r="S2466" s="137"/>
      <c r="T2466" s="137"/>
      <c r="U2466" s="137"/>
      <c r="V2466" s="137"/>
      <c r="W2466" s="137"/>
      <c r="X2466" s="137"/>
      <c r="Y2466" s="137"/>
      <c r="Z2466" s="137"/>
      <c r="AA2466" s="137"/>
    </row>
    <row r="2467" spans="5:27" x14ac:dyDescent="0.35">
      <c r="E2467" s="137"/>
      <c r="F2467" s="137"/>
      <c r="G2467" s="190"/>
      <c r="H2467" s="137"/>
      <c r="I2467" s="137"/>
      <c r="J2467" s="137"/>
      <c r="M2467" s="143"/>
      <c r="N2467" s="143"/>
      <c r="O2467" s="143"/>
      <c r="P2467" s="143"/>
      <c r="Q2467" s="137"/>
      <c r="R2467" s="137"/>
      <c r="S2467" s="137"/>
      <c r="T2467" s="137"/>
      <c r="U2467" s="137"/>
      <c r="V2467" s="137"/>
      <c r="W2467" s="137"/>
      <c r="X2467" s="137"/>
      <c r="Y2467" s="137"/>
      <c r="Z2467" s="137"/>
      <c r="AA2467" s="137"/>
    </row>
    <row r="2468" spans="5:27" x14ac:dyDescent="0.35">
      <c r="E2468" s="137"/>
      <c r="F2468" s="137"/>
      <c r="G2468" s="190"/>
      <c r="H2468" s="137"/>
      <c r="I2468" s="137"/>
      <c r="J2468" s="137"/>
      <c r="M2468" s="143"/>
      <c r="N2468" s="143"/>
      <c r="O2468" s="143"/>
      <c r="P2468" s="143"/>
      <c r="Q2468" s="137"/>
      <c r="R2468" s="137"/>
      <c r="S2468" s="137"/>
      <c r="T2468" s="137"/>
      <c r="U2468" s="137"/>
      <c r="V2468" s="137"/>
      <c r="W2468" s="137"/>
      <c r="X2468" s="137"/>
      <c r="Y2468" s="137"/>
      <c r="Z2468" s="137"/>
      <c r="AA2468" s="137"/>
    </row>
    <row r="2469" spans="5:27" x14ac:dyDescent="0.35">
      <c r="E2469" s="137"/>
      <c r="F2469" s="137"/>
      <c r="G2469" s="190"/>
      <c r="H2469" s="137"/>
      <c r="I2469" s="137"/>
      <c r="J2469" s="137"/>
      <c r="M2469" s="143"/>
      <c r="N2469" s="143"/>
      <c r="O2469" s="143"/>
      <c r="P2469" s="143"/>
      <c r="Q2469" s="137"/>
      <c r="R2469" s="137"/>
      <c r="S2469" s="137"/>
      <c r="T2469" s="137"/>
      <c r="U2469" s="137"/>
      <c r="V2469" s="137"/>
      <c r="W2469" s="137"/>
      <c r="X2469" s="137"/>
      <c r="Y2469" s="137"/>
      <c r="Z2469" s="137"/>
      <c r="AA2469" s="137"/>
    </row>
    <row r="2470" spans="5:27" x14ac:dyDescent="0.35">
      <c r="E2470" s="137"/>
      <c r="F2470" s="137"/>
      <c r="G2470" s="190"/>
      <c r="H2470" s="137"/>
      <c r="I2470" s="137"/>
      <c r="J2470" s="137"/>
      <c r="M2470" s="143"/>
      <c r="N2470" s="143"/>
      <c r="O2470" s="143"/>
      <c r="P2470" s="143"/>
      <c r="Q2470" s="137"/>
      <c r="R2470" s="137"/>
      <c r="S2470" s="137"/>
      <c r="T2470" s="137"/>
      <c r="U2470" s="137"/>
      <c r="V2470" s="137"/>
      <c r="W2470" s="137"/>
      <c r="X2470" s="137"/>
      <c r="Y2470" s="137"/>
      <c r="Z2470" s="137"/>
      <c r="AA2470" s="137"/>
    </row>
    <row r="2471" spans="5:27" x14ac:dyDescent="0.35">
      <c r="E2471" s="137"/>
      <c r="F2471" s="137"/>
      <c r="G2471" s="190"/>
      <c r="H2471" s="137"/>
      <c r="I2471" s="137"/>
      <c r="J2471" s="137"/>
      <c r="M2471" s="143"/>
      <c r="N2471" s="143"/>
      <c r="O2471" s="143"/>
      <c r="P2471" s="143"/>
      <c r="Q2471" s="137"/>
      <c r="R2471" s="137"/>
      <c r="S2471" s="137"/>
      <c r="T2471" s="137"/>
      <c r="U2471" s="137"/>
      <c r="V2471" s="137"/>
      <c r="W2471" s="137"/>
      <c r="X2471" s="137"/>
      <c r="Y2471" s="137"/>
      <c r="Z2471" s="137"/>
      <c r="AA2471" s="137"/>
    </row>
    <row r="2472" spans="5:27" x14ac:dyDescent="0.35">
      <c r="E2472" s="137"/>
      <c r="F2472" s="137"/>
      <c r="G2472" s="190"/>
      <c r="H2472" s="137"/>
      <c r="I2472" s="137"/>
      <c r="J2472" s="137"/>
      <c r="M2472" s="143"/>
      <c r="N2472" s="143"/>
      <c r="O2472" s="143"/>
      <c r="P2472" s="143"/>
      <c r="Q2472" s="137"/>
      <c r="R2472" s="137"/>
      <c r="S2472" s="137"/>
      <c r="T2472" s="137"/>
      <c r="U2472" s="137"/>
      <c r="V2472" s="137"/>
      <c r="W2472" s="137"/>
      <c r="X2472" s="137"/>
      <c r="Y2472" s="137"/>
      <c r="Z2472" s="137"/>
      <c r="AA2472" s="137"/>
    </row>
    <row r="2473" spans="5:27" x14ac:dyDescent="0.35">
      <c r="E2473" s="137"/>
      <c r="F2473" s="137"/>
      <c r="G2473" s="190"/>
      <c r="H2473" s="137"/>
      <c r="I2473" s="137"/>
      <c r="J2473" s="137"/>
      <c r="M2473" s="143"/>
      <c r="N2473" s="143"/>
      <c r="O2473" s="143"/>
      <c r="P2473" s="143"/>
      <c r="Q2473" s="137"/>
      <c r="R2473" s="137"/>
      <c r="S2473" s="137"/>
      <c r="T2473" s="137"/>
      <c r="U2473" s="137"/>
      <c r="V2473" s="137"/>
      <c r="W2473" s="137"/>
      <c r="X2473" s="137"/>
      <c r="Y2473" s="137"/>
      <c r="Z2473" s="137"/>
      <c r="AA2473" s="137"/>
    </row>
    <row r="2474" spans="5:27" x14ac:dyDescent="0.35">
      <c r="E2474" s="137"/>
      <c r="F2474" s="137"/>
      <c r="G2474" s="190"/>
      <c r="H2474" s="137"/>
      <c r="I2474" s="137"/>
      <c r="J2474" s="137"/>
      <c r="M2474" s="143"/>
      <c r="N2474" s="143"/>
      <c r="O2474" s="143"/>
      <c r="P2474" s="143"/>
      <c r="Q2474" s="137"/>
      <c r="R2474" s="137"/>
      <c r="S2474" s="137"/>
      <c r="T2474" s="137"/>
      <c r="U2474" s="137"/>
      <c r="V2474" s="137"/>
      <c r="W2474" s="137"/>
      <c r="X2474" s="137"/>
      <c r="Y2474" s="137"/>
      <c r="Z2474" s="137"/>
      <c r="AA2474" s="137"/>
    </row>
    <row r="2475" spans="5:27" x14ac:dyDescent="0.35">
      <c r="E2475" s="137"/>
      <c r="F2475" s="137"/>
      <c r="G2475" s="190"/>
      <c r="H2475" s="137"/>
      <c r="I2475" s="137"/>
      <c r="J2475" s="137"/>
      <c r="M2475" s="143"/>
      <c r="N2475" s="143"/>
      <c r="O2475" s="143"/>
      <c r="P2475" s="143"/>
      <c r="Q2475" s="137"/>
      <c r="R2475" s="137"/>
      <c r="S2475" s="137"/>
      <c r="T2475" s="137"/>
      <c r="U2475" s="137"/>
      <c r="V2475" s="137"/>
      <c r="W2475" s="137"/>
      <c r="X2475" s="137"/>
      <c r="Y2475" s="137"/>
      <c r="Z2475" s="137"/>
      <c r="AA2475" s="137"/>
    </row>
    <row r="2476" spans="5:27" x14ac:dyDescent="0.35">
      <c r="E2476" s="137"/>
      <c r="F2476" s="137"/>
      <c r="G2476" s="190"/>
      <c r="H2476" s="137"/>
      <c r="I2476" s="137"/>
      <c r="J2476" s="137"/>
      <c r="M2476" s="143"/>
      <c r="N2476" s="143"/>
      <c r="O2476" s="143"/>
      <c r="P2476" s="143"/>
      <c r="Q2476" s="137"/>
      <c r="R2476" s="137"/>
      <c r="S2476" s="137"/>
      <c r="T2476" s="137"/>
      <c r="U2476" s="137"/>
      <c r="V2476" s="137"/>
      <c r="W2476" s="137"/>
      <c r="X2476" s="137"/>
      <c r="Y2476" s="137"/>
      <c r="Z2476" s="137"/>
      <c r="AA2476" s="137"/>
    </row>
    <row r="2477" spans="5:27" x14ac:dyDescent="0.35">
      <c r="E2477" s="137"/>
      <c r="F2477" s="137"/>
      <c r="G2477" s="190"/>
      <c r="H2477" s="137"/>
      <c r="I2477" s="137"/>
      <c r="J2477" s="137"/>
      <c r="M2477" s="143"/>
      <c r="N2477" s="143"/>
      <c r="O2477" s="143"/>
      <c r="P2477" s="143"/>
      <c r="Q2477" s="137"/>
      <c r="R2477" s="137"/>
      <c r="S2477" s="137"/>
      <c r="T2477" s="137"/>
      <c r="U2477" s="137"/>
      <c r="V2477" s="137"/>
      <c r="W2477" s="137"/>
      <c r="X2477" s="137"/>
      <c r="Y2477" s="137"/>
      <c r="Z2477" s="137"/>
      <c r="AA2477" s="137"/>
    </row>
    <row r="2478" spans="5:27" x14ac:dyDescent="0.35">
      <c r="E2478" s="137"/>
      <c r="F2478" s="137"/>
      <c r="G2478" s="190"/>
      <c r="H2478" s="137"/>
      <c r="I2478" s="137"/>
      <c r="J2478" s="137"/>
      <c r="M2478" s="143"/>
      <c r="N2478" s="143"/>
      <c r="O2478" s="143"/>
      <c r="P2478" s="143"/>
      <c r="Q2478" s="137"/>
      <c r="R2478" s="137"/>
      <c r="S2478" s="137"/>
      <c r="T2478" s="137"/>
      <c r="U2478" s="137"/>
      <c r="V2478" s="137"/>
      <c r="W2478" s="137"/>
      <c r="X2478" s="137"/>
      <c r="Y2478" s="137"/>
      <c r="Z2478" s="137"/>
      <c r="AA2478" s="137"/>
    </row>
    <row r="2479" spans="5:27" x14ac:dyDescent="0.35">
      <c r="E2479" s="137"/>
      <c r="F2479" s="137"/>
      <c r="G2479" s="190"/>
      <c r="H2479" s="137"/>
      <c r="I2479" s="137"/>
      <c r="J2479" s="137"/>
      <c r="M2479" s="143"/>
      <c r="N2479" s="143"/>
      <c r="O2479" s="143"/>
      <c r="P2479" s="143"/>
      <c r="Q2479" s="137"/>
      <c r="R2479" s="137"/>
      <c r="S2479" s="137"/>
      <c r="T2479" s="137"/>
      <c r="U2479" s="137"/>
      <c r="V2479" s="137"/>
      <c r="W2479" s="137"/>
      <c r="X2479" s="137"/>
      <c r="Y2479" s="137"/>
      <c r="Z2479" s="137"/>
      <c r="AA2479" s="137"/>
    </row>
    <row r="2480" spans="5:27" x14ac:dyDescent="0.35">
      <c r="E2480" s="137"/>
      <c r="F2480" s="137"/>
      <c r="G2480" s="190"/>
      <c r="H2480" s="137"/>
      <c r="I2480" s="137"/>
      <c r="J2480" s="137"/>
      <c r="M2480" s="143"/>
      <c r="N2480" s="143"/>
      <c r="O2480" s="143"/>
      <c r="P2480" s="143"/>
      <c r="Q2480" s="137"/>
      <c r="R2480" s="137"/>
      <c r="S2480" s="137"/>
      <c r="T2480" s="137"/>
      <c r="U2480" s="137"/>
      <c r="V2480" s="137"/>
      <c r="W2480" s="137"/>
      <c r="X2480" s="137"/>
      <c r="Y2480" s="137"/>
      <c r="Z2480" s="137"/>
      <c r="AA2480" s="137"/>
    </row>
    <row r="2481" spans="5:27" x14ac:dyDescent="0.35">
      <c r="E2481" s="137"/>
      <c r="F2481" s="137"/>
      <c r="G2481" s="190"/>
      <c r="H2481" s="137"/>
      <c r="I2481" s="137"/>
      <c r="J2481" s="137"/>
      <c r="M2481" s="143"/>
      <c r="N2481" s="143"/>
      <c r="O2481" s="143"/>
      <c r="P2481" s="143"/>
      <c r="Q2481" s="137"/>
      <c r="R2481" s="137"/>
      <c r="S2481" s="137"/>
      <c r="T2481" s="137"/>
      <c r="U2481" s="137"/>
      <c r="V2481" s="137"/>
      <c r="W2481" s="137"/>
      <c r="X2481" s="137"/>
      <c r="Y2481" s="137"/>
      <c r="Z2481" s="137"/>
      <c r="AA2481" s="137"/>
    </row>
    <row r="2482" spans="5:27" x14ac:dyDescent="0.35">
      <c r="E2482" s="137"/>
      <c r="F2482" s="137"/>
      <c r="G2482" s="190"/>
      <c r="H2482" s="137"/>
      <c r="I2482" s="137"/>
      <c r="J2482" s="137"/>
      <c r="M2482" s="143"/>
      <c r="N2482" s="143"/>
      <c r="O2482" s="143"/>
      <c r="P2482" s="143"/>
      <c r="Q2482" s="137"/>
      <c r="R2482" s="137"/>
      <c r="S2482" s="137"/>
      <c r="T2482" s="137"/>
      <c r="U2482" s="137"/>
      <c r="V2482" s="137"/>
      <c r="W2482" s="137"/>
      <c r="X2482" s="137"/>
      <c r="Y2482" s="137"/>
      <c r="Z2482" s="137"/>
      <c r="AA2482" s="137"/>
    </row>
    <row r="2483" spans="5:27" x14ac:dyDescent="0.35">
      <c r="E2483" s="137"/>
      <c r="F2483" s="137"/>
      <c r="G2483" s="190"/>
      <c r="H2483" s="137"/>
      <c r="I2483" s="137"/>
      <c r="J2483" s="137"/>
      <c r="M2483" s="143"/>
      <c r="N2483" s="143"/>
      <c r="O2483" s="143"/>
      <c r="P2483" s="143"/>
      <c r="Q2483" s="137"/>
      <c r="R2483" s="137"/>
      <c r="S2483" s="137"/>
      <c r="T2483" s="137"/>
      <c r="U2483" s="137"/>
      <c r="V2483" s="137"/>
      <c r="W2483" s="137"/>
      <c r="X2483" s="137"/>
      <c r="Y2483" s="137"/>
      <c r="Z2483" s="137"/>
      <c r="AA2483" s="137"/>
    </row>
    <row r="2484" spans="5:27" x14ac:dyDescent="0.35">
      <c r="E2484" s="137"/>
      <c r="F2484" s="137"/>
      <c r="G2484" s="190"/>
      <c r="H2484" s="137"/>
      <c r="I2484" s="137"/>
      <c r="J2484" s="137"/>
      <c r="M2484" s="143"/>
      <c r="N2484" s="143"/>
      <c r="O2484" s="143"/>
      <c r="P2484" s="143"/>
      <c r="Q2484" s="137"/>
      <c r="R2484" s="137"/>
      <c r="S2484" s="137"/>
      <c r="T2484" s="137"/>
      <c r="U2484" s="137"/>
      <c r="V2484" s="137"/>
      <c r="W2484" s="137"/>
      <c r="X2484" s="137"/>
      <c r="Y2484" s="137"/>
      <c r="Z2484" s="137"/>
      <c r="AA2484" s="137"/>
    </row>
    <row r="2485" spans="5:27" x14ac:dyDescent="0.35">
      <c r="E2485" s="137"/>
      <c r="F2485" s="137"/>
      <c r="G2485" s="190"/>
      <c r="H2485" s="137"/>
      <c r="I2485" s="137"/>
      <c r="J2485" s="137"/>
      <c r="M2485" s="143"/>
      <c r="N2485" s="143"/>
      <c r="O2485" s="143"/>
      <c r="P2485" s="143"/>
      <c r="Q2485" s="137"/>
      <c r="R2485" s="137"/>
      <c r="S2485" s="137"/>
      <c r="T2485" s="137"/>
      <c r="U2485" s="137"/>
      <c r="V2485" s="137"/>
      <c r="W2485" s="137"/>
      <c r="X2485" s="137"/>
      <c r="Y2485" s="137"/>
      <c r="Z2485" s="137"/>
      <c r="AA2485" s="137"/>
    </row>
    <row r="2486" spans="5:27" x14ac:dyDescent="0.35">
      <c r="E2486" s="137"/>
      <c r="F2486" s="137"/>
      <c r="G2486" s="190"/>
      <c r="H2486" s="137"/>
      <c r="I2486" s="137"/>
      <c r="J2486" s="137"/>
      <c r="M2486" s="143"/>
      <c r="N2486" s="143"/>
      <c r="O2486" s="143"/>
      <c r="P2486" s="143"/>
      <c r="Q2486" s="137"/>
      <c r="R2486" s="137"/>
      <c r="S2486" s="137"/>
      <c r="T2486" s="137"/>
      <c r="U2486" s="137"/>
      <c r="V2486" s="137"/>
      <c r="W2486" s="137"/>
      <c r="X2486" s="137"/>
      <c r="Y2486" s="137"/>
      <c r="Z2486" s="137"/>
      <c r="AA2486" s="137"/>
    </row>
    <row r="2487" spans="5:27" x14ac:dyDescent="0.35">
      <c r="E2487" s="137"/>
      <c r="F2487" s="137"/>
      <c r="G2487" s="190"/>
      <c r="H2487" s="137"/>
      <c r="I2487" s="137"/>
      <c r="J2487" s="137"/>
      <c r="M2487" s="143"/>
      <c r="N2487" s="143"/>
      <c r="O2487" s="143"/>
      <c r="P2487" s="143"/>
      <c r="Q2487" s="137"/>
      <c r="R2487" s="137"/>
      <c r="S2487" s="137"/>
      <c r="T2487" s="137"/>
      <c r="U2487" s="137"/>
      <c r="V2487" s="137"/>
      <c r="W2487" s="137"/>
      <c r="X2487" s="137"/>
      <c r="Y2487" s="137"/>
      <c r="Z2487" s="137"/>
      <c r="AA2487" s="137"/>
    </row>
    <row r="2488" spans="5:27" x14ac:dyDescent="0.35">
      <c r="E2488" s="137"/>
      <c r="F2488" s="137"/>
      <c r="G2488" s="190"/>
      <c r="H2488" s="137"/>
      <c r="I2488" s="137"/>
      <c r="J2488" s="137"/>
      <c r="M2488" s="143"/>
      <c r="N2488" s="143"/>
      <c r="O2488" s="143"/>
      <c r="P2488" s="143"/>
      <c r="Q2488" s="137"/>
      <c r="R2488" s="137"/>
      <c r="S2488" s="137"/>
      <c r="T2488" s="137"/>
      <c r="U2488" s="137"/>
      <c r="V2488" s="137"/>
      <c r="W2488" s="137"/>
      <c r="X2488" s="137"/>
      <c r="Y2488" s="137"/>
      <c r="Z2488" s="137"/>
      <c r="AA2488" s="137"/>
    </row>
    <row r="2489" spans="5:27" x14ac:dyDescent="0.35">
      <c r="E2489" s="137"/>
      <c r="F2489" s="137"/>
      <c r="G2489" s="190"/>
      <c r="H2489" s="137"/>
      <c r="I2489" s="137"/>
      <c r="J2489" s="137"/>
      <c r="M2489" s="143"/>
      <c r="N2489" s="143"/>
      <c r="O2489" s="143"/>
      <c r="P2489" s="143"/>
      <c r="Q2489" s="137"/>
      <c r="R2489" s="137"/>
      <c r="S2489" s="137"/>
      <c r="T2489" s="137"/>
      <c r="U2489" s="137"/>
      <c r="V2489" s="137"/>
      <c r="W2489" s="137"/>
      <c r="X2489" s="137"/>
      <c r="Y2489" s="137"/>
      <c r="Z2489" s="137"/>
      <c r="AA2489" s="137"/>
    </row>
    <row r="2490" spans="5:27" x14ac:dyDescent="0.35">
      <c r="E2490" s="137"/>
      <c r="F2490" s="137"/>
      <c r="G2490" s="190"/>
      <c r="H2490" s="137"/>
      <c r="I2490" s="137"/>
      <c r="J2490" s="137"/>
      <c r="M2490" s="143"/>
      <c r="N2490" s="143"/>
      <c r="O2490" s="143"/>
      <c r="P2490" s="143"/>
      <c r="Q2490" s="137"/>
      <c r="R2490" s="137"/>
      <c r="S2490" s="137"/>
      <c r="T2490" s="137"/>
      <c r="U2490" s="137"/>
      <c r="V2490" s="137"/>
      <c r="W2490" s="137"/>
      <c r="X2490" s="137"/>
      <c r="Y2490" s="137"/>
      <c r="Z2490" s="137"/>
      <c r="AA2490" s="137"/>
    </row>
    <row r="2491" spans="5:27" x14ac:dyDescent="0.35">
      <c r="E2491" s="137"/>
      <c r="F2491" s="137"/>
      <c r="G2491" s="190"/>
      <c r="H2491" s="137"/>
      <c r="I2491" s="137"/>
      <c r="J2491" s="137"/>
      <c r="M2491" s="143"/>
      <c r="N2491" s="143"/>
      <c r="O2491" s="143"/>
      <c r="P2491" s="143"/>
      <c r="Q2491" s="137"/>
      <c r="R2491" s="137"/>
      <c r="S2491" s="137"/>
      <c r="T2491" s="137"/>
      <c r="U2491" s="137"/>
      <c r="V2491" s="137"/>
      <c r="W2491" s="137"/>
      <c r="X2491" s="137"/>
      <c r="Y2491" s="137"/>
      <c r="Z2491" s="137"/>
      <c r="AA2491" s="137"/>
    </row>
    <row r="2492" spans="5:27" x14ac:dyDescent="0.35">
      <c r="E2492" s="137"/>
      <c r="F2492" s="137"/>
      <c r="G2492" s="190"/>
      <c r="H2492" s="137"/>
      <c r="I2492" s="137"/>
      <c r="J2492" s="137"/>
      <c r="M2492" s="143"/>
      <c r="N2492" s="143"/>
      <c r="O2492" s="143"/>
      <c r="P2492" s="143"/>
      <c r="Q2492" s="137"/>
      <c r="R2492" s="137"/>
      <c r="S2492" s="137"/>
      <c r="T2492" s="137"/>
      <c r="U2492" s="137"/>
      <c r="V2492" s="137"/>
      <c r="W2492" s="137"/>
      <c r="X2492" s="137"/>
      <c r="Y2492" s="137"/>
      <c r="Z2492" s="137"/>
      <c r="AA2492" s="137"/>
    </row>
    <row r="2493" spans="5:27" x14ac:dyDescent="0.35">
      <c r="E2493" s="137"/>
      <c r="F2493" s="137"/>
      <c r="G2493" s="190"/>
      <c r="H2493" s="137"/>
      <c r="I2493" s="137"/>
      <c r="J2493" s="137"/>
      <c r="M2493" s="143"/>
      <c r="N2493" s="143"/>
      <c r="O2493" s="143"/>
      <c r="P2493" s="143"/>
      <c r="Q2493" s="137"/>
      <c r="R2493" s="137"/>
      <c r="S2493" s="137"/>
      <c r="T2493" s="137"/>
      <c r="U2493" s="137"/>
      <c r="V2493" s="137"/>
      <c r="W2493" s="137"/>
      <c r="X2493" s="137"/>
      <c r="Y2493" s="137"/>
      <c r="Z2493" s="137"/>
      <c r="AA2493" s="137"/>
    </row>
    <row r="2494" spans="5:27" x14ac:dyDescent="0.35">
      <c r="E2494" s="137"/>
      <c r="F2494" s="137"/>
      <c r="G2494" s="190"/>
      <c r="H2494" s="137"/>
      <c r="I2494" s="137"/>
      <c r="J2494" s="137"/>
      <c r="M2494" s="143"/>
      <c r="N2494" s="143"/>
      <c r="O2494" s="143"/>
      <c r="P2494" s="143"/>
      <c r="Q2494" s="137"/>
      <c r="R2494" s="137"/>
      <c r="S2494" s="137"/>
      <c r="T2494" s="137"/>
      <c r="U2494" s="137"/>
      <c r="V2494" s="137"/>
      <c r="W2494" s="137"/>
      <c r="X2494" s="137"/>
      <c r="Y2494" s="137"/>
      <c r="Z2494" s="137"/>
      <c r="AA2494" s="137"/>
    </row>
    <row r="2495" spans="5:27" x14ac:dyDescent="0.35">
      <c r="E2495" s="137"/>
      <c r="F2495" s="137"/>
      <c r="G2495" s="190"/>
      <c r="H2495" s="137"/>
      <c r="I2495" s="137"/>
      <c r="J2495" s="137"/>
      <c r="M2495" s="143"/>
      <c r="N2495" s="143"/>
      <c r="O2495" s="143"/>
      <c r="P2495" s="143"/>
      <c r="Q2495" s="137"/>
      <c r="R2495" s="137"/>
      <c r="S2495" s="137"/>
      <c r="T2495" s="137"/>
      <c r="U2495" s="137"/>
      <c r="V2495" s="137"/>
      <c r="W2495" s="137"/>
      <c r="X2495" s="137"/>
      <c r="Y2495" s="137"/>
      <c r="Z2495" s="137"/>
      <c r="AA2495" s="137"/>
    </row>
    <row r="2496" spans="5:27" x14ac:dyDescent="0.35">
      <c r="E2496" s="137"/>
      <c r="F2496" s="137"/>
      <c r="G2496" s="190"/>
      <c r="H2496" s="137"/>
      <c r="I2496" s="137"/>
      <c r="J2496" s="137"/>
      <c r="M2496" s="143"/>
      <c r="N2496" s="143"/>
      <c r="O2496" s="143"/>
      <c r="P2496" s="143"/>
      <c r="Q2496" s="137"/>
      <c r="R2496" s="137"/>
      <c r="S2496" s="137"/>
      <c r="T2496" s="137"/>
      <c r="U2496" s="137"/>
      <c r="V2496" s="137"/>
      <c r="W2496" s="137"/>
      <c r="X2496" s="137"/>
      <c r="Y2496" s="137"/>
      <c r="Z2496" s="137"/>
      <c r="AA2496" s="137"/>
    </row>
    <row r="2497" spans="5:27" x14ac:dyDescent="0.35">
      <c r="E2497" s="137"/>
      <c r="F2497" s="137"/>
      <c r="G2497" s="190"/>
      <c r="H2497" s="137"/>
      <c r="I2497" s="137"/>
      <c r="J2497" s="137"/>
      <c r="M2497" s="143"/>
      <c r="N2497" s="143"/>
      <c r="O2497" s="143"/>
      <c r="P2497" s="143"/>
      <c r="Q2497" s="137"/>
      <c r="R2497" s="137"/>
      <c r="S2497" s="137"/>
      <c r="T2497" s="137"/>
      <c r="U2497" s="137"/>
      <c r="V2497" s="137"/>
      <c r="W2497" s="137"/>
      <c r="X2497" s="137"/>
      <c r="Y2497" s="137"/>
      <c r="Z2497" s="137"/>
      <c r="AA2497" s="137"/>
    </row>
    <row r="2498" spans="5:27" x14ac:dyDescent="0.35">
      <c r="E2498" s="137"/>
      <c r="F2498" s="137"/>
      <c r="G2498" s="190"/>
      <c r="H2498" s="137"/>
      <c r="I2498" s="137"/>
      <c r="J2498" s="137"/>
      <c r="M2498" s="143"/>
      <c r="N2498" s="143"/>
      <c r="O2498" s="143"/>
      <c r="P2498" s="143"/>
      <c r="Q2498" s="137"/>
      <c r="R2498" s="137"/>
      <c r="S2498" s="137"/>
      <c r="T2498" s="137"/>
      <c r="U2498" s="137"/>
      <c r="V2498" s="137"/>
      <c r="W2498" s="137"/>
      <c r="X2498" s="137"/>
      <c r="Y2498" s="137"/>
      <c r="Z2498" s="137"/>
      <c r="AA2498" s="137"/>
    </row>
    <row r="2499" spans="5:27" x14ac:dyDescent="0.35">
      <c r="E2499" s="137"/>
      <c r="F2499" s="137"/>
      <c r="G2499" s="190"/>
      <c r="H2499" s="137"/>
      <c r="I2499" s="137"/>
      <c r="J2499" s="137"/>
      <c r="M2499" s="143"/>
      <c r="N2499" s="143"/>
      <c r="O2499" s="143"/>
      <c r="P2499" s="143"/>
      <c r="Q2499" s="137"/>
      <c r="R2499" s="137"/>
      <c r="S2499" s="137"/>
      <c r="T2499" s="137"/>
      <c r="U2499" s="137"/>
      <c r="V2499" s="137"/>
      <c r="W2499" s="137"/>
      <c r="X2499" s="137"/>
      <c r="Y2499" s="137"/>
      <c r="Z2499" s="137"/>
      <c r="AA2499" s="137"/>
    </row>
    <row r="2500" spans="5:27" x14ac:dyDescent="0.35">
      <c r="E2500" s="137"/>
      <c r="F2500" s="137"/>
      <c r="G2500" s="190"/>
      <c r="H2500" s="137"/>
      <c r="I2500" s="137"/>
      <c r="J2500" s="137"/>
      <c r="M2500" s="143"/>
      <c r="N2500" s="143"/>
      <c r="O2500" s="143"/>
      <c r="P2500" s="143"/>
      <c r="Q2500" s="137"/>
      <c r="R2500" s="137"/>
      <c r="S2500" s="137"/>
      <c r="T2500" s="137"/>
      <c r="U2500" s="137"/>
      <c r="V2500" s="137"/>
      <c r="W2500" s="137"/>
      <c r="X2500" s="137"/>
      <c r="Y2500" s="137"/>
      <c r="Z2500" s="137"/>
      <c r="AA2500" s="137"/>
    </row>
    <row r="2501" spans="5:27" x14ac:dyDescent="0.35">
      <c r="E2501" s="137"/>
      <c r="F2501" s="137"/>
      <c r="G2501" s="190"/>
      <c r="H2501" s="137"/>
      <c r="I2501" s="137"/>
      <c r="J2501" s="137"/>
      <c r="M2501" s="143"/>
      <c r="N2501" s="143"/>
      <c r="O2501" s="143"/>
      <c r="P2501" s="143"/>
      <c r="Q2501" s="137"/>
      <c r="R2501" s="137"/>
      <c r="S2501" s="137"/>
      <c r="T2501" s="137"/>
      <c r="U2501" s="137"/>
      <c r="V2501" s="137"/>
      <c r="W2501" s="137"/>
      <c r="X2501" s="137"/>
      <c r="Y2501" s="137"/>
      <c r="Z2501" s="137"/>
      <c r="AA2501" s="137"/>
    </row>
    <row r="2502" spans="5:27" x14ac:dyDescent="0.35">
      <c r="E2502" s="137"/>
      <c r="F2502" s="137"/>
      <c r="G2502" s="190"/>
      <c r="H2502" s="137"/>
      <c r="I2502" s="137"/>
      <c r="J2502" s="137"/>
      <c r="M2502" s="143"/>
      <c r="N2502" s="143"/>
      <c r="O2502" s="143"/>
      <c r="P2502" s="143"/>
      <c r="Q2502" s="137"/>
      <c r="R2502" s="137"/>
      <c r="S2502" s="137"/>
      <c r="T2502" s="137"/>
      <c r="U2502" s="137"/>
      <c r="V2502" s="137"/>
      <c r="W2502" s="137"/>
      <c r="X2502" s="137"/>
      <c r="Y2502" s="137"/>
      <c r="Z2502" s="137"/>
      <c r="AA2502" s="137"/>
    </row>
    <row r="2503" spans="5:27" x14ac:dyDescent="0.35">
      <c r="E2503" s="137"/>
      <c r="F2503" s="137"/>
      <c r="G2503" s="190"/>
      <c r="H2503" s="137"/>
      <c r="I2503" s="137"/>
      <c r="J2503" s="137"/>
      <c r="M2503" s="143"/>
      <c r="N2503" s="143"/>
      <c r="O2503" s="143"/>
      <c r="P2503" s="143"/>
      <c r="Q2503" s="137"/>
      <c r="R2503" s="137"/>
      <c r="S2503" s="137"/>
      <c r="T2503" s="137"/>
      <c r="U2503" s="137"/>
      <c r="V2503" s="137"/>
      <c r="W2503" s="137"/>
      <c r="X2503" s="137"/>
      <c r="Y2503" s="137"/>
      <c r="Z2503" s="137"/>
      <c r="AA2503" s="137"/>
    </row>
    <row r="2504" spans="5:27" x14ac:dyDescent="0.35">
      <c r="E2504" s="137"/>
      <c r="F2504" s="137"/>
      <c r="G2504" s="190"/>
      <c r="H2504" s="137"/>
      <c r="I2504" s="137"/>
      <c r="J2504" s="137"/>
      <c r="M2504" s="143"/>
      <c r="N2504" s="143"/>
      <c r="O2504" s="143"/>
      <c r="P2504" s="143"/>
      <c r="Q2504" s="137"/>
      <c r="R2504" s="137"/>
      <c r="S2504" s="137"/>
      <c r="T2504" s="137"/>
      <c r="U2504" s="137"/>
      <c r="V2504" s="137"/>
      <c r="W2504" s="137"/>
      <c r="X2504" s="137"/>
      <c r="Y2504" s="137"/>
      <c r="Z2504" s="137"/>
      <c r="AA2504" s="137"/>
    </row>
    <row r="2505" spans="5:27" x14ac:dyDescent="0.35">
      <c r="E2505" s="137"/>
      <c r="F2505" s="137"/>
      <c r="G2505" s="190"/>
      <c r="H2505" s="137"/>
      <c r="I2505" s="137"/>
      <c r="J2505" s="137"/>
      <c r="M2505" s="143"/>
      <c r="N2505" s="143"/>
      <c r="O2505" s="143"/>
      <c r="P2505" s="143"/>
      <c r="Q2505" s="137"/>
      <c r="R2505" s="137"/>
      <c r="S2505" s="137"/>
      <c r="T2505" s="137"/>
      <c r="U2505" s="137"/>
      <c r="V2505" s="137"/>
      <c r="W2505" s="137"/>
      <c r="X2505" s="137"/>
      <c r="Y2505" s="137"/>
      <c r="Z2505" s="137"/>
      <c r="AA2505" s="137"/>
    </row>
    <row r="2506" spans="5:27" x14ac:dyDescent="0.35">
      <c r="E2506" s="137"/>
      <c r="F2506" s="137"/>
      <c r="G2506" s="190"/>
      <c r="H2506" s="137"/>
      <c r="I2506" s="137"/>
      <c r="J2506" s="137"/>
      <c r="M2506" s="143"/>
      <c r="N2506" s="143"/>
      <c r="O2506" s="143"/>
      <c r="P2506" s="143"/>
      <c r="Q2506" s="137"/>
      <c r="R2506" s="137"/>
      <c r="S2506" s="137"/>
      <c r="T2506" s="137"/>
      <c r="U2506" s="137"/>
      <c r="V2506" s="137"/>
      <c r="W2506" s="137"/>
      <c r="X2506" s="137"/>
      <c r="Y2506" s="137"/>
      <c r="Z2506" s="137"/>
      <c r="AA2506" s="137"/>
    </row>
    <row r="2507" spans="5:27" x14ac:dyDescent="0.35">
      <c r="E2507" s="137"/>
      <c r="F2507" s="137"/>
      <c r="G2507" s="190"/>
      <c r="H2507" s="137"/>
      <c r="I2507" s="137"/>
      <c r="J2507" s="137"/>
      <c r="M2507" s="143"/>
      <c r="N2507" s="143"/>
      <c r="O2507" s="143"/>
      <c r="P2507" s="143"/>
      <c r="Q2507" s="137"/>
      <c r="R2507" s="137"/>
      <c r="S2507" s="137"/>
      <c r="T2507" s="137"/>
      <c r="U2507" s="137"/>
      <c r="V2507" s="137"/>
      <c r="W2507" s="137"/>
      <c r="X2507" s="137"/>
      <c r="Y2507" s="137"/>
      <c r="Z2507" s="137"/>
      <c r="AA2507" s="137"/>
    </row>
    <row r="2508" spans="5:27" x14ac:dyDescent="0.35">
      <c r="E2508" s="137"/>
      <c r="F2508" s="137"/>
      <c r="G2508" s="190"/>
      <c r="H2508" s="137"/>
      <c r="I2508" s="137"/>
      <c r="J2508" s="137"/>
      <c r="M2508" s="143"/>
      <c r="N2508" s="143"/>
      <c r="O2508" s="143"/>
      <c r="P2508" s="143"/>
      <c r="Q2508" s="137"/>
      <c r="R2508" s="137"/>
      <c r="S2508" s="137"/>
      <c r="T2508" s="137"/>
      <c r="U2508" s="137"/>
      <c r="V2508" s="137"/>
      <c r="W2508" s="137"/>
      <c r="X2508" s="137"/>
      <c r="Y2508" s="137"/>
      <c r="Z2508" s="137"/>
      <c r="AA2508" s="137"/>
    </row>
    <row r="2509" spans="5:27" x14ac:dyDescent="0.35">
      <c r="E2509" s="137"/>
      <c r="F2509" s="137"/>
      <c r="G2509" s="190"/>
      <c r="H2509" s="137"/>
      <c r="I2509" s="137"/>
      <c r="J2509" s="137"/>
      <c r="M2509" s="143"/>
      <c r="N2509" s="143"/>
      <c r="O2509" s="143"/>
      <c r="P2509" s="143"/>
      <c r="Q2509" s="137"/>
      <c r="R2509" s="137"/>
      <c r="S2509" s="137"/>
      <c r="T2509" s="137"/>
      <c r="U2509" s="137"/>
      <c r="V2509" s="137"/>
      <c r="W2509" s="137"/>
      <c r="X2509" s="137"/>
      <c r="Y2509" s="137"/>
      <c r="Z2509" s="137"/>
      <c r="AA2509" s="137"/>
    </row>
    <row r="2510" spans="5:27" x14ac:dyDescent="0.35">
      <c r="E2510" s="137"/>
      <c r="F2510" s="137"/>
      <c r="G2510" s="190"/>
      <c r="H2510" s="137"/>
      <c r="I2510" s="137"/>
      <c r="J2510" s="137"/>
      <c r="M2510" s="143"/>
      <c r="N2510" s="143"/>
      <c r="O2510" s="143"/>
      <c r="P2510" s="143"/>
      <c r="Q2510" s="137"/>
      <c r="R2510" s="137"/>
      <c r="S2510" s="137"/>
      <c r="T2510" s="137"/>
      <c r="U2510" s="137"/>
      <c r="V2510" s="137"/>
      <c r="W2510" s="137"/>
      <c r="X2510" s="137"/>
      <c r="Y2510" s="137"/>
      <c r="Z2510" s="137"/>
      <c r="AA2510" s="137"/>
    </row>
    <row r="2511" spans="5:27" x14ac:dyDescent="0.35">
      <c r="E2511" s="137"/>
      <c r="F2511" s="137"/>
      <c r="G2511" s="190"/>
      <c r="H2511" s="137"/>
      <c r="I2511" s="137"/>
      <c r="J2511" s="137"/>
      <c r="M2511" s="143"/>
      <c r="N2511" s="143"/>
      <c r="O2511" s="143"/>
      <c r="P2511" s="143"/>
      <c r="Q2511" s="137"/>
      <c r="R2511" s="137"/>
      <c r="S2511" s="137"/>
      <c r="T2511" s="137"/>
      <c r="U2511" s="137"/>
      <c r="V2511" s="137"/>
      <c r="W2511" s="137"/>
      <c r="X2511" s="137"/>
      <c r="Y2511" s="137"/>
      <c r="Z2511" s="137"/>
      <c r="AA2511" s="137"/>
    </row>
    <row r="2512" spans="5:27" x14ac:dyDescent="0.35">
      <c r="E2512" s="137"/>
      <c r="F2512" s="137"/>
      <c r="G2512" s="190"/>
      <c r="H2512" s="137"/>
      <c r="I2512" s="137"/>
      <c r="J2512" s="137"/>
      <c r="M2512" s="143"/>
      <c r="N2512" s="143"/>
      <c r="O2512" s="143"/>
      <c r="P2512" s="143"/>
      <c r="Q2512" s="137"/>
      <c r="R2512" s="137"/>
      <c r="S2512" s="137"/>
      <c r="T2512" s="137"/>
      <c r="U2512" s="137"/>
      <c r="V2512" s="137"/>
      <c r="W2512" s="137"/>
      <c r="X2512" s="137"/>
      <c r="Y2512" s="137"/>
      <c r="Z2512" s="137"/>
      <c r="AA2512" s="137"/>
    </row>
    <row r="2513" spans="5:27" x14ac:dyDescent="0.35">
      <c r="E2513" s="137"/>
      <c r="F2513" s="137"/>
      <c r="G2513" s="190"/>
      <c r="H2513" s="137"/>
      <c r="I2513" s="137"/>
      <c r="J2513" s="137"/>
      <c r="M2513" s="143"/>
      <c r="N2513" s="143"/>
      <c r="O2513" s="143"/>
      <c r="P2513" s="143"/>
      <c r="Q2513" s="137"/>
      <c r="R2513" s="137"/>
      <c r="S2513" s="137"/>
      <c r="T2513" s="137"/>
      <c r="U2513" s="137"/>
      <c r="V2513" s="137"/>
      <c r="W2513" s="137"/>
      <c r="X2513" s="137"/>
      <c r="Y2513" s="137"/>
      <c r="Z2513" s="137"/>
      <c r="AA2513" s="137"/>
    </row>
    <row r="2514" spans="5:27" x14ac:dyDescent="0.35">
      <c r="E2514" s="137"/>
      <c r="F2514" s="137"/>
      <c r="G2514" s="190"/>
      <c r="H2514" s="137"/>
      <c r="I2514" s="137"/>
      <c r="J2514" s="137"/>
      <c r="M2514" s="143"/>
      <c r="N2514" s="143"/>
      <c r="O2514" s="143"/>
      <c r="P2514" s="143"/>
      <c r="Q2514" s="137"/>
      <c r="R2514" s="137"/>
      <c r="S2514" s="137"/>
      <c r="T2514" s="137"/>
      <c r="U2514" s="137"/>
      <c r="V2514" s="137"/>
      <c r="W2514" s="137"/>
      <c r="X2514" s="137"/>
      <c r="Y2514" s="137"/>
      <c r="Z2514" s="137"/>
      <c r="AA2514" s="137"/>
    </row>
    <row r="2515" spans="5:27" x14ac:dyDescent="0.35">
      <c r="E2515" s="137"/>
      <c r="F2515" s="137"/>
      <c r="G2515" s="190"/>
      <c r="H2515" s="137"/>
      <c r="I2515" s="137"/>
      <c r="J2515" s="137"/>
      <c r="M2515" s="143"/>
      <c r="N2515" s="143"/>
      <c r="O2515" s="143"/>
      <c r="P2515" s="143"/>
      <c r="Q2515" s="137"/>
      <c r="R2515" s="137"/>
      <c r="S2515" s="137"/>
      <c r="T2515" s="137"/>
      <c r="U2515" s="137"/>
      <c r="V2515" s="137"/>
      <c r="W2515" s="137"/>
      <c r="X2515" s="137"/>
      <c r="Y2515" s="137"/>
      <c r="Z2515" s="137"/>
      <c r="AA2515" s="137"/>
    </row>
    <row r="2516" spans="5:27" x14ac:dyDescent="0.35">
      <c r="E2516" s="137"/>
      <c r="F2516" s="137"/>
      <c r="G2516" s="190"/>
      <c r="H2516" s="137"/>
      <c r="I2516" s="137"/>
      <c r="J2516" s="137"/>
      <c r="M2516" s="143"/>
      <c r="N2516" s="143"/>
      <c r="O2516" s="143"/>
      <c r="P2516" s="143"/>
      <c r="Q2516" s="137"/>
      <c r="R2516" s="137"/>
      <c r="S2516" s="137"/>
      <c r="T2516" s="137"/>
      <c r="U2516" s="137"/>
      <c r="V2516" s="137"/>
      <c r="W2516" s="137"/>
      <c r="X2516" s="137"/>
      <c r="Y2516" s="137"/>
      <c r="Z2516" s="137"/>
      <c r="AA2516" s="137"/>
    </row>
    <row r="2517" spans="5:27" x14ac:dyDescent="0.35">
      <c r="E2517" s="137"/>
      <c r="F2517" s="137"/>
      <c r="G2517" s="190"/>
      <c r="H2517" s="137"/>
      <c r="I2517" s="137"/>
      <c r="J2517" s="137"/>
      <c r="M2517" s="143"/>
      <c r="N2517" s="143"/>
      <c r="O2517" s="143"/>
      <c r="P2517" s="143"/>
      <c r="Q2517" s="137"/>
      <c r="R2517" s="137"/>
      <c r="S2517" s="137"/>
      <c r="T2517" s="137"/>
      <c r="U2517" s="137"/>
      <c r="V2517" s="137"/>
      <c r="W2517" s="137"/>
      <c r="X2517" s="137"/>
      <c r="Y2517" s="137"/>
      <c r="Z2517" s="137"/>
      <c r="AA2517" s="137"/>
    </row>
    <row r="2518" spans="5:27" x14ac:dyDescent="0.35">
      <c r="E2518" s="137"/>
      <c r="F2518" s="137"/>
      <c r="G2518" s="190"/>
      <c r="H2518" s="137"/>
      <c r="I2518" s="137"/>
      <c r="J2518" s="137"/>
      <c r="M2518" s="143"/>
      <c r="N2518" s="143"/>
      <c r="O2518" s="143"/>
      <c r="P2518" s="143"/>
      <c r="Q2518" s="137"/>
      <c r="R2518" s="137"/>
      <c r="S2518" s="137"/>
      <c r="T2518" s="137"/>
      <c r="U2518" s="137"/>
      <c r="V2518" s="137"/>
      <c r="W2518" s="137"/>
      <c r="X2518" s="137"/>
      <c r="Y2518" s="137"/>
      <c r="Z2518" s="137"/>
      <c r="AA2518" s="137"/>
    </row>
    <row r="2519" spans="5:27" x14ac:dyDescent="0.35">
      <c r="E2519" s="137"/>
      <c r="F2519" s="137"/>
      <c r="G2519" s="190"/>
      <c r="H2519" s="137"/>
      <c r="I2519" s="137"/>
      <c r="J2519" s="137"/>
      <c r="M2519" s="143"/>
      <c r="N2519" s="143"/>
      <c r="O2519" s="143"/>
      <c r="P2519" s="143"/>
      <c r="Q2519" s="137"/>
      <c r="R2519" s="137"/>
      <c r="S2519" s="137"/>
      <c r="T2519" s="137"/>
      <c r="U2519" s="137"/>
      <c r="V2519" s="137"/>
      <c r="W2519" s="137"/>
      <c r="X2519" s="137"/>
      <c r="Y2519" s="137"/>
      <c r="Z2519" s="137"/>
      <c r="AA2519" s="137"/>
    </row>
    <row r="2520" spans="5:27" x14ac:dyDescent="0.35">
      <c r="E2520" s="137"/>
      <c r="F2520" s="137"/>
      <c r="G2520" s="190"/>
      <c r="H2520" s="137"/>
      <c r="I2520" s="137"/>
      <c r="J2520" s="137"/>
      <c r="M2520" s="143"/>
      <c r="N2520" s="143"/>
      <c r="O2520" s="143"/>
      <c r="P2520" s="143"/>
      <c r="Q2520" s="137"/>
      <c r="R2520" s="137"/>
      <c r="S2520" s="137"/>
      <c r="T2520" s="137"/>
      <c r="U2520" s="137"/>
      <c r="V2520" s="137"/>
      <c r="W2520" s="137"/>
      <c r="X2520" s="137"/>
      <c r="Y2520" s="137"/>
      <c r="Z2520" s="137"/>
      <c r="AA2520" s="137"/>
    </row>
    <row r="2521" spans="5:27" x14ac:dyDescent="0.35">
      <c r="E2521" s="137"/>
      <c r="F2521" s="137"/>
      <c r="G2521" s="190"/>
      <c r="H2521" s="137"/>
      <c r="I2521" s="137"/>
      <c r="J2521" s="137"/>
      <c r="M2521" s="143"/>
      <c r="N2521" s="143"/>
      <c r="O2521" s="143"/>
      <c r="P2521" s="143"/>
      <c r="Q2521" s="137"/>
      <c r="R2521" s="137"/>
      <c r="S2521" s="137"/>
      <c r="T2521" s="137"/>
      <c r="U2521" s="137"/>
      <c r="V2521" s="137"/>
      <c r="W2521" s="137"/>
      <c r="X2521" s="137"/>
      <c r="Y2521" s="137"/>
      <c r="Z2521" s="137"/>
      <c r="AA2521" s="137"/>
    </row>
    <row r="2522" spans="5:27" x14ac:dyDescent="0.35">
      <c r="E2522" s="137"/>
      <c r="F2522" s="137"/>
      <c r="G2522" s="190"/>
      <c r="H2522" s="137"/>
      <c r="I2522" s="137"/>
      <c r="J2522" s="137"/>
      <c r="M2522" s="143"/>
      <c r="N2522" s="143"/>
      <c r="O2522" s="143"/>
      <c r="P2522" s="143"/>
      <c r="Q2522" s="137"/>
      <c r="R2522" s="137"/>
      <c r="S2522" s="137"/>
      <c r="T2522" s="137"/>
      <c r="U2522" s="137"/>
      <c r="V2522" s="137"/>
      <c r="W2522" s="137"/>
      <c r="X2522" s="137"/>
      <c r="Y2522" s="137"/>
      <c r="Z2522" s="137"/>
      <c r="AA2522" s="137"/>
    </row>
    <row r="2523" spans="5:27" x14ac:dyDescent="0.35">
      <c r="E2523" s="137"/>
      <c r="F2523" s="137"/>
      <c r="G2523" s="190"/>
      <c r="H2523" s="137"/>
      <c r="I2523" s="137"/>
      <c r="J2523" s="137"/>
      <c r="M2523" s="143"/>
      <c r="N2523" s="143"/>
      <c r="O2523" s="143"/>
      <c r="P2523" s="143"/>
      <c r="Q2523" s="137"/>
      <c r="R2523" s="137"/>
      <c r="S2523" s="137"/>
      <c r="T2523" s="137"/>
      <c r="U2523" s="137"/>
      <c r="V2523" s="137"/>
      <c r="W2523" s="137"/>
      <c r="X2523" s="137"/>
      <c r="Y2523" s="137"/>
      <c r="Z2523" s="137"/>
      <c r="AA2523" s="137"/>
    </row>
    <row r="2524" spans="5:27" x14ac:dyDescent="0.35">
      <c r="E2524" s="137"/>
      <c r="F2524" s="137"/>
      <c r="G2524" s="190"/>
      <c r="H2524" s="137"/>
      <c r="I2524" s="137"/>
      <c r="J2524" s="137"/>
      <c r="M2524" s="143"/>
      <c r="N2524" s="143"/>
      <c r="O2524" s="143"/>
      <c r="P2524" s="143"/>
      <c r="Q2524" s="137"/>
      <c r="R2524" s="137"/>
      <c r="S2524" s="137"/>
      <c r="T2524" s="137"/>
      <c r="U2524" s="137"/>
      <c r="V2524" s="137"/>
      <c r="W2524" s="137"/>
      <c r="X2524" s="137"/>
      <c r="Y2524" s="137"/>
      <c r="Z2524" s="137"/>
      <c r="AA2524" s="137"/>
    </row>
    <row r="2525" spans="5:27" x14ac:dyDescent="0.35">
      <c r="E2525" s="137"/>
      <c r="F2525" s="137"/>
      <c r="G2525" s="190"/>
      <c r="H2525" s="137"/>
      <c r="I2525" s="137"/>
      <c r="J2525" s="137"/>
      <c r="M2525" s="143"/>
      <c r="N2525" s="143"/>
      <c r="O2525" s="143"/>
      <c r="P2525" s="143"/>
      <c r="Q2525" s="137"/>
      <c r="R2525" s="137"/>
      <c r="S2525" s="137"/>
      <c r="T2525" s="137"/>
      <c r="U2525" s="137"/>
      <c r="V2525" s="137"/>
      <c r="W2525" s="137"/>
      <c r="X2525" s="137"/>
      <c r="Y2525" s="137"/>
      <c r="Z2525" s="137"/>
      <c r="AA2525" s="137"/>
    </row>
    <row r="2526" spans="5:27" x14ac:dyDescent="0.35">
      <c r="E2526" s="137"/>
      <c r="F2526" s="137"/>
      <c r="G2526" s="190"/>
      <c r="H2526" s="137"/>
      <c r="I2526" s="137"/>
      <c r="J2526" s="137"/>
      <c r="M2526" s="143"/>
      <c r="N2526" s="143"/>
      <c r="O2526" s="143"/>
      <c r="P2526" s="143"/>
      <c r="Q2526" s="137"/>
      <c r="R2526" s="137"/>
      <c r="S2526" s="137"/>
      <c r="T2526" s="137"/>
      <c r="U2526" s="137"/>
      <c r="V2526" s="137"/>
      <c r="W2526" s="137"/>
      <c r="X2526" s="137"/>
      <c r="Y2526" s="137"/>
      <c r="Z2526" s="137"/>
      <c r="AA2526" s="137"/>
    </row>
    <row r="2527" spans="5:27" x14ac:dyDescent="0.35">
      <c r="E2527" s="137"/>
      <c r="F2527" s="137"/>
      <c r="G2527" s="190"/>
      <c r="H2527" s="137"/>
      <c r="I2527" s="137"/>
      <c r="J2527" s="137"/>
      <c r="M2527" s="143"/>
      <c r="N2527" s="143"/>
      <c r="O2527" s="143"/>
      <c r="P2527" s="143"/>
      <c r="Q2527" s="137"/>
      <c r="R2527" s="137"/>
      <c r="S2527" s="137"/>
      <c r="T2527" s="137"/>
      <c r="U2527" s="137"/>
      <c r="V2527" s="137"/>
      <c r="W2527" s="137"/>
      <c r="X2527" s="137"/>
      <c r="Y2527" s="137"/>
      <c r="Z2527" s="137"/>
      <c r="AA2527" s="137"/>
    </row>
    <row r="2528" spans="5:27" x14ac:dyDescent="0.35">
      <c r="E2528" s="137"/>
      <c r="F2528" s="137"/>
      <c r="G2528" s="190"/>
      <c r="H2528" s="137"/>
      <c r="I2528" s="137"/>
      <c r="J2528" s="137"/>
      <c r="M2528" s="143"/>
      <c r="N2528" s="143"/>
      <c r="O2528" s="143"/>
      <c r="P2528" s="143"/>
      <c r="Q2528" s="137"/>
      <c r="R2528" s="137"/>
      <c r="S2528" s="137"/>
      <c r="T2528" s="137"/>
      <c r="U2528" s="137"/>
      <c r="V2528" s="137"/>
      <c r="W2528" s="137"/>
      <c r="X2528" s="137"/>
      <c r="Y2528" s="137"/>
      <c r="Z2528" s="137"/>
      <c r="AA2528" s="137"/>
    </row>
    <row r="2529" spans="5:27" x14ac:dyDescent="0.35">
      <c r="E2529" s="137"/>
      <c r="F2529" s="137"/>
      <c r="G2529" s="190"/>
      <c r="H2529" s="137"/>
      <c r="I2529" s="137"/>
      <c r="J2529" s="137"/>
      <c r="M2529" s="143"/>
      <c r="N2529" s="143"/>
      <c r="O2529" s="143"/>
      <c r="P2529" s="143"/>
      <c r="Q2529" s="137"/>
      <c r="R2529" s="137"/>
      <c r="S2529" s="137"/>
      <c r="T2529" s="137"/>
      <c r="U2529" s="137"/>
      <c r="V2529" s="137"/>
      <c r="W2529" s="137"/>
      <c r="X2529" s="137"/>
      <c r="Y2529" s="137"/>
      <c r="Z2529" s="137"/>
      <c r="AA2529" s="137"/>
    </row>
    <row r="2530" spans="5:27" x14ac:dyDescent="0.35">
      <c r="E2530" s="137"/>
      <c r="F2530" s="137"/>
      <c r="G2530" s="190"/>
      <c r="H2530" s="137"/>
      <c r="I2530" s="137"/>
      <c r="J2530" s="137"/>
      <c r="M2530" s="143"/>
      <c r="N2530" s="143"/>
      <c r="O2530" s="143"/>
      <c r="P2530" s="143"/>
      <c r="Q2530" s="137"/>
      <c r="R2530" s="137"/>
      <c r="S2530" s="137"/>
      <c r="T2530" s="137"/>
      <c r="U2530" s="137"/>
      <c r="V2530" s="137"/>
      <c r="W2530" s="137"/>
      <c r="X2530" s="137"/>
      <c r="Y2530" s="137"/>
      <c r="Z2530" s="137"/>
      <c r="AA2530" s="137"/>
    </row>
    <row r="2531" spans="5:27" x14ac:dyDescent="0.35">
      <c r="E2531" s="137"/>
      <c r="F2531" s="137"/>
      <c r="G2531" s="190"/>
      <c r="H2531" s="137"/>
      <c r="I2531" s="137"/>
      <c r="J2531" s="137"/>
      <c r="M2531" s="143"/>
      <c r="N2531" s="143"/>
      <c r="O2531" s="143"/>
      <c r="P2531" s="143"/>
      <c r="Q2531" s="137"/>
      <c r="R2531" s="137"/>
      <c r="S2531" s="137"/>
      <c r="T2531" s="137"/>
      <c r="U2531" s="137"/>
      <c r="V2531" s="137"/>
      <c r="W2531" s="137"/>
      <c r="X2531" s="137"/>
      <c r="Y2531" s="137"/>
      <c r="Z2531" s="137"/>
      <c r="AA2531" s="137"/>
    </row>
    <row r="2532" spans="5:27" x14ac:dyDescent="0.35">
      <c r="E2532" s="137"/>
      <c r="F2532" s="137"/>
      <c r="G2532" s="190"/>
      <c r="H2532" s="137"/>
      <c r="I2532" s="137"/>
      <c r="J2532" s="137"/>
      <c r="M2532" s="143"/>
      <c r="N2532" s="143"/>
      <c r="O2532" s="143"/>
      <c r="P2532" s="143"/>
      <c r="Q2532" s="137"/>
      <c r="R2532" s="137"/>
      <c r="S2532" s="137"/>
      <c r="T2532" s="137"/>
      <c r="U2532" s="137"/>
      <c r="V2532" s="137"/>
      <c r="W2532" s="137"/>
      <c r="X2532" s="137"/>
      <c r="Y2532" s="137"/>
      <c r="Z2532" s="137"/>
      <c r="AA2532" s="137"/>
    </row>
    <row r="2533" spans="5:27" x14ac:dyDescent="0.35">
      <c r="E2533" s="137"/>
      <c r="F2533" s="137"/>
      <c r="G2533" s="190"/>
      <c r="H2533" s="137"/>
      <c r="I2533" s="137"/>
      <c r="J2533" s="137"/>
      <c r="M2533" s="143"/>
      <c r="N2533" s="143"/>
      <c r="O2533" s="143"/>
      <c r="P2533" s="143"/>
      <c r="Q2533" s="137"/>
      <c r="R2533" s="137"/>
      <c r="S2533" s="137"/>
      <c r="T2533" s="137"/>
      <c r="U2533" s="137"/>
      <c r="V2533" s="137"/>
      <c r="W2533" s="137"/>
      <c r="X2533" s="137"/>
      <c r="Y2533" s="137"/>
      <c r="Z2533" s="137"/>
      <c r="AA2533" s="137"/>
    </row>
    <row r="2534" spans="5:27" x14ac:dyDescent="0.35">
      <c r="E2534" s="137"/>
      <c r="F2534" s="137"/>
      <c r="G2534" s="190"/>
      <c r="H2534" s="137"/>
      <c r="I2534" s="137"/>
      <c r="J2534" s="137"/>
      <c r="M2534" s="143"/>
      <c r="N2534" s="143"/>
      <c r="O2534" s="143"/>
      <c r="P2534" s="143"/>
      <c r="Q2534" s="137"/>
      <c r="R2534" s="137"/>
      <c r="S2534" s="137"/>
      <c r="T2534" s="137"/>
      <c r="U2534" s="137"/>
      <c r="V2534" s="137"/>
      <c r="W2534" s="137"/>
      <c r="X2534" s="137"/>
      <c r="Y2534" s="137"/>
      <c r="Z2534" s="137"/>
      <c r="AA2534" s="137"/>
    </row>
    <row r="2535" spans="5:27" x14ac:dyDescent="0.35">
      <c r="E2535" s="137"/>
      <c r="F2535" s="137"/>
      <c r="G2535" s="190"/>
      <c r="H2535" s="137"/>
      <c r="I2535" s="137"/>
      <c r="J2535" s="137"/>
      <c r="M2535" s="143"/>
      <c r="N2535" s="143"/>
      <c r="O2535" s="143"/>
      <c r="P2535" s="143"/>
      <c r="Q2535" s="137"/>
      <c r="R2535" s="137"/>
      <c r="S2535" s="137"/>
      <c r="T2535" s="137"/>
      <c r="U2535" s="137"/>
      <c r="V2535" s="137"/>
      <c r="W2535" s="137"/>
      <c r="X2535" s="137"/>
      <c r="Y2535" s="137"/>
      <c r="Z2535" s="137"/>
      <c r="AA2535" s="137"/>
    </row>
    <row r="2536" spans="5:27" x14ac:dyDescent="0.35">
      <c r="E2536" s="137"/>
      <c r="F2536" s="137"/>
      <c r="G2536" s="190"/>
      <c r="H2536" s="137"/>
      <c r="I2536" s="137"/>
      <c r="J2536" s="137"/>
      <c r="M2536" s="143"/>
      <c r="N2536" s="143"/>
      <c r="O2536" s="143"/>
      <c r="P2536" s="143"/>
      <c r="Q2536" s="137"/>
      <c r="R2536" s="137"/>
      <c r="S2536" s="137"/>
      <c r="T2536" s="137"/>
      <c r="U2536" s="137"/>
      <c r="V2536" s="137"/>
      <c r="W2536" s="137"/>
      <c r="X2536" s="137"/>
      <c r="Y2536" s="137"/>
      <c r="Z2536" s="137"/>
      <c r="AA2536" s="137"/>
    </row>
    <row r="2537" spans="5:27" x14ac:dyDescent="0.35">
      <c r="E2537" s="137"/>
      <c r="F2537" s="137"/>
      <c r="G2537" s="190"/>
      <c r="H2537" s="137"/>
      <c r="I2537" s="137"/>
      <c r="J2537" s="137"/>
      <c r="M2537" s="143"/>
      <c r="N2537" s="143"/>
      <c r="O2537" s="143"/>
      <c r="P2537" s="143"/>
      <c r="Q2537" s="137"/>
      <c r="R2537" s="137"/>
      <c r="S2537" s="137"/>
      <c r="T2537" s="137"/>
      <c r="U2537" s="137"/>
      <c r="V2537" s="137"/>
      <c r="W2537" s="137"/>
      <c r="X2537" s="137"/>
      <c r="Y2537" s="137"/>
      <c r="Z2537" s="137"/>
      <c r="AA2537" s="137"/>
    </row>
    <row r="2538" spans="5:27" x14ac:dyDescent="0.35">
      <c r="E2538" s="137"/>
      <c r="F2538" s="137"/>
      <c r="G2538" s="190"/>
      <c r="H2538" s="137"/>
      <c r="I2538" s="137"/>
      <c r="J2538" s="137"/>
      <c r="M2538" s="143"/>
      <c r="N2538" s="143"/>
      <c r="O2538" s="143"/>
      <c r="P2538" s="143"/>
      <c r="Q2538" s="137"/>
      <c r="R2538" s="137"/>
      <c r="S2538" s="137"/>
      <c r="T2538" s="137"/>
      <c r="U2538" s="137"/>
      <c r="V2538" s="137"/>
      <c r="W2538" s="137"/>
      <c r="X2538" s="137"/>
      <c r="Y2538" s="137"/>
      <c r="Z2538" s="137"/>
      <c r="AA2538" s="137"/>
    </row>
    <row r="2539" spans="5:27" x14ac:dyDescent="0.35">
      <c r="E2539" s="137"/>
      <c r="F2539" s="137"/>
      <c r="G2539" s="190"/>
      <c r="H2539" s="137"/>
      <c r="I2539" s="137"/>
      <c r="J2539" s="137"/>
      <c r="M2539" s="143"/>
      <c r="N2539" s="143"/>
      <c r="O2539" s="143"/>
      <c r="P2539" s="143"/>
      <c r="Q2539" s="137"/>
      <c r="R2539" s="137"/>
      <c r="S2539" s="137"/>
      <c r="T2539" s="137"/>
      <c r="U2539" s="137"/>
      <c r="V2539" s="137"/>
      <c r="W2539" s="137"/>
      <c r="X2539" s="137"/>
      <c r="Y2539" s="137"/>
      <c r="Z2539" s="137"/>
      <c r="AA2539" s="137"/>
    </row>
    <row r="2540" spans="5:27" x14ac:dyDescent="0.35">
      <c r="E2540" s="137"/>
      <c r="F2540" s="137"/>
      <c r="G2540" s="190"/>
      <c r="H2540" s="137"/>
      <c r="I2540" s="137"/>
      <c r="J2540" s="137"/>
      <c r="M2540" s="143"/>
      <c r="N2540" s="143"/>
      <c r="O2540" s="143"/>
      <c r="P2540" s="143"/>
      <c r="Q2540" s="137"/>
      <c r="R2540" s="137"/>
      <c r="S2540" s="137"/>
      <c r="T2540" s="137"/>
      <c r="U2540" s="137"/>
      <c r="V2540" s="137"/>
      <c r="W2540" s="137"/>
      <c r="X2540" s="137"/>
      <c r="Y2540" s="137"/>
      <c r="Z2540" s="137"/>
      <c r="AA2540" s="137"/>
    </row>
    <row r="2541" spans="5:27" x14ac:dyDescent="0.35">
      <c r="E2541" s="137"/>
      <c r="F2541" s="137"/>
      <c r="G2541" s="190"/>
      <c r="H2541" s="137"/>
      <c r="I2541" s="137"/>
      <c r="J2541" s="137"/>
      <c r="M2541" s="143"/>
      <c r="N2541" s="143"/>
      <c r="O2541" s="143"/>
      <c r="P2541" s="143"/>
      <c r="Q2541" s="137"/>
      <c r="R2541" s="137"/>
      <c r="S2541" s="137"/>
      <c r="T2541" s="137"/>
      <c r="U2541" s="137"/>
      <c r="V2541" s="137"/>
      <c r="W2541" s="137"/>
      <c r="X2541" s="137"/>
      <c r="Y2541" s="137"/>
      <c r="Z2541" s="137"/>
      <c r="AA2541" s="137"/>
    </row>
    <row r="2542" spans="5:27" x14ac:dyDescent="0.35">
      <c r="E2542" s="137"/>
      <c r="F2542" s="137"/>
      <c r="G2542" s="190"/>
      <c r="H2542" s="137"/>
      <c r="I2542" s="137"/>
      <c r="J2542" s="137"/>
      <c r="M2542" s="143"/>
      <c r="N2542" s="143"/>
      <c r="O2542" s="143"/>
      <c r="P2542" s="143"/>
      <c r="Q2542" s="137"/>
      <c r="R2542" s="137"/>
      <c r="S2542" s="137"/>
      <c r="T2542" s="137"/>
      <c r="U2542" s="137"/>
      <c r="V2542" s="137"/>
      <c r="W2542" s="137"/>
      <c r="X2542" s="137"/>
      <c r="Y2542" s="137"/>
      <c r="Z2542" s="137"/>
      <c r="AA2542" s="137"/>
    </row>
    <row r="2543" spans="5:27" x14ac:dyDescent="0.35">
      <c r="E2543" s="137"/>
      <c r="F2543" s="137"/>
      <c r="G2543" s="190"/>
      <c r="H2543" s="137"/>
      <c r="I2543" s="137"/>
      <c r="J2543" s="137"/>
      <c r="M2543" s="143"/>
      <c r="N2543" s="143"/>
      <c r="O2543" s="143"/>
      <c r="P2543" s="143"/>
      <c r="Q2543" s="137"/>
      <c r="R2543" s="137"/>
      <c r="S2543" s="137"/>
      <c r="T2543" s="137"/>
      <c r="U2543" s="137"/>
      <c r="V2543" s="137"/>
      <c r="W2543" s="137"/>
      <c r="X2543" s="137"/>
      <c r="Y2543" s="137"/>
      <c r="Z2543" s="137"/>
      <c r="AA2543" s="137"/>
    </row>
    <row r="2544" spans="5:27" x14ac:dyDescent="0.35">
      <c r="E2544" s="137"/>
      <c r="F2544" s="137"/>
      <c r="G2544" s="190"/>
      <c r="H2544" s="137"/>
      <c r="I2544" s="137"/>
      <c r="J2544" s="137"/>
      <c r="M2544" s="143"/>
      <c r="N2544" s="143"/>
      <c r="O2544" s="143"/>
      <c r="P2544" s="143"/>
      <c r="Q2544" s="137"/>
      <c r="R2544" s="137"/>
      <c r="S2544" s="137"/>
      <c r="T2544" s="137"/>
      <c r="U2544" s="137"/>
      <c r="V2544" s="137"/>
      <c r="W2544" s="137"/>
      <c r="X2544" s="137"/>
      <c r="Y2544" s="137"/>
      <c r="Z2544" s="137"/>
      <c r="AA2544" s="137"/>
    </row>
    <row r="2545" spans="5:27" x14ac:dyDescent="0.35">
      <c r="E2545" s="137"/>
      <c r="F2545" s="137"/>
      <c r="G2545" s="190"/>
      <c r="H2545" s="137"/>
      <c r="I2545" s="137"/>
      <c r="J2545" s="137"/>
      <c r="M2545" s="143"/>
      <c r="N2545" s="143"/>
      <c r="O2545" s="143"/>
      <c r="P2545" s="143"/>
      <c r="Q2545" s="137"/>
      <c r="R2545" s="137"/>
      <c r="S2545" s="137"/>
      <c r="T2545" s="137"/>
      <c r="U2545" s="137"/>
      <c r="V2545" s="137"/>
      <c r="W2545" s="137"/>
      <c r="X2545" s="137"/>
      <c r="Y2545" s="137"/>
      <c r="Z2545" s="137"/>
      <c r="AA2545" s="137"/>
    </row>
    <row r="2546" spans="5:27" x14ac:dyDescent="0.35">
      <c r="E2546" s="137"/>
      <c r="F2546" s="137"/>
      <c r="G2546" s="190"/>
      <c r="H2546" s="137"/>
      <c r="I2546" s="137"/>
      <c r="J2546" s="137"/>
      <c r="M2546" s="143"/>
      <c r="N2546" s="143"/>
      <c r="O2546" s="143"/>
      <c r="P2546" s="143"/>
      <c r="Q2546" s="137"/>
      <c r="R2546" s="137"/>
      <c r="S2546" s="137"/>
      <c r="T2546" s="137"/>
      <c r="U2546" s="137"/>
      <c r="V2546" s="137"/>
      <c r="W2546" s="137"/>
      <c r="X2546" s="137"/>
      <c r="Y2546" s="137"/>
      <c r="Z2546" s="137"/>
      <c r="AA2546" s="137"/>
    </row>
    <row r="2547" spans="5:27" x14ac:dyDescent="0.35">
      <c r="E2547" s="137"/>
      <c r="F2547" s="137"/>
      <c r="G2547" s="190"/>
      <c r="H2547" s="137"/>
      <c r="I2547" s="137"/>
      <c r="J2547" s="137"/>
      <c r="M2547" s="143"/>
      <c r="N2547" s="143"/>
      <c r="O2547" s="143"/>
      <c r="P2547" s="143"/>
      <c r="Q2547" s="137"/>
      <c r="R2547" s="137"/>
      <c r="S2547" s="137"/>
      <c r="T2547" s="137"/>
      <c r="U2547" s="137"/>
      <c r="V2547" s="137"/>
      <c r="W2547" s="137"/>
      <c r="X2547" s="137"/>
      <c r="Y2547" s="137"/>
      <c r="Z2547" s="137"/>
      <c r="AA2547" s="137"/>
    </row>
    <row r="2548" spans="5:27" x14ac:dyDescent="0.35">
      <c r="E2548" s="137"/>
      <c r="F2548" s="137"/>
      <c r="G2548" s="190"/>
      <c r="H2548" s="137"/>
      <c r="I2548" s="137"/>
      <c r="J2548" s="137"/>
      <c r="M2548" s="143"/>
      <c r="N2548" s="143"/>
      <c r="O2548" s="143"/>
      <c r="P2548" s="143"/>
      <c r="Q2548" s="137"/>
      <c r="R2548" s="137"/>
      <c r="S2548" s="137"/>
      <c r="T2548" s="137"/>
      <c r="U2548" s="137"/>
      <c r="V2548" s="137"/>
      <c r="W2548" s="137"/>
      <c r="X2548" s="137"/>
      <c r="Y2548" s="137"/>
      <c r="Z2548" s="137"/>
      <c r="AA2548" s="137"/>
    </row>
    <row r="2549" spans="5:27" x14ac:dyDescent="0.35">
      <c r="E2549" s="137"/>
      <c r="F2549" s="137"/>
      <c r="G2549" s="190"/>
      <c r="H2549" s="137"/>
      <c r="I2549" s="137"/>
      <c r="J2549" s="137"/>
      <c r="M2549" s="143"/>
      <c r="N2549" s="143"/>
      <c r="O2549" s="143"/>
      <c r="P2549" s="143"/>
      <c r="Q2549" s="137"/>
      <c r="R2549" s="137"/>
      <c r="S2549" s="137"/>
      <c r="T2549" s="137"/>
      <c r="U2549" s="137"/>
      <c r="V2549" s="137"/>
      <c r="W2549" s="137"/>
      <c r="X2549" s="137"/>
      <c r="Y2549" s="137"/>
      <c r="Z2549" s="137"/>
      <c r="AA2549" s="137"/>
    </row>
    <row r="2550" spans="5:27" x14ac:dyDescent="0.35">
      <c r="E2550" s="137"/>
      <c r="F2550" s="137"/>
      <c r="G2550" s="190"/>
      <c r="H2550" s="137"/>
      <c r="I2550" s="137"/>
      <c r="J2550" s="137"/>
      <c r="M2550" s="143"/>
      <c r="N2550" s="143"/>
      <c r="O2550" s="143"/>
      <c r="P2550" s="143"/>
      <c r="Q2550" s="137"/>
      <c r="R2550" s="137"/>
      <c r="S2550" s="137"/>
      <c r="T2550" s="137"/>
      <c r="U2550" s="137"/>
      <c r="V2550" s="137"/>
      <c r="W2550" s="137"/>
      <c r="X2550" s="137"/>
      <c r="Y2550" s="137"/>
      <c r="Z2550" s="137"/>
      <c r="AA2550" s="137"/>
    </row>
    <row r="2551" spans="5:27" x14ac:dyDescent="0.35">
      <c r="E2551" s="137"/>
      <c r="F2551" s="137"/>
      <c r="G2551" s="190"/>
      <c r="H2551" s="137"/>
      <c r="I2551" s="137"/>
      <c r="J2551" s="137"/>
      <c r="M2551" s="143"/>
      <c r="N2551" s="143"/>
      <c r="O2551" s="143"/>
      <c r="P2551" s="143"/>
      <c r="Q2551" s="137"/>
      <c r="R2551" s="137"/>
      <c r="S2551" s="137"/>
      <c r="T2551" s="137"/>
      <c r="U2551" s="137"/>
      <c r="V2551" s="137"/>
      <c r="W2551" s="137"/>
      <c r="X2551" s="137"/>
      <c r="Y2551" s="137"/>
      <c r="Z2551" s="137"/>
      <c r="AA2551" s="137"/>
    </row>
    <row r="2552" spans="5:27" x14ac:dyDescent="0.35">
      <c r="E2552" s="137"/>
      <c r="F2552" s="137"/>
      <c r="G2552" s="190"/>
      <c r="H2552" s="137"/>
      <c r="I2552" s="137"/>
      <c r="J2552" s="137"/>
      <c r="M2552" s="143"/>
      <c r="N2552" s="143"/>
      <c r="O2552" s="143"/>
      <c r="P2552" s="143"/>
      <c r="Q2552" s="137"/>
      <c r="R2552" s="137"/>
      <c r="S2552" s="137"/>
      <c r="T2552" s="137"/>
      <c r="U2552" s="137"/>
      <c r="V2552" s="137"/>
      <c r="W2552" s="137"/>
      <c r="X2552" s="137"/>
      <c r="Y2552" s="137"/>
      <c r="Z2552" s="137"/>
      <c r="AA2552" s="137"/>
    </row>
    <row r="2553" spans="5:27" x14ac:dyDescent="0.35">
      <c r="E2553" s="137"/>
      <c r="F2553" s="137"/>
      <c r="G2553" s="190"/>
      <c r="H2553" s="137"/>
      <c r="I2553" s="137"/>
      <c r="J2553" s="137"/>
      <c r="M2553" s="143"/>
      <c r="N2553" s="143"/>
      <c r="O2553" s="143"/>
      <c r="P2553" s="143"/>
      <c r="Q2553" s="137"/>
      <c r="R2553" s="137"/>
      <c r="S2553" s="137"/>
      <c r="T2553" s="137"/>
      <c r="U2553" s="137"/>
      <c r="V2553" s="137"/>
      <c r="W2553" s="137"/>
      <c r="X2553" s="137"/>
      <c r="Y2553" s="137"/>
      <c r="Z2553" s="137"/>
      <c r="AA2553" s="137"/>
    </row>
    <row r="2554" spans="5:27" x14ac:dyDescent="0.35">
      <c r="E2554" s="137"/>
      <c r="F2554" s="137"/>
      <c r="G2554" s="190"/>
      <c r="H2554" s="137"/>
      <c r="I2554" s="137"/>
      <c r="J2554" s="137"/>
      <c r="M2554" s="143"/>
      <c r="N2554" s="143"/>
      <c r="O2554" s="143"/>
      <c r="P2554" s="143"/>
      <c r="Q2554" s="137"/>
      <c r="R2554" s="137"/>
      <c r="S2554" s="137"/>
      <c r="T2554" s="137"/>
      <c r="U2554" s="137"/>
      <c r="V2554" s="137"/>
      <c r="W2554" s="137"/>
      <c r="X2554" s="137"/>
      <c r="Y2554" s="137"/>
      <c r="Z2554" s="137"/>
      <c r="AA2554" s="137"/>
    </row>
    <row r="2555" spans="5:27" x14ac:dyDescent="0.35">
      <c r="E2555" s="137"/>
      <c r="F2555" s="137"/>
      <c r="G2555" s="190"/>
      <c r="H2555" s="137"/>
      <c r="I2555" s="137"/>
      <c r="J2555" s="137"/>
      <c r="M2555" s="143"/>
      <c r="N2555" s="143"/>
      <c r="O2555" s="143"/>
      <c r="P2555" s="143"/>
      <c r="Q2555" s="137"/>
      <c r="R2555" s="137"/>
      <c r="S2555" s="137"/>
      <c r="T2555" s="137"/>
      <c r="U2555" s="137"/>
      <c r="V2555" s="137"/>
      <c r="W2555" s="137"/>
      <c r="X2555" s="137"/>
      <c r="Y2555" s="137"/>
      <c r="Z2555" s="137"/>
      <c r="AA2555" s="137"/>
    </row>
    <row r="2556" spans="5:27" x14ac:dyDescent="0.35">
      <c r="E2556" s="137"/>
      <c r="F2556" s="137"/>
      <c r="G2556" s="190"/>
      <c r="H2556" s="137"/>
      <c r="I2556" s="137"/>
      <c r="J2556" s="137"/>
      <c r="M2556" s="143"/>
      <c r="N2556" s="143"/>
      <c r="O2556" s="143"/>
      <c r="P2556" s="143"/>
      <c r="Q2556" s="137"/>
      <c r="R2556" s="137"/>
      <c r="S2556" s="137"/>
      <c r="T2556" s="137"/>
      <c r="U2556" s="137"/>
      <c r="V2556" s="137"/>
      <c r="W2556" s="137"/>
      <c r="X2556" s="137"/>
      <c r="Y2556" s="137"/>
      <c r="Z2556" s="137"/>
      <c r="AA2556" s="137"/>
    </row>
    <row r="2557" spans="5:27" x14ac:dyDescent="0.35">
      <c r="E2557" s="137"/>
      <c r="F2557" s="137"/>
      <c r="G2557" s="190"/>
      <c r="H2557" s="137"/>
      <c r="I2557" s="137"/>
      <c r="J2557" s="137"/>
      <c r="M2557" s="143"/>
      <c r="N2557" s="143"/>
      <c r="O2557" s="143"/>
      <c r="P2557" s="143"/>
      <c r="Q2557" s="137"/>
      <c r="R2557" s="137"/>
      <c r="S2557" s="137"/>
      <c r="T2557" s="137"/>
      <c r="U2557" s="137"/>
      <c r="V2557" s="137"/>
      <c r="W2557" s="137"/>
      <c r="X2557" s="137"/>
      <c r="Y2557" s="137"/>
      <c r="Z2557" s="137"/>
      <c r="AA2557" s="137"/>
    </row>
    <row r="2558" spans="5:27" x14ac:dyDescent="0.35">
      <c r="E2558" s="137"/>
      <c r="F2558" s="137"/>
      <c r="G2558" s="190"/>
      <c r="H2558" s="137"/>
      <c r="I2558" s="137"/>
      <c r="J2558" s="137"/>
      <c r="M2558" s="143"/>
      <c r="N2558" s="143"/>
      <c r="O2558" s="143"/>
      <c r="P2558" s="143"/>
      <c r="Q2558" s="137"/>
      <c r="R2558" s="137"/>
      <c r="S2558" s="137"/>
      <c r="T2558" s="137"/>
      <c r="U2558" s="137"/>
      <c r="V2558" s="137"/>
      <c r="W2558" s="137"/>
      <c r="X2558" s="137"/>
      <c r="Y2558" s="137"/>
      <c r="Z2558" s="137"/>
      <c r="AA2558" s="137"/>
    </row>
    <row r="2559" spans="5:27" x14ac:dyDescent="0.35">
      <c r="E2559" s="137"/>
      <c r="F2559" s="137"/>
      <c r="G2559" s="190"/>
      <c r="H2559" s="137"/>
      <c r="I2559" s="137"/>
      <c r="J2559" s="137"/>
      <c r="M2559" s="143"/>
      <c r="N2559" s="143"/>
      <c r="O2559" s="143"/>
      <c r="P2559" s="143"/>
      <c r="Q2559" s="137"/>
      <c r="R2559" s="137"/>
      <c r="S2559" s="137"/>
      <c r="T2559" s="137"/>
      <c r="U2559" s="137"/>
      <c r="V2559" s="137"/>
      <c r="W2559" s="137"/>
      <c r="X2559" s="137"/>
      <c r="Y2559" s="137"/>
      <c r="Z2559" s="137"/>
      <c r="AA2559" s="137"/>
    </row>
    <row r="2560" spans="5:27" x14ac:dyDescent="0.35">
      <c r="E2560" s="137"/>
      <c r="F2560" s="137"/>
      <c r="G2560" s="190"/>
      <c r="H2560" s="137"/>
      <c r="I2560" s="137"/>
      <c r="J2560" s="137"/>
      <c r="M2560" s="143"/>
      <c r="N2560" s="143"/>
      <c r="O2560" s="143"/>
      <c r="P2560" s="143"/>
      <c r="Q2560" s="137"/>
      <c r="R2560" s="137"/>
      <c r="S2560" s="137"/>
      <c r="T2560" s="137"/>
      <c r="U2560" s="137"/>
      <c r="V2560" s="137"/>
      <c r="W2560" s="137"/>
      <c r="X2560" s="137"/>
      <c r="Y2560" s="137"/>
      <c r="Z2560" s="137"/>
      <c r="AA2560" s="137"/>
    </row>
    <row r="2561" spans="5:27" x14ac:dyDescent="0.35">
      <c r="E2561" s="137"/>
      <c r="F2561" s="137"/>
      <c r="G2561" s="190"/>
      <c r="H2561" s="137"/>
      <c r="I2561" s="137"/>
      <c r="J2561" s="137"/>
      <c r="M2561" s="143"/>
      <c r="N2561" s="143"/>
      <c r="O2561" s="143"/>
      <c r="P2561" s="143"/>
      <c r="Q2561" s="137"/>
      <c r="R2561" s="137"/>
      <c r="S2561" s="137"/>
      <c r="T2561" s="137"/>
      <c r="U2561" s="137"/>
      <c r="V2561" s="137"/>
      <c r="W2561" s="137"/>
      <c r="X2561" s="137"/>
      <c r="Y2561" s="137"/>
      <c r="Z2561" s="137"/>
      <c r="AA2561" s="137"/>
    </row>
    <row r="2562" spans="5:27" x14ac:dyDescent="0.35">
      <c r="E2562" s="137"/>
      <c r="F2562" s="137"/>
      <c r="G2562" s="190"/>
      <c r="H2562" s="137"/>
      <c r="I2562" s="137"/>
      <c r="J2562" s="137"/>
      <c r="M2562" s="143"/>
      <c r="N2562" s="143"/>
      <c r="O2562" s="143"/>
      <c r="P2562" s="143"/>
      <c r="Q2562" s="137"/>
      <c r="R2562" s="137"/>
      <c r="S2562" s="137"/>
      <c r="T2562" s="137"/>
      <c r="U2562" s="137"/>
      <c r="V2562" s="137"/>
      <c r="W2562" s="137"/>
      <c r="X2562" s="137"/>
      <c r="Y2562" s="137"/>
      <c r="Z2562" s="137"/>
      <c r="AA2562" s="137"/>
    </row>
    <row r="2563" spans="5:27" x14ac:dyDescent="0.35">
      <c r="E2563" s="137"/>
      <c r="F2563" s="137"/>
      <c r="G2563" s="190"/>
      <c r="H2563" s="137"/>
      <c r="I2563" s="137"/>
      <c r="J2563" s="137"/>
      <c r="M2563" s="143"/>
      <c r="N2563" s="143"/>
      <c r="O2563" s="143"/>
      <c r="P2563" s="143"/>
      <c r="Q2563" s="137"/>
      <c r="R2563" s="137"/>
      <c r="S2563" s="137"/>
      <c r="T2563" s="137"/>
      <c r="U2563" s="137"/>
      <c r="V2563" s="137"/>
      <c r="W2563" s="137"/>
      <c r="X2563" s="137"/>
      <c r="Y2563" s="137"/>
      <c r="Z2563" s="137"/>
      <c r="AA2563" s="137"/>
    </row>
    <row r="2564" spans="5:27" x14ac:dyDescent="0.35">
      <c r="E2564" s="137"/>
      <c r="F2564" s="137"/>
      <c r="G2564" s="190"/>
      <c r="H2564" s="137"/>
      <c r="I2564" s="137"/>
      <c r="J2564" s="137"/>
      <c r="M2564" s="143"/>
      <c r="N2564" s="143"/>
      <c r="O2564" s="143"/>
      <c r="P2564" s="143"/>
      <c r="Q2564" s="137"/>
      <c r="R2564" s="137"/>
      <c r="S2564" s="137"/>
      <c r="T2564" s="137"/>
      <c r="U2564" s="137"/>
      <c r="V2564" s="137"/>
      <c r="W2564" s="137"/>
      <c r="X2564" s="137"/>
      <c r="Y2564" s="137"/>
      <c r="Z2564" s="137"/>
      <c r="AA2564" s="137"/>
    </row>
    <row r="2565" spans="5:27" x14ac:dyDescent="0.35">
      <c r="E2565" s="137"/>
      <c r="F2565" s="137"/>
      <c r="G2565" s="190"/>
      <c r="H2565" s="137"/>
      <c r="I2565" s="137"/>
      <c r="J2565" s="137"/>
      <c r="M2565" s="143"/>
      <c r="N2565" s="143"/>
      <c r="O2565" s="143"/>
      <c r="P2565" s="143"/>
      <c r="Q2565" s="137"/>
      <c r="R2565" s="137"/>
      <c r="S2565" s="137"/>
      <c r="T2565" s="137"/>
      <c r="U2565" s="137"/>
      <c r="V2565" s="137"/>
      <c r="W2565" s="137"/>
      <c r="X2565" s="137"/>
      <c r="Y2565" s="137"/>
      <c r="Z2565" s="137"/>
      <c r="AA2565" s="137"/>
    </row>
    <row r="2566" spans="5:27" x14ac:dyDescent="0.35">
      <c r="E2566" s="137"/>
      <c r="F2566" s="137"/>
      <c r="G2566" s="190"/>
      <c r="H2566" s="137"/>
      <c r="I2566" s="137"/>
      <c r="J2566" s="137"/>
      <c r="M2566" s="143"/>
      <c r="N2566" s="143"/>
      <c r="O2566" s="143"/>
      <c r="P2566" s="143"/>
      <c r="Q2566" s="137"/>
      <c r="R2566" s="137"/>
      <c r="S2566" s="137"/>
      <c r="T2566" s="137"/>
      <c r="U2566" s="137"/>
      <c r="V2566" s="137"/>
      <c r="W2566" s="137"/>
      <c r="X2566" s="137"/>
      <c r="Y2566" s="137"/>
      <c r="Z2566" s="137"/>
      <c r="AA2566" s="137"/>
    </row>
    <row r="2567" spans="5:27" x14ac:dyDescent="0.35">
      <c r="E2567" s="137"/>
      <c r="F2567" s="137"/>
      <c r="G2567" s="190"/>
      <c r="H2567" s="137"/>
      <c r="I2567" s="137"/>
      <c r="J2567" s="137"/>
      <c r="M2567" s="143"/>
      <c r="N2567" s="143"/>
      <c r="O2567" s="143"/>
      <c r="P2567" s="143"/>
      <c r="Q2567" s="137"/>
      <c r="R2567" s="137"/>
      <c r="S2567" s="137"/>
      <c r="T2567" s="137"/>
      <c r="U2567" s="137"/>
      <c r="V2567" s="137"/>
      <c r="W2567" s="137"/>
      <c r="X2567" s="137"/>
      <c r="Y2567" s="137"/>
      <c r="Z2567" s="137"/>
      <c r="AA2567" s="137"/>
    </row>
    <row r="2568" spans="5:27" x14ac:dyDescent="0.35">
      <c r="E2568" s="137"/>
      <c r="F2568" s="137"/>
      <c r="G2568" s="190"/>
      <c r="H2568" s="137"/>
      <c r="I2568" s="137"/>
      <c r="J2568" s="137"/>
      <c r="M2568" s="143"/>
      <c r="N2568" s="143"/>
      <c r="O2568" s="143"/>
      <c r="P2568" s="143"/>
      <c r="Q2568" s="137"/>
      <c r="R2568" s="137"/>
      <c r="S2568" s="137"/>
      <c r="T2568" s="137"/>
      <c r="U2568" s="137"/>
      <c r="V2568" s="137"/>
      <c r="W2568" s="137"/>
      <c r="X2568" s="137"/>
      <c r="Y2568" s="137"/>
      <c r="Z2568" s="137"/>
      <c r="AA2568" s="137"/>
    </row>
    <row r="2569" spans="5:27" x14ac:dyDescent="0.35">
      <c r="E2569" s="137"/>
      <c r="F2569" s="137"/>
      <c r="G2569" s="190"/>
      <c r="H2569" s="137"/>
      <c r="I2569" s="137"/>
      <c r="J2569" s="137"/>
      <c r="M2569" s="143"/>
      <c r="N2569" s="143"/>
      <c r="O2569" s="143"/>
      <c r="P2569" s="143"/>
      <c r="Q2569" s="137"/>
      <c r="R2569" s="137"/>
      <c r="S2569" s="137"/>
      <c r="T2569" s="137"/>
      <c r="U2569" s="137"/>
      <c r="V2569" s="137"/>
      <c r="W2569" s="137"/>
      <c r="X2569" s="137"/>
      <c r="Y2569" s="137"/>
      <c r="Z2569" s="137"/>
      <c r="AA2569" s="137"/>
    </row>
    <row r="2570" spans="5:27" x14ac:dyDescent="0.35">
      <c r="E2570" s="137"/>
      <c r="F2570" s="137"/>
      <c r="G2570" s="190"/>
      <c r="H2570" s="137"/>
      <c r="I2570" s="137"/>
      <c r="J2570" s="137"/>
      <c r="M2570" s="143"/>
      <c r="N2570" s="143"/>
      <c r="O2570" s="143"/>
      <c r="P2570" s="143"/>
      <c r="Q2570" s="137"/>
      <c r="R2570" s="137"/>
      <c r="S2570" s="137"/>
      <c r="T2570" s="137"/>
      <c r="U2570" s="137"/>
      <c r="V2570" s="137"/>
      <c r="W2570" s="137"/>
      <c r="X2570" s="137"/>
      <c r="Y2570" s="137"/>
      <c r="Z2570" s="137"/>
      <c r="AA2570" s="137"/>
    </row>
    <row r="2571" spans="5:27" x14ac:dyDescent="0.35">
      <c r="E2571" s="137"/>
      <c r="F2571" s="137"/>
      <c r="G2571" s="190"/>
      <c r="H2571" s="137"/>
      <c r="I2571" s="137"/>
      <c r="J2571" s="137"/>
      <c r="M2571" s="143"/>
      <c r="N2571" s="143"/>
      <c r="O2571" s="143"/>
      <c r="P2571" s="143"/>
      <c r="Q2571" s="137"/>
      <c r="R2571" s="137"/>
      <c r="S2571" s="137"/>
      <c r="T2571" s="137"/>
      <c r="U2571" s="137"/>
      <c r="V2571" s="137"/>
      <c r="W2571" s="137"/>
      <c r="X2571" s="137"/>
      <c r="Y2571" s="137"/>
      <c r="Z2571" s="137"/>
      <c r="AA2571" s="137"/>
    </row>
    <row r="2572" spans="5:27" x14ac:dyDescent="0.35">
      <c r="E2572" s="137"/>
      <c r="F2572" s="137"/>
      <c r="G2572" s="190"/>
      <c r="H2572" s="137"/>
      <c r="I2572" s="137"/>
      <c r="J2572" s="137"/>
      <c r="M2572" s="143"/>
      <c r="N2572" s="143"/>
      <c r="O2572" s="143"/>
      <c r="P2572" s="143"/>
      <c r="Q2572" s="137"/>
      <c r="R2572" s="137"/>
      <c r="S2572" s="137"/>
      <c r="T2572" s="137"/>
      <c r="U2572" s="137"/>
      <c r="V2572" s="137"/>
      <c r="W2572" s="137"/>
      <c r="X2572" s="137"/>
      <c r="Y2572" s="137"/>
      <c r="Z2572" s="137"/>
      <c r="AA2572" s="137"/>
    </row>
    <row r="2573" spans="5:27" x14ac:dyDescent="0.35">
      <c r="E2573" s="137"/>
      <c r="F2573" s="137"/>
      <c r="G2573" s="190"/>
      <c r="H2573" s="137"/>
      <c r="I2573" s="137"/>
      <c r="J2573" s="137"/>
      <c r="M2573" s="143"/>
      <c r="N2573" s="143"/>
      <c r="O2573" s="143"/>
      <c r="P2573" s="143"/>
      <c r="Q2573" s="137"/>
      <c r="R2573" s="137"/>
      <c r="S2573" s="137"/>
      <c r="T2573" s="137"/>
      <c r="U2573" s="137"/>
      <c r="V2573" s="137"/>
      <c r="W2573" s="137"/>
      <c r="X2573" s="137"/>
      <c r="Y2573" s="137"/>
      <c r="Z2573" s="137"/>
      <c r="AA2573" s="137"/>
    </row>
    <row r="2574" spans="5:27" x14ac:dyDescent="0.35">
      <c r="E2574" s="137"/>
      <c r="F2574" s="137"/>
      <c r="G2574" s="190"/>
      <c r="H2574" s="137"/>
      <c r="I2574" s="137"/>
      <c r="J2574" s="137"/>
      <c r="M2574" s="143"/>
      <c r="N2574" s="143"/>
      <c r="O2574" s="143"/>
      <c r="P2574" s="143"/>
      <c r="Q2574" s="137"/>
      <c r="R2574" s="137"/>
      <c r="S2574" s="137"/>
      <c r="T2574" s="137"/>
      <c r="U2574" s="137"/>
      <c r="V2574" s="137"/>
      <c r="W2574" s="137"/>
      <c r="X2574" s="137"/>
      <c r="Y2574" s="137"/>
      <c r="Z2574" s="137"/>
      <c r="AA2574" s="137"/>
    </row>
    <row r="2575" spans="5:27" x14ac:dyDescent="0.35">
      <c r="E2575" s="137"/>
      <c r="F2575" s="137"/>
      <c r="G2575" s="190"/>
      <c r="H2575" s="137"/>
      <c r="I2575" s="137"/>
      <c r="J2575" s="137"/>
      <c r="M2575" s="143"/>
      <c r="N2575" s="143"/>
      <c r="O2575" s="143"/>
      <c r="P2575" s="143"/>
      <c r="Q2575" s="137"/>
      <c r="R2575" s="137"/>
      <c r="S2575" s="137"/>
      <c r="T2575" s="137"/>
      <c r="U2575" s="137"/>
      <c r="V2575" s="137"/>
      <c r="W2575" s="137"/>
      <c r="X2575" s="137"/>
      <c r="Y2575" s="137"/>
      <c r="Z2575" s="137"/>
      <c r="AA2575" s="137"/>
    </row>
    <row r="2576" spans="5:27" x14ac:dyDescent="0.35">
      <c r="E2576" s="137"/>
      <c r="F2576" s="137"/>
      <c r="G2576" s="190"/>
      <c r="H2576" s="137"/>
      <c r="I2576" s="137"/>
      <c r="J2576" s="137"/>
      <c r="M2576" s="143"/>
      <c r="N2576" s="143"/>
      <c r="O2576" s="143"/>
      <c r="P2576" s="143"/>
      <c r="Q2576" s="137"/>
      <c r="R2576" s="137"/>
      <c r="S2576" s="137"/>
      <c r="T2576" s="137"/>
      <c r="U2576" s="137"/>
      <c r="V2576" s="137"/>
      <c r="W2576" s="137"/>
      <c r="X2576" s="137"/>
      <c r="Y2576" s="137"/>
      <c r="Z2576" s="137"/>
      <c r="AA2576" s="137"/>
    </row>
    <row r="2577" spans="5:27" x14ac:dyDescent="0.35">
      <c r="E2577" s="137"/>
      <c r="F2577" s="137"/>
      <c r="G2577" s="190"/>
      <c r="H2577" s="137"/>
      <c r="I2577" s="137"/>
      <c r="J2577" s="137"/>
      <c r="M2577" s="143"/>
      <c r="N2577" s="143"/>
      <c r="O2577" s="143"/>
      <c r="P2577" s="143"/>
      <c r="Q2577" s="137"/>
      <c r="R2577" s="137"/>
      <c r="S2577" s="137"/>
      <c r="T2577" s="137"/>
      <c r="U2577" s="137"/>
      <c r="V2577" s="137"/>
      <c r="W2577" s="137"/>
      <c r="X2577" s="137"/>
      <c r="Y2577" s="137"/>
      <c r="Z2577" s="137"/>
      <c r="AA2577" s="137"/>
    </row>
    <row r="2578" spans="5:27" x14ac:dyDescent="0.35">
      <c r="E2578" s="137"/>
      <c r="F2578" s="137"/>
      <c r="G2578" s="190"/>
      <c r="H2578" s="137"/>
      <c r="I2578" s="137"/>
      <c r="J2578" s="137"/>
      <c r="M2578" s="143"/>
      <c r="N2578" s="143"/>
      <c r="O2578" s="143"/>
      <c r="P2578" s="143"/>
      <c r="Q2578" s="137"/>
      <c r="R2578" s="137"/>
      <c r="S2578" s="137"/>
      <c r="T2578" s="137"/>
      <c r="U2578" s="137"/>
      <c r="V2578" s="137"/>
      <c r="W2578" s="137"/>
      <c r="X2578" s="137"/>
      <c r="Y2578" s="137"/>
      <c r="Z2578" s="137"/>
      <c r="AA2578" s="137"/>
    </row>
    <row r="2579" spans="5:27" x14ac:dyDescent="0.35">
      <c r="E2579" s="137"/>
      <c r="F2579" s="137"/>
      <c r="G2579" s="190"/>
      <c r="H2579" s="137"/>
      <c r="I2579" s="137"/>
      <c r="J2579" s="137"/>
      <c r="M2579" s="143"/>
      <c r="N2579" s="143"/>
      <c r="O2579" s="143"/>
      <c r="P2579" s="143"/>
      <c r="Q2579" s="137"/>
      <c r="R2579" s="137"/>
      <c r="S2579" s="137"/>
      <c r="T2579" s="137"/>
      <c r="U2579" s="137"/>
      <c r="V2579" s="137"/>
      <c r="W2579" s="137"/>
      <c r="X2579" s="137"/>
      <c r="Y2579" s="137"/>
      <c r="Z2579" s="137"/>
      <c r="AA2579" s="137"/>
    </row>
    <row r="2580" spans="5:27" x14ac:dyDescent="0.35">
      <c r="E2580" s="137"/>
      <c r="F2580" s="137"/>
      <c r="G2580" s="190"/>
      <c r="H2580" s="137"/>
      <c r="I2580" s="137"/>
      <c r="J2580" s="137"/>
      <c r="M2580" s="143"/>
      <c r="N2580" s="143"/>
      <c r="O2580" s="143"/>
      <c r="P2580" s="143"/>
      <c r="Q2580" s="137"/>
      <c r="R2580" s="137"/>
      <c r="S2580" s="137"/>
      <c r="T2580" s="137"/>
      <c r="U2580" s="137"/>
      <c r="V2580" s="137"/>
      <c r="W2580" s="137"/>
      <c r="X2580" s="137"/>
      <c r="Y2580" s="137"/>
      <c r="Z2580" s="137"/>
      <c r="AA2580" s="137"/>
    </row>
    <row r="2581" spans="5:27" x14ac:dyDescent="0.35">
      <c r="E2581" s="137"/>
      <c r="F2581" s="137"/>
      <c r="G2581" s="190"/>
      <c r="H2581" s="137"/>
      <c r="I2581" s="137"/>
      <c r="J2581" s="137"/>
      <c r="M2581" s="143"/>
      <c r="N2581" s="143"/>
      <c r="O2581" s="143"/>
      <c r="P2581" s="143"/>
      <c r="Q2581" s="137"/>
      <c r="R2581" s="137"/>
      <c r="S2581" s="137"/>
      <c r="T2581" s="137"/>
      <c r="U2581" s="137"/>
      <c r="V2581" s="137"/>
      <c r="W2581" s="137"/>
      <c r="X2581" s="137"/>
      <c r="Y2581" s="137"/>
      <c r="Z2581" s="137"/>
      <c r="AA2581" s="137"/>
    </row>
    <row r="2582" spans="5:27" x14ac:dyDescent="0.35">
      <c r="E2582" s="137"/>
      <c r="F2582" s="137"/>
      <c r="G2582" s="190"/>
      <c r="H2582" s="137"/>
      <c r="I2582" s="137"/>
      <c r="J2582" s="137"/>
      <c r="M2582" s="143"/>
      <c r="N2582" s="143"/>
      <c r="O2582" s="143"/>
      <c r="P2582" s="143"/>
      <c r="Q2582" s="137"/>
      <c r="R2582" s="137"/>
      <c r="S2582" s="137"/>
      <c r="T2582" s="137"/>
      <c r="U2582" s="137"/>
      <c r="V2582" s="137"/>
      <c r="W2582" s="137"/>
      <c r="X2582" s="137"/>
      <c r="Y2582" s="137"/>
      <c r="Z2582" s="137"/>
      <c r="AA2582" s="137"/>
    </row>
    <row r="2583" spans="5:27" x14ac:dyDescent="0.35">
      <c r="E2583" s="137"/>
      <c r="F2583" s="137"/>
      <c r="G2583" s="190"/>
      <c r="H2583" s="137"/>
      <c r="I2583" s="137"/>
      <c r="J2583" s="137"/>
      <c r="M2583" s="143"/>
      <c r="N2583" s="143"/>
      <c r="O2583" s="143"/>
      <c r="P2583" s="143"/>
      <c r="Q2583" s="137"/>
      <c r="R2583" s="137"/>
      <c r="S2583" s="137"/>
      <c r="T2583" s="137"/>
      <c r="U2583" s="137"/>
      <c r="V2583" s="137"/>
      <c r="W2583" s="137"/>
      <c r="X2583" s="137"/>
      <c r="Y2583" s="137"/>
      <c r="Z2583" s="137"/>
      <c r="AA2583" s="137"/>
    </row>
    <row r="2584" spans="5:27" x14ac:dyDescent="0.35">
      <c r="E2584" s="137"/>
      <c r="F2584" s="137"/>
      <c r="G2584" s="190"/>
      <c r="H2584" s="137"/>
      <c r="I2584" s="137"/>
      <c r="J2584" s="137"/>
      <c r="M2584" s="143"/>
      <c r="N2584" s="143"/>
      <c r="O2584" s="143"/>
      <c r="P2584" s="143"/>
      <c r="Q2584" s="137"/>
      <c r="R2584" s="137"/>
      <c r="S2584" s="137"/>
      <c r="T2584" s="137"/>
      <c r="U2584" s="137"/>
      <c r="V2584" s="137"/>
      <c r="W2584" s="137"/>
      <c r="X2584" s="137"/>
      <c r="Y2584" s="137"/>
      <c r="Z2584" s="137"/>
      <c r="AA2584" s="137"/>
    </row>
    <row r="2585" spans="5:27" x14ac:dyDescent="0.35">
      <c r="E2585" s="137"/>
      <c r="F2585" s="137"/>
      <c r="G2585" s="190"/>
      <c r="H2585" s="137"/>
      <c r="I2585" s="137"/>
      <c r="J2585" s="137"/>
      <c r="M2585" s="143"/>
      <c r="N2585" s="143"/>
      <c r="O2585" s="143"/>
      <c r="P2585" s="143"/>
      <c r="Q2585" s="137"/>
      <c r="R2585" s="137"/>
      <c r="S2585" s="137"/>
      <c r="T2585" s="137"/>
      <c r="U2585" s="137"/>
      <c r="V2585" s="137"/>
      <c r="W2585" s="137"/>
      <c r="X2585" s="137"/>
      <c r="Y2585" s="137"/>
      <c r="Z2585" s="137"/>
      <c r="AA2585" s="137"/>
    </row>
    <row r="2586" spans="5:27" x14ac:dyDescent="0.35">
      <c r="E2586" s="137"/>
      <c r="F2586" s="137"/>
      <c r="G2586" s="190"/>
      <c r="H2586" s="137"/>
      <c r="I2586" s="137"/>
      <c r="J2586" s="137"/>
      <c r="M2586" s="143"/>
      <c r="N2586" s="143"/>
      <c r="O2586" s="143"/>
      <c r="P2586" s="143"/>
      <c r="Q2586" s="137"/>
      <c r="R2586" s="137"/>
      <c r="S2586" s="137"/>
      <c r="T2586" s="137"/>
      <c r="U2586" s="137"/>
      <c r="V2586" s="137"/>
      <c r="W2586" s="137"/>
      <c r="X2586" s="137"/>
      <c r="Y2586" s="137"/>
      <c r="Z2586" s="137"/>
      <c r="AA2586" s="137"/>
    </row>
    <row r="2587" spans="5:27" x14ac:dyDescent="0.35">
      <c r="E2587" s="137"/>
      <c r="F2587" s="137"/>
      <c r="G2587" s="190"/>
      <c r="H2587" s="137"/>
      <c r="I2587" s="137"/>
      <c r="J2587" s="137"/>
      <c r="M2587" s="143"/>
      <c r="N2587" s="143"/>
      <c r="O2587" s="143"/>
      <c r="P2587" s="143"/>
      <c r="Q2587" s="137"/>
      <c r="R2587" s="137"/>
      <c r="S2587" s="137"/>
      <c r="T2587" s="137"/>
      <c r="U2587" s="137"/>
      <c r="V2587" s="137"/>
      <c r="W2587" s="137"/>
      <c r="X2587" s="137"/>
      <c r="Y2587" s="137"/>
      <c r="Z2587" s="137"/>
      <c r="AA2587" s="137"/>
    </row>
    <row r="2588" spans="5:27" x14ac:dyDescent="0.35">
      <c r="E2588" s="137"/>
      <c r="F2588" s="137"/>
      <c r="G2588" s="190"/>
      <c r="H2588" s="137"/>
      <c r="I2588" s="137"/>
      <c r="J2588" s="137"/>
      <c r="M2588" s="143"/>
      <c r="N2588" s="143"/>
      <c r="O2588" s="143"/>
      <c r="P2588" s="143"/>
      <c r="Q2588" s="137"/>
      <c r="R2588" s="137"/>
      <c r="S2588" s="137"/>
      <c r="T2588" s="137"/>
      <c r="U2588" s="137"/>
      <c r="V2588" s="137"/>
      <c r="W2588" s="137"/>
      <c r="X2588" s="137"/>
      <c r="Y2588" s="137"/>
      <c r="Z2588" s="137"/>
      <c r="AA2588" s="137"/>
    </row>
    <row r="2589" spans="5:27" x14ac:dyDescent="0.35">
      <c r="E2589" s="137"/>
      <c r="F2589" s="137"/>
      <c r="G2589" s="190"/>
      <c r="H2589" s="137"/>
      <c r="I2589" s="137"/>
      <c r="J2589" s="137"/>
      <c r="M2589" s="143"/>
      <c r="N2589" s="143"/>
      <c r="O2589" s="143"/>
      <c r="P2589" s="143"/>
      <c r="Q2589" s="137"/>
      <c r="R2589" s="137"/>
      <c r="S2589" s="137"/>
      <c r="T2589" s="137"/>
      <c r="U2589" s="137"/>
      <c r="V2589" s="137"/>
      <c r="W2589" s="137"/>
      <c r="X2589" s="137"/>
      <c r="Y2589" s="137"/>
      <c r="Z2589" s="137"/>
      <c r="AA2589" s="137"/>
    </row>
    <row r="2590" spans="5:27" x14ac:dyDescent="0.35">
      <c r="E2590" s="137"/>
      <c r="F2590" s="137"/>
      <c r="G2590" s="190"/>
      <c r="H2590" s="137"/>
      <c r="I2590" s="137"/>
      <c r="J2590" s="137"/>
      <c r="M2590" s="143"/>
      <c r="N2590" s="143"/>
      <c r="O2590" s="143"/>
      <c r="P2590" s="143"/>
      <c r="Q2590" s="137"/>
      <c r="R2590" s="137"/>
      <c r="S2590" s="137"/>
      <c r="T2590" s="137"/>
      <c r="U2590" s="137"/>
      <c r="V2590" s="137"/>
      <c r="W2590" s="137"/>
      <c r="X2590" s="137"/>
      <c r="Y2590" s="137"/>
      <c r="Z2590" s="137"/>
      <c r="AA2590" s="137"/>
    </row>
    <row r="2591" spans="5:27" x14ac:dyDescent="0.35">
      <c r="E2591" s="137"/>
      <c r="F2591" s="137"/>
      <c r="G2591" s="190"/>
      <c r="H2591" s="137"/>
      <c r="I2591" s="137"/>
      <c r="J2591" s="137"/>
      <c r="M2591" s="143"/>
      <c r="N2591" s="143"/>
      <c r="O2591" s="143"/>
      <c r="P2591" s="143"/>
      <c r="Q2591" s="137"/>
      <c r="R2591" s="137"/>
      <c r="S2591" s="137"/>
      <c r="T2591" s="137"/>
      <c r="U2591" s="137"/>
      <c r="V2591" s="137"/>
      <c r="W2591" s="137"/>
      <c r="X2591" s="137"/>
      <c r="Y2591" s="137"/>
      <c r="Z2591" s="137"/>
      <c r="AA2591" s="137"/>
    </row>
    <row r="2592" spans="5:27" x14ac:dyDescent="0.35">
      <c r="E2592" s="137"/>
      <c r="F2592" s="137"/>
      <c r="G2592" s="190"/>
      <c r="H2592" s="137"/>
      <c r="I2592" s="137"/>
      <c r="J2592" s="137"/>
      <c r="M2592" s="143"/>
      <c r="N2592" s="143"/>
      <c r="O2592" s="143"/>
      <c r="P2592" s="143"/>
      <c r="Q2592" s="137"/>
      <c r="R2592" s="137"/>
      <c r="S2592" s="137"/>
      <c r="T2592" s="137"/>
      <c r="U2592" s="137"/>
      <c r="V2592" s="137"/>
      <c r="W2592" s="137"/>
      <c r="X2592" s="137"/>
      <c r="Y2592" s="137"/>
      <c r="Z2592" s="137"/>
      <c r="AA2592" s="137"/>
    </row>
    <row r="2593" spans="5:27" x14ac:dyDescent="0.35">
      <c r="E2593" s="137"/>
      <c r="F2593" s="137"/>
      <c r="G2593" s="190"/>
      <c r="H2593" s="137"/>
      <c r="I2593" s="137"/>
      <c r="J2593" s="137"/>
      <c r="M2593" s="143"/>
      <c r="N2593" s="143"/>
      <c r="O2593" s="143"/>
      <c r="P2593" s="143"/>
      <c r="Q2593" s="137"/>
      <c r="R2593" s="137"/>
      <c r="S2593" s="137"/>
      <c r="T2593" s="137"/>
      <c r="U2593" s="137"/>
      <c r="V2593" s="137"/>
      <c r="W2593" s="137"/>
      <c r="X2593" s="137"/>
      <c r="Y2593" s="137"/>
      <c r="Z2593" s="137"/>
      <c r="AA2593" s="137"/>
    </row>
    <row r="2594" spans="5:27" x14ac:dyDescent="0.35">
      <c r="E2594" s="137"/>
      <c r="F2594" s="137"/>
      <c r="G2594" s="190"/>
      <c r="H2594" s="137"/>
      <c r="I2594" s="137"/>
      <c r="J2594" s="137"/>
      <c r="M2594" s="143"/>
      <c r="N2594" s="143"/>
      <c r="O2594" s="143"/>
      <c r="P2594" s="143"/>
      <c r="Q2594" s="137"/>
      <c r="R2594" s="137"/>
      <c r="S2594" s="137"/>
      <c r="T2594" s="137"/>
      <c r="U2594" s="137"/>
      <c r="V2594" s="137"/>
      <c r="W2594" s="137"/>
      <c r="X2594" s="137"/>
      <c r="Y2594" s="137"/>
      <c r="Z2594" s="137"/>
      <c r="AA2594" s="137"/>
    </row>
    <row r="2595" spans="5:27" x14ac:dyDescent="0.35">
      <c r="E2595" s="137"/>
      <c r="F2595" s="137"/>
      <c r="G2595" s="190"/>
      <c r="H2595" s="137"/>
      <c r="I2595" s="137"/>
      <c r="J2595" s="137"/>
      <c r="M2595" s="143"/>
      <c r="N2595" s="143"/>
      <c r="O2595" s="143"/>
      <c r="P2595" s="143"/>
      <c r="Q2595" s="137"/>
      <c r="R2595" s="137"/>
      <c r="S2595" s="137"/>
      <c r="T2595" s="137"/>
      <c r="U2595" s="137"/>
      <c r="V2595" s="137"/>
      <c r="W2595" s="137"/>
      <c r="X2595" s="137"/>
      <c r="Y2595" s="137"/>
      <c r="Z2595" s="137"/>
      <c r="AA2595" s="137"/>
    </row>
    <row r="2596" spans="5:27" x14ac:dyDescent="0.35">
      <c r="E2596" s="137"/>
      <c r="F2596" s="137"/>
      <c r="G2596" s="190"/>
      <c r="H2596" s="137"/>
      <c r="I2596" s="137"/>
      <c r="J2596" s="137"/>
      <c r="M2596" s="143"/>
      <c r="N2596" s="143"/>
      <c r="O2596" s="143"/>
      <c r="P2596" s="143"/>
      <c r="Q2596" s="137"/>
      <c r="R2596" s="137"/>
      <c r="S2596" s="137"/>
      <c r="T2596" s="137"/>
      <c r="U2596" s="137"/>
      <c r="V2596" s="137"/>
      <c r="W2596" s="137"/>
      <c r="X2596" s="137"/>
      <c r="Y2596" s="137"/>
      <c r="Z2596" s="137"/>
      <c r="AA2596" s="137"/>
    </row>
    <row r="2597" spans="5:27" x14ac:dyDescent="0.35">
      <c r="E2597" s="137"/>
      <c r="F2597" s="137"/>
      <c r="G2597" s="190"/>
      <c r="H2597" s="137"/>
      <c r="I2597" s="137"/>
      <c r="J2597" s="137"/>
      <c r="M2597" s="143"/>
      <c r="N2597" s="143"/>
      <c r="O2597" s="143"/>
      <c r="P2597" s="143"/>
      <c r="Q2597" s="137"/>
      <c r="R2597" s="137"/>
      <c r="S2597" s="137"/>
      <c r="T2597" s="137"/>
      <c r="U2597" s="137"/>
      <c r="V2597" s="137"/>
      <c r="W2597" s="137"/>
      <c r="X2597" s="137"/>
      <c r="Y2597" s="137"/>
      <c r="Z2597" s="137"/>
      <c r="AA2597" s="137"/>
    </row>
    <row r="2598" spans="5:27" x14ac:dyDescent="0.35">
      <c r="E2598" s="137"/>
      <c r="F2598" s="137"/>
      <c r="G2598" s="190"/>
      <c r="H2598" s="137"/>
      <c r="I2598" s="137"/>
      <c r="J2598" s="137"/>
      <c r="M2598" s="143"/>
      <c r="N2598" s="143"/>
      <c r="O2598" s="143"/>
      <c r="P2598" s="143"/>
      <c r="Q2598" s="137"/>
      <c r="R2598" s="137"/>
      <c r="S2598" s="137"/>
      <c r="T2598" s="137"/>
      <c r="U2598" s="137"/>
      <c r="V2598" s="137"/>
      <c r="W2598" s="137"/>
      <c r="X2598" s="137"/>
      <c r="Y2598" s="137"/>
      <c r="Z2598" s="137"/>
      <c r="AA2598" s="137"/>
    </row>
    <row r="2599" spans="5:27" x14ac:dyDescent="0.35">
      <c r="E2599" s="137"/>
      <c r="F2599" s="137"/>
      <c r="G2599" s="190"/>
      <c r="H2599" s="137"/>
      <c r="I2599" s="137"/>
      <c r="J2599" s="137"/>
      <c r="M2599" s="143"/>
      <c r="N2599" s="143"/>
      <c r="O2599" s="143"/>
      <c r="P2599" s="143"/>
      <c r="Q2599" s="137"/>
      <c r="R2599" s="137"/>
      <c r="S2599" s="137"/>
      <c r="T2599" s="137"/>
      <c r="U2599" s="137"/>
      <c r="V2599" s="137"/>
      <c r="W2599" s="137"/>
      <c r="X2599" s="137"/>
      <c r="Y2599" s="137"/>
      <c r="Z2599" s="137"/>
      <c r="AA2599" s="137"/>
    </row>
    <row r="2600" spans="5:27" x14ac:dyDescent="0.35">
      <c r="E2600" s="137"/>
      <c r="F2600" s="137"/>
      <c r="G2600" s="190"/>
      <c r="H2600" s="137"/>
      <c r="I2600" s="137"/>
      <c r="J2600" s="137"/>
      <c r="M2600" s="143"/>
      <c r="N2600" s="143"/>
      <c r="O2600" s="143"/>
      <c r="P2600" s="143"/>
      <c r="Q2600" s="137"/>
      <c r="R2600" s="137"/>
      <c r="S2600" s="137"/>
      <c r="T2600" s="137"/>
      <c r="U2600" s="137"/>
      <c r="V2600" s="137"/>
      <c r="W2600" s="137"/>
      <c r="X2600" s="137"/>
      <c r="Y2600" s="137"/>
      <c r="Z2600" s="137"/>
      <c r="AA2600" s="137"/>
    </row>
    <row r="2601" spans="5:27" x14ac:dyDescent="0.35">
      <c r="E2601" s="137"/>
      <c r="F2601" s="137"/>
      <c r="G2601" s="190"/>
      <c r="H2601" s="137"/>
      <c r="I2601" s="137"/>
      <c r="J2601" s="137"/>
      <c r="M2601" s="143"/>
      <c r="N2601" s="143"/>
      <c r="O2601" s="143"/>
      <c r="P2601" s="143"/>
      <c r="Q2601" s="137"/>
      <c r="R2601" s="137"/>
      <c r="S2601" s="137"/>
      <c r="T2601" s="137"/>
      <c r="U2601" s="137"/>
      <c r="V2601" s="137"/>
      <c r="W2601" s="137"/>
      <c r="X2601" s="137"/>
      <c r="Y2601" s="137"/>
      <c r="Z2601" s="137"/>
      <c r="AA2601" s="137"/>
    </row>
    <row r="2602" spans="5:27" x14ac:dyDescent="0.35">
      <c r="E2602" s="137"/>
      <c r="F2602" s="137"/>
      <c r="G2602" s="190"/>
      <c r="H2602" s="137"/>
      <c r="I2602" s="137"/>
      <c r="J2602" s="137"/>
      <c r="M2602" s="143"/>
      <c r="N2602" s="143"/>
      <c r="O2602" s="143"/>
      <c r="P2602" s="143"/>
      <c r="Q2602" s="137"/>
      <c r="R2602" s="137"/>
      <c r="S2602" s="137"/>
      <c r="T2602" s="137"/>
      <c r="U2602" s="137"/>
      <c r="V2602" s="137"/>
      <c r="W2602" s="137"/>
      <c r="X2602" s="137"/>
      <c r="Y2602" s="137"/>
      <c r="Z2602" s="137"/>
      <c r="AA2602" s="137"/>
    </row>
    <row r="2603" spans="5:27" x14ac:dyDescent="0.35">
      <c r="E2603" s="137"/>
      <c r="F2603" s="137"/>
      <c r="G2603" s="190"/>
      <c r="H2603" s="137"/>
      <c r="I2603" s="137"/>
      <c r="J2603" s="137"/>
      <c r="M2603" s="143"/>
      <c r="N2603" s="143"/>
      <c r="O2603" s="143"/>
      <c r="P2603" s="143"/>
      <c r="Q2603" s="137"/>
      <c r="R2603" s="137"/>
      <c r="S2603" s="137"/>
      <c r="T2603" s="137"/>
      <c r="U2603" s="137"/>
      <c r="V2603" s="137"/>
      <c r="W2603" s="137"/>
      <c r="X2603" s="137"/>
      <c r="Y2603" s="137"/>
      <c r="Z2603" s="137"/>
      <c r="AA2603" s="137"/>
    </row>
    <row r="2604" spans="5:27" x14ac:dyDescent="0.35">
      <c r="E2604" s="137"/>
      <c r="F2604" s="137"/>
      <c r="G2604" s="190"/>
      <c r="H2604" s="137"/>
      <c r="I2604" s="137"/>
      <c r="J2604" s="137"/>
      <c r="M2604" s="143"/>
      <c r="N2604" s="143"/>
      <c r="O2604" s="143"/>
      <c r="P2604" s="143"/>
      <c r="Q2604" s="137"/>
      <c r="R2604" s="137"/>
      <c r="S2604" s="137"/>
      <c r="T2604" s="137"/>
      <c r="U2604" s="137"/>
      <c r="V2604" s="137"/>
      <c r="W2604" s="137"/>
      <c r="X2604" s="137"/>
      <c r="Y2604" s="137"/>
      <c r="Z2604" s="137"/>
      <c r="AA2604" s="137"/>
    </row>
    <row r="2605" spans="5:27" x14ac:dyDescent="0.35">
      <c r="E2605" s="137"/>
      <c r="F2605" s="137"/>
      <c r="G2605" s="190"/>
      <c r="H2605" s="137"/>
      <c r="I2605" s="137"/>
      <c r="J2605" s="137"/>
      <c r="M2605" s="143"/>
      <c r="N2605" s="143"/>
      <c r="O2605" s="143"/>
      <c r="P2605" s="143"/>
      <c r="Q2605" s="137"/>
      <c r="R2605" s="137"/>
      <c r="S2605" s="137"/>
      <c r="T2605" s="137"/>
      <c r="U2605" s="137"/>
      <c r="V2605" s="137"/>
      <c r="W2605" s="137"/>
      <c r="X2605" s="137"/>
      <c r="Y2605" s="137"/>
      <c r="Z2605" s="137"/>
      <c r="AA2605" s="137"/>
    </row>
    <row r="2606" spans="5:27" x14ac:dyDescent="0.35">
      <c r="E2606" s="137"/>
      <c r="F2606" s="137"/>
      <c r="G2606" s="190"/>
      <c r="H2606" s="137"/>
      <c r="I2606" s="137"/>
      <c r="J2606" s="137"/>
      <c r="M2606" s="143"/>
      <c r="N2606" s="143"/>
      <c r="O2606" s="143"/>
      <c r="P2606" s="143"/>
      <c r="Q2606" s="137"/>
      <c r="R2606" s="137"/>
      <c r="S2606" s="137"/>
      <c r="T2606" s="137"/>
      <c r="U2606" s="137"/>
      <c r="V2606" s="137"/>
      <c r="W2606" s="137"/>
      <c r="X2606" s="137"/>
      <c r="Y2606" s="137"/>
      <c r="Z2606" s="137"/>
      <c r="AA2606" s="137"/>
    </row>
    <row r="2607" spans="5:27" x14ac:dyDescent="0.35">
      <c r="E2607" s="137"/>
      <c r="F2607" s="137"/>
      <c r="G2607" s="190"/>
      <c r="H2607" s="137"/>
      <c r="I2607" s="137"/>
      <c r="J2607" s="137"/>
      <c r="M2607" s="143"/>
      <c r="N2607" s="143"/>
      <c r="O2607" s="143"/>
      <c r="P2607" s="143"/>
      <c r="Q2607" s="137"/>
      <c r="R2607" s="137"/>
      <c r="S2607" s="137"/>
      <c r="T2607" s="137"/>
      <c r="U2607" s="137"/>
      <c r="V2607" s="137"/>
      <c r="W2607" s="137"/>
      <c r="X2607" s="137"/>
      <c r="Y2607" s="137"/>
      <c r="Z2607" s="137"/>
      <c r="AA2607" s="137"/>
    </row>
    <row r="2608" spans="5:27" x14ac:dyDescent="0.35">
      <c r="E2608" s="137"/>
      <c r="F2608" s="137"/>
      <c r="G2608" s="190"/>
      <c r="H2608" s="137"/>
      <c r="I2608" s="137"/>
      <c r="J2608" s="137"/>
      <c r="M2608" s="143"/>
      <c r="N2608" s="143"/>
      <c r="O2608" s="143"/>
      <c r="P2608" s="143"/>
      <c r="Q2608" s="137"/>
      <c r="R2608" s="137"/>
      <c r="S2608" s="137"/>
      <c r="T2608" s="137"/>
      <c r="U2608" s="137"/>
      <c r="V2608" s="137"/>
      <c r="W2608" s="137"/>
      <c r="X2608" s="137"/>
      <c r="Y2608" s="137"/>
      <c r="Z2608" s="137"/>
      <c r="AA2608" s="137"/>
    </row>
    <row r="2609" spans="5:27" x14ac:dyDescent="0.35">
      <c r="E2609" s="137"/>
      <c r="F2609" s="137"/>
      <c r="G2609" s="190"/>
      <c r="H2609" s="137"/>
      <c r="I2609" s="137"/>
      <c r="J2609" s="137"/>
      <c r="M2609" s="143"/>
      <c r="N2609" s="143"/>
      <c r="O2609" s="143"/>
      <c r="P2609" s="143"/>
      <c r="Q2609" s="137"/>
      <c r="R2609" s="137"/>
      <c r="S2609" s="137"/>
      <c r="T2609" s="137"/>
      <c r="U2609" s="137"/>
      <c r="V2609" s="137"/>
      <c r="W2609" s="137"/>
      <c r="X2609" s="137"/>
      <c r="Y2609" s="137"/>
      <c r="Z2609" s="137"/>
      <c r="AA2609" s="137"/>
    </row>
    <row r="2610" spans="5:27" x14ac:dyDescent="0.35">
      <c r="E2610" s="137"/>
      <c r="F2610" s="137"/>
      <c r="G2610" s="190"/>
      <c r="H2610" s="137"/>
      <c r="I2610" s="137"/>
      <c r="J2610" s="137"/>
      <c r="M2610" s="143"/>
      <c r="N2610" s="143"/>
      <c r="O2610" s="143"/>
      <c r="P2610" s="143"/>
      <c r="Q2610" s="137"/>
      <c r="R2610" s="137"/>
      <c r="S2610" s="137"/>
      <c r="T2610" s="137"/>
      <c r="U2610" s="137"/>
      <c r="V2610" s="137"/>
      <c r="W2610" s="137"/>
      <c r="X2610" s="137"/>
      <c r="Y2610" s="137"/>
      <c r="Z2610" s="137"/>
      <c r="AA2610" s="137"/>
    </row>
    <row r="2611" spans="5:27" x14ac:dyDescent="0.35">
      <c r="E2611" s="137"/>
      <c r="F2611" s="137"/>
      <c r="G2611" s="190"/>
      <c r="H2611" s="137"/>
      <c r="I2611" s="137"/>
      <c r="J2611" s="137"/>
      <c r="M2611" s="143"/>
      <c r="N2611" s="143"/>
      <c r="O2611" s="143"/>
      <c r="P2611" s="143"/>
      <c r="Q2611" s="137"/>
      <c r="R2611" s="137"/>
      <c r="S2611" s="137"/>
      <c r="T2611" s="137"/>
      <c r="U2611" s="137"/>
      <c r="V2611" s="137"/>
      <c r="W2611" s="137"/>
      <c r="X2611" s="137"/>
      <c r="Y2611" s="137"/>
      <c r="Z2611" s="137"/>
      <c r="AA2611" s="137"/>
    </row>
    <row r="2612" spans="5:27" x14ac:dyDescent="0.35">
      <c r="E2612" s="137"/>
      <c r="F2612" s="137"/>
      <c r="G2612" s="190"/>
      <c r="H2612" s="137"/>
      <c r="I2612" s="137"/>
      <c r="J2612" s="137"/>
      <c r="M2612" s="143"/>
      <c r="N2612" s="143"/>
      <c r="O2612" s="143"/>
      <c r="P2612" s="143"/>
      <c r="Q2612" s="137"/>
      <c r="R2612" s="137"/>
      <c r="S2612" s="137"/>
      <c r="T2612" s="137"/>
      <c r="U2612" s="137"/>
      <c r="V2612" s="137"/>
      <c r="W2612" s="137"/>
      <c r="X2612" s="137"/>
      <c r="Y2612" s="137"/>
      <c r="Z2612" s="137"/>
      <c r="AA2612" s="137"/>
    </row>
    <row r="2613" spans="5:27" x14ac:dyDescent="0.35">
      <c r="E2613" s="137"/>
      <c r="F2613" s="137"/>
      <c r="G2613" s="190"/>
      <c r="H2613" s="137"/>
      <c r="I2613" s="137"/>
      <c r="J2613" s="137"/>
      <c r="M2613" s="143"/>
      <c r="N2613" s="143"/>
      <c r="O2613" s="143"/>
      <c r="P2613" s="143"/>
      <c r="Q2613" s="137"/>
      <c r="R2613" s="137"/>
      <c r="S2613" s="137"/>
      <c r="T2613" s="137"/>
      <c r="U2613" s="137"/>
      <c r="V2613" s="137"/>
      <c r="W2613" s="137"/>
      <c r="X2613" s="137"/>
      <c r="Y2613" s="137"/>
      <c r="Z2613" s="137"/>
      <c r="AA2613" s="137"/>
    </row>
    <row r="2614" spans="5:27" x14ac:dyDescent="0.35">
      <c r="E2614" s="137"/>
      <c r="F2614" s="137"/>
      <c r="G2614" s="190"/>
      <c r="H2614" s="137"/>
      <c r="I2614" s="137"/>
      <c r="J2614" s="137"/>
      <c r="M2614" s="143"/>
      <c r="N2614" s="143"/>
      <c r="O2614" s="143"/>
      <c r="P2614" s="143"/>
      <c r="Q2614" s="137"/>
      <c r="R2614" s="137"/>
      <c r="S2614" s="137"/>
      <c r="T2614" s="137"/>
      <c r="U2614" s="137"/>
      <c r="V2614" s="137"/>
      <c r="W2614" s="137"/>
      <c r="X2614" s="137"/>
      <c r="Y2614" s="137"/>
      <c r="Z2614" s="137"/>
      <c r="AA2614" s="137"/>
    </row>
    <row r="2615" spans="5:27" x14ac:dyDescent="0.35">
      <c r="E2615" s="137"/>
      <c r="F2615" s="137"/>
      <c r="G2615" s="190"/>
      <c r="H2615" s="137"/>
      <c r="I2615" s="137"/>
      <c r="J2615" s="137"/>
      <c r="M2615" s="143"/>
      <c r="N2615" s="143"/>
      <c r="O2615" s="143"/>
      <c r="P2615" s="143"/>
      <c r="Q2615" s="137"/>
      <c r="R2615" s="137"/>
      <c r="S2615" s="137"/>
      <c r="T2615" s="137"/>
      <c r="U2615" s="137"/>
      <c r="V2615" s="137"/>
      <c r="W2615" s="137"/>
      <c r="X2615" s="137"/>
      <c r="Y2615" s="137"/>
      <c r="Z2615" s="137"/>
      <c r="AA2615" s="137"/>
    </row>
    <row r="2616" spans="5:27" x14ac:dyDescent="0.35">
      <c r="E2616" s="137"/>
      <c r="F2616" s="137"/>
      <c r="G2616" s="190"/>
      <c r="H2616" s="137"/>
      <c r="I2616" s="137"/>
      <c r="J2616" s="137"/>
      <c r="M2616" s="143"/>
      <c r="N2616" s="143"/>
      <c r="O2616" s="143"/>
      <c r="P2616" s="143"/>
      <c r="Q2616" s="137"/>
      <c r="R2616" s="137"/>
      <c r="S2616" s="137"/>
      <c r="T2616" s="137"/>
      <c r="U2616" s="137"/>
      <c r="V2616" s="137"/>
      <c r="W2616" s="137"/>
      <c r="X2616" s="137"/>
      <c r="Y2616" s="137"/>
      <c r="Z2616" s="137"/>
      <c r="AA2616" s="137"/>
    </row>
    <row r="2617" spans="5:27" x14ac:dyDescent="0.35">
      <c r="E2617" s="137"/>
      <c r="F2617" s="137"/>
      <c r="G2617" s="190"/>
      <c r="H2617" s="137"/>
      <c r="I2617" s="137"/>
      <c r="J2617" s="137"/>
      <c r="M2617" s="143"/>
      <c r="N2617" s="143"/>
      <c r="O2617" s="143"/>
      <c r="P2617" s="143"/>
      <c r="Q2617" s="137"/>
      <c r="R2617" s="137"/>
      <c r="S2617" s="137"/>
      <c r="T2617" s="137"/>
      <c r="U2617" s="137"/>
      <c r="V2617" s="137"/>
      <c r="W2617" s="137"/>
      <c r="X2617" s="137"/>
      <c r="Y2617" s="137"/>
      <c r="Z2617" s="137"/>
      <c r="AA2617" s="137"/>
    </row>
    <row r="2618" spans="5:27" x14ac:dyDescent="0.35">
      <c r="E2618" s="137"/>
      <c r="F2618" s="137"/>
      <c r="G2618" s="190"/>
      <c r="H2618" s="137"/>
      <c r="I2618" s="137"/>
      <c r="J2618" s="137"/>
      <c r="M2618" s="143"/>
      <c r="N2618" s="143"/>
      <c r="O2618" s="143"/>
      <c r="P2618" s="143"/>
      <c r="Q2618" s="137"/>
      <c r="R2618" s="137"/>
      <c r="S2618" s="137"/>
      <c r="T2618" s="137"/>
      <c r="U2618" s="137"/>
      <c r="V2618" s="137"/>
      <c r="W2618" s="137"/>
      <c r="X2618" s="137"/>
      <c r="Y2618" s="137"/>
      <c r="Z2618" s="137"/>
      <c r="AA2618" s="137"/>
    </row>
    <row r="2619" spans="5:27" x14ac:dyDescent="0.35">
      <c r="E2619" s="137"/>
      <c r="F2619" s="137"/>
      <c r="G2619" s="190"/>
      <c r="H2619" s="137"/>
      <c r="I2619" s="137"/>
      <c r="J2619" s="137"/>
      <c r="M2619" s="143"/>
      <c r="N2619" s="143"/>
      <c r="O2619" s="143"/>
      <c r="P2619" s="143"/>
      <c r="Q2619" s="137"/>
      <c r="R2619" s="137"/>
      <c r="S2619" s="137"/>
      <c r="T2619" s="137"/>
      <c r="U2619" s="137"/>
      <c r="V2619" s="137"/>
      <c r="W2619" s="137"/>
      <c r="X2619" s="137"/>
      <c r="Y2619" s="137"/>
      <c r="Z2619" s="137"/>
      <c r="AA2619" s="137"/>
    </row>
    <row r="2620" spans="5:27" x14ac:dyDescent="0.35">
      <c r="E2620" s="137"/>
      <c r="F2620" s="137"/>
      <c r="G2620" s="190"/>
      <c r="H2620" s="137"/>
      <c r="I2620" s="137"/>
      <c r="J2620" s="137"/>
      <c r="M2620" s="143"/>
      <c r="N2620" s="143"/>
      <c r="O2620" s="143"/>
      <c r="P2620" s="143"/>
      <c r="Q2620" s="137"/>
      <c r="R2620" s="137"/>
      <c r="S2620" s="137"/>
      <c r="T2620" s="137"/>
      <c r="U2620" s="137"/>
      <c r="V2620" s="137"/>
      <c r="W2620" s="137"/>
      <c r="X2620" s="137"/>
      <c r="Y2620" s="137"/>
      <c r="Z2620" s="137"/>
      <c r="AA2620" s="137"/>
    </row>
    <row r="2621" spans="5:27" x14ac:dyDescent="0.35">
      <c r="E2621" s="137"/>
      <c r="F2621" s="137"/>
      <c r="G2621" s="190"/>
      <c r="H2621" s="137"/>
      <c r="I2621" s="137"/>
      <c r="J2621" s="137"/>
      <c r="M2621" s="143"/>
      <c r="N2621" s="143"/>
      <c r="O2621" s="143"/>
      <c r="P2621" s="143"/>
      <c r="Q2621" s="137"/>
      <c r="R2621" s="137"/>
      <c r="S2621" s="137"/>
      <c r="T2621" s="137"/>
      <c r="U2621" s="137"/>
      <c r="V2621" s="137"/>
      <c r="W2621" s="137"/>
      <c r="X2621" s="137"/>
      <c r="Y2621" s="137"/>
      <c r="Z2621" s="137"/>
      <c r="AA2621" s="137"/>
    </row>
    <row r="2622" spans="5:27" x14ac:dyDescent="0.35">
      <c r="E2622" s="137"/>
      <c r="F2622" s="137"/>
      <c r="G2622" s="190"/>
      <c r="H2622" s="137"/>
      <c r="I2622" s="137"/>
      <c r="J2622" s="137"/>
      <c r="M2622" s="143"/>
      <c r="N2622" s="143"/>
      <c r="O2622" s="143"/>
      <c r="P2622" s="143"/>
      <c r="Q2622" s="137"/>
      <c r="R2622" s="137"/>
      <c r="S2622" s="137"/>
      <c r="T2622" s="137"/>
      <c r="U2622" s="137"/>
      <c r="V2622" s="137"/>
      <c r="W2622" s="137"/>
      <c r="X2622" s="137"/>
      <c r="Y2622" s="137"/>
      <c r="Z2622" s="137"/>
      <c r="AA2622" s="137"/>
    </row>
    <row r="2623" spans="5:27" x14ac:dyDescent="0.35">
      <c r="E2623" s="137"/>
      <c r="F2623" s="137"/>
      <c r="G2623" s="190"/>
      <c r="H2623" s="137"/>
      <c r="I2623" s="137"/>
      <c r="J2623" s="137"/>
      <c r="M2623" s="143"/>
      <c r="N2623" s="143"/>
      <c r="O2623" s="143"/>
      <c r="P2623" s="143"/>
      <c r="Q2623" s="137"/>
      <c r="R2623" s="137"/>
      <c r="S2623" s="137"/>
      <c r="T2623" s="137"/>
      <c r="U2623" s="137"/>
      <c r="V2623" s="137"/>
      <c r="W2623" s="137"/>
      <c r="X2623" s="137"/>
      <c r="Y2623" s="137"/>
      <c r="Z2623" s="137"/>
      <c r="AA2623" s="137"/>
    </row>
    <row r="2624" spans="5:27" x14ac:dyDescent="0.35">
      <c r="E2624" s="137"/>
      <c r="F2624" s="137"/>
      <c r="G2624" s="190"/>
      <c r="H2624" s="137"/>
      <c r="I2624" s="137"/>
      <c r="J2624" s="137"/>
      <c r="M2624" s="143"/>
      <c r="N2624" s="143"/>
      <c r="O2624" s="143"/>
      <c r="P2624" s="143"/>
      <c r="Q2624" s="137"/>
      <c r="R2624" s="137"/>
      <c r="S2624" s="137"/>
      <c r="T2624" s="137"/>
      <c r="U2624" s="137"/>
      <c r="V2624" s="137"/>
      <c r="W2624" s="137"/>
      <c r="X2624" s="137"/>
      <c r="Y2624" s="137"/>
      <c r="Z2624" s="137"/>
      <c r="AA2624" s="137"/>
    </row>
    <row r="2625" spans="5:27" x14ac:dyDescent="0.35">
      <c r="E2625" s="137"/>
      <c r="F2625" s="137"/>
      <c r="G2625" s="190"/>
      <c r="H2625" s="137"/>
      <c r="I2625" s="137"/>
      <c r="J2625" s="137"/>
      <c r="M2625" s="143"/>
      <c r="N2625" s="143"/>
      <c r="O2625" s="143"/>
      <c r="P2625" s="143"/>
      <c r="Q2625" s="137"/>
      <c r="R2625" s="137"/>
      <c r="S2625" s="137"/>
      <c r="T2625" s="137"/>
      <c r="U2625" s="137"/>
      <c r="V2625" s="137"/>
      <c r="W2625" s="137"/>
      <c r="X2625" s="137"/>
      <c r="Y2625" s="137"/>
      <c r="Z2625" s="137"/>
      <c r="AA2625" s="137"/>
    </row>
    <row r="2626" spans="5:27" x14ac:dyDescent="0.35">
      <c r="E2626" s="137"/>
      <c r="F2626" s="137"/>
      <c r="G2626" s="190"/>
      <c r="H2626" s="137"/>
      <c r="I2626" s="137"/>
      <c r="J2626" s="137"/>
      <c r="M2626" s="143"/>
      <c r="N2626" s="143"/>
      <c r="O2626" s="143"/>
      <c r="P2626" s="143"/>
      <c r="Q2626" s="137"/>
      <c r="R2626" s="137"/>
      <c r="S2626" s="137"/>
      <c r="T2626" s="137"/>
      <c r="U2626" s="137"/>
      <c r="V2626" s="137"/>
      <c r="W2626" s="137"/>
      <c r="X2626" s="137"/>
      <c r="Y2626" s="137"/>
      <c r="Z2626" s="137"/>
      <c r="AA2626" s="137"/>
    </row>
    <row r="2627" spans="5:27" x14ac:dyDescent="0.35">
      <c r="E2627" s="137"/>
      <c r="F2627" s="137"/>
      <c r="G2627" s="190"/>
      <c r="H2627" s="137"/>
      <c r="I2627" s="137"/>
      <c r="J2627" s="137"/>
      <c r="M2627" s="143"/>
      <c r="N2627" s="143"/>
      <c r="O2627" s="143"/>
      <c r="P2627" s="143"/>
      <c r="Q2627" s="137"/>
      <c r="R2627" s="137"/>
      <c r="S2627" s="137"/>
      <c r="T2627" s="137"/>
      <c r="U2627" s="137"/>
      <c r="V2627" s="137"/>
      <c r="W2627" s="137"/>
      <c r="X2627" s="137"/>
      <c r="Y2627" s="137"/>
      <c r="Z2627" s="137"/>
      <c r="AA2627" s="137"/>
    </row>
    <row r="2628" spans="5:27" x14ac:dyDescent="0.35">
      <c r="E2628" s="137"/>
      <c r="F2628" s="137"/>
      <c r="G2628" s="190"/>
      <c r="H2628" s="137"/>
      <c r="I2628" s="137"/>
      <c r="J2628" s="137"/>
      <c r="M2628" s="143"/>
      <c r="N2628" s="143"/>
      <c r="O2628" s="143"/>
      <c r="P2628" s="143"/>
      <c r="Q2628" s="137"/>
      <c r="R2628" s="137"/>
      <c r="S2628" s="137"/>
      <c r="T2628" s="137"/>
      <c r="U2628" s="137"/>
      <c r="V2628" s="137"/>
      <c r="W2628" s="137"/>
      <c r="X2628" s="137"/>
      <c r="Y2628" s="137"/>
      <c r="Z2628" s="137"/>
      <c r="AA2628" s="137"/>
    </row>
    <row r="2629" spans="5:27" x14ac:dyDescent="0.35">
      <c r="E2629" s="137"/>
      <c r="F2629" s="137"/>
      <c r="G2629" s="190"/>
      <c r="H2629" s="137"/>
      <c r="I2629" s="137"/>
      <c r="J2629" s="137"/>
      <c r="M2629" s="143"/>
      <c r="N2629" s="143"/>
      <c r="O2629" s="143"/>
      <c r="P2629" s="143"/>
      <c r="Q2629" s="137"/>
      <c r="R2629" s="137"/>
      <c r="S2629" s="137"/>
      <c r="T2629" s="137"/>
      <c r="U2629" s="137"/>
      <c r="V2629" s="137"/>
      <c r="W2629" s="137"/>
      <c r="X2629" s="137"/>
      <c r="Y2629" s="137"/>
      <c r="Z2629" s="137"/>
      <c r="AA2629" s="137"/>
    </row>
    <row r="2630" spans="5:27" x14ac:dyDescent="0.35">
      <c r="E2630" s="137"/>
      <c r="F2630" s="137"/>
      <c r="G2630" s="190"/>
      <c r="H2630" s="137"/>
      <c r="I2630" s="137"/>
      <c r="J2630" s="137"/>
      <c r="M2630" s="143"/>
      <c r="N2630" s="143"/>
      <c r="O2630" s="143"/>
      <c r="P2630" s="143"/>
      <c r="Q2630" s="137"/>
      <c r="R2630" s="137"/>
      <c r="S2630" s="137"/>
      <c r="T2630" s="137"/>
      <c r="U2630" s="137"/>
      <c r="V2630" s="137"/>
      <c r="W2630" s="137"/>
      <c r="X2630" s="137"/>
      <c r="Y2630" s="137"/>
      <c r="Z2630" s="137"/>
      <c r="AA2630" s="137"/>
    </row>
    <row r="2631" spans="5:27" x14ac:dyDescent="0.35">
      <c r="E2631" s="137"/>
      <c r="F2631" s="137"/>
      <c r="G2631" s="190"/>
      <c r="H2631" s="137"/>
      <c r="I2631" s="137"/>
      <c r="J2631" s="137"/>
      <c r="M2631" s="143"/>
      <c r="N2631" s="143"/>
      <c r="O2631" s="143"/>
      <c r="P2631" s="143"/>
      <c r="Q2631" s="137"/>
      <c r="R2631" s="137"/>
      <c r="S2631" s="137"/>
      <c r="T2631" s="137"/>
      <c r="U2631" s="137"/>
      <c r="V2631" s="137"/>
      <c r="W2631" s="137"/>
      <c r="X2631" s="137"/>
      <c r="Y2631" s="137"/>
      <c r="Z2631" s="137"/>
      <c r="AA2631" s="137"/>
    </row>
    <row r="2632" spans="5:27" x14ac:dyDescent="0.35">
      <c r="E2632" s="137"/>
      <c r="F2632" s="137"/>
      <c r="G2632" s="190"/>
      <c r="H2632" s="137"/>
      <c r="I2632" s="137"/>
      <c r="J2632" s="137"/>
      <c r="M2632" s="143"/>
      <c r="N2632" s="143"/>
      <c r="O2632" s="143"/>
      <c r="P2632" s="143"/>
      <c r="Q2632" s="137"/>
      <c r="R2632" s="137"/>
      <c r="S2632" s="137"/>
      <c r="T2632" s="137"/>
      <c r="U2632" s="137"/>
      <c r="V2632" s="137"/>
      <c r="W2632" s="137"/>
      <c r="X2632" s="137"/>
      <c r="Y2632" s="137"/>
      <c r="Z2632" s="137"/>
      <c r="AA2632" s="137"/>
    </row>
    <row r="2633" spans="5:27" x14ac:dyDescent="0.35">
      <c r="E2633" s="137"/>
      <c r="F2633" s="137"/>
      <c r="G2633" s="190"/>
      <c r="H2633" s="137"/>
      <c r="I2633" s="137"/>
      <c r="J2633" s="137"/>
      <c r="M2633" s="143"/>
      <c r="N2633" s="143"/>
      <c r="O2633" s="143"/>
      <c r="P2633" s="143"/>
      <c r="Q2633" s="137"/>
      <c r="R2633" s="137"/>
      <c r="S2633" s="137"/>
      <c r="T2633" s="137"/>
      <c r="U2633" s="137"/>
      <c r="V2633" s="137"/>
      <c r="W2633" s="137"/>
      <c r="X2633" s="137"/>
      <c r="Y2633" s="137"/>
      <c r="Z2633" s="137"/>
      <c r="AA2633" s="137"/>
    </row>
    <row r="2634" spans="5:27" x14ac:dyDescent="0.35">
      <c r="E2634" s="137"/>
      <c r="F2634" s="137"/>
      <c r="G2634" s="190"/>
      <c r="H2634" s="137"/>
      <c r="I2634" s="137"/>
      <c r="J2634" s="137"/>
      <c r="M2634" s="143"/>
      <c r="N2634" s="143"/>
      <c r="O2634" s="143"/>
      <c r="P2634" s="143"/>
      <c r="Q2634" s="137"/>
      <c r="R2634" s="137"/>
      <c r="S2634" s="137"/>
      <c r="T2634" s="137"/>
      <c r="U2634" s="137"/>
      <c r="V2634" s="137"/>
      <c r="W2634" s="137"/>
      <c r="X2634" s="137"/>
      <c r="Y2634" s="137"/>
      <c r="Z2634" s="137"/>
      <c r="AA2634" s="137"/>
    </row>
    <row r="2635" spans="5:27" x14ac:dyDescent="0.35">
      <c r="E2635" s="137"/>
      <c r="F2635" s="137"/>
      <c r="G2635" s="190"/>
      <c r="H2635" s="137"/>
      <c r="I2635" s="137"/>
      <c r="J2635" s="137"/>
      <c r="M2635" s="143"/>
      <c r="N2635" s="143"/>
      <c r="O2635" s="143"/>
      <c r="P2635" s="143"/>
      <c r="Q2635" s="137"/>
      <c r="R2635" s="137"/>
      <c r="S2635" s="137"/>
      <c r="T2635" s="137"/>
      <c r="U2635" s="137"/>
      <c r="V2635" s="137"/>
      <c r="W2635" s="137"/>
      <c r="X2635" s="137"/>
      <c r="Y2635" s="137"/>
      <c r="Z2635" s="137"/>
      <c r="AA2635" s="137"/>
    </row>
    <row r="2636" spans="5:27" x14ac:dyDescent="0.35">
      <c r="E2636" s="137"/>
      <c r="F2636" s="137"/>
      <c r="G2636" s="190"/>
      <c r="H2636" s="137"/>
      <c r="I2636" s="137"/>
      <c r="J2636" s="137"/>
      <c r="M2636" s="143"/>
      <c r="N2636" s="143"/>
      <c r="O2636" s="143"/>
      <c r="P2636" s="143"/>
      <c r="Q2636" s="137"/>
      <c r="R2636" s="137"/>
      <c r="S2636" s="137"/>
      <c r="T2636" s="137"/>
      <c r="U2636" s="137"/>
      <c r="V2636" s="137"/>
      <c r="W2636" s="137"/>
      <c r="X2636" s="137"/>
      <c r="Y2636" s="137"/>
      <c r="Z2636" s="137"/>
      <c r="AA2636" s="137"/>
    </row>
    <row r="2637" spans="5:27" x14ac:dyDescent="0.35">
      <c r="E2637" s="137"/>
      <c r="F2637" s="137"/>
      <c r="G2637" s="190"/>
      <c r="H2637" s="137"/>
      <c r="I2637" s="137"/>
      <c r="J2637" s="137"/>
      <c r="M2637" s="143"/>
      <c r="N2637" s="143"/>
      <c r="O2637" s="143"/>
      <c r="P2637" s="143"/>
      <c r="Q2637" s="137"/>
      <c r="R2637" s="137"/>
      <c r="S2637" s="137"/>
      <c r="T2637" s="137"/>
      <c r="U2637" s="137"/>
      <c r="V2637" s="137"/>
      <c r="W2637" s="137"/>
      <c r="X2637" s="137"/>
      <c r="Y2637" s="137"/>
      <c r="Z2637" s="137"/>
      <c r="AA2637" s="137"/>
    </row>
    <row r="2638" spans="5:27" x14ac:dyDescent="0.35">
      <c r="E2638" s="137"/>
      <c r="F2638" s="137"/>
      <c r="G2638" s="190"/>
      <c r="H2638" s="137"/>
      <c r="I2638" s="137"/>
      <c r="J2638" s="137"/>
      <c r="M2638" s="143"/>
      <c r="N2638" s="143"/>
      <c r="O2638" s="143"/>
      <c r="P2638" s="143"/>
      <c r="Q2638" s="137"/>
      <c r="R2638" s="137"/>
      <c r="S2638" s="137"/>
      <c r="T2638" s="137"/>
      <c r="U2638" s="137"/>
      <c r="V2638" s="137"/>
      <c r="W2638" s="137"/>
      <c r="X2638" s="137"/>
      <c r="Y2638" s="137"/>
      <c r="Z2638" s="137"/>
      <c r="AA2638" s="137"/>
    </row>
    <row r="2639" spans="5:27" x14ac:dyDescent="0.35">
      <c r="E2639" s="137"/>
      <c r="F2639" s="137"/>
      <c r="G2639" s="190"/>
      <c r="H2639" s="137"/>
      <c r="I2639" s="137"/>
      <c r="J2639" s="137"/>
      <c r="M2639" s="143"/>
      <c r="N2639" s="143"/>
      <c r="O2639" s="143"/>
      <c r="P2639" s="143"/>
      <c r="Q2639" s="137"/>
      <c r="R2639" s="137"/>
      <c r="S2639" s="137"/>
      <c r="T2639" s="137"/>
      <c r="U2639" s="137"/>
      <c r="V2639" s="137"/>
      <c r="W2639" s="137"/>
      <c r="X2639" s="137"/>
      <c r="Y2639" s="137"/>
      <c r="Z2639" s="137"/>
      <c r="AA2639" s="137"/>
    </row>
    <row r="2640" spans="5:27" x14ac:dyDescent="0.35">
      <c r="E2640" s="137"/>
      <c r="F2640" s="137"/>
      <c r="G2640" s="190"/>
      <c r="H2640" s="137"/>
      <c r="I2640" s="137"/>
      <c r="J2640" s="137"/>
      <c r="M2640" s="143"/>
      <c r="N2640" s="143"/>
      <c r="O2640" s="143"/>
      <c r="P2640" s="143"/>
      <c r="Q2640" s="137"/>
      <c r="R2640" s="137"/>
      <c r="S2640" s="137"/>
      <c r="T2640" s="137"/>
      <c r="U2640" s="137"/>
      <c r="V2640" s="137"/>
      <c r="W2640" s="137"/>
      <c r="X2640" s="137"/>
      <c r="Y2640" s="137"/>
      <c r="Z2640" s="137"/>
      <c r="AA2640" s="137"/>
    </row>
    <row r="2641" spans="5:27" x14ac:dyDescent="0.35">
      <c r="E2641" s="137"/>
      <c r="F2641" s="137"/>
      <c r="G2641" s="190"/>
      <c r="H2641" s="137"/>
      <c r="I2641" s="137"/>
      <c r="J2641" s="137"/>
      <c r="M2641" s="143"/>
      <c r="N2641" s="143"/>
      <c r="O2641" s="143"/>
      <c r="P2641" s="143"/>
      <c r="Q2641" s="137"/>
      <c r="R2641" s="137"/>
      <c r="S2641" s="137"/>
      <c r="T2641" s="137"/>
      <c r="U2641" s="137"/>
      <c r="V2641" s="137"/>
      <c r="W2641" s="137"/>
      <c r="X2641" s="137"/>
      <c r="Y2641" s="137"/>
      <c r="Z2641" s="137"/>
      <c r="AA2641" s="137"/>
    </row>
    <row r="2642" spans="5:27" x14ac:dyDescent="0.35">
      <c r="E2642" s="137"/>
      <c r="F2642" s="137"/>
      <c r="G2642" s="190"/>
      <c r="H2642" s="137"/>
      <c r="I2642" s="137"/>
      <c r="J2642" s="137"/>
      <c r="M2642" s="143"/>
      <c r="N2642" s="143"/>
      <c r="O2642" s="143"/>
      <c r="P2642" s="143"/>
      <c r="Q2642" s="137"/>
      <c r="R2642" s="137"/>
      <c r="S2642" s="137"/>
      <c r="T2642" s="137"/>
      <c r="U2642" s="137"/>
      <c r="V2642" s="137"/>
      <c r="W2642" s="137"/>
      <c r="X2642" s="137"/>
      <c r="Y2642" s="137"/>
      <c r="Z2642" s="137"/>
      <c r="AA2642" s="137"/>
    </row>
    <row r="2643" spans="5:27" x14ac:dyDescent="0.35">
      <c r="E2643" s="137"/>
      <c r="F2643" s="137"/>
      <c r="G2643" s="190"/>
      <c r="H2643" s="137"/>
      <c r="I2643" s="137"/>
      <c r="J2643" s="137"/>
      <c r="M2643" s="143"/>
      <c r="N2643" s="143"/>
      <c r="O2643" s="143"/>
      <c r="P2643" s="143"/>
      <c r="Q2643" s="137"/>
      <c r="R2643" s="137"/>
      <c r="S2643" s="137"/>
      <c r="T2643" s="137"/>
      <c r="U2643" s="137"/>
      <c r="V2643" s="137"/>
      <c r="W2643" s="137"/>
      <c r="X2643" s="137"/>
      <c r="Y2643" s="137"/>
      <c r="Z2643" s="137"/>
      <c r="AA2643" s="137"/>
    </row>
    <row r="2644" spans="5:27" x14ac:dyDescent="0.35">
      <c r="E2644" s="137"/>
      <c r="F2644" s="137"/>
      <c r="G2644" s="190"/>
      <c r="H2644" s="137"/>
      <c r="I2644" s="137"/>
      <c r="J2644" s="137"/>
      <c r="M2644" s="143"/>
      <c r="N2644" s="143"/>
      <c r="O2644" s="143"/>
      <c r="P2644" s="143"/>
      <c r="Q2644" s="137"/>
      <c r="R2644" s="137"/>
      <c r="S2644" s="137"/>
      <c r="T2644" s="137"/>
      <c r="U2644" s="137"/>
      <c r="V2644" s="137"/>
      <c r="W2644" s="137"/>
      <c r="X2644" s="137"/>
      <c r="Y2644" s="137"/>
      <c r="Z2644" s="137"/>
      <c r="AA2644" s="137"/>
    </row>
    <row r="2645" spans="5:27" x14ac:dyDescent="0.35">
      <c r="E2645" s="137"/>
      <c r="F2645" s="137"/>
      <c r="G2645" s="190"/>
      <c r="H2645" s="137"/>
      <c r="I2645" s="137"/>
      <c r="J2645" s="137"/>
      <c r="M2645" s="143"/>
      <c r="N2645" s="143"/>
      <c r="O2645" s="143"/>
      <c r="P2645" s="143"/>
      <c r="Q2645" s="137"/>
      <c r="R2645" s="137"/>
      <c r="S2645" s="137"/>
      <c r="T2645" s="137"/>
      <c r="U2645" s="137"/>
      <c r="V2645" s="137"/>
      <c r="W2645" s="137"/>
      <c r="X2645" s="137"/>
      <c r="Y2645" s="137"/>
      <c r="Z2645" s="137"/>
      <c r="AA2645" s="137"/>
    </row>
    <row r="2646" spans="5:27" x14ac:dyDescent="0.35">
      <c r="E2646" s="137"/>
      <c r="F2646" s="137"/>
      <c r="G2646" s="190"/>
      <c r="H2646" s="137"/>
      <c r="I2646" s="137"/>
      <c r="J2646" s="137"/>
      <c r="M2646" s="143"/>
      <c r="N2646" s="143"/>
      <c r="O2646" s="143"/>
      <c r="P2646" s="143"/>
      <c r="Q2646" s="137"/>
      <c r="R2646" s="137"/>
      <c r="S2646" s="137"/>
      <c r="T2646" s="137"/>
      <c r="U2646" s="137"/>
      <c r="V2646" s="137"/>
      <c r="W2646" s="137"/>
      <c r="X2646" s="137"/>
      <c r="Y2646" s="137"/>
      <c r="Z2646" s="137"/>
      <c r="AA2646" s="137"/>
    </row>
    <row r="2647" spans="5:27" x14ac:dyDescent="0.35">
      <c r="E2647" s="137"/>
      <c r="F2647" s="137"/>
      <c r="G2647" s="190"/>
      <c r="H2647" s="137"/>
      <c r="I2647" s="137"/>
      <c r="J2647" s="137"/>
      <c r="M2647" s="143"/>
      <c r="N2647" s="143"/>
      <c r="O2647" s="143"/>
      <c r="P2647" s="143"/>
      <c r="Q2647" s="137"/>
      <c r="R2647" s="137"/>
      <c r="S2647" s="137"/>
      <c r="T2647" s="137"/>
      <c r="U2647" s="137"/>
      <c r="V2647" s="137"/>
      <c r="W2647" s="137"/>
      <c r="X2647" s="137"/>
      <c r="Y2647" s="137"/>
      <c r="Z2647" s="137"/>
      <c r="AA2647" s="137"/>
    </row>
    <row r="2648" spans="5:27" x14ac:dyDescent="0.35">
      <c r="E2648" s="137"/>
      <c r="F2648" s="137"/>
      <c r="G2648" s="190"/>
      <c r="H2648" s="137"/>
      <c r="I2648" s="137"/>
      <c r="J2648" s="137"/>
      <c r="M2648" s="143"/>
      <c r="N2648" s="143"/>
      <c r="O2648" s="143"/>
      <c r="P2648" s="143"/>
      <c r="Q2648" s="137"/>
      <c r="R2648" s="137"/>
      <c r="S2648" s="137"/>
      <c r="T2648" s="137"/>
      <c r="U2648" s="137"/>
      <c r="V2648" s="137"/>
      <c r="W2648" s="137"/>
      <c r="X2648" s="137"/>
      <c r="Y2648" s="137"/>
      <c r="Z2648" s="137"/>
      <c r="AA2648" s="137"/>
    </row>
    <row r="2649" spans="5:27" x14ac:dyDescent="0.35">
      <c r="E2649" s="137"/>
      <c r="F2649" s="137"/>
      <c r="G2649" s="190"/>
      <c r="H2649" s="137"/>
      <c r="I2649" s="137"/>
      <c r="J2649" s="137"/>
      <c r="M2649" s="143"/>
      <c r="N2649" s="143"/>
      <c r="O2649" s="143"/>
      <c r="P2649" s="143"/>
      <c r="Q2649" s="137"/>
      <c r="R2649" s="137"/>
      <c r="S2649" s="137"/>
      <c r="T2649" s="137"/>
      <c r="U2649" s="137"/>
      <c r="V2649" s="137"/>
      <c r="W2649" s="137"/>
      <c r="X2649" s="137"/>
      <c r="Y2649" s="137"/>
      <c r="Z2649" s="137"/>
      <c r="AA2649" s="137"/>
    </row>
    <row r="2650" spans="5:27" x14ac:dyDescent="0.35">
      <c r="E2650" s="137"/>
      <c r="F2650" s="137"/>
      <c r="G2650" s="190"/>
      <c r="H2650" s="137"/>
      <c r="I2650" s="137"/>
      <c r="J2650" s="137"/>
      <c r="M2650" s="143"/>
      <c r="N2650" s="143"/>
      <c r="O2650" s="143"/>
      <c r="P2650" s="143"/>
      <c r="Q2650" s="137"/>
      <c r="R2650" s="137"/>
      <c r="S2650" s="137"/>
      <c r="T2650" s="137"/>
      <c r="U2650" s="137"/>
      <c r="V2650" s="137"/>
      <c r="W2650" s="137"/>
      <c r="X2650" s="137"/>
      <c r="Y2650" s="137"/>
      <c r="Z2650" s="137"/>
      <c r="AA2650" s="137"/>
    </row>
    <row r="2651" spans="5:27" x14ac:dyDescent="0.35">
      <c r="E2651" s="137"/>
      <c r="F2651" s="137"/>
      <c r="G2651" s="190"/>
      <c r="H2651" s="137"/>
      <c r="I2651" s="137"/>
      <c r="J2651" s="137"/>
      <c r="M2651" s="143"/>
      <c r="N2651" s="143"/>
      <c r="O2651" s="143"/>
      <c r="P2651" s="143"/>
      <c r="Q2651" s="137"/>
      <c r="R2651" s="137"/>
      <c r="S2651" s="137"/>
      <c r="T2651" s="137"/>
      <c r="U2651" s="137"/>
      <c r="V2651" s="137"/>
      <c r="W2651" s="137"/>
      <c r="X2651" s="137"/>
      <c r="Y2651" s="137"/>
      <c r="Z2651" s="137"/>
      <c r="AA2651" s="137"/>
    </row>
    <row r="2652" spans="5:27" x14ac:dyDescent="0.35">
      <c r="E2652" s="137"/>
      <c r="F2652" s="137"/>
      <c r="G2652" s="190"/>
      <c r="H2652" s="137"/>
      <c r="I2652" s="137"/>
      <c r="J2652" s="137"/>
      <c r="M2652" s="143"/>
      <c r="N2652" s="143"/>
      <c r="O2652" s="143"/>
      <c r="P2652" s="143"/>
      <c r="Q2652" s="137"/>
      <c r="R2652" s="137"/>
      <c r="S2652" s="137"/>
      <c r="T2652" s="137"/>
      <c r="U2652" s="137"/>
      <c r="V2652" s="137"/>
      <c r="W2652" s="137"/>
      <c r="X2652" s="137"/>
      <c r="Y2652" s="137"/>
      <c r="Z2652" s="137"/>
      <c r="AA2652" s="137"/>
    </row>
    <row r="2653" spans="5:27" x14ac:dyDescent="0.35">
      <c r="E2653" s="137"/>
      <c r="F2653" s="137"/>
      <c r="G2653" s="190"/>
      <c r="H2653" s="137"/>
      <c r="I2653" s="137"/>
      <c r="J2653" s="137"/>
      <c r="M2653" s="143"/>
      <c r="N2653" s="143"/>
      <c r="O2653" s="143"/>
      <c r="P2653" s="143"/>
      <c r="Q2653" s="137"/>
      <c r="R2653" s="137"/>
      <c r="S2653" s="137"/>
      <c r="T2653" s="137"/>
      <c r="U2653" s="137"/>
      <c r="V2653" s="137"/>
      <c r="W2653" s="137"/>
      <c r="X2653" s="137"/>
      <c r="Y2653" s="137"/>
      <c r="Z2653" s="137"/>
      <c r="AA2653" s="137"/>
    </row>
    <row r="2654" spans="5:27" x14ac:dyDescent="0.35">
      <c r="E2654" s="137"/>
      <c r="F2654" s="137"/>
      <c r="G2654" s="190"/>
      <c r="H2654" s="137"/>
      <c r="I2654" s="137"/>
      <c r="J2654" s="137"/>
      <c r="M2654" s="143"/>
      <c r="N2654" s="143"/>
      <c r="O2654" s="143"/>
      <c r="P2654" s="143"/>
      <c r="Q2654" s="137"/>
      <c r="R2654" s="137"/>
      <c r="S2654" s="137"/>
      <c r="T2654" s="137"/>
      <c r="U2654" s="137"/>
      <c r="V2654" s="137"/>
      <c r="W2654" s="137"/>
      <c r="X2654" s="137"/>
      <c r="Y2654" s="137"/>
      <c r="Z2654" s="137"/>
      <c r="AA2654" s="137"/>
    </row>
    <row r="2655" spans="5:27" x14ac:dyDescent="0.35">
      <c r="E2655" s="137"/>
      <c r="F2655" s="137"/>
      <c r="G2655" s="190"/>
      <c r="H2655" s="137"/>
      <c r="I2655" s="137"/>
      <c r="J2655" s="137"/>
      <c r="M2655" s="143"/>
      <c r="N2655" s="143"/>
      <c r="O2655" s="143"/>
      <c r="P2655" s="143"/>
      <c r="Q2655" s="137"/>
      <c r="R2655" s="137"/>
      <c r="S2655" s="137"/>
      <c r="T2655" s="137"/>
      <c r="U2655" s="137"/>
      <c r="V2655" s="137"/>
      <c r="W2655" s="137"/>
      <c r="X2655" s="137"/>
      <c r="Y2655" s="137"/>
      <c r="Z2655" s="137"/>
      <c r="AA2655" s="137"/>
    </row>
    <row r="2656" spans="5:27" x14ac:dyDescent="0.35">
      <c r="E2656" s="137"/>
      <c r="F2656" s="137"/>
      <c r="G2656" s="190"/>
      <c r="H2656" s="137"/>
      <c r="I2656" s="137"/>
      <c r="J2656" s="137"/>
      <c r="M2656" s="143"/>
      <c r="N2656" s="143"/>
      <c r="O2656" s="143"/>
      <c r="P2656" s="143"/>
      <c r="Q2656" s="137"/>
      <c r="R2656" s="137"/>
      <c r="S2656" s="137"/>
      <c r="T2656" s="137"/>
      <c r="U2656" s="137"/>
      <c r="V2656" s="137"/>
      <c r="W2656" s="137"/>
      <c r="X2656" s="137"/>
      <c r="Y2656" s="137"/>
      <c r="Z2656" s="137"/>
      <c r="AA2656" s="137"/>
    </row>
    <row r="2657" spans="5:27" x14ac:dyDescent="0.35">
      <c r="E2657" s="137"/>
      <c r="F2657" s="137"/>
      <c r="G2657" s="190"/>
      <c r="H2657" s="137"/>
      <c r="I2657" s="137"/>
      <c r="J2657" s="137"/>
      <c r="M2657" s="143"/>
      <c r="N2657" s="143"/>
      <c r="O2657" s="143"/>
      <c r="P2657" s="143"/>
      <c r="Q2657" s="137"/>
      <c r="R2657" s="137"/>
      <c r="S2657" s="137"/>
      <c r="T2657" s="137"/>
      <c r="U2657" s="137"/>
      <c r="V2657" s="137"/>
      <c r="W2657" s="137"/>
      <c r="X2657" s="137"/>
      <c r="Y2657" s="137"/>
      <c r="Z2657" s="137"/>
      <c r="AA2657" s="137"/>
    </row>
    <row r="2658" spans="5:27" x14ac:dyDescent="0.35">
      <c r="E2658" s="137"/>
      <c r="F2658" s="137"/>
      <c r="G2658" s="190"/>
      <c r="H2658" s="137"/>
      <c r="I2658" s="137"/>
      <c r="J2658" s="137"/>
      <c r="M2658" s="143"/>
      <c r="N2658" s="143"/>
      <c r="O2658" s="143"/>
      <c r="P2658" s="143"/>
      <c r="Q2658" s="137"/>
      <c r="R2658" s="137"/>
      <c r="S2658" s="137"/>
      <c r="T2658" s="137"/>
      <c r="U2658" s="137"/>
      <c r="V2658" s="137"/>
      <c r="W2658" s="137"/>
      <c r="X2658" s="137"/>
      <c r="Y2658" s="137"/>
      <c r="Z2658" s="137"/>
      <c r="AA2658" s="137"/>
    </row>
    <row r="2659" spans="5:27" x14ac:dyDescent="0.35">
      <c r="E2659" s="137"/>
      <c r="F2659" s="137"/>
      <c r="G2659" s="190"/>
      <c r="H2659" s="137"/>
      <c r="I2659" s="137"/>
      <c r="J2659" s="137"/>
      <c r="M2659" s="143"/>
      <c r="N2659" s="143"/>
      <c r="O2659" s="143"/>
      <c r="P2659" s="143"/>
      <c r="Q2659" s="137"/>
      <c r="R2659" s="137"/>
      <c r="S2659" s="137"/>
      <c r="T2659" s="137"/>
      <c r="U2659" s="137"/>
      <c r="V2659" s="137"/>
      <c r="W2659" s="137"/>
      <c r="X2659" s="137"/>
      <c r="Y2659" s="137"/>
      <c r="Z2659" s="137"/>
      <c r="AA2659" s="137"/>
    </row>
    <row r="2660" spans="5:27" x14ac:dyDescent="0.35">
      <c r="E2660" s="137"/>
      <c r="F2660" s="137"/>
      <c r="G2660" s="190"/>
      <c r="H2660" s="137"/>
      <c r="I2660" s="137"/>
      <c r="J2660" s="137"/>
      <c r="M2660" s="143"/>
      <c r="N2660" s="143"/>
      <c r="O2660" s="143"/>
      <c r="P2660" s="143"/>
      <c r="Q2660" s="137"/>
      <c r="R2660" s="137"/>
      <c r="S2660" s="137"/>
      <c r="T2660" s="137"/>
      <c r="U2660" s="137"/>
      <c r="V2660" s="137"/>
      <c r="W2660" s="137"/>
      <c r="X2660" s="137"/>
      <c r="Y2660" s="137"/>
      <c r="Z2660" s="137"/>
      <c r="AA2660" s="137"/>
    </row>
    <row r="2661" spans="5:27" x14ac:dyDescent="0.35">
      <c r="E2661" s="137"/>
      <c r="F2661" s="137"/>
      <c r="G2661" s="190"/>
      <c r="H2661" s="137"/>
      <c r="I2661" s="137"/>
      <c r="J2661" s="137"/>
      <c r="M2661" s="143"/>
      <c r="N2661" s="143"/>
      <c r="O2661" s="143"/>
      <c r="P2661" s="143"/>
      <c r="Q2661" s="137"/>
      <c r="R2661" s="137"/>
      <c r="S2661" s="137"/>
      <c r="T2661" s="137"/>
      <c r="U2661" s="137"/>
      <c r="V2661" s="137"/>
      <c r="W2661" s="137"/>
      <c r="X2661" s="137"/>
      <c r="Y2661" s="137"/>
      <c r="Z2661" s="137"/>
      <c r="AA2661" s="137"/>
    </row>
    <row r="2662" spans="5:27" x14ac:dyDescent="0.35">
      <c r="E2662" s="137"/>
      <c r="F2662" s="137"/>
      <c r="G2662" s="190"/>
      <c r="H2662" s="137"/>
      <c r="I2662" s="137"/>
      <c r="J2662" s="137"/>
      <c r="M2662" s="143"/>
      <c r="N2662" s="143"/>
      <c r="O2662" s="143"/>
      <c r="P2662" s="143"/>
      <c r="Q2662" s="137"/>
      <c r="R2662" s="137"/>
      <c r="S2662" s="137"/>
      <c r="T2662" s="137"/>
      <c r="U2662" s="137"/>
      <c r="V2662" s="137"/>
      <c r="W2662" s="137"/>
      <c r="X2662" s="137"/>
      <c r="Y2662" s="137"/>
      <c r="Z2662" s="137"/>
      <c r="AA2662" s="137"/>
    </row>
    <row r="2663" spans="5:27" x14ac:dyDescent="0.35">
      <c r="E2663" s="137"/>
      <c r="F2663" s="137"/>
      <c r="G2663" s="190"/>
      <c r="H2663" s="137"/>
      <c r="I2663" s="137"/>
      <c r="J2663" s="137"/>
      <c r="M2663" s="143"/>
      <c r="N2663" s="143"/>
      <c r="O2663" s="143"/>
      <c r="P2663" s="143"/>
      <c r="Q2663" s="137"/>
      <c r="R2663" s="137"/>
      <c r="S2663" s="137"/>
      <c r="T2663" s="137"/>
      <c r="U2663" s="137"/>
      <c r="V2663" s="137"/>
      <c r="W2663" s="137"/>
      <c r="X2663" s="137"/>
      <c r="Y2663" s="137"/>
      <c r="Z2663" s="137"/>
      <c r="AA2663" s="137"/>
    </row>
    <row r="2664" spans="5:27" x14ac:dyDescent="0.35">
      <c r="E2664" s="137"/>
      <c r="F2664" s="137"/>
      <c r="G2664" s="190"/>
      <c r="H2664" s="137"/>
      <c r="I2664" s="137"/>
      <c r="J2664" s="137"/>
      <c r="M2664" s="143"/>
      <c r="N2664" s="143"/>
      <c r="O2664" s="143"/>
      <c r="P2664" s="143"/>
      <c r="Q2664" s="137"/>
      <c r="R2664" s="137"/>
      <c r="S2664" s="137"/>
      <c r="T2664" s="137"/>
      <c r="U2664" s="137"/>
      <c r="V2664" s="137"/>
      <c r="W2664" s="137"/>
      <c r="X2664" s="137"/>
      <c r="Y2664" s="137"/>
      <c r="Z2664" s="137"/>
      <c r="AA2664" s="137"/>
    </row>
    <row r="2665" spans="5:27" x14ac:dyDescent="0.35">
      <c r="E2665" s="137"/>
      <c r="F2665" s="137"/>
      <c r="G2665" s="190"/>
      <c r="H2665" s="137"/>
      <c r="I2665" s="137"/>
      <c r="J2665" s="137"/>
      <c r="M2665" s="143"/>
      <c r="N2665" s="143"/>
      <c r="O2665" s="143"/>
      <c r="P2665" s="143"/>
      <c r="Q2665" s="137"/>
      <c r="R2665" s="137"/>
      <c r="S2665" s="137"/>
      <c r="T2665" s="137"/>
      <c r="U2665" s="137"/>
      <c r="V2665" s="137"/>
      <c r="W2665" s="137"/>
      <c r="X2665" s="137"/>
      <c r="Y2665" s="137"/>
      <c r="Z2665" s="137"/>
      <c r="AA2665" s="137"/>
    </row>
    <row r="2666" spans="5:27" x14ac:dyDescent="0.35">
      <c r="E2666" s="137"/>
      <c r="F2666" s="137"/>
      <c r="G2666" s="190"/>
      <c r="H2666" s="137"/>
      <c r="I2666" s="137"/>
      <c r="J2666" s="137"/>
      <c r="M2666" s="143"/>
      <c r="N2666" s="143"/>
      <c r="O2666" s="143"/>
      <c r="P2666" s="143"/>
      <c r="Q2666" s="137"/>
      <c r="R2666" s="137"/>
      <c r="S2666" s="137"/>
      <c r="T2666" s="137"/>
      <c r="U2666" s="137"/>
      <c r="V2666" s="137"/>
      <c r="W2666" s="137"/>
      <c r="X2666" s="137"/>
      <c r="Y2666" s="137"/>
      <c r="Z2666" s="137"/>
      <c r="AA2666" s="137"/>
    </row>
    <row r="2667" spans="5:27" x14ac:dyDescent="0.35">
      <c r="E2667" s="137"/>
      <c r="F2667" s="137"/>
      <c r="G2667" s="190"/>
      <c r="H2667" s="137"/>
      <c r="I2667" s="137"/>
      <c r="J2667" s="137"/>
      <c r="M2667" s="143"/>
      <c r="N2667" s="143"/>
      <c r="O2667" s="143"/>
      <c r="P2667" s="143"/>
      <c r="Q2667" s="137"/>
      <c r="R2667" s="137"/>
      <c r="S2667" s="137"/>
      <c r="T2667" s="137"/>
      <c r="U2667" s="137"/>
      <c r="V2667" s="137"/>
      <c r="W2667" s="137"/>
      <c r="X2667" s="137"/>
      <c r="Y2667" s="137"/>
      <c r="Z2667" s="137"/>
      <c r="AA2667" s="137"/>
    </row>
    <row r="2668" spans="5:27" x14ac:dyDescent="0.35">
      <c r="E2668" s="137"/>
      <c r="F2668" s="137"/>
      <c r="G2668" s="190"/>
      <c r="H2668" s="137"/>
      <c r="I2668" s="137"/>
      <c r="J2668" s="137"/>
      <c r="M2668" s="143"/>
      <c r="N2668" s="143"/>
      <c r="O2668" s="143"/>
      <c r="P2668" s="143"/>
      <c r="Q2668" s="137"/>
      <c r="R2668" s="137"/>
      <c r="S2668" s="137"/>
      <c r="T2668" s="137"/>
      <c r="U2668" s="137"/>
      <c r="V2668" s="137"/>
      <c r="W2668" s="137"/>
      <c r="X2668" s="137"/>
      <c r="Y2668" s="137"/>
      <c r="Z2668" s="137"/>
      <c r="AA2668" s="137"/>
    </row>
    <row r="2669" spans="5:27" x14ac:dyDescent="0.35">
      <c r="E2669" s="137"/>
      <c r="F2669" s="137"/>
      <c r="G2669" s="190"/>
      <c r="H2669" s="137"/>
      <c r="I2669" s="137"/>
      <c r="J2669" s="137"/>
      <c r="M2669" s="143"/>
      <c r="N2669" s="143"/>
      <c r="O2669" s="143"/>
      <c r="P2669" s="143"/>
      <c r="Q2669" s="137"/>
      <c r="R2669" s="137"/>
      <c r="S2669" s="137"/>
      <c r="T2669" s="137"/>
      <c r="U2669" s="137"/>
      <c r="V2669" s="137"/>
      <c r="W2669" s="137"/>
      <c r="X2669" s="137"/>
      <c r="Y2669" s="137"/>
      <c r="Z2669" s="137"/>
      <c r="AA2669" s="137"/>
    </row>
    <row r="2670" spans="5:27" x14ac:dyDescent="0.35">
      <c r="E2670" s="137"/>
      <c r="F2670" s="137"/>
      <c r="G2670" s="190"/>
      <c r="H2670" s="137"/>
      <c r="I2670" s="137"/>
      <c r="J2670" s="137"/>
      <c r="M2670" s="143"/>
      <c r="N2670" s="143"/>
      <c r="O2670" s="143"/>
      <c r="P2670" s="143"/>
      <c r="Q2670" s="137"/>
      <c r="R2670" s="137"/>
      <c r="S2670" s="137"/>
      <c r="T2670" s="137"/>
      <c r="U2670" s="137"/>
      <c r="V2670" s="137"/>
      <c r="W2670" s="137"/>
      <c r="X2670" s="137"/>
      <c r="Y2670" s="137"/>
      <c r="Z2670" s="137"/>
      <c r="AA2670" s="137"/>
    </row>
    <row r="2671" spans="5:27" x14ac:dyDescent="0.35">
      <c r="E2671" s="137"/>
      <c r="F2671" s="137"/>
      <c r="G2671" s="190"/>
      <c r="H2671" s="137"/>
      <c r="I2671" s="137"/>
      <c r="J2671" s="137"/>
      <c r="M2671" s="143"/>
      <c r="N2671" s="143"/>
      <c r="O2671" s="143"/>
      <c r="P2671" s="143"/>
      <c r="Q2671" s="137"/>
      <c r="R2671" s="137"/>
      <c r="S2671" s="137"/>
      <c r="T2671" s="137"/>
      <c r="U2671" s="137"/>
      <c r="V2671" s="137"/>
      <c r="W2671" s="137"/>
      <c r="X2671" s="137"/>
      <c r="Y2671" s="137"/>
      <c r="Z2671" s="137"/>
      <c r="AA2671" s="137"/>
    </row>
    <row r="2672" spans="5:27" x14ac:dyDescent="0.35">
      <c r="E2672" s="137"/>
      <c r="F2672" s="137"/>
      <c r="G2672" s="190"/>
      <c r="H2672" s="137"/>
      <c r="I2672" s="137"/>
      <c r="J2672" s="137"/>
      <c r="M2672" s="143"/>
      <c r="N2672" s="143"/>
      <c r="O2672" s="143"/>
      <c r="P2672" s="143"/>
      <c r="Q2672" s="137"/>
      <c r="R2672" s="137"/>
      <c r="S2672" s="137"/>
      <c r="T2672" s="137"/>
      <c r="U2672" s="137"/>
      <c r="V2672" s="137"/>
      <c r="W2672" s="137"/>
      <c r="X2672" s="137"/>
      <c r="Y2672" s="137"/>
      <c r="Z2672" s="137"/>
      <c r="AA2672" s="137"/>
    </row>
    <row r="2673" spans="5:27" x14ac:dyDescent="0.35">
      <c r="E2673" s="137"/>
      <c r="F2673" s="137"/>
      <c r="G2673" s="190"/>
      <c r="H2673" s="137"/>
      <c r="I2673" s="137"/>
      <c r="J2673" s="137"/>
      <c r="M2673" s="143"/>
      <c r="N2673" s="143"/>
      <c r="O2673" s="143"/>
      <c r="P2673" s="143"/>
      <c r="Q2673" s="137"/>
      <c r="R2673" s="137"/>
      <c r="S2673" s="137"/>
      <c r="T2673" s="137"/>
      <c r="U2673" s="137"/>
      <c r="V2673" s="137"/>
      <c r="W2673" s="137"/>
      <c r="X2673" s="137"/>
      <c r="Y2673" s="137"/>
      <c r="Z2673" s="137"/>
      <c r="AA2673" s="137"/>
    </row>
    <row r="2674" spans="5:27" x14ac:dyDescent="0.35">
      <c r="E2674" s="137"/>
      <c r="F2674" s="137"/>
      <c r="G2674" s="190"/>
      <c r="H2674" s="137"/>
      <c r="I2674" s="137"/>
      <c r="J2674" s="137"/>
      <c r="M2674" s="143"/>
      <c r="N2674" s="143"/>
      <c r="O2674" s="143"/>
      <c r="P2674" s="143"/>
      <c r="Q2674" s="137"/>
      <c r="R2674" s="137"/>
      <c r="S2674" s="137"/>
      <c r="T2674" s="137"/>
      <c r="U2674" s="137"/>
      <c r="V2674" s="137"/>
      <c r="W2674" s="137"/>
      <c r="X2674" s="137"/>
      <c r="Y2674" s="137"/>
      <c r="Z2674" s="137"/>
      <c r="AA2674" s="137"/>
    </row>
    <row r="2675" spans="5:27" x14ac:dyDescent="0.35">
      <c r="E2675" s="137"/>
      <c r="F2675" s="137"/>
      <c r="G2675" s="190"/>
      <c r="H2675" s="137"/>
      <c r="I2675" s="137"/>
      <c r="J2675" s="137"/>
      <c r="M2675" s="143"/>
      <c r="N2675" s="143"/>
      <c r="O2675" s="143"/>
      <c r="P2675" s="143"/>
      <c r="Q2675" s="137"/>
      <c r="R2675" s="137"/>
      <c r="S2675" s="137"/>
      <c r="T2675" s="137"/>
      <c r="U2675" s="137"/>
      <c r="V2675" s="137"/>
      <c r="W2675" s="137"/>
      <c r="X2675" s="137"/>
      <c r="Y2675" s="137"/>
      <c r="Z2675" s="137"/>
      <c r="AA2675" s="137"/>
    </row>
    <row r="2676" spans="5:27" x14ac:dyDescent="0.35">
      <c r="E2676" s="137"/>
      <c r="F2676" s="137"/>
      <c r="G2676" s="190"/>
      <c r="H2676" s="137"/>
      <c r="I2676" s="137"/>
      <c r="J2676" s="137"/>
      <c r="M2676" s="143"/>
      <c r="N2676" s="143"/>
      <c r="O2676" s="143"/>
      <c r="P2676" s="143"/>
      <c r="Q2676" s="137"/>
      <c r="R2676" s="137"/>
      <c r="S2676" s="137"/>
      <c r="T2676" s="137"/>
      <c r="U2676" s="137"/>
      <c r="V2676" s="137"/>
      <c r="W2676" s="137"/>
      <c r="X2676" s="137"/>
      <c r="Y2676" s="137"/>
      <c r="Z2676" s="137"/>
      <c r="AA2676" s="137"/>
    </row>
    <row r="2677" spans="5:27" x14ac:dyDescent="0.35">
      <c r="E2677" s="137"/>
      <c r="F2677" s="137"/>
      <c r="G2677" s="190"/>
      <c r="H2677" s="137"/>
      <c r="I2677" s="137"/>
      <c r="J2677" s="137"/>
      <c r="M2677" s="143"/>
      <c r="N2677" s="143"/>
      <c r="O2677" s="143"/>
      <c r="P2677" s="143"/>
      <c r="Q2677" s="137"/>
      <c r="R2677" s="137"/>
      <c r="S2677" s="137"/>
      <c r="T2677" s="137"/>
      <c r="U2677" s="137"/>
      <c r="V2677" s="137"/>
      <c r="W2677" s="137"/>
      <c r="X2677" s="137"/>
      <c r="Y2677" s="137"/>
      <c r="Z2677" s="137"/>
      <c r="AA2677" s="137"/>
    </row>
    <row r="2678" spans="5:27" x14ac:dyDescent="0.35">
      <c r="E2678" s="137"/>
      <c r="F2678" s="137"/>
      <c r="G2678" s="190"/>
      <c r="H2678" s="137"/>
      <c r="I2678" s="137"/>
      <c r="J2678" s="137"/>
      <c r="M2678" s="143"/>
      <c r="N2678" s="143"/>
      <c r="O2678" s="143"/>
      <c r="P2678" s="143"/>
      <c r="Q2678" s="137"/>
      <c r="R2678" s="137"/>
      <c r="S2678" s="137"/>
      <c r="T2678" s="137"/>
      <c r="U2678" s="137"/>
      <c r="V2678" s="137"/>
      <c r="W2678" s="137"/>
      <c r="X2678" s="137"/>
      <c r="Y2678" s="137"/>
      <c r="Z2678" s="137"/>
      <c r="AA2678" s="137"/>
    </row>
    <row r="2679" spans="5:27" x14ac:dyDescent="0.35">
      <c r="E2679" s="137"/>
      <c r="F2679" s="137"/>
      <c r="G2679" s="190"/>
      <c r="H2679" s="137"/>
      <c r="I2679" s="137"/>
      <c r="J2679" s="137"/>
      <c r="M2679" s="143"/>
      <c r="N2679" s="143"/>
      <c r="O2679" s="143"/>
      <c r="P2679" s="143"/>
      <c r="Q2679" s="137"/>
      <c r="R2679" s="137"/>
      <c r="S2679" s="137"/>
      <c r="T2679" s="137"/>
      <c r="U2679" s="137"/>
      <c r="V2679" s="137"/>
      <c r="W2679" s="137"/>
      <c r="X2679" s="137"/>
      <c r="Y2679" s="137"/>
      <c r="Z2679" s="137"/>
      <c r="AA2679" s="137"/>
    </row>
    <row r="2680" spans="5:27" x14ac:dyDescent="0.35">
      <c r="E2680" s="137"/>
      <c r="F2680" s="137"/>
      <c r="G2680" s="190"/>
      <c r="H2680" s="137"/>
      <c r="I2680" s="137"/>
      <c r="J2680" s="137"/>
      <c r="M2680" s="143"/>
      <c r="N2680" s="143"/>
      <c r="O2680" s="143"/>
      <c r="P2680" s="143"/>
      <c r="Q2680" s="137"/>
      <c r="R2680" s="137"/>
      <c r="S2680" s="137"/>
      <c r="T2680" s="137"/>
      <c r="U2680" s="137"/>
      <c r="V2680" s="137"/>
      <c r="W2680" s="137"/>
      <c r="X2680" s="137"/>
      <c r="Y2680" s="137"/>
      <c r="Z2680" s="137"/>
      <c r="AA2680" s="137"/>
    </row>
    <row r="2681" spans="5:27" x14ac:dyDescent="0.35">
      <c r="E2681" s="137"/>
      <c r="F2681" s="137"/>
      <c r="G2681" s="190"/>
      <c r="H2681" s="137"/>
      <c r="I2681" s="137"/>
      <c r="J2681" s="137"/>
      <c r="M2681" s="143"/>
      <c r="N2681" s="143"/>
      <c r="O2681" s="143"/>
      <c r="P2681" s="143"/>
      <c r="Q2681" s="137"/>
      <c r="R2681" s="137"/>
      <c r="S2681" s="137"/>
      <c r="T2681" s="137"/>
      <c r="U2681" s="137"/>
      <c r="V2681" s="137"/>
      <c r="W2681" s="137"/>
      <c r="X2681" s="137"/>
      <c r="Y2681" s="137"/>
      <c r="Z2681" s="137"/>
      <c r="AA2681" s="137"/>
    </row>
    <row r="2682" spans="5:27" x14ac:dyDescent="0.35">
      <c r="E2682" s="137"/>
      <c r="F2682" s="137"/>
      <c r="G2682" s="190"/>
      <c r="H2682" s="137"/>
      <c r="I2682" s="137"/>
      <c r="J2682" s="137"/>
      <c r="M2682" s="143"/>
      <c r="N2682" s="143"/>
      <c r="O2682" s="143"/>
      <c r="P2682" s="143"/>
      <c r="Q2682" s="137"/>
      <c r="R2682" s="137"/>
      <c r="S2682" s="137"/>
      <c r="T2682" s="137"/>
      <c r="U2682" s="137"/>
      <c r="V2682" s="137"/>
      <c r="W2682" s="137"/>
      <c r="X2682" s="137"/>
      <c r="Y2682" s="137"/>
      <c r="Z2682" s="137"/>
      <c r="AA2682" s="137"/>
    </row>
    <row r="2683" spans="5:27" x14ac:dyDescent="0.35">
      <c r="E2683" s="137"/>
      <c r="F2683" s="137"/>
      <c r="G2683" s="190"/>
      <c r="H2683" s="137"/>
      <c r="I2683" s="137"/>
      <c r="J2683" s="137"/>
      <c r="M2683" s="143"/>
      <c r="N2683" s="143"/>
      <c r="O2683" s="143"/>
      <c r="P2683" s="143"/>
      <c r="Q2683" s="137"/>
      <c r="R2683" s="137"/>
      <c r="S2683" s="137"/>
      <c r="T2683" s="137"/>
      <c r="U2683" s="137"/>
      <c r="V2683" s="137"/>
      <c r="W2683" s="137"/>
      <c r="X2683" s="137"/>
      <c r="Y2683" s="137"/>
      <c r="Z2683" s="137"/>
      <c r="AA2683" s="137"/>
    </row>
    <row r="2684" spans="5:27" x14ac:dyDescent="0.35">
      <c r="E2684" s="137"/>
      <c r="F2684" s="137"/>
      <c r="G2684" s="190"/>
      <c r="H2684" s="137"/>
      <c r="I2684" s="137"/>
      <c r="J2684" s="137"/>
      <c r="M2684" s="143"/>
      <c r="N2684" s="143"/>
      <c r="O2684" s="143"/>
      <c r="P2684" s="143"/>
      <c r="Q2684" s="137"/>
      <c r="R2684" s="137"/>
      <c r="S2684" s="137"/>
      <c r="T2684" s="137"/>
      <c r="U2684" s="137"/>
      <c r="V2684" s="137"/>
      <c r="W2684" s="137"/>
      <c r="X2684" s="137"/>
      <c r="Y2684" s="137"/>
      <c r="Z2684" s="137"/>
      <c r="AA2684" s="137"/>
    </row>
    <row r="2685" spans="5:27" x14ac:dyDescent="0.35">
      <c r="E2685" s="137"/>
      <c r="F2685" s="137"/>
      <c r="G2685" s="190"/>
      <c r="H2685" s="137"/>
      <c r="I2685" s="137"/>
      <c r="J2685" s="137"/>
      <c r="M2685" s="143"/>
      <c r="N2685" s="143"/>
      <c r="O2685" s="143"/>
      <c r="P2685" s="143"/>
      <c r="Q2685" s="137"/>
      <c r="R2685" s="137"/>
      <c r="S2685" s="137"/>
      <c r="T2685" s="137"/>
      <c r="U2685" s="137"/>
      <c r="V2685" s="137"/>
      <c r="W2685" s="137"/>
      <c r="X2685" s="137"/>
      <c r="Y2685" s="137"/>
      <c r="Z2685" s="137"/>
      <c r="AA2685" s="137"/>
    </row>
    <row r="2686" spans="5:27" x14ac:dyDescent="0.35">
      <c r="E2686" s="137"/>
      <c r="F2686" s="137"/>
      <c r="G2686" s="190"/>
      <c r="H2686" s="137"/>
      <c r="I2686" s="137"/>
      <c r="J2686" s="137"/>
      <c r="M2686" s="143"/>
      <c r="N2686" s="143"/>
      <c r="O2686" s="143"/>
      <c r="P2686" s="143"/>
      <c r="Q2686" s="137"/>
      <c r="R2686" s="137"/>
      <c r="S2686" s="137"/>
      <c r="T2686" s="137"/>
      <c r="U2686" s="137"/>
      <c r="V2686" s="137"/>
      <c r="W2686" s="137"/>
      <c r="X2686" s="137"/>
      <c r="Y2686" s="137"/>
      <c r="Z2686" s="137"/>
      <c r="AA2686" s="137"/>
    </row>
    <row r="2687" spans="5:27" x14ac:dyDescent="0.35">
      <c r="E2687" s="137"/>
      <c r="F2687" s="137"/>
      <c r="G2687" s="190"/>
      <c r="H2687" s="137"/>
      <c r="I2687" s="137"/>
      <c r="J2687" s="137"/>
      <c r="M2687" s="143"/>
      <c r="N2687" s="143"/>
      <c r="O2687" s="143"/>
      <c r="P2687" s="143"/>
      <c r="Q2687" s="137"/>
      <c r="R2687" s="137"/>
      <c r="S2687" s="137"/>
      <c r="T2687" s="137"/>
      <c r="U2687" s="137"/>
      <c r="V2687" s="137"/>
      <c r="W2687" s="137"/>
      <c r="X2687" s="137"/>
      <c r="Y2687" s="137"/>
      <c r="Z2687" s="137"/>
      <c r="AA2687" s="137"/>
    </row>
    <row r="2688" spans="5:27" x14ac:dyDescent="0.35">
      <c r="E2688" s="137"/>
      <c r="F2688" s="137"/>
      <c r="G2688" s="190"/>
      <c r="H2688" s="137"/>
      <c r="I2688" s="137"/>
      <c r="J2688" s="137"/>
      <c r="M2688" s="143"/>
      <c r="N2688" s="143"/>
      <c r="O2688" s="143"/>
      <c r="P2688" s="143"/>
      <c r="Q2688" s="137"/>
      <c r="R2688" s="137"/>
      <c r="S2688" s="137"/>
      <c r="T2688" s="137"/>
      <c r="U2688" s="137"/>
      <c r="V2688" s="137"/>
      <c r="W2688" s="137"/>
      <c r="X2688" s="137"/>
      <c r="Y2688" s="137"/>
      <c r="Z2688" s="137"/>
      <c r="AA2688" s="137"/>
    </row>
    <row r="2689" spans="5:27" x14ac:dyDescent="0.35">
      <c r="E2689" s="137"/>
      <c r="F2689" s="137"/>
      <c r="G2689" s="190"/>
      <c r="H2689" s="137"/>
      <c r="I2689" s="137"/>
      <c r="J2689" s="137"/>
      <c r="M2689" s="143"/>
      <c r="N2689" s="143"/>
      <c r="O2689" s="143"/>
      <c r="P2689" s="143"/>
      <c r="Q2689" s="137"/>
      <c r="R2689" s="137"/>
      <c r="S2689" s="137"/>
      <c r="T2689" s="137"/>
      <c r="U2689" s="137"/>
      <c r="V2689" s="137"/>
      <c r="W2689" s="137"/>
      <c r="X2689" s="137"/>
      <c r="Y2689" s="137"/>
      <c r="Z2689" s="137"/>
      <c r="AA2689" s="137"/>
    </row>
    <row r="2690" spans="5:27" x14ac:dyDescent="0.35">
      <c r="E2690" s="137"/>
      <c r="F2690" s="137"/>
      <c r="G2690" s="190"/>
      <c r="H2690" s="137"/>
      <c r="I2690" s="137"/>
      <c r="J2690" s="137"/>
      <c r="M2690" s="143"/>
      <c r="N2690" s="143"/>
      <c r="O2690" s="143"/>
      <c r="P2690" s="143"/>
      <c r="Q2690" s="137"/>
      <c r="R2690" s="137"/>
      <c r="S2690" s="137"/>
      <c r="T2690" s="137"/>
      <c r="U2690" s="137"/>
      <c r="V2690" s="137"/>
      <c r="W2690" s="137"/>
      <c r="X2690" s="137"/>
      <c r="Y2690" s="137"/>
      <c r="Z2690" s="137"/>
      <c r="AA2690" s="137"/>
    </row>
    <row r="2691" spans="5:27" x14ac:dyDescent="0.35">
      <c r="E2691" s="137"/>
      <c r="F2691" s="137"/>
      <c r="G2691" s="190"/>
      <c r="H2691" s="137"/>
      <c r="I2691" s="137"/>
      <c r="J2691" s="137"/>
      <c r="M2691" s="143"/>
      <c r="N2691" s="143"/>
      <c r="O2691" s="143"/>
      <c r="P2691" s="143"/>
      <c r="Q2691" s="137"/>
      <c r="R2691" s="137"/>
      <c r="S2691" s="137"/>
      <c r="T2691" s="137"/>
      <c r="U2691" s="137"/>
      <c r="V2691" s="137"/>
      <c r="W2691" s="137"/>
      <c r="X2691" s="137"/>
      <c r="Y2691" s="137"/>
      <c r="Z2691" s="137"/>
      <c r="AA2691" s="137"/>
    </row>
    <row r="2692" spans="5:27" x14ac:dyDescent="0.35">
      <c r="E2692" s="137"/>
      <c r="F2692" s="137"/>
      <c r="G2692" s="190"/>
      <c r="H2692" s="137"/>
      <c r="I2692" s="137"/>
      <c r="J2692" s="137"/>
      <c r="M2692" s="143"/>
      <c r="N2692" s="143"/>
      <c r="O2692" s="143"/>
      <c r="P2692" s="143"/>
      <c r="Q2692" s="137"/>
      <c r="R2692" s="137"/>
      <c r="S2692" s="137"/>
      <c r="T2692" s="137"/>
      <c r="U2692" s="137"/>
      <c r="V2692" s="137"/>
      <c r="W2692" s="137"/>
      <c r="X2692" s="137"/>
      <c r="Y2692" s="137"/>
      <c r="Z2692" s="137"/>
      <c r="AA2692" s="137"/>
    </row>
    <row r="2693" spans="5:27" x14ac:dyDescent="0.35">
      <c r="E2693" s="137"/>
      <c r="F2693" s="137"/>
      <c r="G2693" s="190"/>
      <c r="H2693" s="137"/>
      <c r="I2693" s="137"/>
      <c r="J2693" s="137"/>
      <c r="M2693" s="143"/>
      <c r="N2693" s="143"/>
      <c r="O2693" s="143"/>
      <c r="P2693" s="143"/>
      <c r="Q2693" s="137"/>
      <c r="R2693" s="137"/>
      <c r="S2693" s="137"/>
      <c r="T2693" s="137"/>
      <c r="U2693" s="137"/>
      <c r="V2693" s="137"/>
      <c r="W2693" s="137"/>
      <c r="X2693" s="137"/>
      <c r="Y2693" s="137"/>
      <c r="Z2693" s="137"/>
      <c r="AA2693" s="137"/>
    </row>
    <row r="2694" spans="5:27" x14ac:dyDescent="0.35">
      <c r="E2694" s="137"/>
      <c r="F2694" s="137"/>
      <c r="G2694" s="190"/>
      <c r="H2694" s="137"/>
      <c r="I2694" s="137"/>
      <c r="J2694" s="137"/>
      <c r="M2694" s="143"/>
      <c r="N2694" s="143"/>
      <c r="O2694" s="143"/>
      <c r="P2694" s="143"/>
      <c r="Q2694" s="137"/>
      <c r="R2694" s="137"/>
      <c r="S2694" s="137"/>
      <c r="T2694" s="137"/>
      <c r="U2694" s="137"/>
      <c r="V2694" s="137"/>
      <c r="W2694" s="137"/>
      <c r="X2694" s="137"/>
      <c r="Y2694" s="137"/>
      <c r="Z2694" s="137"/>
      <c r="AA2694" s="137"/>
    </row>
    <row r="2695" spans="5:27" x14ac:dyDescent="0.35">
      <c r="E2695" s="137"/>
      <c r="F2695" s="137"/>
      <c r="G2695" s="190"/>
      <c r="H2695" s="137"/>
      <c r="I2695" s="137"/>
      <c r="J2695" s="137"/>
      <c r="M2695" s="143"/>
      <c r="N2695" s="143"/>
      <c r="O2695" s="143"/>
      <c r="P2695" s="143"/>
      <c r="Q2695" s="137"/>
      <c r="R2695" s="137"/>
      <c r="S2695" s="137"/>
      <c r="T2695" s="137"/>
      <c r="U2695" s="137"/>
      <c r="V2695" s="137"/>
      <c r="W2695" s="137"/>
      <c r="X2695" s="137"/>
      <c r="Y2695" s="137"/>
      <c r="Z2695" s="137"/>
      <c r="AA2695" s="137"/>
    </row>
    <row r="2696" spans="5:27" x14ac:dyDescent="0.35">
      <c r="E2696" s="137"/>
      <c r="F2696" s="137"/>
      <c r="G2696" s="190"/>
      <c r="H2696" s="137"/>
      <c r="I2696" s="137"/>
      <c r="J2696" s="137"/>
      <c r="M2696" s="143"/>
      <c r="N2696" s="143"/>
      <c r="O2696" s="143"/>
      <c r="P2696" s="143"/>
      <c r="Q2696" s="137"/>
      <c r="R2696" s="137"/>
      <c r="S2696" s="137"/>
      <c r="T2696" s="137"/>
      <c r="U2696" s="137"/>
      <c r="V2696" s="137"/>
      <c r="W2696" s="137"/>
      <c r="X2696" s="137"/>
      <c r="Y2696" s="137"/>
      <c r="Z2696" s="137"/>
      <c r="AA2696" s="137"/>
    </row>
    <row r="2697" spans="5:27" x14ac:dyDescent="0.35">
      <c r="E2697" s="137"/>
      <c r="F2697" s="137"/>
      <c r="G2697" s="190"/>
      <c r="H2697" s="137"/>
      <c r="I2697" s="137"/>
      <c r="J2697" s="137"/>
      <c r="M2697" s="143"/>
      <c r="N2697" s="143"/>
      <c r="O2697" s="143"/>
      <c r="P2697" s="143"/>
      <c r="Q2697" s="137"/>
      <c r="R2697" s="137"/>
      <c r="S2697" s="137"/>
      <c r="T2697" s="137"/>
      <c r="U2697" s="137"/>
      <c r="V2697" s="137"/>
      <c r="W2697" s="137"/>
      <c r="X2697" s="137"/>
      <c r="Y2697" s="137"/>
      <c r="Z2697" s="137"/>
      <c r="AA2697" s="137"/>
    </row>
    <row r="2698" spans="5:27" x14ac:dyDescent="0.35">
      <c r="E2698" s="137"/>
      <c r="F2698" s="137"/>
      <c r="G2698" s="190"/>
      <c r="H2698" s="137"/>
      <c r="I2698" s="137"/>
      <c r="J2698" s="137"/>
      <c r="M2698" s="143"/>
      <c r="N2698" s="143"/>
      <c r="O2698" s="143"/>
      <c r="P2698" s="143"/>
      <c r="Q2698" s="137"/>
      <c r="R2698" s="137"/>
      <c r="S2698" s="137"/>
      <c r="T2698" s="137"/>
      <c r="U2698" s="137"/>
      <c r="V2698" s="137"/>
      <c r="W2698" s="137"/>
      <c r="X2698" s="137"/>
      <c r="Y2698" s="137"/>
      <c r="Z2698" s="137"/>
      <c r="AA2698" s="137"/>
    </row>
    <row r="2699" spans="5:27" x14ac:dyDescent="0.35">
      <c r="E2699" s="137"/>
      <c r="F2699" s="137"/>
      <c r="G2699" s="190"/>
      <c r="H2699" s="137"/>
      <c r="I2699" s="137"/>
      <c r="J2699" s="137"/>
      <c r="M2699" s="143"/>
      <c r="N2699" s="143"/>
      <c r="O2699" s="143"/>
      <c r="P2699" s="143"/>
      <c r="Q2699" s="137"/>
      <c r="R2699" s="137"/>
      <c r="S2699" s="137"/>
      <c r="T2699" s="137"/>
      <c r="U2699" s="137"/>
      <c r="V2699" s="137"/>
      <c r="W2699" s="137"/>
      <c r="X2699" s="137"/>
      <c r="Y2699" s="137"/>
      <c r="Z2699" s="137"/>
      <c r="AA2699" s="137"/>
    </row>
    <row r="2700" spans="5:27" x14ac:dyDescent="0.35">
      <c r="E2700" s="137"/>
      <c r="F2700" s="137"/>
      <c r="G2700" s="190"/>
      <c r="H2700" s="137"/>
      <c r="I2700" s="137"/>
      <c r="J2700" s="137"/>
      <c r="M2700" s="143"/>
      <c r="N2700" s="143"/>
      <c r="O2700" s="143"/>
      <c r="P2700" s="143"/>
      <c r="Q2700" s="137"/>
      <c r="R2700" s="137"/>
      <c r="S2700" s="137"/>
      <c r="T2700" s="137"/>
      <c r="U2700" s="137"/>
      <c r="V2700" s="137"/>
      <c r="W2700" s="137"/>
      <c r="X2700" s="137"/>
      <c r="Y2700" s="137"/>
      <c r="Z2700" s="137"/>
      <c r="AA2700" s="137"/>
    </row>
    <row r="2701" spans="5:27" x14ac:dyDescent="0.35">
      <c r="E2701" s="137"/>
      <c r="F2701" s="137"/>
      <c r="G2701" s="190"/>
      <c r="H2701" s="137"/>
      <c r="I2701" s="137"/>
      <c r="J2701" s="137"/>
      <c r="M2701" s="143"/>
      <c r="N2701" s="143"/>
      <c r="O2701" s="143"/>
      <c r="P2701" s="143"/>
      <c r="Q2701" s="137"/>
      <c r="R2701" s="137"/>
      <c r="S2701" s="137"/>
      <c r="T2701" s="137"/>
      <c r="U2701" s="137"/>
      <c r="V2701" s="137"/>
      <c r="W2701" s="137"/>
      <c r="X2701" s="137"/>
      <c r="Y2701" s="137"/>
      <c r="Z2701" s="137"/>
      <c r="AA2701" s="137"/>
    </row>
    <row r="2702" spans="5:27" x14ac:dyDescent="0.35">
      <c r="E2702" s="137"/>
      <c r="F2702" s="137"/>
      <c r="G2702" s="190"/>
      <c r="H2702" s="137"/>
      <c r="I2702" s="137"/>
      <c r="J2702" s="137"/>
      <c r="M2702" s="143"/>
      <c r="N2702" s="143"/>
      <c r="O2702" s="143"/>
      <c r="P2702" s="143"/>
      <c r="Q2702" s="137"/>
      <c r="R2702" s="137"/>
      <c r="S2702" s="137"/>
      <c r="T2702" s="137"/>
      <c r="U2702" s="137"/>
      <c r="V2702" s="137"/>
      <c r="W2702" s="137"/>
      <c r="X2702" s="137"/>
      <c r="Y2702" s="137"/>
      <c r="Z2702" s="137"/>
      <c r="AA2702" s="137"/>
    </row>
    <row r="2703" spans="5:27" x14ac:dyDescent="0.35">
      <c r="E2703" s="137"/>
      <c r="F2703" s="137"/>
      <c r="G2703" s="190"/>
      <c r="H2703" s="137"/>
      <c r="I2703" s="137"/>
      <c r="J2703" s="137"/>
      <c r="M2703" s="143"/>
      <c r="N2703" s="143"/>
      <c r="O2703" s="143"/>
      <c r="P2703" s="143"/>
      <c r="Q2703" s="137"/>
      <c r="R2703" s="137"/>
      <c r="S2703" s="137"/>
      <c r="T2703" s="137"/>
      <c r="U2703" s="137"/>
      <c r="V2703" s="137"/>
      <c r="W2703" s="137"/>
      <c r="X2703" s="137"/>
      <c r="Y2703" s="137"/>
      <c r="Z2703" s="137"/>
      <c r="AA2703" s="137"/>
    </row>
    <row r="2704" spans="5:27" x14ac:dyDescent="0.35">
      <c r="E2704" s="137"/>
      <c r="F2704" s="137"/>
      <c r="G2704" s="190"/>
      <c r="H2704" s="137"/>
      <c r="I2704" s="137"/>
      <c r="J2704" s="137"/>
      <c r="M2704" s="143"/>
      <c r="N2704" s="143"/>
      <c r="O2704" s="143"/>
      <c r="P2704" s="143"/>
      <c r="Q2704" s="137"/>
      <c r="R2704" s="137"/>
      <c r="S2704" s="137"/>
      <c r="T2704" s="137"/>
      <c r="U2704" s="137"/>
      <c r="V2704" s="137"/>
      <c r="W2704" s="137"/>
      <c r="X2704" s="137"/>
      <c r="Y2704" s="137"/>
      <c r="Z2704" s="137"/>
      <c r="AA2704" s="137"/>
    </row>
    <row r="2705" spans="5:27" x14ac:dyDescent="0.35">
      <c r="E2705" s="137"/>
      <c r="F2705" s="137"/>
      <c r="G2705" s="190"/>
      <c r="H2705" s="137"/>
      <c r="I2705" s="137"/>
      <c r="J2705" s="137"/>
      <c r="M2705" s="143"/>
      <c r="N2705" s="143"/>
      <c r="O2705" s="143"/>
      <c r="P2705" s="143"/>
      <c r="Q2705" s="137"/>
      <c r="R2705" s="137"/>
      <c r="S2705" s="137"/>
      <c r="T2705" s="137"/>
      <c r="U2705" s="137"/>
      <c r="V2705" s="137"/>
      <c r="W2705" s="137"/>
      <c r="X2705" s="137"/>
      <c r="Y2705" s="137"/>
      <c r="Z2705" s="137"/>
      <c r="AA2705" s="137"/>
    </row>
    <row r="2706" spans="5:27" x14ac:dyDescent="0.35">
      <c r="E2706" s="137"/>
      <c r="F2706" s="137"/>
      <c r="G2706" s="190"/>
      <c r="H2706" s="137"/>
      <c r="I2706" s="137"/>
      <c r="J2706" s="137"/>
      <c r="M2706" s="143"/>
      <c r="N2706" s="143"/>
      <c r="O2706" s="143"/>
      <c r="P2706" s="143"/>
      <c r="Q2706" s="137"/>
      <c r="R2706" s="137"/>
      <c r="S2706" s="137"/>
      <c r="T2706" s="137"/>
      <c r="U2706" s="137"/>
      <c r="V2706" s="137"/>
      <c r="W2706" s="137"/>
      <c r="X2706" s="137"/>
      <c r="Y2706" s="137"/>
      <c r="Z2706" s="137"/>
      <c r="AA2706" s="137"/>
    </row>
    <row r="2707" spans="5:27" x14ac:dyDescent="0.35">
      <c r="E2707" s="137"/>
      <c r="F2707" s="137"/>
      <c r="G2707" s="190"/>
      <c r="H2707" s="137"/>
      <c r="I2707" s="137"/>
      <c r="J2707" s="137"/>
      <c r="M2707" s="143"/>
      <c r="N2707" s="143"/>
      <c r="O2707" s="143"/>
      <c r="P2707" s="143"/>
      <c r="Q2707" s="137"/>
      <c r="R2707" s="137"/>
      <c r="S2707" s="137"/>
      <c r="T2707" s="137"/>
      <c r="U2707" s="137"/>
      <c r="V2707" s="137"/>
      <c r="W2707" s="137"/>
      <c r="X2707" s="137"/>
      <c r="Y2707" s="137"/>
      <c r="Z2707" s="137"/>
      <c r="AA2707" s="137"/>
    </row>
    <row r="2708" spans="5:27" x14ac:dyDescent="0.35">
      <c r="E2708" s="137"/>
      <c r="F2708" s="137"/>
      <c r="G2708" s="190"/>
      <c r="H2708" s="137"/>
      <c r="I2708" s="137"/>
      <c r="J2708" s="137"/>
      <c r="M2708" s="143"/>
      <c r="N2708" s="143"/>
      <c r="O2708" s="143"/>
      <c r="P2708" s="143"/>
      <c r="Q2708" s="137"/>
      <c r="R2708" s="137"/>
      <c r="S2708" s="137"/>
      <c r="T2708" s="137"/>
      <c r="U2708" s="137"/>
      <c r="V2708" s="137"/>
      <c r="W2708" s="137"/>
      <c r="X2708" s="137"/>
      <c r="Y2708" s="137"/>
      <c r="Z2708" s="137"/>
      <c r="AA2708" s="137"/>
    </row>
    <row r="2709" spans="5:27" x14ac:dyDescent="0.35">
      <c r="E2709" s="137"/>
      <c r="F2709" s="137"/>
      <c r="G2709" s="190"/>
      <c r="H2709" s="137"/>
      <c r="I2709" s="137"/>
      <c r="J2709" s="137"/>
      <c r="M2709" s="143"/>
      <c r="N2709" s="143"/>
      <c r="O2709" s="143"/>
      <c r="P2709" s="143"/>
      <c r="Q2709" s="137"/>
      <c r="R2709" s="137"/>
      <c r="S2709" s="137"/>
      <c r="T2709" s="137"/>
      <c r="U2709" s="137"/>
      <c r="V2709" s="137"/>
      <c r="W2709" s="137"/>
      <c r="X2709" s="137"/>
      <c r="Y2709" s="137"/>
      <c r="Z2709" s="137"/>
      <c r="AA2709" s="137"/>
    </row>
    <row r="2710" spans="5:27" x14ac:dyDescent="0.35">
      <c r="E2710" s="137"/>
      <c r="F2710" s="137"/>
      <c r="G2710" s="190"/>
      <c r="H2710" s="137"/>
      <c r="I2710" s="137"/>
      <c r="J2710" s="137"/>
      <c r="M2710" s="143"/>
      <c r="N2710" s="143"/>
      <c r="O2710" s="143"/>
      <c r="P2710" s="143"/>
      <c r="Q2710" s="137"/>
      <c r="R2710" s="137"/>
      <c r="S2710" s="137"/>
      <c r="T2710" s="137"/>
      <c r="U2710" s="137"/>
      <c r="V2710" s="137"/>
      <c r="W2710" s="137"/>
      <c r="X2710" s="137"/>
      <c r="Y2710" s="137"/>
      <c r="Z2710" s="137"/>
      <c r="AA2710" s="137"/>
    </row>
    <row r="2711" spans="5:27" x14ac:dyDescent="0.35">
      <c r="E2711" s="137"/>
      <c r="F2711" s="137"/>
      <c r="G2711" s="190"/>
      <c r="H2711" s="137"/>
      <c r="I2711" s="137"/>
      <c r="J2711" s="137"/>
      <c r="M2711" s="143"/>
      <c r="N2711" s="143"/>
      <c r="O2711" s="143"/>
      <c r="P2711" s="143"/>
      <c r="Q2711" s="137"/>
      <c r="R2711" s="137"/>
      <c r="S2711" s="137"/>
      <c r="T2711" s="137"/>
      <c r="U2711" s="137"/>
      <c r="V2711" s="137"/>
      <c r="W2711" s="137"/>
      <c r="X2711" s="137"/>
      <c r="Y2711" s="137"/>
      <c r="Z2711" s="137"/>
      <c r="AA2711" s="137"/>
    </row>
    <row r="2712" spans="5:27" x14ac:dyDescent="0.35">
      <c r="E2712" s="137"/>
      <c r="F2712" s="137"/>
      <c r="G2712" s="190"/>
      <c r="H2712" s="137"/>
      <c r="I2712" s="137"/>
      <c r="J2712" s="137"/>
      <c r="M2712" s="143"/>
      <c r="N2712" s="143"/>
      <c r="O2712" s="143"/>
      <c r="P2712" s="143"/>
      <c r="Q2712" s="137"/>
      <c r="R2712" s="137"/>
      <c r="S2712" s="137"/>
      <c r="T2712" s="137"/>
      <c r="U2712" s="137"/>
      <c r="V2712" s="137"/>
      <c r="W2712" s="137"/>
      <c r="X2712" s="137"/>
      <c r="Y2712" s="137"/>
      <c r="Z2712" s="137"/>
      <c r="AA2712" s="137"/>
    </row>
    <row r="2713" spans="5:27" x14ac:dyDescent="0.35">
      <c r="E2713" s="137"/>
      <c r="F2713" s="137"/>
      <c r="G2713" s="190"/>
      <c r="H2713" s="137"/>
      <c r="I2713" s="137"/>
      <c r="J2713" s="137"/>
      <c r="M2713" s="143"/>
      <c r="N2713" s="143"/>
      <c r="O2713" s="143"/>
      <c r="P2713" s="143"/>
      <c r="Q2713" s="137"/>
      <c r="R2713" s="137"/>
      <c r="S2713" s="137"/>
      <c r="T2713" s="137"/>
      <c r="U2713" s="137"/>
      <c r="V2713" s="137"/>
      <c r="W2713" s="137"/>
      <c r="X2713" s="137"/>
      <c r="Y2713" s="137"/>
      <c r="Z2713" s="137"/>
      <c r="AA2713" s="137"/>
    </row>
    <row r="2714" spans="5:27" x14ac:dyDescent="0.35">
      <c r="E2714" s="137"/>
      <c r="F2714" s="137"/>
      <c r="G2714" s="190"/>
      <c r="H2714" s="137"/>
      <c r="I2714" s="137"/>
      <c r="J2714" s="137"/>
      <c r="M2714" s="143"/>
      <c r="N2714" s="143"/>
      <c r="O2714" s="143"/>
      <c r="P2714" s="143"/>
      <c r="Q2714" s="137"/>
      <c r="R2714" s="137"/>
      <c r="S2714" s="137"/>
      <c r="T2714" s="137"/>
      <c r="U2714" s="137"/>
      <c r="V2714" s="137"/>
      <c r="W2714" s="137"/>
      <c r="X2714" s="137"/>
      <c r="Y2714" s="137"/>
      <c r="Z2714" s="137"/>
      <c r="AA2714" s="137"/>
    </row>
    <row r="2715" spans="5:27" x14ac:dyDescent="0.35">
      <c r="E2715" s="137"/>
      <c r="F2715" s="137"/>
      <c r="G2715" s="190"/>
      <c r="H2715" s="137"/>
      <c r="I2715" s="137"/>
      <c r="J2715" s="137"/>
      <c r="M2715" s="143"/>
      <c r="N2715" s="143"/>
      <c r="O2715" s="143"/>
      <c r="P2715" s="143"/>
      <c r="Q2715" s="137"/>
      <c r="R2715" s="137"/>
      <c r="S2715" s="137"/>
      <c r="T2715" s="137"/>
      <c r="U2715" s="137"/>
      <c r="V2715" s="137"/>
      <c r="W2715" s="137"/>
      <c r="X2715" s="137"/>
      <c r="Y2715" s="137"/>
      <c r="Z2715" s="137"/>
      <c r="AA2715" s="137"/>
    </row>
    <row r="2716" spans="5:27" x14ac:dyDescent="0.35">
      <c r="E2716" s="137"/>
      <c r="F2716" s="137"/>
      <c r="G2716" s="190"/>
      <c r="H2716" s="137"/>
      <c r="I2716" s="137"/>
      <c r="J2716" s="137"/>
      <c r="M2716" s="143"/>
      <c r="N2716" s="143"/>
      <c r="O2716" s="143"/>
      <c r="P2716" s="143"/>
      <c r="Q2716" s="137"/>
      <c r="R2716" s="137"/>
      <c r="S2716" s="137"/>
      <c r="T2716" s="137"/>
      <c r="U2716" s="137"/>
      <c r="V2716" s="137"/>
      <c r="W2716" s="137"/>
      <c r="X2716" s="137"/>
      <c r="Y2716" s="137"/>
      <c r="Z2716" s="137"/>
      <c r="AA2716" s="137"/>
    </row>
    <row r="2717" spans="5:27" x14ac:dyDescent="0.35">
      <c r="E2717" s="137"/>
      <c r="F2717" s="137"/>
      <c r="G2717" s="190"/>
      <c r="H2717" s="137"/>
      <c r="I2717" s="137"/>
      <c r="J2717" s="137"/>
      <c r="M2717" s="143"/>
      <c r="N2717" s="143"/>
      <c r="O2717" s="143"/>
      <c r="P2717" s="143"/>
      <c r="Q2717" s="137"/>
      <c r="R2717" s="137"/>
      <c r="S2717" s="137"/>
      <c r="T2717" s="137"/>
      <c r="U2717" s="137"/>
      <c r="V2717" s="137"/>
      <c r="W2717" s="137"/>
      <c r="X2717" s="137"/>
      <c r="Y2717" s="137"/>
      <c r="Z2717" s="137"/>
      <c r="AA2717" s="137"/>
    </row>
    <row r="2718" spans="5:27" x14ac:dyDescent="0.35">
      <c r="E2718" s="137"/>
      <c r="F2718" s="137"/>
      <c r="G2718" s="190"/>
      <c r="H2718" s="137"/>
      <c r="I2718" s="137"/>
      <c r="J2718" s="137"/>
      <c r="M2718" s="143"/>
      <c r="N2718" s="143"/>
      <c r="O2718" s="143"/>
      <c r="P2718" s="143"/>
      <c r="Q2718" s="137"/>
      <c r="R2718" s="137"/>
      <c r="S2718" s="137"/>
      <c r="T2718" s="137"/>
      <c r="U2718" s="137"/>
      <c r="V2718" s="137"/>
      <c r="W2718" s="137"/>
      <c r="X2718" s="137"/>
      <c r="Y2718" s="137"/>
      <c r="Z2718" s="137"/>
      <c r="AA2718" s="137"/>
    </row>
    <row r="2719" spans="5:27" x14ac:dyDescent="0.35">
      <c r="E2719" s="137"/>
      <c r="F2719" s="137"/>
      <c r="G2719" s="190"/>
      <c r="H2719" s="137"/>
      <c r="I2719" s="137"/>
      <c r="J2719" s="137"/>
      <c r="M2719" s="143"/>
      <c r="N2719" s="143"/>
      <c r="O2719" s="143"/>
      <c r="P2719" s="143"/>
      <c r="Q2719" s="137"/>
      <c r="R2719" s="137"/>
      <c r="S2719" s="137"/>
      <c r="T2719" s="137"/>
      <c r="U2719" s="137"/>
      <c r="V2719" s="137"/>
      <c r="W2719" s="137"/>
      <c r="X2719" s="137"/>
      <c r="Y2719" s="137"/>
      <c r="Z2719" s="137"/>
      <c r="AA2719" s="137"/>
    </row>
    <row r="2720" spans="5:27" x14ac:dyDescent="0.35">
      <c r="E2720" s="137"/>
      <c r="F2720" s="137"/>
      <c r="G2720" s="190"/>
      <c r="H2720" s="137"/>
      <c r="I2720" s="137"/>
      <c r="J2720" s="137"/>
      <c r="M2720" s="143"/>
      <c r="N2720" s="143"/>
      <c r="O2720" s="143"/>
      <c r="P2720" s="143"/>
      <c r="Q2720" s="137"/>
      <c r="R2720" s="137"/>
      <c r="S2720" s="137"/>
      <c r="T2720" s="137"/>
      <c r="U2720" s="137"/>
      <c r="V2720" s="137"/>
      <c r="W2720" s="137"/>
      <c r="X2720" s="137"/>
      <c r="Y2720" s="137"/>
      <c r="Z2720" s="137"/>
      <c r="AA2720" s="137"/>
    </row>
    <row r="2721" spans="5:27" x14ac:dyDescent="0.35">
      <c r="E2721" s="137"/>
      <c r="F2721" s="137"/>
      <c r="G2721" s="190"/>
      <c r="H2721" s="137"/>
      <c r="I2721" s="137"/>
      <c r="J2721" s="137"/>
      <c r="M2721" s="143"/>
      <c r="N2721" s="143"/>
      <c r="O2721" s="143"/>
      <c r="P2721" s="143"/>
      <c r="Q2721" s="137"/>
      <c r="R2721" s="137"/>
      <c r="S2721" s="137"/>
      <c r="T2721" s="137"/>
      <c r="U2721" s="137"/>
      <c r="V2721" s="137"/>
      <c r="W2721" s="137"/>
      <c r="X2721" s="137"/>
      <c r="Y2721" s="137"/>
      <c r="Z2721" s="137"/>
      <c r="AA2721" s="137"/>
    </row>
    <row r="2722" spans="5:27" x14ac:dyDescent="0.35">
      <c r="E2722" s="137"/>
      <c r="F2722" s="137"/>
      <c r="G2722" s="190"/>
      <c r="H2722" s="137"/>
      <c r="I2722" s="137"/>
      <c r="J2722" s="137"/>
      <c r="M2722" s="143"/>
      <c r="N2722" s="143"/>
      <c r="O2722" s="143"/>
      <c r="P2722" s="143"/>
      <c r="Q2722" s="137"/>
      <c r="R2722" s="137"/>
      <c r="S2722" s="137"/>
      <c r="T2722" s="137"/>
      <c r="U2722" s="137"/>
      <c r="V2722" s="137"/>
      <c r="W2722" s="137"/>
      <c r="X2722" s="137"/>
      <c r="Y2722" s="137"/>
      <c r="Z2722" s="137"/>
      <c r="AA2722" s="137"/>
    </row>
    <row r="2723" spans="5:27" x14ac:dyDescent="0.35">
      <c r="E2723" s="137"/>
      <c r="F2723" s="137"/>
      <c r="G2723" s="190"/>
      <c r="H2723" s="137"/>
      <c r="I2723" s="137"/>
      <c r="J2723" s="137"/>
      <c r="M2723" s="143"/>
      <c r="N2723" s="143"/>
      <c r="O2723" s="143"/>
      <c r="P2723" s="143"/>
      <c r="Q2723" s="137"/>
      <c r="R2723" s="137"/>
      <c r="S2723" s="137"/>
      <c r="T2723" s="137"/>
      <c r="U2723" s="137"/>
      <c r="V2723" s="137"/>
      <c r="W2723" s="137"/>
      <c r="X2723" s="137"/>
      <c r="Y2723" s="137"/>
      <c r="Z2723" s="137"/>
      <c r="AA2723" s="137"/>
    </row>
    <row r="2724" spans="5:27" x14ac:dyDescent="0.35">
      <c r="E2724" s="137"/>
      <c r="F2724" s="137"/>
      <c r="G2724" s="190"/>
      <c r="H2724" s="137"/>
      <c r="I2724" s="137"/>
      <c r="J2724" s="137"/>
      <c r="M2724" s="143"/>
      <c r="N2724" s="143"/>
      <c r="O2724" s="143"/>
      <c r="P2724" s="143"/>
      <c r="Q2724" s="137"/>
      <c r="R2724" s="137"/>
      <c r="S2724" s="137"/>
      <c r="T2724" s="137"/>
      <c r="U2724" s="137"/>
      <c r="V2724" s="137"/>
      <c r="W2724" s="137"/>
      <c r="X2724" s="137"/>
      <c r="Y2724" s="137"/>
      <c r="Z2724" s="137"/>
      <c r="AA2724" s="137"/>
    </row>
    <row r="2725" spans="5:27" x14ac:dyDescent="0.35">
      <c r="E2725" s="137"/>
      <c r="F2725" s="137"/>
      <c r="G2725" s="190"/>
      <c r="H2725" s="137"/>
      <c r="I2725" s="137"/>
      <c r="J2725" s="137"/>
      <c r="M2725" s="143"/>
      <c r="N2725" s="143"/>
      <c r="O2725" s="143"/>
      <c r="P2725" s="143"/>
      <c r="Q2725" s="137"/>
      <c r="R2725" s="137"/>
      <c r="S2725" s="137"/>
      <c r="T2725" s="137"/>
      <c r="U2725" s="137"/>
      <c r="V2725" s="137"/>
      <c r="W2725" s="137"/>
      <c r="X2725" s="137"/>
      <c r="Y2725" s="137"/>
      <c r="Z2725" s="137"/>
      <c r="AA2725" s="137"/>
    </row>
    <row r="2726" spans="5:27" x14ac:dyDescent="0.35">
      <c r="E2726" s="137"/>
      <c r="F2726" s="137"/>
      <c r="G2726" s="190"/>
      <c r="H2726" s="137"/>
      <c r="I2726" s="137"/>
      <c r="J2726" s="137"/>
      <c r="M2726" s="143"/>
      <c r="N2726" s="143"/>
      <c r="O2726" s="143"/>
      <c r="P2726" s="143"/>
      <c r="Q2726" s="137"/>
      <c r="R2726" s="137"/>
      <c r="S2726" s="137"/>
      <c r="T2726" s="137"/>
      <c r="U2726" s="137"/>
      <c r="V2726" s="137"/>
      <c r="W2726" s="137"/>
      <c r="X2726" s="137"/>
      <c r="Y2726" s="137"/>
      <c r="Z2726" s="137"/>
      <c r="AA2726" s="137"/>
    </row>
    <row r="2727" spans="5:27" x14ac:dyDescent="0.35">
      <c r="E2727" s="137"/>
      <c r="F2727" s="137"/>
      <c r="G2727" s="190"/>
      <c r="H2727" s="137"/>
      <c r="I2727" s="137"/>
      <c r="J2727" s="137"/>
      <c r="M2727" s="143"/>
      <c r="N2727" s="143"/>
      <c r="O2727" s="143"/>
      <c r="P2727" s="143"/>
      <c r="Q2727" s="137"/>
      <c r="R2727" s="137"/>
      <c r="S2727" s="137"/>
      <c r="T2727" s="137"/>
      <c r="U2727" s="137"/>
      <c r="V2727" s="137"/>
      <c r="W2727" s="137"/>
      <c r="X2727" s="137"/>
      <c r="Y2727" s="137"/>
      <c r="Z2727" s="137"/>
      <c r="AA2727" s="137"/>
    </row>
    <row r="2728" spans="5:27" x14ac:dyDescent="0.35">
      <c r="E2728" s="137"/>
      <c r="F2728" s="137"/>
      <c r="G2728" s="190"/>
      <c r="H2728" s="137"/>
      <c r="I2728" s="137"/>
      <c r="J2728" s="137"/>
      <c r="M2728" s="143"/>
      <c r="N2728" s="143"/>
      <c r="O2728" s="143"/>
      <c r="P2728" s="143"/>
      <c r="Q2728" s="137"/>
      <c r="R2728" s="137"/>
      <c r="S2728" s="137"/>
      <c r="T2728" s="137"/>
      <c r="U2728" s="137"/>
      <c r="V2728" s="137"/>
      <c r="W2728" s="137"/>
      <c r="X2728" s="137"/>
      <c r="Y2728" s="137"/>
      <c r="Z2728" s="137"/>
      <c r="AA2728" s="137"/>
    </row>
    <row r="2729" spans="5:27" x14ac:dyDescent="0.35">
      <c r="E2729" s="137"/>
      <c r="F2729" s="137"/>
      <c r="G2729" s="190"/>
      <c r="H2729" s="137"/>
      <c r="I2729" s="137"/>
      <c r="J2729" s="137"/>
      <c r="M2729" s="143"/>
      <c r="N2729" s="143"/>
      <c r="O2729" s="143"/>
      <c r="P2729" s="143"/>
      <c r="Q2729" s="137"/>
      <c r="R2729" s="137"/>
      <c r="S2729" s="137"/>
      <c r="T2729" s="137"/>
      <c r="U2729" s="137"/>
      <c r="V2729" s="137"/>
      <c r="W2729" s="137"/>
      <c r="X2729" s="137"/>
      <c r="Y2729" s="137"/>
      <c r="Z2729" s="137"/>
      <c r="AA2729" s="137"/>
    </row>
    <row r="2730" spans="5:27" x14ac:dyDescent="0.35">
      <c r="E2730" s="137"/>
      <c r="F2730" s="137"/>
      <c r="G2730" s="190"/>
      <c r="H2730" s="137"/>
      <c r="I2730" s="137"/>
      <c r="J2730" s="137"/>
      <c r="M2730" s="143"/>
      <c r="N2730" s="143"/>
      <c r="O2730" s="143"/>
      <c r="P2730" s="143"/>
      <c r="Q2730" s="137"/>
      <c r="R2730" s="137"/>
      <c r="S2730" s="137"/>
      <c r="T2730" s="137"/>
      <c r="U2730" s="137"/>
      <c r="V2730" s="137"/>
      <c r="W2730" s="137"/>
      <c r="X2730" s="137"/>
      <c r="Y2730" s="137"/>
      <c r="Z2730" s="137"/>
      <c r="AA2730" s="137"/>
    </row>
    <row r="2731" spans="5:27" x14ac:dyDescent="0.35">
      <c r="E2731" s="137"/>
      <c r="F2731" s="137"/>
      <c r="G2731" s="190"/>
      <c r="H2731" s="137"/>
      <c r="I2731" s="137"/>
      <c r="J2731" s="137"/>
      <c r="M2731" s="143"/>
      <c r="N2731" s="143"/>
      <c r="O2731" s="143"/>
      <c r="P2731" s="143"/>
      <c r="Q2731" s="137"/>
      <c r="R2731" s="137"/>
      <c r="S2731" s="137"/>
      <c r="T2731" s="137"/>
      <c r="U2731" s="137"/>
      <c r="V2731" s="137"/>
      <c r="W2731" s="137"/>
      <c r="X2731" s="137"/>
      <c r="Y2731" s="137"/>
      <c r="Z2731" s="137"/>
      <c r="AA2731" s="137"/>
    </row>
    <row r="2732" spans="5:27" x14ac:dyDescent="0.35">
      <c r="E2732" s="137"/>
      <c r="F2732" s="137"/>
      <c r="G2732" s="190"/>
      <c r="H2732" s="137"/>
      <c r="I2732" s="137"/>
      <c r="J2732" s="137"/>
      <c r="M2732" s="143"/>
      <c r="N2732" s="143"/>
      <c r="O2732" s="143"/>
      <c r="P2732" s="143"/>
      <c r="Q2732" s="137"/>
      <c r="R2732" s="137"/>
      <c r="S2732" s="137"/>
      <c r="T2732" s="137"/>
      <c r="U2732" s="137"/>
      <c r="V2732" s="137"/>
      <c r="W2732" s="137"/>
      <c r="X2732" s="137"/>
      <c r="Y2732" s="137"/>
      <c r="Z2732" s="137"/>
      <c r="AA2732" s="137"/>
    </row>
    <row r="2733" spans="5:27" x14ac:dyDescent="0.35">
      <c r="E2733" s="137"/>
      <c r="F2733" s="137"/>
      <c r="G2733" s="190"/>
      <c r="H2733" s="137"/>
      <c r="I2733" s="137"/>
      <c r="J2733" s="137"/>
      <c r="M2733" s="143"/>
      <c r="N2733" s="143"/>
      <c r="O2733" s="143"/>
      <c r="P2733" s="143"/>
      <c r="Q2733" s="137"/>
      <c r="R2733" s="137"/>
      <c r="S2733" s="137"/>
      <c r="T2733" s="137"/>
      <c r="U2733" s="137"/>
      <c r="V2733" s="137"/>
      <c r="W2733" s="137"/>
      <c r="X2733" s="137"/>
      <c r="Y2733" s="137"/>
      <c r="Z2733" s="137"/>
      <c r="AA2733" s="137"/>
    </row>
    <row r="2734" spans="5:27" x14ac:dyDescent="0.35">
      <c r="E2734" s="137"/>
      <c r="F2734" s="137"/>
      <c r="G2734" s="190"/>
      <c r="H2734" s="137"/>
      <c r="I2734" s="137"/>
      <c r="J2734" s="137"/>
      <c r="M2734" s="143"/>
      <c r="N2734" s="143"/>
      <c r="O2734" s="143"/>
      <c r="P2734" s="143"/>
      <c r="Q2734" s="137"/>
      <c r="R2734" s="137"/>
      <c r="S2734" s="137"/>
      <c r="T2734" s="137"/>
      <c r="U2734" s="137"/>
      <c r="V2734" s="137"/>
      <c r="W2734" s="137"/>
      <c r="X2734" s="137"/>
      <c r="Y2734" s="137"/>
      <c r="Z2734" s="137"/>
      <c r="AA2734" s="137"/>
    </row>
    <row r="2735" spans="5:27" x14ac:dyDescent="0.35">
      <c r="E2735" s="137"/>
      <c r="F2735" s="137"/>
      <c r="G2735" s="190"/>
      <c r="H2735" s="137"/>
      <c r="I2735" s="137"/>
      <c r="J2735" s="137"/>
      <c r="M2735" s="143"/>
      <c r="N2735" s="143"/>
      <c r="O2735" s="143"/>
      <c r="P2735" s="143"/>
      <c r="Q2735" s="137"/>
      <c r="R2735" s="137"/>
      <c r="S2735" s="137"/>
      <c r="T2735" s="137"/>
      <c r="U2735" s="137"/>
      <c r="V2735" s="137"/>
      <c r="W2735" s="137"/>
      <c r="X2735" s="137"/>
      <c r="Y2735" s="137"/>
      <c r="Z2735" s="137"/>
      <c r="AA2735" s="137"/>
    </row>
    <row r="2736" spans="5:27" x14ac:dyDescent="0.35">
      <c r="E2736" s="137"/>
      <c r="F2736" s="137"/>
      <c r="G2736" s="190"/>
      <c r="H2736" s="137"/>
      <c r="I2736" s="137"/>
      <c r="J2736" s="137"/>
      <c r="M2736" s="143"/>
      <c r="N2736" s="143"/>
      <c r="O2736" s="143"/>
      <c r="P2736" s="143"/>
      <c r="Q2736" s="137"/>
      <c r="R2736" s="137"/>
      <c r="S2736" s="137"/>
      <c r="T2736" s="137"/>
      <c r="U2736" s="137"/>
      <c r="V2736" s="137"/>
      <c r="W2736" s="137"/>
      <c r="X2736" s="137"/>
      <c r="Y2736" s="137"/>
      <c r="Z2736" s="137"/>
      <c r="AA2736" s="137"/>
    </row>
    <row r="2737" spans="5:27" x14ac:dyDescent="0.35">
      <c r="E2737" s="137"/>
      <c r="F2737" s="137"/>
      <c r="G2737" s="190"/>
      <c r="H2737" s="137"/>
      <c r="I2737" s="137"/>
      <c r="J2737" s="137"/>
      <c r="M2737" s="143"/>
      <c r="N2737" s="143"/>
      <c r="O2737" s="143"/>
      <c r="P2737" s="143"/>
      <c r="Q2737" s="137"/>
      <c r="R2737" s="137"/>
      <c r="S2737" s="137"/>
      <c r="T2737" s="137"/>
      <c r="U2737" s="137"/>
      <c r="V2737" s="137"/>
      <c r="W2737" s="137"/>
      <c r="X2737" s="137"/>
      <c r="Y2737" s="137"/>
      <c r="Z2737" s="137"/>
      <c r="AA2737" s="137"/>
    </row>
    <row r="2738" spans="5:27" x14ac:dyDescent="0.35">
      <c r="E2738" s="137"/>
      <c r="F2738" s="137"/>
      <c r="G2738" s="190"/>
      <c r="H2738" s="137"/>
      <c r="I2738" s="137"/>
      <c r="J2738" s="137"/>
      <c r="M2738" s="143"/>
      <c r="N2738" s="143"/>
      <c r="O2738" s="143"/>
      <c r="P2738" s="143"/>
      <c r="Q2738" s="137"/>
      <c r="R2738" s="137"/>
      <c r="S2738" s="137"/>
      <c r="T2738" s="137"/>
      <c r="U2738" s="137"/>
      <c r="V2738" s="137"/>
      <c r="W2738" s="137"/>
      <c r="X2738" s="137"/>
      <c r="Y2738" s="137"/>
      <c r="Z2738" s="137"/>
      <c r="AA2738" s="137"/>
    </row>
    <row r="2739" spans="5:27" x14ac:dyDescent="0.35">
      <c r="E2739" s="137"/>
      <c r="F2739" s="137"/>
      <c r="G2739" s="190"/>
      <c r="H2739" s="137"/>
      <c r="I2739" s="137"/>
      <c r="J2739" s="137"/>
      <c r="M2739" s="143"/>
      <c r="N2739" s="143"/>
      <c r="O2739" s="143"/>
      <c r="P2739" s="143"/>
      <c r="Q2739" s="137"/>
      <c r="R2739" s="137"/>
      <c r="S2739" s="137"/>
      <c r="T2739" s="137"/>
      <c r="U2739" s="137"/>
      <c r="V2739" s="137"/>
      <c r="W2739" s="137"/>
      <c r="X2739" s="137"/>
      <c r="Y2739" s="137"/>
      <c r="Z2739" s="137"/>
      <c r="AA2739" s="137"/>
    </row>
    <row r="2740" spans="5:27" x14ac:dyDescent="0.35">
      <c r="E2740" s="137"/>
      <c r="F2740" s="137"/>
      <c r="G2740" s="190"/>
      <c r="H2740" s="137"/>
      <c r="I2740" s="137"/>
      <c r="J2740" s="137"/>
      <c r="M2740" s="143"/>
      <c r="N2740" s="143"/>
      <c r="O2740" s="143"/>
      <c r="P2740" s="143"/>
      <c r="Q2740" s="137"/>
      <c r="R2740" s="137"/>
      <c r="S2740" s="137"/>
      <c r="T2740" s="137"/>
      <c r="U2740" s="137"/>
      <c r="V2740" s="137"/>
      <c r="W2740" s="137"/>
      <c r="X2740" s="137"/>
      <c r="Y2740" s="137"/>
      <c r="Z2740" s="137"/>
      <c r="AA2740" s="137"/>
    </row>
    <row r="2741" spans="5:27" x14ac:dyDescent="0.35">
      <c r="E2741" s="137"/>
      <c r="F2741" s="137"/>
      <c r="G2741" s="190"/>
      <c r="H2741" s="137"/>
      <c r="I2741" s="137"/>
      <c r="J2741" s="137"/>
      <c r="M2741" s="143"/>
      <c r="N2741" s="143"/>
      <c r="O2741" s="143"/>
      <c r="P2741" s="143"/>
      <c r="Q2741" s="137"/>
      <c r="R2741" s="137"/>
      <c r="S2741" s="137"/>
      <c r="T2741" s="137"/>
      <c r="U2741" s="137"/>
      <c r="V2741" s="137"/>
      <c r="W2741" s="137"/>
      <c r="X2741" s="137"/>
      <c r="Y2741" s="137"/>
      <c r="Z2741" s="137"/>
      <c r="AA2741" s="137"/>
    </row>
    <row r="2742" spans="5:27" x14ac:dyDescent="0.35">
      <c r="E2742" s="137"/>
      <c r="F2742" s="137"/>
      <c r="G2742" s="190"/>
      <c r="H2742" s="137"/>
      <c r="I2742" s="137"/>
      <c r="J2742" s="137"/>
      <c r="M2742" s="143"/>
      <c r="N2742" s="143"/>
      <c r="O2742" s="143"/>
      <c r="P2742" s="143"/>
      <c r="Q2742" s="137"/>
      <c r="R2742" s="137"/>
      <c r="S2742" s="137"/>
      <c r="T2742" s="137"/>
      <c r="U2742" s="137"/>
      <c r="V2742" s="137"/>
      <c r="W2742" s="137"/>
      <c r="X2742" s="137"/>
      <c r="Y2742" s="137"/>
      <c r="Z2742" s="137"/>
      <c r="AA2742" s="137"/>
    </row>
    <row r="2743" spans="5:27" x14ac:dyDescent="0.35">
      <c r="E2743" s="137"/>
      <c r="F2743" s="137"/>
      <c r="G2743" s="190"/>
      <c r="H2743" s="137"/>
      <c r="I2743" s="137"/>
      <c r="J2743" s="137"/>
      <c r="M2743" s="143"/>
      <c r="N2743" s="143"/>
      <c r="O2743" s="143"/>
      <c r="P2743" s="143"/>
      <c r="Q2743" s="137"/>
      <c r="R2743" s="137"/>
      <c r="S2743" s="137"/>
      <c r="T2743" s="137"/>
      <c r="U2743" s="137"/>
      <c r="V2743" s="137"/>
      <c r="W2743" s="137"/>
      <c r="X2743" s="137"/>
      <c r="Y2743" s="137"/>
      <c r="Z2743" s="137"/>
      <c r="AA2743" s="137"/>
    </row>
    <row r="2744" spans="5:27" x14ac:dyDescent="0.35">
      <c r="E2744" s="137"/>
      <c r="F2744" s="137"/>
      <c r="G2744" s="190"/>
      <c r="H2744" s="137"/>
      <c r="I2744" s="137"/>
      <c r="J2744" s="137"/>
      <c r="M2744" s="143"/>
      <c r="N2744" s="143"/>
      <c r="O2744" s="143"/>
      <c r="P2744" s="143"/>
      <c r="Q2744" s="137"/>
      <c r="R2744" s="137"/>
      <c r="S2744" s="137"/>
      <c r="T2744" s="137"/>
      <c r="U2744" s="137"/>
      <c r="V2744" s="137"/>
      <c r="W2744" s="137"/>
      <c r="X2744" s="137"/>
      <c r="Y2744" s="137"/>
      <c r="Z2744" s="137"/>
      <c r="AA2744" s="137"/>
    </row>
    <row r="2745" spans="5:27" x14ac:dyDescent="0.35">
      <c r="E2745" s="137"/>
      <c r="F2745" s="137"/>
      <c r="G2745" s="190"/>
      <c r="H2745" s="137"/>
      <c r="I2745" s="137"/>
      <c r="J2745" s="137"/>
      <c r="M2745" s="143"/>
      <c r="N2745" s="143"/>
      <c r="O2745" s="143"/>
      <c r="P2745" s="143"/>
      <c r="Q2745" s="137"/>
      <c r="R2745" s="137"/>
      <c r="S2745" s="137"/>
      <c r="T2745" s="137"/>
      <c r="U2745" s="137"/>
      <c r="V2745" s="137"/>
      <c r="W2745" s="137"/>
      <c r="X2745" s="137"/>
      <c r="Y2745" s="137"/>
      <c r="Z2745" s="137"/>
      <c r="AA2745" s="137"/>
    </row>
    <row r="2746" spans="5:27" x14ac:dyDescent="0.35">
      <c r="E2746" s="137"/>
      <c r="F2746" s="137"/>
      <c r="G2746" s="190"/>
      <c r="H2746" s="137"/>
      <c r="I2746" s="137"/>
      <c r="J2746" s="137"/>
      <c r="M2746" s="143"/>
      <c r="N2746" s="143"/>
      <c r="O2746" s="143"/>
      <c r="P2746" s="143"/>
      <c r="Q2746" s="137"/>
      <c r="R2746" s="137"/>
      <c r="S2746" s="137"/>
      <c r="T2746" s="137"/>
      <c r="U2746" s="137"/>
      <c r="V2746" s="137"/>
      <c r="W2746" s="137"/>
      <c r="X2746" s="137"/>
      <c r="Y2746" s="137"/>
      <c r="Z2746" s="137"/>
      <c r="AA2746" s="137"/>
    </row>
    <row r="2747" spans="5:27" x14ac:dyDescent="0.35">
      <c r="E2747" s="137"/>
      <c r="F2747" s="137"/>
      <c r="G2747" s="190"/>
      <c r="H2747" s="137"/>
      <c r="I2747" s="137"/>
      <c r="J2747" s="137"/>
      <c r="M2747" s="143"/>
      <c r="N2747" s="143"/>
      <c r="O2747" s="143"/>
      <c r="P2747" s="143"/>
      <c r="Q2747" s="137"/>
      <c r="R2747" s="137"/>
      <c r="S2747" s="137"/>
      <c r="T2747" s="137"/>
      <c r="U2747" s="137"/>
      <c r="V2747" s="137"/>
      <c r="W2747" s="137"/>
      <c r="X2747" s="137"/>
      <c r="Y2747" s="137"/>
      <c r="Z2747" s="137"/>
      <c r="AA2747" s="137"/>
    </row>
    <row r="2748" spans="5:27" x14ac:dyDescent="0.35">
      <c r="E2748" s="137"/>
      <c r="F2748" s="137"/>
      <c r="G2748" s="190"/>
      <c r="H2748" s="137"/>
      <c r="I2748" s="137"/>
      <c r="J2748" s="137"/>
      <c r="M2748" s="143"/>
      <c r="N2748" s="143"/>
      <c r="O2748" s="143"/>
      <c r="P2748" s="143"/>
      <c r="Q2748" s="137"/>
      <c r="R2748" s="137"/>
      <c r="S2748" s="137"/>
      <c r="T2748" s="137"/>
      <c r="U2748" s="137"/>
      <c r="V2748" s="137"/>
      <c r="W2748" s="137"/>
      <c r="X2748" s="137"/>
      <c r="Y2748" s="137"/>
      <c r="Z2748" s="137"/>
      <c r="AA2748" s="137"/>
    </row>
    <row r="2749" spans="5:27" x14ac:dyDescent="0.35">
      <c r="E2749" s="137"/>
      <c r="F2749" s="137"/>
      <c r="G2749" s="190"/>
      <c r="H2749" s="137"/>
      <c r="I2749" s="137"/>
      <c r="J2749" s="137"/>
      <c r="M2749" s="143"/>
      <c r="N2749" s="143"/>
      <c r="O2749" s="143"/>
      <c r="P2749" s="143"/>
      <c r="Q2749" s="137"/>
      <c r="R2749" s="137"/>
      <c r="S2749" s="137"/>
      <c r="T2749" s="137"/>
      <c r="U2749" s="137"/>
      <c r="V2749" s="137"/>
      <c r="W2749" s="137"/>
      <c r="X2749" s="137"/>
      <c r="Y2749" s="137"/>
      <c r="Z2749" s="137"/>
      <c r="AA2749" s="137"/>
    </row>
    <row r="2750" spans="5:27" x14ac:dyDescent="0.35">
      <c r="E2750" s="137"/>
      <c r="F2750" s="137"/>
      <c r="G2750" s="190"/>
      <c r="H2750" s="137"/>
      <c r="I2750" s="137"/>
      <c r="J2750" s="137"/>
      <c r="M2750" s="143"/>
      <c r="N2750" s="143"/>
      <c r="O2750" s="143"/>
      <c r="P2750" s="143"/>
      <c r="Q2750" s="137"/>
      <c r="R2750" s="137"/>
      <c r="S2750" s="137"/>
      <c r="T2750" s="137"/>
      <c r="U2750" s="137"/>
      <c r="V2750" s="137"/>
      <c r="W2750" s="137"/>
      <c r="X2750" s="137"/>
      <c r="Y2750" s="137"/>
      <c r="Z2750" s="137"/>
      <c r="AA2750" s="137"/>
    </row>
    <row r="2751" spans="5:27" x14ac:dyDescent="0.35">
      <c r="E2751" s="137"/>
      <c r="F2751" s="137"/>
      <c r="G2751" s="190"/>
      <c r="H2751" s="137"/>
      <c r="I2751" s="137"/>
      <c r="J2751" s="137"/>
      <c r="M2751" s="143"/>
      <c r="N2751" s="143"/>
      <c r="O2751" s="143"/>
      <c r="P2751" s="143"/>
      <c r="Q2751" s="137"/>
      <c r="R2751" s="137"/>
      <c r="S2751" s="137"/>
      <c r="T2751" s="137"/>
      <c r="U2751" s="137"/>
      <c r="V2751" s="137"/>
      <c r="W2751" s="137"/>
      <c r="X2751" s="137"/>
      <c r="Y2751" s="137"/>
      <c r="Z2751" s="137"/>
      <c r="AA2751" s="137"/>
    </row>
    <row r="2752" spans="5:27" x14ac:dyDescent="0.35">
      <c r="E2752" s="137"/>
      <c r="F2752" s="137"/>
      <c r="G2752" s="190"/>
      <c r="H2752" s="137"/>
      <c r="I2752" s="137"/>
      <c r="J2752" s="137"/>
      <c r="M2752" s="143"/>
      <c r="N2752" s="143"/>
      <c r="O2752" s="143"/>
      <c r="P2752" s="143"/>
      <c r="Q2752" s="137"/>
      <c r="R2752" s="137"/>
      <c r="S2752" s="137"/>
      <c r="T2752" s="137"/>
      <c r="U2752" s="137"/>
      <c r="V2752" s="137"/>
      <c r="W2752" s="137"/>
      <c r="X2752" s="137"/>
      <c r="Y2752" s="137"/>
      <c r="Z2752" s="137"/>
      <c r="AA2752" s="137"/>
    </row>
    <row r="2753" spans="5:27" x14ac:dyDescent="0.35">
      <c r="E2753" s="137"/>
      <c r="F2753" s="137"/>
      <c r="G2753" s="190"/>
      <c r="H2753" s="137"/>
      <c r="I2753" s="137"/>
      <c r="J2753" s="137"/>
      <c r="M2753" s="143"/>
      <c r="N2753" s="143"/>
      <c r="O2753" s="143"/>
      <c r="P2753" s="143"/>
      <c r="Q2753" s="137"/>
      <c r="R2753" s="137"/>
      <c r="S2753" s="137"/>
      <c r="T2753" s="137"/>
      <c r="U2753" s="137"/>
      <c r="V2753" s="137"/>
      <c r="W2753" s="137"/>
      <c r="X2753" s="137"/>
      <c r="Y2753" s="137"/>
      <c r="Z2753" s="137"/>
      <c r="AA2753" s="137"/>
    </row>
    <row r="2754" spans="5:27" x14ac:dyDescent="0.35">
      <c r="E2754" s="137"/>
      <c r="F2754" s="137"/>
      <c r="G2754" s="190"/>
      <c r="H2754" s="137"/>
      <c r="I2754" s="137"/>
      <c r="J2754" s="137"/>
      <c r="M2754" s="143"/>
      <c r="N2754" s="143"/>
      <c r="O2754" s="143"/>
      <c r="P2754" s="143"/>
      <c r="Q2754" s="137"/>
      <c r="R2754" s="137"/>
      <c r="S2754" s="137"/>
      <c r="T2754" s="137"/>
      <c r="U2754" s="137"/>
      <c r="V2754" s="137"/>
      <c r="W2754" s="137"/>
      <c r="X2754" s="137"/>
      <c r="Y2754" s="137"/>
      <c r="Z2754" s="137"/>
      <c r="AA2754" s="137"/>
    </row>
    <row r="2755" spans="5:27" x14ac:dyDescent="0.35">
      <c r="E2755" s="137"/>
      <c r="F2755" s="137"/>
      <c r="G2755" s="190"/>
      <c r="H2755" s="137"/>
      <c r="I2755" s="137"/>
      <c r="J2755" s="137"/>
      <c r="M2755" s="143"/>
      <c r="N2755" s="143"/>
      <c r="O2755" s="143"/>
      <c r="P2755" s="143"/>
      <c r="Q2755" s="137"/>
      <c r="R2755" s="137"/>
      <c r="S2755" s="137"/>
      <c r="T2755" s="137"/>
      <c r="U2755" s="137"/>
      <c r="V2755" s="137"/>
      <c r="W2755" s="137"/>
      <c r="X2755" s="137"/>
      <c r="Y2755" s="137"/>
      <c r="Z2755" s="137"/>
      <c r="AA2755" s="137"/>
    </row>
    <row r="2756" spans="5:27" x14ac:dyDescent="0.35">
      <c r="E2756" s="137"/>
      <c r="F2756" s="137"/>
      <c r="G2756" s="190"/>
      <c r="H2756" s="137"/>
      <c r="I2756" s="137"/>
      <c r="J2756" s="137"/>
      <c r="M2756" s="143"/>
      <c r="N2756" s="143"/>
      <c r="O2756" s="143"/>
      <c r="P2756" s="143"/>
      <c r="Q2756" s="137"/>
      <c r="R2756" s="137"/>
      <c r="S2756" s="137"/>
      <c r="T2756" s="137"/>
      <c r="U2756" s="137"/>
      <c r="V2756" s="137"/>
      <c r="W2756" s="137"/>
      <c r="X2756" s="137"/>
      <c r="Y2756" s="137"/>
      <c r="Z2756" s="137"/>
      <c r="AA2756" s="137"/>
    </row>
    <row r="2757" spans="5:27" x14ac:dyDescent="0.35">
      <c r="E2757" s="137"/>
      <c r="F2757" s="137"/>
      <c r="G2757" s="190"/>
      <c r="H2757" s="137"/>
      <c r="I2757" s="137"/>
      <c r="J2757" s="137"/>
      <c r="M2757" s="143"/>
      <c r="N2757" s="143"/>
      <c r="O2757" s="143"/>
      <c r="P2757" s="143"/>
      <c r="Q2757" s="137"/>
      <c r="R2757" s="137"/>
      <c r="S2757" s="137"/>
      <c r="T2757" s="137"/>
      <c r="U2757" s="137"/>
      <c r="V2757" s="137"/>
      <c r="W2757" s="137"/>
      <c r="X2757" s="137"/>
      <c r="Y2757" s="137"/>
      <c r="Z2757" s="137"/>
      <c r="AA2757" s="137"/>
    </row>
    <row r="2758" spans="5:27" x14ac:dyDescent="0.35">
      <c r="E2758" s="137"/>
      <c r="F2758" s="137"/>
      <c r="G2758" s="190"/>
      <c r="H2758" s="137"/>
      <c r="I2758" s="137"/>
      <c r="J2758" s="137"/>
      <c r="M2758" s="143"/>
      <c r="N2758" s="143"/>
      <c r="O2758" s="143"/>
      <c r="P2758" s="143"/>
      <c r="Q2758" s="137"/>
      <c r="R2758" s="137"/>
      <c r="S2758" s="137"/>
      <c r="T2758" s="137"/>
      <c r="U2758" s="137"/>
      <c r="V2758" s="137"/>
      <c r="W2758" s="137"/>
      <c r="X2758" s="137"/>
      <c r="Y2758" s="137"/>
      <c r="Z2758" s="137"/>
      <c r="AA2758" s="137"/>
    </row>
    <row r="2759" spans="5:27" x14ac:dyDescent="0.35">
      <c r="E2759" s="137"/>
      <c r="F2759" s="137"/>
      <c r="G2759" s="190"/>
      <c r="H2759" s="137"/>
      <c r="I2759" s="137"/>
      <c r="J2759" s="137"/>
      <c r="M2759" s="143"/>
      <c r="N2759" s="143"/>
      <c r="O2759" s="143"/>
      <c r="P2759" s="143"/>
      <c r="Q2759" s="137"/>
      <c r="R2759" s="137"/>
      <c r="S2759" s="137"/>
      <c r="T2759" s="137"/>
      <c r="U2759" s="137"/>
      <c r="V2759" s="137"/>
      <c r="W2759" s="137"/>
      <c r="X2759" s="137"/>
      <c r="Y2759" s="137"/>
      <c r="Z2759" s="137"/>
      <c r="AA2759" s="137"/>
    </row>
    <row r="2760" spans="5:27" x14ac:dyDescent="0.35">
      <c r="E2760" s="137"/>
      <c r="F2760" s="137"/>
      <c r="G2760" s="190"/>
      <c r="H2760" s="137"/>
      <c r="I2760" s="137"/>
      <c r="J2760" s="137"/>
      <c r="M2760" s="143"/>
      <c r="N2760" s="143"/>
      <c r="O2760" s="143"/>
      <c r="P2760" s="143"/>
      <c r="Q2760" s="137"/>
      <c r="R2760" s="137"/>
      <c r="S2760" s="137"/>
      <c r="T2760" s="137"/>
      <c r="U2760" s="137"/>
      <c r="V2760" s="137"/>
      <c r="W2760" s="137"/>
      <c r="X2760" s="137"/>
      <c r="Y2760" s="137"/>
      <c r="Z2760" s="137"/>
      <c r="AA2760" s="137"/>
    </row>
    <row r="2761" spans="5:27" x14ac:dyDescent="0.35">
      <c r="E2761" s="137"/>
      <c r="F2761" s="137"/>
      <c r="G2761" s="190"/>
      <c r="H2761" s="137"/>
      <c r="I2761" s="137"/>
      <c r="J2761" s="137"/>
      <c r="M2761" s="143"/>
      <c r="N2761" s="143"/>
      <c r="O2761" s="143"/>
      <c r="P2761" s="143"/>
      <c r="Q2761" s="137"/>
      <c r="R2761" s="137"/>
      <c r="S2761" s="137"/>
      <c r="T2761" s="137"/>
      <c r="U2761" s="137"/>
      <c r="V2761" s="137"/>
      <c r="W2761" s="137"/>
      <c r="X2761" s="137"/>
      <c r="Y2761" s="137"/>
      <c r="Z2761" s="137"/>
      <c r="AA2761" s="137"/>
    </row>
    <row r="2762" spans="5:27" x14ac:dyDescent="0.35">
      <c r="E2762" s="137"/>
      <c r="F2762" s="137"/>
      <c r="G2762" s="190"/>
      <c r="H2762" s="137"/>
      <c r="I2762" s="137"/>
      <c r="J2762" s="137"/>
      <c r="M2762" s="143"/>
      <c r="N2762" s="143"/>
      <c r="O2762" s="143"/>
      <c r="P2762" s="143"/>
      <c r="Q2762" s="137"/>
      <c r="R2762" s="137"/>
      <c r="S2762" s="137"/>
      <c r="T2762" s="137"/>
      <c r="U2762" s="137"/>
      <c r="V2762" s="137"/>
      <c r="W2762" s="137"/>
      <c r="X2762" s="137"/>
      <c r="Y2762" s="137"/>
      <c r="Z2762" s="137"/>
      <c r="AA2762" s="137"/>
    </row>
    <row r="2763" spans="5:27" x14ac:dyDescent="0.35">
      <c r="E2763" s="137"/>
      <c r="F2763" s="137"/>
      <c r="G2763" s="190"/>
      <c r="H2763" s="137"/>
      <c r="I2763" s="137"/>
      <c r="J2763" s="137"/>
      <c r="M2763" s="143"/>
      <c r="N2763" s="143"/>
      <c r="O2763" s="143"/>
      <c r="P2763" s="143"/>
      <c r="Q2763" s="137"/>
      <c r="R2763" s="137"/>
      <c r="S2763" s="137"/>
      <c r="T2763" s="137"/>
      <c r="U2763" s="137"/>
      <c r="V2763" s="137"/>
      <c r="W2763" s="137"/>
      <c r="X2763" s="137"/>
      <c r="Y2763" s="137"/>
      <c r="Z2763" s="137"/>
      <c r="AA2763" s="137"/>
    </row>
    <row r="2764" spans="5:27" x14ac:dyDescent="0.35">
      <c r="E2764" s="137"/>
      <c r="F2764" s="137"/>
      <c r="G2764" s="190"/>
      <c r="H2764" s="137"/>
      <c r="I2764" s="137"/>
      <c r="J2764" s="137"/>
      <c r="M2764" s="143"/>
      <c r="N2764" s="143"/>
      <c r="O2764" s="143"/>
      <c r="P2764" s="143"/>
      <c r="Q2764" s="137"/>
      <c r="R2764" s="137"/>
      <c r="S2764" s="137"/>
      <c r="T2764" s="137"/>
      <c r="U2764" s="137"/>
      <c r="V2764" s="137"/>
      <c r="W2764" s="137"/>
      <c r="X2764" s="137"/>
      <c r="Y2764" s="137"/>
      <c r="Z2764" s="137"/>
      <c r="AA2764" s="137"/>
    </row>
    <row r="2765" spans="5:27" x14ac:dyDescent="0.35">
      <c r="E2765" s="137"/>
      <c r="F2765" s="137"/>
      <c r="G2765" s="190"/>
      <c r="H2765" s="137"/>
      <c r="I2765" s="137"/>
      <c r="J2765" s="137"/>
      <c r="M2765" s="143"/>
      <c r="N2765" s="143"/>
      <c r="O2765" s="143"/>
      <c r="P2765" s="143"/>
      <c r="Q2765" s="137"/>
      <c r="R2765" s="137"/>
      <c r="S2765" s="137"/>
      <c r="T2765" s="137"/>
      <c r="U2765" s="137"/>
      <c r="V2765" s="137"/>
      <c r="W2765" s="137"/>
      <c r="X2765" s="137"/>
      <c r="Y2765" s="137"/>
      <c r="Z2765" s="137"/>
      <c r="AA2765" s="137"/>
    </row>
    <row r="2766" spans="5:27" x14ac:dyDescent="0.35">
      <c r="E2766" s="137"/>
      <c r="F2766" s="137"/>
      <c r="G2766" s="190"/>
      <c r="H2766" s="137"/>
      <c r="I2766" s="137"/>
      <c r="J2766" s="137"/>
      <c r="M2766" s="143"/>
      <c r="N2766" s="143"/>
      <c r="O2766" s="143"/>
      <c r="P2766" s="143"/>
      <c r="Q2766" s="137"/>
      <c r="R2766" s="137"/>
      <c r="S2766" s="137"/>
      <c r="T2766" s="137"/>
      <c r="U2766" s="137"/>
      <c r="V2766" s="137"/>
      <c r="W2766" s="137"/>
      <c r="X2766" s="137"/>
      <c r="Y2766" s="137"/>
      <c r="Z2766" s="137"/>
      <c r="AA2766" s="137"/>
    </row>
    <row r="2767" spans="5:27" x14ac:dyDescent="0.35">
      <c r="E2767" s="137"/>
      <c r="F2767" s="137"/>
      <c r="G2767" s="190"/>
      <c r="H2767" s="137"/>
      <c r="I2767" s="137"/>
      <c r="J2767" s="137"/>
      <c r="M2767" s="143"/>
      <c r="N2767" s="143"/>
      <c r="O2767" s="143"/>
      <c r="P2767" s="143"/>
      <c r="Q2767" s="137"/>
      <c r="R2767" s="137"/>
      <c r="S2767" s="137"/>
      <c r="T2767" s="137"/>
      <c r="U2767" s="137"/>
      <c r="V2767" s="137"/>
      <c r="W2767" s="137"/>
      <c r="X2767" s="137"/>
      <c r="Y2767" s="137"/>
      <c r="Z2767" s="137"/>
      <c r="AA2767" s="137"/>
    </row>
    <row r="2768" spans="5:27" x14ac:dyDescent="0.35">
      <c r="E2768" s="137"/>
      <c r="F2768" s="137"/>
      <c r="G2768" s="190"/>
      <c r="H2768" s="137"/>
      <c r="I2768" s="137"/>
      <c r="J2768" s="137"/>
      <c r="M2768" s="143"/>
      <c r="N2768" s="143"/>
      <c r="O2768" s="143"/>
      <c r="P2768" s="143"/>
      <c r="Q2768" s="137"/>
      <c r="R2768" s="137"/>
      <c r="S2768" s="137"/>
      <c r="T2768" s="137"/>
      <c r="U2768" s="137"/>
      <c r="V2768" s="137"/>
      <c r="W2768" s="137"/>
      <c r="X2768" s="137"/>
      <c r="Y2768" s="137"/>
      <c r="Z2768" s="137"/>
      <c r="AA2768" s="137"/>
    </row>
    <row r="2769" spans="5:27" x14ac:dyDescent="0.35">
      <c r="E2769" s="137"/>
      <c r="F2769" s="137"/>
      <c r="G2769" s="190"/>
      <c r="H2769" s="137"/>
      <c r="I2769" s="137"/>
      <c r="J2769" s="137"/>
      <c r="M2769" s="143"/>
      <c r="N2769" s="143"/>
      <c r="O2769" s="143"/>
      <c r="P2769" s="143"/>
      <c r="Q2769" s="137"/>
      <c r="R2769" s="137"/>
      <c r="S2769" s="137"/>
      <c r="T2769" s="137"/>
      <c r="U2769" s="137"/>
      <c r="V2769" s="137"/>
      <c r="W2769" s="137"/>
      <c r="X2769" s="137"/>
      <c r="Y2769" s="137"/>
      <c r="Z2769" s="137"/>
      <c r="AA2769" s="137"/>
    </row>
    <row r="2770" spans="5:27" x14ac:dyDescent="0.35">
      <c r="E2770" s="137"/>
      <c r="F2770" s="137"/>
      <c r="G2770" s="190"/>
      <c r="H2770" s="137"/>
      <c r="I2770" s="137"/>
      <c r="J2770" s="137"/>
      <c r="M2770" s="143"/>
      <c r="N2770" s="143"/>
      <c r="O2770" s="143"/>
      <c r="P2770" s="143"/>
      <c r="Q2770" s="137"/>
      <c r="R2770" s="137"/>
      <c r="S2770" s="137"/>
      <c r="T2770" s="137"/>
      <c r="U2770" s="137"/>
      <c r="V2770" s="137"/>
      <c r="W2770" s="137"/>
      <c r="X2770" s="137"/>
      <c r="Y2770" s="137"/>
      <c r="Z2770" s="137"/>
      <c r="AA2770" s="137"/>
    </row>
    <row r="2771" spans="5:27" x14ac:dyDescent="0.35">
      <c r="E2771" s="137"/>
      <c r="F2771" s="137"/>
      <c r="G2771" s="190"/>
      <c r="H2771" s="137"/>
      <c r="I2771" s="137"/>
      <c r="J2771" s="137"/>
      <c r="M2771" s="143"/>
      <c r="N2771" s="143"/>
      <c r="O2771" s="143"/>
      <c r="P2771" s="143"/>
      <c r="Q2771" s="137"/>
      <c r="R2771" s="137"/>
      <c r="S2771" s="137"/>
      <c r="T2771" s="137"/>
      <c r="U2771" s="137"/>
      <c r="V2771" s="137"/>
      <c r="W2771" s="137"/>
      <c r="X2771" s="137"/>
      <c r="Y2771" s="137"/>
      <c r="Z2771" s="137"/>
      <c r="AA2771" s="137"/>
    </row>
    <row r="2772" spans="5:27" x14ac:dyDescent="0.35">
      <c r="E2772" s="137"/>
      <c r="F2772" s="137"/>
      <c r="G2772" s="190"/>
      <c r="H2772" s="137"/>
      <c r="I2772" s="137"/>
      <c r="J2772" s="137"/>
      <c r="M2772" s="143"/>
      <c r="N2772" s="143"/>
      <c r="O2772" s="143"/>
      <c r="P2772" s="143"/>
      <c r="Q2772" s="137"/>
      <c r="R2772" s="137"/>
      <c r="S2772" s="137"/>
      <c r="T2772" s="137"/>
      <c r="U2772" s="137"/>
      <c r="V2772" s="137"/>
      <c r="W2772" s="137"/>
      <c r="X2772" s="137"/>
      <c r="Y2772" s="137"/>
      <c r="Z2772" s="137"/>
      <c r="AA2772" s="137"/>
    </row>
    <row r="2773" spans="5:27" x14ac:dyDescent="0.35">
      <c r="E2773" s="137"/>
      <c r="F2773" s="137"/>
      <c r="G2773" s="190"/>
      <c r="H2773" s="137"/>
      <c r="I2773" s="137"/>
      <c r="J2773" s="137"/>
      <c r="M2773" s="143"/>
      <c r="N2773" s="143"/>
      <c r="O2773" s="143"/>
      <c r="P2773" s="143"/>
      <c r="Q2773" s="137"/>
      <c r="R2773" s="137"/>
      <c r="S2773" s="137"/>
      <c r="T2773" s="137"/>
      <c r="U2773" s="137"/>
      <c r="V2773" s="137"/>
      <c r="W2773" s="137"/>
      <c r="X2773" s="137"/>
      <c r="Y2773" s="137"/>
      <c r="Z2773" s="137"/>
      <c r="AA2773" s="137"/>
    </row>
    <row r="2774" spans="5:27" x14ac:dyDescent="0.35">
      <c r="E2774" s="137"/>
      <c r="F2774" s="137"/>
      <c r="G2774" s="190"/>
      <c r="H2774" s="137"/>
      <c r="I2774" s="137"/>
      <c r="J2774" s="137"/>
      <c r="M2774" s="143"/>
      <c r="N2774" s="143"/>
      <c r="O2774" s="143"/>
      <c r="P2774" s="143"/>
      <c r="Q2774" s="137"/>
      <c r="R2774" s="137"/>
      <c r="S2774" s="137"/>
      <c r="T2774" s="137"/>
      <c r="U2774" s="137"/>
      <c r="V2774" s="137"/>
      <c r="W2774" s="137"/>
      <c r="X2774" s="137"/>
      <c r="Y2774" s="137"/>
      <c r="Z2774" s="137"/>
      <c r="AA2774" s="137"/>
    </row>
    <row r="2775" spans="5:27" x14ac:dyDescent="0.35">
      <c r="E2775" s="137"/>
      <c r="F2775" s="137"/>
      <c r="G2775" s="190"/>
      <c r="H2775" s="137"/>
      <c r="I2775" s="137"/>
      <c r="J2775" s="137"/>
      <c r="M2775" s="143"/>
      <c r="N2775" s="143"/>
      <c r="O2775" s="143"/>
      <c r="P2775" s="143"/>
      <c r="Q2775" s="137"/>
      <c r="R2775" s="137"/>
      <c r="S2775" s="137"/>
      <c r="T2775" s="137"/>
      <c r="U2775" s="137"/>
      <c r="V2775" s="137"/>
      <c r="W2775" s="137"/>
      <c r="X2775" s="137"/>
      <c r="Y2775" s="137"/>
      <c r="Z2775" s="137"/>
      <c r="AA2775" s="137"/>
    </row>
    <row r="2776" spans="5:27" x14ac:dyDescent="0.35">
      <c r="E2776" s="137"/>
      <c r="F2776" s="137"/>
      <c r="G2776" s="190"/>
      <c r="H2776" s="137"/>
      <c r="I2776" s="137"/>
      <c r="J2776" s="137"/>
      <c r="M2776" s="143"/>
      <c r="N2776" s="143"/>
      <c r="O2776" s="143"/>
      <c r="P2776" s="143"/>
      <c r="Q2776" s="137"/>
      <c r="R2776" s="137"/>
      <c r="S2776" s="137"/>
      <c r="T2776" s="137"/>
      <c r="U2776" s="137"/>
      <c r="V2776" s="137"/>
      <c r="W2776" s="137"/>
      <c r="X2776" s="137"/>
      <c r="Y2776" s="137"/>
      <c r="Z2776" s="137"/>
      <c r="AA2776" s="137"/>
    </row>
    <row r="2777" spans="5:27" x14ac:dyDescent="0.35">
      <c r="E2777" s="137"/>
      <c r="F2777" s="137"/>
      <c r="G2777" s="190"/>
      <c r="H2777" s="137"/>
      <c r="I2777" s="137"/>
      <c r="J2777" s="137"/>
      <c r="M2777" s="143"/>
      <c r="N2777" s="143"/>
      <c r="O2777" s="143"/>
      <c r="P2777" s="143"/>
      <c r="Q2777" s="137"/>
      <c r="R2777" s="137"/>
      <c r="S2777" s="137"/>
      <c r="T2777" s="137"/>
      <c r="U2777" s="137"/>
      <c r="V2777" s="137"/>
      <c r="W2777" s="137"/>
      <c r="X2777" s="137"/>
      <c r="Y2777" s="137"/>
      <c r="Z2777" s="137"/>
      <c r="AA2777" s="137"/>
    </row>
    <row r="2778" spans="5:27" x14ac:dyDescent="0.35">
      <c r="E2778" s="137"/>
      <c r="F2778" s="137"/>
      <c r="G2778" s="190"/>
      <c r="H2778" s="137"/>
      <c r="I2778" s="137"/>
      <c r="J2778" s="137"/>
      <c r="M2778" s="143"/>
      <c r="N2778" s="143"/>
      <c r="O2778" s="143"/>
      <c r="P2778" s="143"/>
      <c r="Q2778" s="137"/>
      <c r="R2778" s="137"/>
      <c r="S2778" s="137"/>
      <c r="T2778" s="137"/>
      <c r="U2778" s="137"/>
      <c r="V2778" s="137"/>
      <c r="W2778" s="137"/>
      <c r="X2778" s="137"/>
      <c r="Y2778" s="137"/>
      <c r="Z2778" s="137"/>
      <c r="AA2778" s="137"/>
    </row>
    <row r="2779" spans="5:27" x14ac:dyDescent="0.35">
      <c r="E2779" s="137"/>
      <c r="F2779" s="137"/>
      <c r="G2779" s="190"/>
      <c r="H2779" s="137"/>
      <c r="I2779" s="137"/>
      <c r="J2779" s="137"/>
      <c r="M2779" s="143"/>
      <c r="N2779" s="143"/>
      <c r="O2779" s="143"/>
      <c r="P2779" s="143"/>
      <c r="Q2779" s="137"/>
      <c r="R2779" s="137"/>
      <c r="S2779" s="137"/>
      <c r="T2779" s="137"/>
      <c r="U2779" s="137"/>
      <c r="V2779" s="137"/>
      <c r="W2779" s="137"/>
      <c r="X2779" s="137"/>
      <c r="Y2779" s="137"/>
      <c r="Z2779" s="137"/>
      <c r="AA2779" s="137"/>
    </row>
    <row r="2780" spans="5:27" x14ac:dyDescent="0.35">
      <c r="E2780" s="137"/>
      <c r="F2780" s="137"/>
      <c r="G2780" s="190"/>
      <c r="H2780" s="137"/>
      <c r="I2780" s="137"/>
      <c r="J2780" s="137"/>
      <c r="M2780" s="143"/>
      <c r="N2780" s="143"/>
      <c r="O2780" s="143"/>
      <c r="P2780" s="143"/>
      <c r="Q2780" s="137"/>
      <c r="R2780" s="137"/>
      <c r="S2780" s="137"/>
      <c r="T2780" s="137"/>
      <c r="U2780" s="137"/>
      <c r="V2780" s="137"/>
      <c r="W2780" s="137"/>
      <c r="X2780" s="137"/>
      <c r="Y2780" s="137"/>
      <c r="Z2780" s="137"/>
      <c r="AA2780" s="137"/>
    </row>
    <row r="2781" spans="5:27" x14ac:dyDescent="0.35">
      <c r="E2781" s="137"/>
      <c r="F2781" s="137"/>
      <c r="G2781" s="190"/>
      <c r="H2781" s="137"/>
      <c r="I2781" s="137"/>
      <c r="J2781" s="137"/>
      <c r="M2781" s="143"/>
      <c r="N2781" s="143"/>
      <c r="O2781" s="143"/>
      <c r="P2781" s="143"/>
      <c r="Q2781" s="137"/>
      <c r="R2781" s="137"/>
      <c r="S2781" s="137"/>
      <c r="T2781" s="137"/>
      <c r="U2781" s="137"/>
      <c r="V2781" s="137"/>
      <c r="W2781" s="137"/>
      <c r="X2781" s="137"/>
      <c r="Y2781" s="137"/>
      <c r="Z2781" s="137"/>
      <c r="AA2781" s="137"/>
    </row>
    <row r="2782" spans="5:27" x14ac:dyDescent="0.35">
      <c r="E2782" s="137"/>
      <c r="F2782" s="137"/>
      <c r="G2782" s="190"/>
      <c r="H2782" s="137"/>
      <c r="I2782" s="137"/>
      <c r="J2782" s="137"/>
      <c r="M2782" s="143"/>
      <c r="N2782" s="143"/>
      <c r="O2782" s="143"/>
      <c r="P2782" s="143"/>
      <c r="Q2782" s="137"/>
      <c r="R2782" s="137"/>
      <c r="S2782" s="137"/>
      <c r="T2782" s="137"/>
      <c r="U2782" s="137"/>
      <c r="V2782" s="137"/>
      <c r="W2782" s="137"/>
      <c r="X2782" s="137"/>
      <c r="Y2782" s="137"/>
      <c r="Z2782" s="137"/>
      <c r="AA2782" s="137"/>
    </row>
    <row r="2783" spans="5:27" x14ac:dyDescent="0.35">
      <c r="E2783" s="137"/>
      <c r="F2783" s="137"/>
      <c r="G2783" s="190"/>
      <c r="H2783" s="137"/>
      <c r="I2783" s="137"/>
      <c r="J2783" s="137"/>
      <c r="M2783" s="143"/>
      <c r="N2783" s="143"/>
      <c r="O2783" s="143"/>
      <c r="P2783" s="143"/>
      <c r="Q2783" s="137"/>
      <c r="R2783" s="137"/>
      <c r="S2783" s="137"/>
      <c r="T2783" s="137"/>
      <c r="U2783" s="137"/>
      <c r="V2783" s="137"/>
      <c r="W2783" s="137"/>
      <c r="X2783" s="137"/>
      <c r="Y2783" s="137"/>
      <c r="Z2783" s="137"/>
      <c r="AA2783" s="137"/>
    </row>
    <row r="2784" spans="5:27" x14ac:dyDescent="0.35">
      <c r="E2784" s="137"/>
      <c r="F2784" s="137"/>
      <c r="G2784" s="190"/>
      <c r="H2784" s="137"/>
      <c r="I2784" s="137"/>
      <c r="J2784" s="137"/>
      <c r="M2784" s="143"/>
      <c r="N2784" s="143"/>
      <c r="O2784" s="143"/>
      <c r="P2784" s="143"/>
      <c r="Q2784" s="137"/>
      <c r="R2784" s="137"/>
      <c r="S2784" s="137"/>
      <c r="T2784" s="137"/>
      <c r="U2784" s="137"/>
      <c r="V2784" s="137"/>
      <c r="W2784" s="137"/>
      <c r="X2784" s="137"/>
      <c r="Y2784" s="137"/>
      <c r="Z2784" s="137"/>
      <c r="AA2784" s="137"/>
    </row>
    <row r="2785" spans="5:27" x14ac:dyDescent="0.35">
      <c r="E2785" s="137"/>
      <c r="F2785" s="137"/>
      <c r="G2785" s="190"/>
      <c r="H2785" s="137"/>
      <c r="I2785" s="137"/>
      <c r="J2785" s="137"/>
      <c r="M2785" s="143"/>
      <c r="N2785" s="143"/>
      <c r="O2785" s="143"/>
      <c r="P2785" s="143"/>
      <c r="Q2785" s="137"/>
      <c r="R2785" s="137"/>
      <c r="S2785" s="137"/>
      <c r="T2785" s="137"/>
      <c r="U2785" s="137"/>
      <c r="V2785" s="137"/>
      <c r="W2785" s="137"/>
      <c r="X2785" s="137"/>
      <c r="Y2785" s="137"/>
      <c r="Z2785" s="137"/>
      <c r="AA2785" s="137"/>
    </row>
    <row r="2786" spans="5:27" x14ac:dyDescent="0.35">
      <c r="E2786" s="137"/>
      <c r="F2786" s="137"/>
      <c r="G2786" s="190"/>
      <c r="H2786" s="137"/>
      <c r="I2786" s="137"/>
      <c r="J2786" s="137"/>
      <c r="M2786" s="143"/>
      <c r="N2786" s="143"/>
      <c r="O2786" s="143"/>
      <c r="P2786" s="143"/>
      <c r="Q2786" s="137"/>
      <c r="R2786" s="137"/>
      <c r="S2786" s="137"/>
      <c r="T2786" s="137"/>
      <c r="U2786" s="137"/>
      <c r="V2786" s="137"/>
      <c r="W2786" s="137"/>
      <c r="X2786" s="137"/>
      <c r="Y2786" s="137"/>
      <c r="Z2786" s="137"/>
      <c r="AA2786" s="137"/>
    </row>
    <row r="2787" spans="5:27" x14ac:dyDescent="0.35">
      <c r="E2787" s="137"/>
      <c r="F2787" s="137"/>
      <c r="G2787" s="190"/>
      <c r="H2787" s="137"/>
      <c r="I2787" s="137"/>
      <c r="J2787" s="137"/>
      <c r="M2787" s="143"/>
      <c r="N2787" s="143"/>
      <c r="O2787" s="143"/>
      <c r="P2787" s="143"/>
      <c r="Q2787" s="137"/>
      <c r="R2787" s="137"/>
      <c r="S2787" s="137"/>
      <c r="T2787" s="137"/>
      <c r="U2787" s="137"/>
      <c r="V2787" s="137"/>
      <c r="W2787" s="137"/>
      <c r="X2787" s="137"/>
      <c r="Y2787" s="137"/>
      <c r="Z2787" s="137"/>
      <c r="AA2787" s="137"/>
    </row>
    <row r="2788" spans="5:27" x14ac:dyDescent="0.35">
      <c r="E2788" s="137"/>
      <c r="F2788" s="137"/>
      <c r="G2788" s="190"/>
      <c r="H2788" s="137"/>
      <c r="I2788" s="137"/>
      <c r="J2788" s="137"/>
      <c r="M2788" s="143"/>
      <c r="N2788" s="143"/>
      <c r="O2788" s="143"/>
      <c r="P2788" s="143"/>
      <c r="Q2788" s="137"/>
      <c r="R2788" s="137"/>
      <c r="S2788" s="137"/>
      <c r="T2788" s="137"/>
      <c r="U2788" s="137"/>
      <c r="V2788" s="137"/>
      <c r="W2788" s="137"/>
      <c r="X2788" s="137"/>
      <c r="Y2788" s="137"/>
      <c r="Z2788" s="137"/>
      <c r="AA2788" s="137"/>
    </row>
    <row r="2789" spans="5:27" x14ac:dyDescent="0.35">
      <c r="E2789" s="137"/>
      <c r="F2789" s="137"/>
      <c r="G2789" s="190"/>
      <c r="H2789" s="137"/>
      <c r="I2789" s="137"/>
      <c r="J2789" s="137"/>
      <c r="M2789" s="143"/>
      <c r="N2789" s="143"/>
      <c r="O2789" s="143"/>
      <c r="P2789" s="143"/>
      <c r="Q2789" s="137"/>
      <c r="R2789" s="137"/>
      <c r="S2789" s="137"/>
      <c r="T2789" s="137"/>
      <c r="U2789" s="137"/>
      <c r="V2789" s="137"/>
      <c r="W2789" s="137"/>
      <c r="X2789" s="137"/>
      <c r="Y2789" s="137"/>
      <c r="Z2789" s="137"/>
      <c r="AA2789" s="137"/>
    </row>
    <row r="2790" spans="5:27" x14ac:dyDescent="0.35">
      <c r="E2790" s="137"/>
      <c r="F2790" s="137"/>
      <c r="G2790" s="190"/>
      <c r="H2790" s="137"/>
      <c r="I2790" s="137"/>
      <c r="J2790" s="137"/>
      <c r="M2790" s="143"/>
      <c r="N2790" s="143"/>
      <c r="O2790" s="143"/>
      <c r="P2790" s="143"/>
      <c r="Q2790" s="137"/>
      <c r="R2790" s="137"/>
      <c r="S2790" s="137"/>
      <c r="T2790" s="137"/>
      <c r="U2790" s="137"/>
      <c r="V2790" s="137"/>
      <c r="W2790" s="137"/>
      <c r="X2790" s="137"/>
      <c r="Y2790" s="137"/>
      <c r="Z2790" s="137"/>
      <c r="AA2790" s="137"/>
    </row>
    <row r="2791" spans="5:27" x14ac:dyDescent="0.35">
      <c r="E2791" s="137"/>
      <c r="F2791" s="137"/>
      <c r="G2791" s="190"/>
      <c r="H2791" s="137"/>
      <c r="I2791" s="137"/>
      <c r="J2791" s="137"/>
      <c r="M2791" s="143"/>
      <c r="N2791" s="143"/>
      <c r="O2791" s="143"/>
      <c r="P2791" s="143"/>
      <c r="Q2791" s="137"/>
      <c r="R2791" s="137"/>
      <c r="S2791" s="137"/>
      <c r="T2791" s="137"/>
      <c r="U2791" s="137"/>
      <c r="V2791" s="137"/>
      <c r="W2791" s="137"/>
      <c r="X2791" s="137"/>
      <c r="Y2791" s="137"/>
      <c r="Z2791" s="137"/>
      <c r="AA2791" s="137"/>
    </row>
    <row r="2792" spans="5:27" x14ac:dyDescent="0.35">
      <c r="E2792" s="137"/>
      <c r="F2792" s="137"/>
      <c r="G2792" s="190"/>
      <c r="H2792" s="137"/>
      <c r="I2792" s="137"/>
      <c r="J2792" s="137"/>
      <c r="M2792" s="143"/>
      <c r="N2792" s="143"/>
      <c r="O2792" s="143"/>
      <c r="P2792" s="143"/>
      <c r="Q2792" s="137"/>
      <c r="R2792" s="137"/>
      <c r="S2792" s="137"/>
      <c r="T2792" s="137"/>
      <c r="U2792" s="137"/>
      <c r="V2792" s="137"/>
      <c r="W2792" s="137"/>
      <c r="X2792" s="137"/>
      <c r="Y2792" s="137"/>
      <c r="Z2792" s="137"/>
      <c r="AA2792" s="137"/>
    </row>
    <row r="2793" spans="5:27" x14ac:dyDescent="0.35">
      <c r="E2793" s="137"/>
      <c r="F2793" s="137"/>
      <c r="G2793" s="190"/>
      <c r="H2793" s="137"/>
      <c r="I2793" s="137"/>
      <c r="J2793" s="137"/>
      <c r="M2793" s="143"/>
      <c r="N2793" s="143"/>
      <c r="O2793" s="143"/>
      <c r="P2793" s="143"/>
      <c r="Q2793" s="137"/>
      <c r="R2793" s="137"/>
      <c r="S2793" s="137"/>
      <c r="T2793" s="137"/>
      <c r="U2793" s="137"/>
      <c r="V2793" s="137"/>
      <c r="W2793" s="137"/>
      <c r="X2793" s="137"/>
      <c r="Y2793" s="137"/>
      <c r="Z2793" s="137"/>
      <c r="AA2793" s="137"/>
    </row>
    <row r="2794" spans="5:27" x14ac:dyDescent="0.35">
      <c r="E2794" s="137"/>
      <c r="F2794" s="137"/>
      <c r="G2794" s="190"/>
      <c r="H2794" s="137"/>
      <c r="I2794" s="137"/>
      <c r="J2794" s="137"/>
      <c r="M2794" s="143"/>
      <c r="N2794" s="143"/>
      <c r="O2794" s="143"/>
      <c r="P2794" s="143"/>
      <c r="Q2794" s="137"/>
      <c r="R2794" s="137"/>
      <c r="S2794" s="137"/>
      <c r="T2794" s="137"/>
      <c r="U2794" s="137"/>
      <c r="V2794" s="137"/>
      <c r="W2794" s="137"/>
      <c r="X2794" s="137"/>
      <c r="Y2794" s="137"/>
      <c r="Z2794" s="137"/>
      <c r="AA2794" s="137"/>
    </row>
    <row r="2795" spans="5:27" x14ac:dyDescent="0.35">
      <c r="E2795" s="137"/>
      <c r="F2795" s="137"/>
      <c r="G2795" s="190"/>
      <c r="H2795" s="137"/>
      <c r="I2795" s="137"/>
      <c r="J2795" s="137"/>
      <c r="M2795" s="143"/>
      <c r="N2795" s="143"/>
      <c r="O2795" s="143"/>
      <c r="P2795" s="143"/>
      <c r="Q2795" s="137"/>
      <c r="R2795" s="137"/>
      <c r="S2795" s="137"/>
      <c r="T2795" s="137"/>
      <c r="U2795" s="137"/>
      <c r="V2795" s="137"/>
      <c r="W2795" s="137"/>
      <c r="X2795" s="137"/>
      <c r="Y2795" s="137"/>
      <c r="Z2795" s="137"/>
      <c r="AA2795" s="137"/>
    </row>
    <row r="2796" spans="5:27" x14ac:dyDescent="0.35">
      <c r="E2796" s="137"/>
      <c r="F2796" s="137"/>
      <c r="G2796" s="190"/>
      <c r="H2796" s="137"/>
      <c r="I2796" s="137"/>
      <c r="J2796" s="137"/>
      <c r="M2796" s="143"/>
      <c r="N2796" s="143"/>
      <c r="O2796" s="143"/>
      <c r="P2796" s="143"/>
      <c r="Q2796" s="137"/>
      <c r="R2796" s="137"/>
      <c r="S2796" s="137"/>
      <c r="T2796" s="137"/>
      <c r="U2796" s="137"/>
      <c r="V2796" s="137"/>
      <c r="W2796" s="137"/>
      <c r="X2796" s="137"/>
      <c r="Y2796" s="137"/>
      <c r="Z2796" s="137"/>
      <c r="AA2796" s="137"/>
    </row>
    <row r="2797" spans="5:27" x14ac:dyDescent="0.35">
      <c r="E2797" s="137"/>
      <c r="F2797" s="137"/>
      <c r="G2797" s="190"/>
      <c r="H2797" s="137"/>
      <c r="I2797" s="137"/>
      <c r="J2797" s="137"/>
      <c r="M2797" s="143"/>
      <c r="N2797" s="143"/>
      <c r="O2797" s="143"/>
      <c r="P2797" s="143"/>
      <c r="Q2797" s="137"/>
      <c r="R2797" s="137"/>
      <c r="S2797" s="137"/>
      <c r="T2797" s="137"/>
      <c r="U2797" s="137"/>
      <c r="V2797" s="137"/>
      <c r="W2797" s="137"/>
      <c r="X2797" s="137"/>
      <c r="Y2797" s="137"/>
      <c r="Z2797" s="137"/>
      <c r="AA2797" s="137"/>
    </row>
    <row r="2798" spans="5:27" x14ac:dyDescent="0.35">
      <c r="E2798" s="137"/>
      <c r="F2798" s="137"/>
      <c r="G2798" s="190"/>
      <c r="H2798" s="137"/>
      <c r="I2798" s="137"/>
      <c r="J2798" s="137"/>
      <c r="M2798" s="143"/>
      <c r="N2798" s="143"/>
      <c r="O2798" s="143"/>
      <c r="P2798" s="143"/>
      <c r="Q2798" s="137"/>
      <c r="R2798" s="137"/>
      <c r="S2798" s="137"/>
      <c r="T2798" s="137"/>
      <c r="U2798" s="137"/>
      <c r="V2798" s="137"/>
      <c r="W2798" s="137"/>
      <c r="X2798" s="137"/>
      <c r="Y2798" s="137"/>
      <c r="Z2798" s="137"/>
      <c r="AA2798" s="137"/>
    </row>
    <row r="2799" spans="5:27" x14ac:dyDescent="0.35">
      <c r="E2799" s="137"/>
      <c r="F2799" s="137"/>
      <c r="G2799" s="190"/>
      <c r="H2799" s="137"/>
      <c r="I2799" s="137"/>
      <c r="J2799" s="137"/>
      <c r="M2799" s="143"/>
      <c r="N2799" s="143"/>
      <c r="O2799" s="143"/>
      <c r="P2799" s="143"/>
      <c r="Q2799" s="137"/>
      <c r="R2799" s="137"/>
      <c r="S2799" s="137"/>
      <c r="T2799" s="137"/>
      <c r="U2799" s="137"/>
      <c r="V2799" s="137"/>
      <c r="W2799" s="137"/>
      <c r="X2799" s="137"/>
      <c r="Y2799" s="137"/>
      <c r="Z2799" s="137"/>
      <c r="AA2799" s="137"/>
    </row>
    <row r="2800" spans="5:27" x14ac:dyDescent="0.35">
      <c r="E2800" s="137"/>
      <c r="F2800" s="137"/>
      <c r="G2800" s="190"/>
      <c r="H2800" s="137"/>
      <c r="I2800" s="137"/>
      <c r="J2800" s="137"/>
      <c r="M2800" s="143"/>
      <c r="N2800" s="143"/>
      <c r="O2800" s="143"/>
      <c r="P2800" s="143"/>
      <c r="Q2800" s="137"/>
      <c r="R2800" s="137"/>
      <c r="S2800" s="137"/>
      <c r="T2800" s="137"/>
      <c r="U2800" s="137"/>
      <c r="V2800" s="137"/>
      <c r="W2800" s="137"/>
      <c r="X2800" s="137"/>
      <c r="Y2800" s="137"/>
      <c r="Z2800" s="137"/>
      <c r="AA2800" s="137"/>
    </row>
    <row r="2801" spans="5:27" x14ac:dyDescent="0.35">
      <c r="E2801" s="137"/>
      <c r="F2801" s="137"/>
      <c r="G2801" s="190"/>
      <c r="H2801" s="137"/>
      <c r="I2801" s="137"/>
      <c r="J2801" s="137"/>
      <c r="M2801" s="143"/>
      <c r="N2801" s="143"/>
      <c r="O2801" s="143"/>
      <c r="P2801" s="143"/>
      <c r="Q2801" s="137"/>
      <c r="R2801" s="137"/>
      <c r="S2801" s="137"/>
      <c r="T2801" s="137"/>
      <c r="U2801" s="137"/>
      <c r="V2801" s="137"/>
      <c r="W2801" s="137"/>
      <c r="X2801" s="137"/>
      <c r="Y2801" s="137"/>
      <c r="Z2801" s="137"/>
      <c r="AA2801" s="137"/>
    </row>
    <row r="2802" spans="5:27" x14ac:dyDescent="0.35">
      <c r="E2802" s="137"/>
      <c r="F2802" s="137"/>
      <c r="G2802" s="190"/>
      <c r="H2802" s="137"/>
      <c r="I2802" s="137"/>
      <c r="J2802" s="137"/>
      <c r="M2802" s="143"/>
      <c r="N2802" s="143"/>
      <c r="O2802" s="143"/>
      <c r="P2802" s="143"/>
      <c r="Q2802" s="137"/>
      <c r="R2802" s="137"/>
      <c r="S2802" s="137"/>
      <c r="T2802" s="137"/>
      <c r="U2802" s="137"/>
      <c r="V2802" s="137"/>
      <c r="W2802" s="137"/>
      <c r="X2802" s="137"/>
      <c r="Y2802" s="137"/>
      <c r="Z2802" s="137"/>
      <c r="AA2802" s="137"/>
    </row>
    <row r="2803" spans="5:27" x14ac:dyDescent="0.35">
      <c r="E2803" s="137"/>
      <c r="F2803" s="137"/>
      <c r="G2803" s="190"/>
      <c r="H2803" s="137"/>
      <c r="I2803" s="137"/>
      <c r="J2803" s="137"/>
      <c r="M2803" s="143"/>
      <c r="N2803" s="143"/>
      <c r="O2803" s="143"/>
      <c r="P2803" s="143"/>
      <c r="Q2803" s="137"/>
      <c r="R2803" s="137"/>
      <c r="S2803" s="137"/>
      <c r="T2803" s="137"/>
      <c r="U2803" s="137"/>
      <c r="V2803" s="137"/>
      <c r="W2803" s="137"/>
      <c r="X2803" s="137"/>
      <c r="Y2803" s="137"/>
      <c r="Z2803" s="137"/>
      <c r="AA2803" s="137"/>
    </row>
    <row r="2804" spans="5:27" x14ac:dyDescent="0.35">
      <c r="E2804" s="137"/>
      <c r="F2804" s="137"/>
      <c r="G2804" s="190"/>
      <c r="H2804" s="137"/>
      <c r="I2804" s="137"/>
      <c r="J2804" s="137"/>
      <c r="M2804" s="143"/>
      <c r="N2804" s="143"/>
      <c r="O2804" s="143"/>
      <c r="P2804" s="143"/>
      <c r="Q2804" s="137"/>
      <c r="R2804" s="137"/>
      <c r="S2804" s="137"/>
      <c r="T2804" s="137"/>
      <c r="U2804" s="137"/>
      <c r="V2804" s="137"/>
      <c r="W2804" s="137"/>
      <c r="X2804" s="137"/>
      <c r="Y2804" s="137"/>
      <c r="Z2804" s="137"/>
      <c r="AA2804" s="137"/>
    </row>
    <row r="2805" spans="5:27" x14ac:dyDescent="0.35">
      <c r="E2805" s="137"/>
      <c r="F2805" s="137"/>
      <c r="G2805" s="190"/>
      <c r="H2805" s="137"/>
      <c r="I2805" s="137"/>
      <c r="J2805" s="137"/>
      <c r="M2805" s="143"/>
      <c r="N2805" s="143"/>
      <c r="O2805" s="143"/>
      <c r="P2805" s="143"/>
      <c r="Q2805" s="137"/>
      <c r="R2805" s="137"/>
      <c r="S2805" s="137"/>
      <c r="T2805" s="137"/>
      <c r="U2805" s="137"/>
      <c r="V2805" s="137"/>
      <c r="W2805" s="137"/>
      <c r="X2805" s="137"/>
      <c r="Y2805" s="137"/>
      <c r="Z2805" s="137"/>
      <c r="AA2805" s="137"/>
    </row>
    <row r="2806" spans="5:27" x14ac:dyDescent="0.35">
      <c r="E2806" s="137"/>
      <c r="F2806" s="137"/>
      <c r="G2806" s="190"/>
      <c r="H2806" s="137"/>
      <c r="I2806" s="137"/>
      <c r="J2806" s="137"/>
      <c r="M2806" s="143"/>
      <c r="N2806" s="143"/>
      <c r="O2806" s="143"/>
      <c r="P2806" s="143"/>
      <c r="Q2806" s="137"/>
      <c r="R2806" s="137"/>
      <c r="S2806" s="137"/>
      <c r="T2806" s="137"/>
      <c r="U2806" s="137"/>
      <c r="V2806" s="137"/>
      <c r="W2806" s="137"/>
      <c r="X2806" s="137"/>
      <c r="Y2806" s="137"/>
      <c r="Z2806" s="137"/>
      <c r="AA2806" s="137"/>
    </row>
    <row r="2807" spans="5:27" x14ac:dyDescent="0.35">
      <c r="E2807" s="137"/>
      <c r="F2807" s="137"/>
      <c r="G2807" s="190"/>
      <c r="H2807" s="137"/>
      <c r="I2807" s="137"/>
      <c r="J2807" s="137"/>
      <c r="M2807" s="143"/>
      <c r="N2807" s="143"/>
      <c r="O2807" s="143"/>
      <c r="P2807" s="143"/>
      <c r="Q2807" s="137"/>
      <c r="R2807" s="137"/>
      <c r="S2807" s="137"/>
      <c r="T2807" s="137"/>
      <c r="U2807" s="137"/>
      <c r="V2807" s="137"/>
      <c r="W2807" s="137"/>
      <c r="X2807" s="137"/>
      <c r="Y2807" s="137"/>
      <c r="Z2807" s="137"/>
      <c r="AA2807" s="137"/>
    </row>
    <row r="2808" spans="5:27" x14ac:dyDescent="0.35">
      <c r="E2808" s="137"/>
      <c r="F2808" s="137"/>
      <c r="G2808" s="190"/>
      <c r="H2808" s="137"/>
      <c r="I2808" s="137"/>
      <c r="J2808" s="137"/>
      <c r="M2808" s="143"/>
      <c r="N2808" s="143"/>
      <c r="O2808" s="143"/>
      <c r="P2808" s="143"/>
      <c r="Q2808" s="137"/>
      <c r="R2808" s="137"/>
      <c r="S2808" s="137"/>
      <c r="T2808" s="137"/>
      <c r="U2808" s="137"/>
      <c r="V2808" s="137"/>
      <c r="W2808" s="137"/>
      <c r="X2808" s="137"/>
      <c r="Y2808" s="137"/>
      <c r="Z2808" s="137"/>
      <c r="AA2808" s="137"/>
    </row>
    <row r="2809" spans="5:27" x14ac:dyDescent="0.35">
      <c r="E2809" s="137"/>
      <c r="F2809" s="137"/>
      <c r="G2809" s="190"/>
      <c r="H2809" s="137"/>
      <c r="I2809" s="137"/>
      <c r="J2809" s="137"/>
      <c r="M2809" s="143"/>
      <c r="N2809" s="143"/>
      <c r="O2809" s="143"/>
      <c r="P2809" s="143"/>
      <c r="Q2809" s="137"/>
      <c r="R2809" s="137"/>
      <c r="S2809" s="137"/>
      <c r="T2809" s="137"/>
      <c r="U2809" s="137"/>
      <c r="V2809" s="137"/>
      <c r="W2809" s="137"/>
      <c r="X2809" s="137"/>
      <c r="Y2809" s="137"/>
      <c r="Z2809" s="137"/>
      <c r="AA2809" s="137"/>
    </row>
    <row r="2810" spans="5:27" x14ac:dyDescent="0.35">
      <c r="E2810" s="137"/>
      <c r="F2810" s="137"/>
      <c r="G2810" s="190"/>
      <c r="H2810" s="137"/>
      <c r="I2810" s="137"/>
      <c r="J2810" s="137"/>
      <c r="M2810" s="143"/>
      <c r="N2810" s="143"/>
      <c r="O2810" s="143"/>
      <c r="P2810" s="143"/>
      <c r="Q2810" s="137"/>
      <c r="R2810" s="137"/>
      <c r="S2810" s="137"/>
      <c r="T2810" s="137"/>
      <c r="U2810" s="137"/>
      <c r="V2810" s="137"/>
      <c r="W2810" s="137"/>
      <c r="X2810" s="137"/>
      <c r="Y2810" s="137"/>
      <c r="Z2810" s="137"/>
      <c r="AA2810" s="137"/>
    </row>
    <row r="2811" spans="5:27" x14ac:dyDescent="0.35">
      <c r="E2811" s="137"/>
      <c r="F2811" s="137"/>
      <c r="G2811" s="190"/>
      <c r="H2811" s="137"/>
      <c r="I2811" s="137"/>
      <c r="J2811" s="137"/>
      <c r="M2811" s="143"/>
      <c r="N2811" s="143"/>
      <c r="O2811" s="143"/>
      <c r="P2811" s="143"/>
      <c r="Q2811" s="137"/>
      <c r="R2811" s="137"/>
      <c r="S2811" s="137"/>
      <c r="T2811" s="137"/>
      <c r="U2811" s="137"/>
      <c r="V2811" s="137"/>
      <c r="W2811" s="137"/>
      <c r="X2811" s="137"/>
      <c r="Y2811" s="137"/>
      <c r="Z2811" s="137"/>
      <c r="AA2811" s="137"/>
    </row>
    <row r="2812" spans="5:27" x14ac:dyDescent="0.35">
      <c r="E2812" s="137"/>
      <c r="F2812" s="137"/>
      <c r="G2812" s="190"/>
      <c r="H2812" s="137"/>
      <c r="I2812" s="137"/>
      <c r="J2812" s="137"/>
      <c r="M2812" s="143"/>
      <c r="N2812" s="143"/>
      <c r="O2812" s="143"/>
      <c r="P2812" s="143"/>
      <c r="Q2812" s="137"/>
      <c r="R2812" s="137"/>
      <c r="S2812" s="137"/>
      <c r="T2812" s="137"/>
      <c r="U2812" s="137"/>
      <c r="V2812" s="137"/>
      <c r="W2812" s="137"/>
      <c r="X2812" s="137"/>
      <c r="Y2812" s="137"/>
      <c r="Z2812" s="137"/>
      <c r="AA2812" s="137"/>
    </row>
    <row r="2813" spans="5:27" x14ac:dyDescent="0.35">
      <c r="E2813" s="137"/>
      <c r="F2813" s="137"/>
      <c r="G2813" s="190"/>
      <c r="H2813" s="137"/>
      <c r="I2813" s="137"/>
      <c r="J2813" s="137"/>
      <c r="M2813" s="143"/>
      <c r="N2813" s="143"/>
      <c r="O2813" s="143"/>
      <c r="P2813" s="143"/>
      <c r="Q2813" s="137"/>
      <c r="R2813" s="137"/>
      <c r="S2813" s="137"/>
      <c r="T2813" s="137"/>
      <c r="U2813" s="137"/>
      <c r="V2813" s="137"/>
      <c r="W2813" s="137"/>
      <c r="X2813" s="137"/>
      <c r="Y2813" s="137"/>
      <c r="Z2813" s="137"/>
      <c r="AA2813" s="137"/>
    </row>
    <row r="2814" spans="5:27" x14ac:dyDescent="0.35">
      <c r="E2814" s="137"/>
      <c r="F2814" s="137"/>
      <c r="G2814" s="190"/>
      <c r="H2814" s="137"/>
      <c r="I2814" s="137"/>
      <c r="J2814" s="137"/>
      <c r="M2814" s="143"/>
      <c r="N2814" s="143"/>
      <c r="O2814" s="143"/>
      <c r="P2814" s="143"/>
      <c r="Q2814" s="137"/>
      <c r="R2814" s="137"/>
      <c r="S2814" s="137"/>
      <c r="T2814" s="137"/>
      <c r="U2814" s="137"/>
      <c r="V2814" s="137"/>
      <c r="W2814" s="137"/>
      <c r="X2814" s="137"/>
      <c r="Y2814" s="137"/>
      <c r="Z2814" s="137"/>
      <c r="AA2814" s="137"/>
    </row>
    <row r="2815" spans="5:27" x14ac:dyDescent="0.35">
      <c r="E2815" s="137"/>
      <c r="F2815" s="137"/>
      <c r="G2815" s="190"/>
      <c r="H2815" s="137"/>
      <c r="I2815" s="137"/>
      <c r="J2815" s="137"/>
      <c r="M2815" s="143"/>
      <c r="N2815" s="143"/>
      <c r="O2815" s="143"/>
      <c r="P2815" s="143"/>
      <c r="Q2815" s="137"/>
      <c r="R2815" s="137"/>
      <c r="S2815" s="137"/>
      <c r="T2815" s="137"/>
      <c r="U2815" s="137"/>
      <c r="V2815" s="137"/>
      <c r="W2815" s="137"/>
      <c r="X2815" s="137"/>
      <c r="Y2815" s="137"/>
      <c r="Z2815" s="137"/>
      <c r="AA2815" s="137"/>
    </row>
    <row r="2816" spans="5:27" x14ac:dyDescent="0.35">
      <c r="E2816" s="137"/>
      <c r="F2816" s="137"/>
      <c r="G2816" s="190"/>
      <c r="H2816" s="137"/>
      <c r="I2816" s="137"/>
      <c r="J2816" s="137"/>
      <c r="M2816" s="143"/>
      <c r="N2816" s="143"/>
      <c r="O2816" s="143"/>
      <c r="P2816" s="143"/>
      <c r="Q2816" s="137"/>
      <c r="R2816" s="137"/>
      <c r="S2816" s="137"/>
      <c r="T2816" s="137"/>
      <c r="U2816" s="137"/>
      <c r="V2816" s="137"/>
      <c r="W2816" s="137"/>
      <c r="X2816" s="137"/>
      <c r="Y2816" s="137"/>
      <c r="Z2816" s="137"/>
      <c r="AA2816" s="137"/>
    </row>
    <row r="2817" spans="5:27" x14ac:dyDescent="0.35">
      <c r="E2817" s="137"/>
      <c r="F2817" s="137"/>
      <c r="G2817" s="190"/>
      <c r="H2817" s="137"/>
      <c r="I2817" s="137"/>
      <c r="J2817" s="137"/>
      <c r="M2817" s="143"/>
      <c r="N2817" s="143"/>
      <c r="O2817" s="143"/>
      <c r="P2817" s="143"/>
      <c r="Q2817" s="137"/>
      <c r="R2817" s="137"/>
      <c r="S2817" s="137"/>
      <c r="T2817" s="137"/>
      <c r="U2817" s="137"/>
      <c r="V2817" s="137"/>
      <c r="W2817" s="137"/>
      <c r="X2817" s="137"/>
      <c r="Y2817" s="137"/>
      <c r="Z2817" s="137"/>
      <c r="AA2817" s="137"/>
    </row>
    <row r="2818" spans="5:27" x14ac:dyDescent="0.35">
      <c r="E2818" s="137"/>
      <c r="F2818" s="137"/>
      <c r="G2818" s="190"/>
      <c r="H2818" s="137"/>
      <c r="I2818" s="137"/>
      <c r="J2818" s="137"/>
      <c r="M2818" s="143"/>
      <c r="N2818" s="143"/>
      <c r="O2818" s="143"/>
      <c r="P2818" s="143"/>
      <c r="Q2818" s="137"/>
      <c r="R2818" s="137"/>
      <c r="S2818" s="137"/>
      <c r="T2818" s="137"/>
      <c r="U2818" s="137"/>
      <c r="V2818" s="137"/>
      <c r="W2818" s="137"/>
      <c r="X2818" s="137"/>
      <c r="Y2818" s="137"/>
      <c r="Z2818" s="137"/>
      <c r="AA2818" s="137"/>
    </row>
    <row r="2819" spans="5:27" x14ac:dyDescent="0.35">
      <c r="E2819" s="137"/>
      <c r="F2819" s="137"/>
      <c r="G2819" s="190"/>
      <c r="H2819" s="137"/>
      <c r="I2819" s="137"/>
      <c r="J2819" s="137"/>
      <c r="M2819" s="143"/>
      <c r="N2819" s="143"/>
      <c r="O2819" s="143"/>
      <c r="P2819" s="143"/>
      <c r="Q2819" s="137"/>
      <c r="R2819" s="137"/>
      <c r="S2819" s="137"/>
      <c r="T2819" s="137"/>
      <c r="U2819" s="137"/>
      <c r="V2819" s="137"/>
      <c r="W2819" s="137"/>
      <c r="X2819" s="137"/>
      <c r="Y2819" s="137"/>
      <c r="Z2819" s="137"/>
      <c r="AA2819" s="137"/>
    </row>
    <row r="2820" spans="5:27" x14ac:dyDescent="0.35">
      <c r="E2820" s="137"/>
      <c r="F2820" s="137"/>
      <c r="G2820" s="190"/>
      <c r="H2820" s="137"/>
      <c r="I2820" s="137"/>
      <c r="J2820" s="137"/>
      <c r="M2820" s="143"/>
      <c r="N2820" s="143"/>
      <c r="O2820" s="143"/>
      <c r="P2820" s="143"/>
      <c r="Q2820" s="137"/>
      <c r="R2820" s="137"/>
      <c r="S2820" s="137"/>
      <c r="T2820" s="137"/>
      <c r="U2820" s="137"/>
      <c r="V2820" s="137"/>
      <c r="W2820" s="137"/>
      <c r="X2820" s="137"/>
      <c r="Y2820" s="137"/>
      <c r="Z2820" s="137"/>
      <c r="AA2820" s="137"/>
    </row>
    <row r="2821" spans="5:27" x14ac:dyDescent="0.35">
      <c r="E2821" s="137"/>
      <c r="F2821" s="137"/>
      <c r="G2821" s="190"/>
      <c r="H2821" s="137"/>
      <c r="I2821" s="137"/>
      <c r="J2821" s="137"/>
      <c r="M2821" s="143"/>
      <c r="N2821" s="143"/>
      <c r="O2821" s="143"/>
      <c r="P2821" s="143"/>
      <c r="Q2821" s="137"/>
      <c r="R2821" s="137"/>
      <c r="S2821" s="137"/>
      <c r="T2821" s="137"/>
      <c r="U2821" s="137"/>
      <c r="V2821" s="137"/>
      <c r="W2821" s="137"/>
      <c r="X2821" s="137"/>
      <c r="Y2821" s="137"/>
      <c r="Z2821" s="137"/>
      <c r="AA2821" s="137"/>
    </row>
    <row r="2822" spans="5:27" x14ac:dyDescent="0.35">
      <c r="E2822" s="137"/>
      <c r="F2822" s="137"/>
      <c r="G2822" s="190"/>
      <c r="H2822" s="137"/>
      <c r="I2822" s="137"/>
      <c r="J2822" s="137"/>
      <c r="M2822" s="143"/>
      <c r="N2822" s="143"/>
      <c r="O2822" s="143"/>
      <c r="P2822" s="143"/>
      <c r="Q2822" s="137"/>
      <c r="R2822" s="137"/>
      <c r="S2822" s="137"/>
      <c r="T2822" s="137"/>
      <c r="U2822" s="137"/>
      <c r="V2822" s="137"/>
      <c r="W2822" s="137"/>
      <c r="X2822" s="137"/>
      <c r="Y2822" s="137"/>
      <c r="Z2822" s="137"/>
      <c r="AA2822" s="137"/>
    </row>
    <row r="2823" spans="5:27" x14ac:dyDescent="0.35">
      <c r="E2823" s="137"/>
      <c r="F2823" s="137"/>
      <c r="G2823" s="190"/>
      <c r="H2823" s="137"/>
      <c r="I2823" s="137"/>
      <c r="J2823" s="137"/>
      <c r="M2823" s="143"/>
      <c r="N2823" s="143"/>
      <c r="O2823" s="143"/>
      <c r="P2823" s="143"/>
      <c r="Q2823" s="137"/>
      <c r="R2823" s="137"/>
      <c r="S2823" s="137"/>
      <c r="T2823" s="137"/>
      <c r="U2823" s="137"/>
      <c r="V2823" s="137"/>
      <c r="W2823" s="137"/>
      <c r="X2823" s="137"/>
      <c r="Y2823" s="137"/>
      <c r="Z2823" s="137"/>
      <c r="AA2823" s="137"/>
    </row>
    <row r="2824" spans="5:27" x14ac:dyDescent="0.35">
      <c r="E2824" s="137"/>
      <c r="F2824" s="137"/>
      <c r="G2824" s="190"/>
      <c r="H2824" s="137"/>
      <c r="I2824" s="137"/>
      <c r="J2824" s="137"/>
      <c r="M2824" s="143"/>
      <c r="N2824" s="143"/>
      <c r="O2824" s="143"/>
      <c r="P2824" s="143"/>
      <c r="Q2824" s="137"/>
      <c r="R2824" s="137"/>
      <c r="S2824" s="137"/>
      <c r="T2824" s="137"/>
      <c r="U2824" s="137"/>
      <c r="V2824" s="137"/>
      <c r="W2824" s="137"/>
      <c r="X2824" s="137"/>
      <c r="Y2824" s="137"/>
      <c r="Z2824" s="137"/>
      <c r="AA2824" s="137"/>
    </row>
    <row r="2825" spans="5:27" x14ac:dyDescent="0.35">
      <c r="E2825" s="137"/>
      <c r="F2825" s="137"/>
      <c r="G2825" s="190"/>
      <c r="H2825" s="137"/>
      <c r="I2825" s="137"/>
      <c r="J2825" s="137"/>
      <c r="M2825" s="143"/>
      <c r="N2825" s="143"/>
      <c r="O2825" s="143"/>
      <c r="P2825" s="143"/>
      <c r="Q2825" s="137"/>
      <c r="R2825" s="137"/>
      <c r="S2825" s="137"/>
      <c r="T2825" s="137"/>
      <c r="U2825" s="137"/>
      <c r="V2825" s="137"/>
      <c r="W2825" s="137"/>
      <c r="X2825" s="137"/>
      <c r="Y2825" s="137"/>
      <c r="Z2825" s="137"/>
      <c r="AA2825" s="137"/>
    </row>
    <row r="2826" spans="5:27" x14ac:dyDescent="0.35">
      <c r="E2826" s="137"/>
      <c r="F2826" s="137"/>
      <c r="G2826" s="190"/>
      <c r="H2826" s="137"/>
      <c r="I2826" s="137"/>
      <c r="J2826" s="137"/>
      <c r="M2826" s="143"/>
      <c r="N2826" s="143"/>
      <c r="O2826" s="143"/>
      <c r="P2826" s="143"/>
      <c r="Q2826" s="137"/>
      <c r="R2826" s="137"/>
      <c r="S2826" s="137"/>
      <c r="T2826" s="137"/>
      <c r="U2826" s="137"/>
      <c r="V2826" s="137"/>
      <c r="W2826" s="137"/>
      <c r="X2826" s="137"/>
      <c r="Y2826" s="137"/>
      <c r="Z2826" s="137"/>
      <c r="AA2826" s="137"/>
    </row>
    <row r="2827" spans="5:27" x14ac:dyDescent="0.35">
      <c r="E2827" s="137"/>
      <c r="F2827" s="137"/>
      <c r="G2827" s="190"/>
      <c r="H2827" s="137"/>
      <c r="I2827" s="137"/>
      <c r="J2827" s="137"/>
      <c r="M2827" s="143"/>
      <c r="N2827" s="143"/>
      <c r="O2827" s="143"/>
      <c r="P2827" s="143"/>
      <c r="Q2827" s="137"/>
      <c r="R2827" s="137"/>
      <c r="S2827" s="137"/>
      <c r="T2827" s="137"/>
      <c r="U2827" s="137"/>
      <c r="V2827" s="137"/>
      <c r="W2827" s="137"/>
      <c r="X2827" s="137"/>
      <c r="Y2827" s="137"/>
      <c r="Z2827" s="137"/>
      <c r="AA2827" s="137"/>
    </row>
    <row r="2828" spans="5:27" x14ac:dyDescent="0.35">
      <c r="E2828" s="137"/>
      <c r="F2828" s="137"/>
      <c r="G2828" s="190"/>
      <c r="H2828" s="137"/>
      <c r="I2828" s="137"/>
      <c r="J2828" s="137"/>
      <c r="M2828" s="143"/>
      <c r="N2828" s="143"/>
      <c r="O2828" s="143"/>
      <c r="P2828" s="143"/>
      <c r="Q2828" s="137"/>
      <c r="R2828" s="137"/>
      <c r="S2828" s="137"/>
      <c r="T2828" s="137"/>
      <c r="U2828" s="137"/>
      <c r="V2828" s="137"/>
      <c r="W2828" s="137"/>
      <c r="X2828" s="137"/>
      <c r="Y2828" s="137"/>
      <c r="Z2828" s="137"/>
      <c r="AA2828" s="137"/>
    </row>
    <row r="2829" spans="5:27" x14ac:dyDescent="0.35">
      <c r="E2829" s="137"/>
      <c r="F2829" s="137"/>
      <c r="G2829" s="190"/>
      <c r="H2829" s="137"/>
      <c r="I2829" s="137"/>
      <c r="J2829" s="137"/>
      <c r="M2829" s="143"/>
      <c r="N2829" s="143"/>
      <c r="O2829" s="143"/>
      <c r="P2829" s="143"/>
      <c r="Q2829" s="137"/>
      <c r="R2829" s="137"/>
      <c r="S2829" s="137"/>
      <c r="T2829" s="137"/>
      <c r="U2829" s="137"/>
      <c r="V2829" s="137"/>
      <c r="W2829" s="137"/>
      <c r="X2829" s="137"/>
      <c r="Y2829" s="137"/>
      <c r="Z2829" s="137"/>
      <c r="AA2829" s="137"/>
    </row>
    <row r="2830" spans="5:27" x14ac:dyDescent="0.35">
      <c r="E2830" s="137"/>
      <c r="F2830" s="137"/>
      <c r="G2830" s="190"/>
      <c r="H2830" s="137"/>
      <c r="I2830" s="137"/>
      <c r="J2830" s="137"/>
      <c r="M2830" s="143"/>
      <c r="N2830" s="143"/>
      <c r="O2830" s="143"/>
      <c r="P2830" s="143"/>
      <c r="Q2830" s="137"/>
      <c r="R2830" s="137"/>
      <c r="S2830" s="137"/>
      <c r="T2830" s="137"/>
      <c r="U2830" s="137"/>
      <c r="V2830" s="137"/>
      <c r="W2830" s="137"/>
      <c r="X2830" s="137"/>
      <c r="Y2830" s="137"/>
      <c r="Z2830" s="137"/>
      <c r="AA2830" s="137"/>
    </row>
    <row r="2831" spans="5:27" x14ac:dyDescent="0.35">
      <c r="E2831" s="137"/>
      <c r="F2831" s="137"/>
      <c r="G2831" s="190"/>
      <c r="H2831" s="137"/>
      <c r="I2831" s="137"/>
      <c r="J2831" s="137"/>
      <c r="M2831" s="143"/>
      <c r="N2831" s="143"/>
      <c r="O2831" s="143"/>
      <c r="P2831" s="143"/>
      <c r="Q2831" s="137"/>
      <c r="R2831" s="137"/>
      <c r="S2831" s="137"/>
      <c r="T2831" s="137"/>
      <c r="U2831" s="137"/>
      <c r="V2831" s="137"/>
      <c r="W2831" s="137"/>
      <c r="X2831" s="137"/>
      <c r="Y2831" s="137"/>
      <c r="Z2831" s="137"/>
      <c r="AA2831" s="137"/>
    </row>
    <row r="2832" spans="5:27" x14ac:dyDescent="0.35">
      <c r="E2832" s="137"/>
      <c r="F2832" s="137"/>
      <c r="G2832" s="190"/>
      <c r="H2832" s="137"/>
      <c r="I2832" s="137"/>
      <c r="J2832" s="137"/>
      <c r="M2832" s="143"/>
      <c r="N2832" s="143"/>
      <c r="O2832" s="143"/>
      <c r="P2832" s="143"/>
      <c r="Q2832" s="137"/>
      <c r="R2832" s="137"/>
      <c r="S2832" s="137"/>
      <c r="T2832" s="137"/>
      <c r="U2832" s="137"/>
      <c r="V2832" s="137"/>
      <c r="W2832" s="137"/>
      <c r="X2832" s="137"/>
      <c r="Y2832" s="137"/>
      <c r="Z2832" s="137"/>
      <c r="AA2832" s="137"/>
    </row>
  </sheetData>
  <autoFilter ref="A3:BX35" xr:uid="{00000000-0001-0000-1100-000000000000}"/>
  <mergeCells count="9">
    <mergeCell ref="BS1:BY1"/>
    <mergeCell ref="AO2:AQ2"/>
    <mergeCell ref="E1:K1"/>
    <mergeCell ref="AH2:AN2"/>
    <mergeCell ref="AW2:BH2"/>
    <mergeCell ref="BI2:BM2"/>
    <mergeCell ref="Q1:AB1"/>
    <mergeCell ref="AH1:AQ1"/>
    <mergeCell ref="AW1:BM1"/>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FAAEB-B685-46D7-A226-6E3E73177885}">
  <dimension ref="A1"/>
  <sheetViews>
    <sheetView workbookViewId="0"/>
  </sheetViews>
  <sheetFormatPr defaultRowHeight="15.5" x14ac:dyDescent="0.3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79998168889431442"/>
  </sheetPr>
  <dimension ref="B2:AB51"/>
  <sheetViews>
    <sheetView zoomScale="50" workbookViewId="0">
      <selection activeCell="F45" sqref="F45"/>
    </sheetView>
  </sheetViews>
  <sheetFormatPr defaultColWidth="8.83203125" defaultRowHeight="15.5" x14ac:dyDescent="0.35"/>
  <cols>
    <col min="2" max="2" width="25.5" bestFit="1" customWidth="1"/>
    <col min="3" max="4" width="14" customWidth="1"/>
  </cols>
  <sheetData>
    <row r="2" spans="2:28" x14ac:dyDescent="0.35">
      <c r="B2" s="103" t="s">
        <v>2522</v>
      </c>
      <c r="N2" s="103" t="s">
        <v>2523</v>
      </c>
      <c r="AB2" s="103" t="s">
        <v>2524</v>
      </c>
    </row>
    <row r="21" spans="2:28" x14ac:dyDescent="0.35">
      <c r="B21" s="103" t="s">
        <v>2525</v>
      </c>
    </row>
    <row r="24" spans="2:28" x14ac:dyDescent="0.35">
      <c r="N24" s="103" t="s">
        <v>2526</v>
      </c>
      <c r="AB24" s="103" t="s">
        <v>2527</v>
      </c>
    </row>
    <row r="51" spans="14:14" x14ac:dyDescent="0.35">
      <c r="N51" s="103" t="s">
        <v>2528</v>
      </c>
    </row>
  </sheetData>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1917B-8B88-469D-80DD-44B6C7058E18}">
  <sheetPr>
    <tabColor theme="7" tint="0.79998168889431442"/>
  </sheetPr>
  <dimension ref="A1:DM11"/>
  <sheetViews>
    <sheetView zoomScaleNormal="100" workbookViewId="0">
      <selection activeCell="DS24" sqref="DS24"/>
    </sheetView>
  </sheetViews>
  <sheetFormatPr defaultColWidth="9" defaultRowHeight="14.5" x14ac:dyDescent="0.35"/>
  <cols>
    <col min="1" max="16384" width="9" style="187"/>
  </cols>
  <sheetData>
    <row r="1" spans="1:117" x14ac:dyDescent="0.35">
      <c r="A1" s="188" t="s">
        <v>2529</v>
      </c>
      <c r="B1" s="188" t="s">
        <v>2530</v>
      </c>
      <c r="C1" s="188" t="s">
        <v>2531</v>
      </c>
      <c r="D1" s="188" t="s">
        <v>2532</v>
      </c>
      <c r="E1" s="188" t="s">
        <v>2533</v>
      </c>
      <c r="F1" s="188" t="s">
        <v>2534</v>
      </c>
      <c r="G1" s="188" t="s">
        <v>2535</v>
      </c>
      <c r="H1" s="188" t="s">
        <v>2536</v>
      </c>
      <c r="I1" s="188" t="s">
        <v>2537</v>
      </c>
      <c r="J1" s="188" t="s">
        <v>2538</v>
      </c>
      <c r="K1" s="188" t="s">
        <v>2539</v>
      </c>
      <c r="L1" s="188" t="s">
        <v>2540</v>
      </c>
      <c r="M1" s="188" t="s">
        <v>2541</v>
      </c>
      <c r="N1" s="188" t="s">
        <v>2542</v>
      </c>
      <c r="O1" s="188" t="s">
        <v>2543</v>
      </c>
      <c r="P1" s="188" t="s">
        <v>2544</v>
      </c>
      <c r="Q1" s="188" t="s">
        <v>2545</v>
      </c>
      <c r="R1" s="188" t="s">
        <v>2546</v>
      </c>
      <c r="S1" s="188" t="s">
        <v>2547</v>
      </c>
      <c r="T1" s="188" t="s">
        <v>2548</v>
      </c>
      <c r="U1" s="188" t="s">
        <v>2549</v>
      </c>
      <c r="V1" s="188" t="s">
        <v>2550</v>
      </c>
      <c r="W1" s="188" t="s">
        <v>2551</v>
      </c>
      <c r="X1" s="188" t="s">
        <v>2552</v>
      </c>
      <c r="Y1" s="188" t="s">
        <v>2553</v>
      </c>
      <c r="Z1" s="188" t="s">
        <v>2554</v>
      </c>
      <c r="AA1" s="188" t="s">
        <v>2555</v>
      </c>
      <c r="AB1" s="188" t="s">
        <v>2556</v>
      </c>
      <c r="AC1" s="188" t="s">
        <v>2557</v>
      </c>
      <c r="AD1" s="188" t="s">
        <v>2558</v>
      </c>
      <c r="AE1" s="188" t="s">
        <v>2559</v>
      </c>
      <c r="AF1" s="188" t="s">
        <v>2560</v>
      </c>
      <c r="AG1" s="188" t="s">
        <v>2561</v>
      </c>
      <c r="AH1" s="188" t="s">
        <v>2562</v>
      </c>
      <c r="AI1" s="188" t="s">
        <v>2563</v>
      </c>
      <c r="AJ1" s="188" t="s">
        <v>2564</v>
      </c>
      <c r="AK1" s="188" t="s">
        <v>2565</v>
      </c>
      <c r="AL1" s="188" t="s">
        <v>2566</v>
      </c>
      <c r="AM1" s="188" t="s">
        <v>2567</v>
      </c>
      <c r="AN1" s="188" t="s">
        <v>2568</v>
      </c>
      <c r="AO1" s="188" t="s">
        <v>2569</v>
      </c>
      <c r="AP1" s="188" t="s">
        <v>2570</v>
      </c>
      <c r="AQ1" s="188" t="s">
        <v>2571</v>
      </c>
      <c r="AR1" s="188" t="s">
        <v>2572</v>
      </c>
      <c r="AS1" s="188" t="s">
        <v>2573</v>
      </c>
      <c r="AT1" s="188" t="s">
        <v>2574</v>
      </c>
      <c r="AU1" s="188" t="s">
        <v>2575</v>
      </c>
      <c r="AV1" s="188" t="s">
        <v>2576</v>
      </c>
      <c r="AW1" s="188" t="s">
        <v>2577</v>
      </c>
      <c r="AX1" s="188" t="s">
        <v>2578</v>
      </c>
      <c r="AY1" s="188" t="s">
        <v>2579</v>
      </c>
      <c r="AZ1" s="188" t="s">
        <v>2580</v>
      </c>
      <c r="BA1" s="188" t="s">
        <v>2581</v>
      </c>
      <c r="BB1" s="188" t="s">
        <v>2582</v>
      </c>
      <c r="BC1" s="188" t="s">
        <v>2583</v>
      </c>
      <c r="BD1" s="188" t="s">
        <v>2584</v>
      </c>
      <c r="BE1" s="188" t="s">
        <v>2585</v>
      </c>
      <c r="BF1" s="188" t="s">
        <v>2586</v>
      </c>
      <c r="BG1" s="188" t="s">
        <v>2587</v>
      </c>
      <c r="BH1" s="188" t="s">
        <v>2588</v>
      </c>
      <c r="BI1" s="188" t="s">
        <v>2589</v>
      </c>
      <c r="BJ1" s="188" t="s">
        <v>2590</v>
      </c>
      <c r="BK1" s="188" t="s">
        <v>2591</v>
      </c>
      <c r="BL1" s="188" t="s">
        <v>2592</v>
      </c>
      <c r="BM1" s="188" t="s">
        <v>2593</v>
      </c>
      <c r="BN1" s="188" t="s">
        <v>2594</v>
      </c>
      <c r="BO1" s="188" t="s">
        <v>2595</v>
      </c>
      <c r="BP1" s="188" t="s">
        <v>2596</v>
      </c>
      <c r="BQ1" s="188" t="s">
        <v>2597</v>
      </c>
      <c r="BR1" s="188" t="s">
        <v>2598</v>
      </c>
      <c r="BS1" s="188" t="s">
        <v>2599</v>
      </c>
      <c r="BT1" s="188" t="s">
        <v>2600</v>
      </c>
      <c r="BU1" s="188" t="s">
        <v>2601</v>
      </c>
      <c r="BV1" s="188" t="s">
        <v>2602</v>
      </c>
      <c r="BW1" s="188" t="s">
        <v>2603</v>
      </c>
      <c r="BX1" s="188" t="s">
        <v>2604</v>
      </c>
      <c r="BY1" s="188" t="s">
        <v>2605</v>
      </c>
      <c r="BZ1" s="188" t="s">
        <v>2606</v>
      </c>
      <c r="CA1" s="188" t="s">
        <v>2607</v>
      </c>
      <c r="CB1" s="188" t="s">
        <v>2608</v>
      </c>
      <c r="CC1" s="188" t="s">
        <v>2609</v>
      </c>
      <c r="CD1" s="188" t="s">
        <v>2610</v>
      </c>
      <c r="CE1" s="188" t="s">
        <v>2611</v>
      </c>
      <c r="CF1" s="188" t="s">
        <v>2612</v>
      </c>
      <c r="CG1" s="188" t="s">
        <v>2613</v>
      </c>
      <c r="CH1" s="188" t="s">
        <v>2614</v>
      </c>
      <c r="CI1" s="188" t="s">
        <v>2615</v>
      </c>
      <c r="CJ1" s="188" t="s">
        <v>2616</v>
      </c>
      <c r="CK1" s="188" t="s">
        <v>2617</v>
      </c>
      <c r="CL1" s="188" t="s">
        <v>2618</v>
      </c>
      <c r="CM1" s="188" t="s">
        <v>2619</v>
      </c>
      <c r="CN1" s="188" t="s">
        <v>2620</v>
      </c>
      <c r="CO1" s="188" t="s">
        <v>2621</v>
      </c>
      <c r="CP1" s="188" t="s">
        <v>2622</v>
      </c>
      <c r="CQ1" s="188" t="s">
        <v>2623</v>
      </c>
      <c r="CR1" s="188" t="s">
        <v>2624</v>
      </c>
      <c r="CS1" s="188" t="s">
        <v>2625</v>
      </c>
      <c r="CT1" s="188" t="s">
        <v>2626</v>
      </c>
      <c r="CU1" s="188" t="s">
        <v>2627</v>
      </c>
      <c r="CV1" s="188" t="s">
        <v>2628</v>
      </c>
      <c r="CW1" s="188" t="s">
        <v>2629</v>
      </c>
      <c r="CX1" s="188" t="s">
        <v>2630</v>
      </c>
      <c r="CY1" s="188" t="s">
        <v>2631</v>
      </c>
      <c r="CZ1" s="188" t="s">
        <v>2632</v>
      </c>
      <c r="DA1" s="188" t="s">
        <v>2633</v>
      </c>
      <c r="DB1" s="188" t="s">
        <v>2634</v>
      </c>
      <c r="DC1" s="188" t="s">
        <v>2635</v>
      </c>
      <c r="DD1" s="188" t="s">
        <v>2636</v>
      </c>
      <c r="DE1" s="188" t="s">
        <v>2637</v>
      </c>
      <c r="DF1" s="188" t="s">
        <v>2638</v>
      </c>
      <c r="DG1" s="188" t="s">
        <v>2639</v>
      </c>
      <c r="DH1" s="188" t="s">
        <v>2640</v>
      </c>
      <c r="DI1" s="188" t="s">
        <v>2641</v>
      </c>
      <c r="DJ1" s="188" t="s">
        <v>2642</v>
      </c>
      <c r="DK1" s="188" t="s">
        <v>2643</v>
      </c>
      <c r="DL1" s="188" t="s">
        <v>2644</v>
      </c>
      <c r="DM1" s="188" t="s">
        <v>2645</v>
      </c>
    </row>
    <row r="2" spans="1:117" ht="15.5" x14ac:dyDescent="0.35">
      <c r="A2" s="188" t="s">
        <v>2646</v>
      </c>
      <c r="B2" s="189">
        <v>0.42499999999999999</v>
      </c>
      <c r="C2" s="189">
        <v>0.85</v>
      </c>
      <c r="D2" s="189">
        <v>0.78125</v>
      </c>
      <c r="E2" s="189">
        <v>0.6171875</v>
      </c>
      <c r="F2" s="189">
        <v>0.96875</v>
      </c>
      <c r="G2" s="189">
        <v>0.30625000000000002</v>
      </c>
      <c r="H2" s="189">
        <v>0.79374999999999996</v>
      </c>
      <c r="I2" s="189">
        <v>0.61875000000000002</v>
      </c>
      <c r="J2" s="189">
        <v>0.77500000000000002</v>
      </c>
      <c r="K2" s="189">
        <v>0.70178569999999996</v>
      </c>
      <c r="L2" s="189">
        <v>0.80625000000000002</v>
      </c>
      <c r="M2" s="189">
        <v>0.69374999999999998</v>
      </c>
      <c r="N2" s="189">
        <v>0.38958330000000002</v>
      </c>
      <c r="O2" s="189">
        <v>0.50468749999999996</v>
      </c>
      <c r="P2" s="189">
        <v>0.24374999999999999</v>
      </c>
      <c r="Q2" s="189">
        <v>0.91874999999999996</v>
      </c>
      <c r="R2" s="189">
        <v>0.6</v>
      </c>
      <c r="S2" s="189">
        <v>0.36875000000000002</v>
      </c>
      <c r="T2" s="189">
        <v>0.50624999999999998</v>
      </c>
      <c r="U2" s="189">
        <v>0.48749999999999999</v>
      </c>
      <c r="V2" s="189">
        <v>0.42821690000000001</v>
      </c>
      <c r="W2" s="189">
        <v>0.63124999999999998</v>
      </c>
      <c r="X2" s="189">
        <v>0.61250000000000004</v>
      </c>
      <c r="Y2" s="189">
        <v>0.76875000000000004</v>
      </c>
      <c r="Z2" s="189">
        <v>0.46250000000000002</v>
      </c>
      <c r="AA2" s="189">
        <v>0.80625000000000002</v>
      </c>
      <c r="AB2" s="189">
        <v>0.61875000000000002</v>
      </c>
      <c r="AC2" s="189">
        <v>0.87187499999999996</v>
      </c>
      <c r="AD2" s="189">
        <v>0.85</v>
      </c>
      <c r="AE2" s="189">
        <v>0.54374999999999996</v>
      </c>
      <c r="AF2" s="189">
        <v>0.625</v>
      </c>
      <c r="AG2" s="189">
        <v>0.50624999999999998</v>
      </c>
      <c r="AH2" s="189">
        <v>0.50624999999999998</v>
      </c>
      <c r="AI2" s="189">
        <v>0.79374999999999996</v>
      </c>
      <c r="AJ2" s="189">
        <v>0.625</v>
      </c>
      <c r="AK2" s="189">
        <v>0.38124999999999998</v>
      </c>
      <c r="AL2" s="189">
        <v>0.79374999999999996</v>
      </c>
      <c r="AM2" s="189">
        <v>0.76249999999999996</v>
      </c>
      <c r="AN2" s="189">
        <v>0.98124999999999996</v>
      </c>
      <c r="AO2" s="189">
        <v>0.95625000000000004</v>
      </c>
      <c r="AP2" s="189">
        <v>0.94374999999999998</v>
      </c>
      <c r="AQ2" s="189">
        <v>0.85</v>
      </c>
      <c r="AR2" s="189">
        <v>0.81874999999999998</v>
      </c>
      <c r="AS2" s="189">
        <v>0.52500000000000002</v>
      </c>
      <c r="AT2" s="189">
        <v>0.72812500000000002</v>
      </c>
      <c r="AU2" s="189">
        <v>0.64517049999999998</v>
      </c>
      <c r="AV2" s="189">
        <v>0.64375000000000004</v>
      </c>
      <c r="AW2" s="189">
        <v>0.83750000000000002</v>
      </c>
      <c r="AX2" s="189">
        <v>0.55000000000000004</v>
      </c>
      <c r="AY2" s="189">
        <v>0.51875000000000004</v>
      </c>
      <c r="AZ2" s="189">
        <v>0.41249999999999998</v>
      </c>
      <c r="BA2" s="189">
        <v>0.4375</v>
      </c>
      <c r="BB2" s="189">
        <v>0.63749999999999996</v>
      </c>
      <c r="BC2" s="189">
        <v>0.57499999999999996</v>
      </c>
      <c r="BD2" s="189">
        <v>1</v>
      </c>
      <c r="BE2" s="189">
        <v>0.56382980000000005</v>
      </c>
      <c r="BF2" s="189">
        <v>0.78723410000000005</v>
      </c>
      <c r="BG2" s="189">
        <v>0.89361699999999999</v>
      </c>
      <c r="BH2" s="189">
        <v>0.78723410000000005</v>
      </c>
      <c r="BI2" s="189">
        <v>0.95744680000000004</v>
      </c>
      <c r="BJ2" s="189">
        <v>0.88297870000000001</v>
      </c>
      <c r="BK2" s="189">
        <v>0.79787240000000004</v>
      </c>
      <c r="BL2" s="189">
        <v>0.88297870000000001</v>
      </c>
      <c r="BM2" s="189">
        <v>0.42553190000000002</v>
      </c>
      <c r="BN2" s="189">
        <v>0.76524820000000005</v>
      </c>
      <c r="BO2" s="189">
        <v>0.64687499999999998</v>
      </c>
      <c r="BP2" s="189">
        <v>0.25</v>
      </c>
      <c r="BQ2" s="189">
        <v>0.4895833</v>
      </c>
      <c r="BR2" s="189">
        <v>0.80625000000000002</v>
      </c>
      <c r="BS2" s="189">
        <v>0.41249999999999998</v>
      </c>
      <c r="BT2" s="189">
        <v>0.91562500000000002</v>
      </c>
      <c r="BU2" s="189">
        <v>0.5730769</v>
      </c>
      <c r="BV2" s="189">
        <v>8.6249999999999993E-2</v>
      </c>
      <c r="BW2" s="189">
        <v>0.23586960000000001</v>
      </c>
      <c r="BX2" s="189">
        <v>4.2228300000000003E-2</v>
      </c>
      <c r="BY2" s="189">
        <v>0.78749999999999998</v>
      </c>
      <c r="BZ2" s="189">
        <v>0.82499999999999996</v>
      </c>
      <c r="CA2" s="189">
        <v>0.55000000000000004</v>
      </c>
      <c r="CB2" s="189">
        <v>0.71964289999999997</v>
      </c>
      <c r="CC2" s="189">
        <v>0.95625000000000004</v>
      </c>
      <c r="CD2" s="189">
        <v>0.97083339999999996</v>
      </c>
      <c r="CE2" s="189">
        <v>0.89609369999999999</v>
      </c>
      <c r="CF2" s="189">
        <v>0.71250000000000002</v>
      </c>
      <c r="CG2" s="189">
        <v>0.85</v>
      </c>
      <c r="CH2" s="189">
        <v>0.33124999999999999</v>
      </c>
      <c r="CI2" s="189">
        <v>0.33124999999999999</v>
      </c>
      <c r="CJ2" s="189">
        <v>0.77715520000000005</v>
      </c>
      <c r="CK2" s="189">
        <v>0.86875000000000002</v>
      </c>
      <c r="CL2" s="189">
        <v>0.92500000000000004</v>
      </c>
      <c r="CM2" s="189">
        <v>0.83750000000000002</v>
      </c>
      <c r="CN2" s="189">
        <v>0.88749999999999996</v>
      </c>
      <c r="CO2" s="189">
        <v>0.55625000000000002</v>
      </c>
      <c r="CP2" s="189">
        <v>0.99375000000000002</v>
      </c>
      <c r="CQ2" s="189">
        <v>0.43125000000000002</v>
      </c>
      <c r="CR2" s="189">
        <v>0.99375000000000002</v>
      </c>
      <c r="CS2" s="189">
        <v>0.91249999999999998</v>
      </c>
      <c r="CT2" s="189">
        <v>0.86250000000000004</v>
      </c>
      <c r="CU2" s="189">
        <v>0.9</v>
      </c>
      <c r="CV2" s="189">
        <v>0.76875000000000004</v>
      </c>
      <c r="CW2" s="189">
        <v>0.61250000000000004</v>
      </c>
      <c r="CX2" s="189">
        <v>0.75624999999999998</v>
      </c>
      <c r="CY2" s="189">
        <v>0.50624999999999998</v>
      </c>
      <c r="CZ2" s="189">
        <v>0.81712960000000001</v>
      </c>
      <c r="DA2" s="189">
        <v>0.4</v>
      </c>
      <c r="DB2" s="189">
        <v>0.57499999999999996</v>
      </c>
      <c r="DC2" s="189">
        <v>0.46875</v>
      </c>
      <c r="DD2" s="189">
        <v>0.27500000000000002</v>
      </c>
      <c r="DE2" s="189">
        <v>0.86875000000000002</v>
      </c>
      <c r="DF2" s="189">
        <v>0.90625</v>
      </c>
      <c r="DG2" s="189">
        <v>1</v>
      </c>
      <c r="DH2" s="189">
        <v>0.75</v>
      </c>
      <c r="DI2" s="189">
        <v>0.66418270000000001</v>
      </c>
      <c r="DJ2" s="189">
        <v>0.47403230000000002</v>
      </c>
      <c r="DK2" s="254">
        <v>99</v>
      </c>
      <c r="DL2" s="254">
        <v>43</v>
      </c>
      <c r="DM2" s="254">
        <v>18</v>
      </c>
    </row>
    <row r="3" spans="1:117" ht="15.5" x14ac:dyDescent="0.35">
      <c r="A3" s="188" t="s">
        <v>2647</v>
      </c>
      <c r="B3" s="189">
        <v>0.2105263</v>
      </c>
      <c r="C3" s="189">
        <v>0.81052630000000003</v>
      </c>
      <c r="D3" s="189">
        <v>0.66666669999999995</v>
      </c>
      <c r="E3" s="189">
        <v>0.3903509</v>
      </c>
      <c r="F3" s="189">
        <v>0.9473684</v>
      </c>
      <c r="G3" s="189">
        <v>0.1578947</v>
      </c>
      <c r="H3" s="189">
        <v>0.7719298</v>
      </c>
      <c r="I3" s="189">
        <v>0.3333333</v>
      </c>
      <c r="J3" s="189">
        <v>0.73684210000000006</v>
      </c>
      <c r="K3" s="189">
        <v>0.5745614</v>
      </c>
      <c r="L3" s="189">
        <v>0.96491229999999995</v>
      </c>
      <c r="M3" s="189">
        <v>0.7719298</v>
      </c>
      <c r="N3" s="189">
        <v>0.5263158</v>
      </c>
      <c r="O3" s="189">
        <v>0.61403509999999994</v>
      </c>
      <c r="P3" s="189">
        <v>0.1052632</v>
      </c>
      <c r="Q3" s="189">
        <v>0.9473684</v>
      </c>
      <c r="R3" s="189">
        <v>0.508772</v>
      </c>
      <c r="S3" s="189">
        <v>0.4035088</v>
      </c>
      <c r="T3" s="189">
        <v>0.4561403</v>
      </c>
      <c r="U3" s="189">
        <v>0.4210526</v>
      </c>
      <c r="V3" s="189">
        <v>0.38493290000000002</v>
      </c>
      <c r="W3" s="189">
        <v>0.73684210000000006</v>
      </c>
      <c r="X3" s="189">
        <v>0.4210526</v>
      </c>
      <c r="Y3" s="189">
        <v>0.7192982</v>
      </c>
      <c r="Z3" s="189">
        <v>0.4473684</v>
      </c>
      <c r="AA3" s="189">
        <v>0.84210529999999995</v>
      </c>
      <c r="AB3" s="189">
        <v>0.4385965</v>
      </c>
      <c r="AC3" s="189">
        <v>0.9210526</v>
      </c>
      <c r="AD3" s="189">
        <v>0.8947368</v>
      </c>
      <c r="AE3" s="189">
        <v>0.4912281</v>
      </c>
      <c r="AF3" s="189">
        <v>0.56140350000000006</v>
      </c>
      <c r="AG3" s="189">
        <v>0.54385969999999995</v>
      </c>
      <c r="AH3" s="189">
        <v>0.3157895</v>
      </c>
      <c r="AI3" s="189">
        <v>0.7192982</v>
      </c>
      <c r="AJ3" s="189">
        <v>0.3333333</v>
      </c>
      <c r="AK3" s="189">
        <v>0.3508772</v>
      </c>
      <c r="AL3" s="189">
        <v>0.7017544</v>
      </c>
      <c r="AM3" s="189">
        <v>0.8245614</v>
      </c>
      <c r="AN3" s="189">
        <v>0.98245610000000005</v>
      </c>
      <c r="AO3" s="189">
        <v>0.9473684</v>
      </c>
      <c r="AP3" s="189">
        <v>0.78947369999999994</v>
      </c>
      <c r="AQ3" s="189">
        <v>0.91228070000000006</v>
      </c>
      <c r="AR3" s="189">
        <v>0.7192982</v>
      </c>
      <c r="AS3" s="189">
        <v>0.368421</v>
      </c>
      <c r="AT3" s="189">
        <v>0.495614</v>
      </c>
      <c r="AU3" s="189">
        <v>0.56858059999999999</v>
      </c>
      <c r="AV3" s="189">
        <v>0.7192982</v>
      </c>
      <c r="AW3" s="189">
        <v>0.7192982</v>
      </c>
      <c r="AX3" s="189">
        <v>0.4035088</v>
      </c>
      <c r="AY3" s="189">
        <v>0.4385965</v>
      </c>
      <c r="AZ3" s="189">
        <v>0.4561403</v>
      </c>
      <c r="BA3" s="189">
        <v>0.368421</v>
      </c>
      <c r="BB3" s="189">
        <v>0.4912281</v>
      </c>
      <c r="BC3" s="189">
        <v>0.48665140000000001</v>
      </c>
      <c r="BD3" s="189">
        <v>0.97058820000000001</v>
      </c>
      <c r="BE3" s="189">
        <v>0.41176469999999998</v>
      </c>
      <c r="BF3" s="189">
        <v>0.82352939999999997</v>
      </c>
      <c r="BG3" s="189">
        <v>0.8823529</v>
      </c>
      <c r="BH3" s="189">
        <v>0.73529409999999995</v>
      </c>
      <c r="BI3" s="189">
        <v>0.8823529</v>
      </c>
      <c r="BJ3" s="189">
        <v>0.97058820000000001</v>
      </c>
      <c r="BK3" s="189">
        <v>0.85294119999999995</v>
      </c>
      <c r="BL3" s="189">
        <v>0.76470590000000005</v>
      </c>
      <c r="BM3" s="189">
        <v>0.47058820000000001</v>
      </c>
      <c r="BN3" s="189">
        <v>0.75490190000000001</v>
      </c>
      <c r="BO3" s="189">
        <v>0.63157890000000005</v>
      </c>
      <c r="BP3" s="189">
        <v>0.1578947</v>
      </c>
      <c r="BQ3" s="189">
        <v>0.37426900000000002</v>
      </c>
      <c r="BR3" s="189">
        <v>0.91228070000000006</v>
      </c>
      <c r="BS3" s="189">
        <v>0.5263158</v>
      </c>
      <c r="BT3" s="189">
        <v>0.98245610000000005</v>
      </c>
      <c r="BU3" s="189">
        <v>0.52968959999999998</v>
      </c>
      <c r="BV3" s="189">
        <v>6.3157900000000003E-2</v>
      </c>
      <c r="BW3" s="189">
        <v>0.18840580000000001</v>
      </c>
      <c r="BX3" s="189">
        <v>3.66895E-2</v>
      </c>
      <c r="BY3" s="189">
        <v>0.78947369999999994</v>
      </c>
      <c r="BZ3" s="189">
        <v>0.84210529999999995</v>
      </c>
      <c r="CA3" s="189">
        <v>0.4561403</v>
      </c>
      <c r="CB3" s="189">
        <v>0.69423559999999995</v>
      </c>
      <c r="CC3" s="189">
        <v>0.877193</v>
      </c>
      <c r="CD3" s="189">
        <v>0.97660820000000004</v>
      </c>
      <c r="CE3" s="189">
        <v>0.88157890000000005</v>
      </c>
      <c r="CF3" s="189">
        <v>0.7017544</v>
      </c>
      <c r="CG3" s="189">
        <v>0.8245614</v>
      </c>
      <c r="CH3" s="189">
        <v>0.3508772</v>
      </c>
      <c r="CI3" s="189">
        <v>0.2280702</v>
      </c>
      <c r="CJ3" s="189">
        <v>0.75620089999999995</v>
      </c>
      <c r="CK3" s="189">
        <v>0.54385969999999995</v>
      </c>
      <c r="CL3" s="189">
        <v>0.84210529999999995</v>
      </c>
      <c r="CM3" s="189">
        <v>0.8070176</v>
      </c>
      <c r="CN3" s="189">
        <v>0.9473684</v>
      </c>
      <c r="CO3" s="189">
        <v>0.7192982</v>
      </c>
      <c r="CP3" s="189">
        <v>0.9298246</v>
      </c>
      <c r="CQ3" s="189">
        <v>0.2807018</v>
      </c>
      <c r="CR3" s="189">
        <v>1</v>
      </c>
      <c r="CS3" s="189">
        <v>0.98245610000000005</v>
      </c>
      <c r="CT3" s="189">
        <v>0.91228070000000006</v>
      </c>
      <c r="CU3" s="189">
        <v>0.75438590000000005</v>
      </c>
      <c r="CV3" s="189">
        <v>0.84210529999999995</v>
      </c>
      <c r="CW3" s="189">
        <v>0.61403509999999994</v>
      </c>
      <c r="CX3" s="189">
        <v>0.75438590000000005</v>
      </c>
      <c r="CY3" s="189">
        <v>0.4912281</v>
      </c>
      <c r="CZ3" s="189">
        <v>0.79987010000000003</v>
      </c>
      <c r="DA3" s="189">
        <v>0.2105263</v>
      </c>
      <c r="DB3" s="189">
        <v>0.5263158</v>
      </c>
      <c r="DC3" s="189">
        <v>0.4561403</v>
      </c>
      <c r="DD3" s="189">
        <v>0.2631579</v>
      </c>
      <c r="DE3" s="189">
        <v>0.78947369999999994</v>
      </c>
      <c r="DF3" s="189">
        <v>0.877193</v>
      </c>
      <c r="DG3" s="189">
        <v>1</v>
      </c>
      <c r="DH3" s="189">
        <v>0.84210529999999995</v>
      </c>
      <c r="DI3" s="189">
        <v>0.64574900000000002</v>
      </c>
      <c r="DJ3" s="189">
        <v>0.43608249999999998</v>
      </c>
      <c r="DK3" s="254">
        <v>33</v>
      </c>
      <c r="DL3" s="254">
        <v>17</v>
      </c>
      <c r="DM3" s="254">
        <v>7</v>
      </c>
    </row>
    <row r="5" spans="1:117" x14ac:dyDescent="0.35">
      <c r="B5" s="219"/>
      <c r="C5" s="219" t="s">
        <v>705</v>
      </c>
      <c r="D5" s="219" t="s">
        <v>706</v>
      </c>
      <c r="E5" s="219" t="s">
        <v>707</v>
      </c>
      <c r="F5" s="219" t="s">
        <v>708</v>
      </c>
      <c r="G5" s="219" t="s">
        <v>709</v>
      </c>
      <c r="H5" s="219" t="s">
        <v>710</v>
      </c>
      <c r="I5" s="219" t="s">
        <v>711</v>
      </c>
      <c r="J5" s="219" t="s">
        <v>712</v>
      </c>
      <c r="K5" s="219" t="s">
        <v>713</v>
      </c>
      <c r="L5" s="219" t="s">
        <v>714</v>
      </c>
      <c r="M5" s="219" t="s">
        <v>715</v>
      </c>
    </row>
    <row r="6" spans="1:117" x14ac:dyDescent="0.35">
      <c r="B6" s="219"/>
      <c r="C6" s="219" t="s">
        <v>2539</v>
      </c>
      <c r="D6" s="219" t="s">
        <v>2550</v>
      </c>
      <c r="E6" s="219" t="s">
        <v>2575</v>
      </c>
      <c r="F6" s="219" t="s">
        <v>2583</v>
      </c>
      <c r="G6" s="219" t="s">
        <v>2594</v>
      </c>
      <c r="H6" s="219" t="s">
        <v>2601</v>
      </c>
      <c r="I6" s="219" t="s">
        <v>2604</v>
      </c>
      <c r="J6" s="219" t="s">
        <v>2616</v>
      </c>
      <c r="K6" s="219" t="s">
        <v>2632</v>
      </c>
      <c r="L6" s="219" t="s">
        <v>2641</v>
      </c>
      <c r="M6" s="219" t="s">
        <v>2642</v>
      </c>
    </row>
    <row r="7" spans="1:117" x14ac:dyDescent="0.35">
      <c r="B7" s="219" t="s">
        <v>2648</v>
      </c>
      <c r="C7" s="225">
        <f>HLOOKUP(C$6,$B$1:$DM$3,2,FALSE)</f>
        <v>0.70178569999999996</v>
      </c>
      <c r="D7" s="225">
        <f t="shared" ref="D7:M7" si="0">HLOOKUP(D$6,$B$1:$DM$3,2,FALSE)</f>
        <v>0.42821690000000001</v>
      </c>
      <c r="E7" s="225">
        <f t="shared" si="0"/>
        <v>0.64517049999999998</v>
      </c>
      <c r="F7" s="225">
        <f t="shared" si="0"/>
        <v>0.57499999999999996</v>
      </c>
      <c r="G7" s="220">
        <f t="shared" si="0"/>
        <v>0.76524820000000005</v>
      </c>
      <c r="H7" s="225">
        <f t="shared" si="0"/>
        <v>0.5730769</v>
      </c>
      <c r="I7" s="225">
        <f t="shared" si="0"/>
        <v>4.2228300000000003E-2</v>
      </c>
      <c r="J7" s="225">
        <f t="shared" si="0"/>
        <v>0.77715520000000005</v>
      </c>
      <c r="K7" s="225">
        <f t="shared" si="0"/>
        <v>0.81712960000000001</v>
      </c>
      <c r="L7" s="225">
        <f t="shared" si="0"/>
        <v>0.66418270000000001</v>
      </c>
      <c r="M7" s="220">
        <f t="shared" si="0"/>
        <v>0.47403230000000002</v>
      </c>
    </row>
    <row r="8" spans="1:117" x14ac:dyDescent="0.35">
      <c r="B8" s="219" t="s">
        <v>2647</v>
      </c>
      <c r="C8" s="225">
        <f t="shared" ref="C8:M8" si="1">HLOOKUP(C$6,$B$1:$DM$3,3,FALSE)</f>
        <v>0.5745614</v>
      </c>
      <c r="D8" s="225">
        <f t="shared" si="1"/>
        <v>0.38493290000000002</v>
      </c>
      <c r="E8" s="225">
        <f t="shared" si="1"/>
        <v>0.56858059999999999</v>
      </c>
      <c r="F8" s="225">
        <f t="shared" si="1"/>
        <v>0.48665140000000001</v>
      </c>
      <c r="G8" s="220">
        <f t="shared" si="1"/>
        <v>0.75490190000000001</v>
      </c>
      <c r="H8" s="225">
        <f t="shared" si="1"/>
        <v>0.52968959999999998</v>
      </c>
      <c r="I8" s="225">
        <f t="shared" si="1"/>
        <v>3.66895E-2</v>
      </c>
      <c r="J8" s="225">
        <f t="shared" si="1"/>
        <v>0.75620089999999995</v>
      </c>
      <c r="K8" s="225">
        <f t="shared" si="1"/>
        <v>0.79987010000000003</v>
      </c>
      <c r="L8" s="225">
        <f t="shared" si="1"/>
        <v>0.64574900000000002</v>
      </c>
      <c r="M8" s="220">
        <f t="shared" si="1"/>
        <v>0.43608249999999998</v>
      </c>
    </row>
    <row r="11" spans="1:117" x14ac:dyDescent="0.35">
      <c r="C11" s="218" t="s">
        <v>2649</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398F-8BC7-4C52-87E6-A9E809B003A2}">
  <sheetPr>
    <tabColor theme="7" tint="0.79998168889431442"/>
  </sheetPr>
  <dimension ref="C1:V13"/>
  <sheetViews>
    <sheetView workbookViewId="0">
      <selection activeCell="F6" sqref="F6"/>
    </sheetView>
  </sheetViews>
  <sheetFormatPr defaultColWidth="9" defaultRowHeight="14.5" x14ac:dyDescent="0.35"/>
  <cols>
    <col min="1" max="16384" width="9" style="187"/>
  </cols>
  <sheetData>
    <row r="1" spans="3:22" x14ac:dyDescent="0.35">
      <c r="C1" s="218" t="s">
        <v>2650</v>
      </c>
      <c r="N1" s="218" t="s">
        <v>2651</v>
      </c>
    </row>
    <row r="3" spans="3:22" x14ac:dyDescent="0.35">
      <c r="C3" s="219"/>
      <c r="D3" s="219" t="s">
        <v>2449</v>
      </c>
      <c r="E3" s="219" t="s">
        <v>2652</v>
      </c>
      <c r="F3" s="219" t="s">
        <v>2653</v>
      </c>
      <c r="N3" s="188" t="s">
        <v>2529</v>
      </c>
      <c r="O3" s="188" t="s">
        <v>2654</v>
      </c>
      <c r="P3" s="188" t="s">
        <v>2655</v>
      </c>
      <c r="Q3" s="188" t="s">
        <v>2656</v>
      </c>
      <c r="R3" s="188" t="s">
        <v>2657</v>
      </c>
      <c r="S3" s="188" t="s">
        <v>2658</v>
      </c>
      <c r="T3" s="188" t="s">
        <v>2659</v>
      </c>
      <c r="U3" s="188" t="s">
        <v>2660</v>
      </c>
      <c r="V3" s="188" t="s">
        <v>2661</v>
      </c>
    </row>
    <row r="4" spans="3:22" x14ac:dyDescent="0.35">
      <c r="C4" s="219" t="s">
        <v>721</v>
      </c>
      <c r="D4" s="220">
        <f>VLOOKUP($C4,'1-QQM_SUMMARY_SHEET'!$A$3:$R$37,15,FALSE)</f>
        <v>0</v>
      </c>
      <c r="E4" s="220">
        <f>VLOOKUP($C4,'1-QQM_SUMMARY_SHEET'!$A$3:$R$37,16,FALSE)</f>
        <v>0.41199999999999998</v>
      </c>
      <c r="F4" s="220">
        <f>VLOOKUP($C4,'1-QQM_SUMMARY_SHEET'!$A$3:$R$37,17,FALSE)</f>
        <v>0.66149999999999998</v>
      </c>
      <c r="N4" s="188" t="s">
        <v>2646</v>
      </c>
      <c r="O4" s="188">
        <v>326</v>
      </c>
      <c r="P4" s="188">
        <v>264</v>
      </c>
      <c r="Q4" s="217">
        <v>0.45085890000000001</v>
      </c>
      <c r="R4" s="217">
        <v>0.45085890000000001</v>
      </c>
      <c r="S4" s="217">
        <v>0.76010100000000003</v>
      </c>
      <c r="T4" s="217">
        <v>0.61956520000000004</v>
      </c>
      <c r="U4" s="217">
        <v>0.69545449999999998</v>
      </c>
      <c r="V4" s="217">
        <v>0.5603051</v>
      </c>
    </row>
    <row r="5" spans="3:22" x14ac:dyDescent="0.35">
      <c r="C5" s="219" t="s">
        <v>729</v>
      </c>
      <c r="D5" s="220">
        <f>VLOOKUP($C5,'1-QQM_SUMMARY_SHEET'!$A$3:$R$37,15,FALSE)</f>
        <v>0</v>
      </c>
      <c r="E5" s="220">
        <f>VLOOKUP($C5,'1-QQM_SUMMARY_SHEET'!$A$3:$R$37,16,FALSE)</f>
        <v>0.44454539999999998</v>
      </c>
      <c r="F5" s="220">
        <f>VLOOKUP($C5,'1-QQM_SUMMARY_SHEET'!$A$3:$R$37,17,FALSE)</f>
        <v>0.82</v>
      </c>
      <c r="N5" s="188" t="s">
        <v>2647</v>
      </c>
      <c r="O5" s="188">
        <v>111</v>
      </c>
      <c r="P5" s="188">
        <v>108</v>
      </c>
      <c r="Q5" s="217">
        <v>0.42972969999999999</v>
      </c>
      <c r="R5" s="217">
        <v>0.42972969999999999</v>
      </c>
      <c r="S5" s="217">
        <v>0.69547329999999996</v>
      </c>
      <c r="T5" s="217">
        <v>0.663748</v>
      </c>
      <c r="U5" s="217">
        <v>0.68087969999999998</v>
      </c>
      <c r="V5" s="217">
        <v>0.55358450000000003</v>
      </c>
    </row>
    <row r="6" spans="3:22" x14ac:dyDescent="0.35">
      <c r="C6" s="219" t="s">
        <v>733</v>
      </c>
      <c r="D6" s="220">
        <f>VLOOKUP($C6,'1-QQM_SUMMARY_SHEET'!$A$3:$R$37,15,FALSE)</f>
        <v>0</v>
      </c>
      <c r="E6" s="220">
        <f>VLOOKUP($C6,'1-QQM_SUMMARY_SHEET'!$A$3:$R$37,16,FALSE)</f>
        <v>0.51363639999999999</v>
      </c>
      <c r="F6" s="220">
        <f>VLOOKUP($C6,'1-QQM_SUMMARY_SHEET'!$A$3:$R$37,17,FALSE)</f>
        <v>0.83850000000000002</v>
      </c>
    </row>
    <row r="7" spans="3:22" x14ac:dyDescent="0.35">
      <c r="C7" s="219" t="s">
        <v>735</v>
      </c>
      <c r="D7" s="220">
        <f>VLOOKUP($C7,'1-QQM_SUMMARY_SHEET'!$A$3:$R$37,15,FALSE)</f>
        <v>0</v>
      </c>
      <c r="E7" s="220">
        <f>VLOOKUP($C7,'1-QQM_SUMMARY_SHEET'!$A$3:$R$37,16,FALSE)</f>
        <v>0.33</v>
      </c>
      <c r="F7" s="220">
        <f>VLOOKUP($C7,'1-QQM_SUMMARY_SHEET'!$A$3:$R$37,17,FALSE)</f>
        <v>0.57250000000000001</v>
      </c>
    </row>
    <row r="8" spans="3:22" x14ac:dyDescent="0.35">
      <c r="C8" s="219" t="s">
        <v>737</v>
      </c>
      <c r="D8" s="220">
        <f>VLOOKUP($C8,'1-QQM_SUMMARY_SHEET'!$A$3:$R$37,15,FALSE)</f>
        <v>0</v>
      </c>
      <c r="E8" s="220">
        <f>VLOOKUP($C8,'1-QQM_SUMMARY_SHEET'!$A$3:$R$37,16,FALSE)</f>
        <v>0.38124999999999998</v>
      </c>
      <c r="F8" s="220">
        <f>VLOOKUP($C8,'1-QQM_SUMMARY_SHEET'!$A$3:$R$37,17,FALSE)</f>
        <v>0.73468750000000005</v>
      </c>
    </row>
    <row r="9" spans="3:22" x14ac:dyDescent="0.35">
      <c r="C9" s="219" t="s">
        <v>740</v>
      </c>
      <c r="D9" s="220">
        <f>VLOOKUP($C9,'1-QQM_SUMMARY_SHEET'!$A$3:$R$37,15,FALSE)</f>
        <v>0</v>
      </c>
      <c r="E9" s="220">
        <f>VLOOKUP($C9,'1-QQM_SUMMARY_SHEET'!$A$3:$R$37,16,FALSE)</f>
        <v>0.45411770000000001</v>
      </c>
      <c r="F9" s="220">
        <f>VLOOKUP($C9,'1-QQM_SUMMARY_SHEET'!$A$3:$R$37,17,FALSE)</f>
        <v>0.56366660000000002</v>
      </c>
    </row>
    <row r="10" spans="3:22" x14ac:dyDescent="0.35">
      <c r="C10" s="219" t="s">
        <v>750</v>
      </c>
      <c r="D10" s="220">
        <f>VLOOKUP($C10,'1-QQM_SUMMARY_SHEET'!$A$3:$R$37,15,FALSE)</f>
        <v>0</v>
      </c>
      <c r="E10" s="220">
        <f>VLOOKUP($C10,'1-QQM_SUMMARY_SHEET'!$A$3:$R$37,16,FALSE)</f>
        <v>0.52</v>
      </c>
      <c r="F10" s="220">
        <f>VLOOKUP($C10,'1-QQM_SUMMARY_SHEET'!$A$3:$R$37,17,FALSE)</f>
        <v>0.69499999999999995</v>
      </c>
    </row>
    <row r="11" spans="3:22" x14ac:dyDescent="0.35">
      <c r="C11" s="219" t="s">
        <v>762</v>
      </c>
      <c r="D11" s="220">
        <f>VLOOKUP($C11,'1-QQM_SUMMARY_SHEET'!$A$3:$R$37,15,FALSE)</f>
        <v>0</v>
      </c>
      <c r="E11" s="220">
        <f>VLOOKUP($C11,'1-QQM_SUMMARY_SHEET'!$A$3:$R$37,16,FALSE)</f>
        <v>0.41090910000000003</v>
      </c>
      <c r="F11" s="220">
        <f>VLOOKUP($C11,'1-QQM_SUMMARY_SHEET'!$A$3:$R$37,17,FALSE)</f>
        <v>0.60590909999999998</v>
      </c>
    </row>
    <row r="12" spans="3:22" x14ac:dyDescent="0.35">
      <c r="C12" s="219" t="s">
        <v>766</v>
      </c>
      <c r="D12" s="220">
        <f>VLOOKUP($C12,'1-QQM_SUMMARY_SHEET'!$A$3:$R$37,15,FALSE)</f>
        <v>0</v>
      </c>
      <c r="E12" s="220">
        <f>VLOOKUP($C12,'1-QQM_SUMMARY_SHEET'!$A$3:$R$37,16,FALSE)</f>
        <v>0.46250000000000002</v>
      </c>
      <c r="F12" s="220">
        <f>VLOOKUP($C12,'1-QQM_SUMMARY_SHEET'!$A$3:$R$37,17,FALSE)</f>
        <v>0.69799999999999995</v>
      </c>
    </row>
    <row r="13" spans="3:22" x14ac:dyDescent="0.35">
      <c r="C13" s="219" t="s">
        <v>767</v>
      </c>
      <c r="D13" s="220">
        <f>VLOOKUP($C13,'1-QQM_SUMMARY_SHEET'!$A$3:$R$37,15,FALSE)</f>
        <v>0</v>
      </c>
      <c r="E13" s="220">
        <f>VLOOKUP($C13,'1-QQM_SUMMARY_SHEET'!$A$3:$R$37,16,FALSE)</f>
        <v>0.44625919999999986</v>
      </c>
      <c r="F13" s="220">
        <f>VLOOKUP($C13,'1-QQM_SUMMARY_SHEET'!$A$3:$R$37,17,FALSE)</f>
        <v>0.69068708529411749</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13F5E-0D09-4D0D-AA2F-E21DD20C5520}">
  <sheetPr>
    <tabColor theme="7" tint="0.79998168889431442"/>
  </sheetPr>
  <dimension ref="A2:AE30"/>
  <sheetViews>
    <sheetView workbookViewId="0">
      <selection activeCell="AE5" sqref="AE5"/>
    </sheetView>
  </sheetViews>
  <sheetFormatPr defaultColWidth="9" defaultRowHeight="14.5" x14ac:dyDescent="0.35"/>
  <cols>
    <col min="1" max="16384" width="9" style="187"/>
  </cols>
  <sheetData>
    <row r="2" spans="1:31" x14ac:dyDescent="0.35">
      <c r="A2" s="218" t="s">
        <v>2662</v>
      </c>
      <c r="O2" s="218" t="s">
        <v>2663</v>
      </c>
      <c r="AD2" s="218" t="s">
        <v>2664</v>
      </c>
    </row>
    <row r="5" spans="1:31" x14ac:dyDescent="0.35">
      <c r="A5" s="188" t="s">
        <v>2529</v>
      </c>
      <c r="B5" s="188" t="s">
        <v>2665</v>
      </c>
      <c r="C5" s="188" t="s">
        <v>2666</v>
      </c>
      <c r="D5" s="188" t="s">
        <v>2667</v>
      </c>
      <c r="E5" s="188" t="s">
        <v>2668</v>
      </c>
      <c r="F5" s="188" t="s">
        <v>2669</v>
      </c>
      <c r="G5" s="188" t="s">
        <v>2670</v>
      </c>
      <c r="H5" s="188" t="s">
        <v>2671</v>
      </c>
      <c r="I5" s="188" t="s">
        <v>2672</v>
      </c>
      <c r="O5" s="188" t="s">
        <v>2529</v>
      </c>
      <c r="P5" s="188" t="s">
        <v>2666</v>
      </c>
      <c r="Q5" s="188" t="s">
        <v>2673</v>
      </c>
      <c r="R5" s="188" t="s">
        <v>2674</v>
      </c>
      <c r="S5" s="188" t="s">
        <v>2675</v>
      </c>
      <c r="T5" s="188" t="s">
        <v>2676</v>
      </c>
      <c r="U5" s="188" t="s">
        <v>2677</v>
      </c>
      <c r="V5" s="188" t="s">
        <v>2678</v>
      </c>
      <c r="W5" s="188" t="s">
        <v>2679</v>
      </c>
      <c r="X5" s="188" t="s">
        <v>2680</v>
      </c>
      <c r="Y5" s="188" t="s">
        <v>2681</v>
      </c>
      <c r="Z5" s="188" t="s">
        <v>2682</v>
      </c>
      <c r="AA5" s="188" t="s">
        <v>2683</v>
      </c>
      <c r="AB5" s="188" t="s">
        <v>2684</v>
      </c>
      <c r="AD5" s="219" t="s">
        <v>721</v>
      </c>
      <c r="AE5" s="220">
        <f>VLOOKUP($AD5,'1-QQM_SUMMARY_SHEET'!$A$3:$T$37,19,FALSE)</f>
        <v>0</v>
      </c>
    </row>
    <row r="6" spans="1:31" x14ac:dyDescent="0.35">
      <c r="A6" s="188" t="s">
        <v>2646</v>
      </c>
      <c r="B6" s="188" t="s">
        <v>2346</v>
      </c>
      <c r="C6" s="188">
        <v>142</v>
      </c>
      <c r="D6" s="217">
        <v>0.57433489999999998</v>
      </c>
      <c r="E6" s="217">
        <v>0.48271449999999999</v>
      </c>
      <c r="F6" s="217">
        <v>0.72711269999999995</v>
      </c>
      <c r="G6" s="217">
        <v>0.35</v>
      </c>
      <c r="H6" s="217">
        <v>0.27253519999999998</v>
      </c>
      <c r="I6" s="217">
        <v>0.47950700000000002</v>
      </c>
      <c r="O6" s="188" t="s">
        <v>2646</v>
      </c>
      <c r="P6" s="188">
        <v>1160</v>
      </c>
      <c r="Q6" s="188">
        <v>15087.5</v>
      </c>
      <c r="R6" s="188">
        <v>29562</v>
      </c>
      <c r="S6" s="188">
        <v>11951</v>
      </c>
      <c r="T6" s="188">
        <v>27031</v>
      </c>
      <c r="U6" s="188">
        <v>10926</v>
      </c>
      <c r="V6" s="188">
        <v>17903</v>
      </c>
      <c r="W6" s="188">
        <v>4833</v>
      </c>
      <c r="X6" s="188">
        <v>12902</v>
      </c>
      <c r="Y6" s="188">
        <v>9107</v>
      </c>
      <c r="Z6" s="188">
        <v>28602</v>
      </c>
      <c r="AA6" s="188">
        <v>51904.5</v>
      </c>
      <c r="AB6" s="188">
        <v>116000</v>
      </c>
      <c r="AD6" s="219" t="s">
        <v>729</v>
      </c>
      <c r="AE6" s="220">
        <f>VLOOKUP($AD6,'1-QQM_SUMMARY_SHEET'!$A$3:$T$37,19,FALSE)</f>
        <v>0</v>
      </c>
    </row>
    <row r="7" spans="1:31" x14ac:dyDescent="0.35">
      <c r="A7" s="188" t="s">
        <v>2646</v>
      </c>
      <c r="B7" s="188" t="s">
        <v>2347</v>
      </c>
      <c r="C7" s="188">
        <v>189</v>
      </c>
      <c r="D7" s="217">
        <v>0.55854610000000005</v>
      </c>
      <c r="E7" s="217">
        <v>0.42945329999999998</v>
      </c>
      <c r="F7" s="217">
        <v>0.67195769999999999</v>
      </c>
      <c r="G7" s="217">
        <v>0.37624930000000001</v>
      </c>
      <c r="H7" s="217">
        <v>0.29100530000000002</v>
      </c>
      <c r="I7" s="217">
        <v>0.44682539999999998</v>
      </c>
      <c r="O7" s="188" t="s">
        <v>2647</v>
      </c>
      <c r="P7" s="188">
        <v>436</v>
      </c>
      <c r="Q7" s="188">
        <v>5059</v>
      </c>
      <c r="R7" s="188">
        <v>11057</v>
      </c>
      <c r="S7" s="188">
        <v>4267</v>
      </c>
      <c r="T7" s="188">
        <v>10320</v>
      </c>
      <c r="U7" s="188">
        <v>3935</v>
      </c>
      <c r="V7" s="188">
        <v>6754</v>
      </c>
      <c r="W7" s="188">
        <v>1568</v>
      </c>
      <c r="X7" s="188">
        <v>4540</v>
      </c>
      <c r="Y7" s="188">
        <v>3238</v>
      </c>
      <c r="Z7" s="188">
        <v>10929</v>
      </c>
      <c r="AA7" s="188">
        <v>18067</v>
      </c>
      <c r="AB7" s="188">
        <v>43600</v>
      </c>
      <c r="AD7" s="219" t="s">
        <v>733</v>
      </c>
      <c r="AE7" s="220">
        <f>VLOOKUP($AD7,'1-QQM_SUMMARY_SHEET'!$A$3:$T$37,19,FALSE)</f>
        <v>0</v>
      </c>
    </row>
    <row r="8" spans="1:31" x14ac:dyDescent="0.35">
      <c r="A8" s="188" t="s">
        <v>2646</v>
      </c>
      <c r="B8" s="188" t="s">
        <v>2685</v>
      </c>
      <c r="C8" s="188">
        <v>177</v>
      </c>
      <c r="D8" s="217">
        <v>0.40780690000000003</v>
      </c>
      <c r="E8" s="217">
        <v>0.42305090000000001</v>
      </c>
      <c r="F8" s="217">
        <v>0.47457630000000001</v>
      </c>
      <c r="G8" s="217"/>
      <c r="H8" s="217">
        <v>0.2722137</v>
      </c>
      <c r="I8" s="217">
        <v>0.38022600000000001</v>
      </c>
      <c r="AD8" s="219" t="s">
        <v>735</v>
      </c>
      <c r="AE8" s="220">
        <f>VLOOKUP($AD8,'1-QQM_SUMMARY_SHEET'!$A$3:$T$37,19,FALSE)</f>
        <v>0</v>
      </c>
    </row>
    <row r="9" spans="1:31" ht="15.5" x14ac:dyDescent="0.35">
      <c r="A9" s="188" t="s">
        <v>2646</v>
      </c>
      <c r="B9" s="188" t="s">
        <v>2686</v>
      </c>
      <c r="C9" s="188">
        <v>80</v>
      </c>
      <c r="D9" s="217">
        <v>0.72343749999999996</v>
      </c>
      <c r="E9" s="217">
        <v>0.40500000000000003</v>
      </c>
      <c r="F9" s="217">
        <v>0.875</v>
      </c>
      <c r="G9" s="217"/>
      <c r="H9" s="217">
        <v>0.46750000000000003</v>
      </c>
      <c r="I9" s="217">
        <v>0.63887499999999997</v>
      </c>
      <c r="O9" s="223"/>
      <c r="P9" s="221" t="s">
        <v>2687</v>
      </c>
      <c r="Q9" s="221" t="s">
        <v>2688</v>
      </c>
      <c r="R9" s="221" t="s">
        <v>2689</v>
      </c>
      <c r="S9" s="221" t="s">
        <v>2343</v>
      </c>
      <c r="T9" s="221" t="s">
        <v>2690</v>
      </c>
      <c r="AD9" s="219" t="s">
        <v>737</v>
      </c>
      <c r="AE9" s="220">
        <f>VLOOKUP($AD9,'1-QQM_SUMMARY_SHEET'!$A$3:$T$37,19,FALSE)</f>
        <v>0</v>
      </c>
    </row>
    <row r="10" spans="1:31" x14ac:dyDescent="0.35">
      <c r="A10" s="188" t="s">
        <v>2646</v>
      </c>
      <c r="B10" s="188" t="s">
        <v>2350</v>
      </c>
      <c r="C10" s="188">
        <v>106</v>
      </c>
      <c r="D10" s="217">
        <v>0.54575470000000004</v>
      </c>
      <c r="E10" s="217">
        <v>0.62311320000000003</v>
      </c>
      <c r="F10" s="217">
        <v>0.72169810000000001</v>
      </c>
      <c r="G10" s="217">
        <v>0.47877360000000002</v>
      </c>
      <c r="H10" s="217">
        <v>0.32452829999999999</v>
      </c>
      <c r="I10" s="217">
        <v>0.53877359999999996</v>
      </c>
      <c r="O10" s="224" t="s">
        <v>2646</v>
      </c>
      <c r="P10" s="220">
        <f>Q6/R6</f>
        <v>0.51036804005141734</v>
      </c>
      <c r="Q10" s="220">
        <f>S6/T6</f>
        <v>0.4421220080648145</v>
      </c>
      <c r="R10" s="220">
        <f>U6/V6</f>
        <v>0.61028877841702511</v>
      </c>
      <c r="S10" s="220">
        <f>W6/X6</f>
        <v>0.3745930863432026</v>
      </c>
      <c r="T10" s="220">
        <f>Y6/Z6</f>
        <v>0.31840430739109155</v>
      </c>
      <c r="AD10" s="219" t="s">
        <v>740</v>
      </c>
      <c r="AE10" s="220">
        <f>VLOOKUP($AD10,'1-QQM_SUMMARY_SHEET'!$A$3:$T$37,19,FALSE)</f>
        <v>0</v>
      </c>
    </row>
    <row r="11" spans="1:31" x14ac:dyDescent="0.35">
      <c r="A11" s="188" t="s">
        <v>2646</v>
      </c>
      <c r="B11" s="188" t="s">
        <v>2351</v>
      </c>
      <c r="C11" s="188">
        <v>117</v>
      </c>
      <c r="D11" s="217">
        <v>0.42649569999999998</v>
      </c>
      <c r="E11" s="217">
        <v>0.4</v>
      </c>
      <c r="F11" s="217">
        <v>0.45299149999999999</v>
      </c>
      <c r="G11" s="217">
        <v>0.41837609999999997</v>
      </c>
      <c r="H11" s="217">
        <v>0.32905980000000001</v>
      </c>
      <c r="I11" s="217">
        <v>0.40538459999999998</v>
      </c>
      <c r="O11" s="224" t="s">
        <v>2647</v>
      </c>
      <c r="P11" s="220">
        <f>Q7/R7</f>
        <v>0.45753821108799853</v>
      </c>
      <c r="Q11" s="220">
        <f>S7/T7</f>
        <v>0.413468992248062</v>
      </c>
      <c r="R11" s="220">
        <f>U7/V7</f>
        <v>0.58261770802487411</v>
      </c>
      <c r="S11" s="220">
        <f>W7/X7</f>
        <v>0.34537444933920702</v>
      </c>
      <c r="T11" s="220">
        <f>Y7/Z7</f>
        <v>0.2962759630341294</v>
      </c>
      <c r="AD11" s="219" t="s">
        <v>750</v>
      </c>
      <c r="AE11" s="220">
        <f>VLOOKUP($AD11,'1-QQM_SUMMARY_SHEET'!$A$3:$T$37,19,FALSE)</f>
        <v>0</v>
      </c>
    </row>
    <row r="12" spans="1:31" x14ac:dyDescent="0.35">
      <c r="A12" s="188" t="s">
        <v>2646</v>
      </c>
      <c r="B12" s="188" t="s">
        <v>2691</v>
      </c>
      <c r="C12" s="188">
        <v>108</v>
      </c>
      <c r="D12" s="217">
        <v>0.42842590000000003</v>
      </c>
      <c r="E12" s="217">
        <v>0.54583329999999997</v>
      </c>
      <c r="F12" s="217"/>
      <c r="G12" s="217">
        <v>0.12592590000000001</v>
      </c>
      <c r="H12" s="217">
        <v>0.2578704</v>
      </c>
      <c r="I12" s="217">
        <v>0.38754630000000001</v>
      </c>
      <c r="AD12" s="219" t="s">
        <v>762</v>
      </c>
      <c r="AE12" s="220">
        <f>VLOOKUP($AD12,'1-QQM_SUMMARY_SHEET'!$A$3:$T$37,19,FALSE)</f>
        <v>0</v>
      </c>
    </row>
    <row r="13" spans="1:31" x14ac:dyDescent="0.35">
      <c r="A13" s="188" t="s">
        <v>2646</v>
      </c>
      <c r="B13" s="188" t="s">
        <v>2652</v>
      </c>
      <c r="C13" s="188">
        <v>85</v>
      </c>
      <c r="D13" s="217">
        <v>0.50196079999999998</v>
      </c>
      <c r="E13" s="217">
        <v>0.33843139999999999</v>
      </c>
      <c r="F13" s="217">
        <v>0.51764710000000003</v>
      </c>
      <c r="G13" s="217"/>
      <c r="H13" s="217">
        <v>0.33183390000000001</v>
      </c>
      <c r="I13" s="217">
        <v>0.39741179999999998</v>
      </c>
      <c r="AD13" s="219" t="s">
        <v>766</v>
      </c>
      <c r="AE13" s="220">
        <f>VLOOKUP($AD13,'1-QQM_SUMMARY_SHEET'!$A$3:$T$37,19,FALSE)</f>
        <v>0</v>
      </c>
    </row>
    <row r="14" spans="1:31" x14ac:dyDescent="0.35">
      <c r="A14" s="188" t="s">
        <v>2646</v>
      </c>
      <c r="B14" s="188" t="s">
        <v>2692</v>
      </c>
      <c r="C14" s="188">
        <v>100</v>
      </c>
      <c r="D14" s="217">
        <v>0.5053571</v>
      </c>
      <c r="E14" s="217">
        <v>0.36966670000000001</v>
      </c>
      <c r="F14" s="217">
        <v>0.52124999999999999</v>
      </c>
      <c r="G14" s="217"/>
      <c r="H14" s="217">
        <v>0.4514706</v>
      </c>
      <c r="I14" s="217">
        <v>0.4476</v>
      </c>
      <c r="AD14" s="219" t="s">
        <v>767</v>
      </c>
      <c r="AE14" s="220">
        <f>VLOOKUP($AD14,'1-QQM_SUMMARY_SHEET'!$A$3:$T$37,19,FALSE)</f>
        <v>0</v>
      </c>
    </row>
    <row r="15" spans="1:31" x14ac:dyDescent="0.35">
      <c r="A15" s="188" t="s">
        <v>2646</v>
      </c>
      <c r="B15" s="188" t="s">
        <v>2355</v>
      </c>
      <c r="C15" s="188">
        <v>56</v>
      </c>
      <c r="D15" s="217">
        <v>0.45446429999999999</v>
      </c>
      <c r="E15" s="217">
        <v>0.48214289999999999</v>
      </c>
      <c r="F15" s="217">
        <v>0.52678570000000002</v>
      </c>
      <c r="G15" s="217">
        <v>0.38303569999999998</v>
      </c>
      <c r="H15" s="217">
        <v>0.2077068</v>
      </c>
      <c r="I15" s="217">
        <v>0.41357139999999998</v>
      </c>
    </row>
    <row r="16" spans="1:31" x14ac:dyDescent="0.35">
      <c r="A16" s="188" t="s">
        <v>2647</v>
      </c>
      <c r="B16" s="188" t="s">
        <v>2346</v>
      </c>
      <c r="C16" s="188">
        <v>57</v>
      </c>
      <c r="D16" s="217">
        <v>0.48343079999999999</v>
      </c>
      <c r="E16" s="217">
        <v>0.4035088</v>
      </c>
      <c r="F16" s="217">
        <v>0.51754389999999995</v>
      </c>
      <c r="G16" s="217">
        <v>0.29122809999999999</v>
      </c>
      <c r="H16" s="217">
        <v>0.22456139999999999</v>
      </c>
      <c r="I16" s="217">
        <v>0.38245620000000002</v>
      </c>
    </row>
    <row r="17" spans="1:11" x14ac:dyDescent="0.35">
      <c r="A17" s="188" t="s">
        <v>2647</v>
      </c>
      <c r="B17" s="188" t="s">
        <v>2347</v>
      </c>
      <c r="C17" s="188">
        <v>65</v>
      </c>
      <c r="D17" s="217">
        <v>0.53444809999999998</v>
      </c>
      <c r="E17" s="217">
        <v>0.4269231</v>
      </c>
      <c r="F17" s="217">
        <v>0.5410256</v>
      </c>
      <c r="G17" s="217">
        <v>0.34188039999999997</v>
      </c>
      <c r="H17" s="217">
        <v>0.25484950000000001</v>
      </c>
      <c r="I17" s="217">
        <v>0.41046149999999998</v>
      </c>
    </row>
    <row r="18" spans="1:11" x14ac:dyDescent="0.35">
      <c r="A18" s="188" t="s">
        <v>2647</v>
      </c>
      <c r="B18" s="188" t="s">
        <v>2685</v>
      </c>
      <c r="C18" s="188">
        <v>60</v>
      </c>
      <c r="D18" s="217">
        <v>0.3681818</v>
      </c>
      <c r="E18" s="217">
        <v>0.51333329999999999</v>
      </c>
      <c r="F18" s="217">
        <v>0.45</v>
      </c>
      <c r="G18" s="217"/>
      <c r="H18" s="217">
        <v>0.23636360000000001</v>
      </c>
      <c r="I18" s="217">
        <v>0.37733329999999998</v>
      </c>
    </row>
    <row r="19" spans="1:11" x14ac:dyDescent="0.35">
      <c r="A19" s="188" t="s">
        <v>2647</v>
      </c>
      <c r="B19" s="188" t="s">
        <v>2686</v>
      </c>
      <c r="C19" s="188">
        <v>36</v>
      </c>
      <c r="D19" s="217">
        <v>0.66319439999999996</v>
      </c>
      <c r="E19" s="217">
        <v>0.3777778</v>
      </c>
      <c r="F19" s="217">
        <v>0.83333330000000005</v>
      </c>
      <c r="G19" s="217"/>
      <c r="H19" s="217">
        <v>0.36388890000000002</v>
      </c>
      <c r="I19" s="217">
        <v>0.58027779999999995</v>
      </c>
    </row>
    <row r="20" spans="1:11" x14ac:dyDescent="0.35">
      <c r="A20" s="188" t="s">
        <v>2647</v>
      </c>
      <c r="B20" s="188" t="s">
        <v>2350</v>
      </c>
      <c r="C20" s="188">
        <v>36</v>
      </c>
      <c r="D20" s="217">
        <v>0.45</v>
      </c>
      <c r="E20" s="217">
        <v>0.62916669999999997</v>
      </c>
      <c r="F20" s="217">
        <v>0.77777779999999996</v>
      </c>
      <c r="G20" s="217">
        <v>0.52777779999999996</v>
      </c>
      <c r="H20" s="217">
        <v>0.3</v>
      </c>
      <c r="I20" s="217">
        <v>0.53694439999999999</v>
      </c>
    </row>
    <row r="21" spans="1:11" x14ac:dyDescent="0.35">
      <c r="A21" s="188" t="s">
        <v>2647</v>
      </c>
      <c r="B21" s="188" t="s">
        <v>2351</v>
      </c>
      <c r="C21" s="188">
        <v>33</v>
      </c>
      <c r="D21" s="217">
        <v>0.33636359999999998</v>
      </c>
      <c r="E21" s="217">
        <v>0.33484849999999999</v>
      </c>
      <c r="F21" s="217">
        <v>0.45454549999999999</v>
      </c>
      <c r="G21" s="217">
        <v>0.37878790000000001</v>
      </c>
      <c r="H21" s="217">
        <v>0.26515149999999998</v>
      </c>
      <c r="I21" s="217">
        <v>0.35393940000000002</v>
      </c>
    </row>
    <row r="22" spans="1:11" x14ac:dyDescent="0.35">
      <c r="A22" s="188" t="s">
        <v>2647</v>
      </c>
      <c r="B22" s="188" t="s">
        <v>2691</v>
      </c>
      <c r="C22" s="188">
        <v>33</v>
      </c>
      <c r="D22" s="217">
        <v>0.27878789999999998</v>
      </c>
      <c r="E22" s="217">
        <v>0.44393939999999998</v>
      </c>
      <c r="F22" s="217"/>
      <c r="G22" s="217">
        <v>6.6666699999999995E-2</v>
      </c>
      <c r="H22" s="217">
        <v>0.18636359999999999</v>
      </c>
      <c r="I22" s="217">
        <v>0.27212120000000001</v>
      </c>
    </row>
    <row r="23" spans="1:11" x14ac:dyDescent="0.35">
      <c r="A23" s="188" t="s">
        <v>2647</v>
      </c>
      <c r="B23" s="188" t="s">
        <v>2652</v>
      </c>
      <c r="C23" s="188">
        <v>42</v>
      </c>
      <c r="D23" s="217">
        <v>0.53741499999999998</v>
      </c>
      <c r="E23" s="217">
        <v>0.27698410000000001</v>
      </c>
      <c r="F23" s="217">
        <v>0.52380959999999999</v>
      </c>
      <c r="G23" s="217"/>
      <c r="H23" s="217">
        <v>0.37605040000000001</v>
      </c>
      <c r="I23" s="217">
        <v>0.40238089999999999</v>
      </c>
    </row>
    <row r="24" spans="1:11" x14ac:dyDescent="0.35">
      <c r="A24" s="188" t="s">
        <v>2647</v>
      </c>
      <c r="B24" s="188" t="s">
        <v>2692</v>
      </c>
      <c r="C24" s="188">
        <v>48</v>
      </c>
      <c r="D24" s="217">
        <v>0.45089289999999999</v>
      </c>
      <c r="E24" s="217">
        <v>0.3229167</v>
      </c>
      <c r="F24" s="217">
        <v>0.60677080000000005</v>
      </c>
      <c r="G24" s="217"/>
      <c r="H24" s="217">
        <v>0.45710780000000001</v>
      </c>
      <c r="I24" s="217">
        <v>0.4270833</v>
      </c>
    </row>
    <row r="25" spans="1:11" x14ac:dyDescent="0.35">
      <c r="A25" s="188" t="s">
        <v>2647</v>
      </c>
      <c r="B25" s="188" t="s">
        <v>2355</v>
      </c>
      <c r="C25" s="188">
        <v>26</v>
      </c>
      <c r="D25" s="217">
        <v>0.45576919999999999</v>
      </c>
      <c r="E25" s="217">
        <v>0.49816850000000001</v>
      </c>
      <c r="F25" s="217">
        <v>0.69230769999999997</v>
      </c>
      <c r="G25" s="217">
        <v>0.3538462</v>
      </c>
      <c r="H25" s="217">
        <v>0.1497976</v>
      </c>
      <c r="I25" s="217">
        <v>0.4334615</v>
      </c>
    </row>
    <row r="27" spans="1:11" ht="15.5" x14ac:dyDescent="0.35">
      <c r="A27" s="219"/>
      <c r="B27" s="221" t="s">
        <v>2346</v>
      </c>
      <c r="C27" s="221" t="s">
        <v>2347</v>
      </c>
      <c r="D27" s="221" t="s">
        <v>2693</v>
      </c>
      <c r="E27" s="221" t="s">
        <v>2694</v>
      </c>
      <c r="F27" s="221" t="s">
        <v>2350</v>
      </c>
      <c r="G27" s="221" t="s">
        <v>2351</v>
      </c>
      <c r="H27" s="221" t="s">
        <v>2695</v>
      </c>
      <c r="I27" s="221" t="s">
        <v>2696</v>
      </c>
      <c r="J27" s="221" t="s">
        <v>2697</v>
      </c>
      <c r="K27" s="221" t="s">
        <v>2698</v>
      </c>
    </row>
    <row r="28" spans="1:11" x14ac:dyDescent="0.35">
      <c r="A28" s="219"/>
      <c r="B28" s="219" t="s">
        <v>2346</v>
      </c>
      <c r="C28" s="219" t="s">
        <v>2347</v>
      </c>
      <c r="D28" s="219" t="s">
        <v>2685</v>
      </c>
      <c r="E28" s="219" t="s">
        <v>2686</v>
      </c>
      <c r="F28" s="219" t="s">
        <v>2350</v>
      </c>
      <c r="G28" s="219" t="s">
        <v>2351</v>
      </c>
      <c r="H28" s="219" t="s">
        <v>2691</v>
      </c>
      <c r="I28" s="219" t="s">
        <v>2652</v>
      </c>
      <c r="J28" s="219" t="s">
        <v>2692</v>
      </c>
      <c r="K28" s="219" t="s">
        <v>2355</v>
      </c>
    </row>
    <row r="29" spans="1:11" x14ac:dyDescent="0.35">
      <c r="A29" s="219" t="s">
        <v>2648</v>
      </c>
      <c r="B29" s="222">
        <f>VLOOKUP(B$28,$B$6:$I$15,8,FALSE)</f>
        <v>0.47950700000000002</v>
      </c>
      <c r="C29" s="222">
        <f t="shared" ref="C29:K29" si="0">VLOOKUP(C$28,$B$6:$I$15,8,FALSE)</f>
        <v>0.44682539999999998</v>
      </c>
      <c r="D29" s="222">
        <f t="shared" si="0"/>
        <v>0.38022600000000001</v>
      </c>
      <c r="E29" s="222">
        <f t="shared" si="0"/>
        <v>0.63887499999999997</v>
      </c>
      <c r="F29" s="222">
        <f t="shared" si="0"/>
        <v>0.53877359999999996</v>
      </c>
      <c r="G29" s="222">
        <f t="shared" si="0"/>
        <v>0.40538459999999998</v>
      </c>
      <c r="H29" s="222">
        <f t="shared" si="0"/>
        <v>0.38754630000000001</v>
      </c>
      <c r="I29" s="222">
        <f t="shared" si="0"/>
        <v>0.39741179999999998</v>
      </c>
      <c r="J29" s="222">
        <f t="shared" si="0"/>
        <v>0.4476</v>
      </c>
      <c r="K29" s="222">
        <f t="shared" si="0"/>
        <v>0.41357139999999998</v>
      </c>
    </row>
    <row r="30" spans="1:11" x14ac:dyDescent="0.35">
      <c r="A30" s="219" t="s">
        <v>2647</v>
      </c>
      <c r="B30" s="222">
        <f t="shared" ref="B30:K30" si="1">VLOOKUP(B$28,$B$16:$I$25,8,FALSE)</f>
        <v>0.38245620000000002</v>
      </c>
      <c r="C30" s="222">
        <f t="shared" si="1"/>
        <v>0.41046149999999998</v>
      </c>
      <c r="D30" s="222">
        <f t="shared" si="1"/>
        <v>0.37733329999999998</v>
      </c>
      <c r="E30" s="222">
        <f t="shared" si="1"/>
        <v>0.58027779999999995</v>
      </c>
      <c r="F30" s="222">
        <f t="shared" si="1"/>
        <v>0.53694439999999999</v>
      </c>
      <c r="G30" s="222">
        <f t="shared" si="1"/>
        <v>0.35393940000000002</v>
      </c>
      <c r="H30" s="222">
        <f t="shared" si="1"/>
        <v>0.27212120000000001</v>
      </c>
      <c r="I30" s="222">
        <f t="shared" si="1"/>
        <v>0.40238089999999999</v>
      </c>
      <c r="J30" s="222">
        <f t="shared" si="1"/>
        <v>0.4270833</v>
      </c>
      <c r="K30" s="222">
        <f t="shared" si="1"/>
        <v>0.4334615</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M16"/>
  <sheetViews>
    <sheetView workbookViewId="0">
      <selection sqref="A1:B1"/>
    </sheetView>
  </sheetViews>
  <sheetFormatPr defaultColWidth="10.83203125" defaultRowHeight="15.5" x14ac:dyDescent="0.35"/>
  <cols>
    <col min="1" max="1" width="6" customWidth="1"/>
    <col min="2" max="2" width="48" customWidth="1"/>
  </cols>
  <sheetData>
    <row r="1" spans="1:39" s="7" customFormat="1" ht="25" customHeight="1" thickBot="1" x14ac:dyDescent="0.4">
      <c r="A1" s="407" t="s">
        <v>2699</v>
      </c>
      <c r="B1" s="407"/>
      <c r="C1" s="427" t="s">
        <v>2383</v>
      </c>
      <c r="D1" s="428"/>
      <c r="E1" s="428"/>
      <c r="F1" s="429"/>
      <c r="G1" s="38" t="s">
        <v>721</v>
      </c>
      <c r="H1" s="38" t="s">
        <v>723</v>
      </c>
      <c r="I1" s="38" t="s">
        <v>724</v>
      </c>
      <c r="J1" s="38" t="s">
        <v>726</v>
      </c>
      <c r="K1" s="38" t="s">
        <v>727</v>
      </c>
      <c r="L1" s="38" t="s">
        <v>729</v>
      </c>
      <c r="M1" s="38" t="s">
        <v>731</v>
      </c>
      <c r="N1" s="38" t="s">
        <v>732</v>
      </c>
      <c r="O1" s="38" t="s">
        <v>733</v>
      </c>
      <c r="P1" s="38" t="s">
        <v>735</v>
      </c>
      <c r="Q1" s="38" t="s">
        <v>737</v>
      </c>
      <c r="R1" s="38" t="s">
        <v>738</v>
      </c>
      <c r="S1" s="38" t="s">
        <v>739</v>
      </c>
      <c r="T1" s="38" t="s">
        <v>740</v>
      </c>
      <c r="U1" s="38" t="s">
        <v>741</v>
      </c>
      <c r="V1" s="38" t="s">
        <v>742</v>
      </c>
      <c r="W1" s="38" t="s">
        <v>744</v>
      </c>
      <c r="X1" s="38" t="s">
        <v>745</v>
      </c>
      <c r="Y1" s="38" t="s">
        <v>746</v>
      </c>
      <c r="Z1" s="38" t="s">
        <v>747</v>
      </c>
      <c r="AA1" s="38" t="s">
        <v>2384</v>
      </c>
      <c r="AB1" s="38" t="s">
        <v>750</v>
      </c>
      <c r="AC1" s="38" t="s">
        <v>752</v>
      </c>
      <c r="AD1" s="38" t="s">
        <v>754</v>
      </c>
      <c r="AE1" s="38" t="s">
        <v>755</v>
      </c>
      <c r="AF1" s="38" t="s">
        <v>756</v>
      </c>
      <c r="AG1" s="38" t="s">
        <v>757</v>
      </c>
      <c r="AH1" s="38" t="s">
        <v>758</v>
      </c>
      <c r="AI1" s="38" t="s">
        <v>2385</v>
      </c>
      <c r="AJ1" s="38" t="s">
        <v>761</v>
      </c>
      <c r="AK1" s="38" t="s">
        <v>762</v>
      </c>
      <c r="AL1" s="38" t="s">
        <v>764</v>
      </c>
      <c r="AM1" s="38" t="s">
        <v>766</v>
      </c>
    </row>
    <row r="2" spans="1:39" s="7" customFormat="1" ht="25" customHeight="1" thickBot="1" x14ac:dyDescent="0.4">
      <c r="A2" s="8" t="s">
        <v>2700</v>
      </c>
      <c r="B2" s="49"/>
      <c r="C2" s="51" t="s">
        <v>2701</v>
      </c>
      <c r="D2" s="51" t="s">
        <v>2702</v>
      </c>
      <c r="E2" s="51" t="s">
        <v>2703</v>
      </c>
      <c r="F2" s="51" t="s">
        <v>2704</v>
      </c>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row>
    <row r="3" spans="1:39" s="7" customFormat="1" ht="25" customHeight="1" thickBot="1" x14ac:dyDescent="0.4">
      <c r="A3" s="43"/>
      <c r="B3" s="43" t="s">
        <v>705</v>
      </c>
      <c r="C3" s="3"/>
      <c r="D3" s="3"/>
      <c r="E3" s="3"/>
      <c r="F3" s="3"/>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row>
    <row r="4" spans="1:39" s="7" customFormat="1" ht="25" customHeight="1" thickBot="1" x14ac:dyDescent="0.4">
      <c r="A4" s="43"/>
      <c r="B4" s="43" t="s">
        <v>706</v>
      </c>
      <c r="C4" s="3"/>
      <c r="D4" s="3"/>
      <c r="E4" s="3"/>
      <c r="F4" s="3"/>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row>
    <row r="5" spans="1:39" s="7" customFormat="1" ht="25" customHeight="1" thickBot="1" x14ac:dyDescent="0.4">
      <c r="A5" s="43"/>
      <c r="B5" s="43" t="s">
        <v>707</v>
      </c>
      <c r="C5" s="3"/>
      <c r="D5" s="3"/>
      <c r="E5" s="3"/>
      <c r="F5" s="3"/>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row>
    <row r="6" spans="1:39" s="7" customFormat="1" ht="25" customHeight="1" thickBot="1" x14ac:dyDescent="0.4">
      <c r="A6" s="43"/>
      <c r="B6" s="43" t="s">
        <v>708</v>
      </c>
      <c r="C6" s="3"/>
      <c r="D6" s="3"/>
      <c r="E6" s="3"/>
      <c r="F6" s="3"/>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row>
    <row r="7" spans="1:39" s="7" customFormat="1" ht="25" customHeight="1" thickBot="1" x14ac:dyDescent="0.4">
      <c r="A7" s="43"/>
      <c r="B7" s="43" t="s">
        <v>709</v>
      </c>
      <c r="C7" s="3"/>
      <c r="D7" s="3"/>
      <c r="E7" s="3"/>
      <c r="F7" s="3"/>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row>
    <row r="8" spans="1:39" s="7" customFormat="1" ht="25" customHeight="1" thickBot="1" x14ac:dyDescent="0.4">
      <c r="A8" s="43"/>
      <c r="B8" s="43" t="s">
        <v>710</v>
      </c>
      <c r="C8" s="3"/>
      <c r="D8" s="3"/>
      <c r="E8" s="3"/>
      <c r="F8" s="3"/>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row>
    <row r="9" spans="1:39" s="7" customFormat="1" ht="25" customHeight="1" thickBot="1" x14ac:dyDescent="0.4">
      <c r="A9" s="43"/>
      <c r="B9" s="43" t="s">
        <v>711</v>
      </c>
      <c r="C9" s="3"/>
      <c r="D9" s="3"/>
      <c r="E9" s="3"/>
      <c r="F9" s="3"/>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row>
    <row r="10" spans="1:39" s="7" customFormat="1" ht="25" customHeight="1" thickBot="1" x14ac:dyDescent="0.4">
      <c r="A10" s="43"/>
      <c r="B10" s="43" t="s">
        <v>712</v>
      </c>
      <c r="C10" s="3"/>
      <c r="D10" s="3"/>
      <c r="E10" s="3"/>
      <c r="F10" s="3"/>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row>
    <row r="11" spans="1:39" s="7" customFormat="1" ht="25" customHeight="1" thickBot="1" x14ac:dyDescent="0.4">
      <c r="A11" s="43"/>
      <c r="B11" s="43" t="s">
        <v>713</v>
      </c>
      <c r="C11" s="3"/>
      <c r="D11" s="3"/>
      <c r="E11" s="3"/>
      <c r="F11" s="3"/>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row>
    <row r="12" spans="1:39" s="7" customFormat="1" ht="25" customHeight="1" thickBot="1" x14ac:dyDescent="0.4">
      <c r="A12" s="43"/>
      <c r="B12" s="43" t="s">
        <v>714</v>
      </c>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row>
    <row r="13" spans="1:39" s="7" customFormat="1" ht="24" customHeight="1" thickBot="1" x14ac:dyDescent="0.4">
      <c r="A13" s="8" t="s">
        <v>2705</v>
      </c>
      <c r="B13" s="49"/>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row>
    <row r="14" spans="1:39" s="7" customFormat="1" ht="25" customHeight="1" thickBot="1" x14ac:dyDescent="0.4">
      <c r="A14" s="43"/>
      <c r="B14" s="50" t="s">
        <v>2424</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row>
    <row r="15" spans="1:39" s="7" customFormat="1" ht="25" customHeight="1" thickBot="1" x14ac:dyDescent="0.4">
      <c r="A15" s="43"/>
      <c r="B15" s="50" t="s">
        <v>717</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row>
    <row r="16" spans="1:39" s="7" customFormat="1" ht="25" customHeight="1" thickBot="1" x14ac:dyDescent="0.4">
      <c r="A16" s="43"/>
      <c r="B16" s="50" t="s">
        <v>2426</v>
      </c>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row>
  </sheetData>
  <mergeCells count="2">
    <mergeCell ref="A1:B1"/>
    <mergeCell ref="C1:F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EA97F7373EFD429BFDEDDB185823E2" ma:contentTypeVersion="19" ma:contentTypeDescription="Create a new document." ma:contentTypeScope="" ma:versionID="92e15d1851fb2c2d4ef834f93d10dc9e">
  <xsd:schema xmlns:xsd="http://www.w3.org/2001/XMLSchema" xmlns:xs="http://www.w3.org/2001/XMLSchema" xmlns:p="http://schemas.microsoft.com/office/2006/metadata/properties" xmlns:ns1="http://schemas.microsoft.com/sharepoint/v3" xmlns:ns2="a7038a4a-92bf-4169-bcfb-d8faef309e5c" xmlns:ns3="14ea3c35-9b07-485c-a081-68e8ca934ce3" xmlns:ns4="a110dc4f-40bb-407a-9b53-6ca31b8ea68c" targetNamespace="http://schemas.microsoft.com/office/2006/metadata/properties" ma:root="true" ma:fieldsID="090fd3d5ca8028c62b549f5b54b160f7" ns1:_="" ns2:_="" ns3:_="" ns4:_="">
    <xsd:import namespace="http://schemas.microsoft.com/sharepoint/v3"/>
    <xsd:import namespace="a7038a4a-92bf-4169-bcfb-d8faef309e5c"/>
    <xsd:import namespace="14ea3c35-9b07-485c-a081-68e8ca934ce3"/>
    <xsd:import namespace="a110dc4f-40bb-407a-9b53-6ca31b8ea68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7038a4a-92bf-4169-bcfb-d8faef309e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39e6daf-d12b-42e1-8c22-1710989d671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ea3c35-9b07-485c-a081-68e8ca934ce3"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110dc4f-40bb-407a-9b53-6ca31b8ea68c"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1db35fa2-fca2-4f3e-b1bd-74610ba01adc}" ma:internalName="TaxCatchAll" ma:showField="CatchAllData" ma:web="14ea3c35-9b07-485c-a081-68e8ca934c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a7038a4a-92bf-4169-bcfb-d8faef309e5c">
      <Terms xmlns="http://schemas.microsoft.com/office/infopath/2007/PartnerControls"/>
    </lcf76f155ced4ddcb4097134ff3c332f>
    <TaxCatchAll xmlns="a110dc4f-40bb-407a-9b53-6ca31b8ea68c"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CBF165-B638-42AC-86E9-EBC4D94777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7038a4a-92bf-4169-bcfb-d8faef309e5c"/>
    <ds:schemaRef ds:uri="14ea3c35-9b07-485c-a081-68e8ca934ce3"/>
    <ds:schemaRef ds:uri="a110dc4f-40bb-407a-9b53-6ca31b8ea6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15A003-8165-4556-AE80-2D096D83141A}">
  <ds:schemaRefs>
    <ds:schemaRef ds:uri="http://schemas.microsoft.com/office/2006/metadata/properties"/>
    <ds:schemaRef ds:uri="http://schemas.microsoft.com/office/infopath/2007/PartnerControls"/>
    <ds:schemaRef ds:uri="http://schemas.microsoft.com/sharepoint/v3"/>
    <ds:schemaRef ds:uri="a7038a4a-92bf-4169-bcfb-d8faef309e5c"/>
    <ds:schemaRef ds:uri="a110dc4f-40bb-407a-9b53-6ca31b8ea68c"/>
  </ds:schemaRefs>
</ds:datastoreItem>
</file>

<file path=customXml/itemProps3.xml><?xml version="1.0" encoding="utf-8"?>
<ds:datastoreItem xmlns:ds="http://schemas.openxmlformats.org/officeDocument/2006/customXml" ds:itemID="{BB7C82C8-A3A9-421B-B833-43697864E62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Overview</vt:lpstr>
      <vt:lpstr>Indicator list</vt:lpstr>
      <vt:lpstr>1-QQM_SUMMARY_SHEET</vt:lpstr>
      <vt:lpstr>2-QQM_BY ROUND</vt:lpstr>
      <vt:lpstr>Annex 1a - Structural_PROV</vt:lpstr>
      <vt:lpstr>Annex1b-Structural_FAC</vt:lpstr>
      <vt:lpstr>Annex1c-Tracerdrugs_PROV</vt:lpstr>
      <vt:lpstr>QQC_SI_PROV_LONG</vt:lpstr>
      <vt:lpstr>QQC_SI_FAC_WIDE</vt:lpstr>
      <vt:lpstr>QCC_SI_PROV</vt:lpstr>
      <vt:lpstr>QCC_EXIT&amp;VIGNETTES_FACILITY</vt:lpstr>
      <vt:lpstr>QQC_EXIT&amp;VIGNETTES_PROV_LONG</vt:lpstr>
      <vt:lpstr>QQC_EXIT&amp;VIGNETTES_FAC_WIDE</vt:lpstr>
      <vt:lpstr>QQC_SUMMARY_SHEET</vt:lpstr>
      <vt:lpstr>Annex2a-QQM_EXIT&amp;VIGNETTES_PROV</vt:lpstr>
      <vt:lpstr>Annex 2b-QQC_EXIT&amp;VIGNETTES_FAC</vt:lpstr>
      <vt:lpstr>Annex 3a-HEALTHWORKFORCE - PROV</vt:lpstr>
      <vt:lpstr>Annex 3b-HEALTHWORKFORCE - FAC</vt:lpstr>
      <vt:lpstr>Annex 4a-MSS - PROV</vt:lpstr>
      <vt:lpstr>Annex 4b-MSS - FAC</vt:lpstr>
      <vt:lpstr>Sheet1</vt:lpstr>
      <vt:lpstr>0 - GRAPHS</vt:lpstr>
      <vt:lpstr>GRAPHS -SI - ADB non ADB</vt:lpstr>
      <vt:lpstr>GRAPHS -Exit - ADB non ADB</vt:lpstr>
      <vt:lpstr>GRAPHS -Vignettes - ADB non ADB</vt:lpstr>
      <vt:lpstr>SUMMARY_SHEET_MULTIPLEROUNDS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Maida</dc:creator>
  <cp:keywords/>
  <dc:description/>
  <cp:lastModifiedBy>Shamsuddeen Saleh</cp:lastModifiedBy>
  <cp:revision/>
  <dcterms:created xsi:type="dcterms:W3CDTF">2023-07-13T09:58:48Z</dcterms:created>
  <dcterms:modified xsi:type="dcterms:W3CDTF">2024-09-30T17:45:52Z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0x010100C3EA97F7373EFD429BFDEDDB185823E2</vt:lpwstr>
  </property>
  <property fmtid="{D5CDD505-2E9C-101B-9397-08002B2CF9AE}" pid="3" name="MediaServiceImageTags">
    <vt:lpwstr/>
  </property>
</Properties>
</file>